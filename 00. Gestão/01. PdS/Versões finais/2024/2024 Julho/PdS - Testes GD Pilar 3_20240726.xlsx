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0. Gestão/01. PdS/Versões finais/2024 Julho/"/>
    </mc:Choice>
  </mc:AlternateContent>
  <xr:revisionPtr revIDLastSave="38" documentId="8_{AA8D8A69-A7DB-4BD8-90B1-335DFCA89367}" xr6:coauthVersionLast="47" xr6:coauthVersionMax="47" xr10:uidLastSave="{C55C913C-D0BA-4A54-BD46-5E0A81E3A835}"/>
  <workbookProtection workbookAlgorithmName="SHA-512" workbookHashValue="gYLi5kSCCaTr/dXHia9/7VihSPubdcg22JCLUbDJn7H/yaRlgMJW9PFJyaDcKi38wwkRmsXeKE5d3j/iEORPZg==" workbookSaltValue="+JpXqJnBCgBWs/momSTirw==" workbookSpinCount="100000" lockStructure="1"/>
  <bookViews>
    <workbookView xWindow="-120" yWindow="-16320" windowWidth="29040" windowHeight="15840" activeTab="1" xr2:uid="{00000000-000D-0000-FFFF-FFFF00000000}"/>
  </bookViews>
  <sheets>
    <sheet name="Âmbito de atuação" sheetId="16" r:id="rId1"/>
    <sheet name="1. Status Resumo" sheetId="15" r:id="rId2"/>
    <sheet name="2. Status Detalhe Campos" sheetId="17" r:id="rId3"/>
    <sheet name="Aux - Pivots2" sheetId="18" state="hidden" r:id="rId4"/>
    <sheet name="Auxiliar" sheetId="3" state="hidden" r:id="rId5"/>
  </sheets>
  <definedNames>
    <definedName name="_xlnm._FilterDatabase" localSheetId="2" hidden="1">'2. Status Detalhe Campos'!$A$6:$J$605</definedName>
    <definedName name="_xlcn.WorksheetConnection_2.StatusDetalheCamposB6G5991" hidden="1">'2. Status Detalhe Campos'!$B$6:$G$595</definedName>
    <definedName name="_xlcn.WorksheetConnection_2.StatusDetalheCamposB6G6051" hidden="1">'2. Status Detalhe Campos'!$B$6:$G$605</definedName>
    <definedName name="_xlcn.WorksheetConnection_Sheet2B2G5451" hidden="1">'2. Status Detalhe Campos'!$B$6:$G$544</definedName>
    <definedName name="_xlcn.WorksheetConnection_TestesGDPilar3Plano_versãotrabalho_V1.2.xlsxTable41" hidden="1">Table4[]</definedName>
  </definedNames>
  <calcPr calcId="191029"/>
  <pivotCaches>
    <pivotCache cacheId="42" r:id="rId6"/>
    <pivotCache cacheId="43" r:id="rId7"/>
    <pivotCache cacheId="44" r:id="rId8"/>
    <pivotCache cacheId="45" r:id="rId9"/>
    <pivotCache cacheId="46" r:id="rId10"/>
    <pivotCache cacheId="47" r:id="rId11"/>
    <pivotCache cacheId="48" r:id="rId12"/>
    <pivotCache cacheId="49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4" connection="WorksheetConnection_Testes GD Pilar 3 - Plano_versão trabalho_V1.2.xlsx!Table4"/>
          <x15:modelTable id="Range" name="Range" connection="WorksheetConnection_Sheet2!$B$2:$G$545"/>
          <x15:modelTable id="Range 2" name="Range 2" connection="WorksheetConnection_2. Status Detalhe Campos!$B$6:$G$605"/>
          <x15:modelTable id="Range 1" name="Range 1" connection="WorksheetConnection_2. Status Detalhe Campos!$B$6:$G$59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7" i="15" l="1"/>
  <c r="U61" i="15"/>
  <c r="U39" i="15"/>
  <c r="A605" i="17"/>
  <c r="A604" i="17"/>
  <c r="A603" i="17"/>
  <c r="A602" i="17"/>
  <c r="A601" i="17"/>
  <c r="A600" i="17"/>
  <c r="A599" i="17"/>
  <c r="A598" i="17"/>
  <c r="A597" i="17"/>
  <c r="A596" i="17"/>
  <c r="A595" i="17"/>
  <c r="A594" i="17"/>
  <c r="A593" i="17"/>
  <c r="A592" i="17"/>
  <c r="A591" i="17"/>
  <c r="A590" i="17"/>
  <c r="A589" i="17"/>
  <c r="A588" i="17"/>
  <c r="A587" i="17"/>
  <c r="A586" i="17"/>
  <c r="A585" i="17"/>
  <c r="A584" i="17"/>
  <c r="A583" i="17"/>
  <c r="A582" i="17"/>
  <c r="A581" i="17"/>
  <c r="A580" i="17"/>
  <c r="A579" i="17"/>
  <c r="A578" i="17"/>
  <c r="A577" i="17"/>
  <c r="A576" i="17"/>
  <c r="A575" i="17"/>
  <c r="A574" i="17"/>
  <c r="A573" i="17"/>
  <c r="A572" i="17"/>
  <c r="A571" i="17"/>
  <c r="A570" i="17"/>
  <c r="A569" i="17"/>
  <c r="A568" i="17"/>
  <c r="A567" i="17"/>
  <c r="A566" i="17"/>
  <c r="A565" i="17"/>
  <c r="A564" i="17"/>
  <c r="A563" i="17"/>
  <c r="A562" i="17"/>
  <c r="A561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8" i="17"/>
  <c r="A497" i="17"/>
  <c r="A496" i="17"/>
  <c r="A495" i="17"/>
  <c r="A494" i="17"/>
  <c r="A493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T69" i="15" l="1"/>
  <c r="T68" i="15"/>
  <c r="T67" i="15"/>
  <c r="T66" i="15"/>
  <c r="T65" i="15"/>
  <c r="T64" i="15"/>
  <c r="T63" i="15"/>
  <c r="T62" i="15"/>
  <c r="T40" i="15" l="1"/>
  <c r="T41" i="15"/>
  <c r="T42" i="15"/>
  <c r="T43" i="15"/>
  <c r="T44" i="15"/>
  <c r="T45" i="15"/>
  <c r="T46" i="15"/>
  <c r="T47" i="15"/>
  <c r="T21" i="15"/>
  <c r="T22" i="15"/>
  <c r="T23" i="15"/>
  <c r="T24" i="15"/>
  <c r="T25" i="15"/>
  <c r="T26" i="15"/>
  <c r="T27" i="15"/>
  <c r="T28" i="15"/>
  <c r="T85" i="15"/>
  <c r="T84" i="15"/>
  <c r="T83" i="15"/>
  <c r="T82" i="15"/>
  <c r="T81" i="15"/>
  <c r="T80" i="15"/>
  <c r="T79" i="15"/>
  <c r="T78" i="15"/>
  <c r="T86" i="15" l="1"/>
  <c r="T61" i="15"/>
  <c r="T39" i="15"/>
  <c r="T77" i="15" s="1"/>
  <c r="T70" i="15"/>
  <c r="T48" i="15"/>
  <c r="T29" i="15"/>
  <c r="A8" i="17"/>
  <c r="A7" i="17"/>
  <c r="C22" i="3"/>
  <c r="C23" i="3" l="1"/>
  <c r="C21" i="3"/>
  <c r="C20" i="3"/>
  <c r="C19" i="3"/>
  <c r="C18" i="3"/>
  <c r="C17" i="3"/>
  <c r="C16" i="3"/>
  <c r="U67" i="15" l="1"/>
  <c r="V67" i="15" s="1"/>
  <c r="U66" i="15"/>
  <c r="V66" i="15" s="1"/>
  <c r="U65" i="15"/>
  <c r="V65" i="15" s="1"/>
  <c r="U62" i="15"/>
  <c r="U64" i="15"/>
  <c r="V64" i="15" s="1"/>
  <c r="U63" i="15"/>
  <c r="V63" i="15" s="1"/>
  <c r="U69" i="15"/>
  <c r="V69" i="15" s="1"/>
  <c r="U68" i="15"/>
  <c r="V68" i="15" s="1"/>
  <c r="U28" i="15"/>
  <c r="V28" i="15" s="1"/>
  <c r="U40" i="15"/>
  <c r="U44" i="15"/>
  <c r="V44" i="15" s="1"/>
  <c r="U21" i="15"/>
  <c r="U45" i="15"/>
  <c r="V45" i="15" s="1"/>
  <c r="U22" i="15"/>
  <c r="V22" i="15" s="1"/>
  <c r="U25" i="15"/>
  <c r="V25" i="15" s="1"/>
  <c r="U41" i="15"/>
  <c r="V41" i="15" s="1"/>
  <c r="U26" i="15"/>
  <c r="V26" i="15" s="1"/>
  <c r="U27" i="15"/>
  <c r="V27" i="15" s="1"/>
  <c r="U42" i="15"/>
  <c r="V42" i="15" s="1"/>
  <c r="U23" i="15"/>
  <c r="V23" i="15" s="1"/>
  <c r="U46" i="15"/>
  <c r="V46" i="15" s="1"/>
  <c r="U43" i="15"/>
  <c r="V43" i="15" s="1"/>
  <c r="U24" i="15"/>
  <c r="V24" i="15" s="1"/>
  <c r="U47" i="15"/>
  <c r="V47" i="15" s="1"/>
  <c r="U85" i="15"/>
  <c r="V85" i="15" s="1"/>
  <c r="U84" i="15"/>
  <c r="V84" i="15" s="1"/>
  <c r="U83" i="15"/>
  <c r="V83" i="15" s="1"/>
  <c r="U82" i="15"/>
  <c r="V82" i="15" s="1"/>
  <c r="U81" i="15"/>
  <c r="V81" i="15" s="1"/>
  <c r="U80" i="15"/>
  <c r="V80" i="15" s="1"/>
  <c r="U79" i="15"/>
  <c r="V79" i="15" s="1"/>
  <c r="U78" i="15"/>
  <c r="U86" i="15" l="1"/>
  <c r="D81" i="15" s="1"/>
  <c r="V78" i="15"/>
  <c r="V40" i="15"/>
  <c r="U48" i="15"/>
  <c r="V62" i="15"/>
  <c r="U70" i="15"/>
  <c r="D65" i="15" s="1"/>
  <c r="V21" i="15"/>
  <c r="U29" i="15"/>
  <c r="D24" i="15" s="1"/>
  <c r="D43" i="1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599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2.StatusDetalheCamposB6G5991"/>
        </x15:connection>
      </ext>
    </extLst>
  </connection>
  <connection id="3" xr16:uid="{00000000-0015-0000-FFFF-FFFF02000000}" name="WorksheetConnection_2. Status Detalhe Campos!$B$6:$G$605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4" xr16:uid="{00000000-0015-0000-FFFF-FFFF03000000}" name="WorksheetConnection_Sheet2!$B$2:$G$54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  <connection id="5" xr16:uid="{00000000-0015-0000-FFFF-FFFF04000000}" name="WorksheetConnection_Testes GD Pilar 3 - Plano_versão trabalho_V1.2.xlsx!Table4" type="102" refreshedVersion="8" minRefreshableVersion="5">
    <extLst>
      <ext xmlns:x15="http://schemas.microsoft.com/office/spreadsheetml/2010/11/main" uri="{DE250136-89BD-433C-8126-D09CA5730AF9}">
        <x15:connection id="Table4" autoDelete="1">
          <x15:rangePr sourceName="_xlcn.WorksheetConnection_TestesGDPilar3Plano_versãotrabalho_V1.2.xlsxTable4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ThisWorkbookDataModel"/>
    <s v="{[Range 1].[Tipo de teste].&amp;[2. Campo]}"/>
    <s v="{[Range 1].[Âmbito].&amp;[GD]}"/>
    <s v="{[Table4].[Âmbito].&amp;[Pilar III]}"/>
    <s v="{[Table4].[Sub-âmbito].&amp;[Bens Imóveis - Input],[Table4].[Sub-âmbito].&amp;[Bens Imóveis - Output]}"/>
    <s v="{[Table4].[Tipo de teste].&amp;[2. Campo]}"/>
    <s v="{[Table4].[Sub-âmbito].&amp;[Modelo Verde - Input],[Table4].[Sub-âmbito].&amp;[Modelo Verde - Output]}"/>
    <s v="{[Table4].[Sub-âmbito].&amp;[Pilar III]}"/>
  </metadataStrings>
  <mdxMetadata count="7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<sst xmlns="http://schemas.openxmlformats.org/spreadsheetml/2006/main" count="5784" uniqueCount="519">
  <si>
    <t>Descrição</t>
  </si>
  <si>
    <t>Categorização de Testes</t>
  </si>
  <si>
    <t>Tipologia de testes</t>
  </si>
  <si>
    <t>Status</t>
  </si>
  <si>
    <t>Campo</t>
  </si>
  <si>
    <t>GD</t>
  </si>
  <si>
    <t>Âmbito</t>
  </si>
  <si>
    <t>n.a.</t>
  </si>
  <si>
    <t>OK</t>
  </si>
  <si>
    <t>1. Teste de universo</t>
  </si>
  <si>
    <t>2. Simulação</t>
  </si>
  <si>
    <t>4. Validação de parametrizações</t>
  </si>
  <si>
    <t>5. Teste comparativos com LT</t>
  </si>
  <si>
    <t>3. Testes comparativos (Espec. VS Impl.)</t>
  </si>
  <si>
    <t>Validar controlos corporativos e se a especificação cumpre os requisitos.</t>
  </si>
  <si>
    <t>6. Validação de formatos</t>
  </si>
  <si>
    <t>7. Validação de controlos corporativos</t>
  </si>
  <si>
    <t>Garantir que a informação do campo da LT-ESTR âmbito 'PM' está espelhado no âmbito 'CDG'.</t>
  </si>
  <si>
    <t>Estimação Horas</t>
  </si>
  <si>
    <t>Complexidade</t>
  </si>
  <si>
    <t>Baixa</t>
  </si>
  <si>
    <t>Média</t>
  </si>
  <si>
    <t>Alta</t>
  </si>
  <si>
    <t xml:space="preserve">A partir da simulação realizada, comparar com as parametrizações implementadas por IT. </t>
  </si>
  <si>
    <t>Simulação da especificação funcional.
Suplementarmente, realizar reuniões de validações e esclarecimentos funcionais junto do negócio/owner.</t>
  </si>
  <si>
    <t xml:space="preserve">A partir da simulação realizada, comparar resultados com a implementação de IT. </t>
  </si>
  <si>
    <t>Tabela</t>
  </si>
  <si>
    <t>Pilar III</t>
  </si>
  <si>
    <t>Sub-âmbito</t>
  </si>
  <si>
    <t>Modelo Verde - Input</t>
  </si>
  <si>
    <t>Modelo Verde - Output</t>
  </si>
  <si>
    <t>8. Teste de Carregamento</t>
  </si>
  <si>
    <t>Garantir que o carregamento do ficheiro é realizado com sucesso no Front.</t>
  </si>
  <si>
    <t>9. Teste de Integridade</t>
  </si>
  <si>
    <t>Garantir integridade entre o ficheiro importado pela equipa de testes e o ficheiro de tecnologia (Ex: Garantir que a informação de todos os campos está correta de acordo com os dados corporativos)</t>
  </si>
  <si>
    <t>1. Validação de universo de contratos (quando comparado âmbito "CDG" e "PM", e numero de registos)
2. Controlos sobre o desdobramento de chaves nas relações FR-MIS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</si>
  <si>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</si>
  <si>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</si>
  <si>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</si>
  <si>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</si>
  <si>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</si>
  <si>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</si>
  <si>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</si>
  <si>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</si>
  <si>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ref_date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</si>
  <si>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</si>
  <si>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</si>
  <si>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</si>
  <si>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</si>
  <si>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</si>
  <si>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</si>
  <si>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</si>
  <si>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data_level_5</t>
  </si>
  <si>
    <t>nome_unidade_funcional</t>
  </si>
  <si>
    <t>unidade_funcional</t>
  </si>
  <si>
    <t>nome_fator_emissao</t>
  </si>
  <si>
    <t>unidade_fator_emissao</t>
  </si>
  <si>
    <t>score_qualidade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</si>
  <si>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</si>
  <si>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</si>
  <si>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</si>
  <si>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</si>
  <si>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</si>
  <si>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</si>
  <si>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</si>
  <si>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</si>
  <si>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</si>
  <si>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</si>
  <si>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</si>
  <si>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</si>
  <si>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</si>
  <si>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</si>
  <si>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</si>
  <si>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</si>
  <si>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</si>
  <si>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</si>
  <si>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</si>
  <si>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</si>
  <si>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</si>
  <si>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</si>
  <si>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</si>
  <si>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</si>
  <si>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</si>
  <si>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</si>
  <si>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</si>
  <si>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</si>
  <si>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</si>
  <si>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</si>
  <si>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</si>
  <si>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</si>
  <si>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</si>
  <si>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</si>
  <si>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</si>
  <si>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</si>
  <si>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</si>
  <si>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</si>
  <si>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</si>
  <si>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</si>
  <si>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</si>
  <si>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</si>
  <si>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</si>
  <si>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</si>
  <si>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</si>
  <si>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</si>
  <si>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cod_pais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</si>
  <si>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</si>
  <si>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</si>
  <si>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</si>
  <si>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</si>
  <si>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</si>
  <si>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</si>
  <si>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</si>
  <si>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</si>
  <si>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</si>
  <si>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</si>
  <si>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</si>
  <si>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</si>
  <si>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</si>
  <si>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</si>
  <si>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</si>
  <si>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</si>
  <si>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</si>
  <si>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</si>
  <si>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</si>
  <si>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tipo_bem</t>
  </si>
  <si>
    <t>unidade_fator_de_emissao</t>
  </si>
  <si>
    <t>tipo_finalidade_bem</t>
  </si>
  <si>
    <t>epc</t>
  </si>
  <si>
    <t>flg_ftr_emss_area</t>
  </si>
  <si>
    <t>Validação de formato de acordo com o que é esperado pela Corporação (incluindo validação de codelists, missing e default values)
Validar especificação e controlos da especificação vs o que está implementado</t>
  </si>
  <si>
    <t>cempbem</t>
  </si>
  <si>
    <t>ckbalbem</t>
  </si>
  <si>
    <t>ckctabem</t>
  </si>
  <si>
    <t>ckrefbem</t>
  </si>
  <si>
    <t>origem_flg_rsc_fsc_agd</t>
  </si>
  <si>
    <t>origem_flg_rsc_fsc_crnc</t>
  </si>
  <si>
    <t>unidade_funcional_scp1_emss</t>
  </si>
  <si>
    <t>unidade_funcional_scp2_emss</t>
  </si>
  <si>
    <t>unidade_funcional_scp3_emss</t>
  </si>
  <si>
    <t>origem_scp1_emss</t>
  </si>
  <si>
    <t>origem_scp2_emss</t>
  </si>
  <si>
    <t>origem_scp3_emss</t>
  </si>
  <si>
    <t>zcliente</t>
  </si>
  <si>
    <t>origem_flg_nfrd</t>
  </si>
  <si>
    <t>flg_emprs_excl_paris</t>
  </si>
  <si>
    <t>origem_flg_emprs_excl_paris</t>
  </si>
  <si>
    <t>origem_alinhamentos</t>
  </si>
  <si>
    <t>cnsm_co2</t>
  </si>
  <si>
    <t>cempresa</t>
  </si>
  <si>
    <t>cbalcao</t>
  </si>
  <si>
    <t>cnumecta</t>
  </si>
  <si>
    <t>zdeposit</t>
  </si>
  <si>
    <t>cod_regra</t>
  </si>
  <si>
    <t>nome_ctgr_sfcs</t>
  </si>
  <si>
    <t>nome_purpose_esg</t>
  </si>
  <si>
    <t>nome_general_specific_purpose</t>
  </si>
  <si>
    <t>nome_specific_eligible</t>
  </si>
  <si>
    <t>nome_specific_sustainable</t>
  </si>
  <si>
    <t>montante_pndrc</t>
  </si>
  <si>
    <t>origem</t>
  </si>
  <si>
    <t>dominio</t>
  </si>
  <si>
    <t>dscrc</t>
  </si>
  <si>
    <t>comite</t>
  </si>
  <si>
    <t>data_aprvc</t>
  </si>
  <si>
    <t>data_inicial</t>
  </si>
  <si>
    <t>data_final</t>
  </si>
  <si>
    <t>ckmetamis</t>
  </si>
  <si>
    <t>ckprodmi</t>
  </si>
  <si>
    <t>cmetanseg</t>
  </si>
  <si>
    <t>cod_lease</t>
  </si>
  <si>
    <t>Novo Campo</t>
  </si>
  <si>
    <t>data_extraccao_info</t>
  </si>
  <si>
    <t>chave_encriptada</t>
  </si>
  <si>
    <t>fornecedor</t>
  </si>
  <si>
    <t>vlr_emss_ano</t>
  </si>
  <si>
    <t>vlr_cnsm_ano</t>
  </si>
  <si>
    <t>metodo_info</t>
  </si>
  <si>
    <t>cod_bem</t>
  </si>
  <si>
    <t>cod_tp_bem</t>
  </si>
  <si>
    <t>cod_disconf</t>
  </si>
  <si>
    <t>localid</t>
  </si>
  <si>
    <t>urbaniz</t>
  </si>
  <si>
    <t>cod_morada</t>
  </si>
  <si>
    <t>morada</t>
  </si>
  <si>
    <t>num</t>
  </si>
  <si>
    <t>lote</t>
  </si>
  <si>
    <t>id_frac</t>
  </si>
  <si>
    <t>cod_idd_pred</t>
  </si>
  <si>
    <t>perc_obra</t>
  </si>
  <si>
    <t>cod_art_matr</t>
  </si>
  <si>
    <t>cod_fin_bem</t>
  </si>
  <si>
    <t>cod_post</t>
  </si>
  <si>
    <t>montante_avl</t>
  </si>
  <si>
    <t>data_avl</t>
  </si>
  <si>
    <t>montante_avl_dist</t>
  </si>
  <si>
    <t>cod_avl</t>
  </si>
  <si>
    <t>ficha</t>
  </si>
  <si>
    <t>montante_vnd_rap</t>
  </si>
  <si>
    <t>prealcons</t>
  </si>
  <si>
    <t>data_lic_util</t>
  </si>
  <si>
    <t>area_util</t>
  </si>
  <si>
    <t>ano_construcao</t>
  </si>
  <si>
    <t>data_epc</t>
  </si>
  <si>
    <t>data_exprc_epc</t>
  </si>
  <si>
    <t>vlr_enrg_renew</t>
  </si>
  <si>
    <t>flg_nzeb</t>
  </si>
  <si>
    <t>nvl_efcc_enrg</t>
  </si>
  <si>
    <t>tp_crtfcd</t>
  </si>
  <si>
    <t>cod_sce</t>
  </si>
  <si>
    <t>cod_cnsrvtr_rgst_prdl</t>
  </si>
  <si>
    <t>cod_inscrc</t>
  </si>
  <si>
    <t>vlr_emss_co2</t>
  </si>
  <si>
    <t>vlr_aqcmnt_ambnt_rfrc</t>
  </si>
  <si>
    <t>vlr_aqcmnt_ambnt_edfc</t>
  </si>
  <si>
    <t>vlr_aqcmnt_ambnt_rnvv</t>
  </si>
  <si>
    <t>vlr_arrfcmnt_ambnt_rfrc</t>
  </si>
  <si>
    <t>vlr_arrfcmnt_ambnt_edfc</t>
  </si>
  <si>
    <t>vlr_arrfcmnt_ambnt_renvv</t>
  </si>
  <si>
    <t>vlr_agua_qnt_sntr_rfrc</t>
  </si>
  <si>
    <t>vlr_agua_qnt_sant_edfc</t>
  </si>
  <si>
    <t>vlr_agua_qnt_snt_rnvv</t>
  </si>
  <si>
    <t>vlr_ncssdd_enrg_prmr</t>
  </si>
  <si>
    <t>vlr_ncssdd_enrg_utl_aqcd</t>
  </si>
  <si>
    <t>vlr_enrg_utl_arrfcmnt</t>
  </si>
  <si>
    <t>vlr_enrg_utl_agua_qt_snt</t>
  </si>
  <si>
    <t>vlr_enrg_eltc_vntldr</t>
  </si>
  <si>
    <t>vlr_enrg_fnts_rnvv_regl</t>
  </si>
  <si>
    <t>vlr_enrg_fnts_rnvv_otr_uso</t>
  </si>
  <si>
    <t>flg_efcnc_enrgtc</t>
  </si>
  <si>
    <t>flg_efcc_enrg_cnsm_tp_s</t>
  </si>
  <si>
    <t>flg_efcnc_enrg_cnsm_tp_t</t>
  </si>
  <si>
    <t>flg_efcnc_enrgtc_rnvv</t>
  </si>
  <si>
    <t>vlr_cst_ttl_invstmnt_estmd</t>
  </si>
  <si>
    <t>vlr_rdc_anl_estmd_ftr</t>
  </si>
  <si>
    <t>vlr_class_enrg_aps_mdd</t>
  </si>
  <si>
    <t>vlr_alttt</t>
  </si>
  <si>
    <t>vlr_grs_dia</t>
  </si>
  <si>
    <t>vlr_tmprtr_md_extrr</t>
  </si>
  <si>
    <t>zn_clmtc_invrn</t>
  </si>
  <si>
    <t>zn_clmtc_vr</t>
  </si>
  <si>
    <t>vlr_drc_estc_aqcmnt</t>
  </si>
  <si>
    <t>vlr_drc_estc_arrfcmnt</t>
  </si>
  <si>
    <t>vlr_comp_trmc_prds</t>
  </si>
  <si>
    <t>vlr_comp_trmc_cbrtrs</t>
  </si>
  <si>
    <t>vlr_comp_trmc_pvmnts</t>
  </si>
  <si>
    <t>vlr_comp_trmc_jnls</t>
  </si>
  <si>
    <t>vlr_comp_trmc_sstmtcn_vntld</t>
  </si>
  <si>
    <t>vlr_prds_gnhs_invrn_rfc</t>
  </si>
  <si>
    <t>vlr_prds_gnhs_invrn_jnl</t>
  </si>
  <si>
    <t>vlr_prds_gnhs_invrn_vntnh</t>
  </si>
  <si>
    <t>vlr_prds_gnhs_invrn_cbrtr</t>
  </si>
  <si>
    <t>vlr_prd_gnh_invrn_prd_prt</t>
  </si>
  <si>
    <t>vlr_prd_gnh_invrn_pvmnt</t>
  </si>
  <si>
    <t>vlr_prds_gnhs_vr_rfrc</t>
  </si>
  <si>
    <t>vlr_prds_gnhs_vr_jnl</t>
  </si>
  <si>
    <t>vlr_prds_gnhs_vr_cbrtr</t>
  </si>
  <si>
    <t>vlr_prds_gnhs_vr_prd_prt</t>
  </si>
  <si>
    <t>ckbalcao</t>
  </si>
  <si>
    <t>cknumcta</t>
  </si>
  <si>
    <t>comp_id_gar</t>
  </si>
  <si>
    <t>cod_prd_grnt</t>
  </si>
  <si>
    <t>cod_sprd_grnt</t>
  </si>
  <si>
    <t>data_inicio</t>
  </si>
  <si>
    <t>data_vcmt</t>
  </si>
  <si>
    <t>cod_tipo</t>
  </si>
  <si>
    <t>cod_moeda</t>
  </si>
  <si>
    <t>montante_eur</t>
  </si>
  <si>
    <t>montante_org</t>
  </si>
  <si>
    <t>cod_grt</t>
  </si>
  <si>
    <t>cod_estd_prcs</t>
  </si>
  <si>
    <t>cod_observacao</t>
  </si>
  <si>
    <t>cempresp</t>
  </si>
  <si>
    <t>ckbalres</t>
  </si>
  <si>
    <t>ckctares</t>
  </si>
  <si>
    <t>ckrefresp</t>
  </si>
  <si>
    <t>cod_sit</t>
  </si>
  <si>
    <t>data_fim</t>
  </si>
  <si>
    <t>cod_prd_resp</t>
  </si>
  <si>
    <t>cod_sprd_resp</t>
  </si>
  <si>
    <t>cod_fnld</t>
  </si>
  <si>
    <t>num_prop</t>
  </si>
  <si>
    <t>cod_ocupacao</t>
  </si>
  <si>
    <t>idetgar</t>
  </si>
  <si>
    <t>data_assc</t>
  </si>
  <si>
    <t>flg_fin</t>
  </si>
  <si>
    <t>flg_adj</t>
  </si>
  <si>
    <t>flg_col</t>
  </si>
  <si>
    <t>flg_pro</t>
  </si>
  <si>
    <t>lt003_entity</t>
  </si>
  <si>
    <t>lt004_protection</t>
  </si>
  <si>
    <t>lt002_instrument</t>
  </si>
  <si>
    <t>lt825_mthd_usd_instrmnt</t>
  </si>
  <si>
    <t>ambito</t>
  </si>
  <si>
    <t>ordem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</si>
  <si>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</si>
  <si>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</si>
  <si>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</si>
  <si>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</si>
  <si>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</si>
  <si>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</si>
  <si>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</si>
  <si>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modesg_out_empr_info_nfin</t>
  </si>
  <si>
    <t>modesg_out_bens_imoveis</t>
  </si>
  <si>
    <t>cd_imv_out_trz_prc_bens_imv</t>
  </si>
  <si>
    <t>flag_project_finance</t>
  </si>
  <si>
    <t>cfinalidad</t>
  </si>
  <si>
    <t>Bens Imóveis - Input</t>
  </si>
  <si>
    <t>Bens Imóveis - Output</t>
  </si>
  <si>
    <t>lt002_insrmnt</t>
  </si>
  <si>
    <t>cd_imv_inp_certif_estimativa</t>
  </si>
  <si>
    <t>cd_imv_out_bens</t>
  </si>
  <si>
    <t>cd_imv_out_certif</t>
  </si>
  <si>
    <t>cd_imv_out_prc</t>
  </si>
  <si>
    <t>cd_imv_out_trz_cred_prc</t>
  </si>
  <si>
    <t>modesg_out_emss_vcls</t>
  </si>
  <si>
    <t>modesg_out_sfcs_taxon_europeia</t>
  </si>
  <si>
    <t>modesg_param_sfcs_taxon_europeia</t>
  </si>
  <si>
    <t>sstnbl_ctgry</t>
  </si>
  <si>
    <t>dflt_stts_instrmnt</t>
  </si>
  <si>
    <t>accmltd_chngs_fv_cr_instrmnt</t>
  </si>
  <si>
    <t>accmltd_imprmnt_instrmnt</t>
  </si>
  <si>
    <t>accntng_clssfctn</t>
  </si>
  <si>
    <t>cod_soc</t>
  </si>
  <si>
    <t>dt_rfrnc</t>
  </si>
  <si>
    <t>grss_crryng_amnt_instrmnt</t>
  </si>
  <si>
    <t>idcmb</t>
  </si>
  <si>
    <t>imprmnt_stts</t>
  </si>
  <si>
    <t>instrmnt_id</t>
  </si>
  <si>
    <t>lcl_instmrnt_id</t>
  </si>
  <si>
    <t>off_blnc_sht_amnt_instrmnt</t>
  </si>
  <si>
    <t>prfrmng_stts</t>
  </si>
  <si>
    <t>prvsns_off_blnc_sht</t>
  </si>
  <si>
    <t>subportfolio_id</t>
  </si>
  <si>
    <t>typ_instrmnt</t>
  </si>
  <si>
    <t>rwa</t>
  </si>
  <si>
    <t>cod_soc_intrgrp</t>
  </si>
  <si>
    <t>bsnss_area_dstntn</t>
  </si>
  <si>
    <t>flg_intrbsnss</t>
  </si>
  <si>
    <t>intrbsnss_adj_cod</t>
  </si>
  <si>
    <t>cod_soc_dstntn</t>
  </si>
  <si>
    <t>rwa_off_blnc</t>
  </si>
  <si>
    <t>intrnl_trnsfr_rt_off_blnc</t>
  </si>
  <si>
    <t>bsnss_area</t>
  </si>
  <si>
    <t>avrg_blnc</t>
  </si>
  <si>
    <t>nt_ln_lss_prvsn</t>
  </si>
  <si>
    <t>mngmnt_prdct</t>
  </si>
  <si>
    <t>nw_bsnss</t>
  </si>
  <si>
    <t>grss_intrst_incm_ccrr</t>
  </si>
  <si>
    <t>nt_ln_lss_prvsn_off_blnc</t>
  </si>
  <si>
    <t>avrg_blnc_off_blnc</t>
  </si>
  <si>
    <t>bsnss_area_ccrr</t>
  </si>
  <si>
    <t>grss_cmmssn_incm_off_blnc</t>
  </si>
  <si>
    <t>grss_cmmssn_expns_off_blnc_ccrr</t>
  </si>
  <si>
    <t>grss_cmmssn_expns_off_blnc</t>
  </si>
  <si>
    <t>grss_cmmssn_incm_off_blnc_ccrr</t>
  </si>
  <si>
    <t>grss_intrst_incm</t>
  </si>
  <si>
    <t>grss_cmmssn_incm</t>
  </si>
  <si>
    <t>grss_cmmssn_incm_ccrr</t>
  </si>
  <si>
    <t>intrnl_trnsfr_rt</t>
  </si>
  <si>
    <t>grss_cmmssn_expns</t>
  </si>
  <si>
    <t>grss_cmmssn_expns_ccrr</t>
  </si>
  <si>
    <t>grss_intrst_expns</t>
  </si>
  <si>
    <t>grss_intrst_expns_ccrr</t>
  </si>
  <si>
    <t>gns_fnncl_trnsctn_exchng_dffrncs</t>
  </si>
  <si>
    <t>gns_fnncl_trnsctn_exchng_ccrr</t>
  </si>
  <si>
    <t>cnclld_instrmnt_stts</t>
  </si>
  <si>
    <t>sstnbl_indctr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</si>
  <si>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</si>
  <si>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</si>
  <si>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</si>
  <si>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</si>
  <si>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</si>
  <si>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</si>
  <si>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</si>
  <si>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</si>
  <si>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</si>
  <si>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</si>
  <si>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</si>
  <si>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</si>
  <si>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</si>
  <si>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</si>
  <si>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</si>
  <si>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</si>
  <si>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</si>
  <si>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</si>
  <si>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</si>
  <si>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</si>
  <si>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</si>
  <si>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</si>
  <si>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</si>
  <si>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</si>
  <si>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</si>
  <si>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</si>
  <si>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</si>
  <si>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</si>
  <si>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</si>
  <si>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</si>
  <si>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</si>
  <si>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</si>
  <si>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</si>
  <si>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</si>
  <si>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</si>
  <si>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</si>
  <si>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</si>
  <si>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</si>
  <si>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</si>
  <si>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</si>
  <si>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</si>
  <si>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</si>
  <si>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</si>
  <si>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</si>
  <si>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</si>
  <si>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</si>
  <si>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</si>
  <si>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</si>
  <si>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</si>
  <si>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</si>
  <si>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Pendente de outros campos/tabelas</t>
  </si>
  <si>
    <t>Por IT</t>
  </si>
  <si>
    <t>Campo eliminado</t>
  </si>
  <si>
    <t>Row Labels</t>
  </si>
  <si>
    <t>Grand Total</t>
  </si>
  <si>
    <t>(Multiple Items)</t>
  </si>
  <si>
    <t>tipo_combust</t>
  </si>
  <si>
    <t>Tipo de teste</t>
  </si>
  <si>
    <t>1. Concluído</t>
  </si>
  <si>
    <t>0. Cancelado</t>
  </si>
  <si>
    <t>5. Em Correção</t>
  </si>
  <si>
    <t>4. Validação EF</t>
  </si>
  <si>
    <t>2. Em Teste</t>
  </si>
  <si>
    <t>1. Universo</t>
  </si>
  <si>
    <t>2. Campo</t>
  </si>
  <si>
    <t>dt_incptn</t>
  </si>
  <si>
    <t>prjct_fnnc_ln</t>
  </si>
  <si>
    <t>dt_lgl_fnl_mtrty</t>
  </si>
  <si>
    <t>issr_cntry</t>
  </si>
  <si>
    <t>issr_nace_sctr</t>
  </si>
  <si>
    <t>prmry_asst_clssf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</si>
  <si>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</si>
  <si>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</si>
  <si>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</si>
  <si>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</si>
  <si>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</si>
  <si>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</si>
  <si>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</si>
  <si>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</si>
  <si>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</si>
  <si>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</si>
  <si>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</si>
  <si>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</si>
  <si>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</si>
  <si>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</si>
  <si>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</si>
  <si>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</si>
  <si>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lt006_instr_prot</t>
  </si>
  <si>
    <t>mn_entty_id</t>
  </si>
  <si>
    <t>prtctn_allctd_vl</t>
  </si>
  <si>
    <t>classification_level_1</t>
  </si>
  <si>
    <t>asset_class</t>
  </si>
  <si>
    <t>methodology_option</t>
  </si>
  <si>
    <t>emission_factor_type</t>
  </si>
  <si>
    <t>scp_ftr_emss_ano1</t>
  </si>
  <si>
    <t>3. Pendente de outros desenvolvimentos</t>
  </si>
  <si>
    <t>Validação da Susana/conceito/alterações</t>
  </si>
  <si>
    <t>7. Por iniciar</t>
  </si>
  <si>
    <t>6. Em implementação (re-especificação)</t>
  </si>
  <si>
    <t>Âmbito de atuação</t>
  </si>
  <si>
    <t xml:space="preserve">1. Modelo de Bens Imóveis </t>
  </si>
  <si>
    <t>Highlights</t>
  </si>
  <si>
    <t>Count of Campo</t>
  </si>
  <si>
    <t>Column Labels</t>
  </si>
  <si>
    <t>Resumo</t>
  </si>
  <si>
    <t>Detalhe por Tabela</t>
  </si>
  <si>
    <t>∆</t>
  </si>
  <si>
    <t>2. Modelo Verde</t>
  </si>
  <si>
    <t>3. Loan Tape | Pilar III</t>
  </si>
  <si>
    <t>1. Modelo Bens imóveis</t>
  </si>
  <si>
    <t>4. Loan Tape | Green Dashboard</t>
  </si>
  <si>
    <t>Status Atual</t>
  </si>
  <si>
    <t>Status Anterior</t>
  </si>
  <si>
    <t>Modelo Relacional - Modelo Verde</t>
  </si>
  <si>
    <t>Modelo Relacional - Bens Imóveis</t>
  </si>
  <si>
    <t>Alteração estrutural</t>
  </si>
  <si>
    <t>Novo Campo - IT já implementou</t>
  </si>
  <si>
    <t>Novo Campo no input corporativo</t>
  </si>
  <si>
    <r>
      <rPr>
        <i/>
        <sz val="11"/>
        <color theme="3"/>
        <rFont val="Santander Text"/>
        <family val="2"/>
      </rPr>
      <t>Sem desenvolvimentos sobre o ultimo PdS.</t>
    </r>
    <r>
      <rPr>
        <sz val="11"/>
        <color theme="3"/>
        <rFont val="Santander Text"/>
        <family val="2"/>
      </rPr>
      <t xml:space="preserve">
</t>
    </r>
    <r>
      <rPr>
        <u/>
        <sz val="11"/>
        <color theme="3"/>
        <rFont val="Santander Text"/>
        <family val="2"/>
      </rPr>
      <t>Nota</t>
    </r>
    <r>
      <rPr>
        <sz val="11"/>
        <color theme="3"/>
        <rFont val="Santander Text"/>
        <family val="2"/>
      </rPr>
      <t>:
1. Universo de contratos deve corresponder ao da Loan Tape Estrutural
2. Na tabela da Protection apenas serão testadas os imóveis colateralizados.</t>
    </r>
  </si>
  <si>
    <t>(incidências)</t>
  </si>
  <si>
    <t>area_atividade</t>
  </si>
  <si>
    <t>tipo_atividade</t>
  </si>
  <si>
    <t>sub_tipo_atividade_1</t>
  </si>
  <si>
    <t>sub_tipo_atividade_2</t>
  </si>
  <si>
    <t>unidades_unidade_funcional</t>
  </si>
  <si>
    <t>fator_emissao</t>
  </si>
  <si>
    <t>media_scp1_emss</t>
  </si>
  <si>
    <t>media_scp2_emss</t>
  </si>
  <si>
    <t>media_scp3_emss</t>
  </si>
  <si>
    <t>Observações</t>
  </si>
  <si>
    <t>Tabelas âmbito de atuação</t>
  </si>
  <si>
    <t>Legenda:</t>
  </si>
  <si>
    <t>Pendente do input</t>
  </si>
  <si>
    <t>Pendente de definição de prioridade por parte de área de negócio (Bernardo Vedor)</t>
  </si>
  <si>
    <t>Data de correção prevista</t>
  </si>
  <si>
    <t>Data de correção efetiva</t>
  </si>
  <si>
    <t>Data de Pedido correção/esclarecimento</t>
  </si>
  <si>
    <r>
      <t xml:space="preserve">1. Apesar dos testes ao </t>
    </r>
    <r>
      <rPr>
        <b/>
        <sz val="12"/>
        <color theme="1"/>
        <rFont val="Santander Text"/>
        <family val="2"/>
      </rPr>
      <t xml:space="preserve">Green Dashboard se encontrarem em </t>
    </r>
    <r>
      <rPr>
        <b/>
        <i/>
        <sz val="12"/>
        <color theme="1"/>
        <rFont val="Santander Text"/>
        <family val="2"/>
      </rPr>
      <t>Stand By,</t>
    </r>
    <r>
      <rPr>
        <sz val="12"/>
        <color theme="1"/>
        <rFont val="Santander Text"/>
        <family val="2"/>
      </rPr>
      <t xml:space="preserve"> ainda foram realizadas reuniões de esclarecimentos com área de negócio sobre a desagregação dos contratos por </t>
    </r>
    <r>
      <rPr>
        <i/>
        <sz val="12"/>
        <color theme="1"/>
        <rFont val="Santander Text"/>
        <family val="2"/>
      </rPr>
      <t>Business Area</t>
    </r>
    <r>
      <rPr>
        <sz val="12"/>
        <color theme="1"/>
        <rFont val="Santander Text"/>
        <family val="2"/>
      </rPr>
      <t xml:space="preserve"> e estão agendadas 2 reuniões de seguimento.
2. Pelas dependências de alterações aos inputs do Modelo Verde (Tecnologia) e da validação da parametrização de marcações verdes (área de negócio), a equipa de testes encontra-se focada no Modelo de Bens Imóveis.
3. Sobre os testes ao Modelo de Bens Imóveis, a validação de universo de bens colateralizados e bens provenientes das GP encontra-se </t>
    </r>
    <r>
      <rPr>
        <b/>
        <sz val="12"/>
        <color theme="1"/>
        <rFont val="Santander Text"/>
        <family val="2"/>
      </rPr>
      <t>concluída</t>
    </r>
    <r>
      <rPr>
        <sz val="12"/>
        <color theme="1"/>
        <rFont val="Santander Text"/>
        <family val="2"/>
      </rPr>
      <t xml:space="preserve"> e na próxima semana serão realizados testes aos campos de atributos. Não foi possível testar o </t>
    </r>
    <r>
      <rPr>
        <b/>
        <sz val="12"/>
        <color theme="1"/>
        <rFont val="Santander Text"/>
        <family val="2"/>
      </rPr>
      <t>universo de bens adjudicados</t>
    </r>
    <r>
      <rPr>
        <sz val="12"/>
        <rFont val="Santander Text"/>
        <family val="2"/>
      </rPr>
      <t xml:space="preserve">, uma vez que os dados sobre o mesmo, à data,  </t>
    </r>
    <r>
      <rPr>
        <b/>
        <sz val="12"/>
        <rFont val="Santander Text"/>
        <family val="2"/>
      </rPr>
      <t>não estão totalmente dísponiveis no DL</t>
    </r>
    <r>
      <rPr>
        <sz val="12"/>
        <rFont val="Santander Text"/>
        <family val="2"/>
      </rPr>
      <t>. Será realizado um projeto onde será testado este universo.</t>
    </r>
  </si>
  <si>
    <r>
      <t>Sumário Executivo</t>
    </r>
    <r>
      <rPr>
        <b/>
        <sz val="14"/>
        <color theme="4"/>
        <rFont val="Santander Text"/>
        <family val="2"/>
      </rPr>
      <t xml:space="preserve"> |</t>
    </r>
    <r>
      <rPr>
        <b/>
        <sz val="11"/>
        <color theme="4"/>
        <rFont val="Santander Text"/>
        <family val="2"/>
      </rPr>
      <t>19 de julho a 25 de julho</t>
    </r>
  </si>
  <si>
    <r>
      <t xml:space="preserve">1. A validação de universo de </t>
    </r>
    <r>
      <rPr>
        <b/>
        <sz val="11"/>
        <rFont val="Santander Text"/>
        <family val="2"/>
      </rPr>
      <t>bens colateralizados</t>
    </r>
    <r>
      <rPr>
        <sz val="11"/>
        <rFont val="Santander Text"/>
        <family val="2"/>
      </rPr>
      <t xml:space="preserve"> e </t>
    </r>
    <r>
      <rPr>
        <b/>
        <sz val="11"/>
        <rFont val="Santander Text"/>
        <family val="2"/>
      </rPr>
      <t>bens provenientes das GP</t>
    </r>
    <r>
      <rPr>
        <sz val="11"/>
        <rFont val="Santander Text"/>
        <family val="2"/>
      </rPr>
      <t xml:space="preserve"> encontra-se </t>
    </r>
    <r>
      <rPr>
        <b/>
        <sz val="11"/>
        <rFont val="Santander Text"/>
        <family val="2"/>
      </rPr>
      <t xml:space="preserve">concluída com sucesso (15 campos de chave Responsabilidade, Processo e Bem). </t>
    </r>
    <r>
      <rPr>
        <sz val="11"/>
        <rFont val="Santander Text"/>
        <family val="2"/>
      </rPr>
      <t xml:space="preserve">Não foram identificados bens adjudicados no modelo.
2. </t>
    </r>
    <r>
      <rPr>
        <b/>
        <sz val="11"/>
        <rFont val="Santander Text"/>
        <family val="2"/>
      </rPr>
      <t>Foram re-especificadas</t>
    </r>
    <r>
      <rPr>
        <sz val="11"/>
        <rFont val="Santander Text"/>
        <family val="2"/>
      </rPr>
      <t xml:space="preserve"> as regras de cruzamento com as aplicações de GP por forma a garantir a coerência com o MUG (pouco impacto na implementação e sem impactos a nível de resultados na data da realização do teste).
3. Foram</t>
    </r>
    <r>
      <rPr>
        <b/>
        <sz val="11"/>
        <rFont val="Santander Text"/>
        <family val="2"/>
      </rPr>
      <t xml:space="preserve"> entregues 2 campos por IT</t>
    </r>
    <r>
      <rPr>
        <sz val="11"/>
        <rFont val="Santander Text"/>
        <family val="2"/>
      </rPr>
      <t xml:space="preserve"> para teste sobre correção de incidência no dia 22 de julho.
4. Deve ser repensado o modo de </t>
    </r>
    <r>
      <rPr>
        <b/>
        <i/>
        <sz val="11"/>
        <rFont val="Santander Text"/>
        <family val="2"/>
      </rPr>
      <t>upload</t>
    </r>
    <r>
      <rPr>
        <b/>
        <sz val="11"/>
        <rFont val="Santander Text"/>
        <family val="2"/>
      </rPr>
      <t xml:space="preserve"> do Input da Gloval </t>
    </r>
    <r>
      <rPr>
        <sz val="11"/>
        <rFont val="Santander Text"/>
        <family val="2"/>
      </rPr>
      <t>no front do Data Lake por forma a não "esmagar" a informação já carregada previamente ou atualizar caso necessário (afeta 65 campos).</t>
    </r>
  </si>
  <si>
    <t>Universo Bens Colateralizados (MUG)</t>
  </si>
  <si>
    <t>Universo Bens Não Colateralizados (GP)</t>
  </si>
  <si>
    <t>Universo Bens Adjudicados</t>
  </si>
  <si>
    <t>Não serão testados neste projeto</t>
  </si>
  <si>
    <t>&gt;</t>
  </si>
  <si>
    <r>
      <t xml:space="preserve">1. Continua em curso o </t>
    </r>
    <r>
      <rPr>
        <b/>
        <sz val="11"/>
        <color theme="1"/>
        <rFont val="Santander Text"/>
        <family val="2"/>
      </rPr>
      <t>assessment ao Modelo Verde</t>
    </r>
    <r>
      <rPr>
        <sz val="11"/>
        <color theme="1"/>
        <rFont val="Santander Text"/>
        <family val="2"/>
      </rPr>
      <t xml:space="preserve">
2. Os campos que dependem da hierarquia de ordem de aprovisionamento da tabela de clientes (LEI, ISIN, KGL) estão em </t>
    </r>
    <r>
      <rPr>
        <b/>
        <sz val="11"/>
        <color theme="1"/>
        <rFont val="Santander Text"/>
        <family val="2"/>
      </rPr>
      <t>correção por Tecnologia com data prevista para 31 de julho</t>
    </r>
    <r>
      <rPr>
        <sz val="11"/>
        <color theme="1"/>
        <rFont val="Santander Text"/>
        <family val="2"/>
      </rPr>
      <t>.
3. Foi realizada uma</t>
    </r>
    <r>
      <rPr>
        <b/>
        <sz val="11"/>
        <color theme="1"/>
        <rFont val="Santander Text"/>
        <family val="2"/>
      </rPr>
      <t xml:space="preserve"> análise aos impactos sobre a eliminação/adição de campos aos inputs corporativos</t>
    </r>
    <r>
      <rPr>
        <sz val="11"/>
        <color theme="1"/>
        <rFont val="Santander Text"/>
        <family val="2"/>
      </rPr>
      <t xml:space="preserve"> e já foi partilhada com a equipa de Tecnologia a proposta de solução. Está agendada uma reunião no dia 1 de agosto para discussão de proposta com Tecnologia, CDO e área de Negócio.</t>
    </r>
  </si>
  <si>
    <r>
      <t xml:space="preserve">1. Foi realizada uma reunião de esclarecimento/dúvida relativamente à especificação as-is e to-be dos campos e desagregação da chave do contrato com as equipas envolvidas. Não obstante, está agendada uma reunião de seguimento para decisão (1 de agosto).
2. Foram entregues 2 campos por IT para teste sobre correção de incidência no dia 8 de julho.
</t>
    </r>
    <r>
      <rPr>
        <b/>
        <sz val="12"/>
        <color theme="1"/>
        <rFont val="Santander Text"/>
        <family val="2"/>
      </rPr>
      <t xml:space="preserve">
Este bloco encontra-se em stand by pela equipa de testes.</t>
    </r>
  </si>
  <si>
    <t/>
  </si>
  <si>
    <t>08/07/2024: Entrega de campo para testes</t>
  </si>
  <si>
    <t>22/07/2024: Entrega de campo para testes</t>
  </si>
  <si>
    <t>26/07/2024: Conclusão de testes ao universo MUG e GP. Adjudicados fora de âmbito deste projeto.</t>
  </si>
  <si>
    <t>18/07/2024: Em validação com Corporação sobre a possibilidade de valores zero (contra especificação)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</si>
</sst>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color rgb="FFC00000"/>
      <name val="Santander Text"/>
      <family val="2"/>
    </font>
    <font>
      <sz val="11"/>
      <name val="Santander Text"/>
      <family val="2"/>
    </font>
    <font>
      <sz val="11"/>
      <color rgb="FF00B050"/>
      <name val="Santander Text"/>
      <family val="2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1"/>
      <color rgb="FFFF0000"/>
      <name val="Santander Headline"/>
      <family val="2"/>
    </font>
    <font>
      <b/>
      <sz val="11"/>
      <color rgb="FFC00000"/>
      <name val="Santander Text"/>
      <family val="2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sz val="11"/>
      <color theme="1"/>
      <name val="Santander Text"/>
      <family val="2"/>
    </font>
    <font>
      <sz val="11"/>
      <color theme="1"/>
      <name val="Santander Headline"/>
      <family val="2"/>
    </font>
    <font>
      <b/>
      <sz val="11"/>
      <name val="Santander Headline"/>
      <family val="2"/>
    </font>
    <font>
      <b/>
      <sz val="11"/>
      <name val="Santander Text"/>
      <family val="2"/>
    </font>
    <font>
      <sz val="10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b/>
      <sz val="12"/>
      <color theme="1"/>
      <name val="Aptos Narrow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2"/>
      <color theme="1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b/>
      <i/>
      <sz val="12"/>
      <color theme="1"/>
      <name val="Santander Text"/>
      <family val="2"/>
    </font>
    <font>
      <i/>
      <sz val="12"/>
      <color theme="1"/>
      <name val="Santander Text"/>
      <family val="2"/>
    </font>
    <font>
      <sz val="11"/>
      <color theme="3"/>
      <name val="Santander Text"/>
      <family val="2"/>
    </font>
    <font>
      <i/>
      <sz val="11"/>
      <color theme="3"/>
      <name val="Santander Text"/>
      <family val="2"/>
    </font>
    <font>
      <u/>
      <sz val="11"/>
      <color theme="3"/>
      <name val="Santander Text"/>
      <family val="2"/>
    </font>
    <font>
      <b/>
      <i/>
      <sz val="11"/>
      <name val="Santander Text"/>
      <family val="2"/>
    </font>
    <font>
      <i/>
      <sz val="10"/>
      <color theme="3"/>
      <name val="Santander Text"/>
      <family val="2"/>
    </font>
    <font>
      <sz val="12"/>
      <name val="Santander Text"/>
      <family val="2"/>
    </font>
    <font>
      <b/>
      <sz val="12"/>
      <name val="Santander Text"/>
      <family val="2"/>
    </font>
    <font>
      <b/>
      <sz val="14"/>
      <color theme="4"/>
      <name val="Santander Text"/>
      <family val="2"/>
    </font>
    <font>
      <b/>
      <sz val="11"/>
      <color theme="4"/>
      <name val="Santander Text"/>
      <family val="2"/>
    </font>
    <font>
      <b/>
      <sz val="11"/>
      <color theme="7"/>
      <name val="Santander Text"/>
      <family val="2"/>
    </font>
    <font>
      <i/>
      <sz val="11"/>
      <color theme="4" tint="-0.249977111117893"/>
      <name val="Santander Tex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FF0000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7" fillId="0" borderId="0"/>
  </cellStyleXfs>
  <cellXfs count="11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wrapText="1"/>
    </xf>
    <xf numFmtId="0" fontId="0" fillId="5" borderId="0" xfId="0" applyFill="1"/>
    <xf numFmtId="0" fontId="6" fillId="0" borderId="0" xfId="0" applyFont="1"/>
    <xf numFmtId="0" fontId="8" fillId="0" borderId="0" xfId="0" applyFont="1"/>
    <xf numFmtId="10" fontId="5" fillId="0" borderId="1" xfId="1" applyNumberFormat="1" applyFont="1" applyBorder="1" applyAlignment="1">
      <alignment vertical="center"/>
    </xf>
    <xf numFmtId="10" fontId="3" fillId="0" borderId="1" xfId="1" applyNumberFormat="1" applyFont="1" applyBorder="1" applyAlignment="1">
      <alignment horizontal="left"/>
    </xf>
    <xf numFmtId="10" fontId="2" fillId="0" borderId="1" xfId="1" applyNumberFormat="1" applyFont="1" applyBorder="1" applyAlignment="1">
      <alignment vertical="center"/>
    </xf>
    <xf numFmtId="10" fontId="9" fillId="0" borderId="1" xfId="1" applyNumberFormat="1" applyFont="1" applyBorder="1" applyAlignment="1">
      <alignment horizontal="left"/>
    </xf>
    <xf numFmtId="0" fontId="2" fillId="0" borderId="0" xfId="0" applyFont="1"/>
    <xf numFmtId="0" fontId="2" fillId="0" borderId="0" xfId="0" quotePrefix="1" applyFont="1" applyAlignment="1">
      <alignment wrapText="1"/>
    </xf>
    <xf numFmtId="0" fontId="2" fillId="6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0" fillId="0" borderId="0" xfId="0" applyFont="1"/>
    <xf numFmtId="0" fontId="0" fillId="4" borderId="0" xfId="0" applyFill="1"/>
    <xf numFmtId="0" fontId="2" fillId="3" borderId="2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3" fillId="0" borderId="0" xfId="0" applyFont="1"/>
    <xf numFmtId="0" fontId="14" fillId="2" borderId="1" xfId="0" applyFont="1" applyFill="1" applyBorder="1" applyAlignment="1">
      <alignment horizontal="left"/>
    </xf>
    <xf numFmtId="0" fontId="11" fillId="4" borderId="6" xfId="0" applyFont="1" applyFill="1" applyBorder="1" applyAlignment="1">
      <alignment horizontal="left" vertical="center"/>
    </xf>
    <xf numFmtId="9" fontId="0" fillId="0" borderId="0" xfId="0" applyNumberFormat="1"/>
    <xf numFmtId="0" fontId="2" fillId="10" borderId="0" xfId="0" applyFont="1" applyFill="1"/>
    <xf numFmtId="0" fontId="2" fillId="5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7" fillId="5" borderId="0" xfId="0" applyFont="1" applyFill="1"/>
    <xf numFmtId="0" fontId="12" fillId="0" borderId="0" xfId="0" applyFont="1"/>
    <xf numFmtId="0" fontId="18" fillId="0" borderId="0" xfId="0" applyFont="1"/>
    <xf numFmtId="0" fontId="20" fillId="5" borderId="0" xfId="0" applyFont="1" applyFill="1"/>
    <xf numFmtId="0" fontId="21" fillId="0" borderId="0" xfId="0" applyFont="1"/>
    <xf numFmtId="0" fontId="12" fillId="0" borderId="3" xfId="0" applyFont="1" applyBorder="1"/>
    <xf numFmtId="0" fontId="2" fillId="0" borderId="3" xfId="0" applyFont="1" applyBorder="1"/>
    <xf numFmtId="16" fontId="12" fillId="0" borderId="3" xfId="0" applyNumberFormat="1" applyFont="1" applyBorder="1"/>
    <xf numFmtId="0" fontId="19" fillId="0" borderId="3" xfId="0" applyFont="1" applyBorder="1" applyAlignment="1">
      <alignment horizontal="right" indent="1"/>
    </xf>
    <xf numFmtId="0" fontId="11" fillId="4" borderId="15" xfId="0" applyFont="1" applyFill="1" applyBorder="1" applyAlignment="1">
      <alignment horizontal="left" vertical="center"/>
    </xf>
    <xf numFmtId="0" fontId="16" fillId="0" borderId="15" xfId="0" applyFont="1" applyBorder="1" applyAlignment="1">
      <alignment vertic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/>
    <xf numFmtId="0" fontId="23" fillId="0" borderId="15" xfId="0" applyFont="1" applyBorder="1" applyAlignment="1">
      <alignment horizontal="left" vertical="center" readingOrder="1"/>
    </xf>
    <xf numFmtId="0" fontId="22" fillId="11" borderId="15" xfId="0" applyFont="1" applyFill="1" applyBorder="1" applyAlignment="1">
      <alignment vertical="center"/>
    </xf>
    <xf numFmtId="0" fontId="17" fillId="0" borderId="0" xfId="0" applyFont="1"/>
    <xf numFmtId="0" fontId="2" fillId="0" borderId="16" xfId="0" applyFont="1" applyBorder="1"/>
    <xf numFmtId="0" fontId="16" fillId="9" borderId="15" xfId="0" applyFont="1" applyFill="1" applyBorder="1"/>
    <xf numFmtId="0" fontId="22" fillId="11" borderId="6" xfId="0" applyFont="1" applyFill="1" applyBorder="1" applyAlignment="1">
      <alignment vertical="center"/>
    </xf>
    <xf numFmtId="0" fontId="11" fillId="4" borderId="10" xfId="0" applyFont="1" applyFill="1" applyBorder="1" applyAlignment="1">
      <alignment horizontal="left" vertical="center"/>
    </xf>
    <xf numFmtId="0" fontId="16" fillId="0" borderId="5" xfId="0" applyFont="1" applyBorder="1"/>
    <xf numFmtId="0" fontId="16" fillId="7" borderId="5" xfId="0" applyFont="1" applyFill="1" applyBorder="1"/>
    <xf numFmtId="0" fontId="16" fillId="8" borderId="5" xfId="0" applyFont="1" applyFill="1" applyBorder="1"/>
    <xf numFmtId="0" fontId="22" fillId="11" borderId="9" xfId="0" applyFont="1" applyFill="1" applyBorder="1" applyAlignment="1">
      <alignment vertical="center"/>
    </xf>
    <xf numFmtId="0" fontId="22" fillId="11" borderId="17" xfId="0" applyFont="1" applyFill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16" fillId="0" borderId="17" xfId="0" applyFont="1" applyBorder="1" applyAlignment="1">
      <alignment horizontal="left" vertical="center"/>
    </xf>
    <xf numFmtId="0" fontId="16" fillId="0" borderId="17" xfId="0" applyFont="1" applyBorder="1"/>
    <xf numFmtId="0" fontId="16" fillId="0" borderId="7" xfId="0" applyFont="1" applyBorder="1"/>
    <xf numFmtId="0" fontId="33" fillId="0" borderId="0" xfId="0" applyFont="1"/>
    <xf numFmtId="0" fontId="33" fillId="0" borderId="0" xfId="0" quotePrefix="1" applyFont="1"/>
    <xf numFmtId="0" fontId="11" fillId="4" borderId="0" xfId="0" applyFont="1" applyFill="1" applyAlignment="1">
      <alignment horizontal="left" vertical="center"/>
    </xf>
    <xf numFmtId="14" fontId="16" fillId="0" borderId="15" xfId="0" applyNumberFormat="1" applyFont="1" applyBorder="1"/>
    <xf numFmtId="0" fontId="26" fillId="0" borderId="7" xfId="0" applyFont="1" applyBorder="1" applyAlignment="1">
      <alignment horizontal="left" vertical="center" wrapText="1" indent="1"/>
    </xf>
    <xf numFmtId="0" fontId="26" fillId="0" borderId="8" xfId="0" applyFont="1" applyBorder="1" applyAlignment="1">
      <alignment horizontal="left" vertical="center" wrapText="1" indent="1"/>
    </xf>
    <xf numFmtId="0" fontId="26" fillId="0" borderId="9" xfId="0" applyFont="1" applyBorder="1" applyAlignment="1">
      <alignment horizontal="left" vertical="center" wrapText="1" indent="1"/>
    </xf>
    <xf numFmtId="0" fontId="26" fillId="0" borderId="10" xfId="0" applyFont="1" applyBorder="1" applyAlignment="1">
      <alignment horizontal="left" vertical="center" wrapText="1" indent="1"/>
    </xf>
    <xf numFmtId="0" fontId="26" fillId="0" borderId="0" xfId="0" applyFont="1" applyAlignment="1">
      <alignment horizontal="left" vertical="center" wrapText="1" indent="1"/>
    </xf>
    <xf numFmtId="0" fontId="26" fillId="0" borderId="11" xfId="0" applyFont="1" applyBorder="1" applyAlignment="1">
      <alignment horizontal="left" vertical="center" wrapText="1" indent="1"/>
    </xf>
    <xf numFmtId="0" fontId="26" fillId="0" borderId="12" xfId="0" applyFont="1" applyBorder="1" applyAlignment="1">
      <alignment horizontal="left" vertical="center" wrapText="1" indent="1"/>
    </xf>
    <xf numFmtId="0" fontId="26" fillId="0" borderId="13" xfId="0" applyFont="1" applyBorder="1" applyAlignment="1">
      <alignment horizontal="left" vertical="center" wrapText="1" indent="1"/>
    </xf>
    <xf numFmtId="0" fontId="26" fillId="0" borderId="14" xfId="0" applyFont="1" applyBorder="1" applyAlignment="1">
      <alignment horizontal="left" vertical="center" wrapText="1" indent="1"/>
    </xf>
    <xf numFmtId="0" fontId="2" fillId="9" borderId="7" xfId="0" applyFont="1" applyFill="1" applyBorder="1" applyAlignment="1">
      <alignment horizontal="left" vertical="top" wrapText="1" indent="1"/>
    </xf>
    <xf numFmtId="0" fontId="2" fillId="9" borderId="8" xfId="0" applyFont="1" applyFill="1" applyBorder="1" applyAlignment="1">
      <alignment horizontal="left" vertical="top" indent="1"/>
    </xf>
    <xf numFmtId="0" fontId="2" fillId="9" borderId="9" xfId="0" applyFont="1" applyFill="1" applyBorder="1" applyAlignment="1">
      <alignment horizontal="left" vertical="top" indent="1"/>
    </xf>
    <xf numFmtId="0" fontId="2" fillId="9" borderId="10" xfId="0" applyFont="1" applyFill="1" applyBorder="1" applyAlignment="1">
      <alignment horizontal="left" vertical="top" indent="1"/>
    </xf>
    <xf numFmtId="0" fontId="2" fillId="9" borderId="0" xfId="0" applyFont="1" applyFill="1" applyAlignment="1">
      <alignment horizontal="left" vertical="top" indent="1"/>
    </xf>
    <xf numFmtId="0" fontId="2" fillId="9" borderId="11" xfId="0" applyFont="1" applyFill="1" applyBorder="1" applyAlignment="1">
      <alignment horizontal="left" vertical="top" indent="1"/>
    </xf>
    <xf numFmtId="0" fontId="2" fillId="9" borderId="12" xfId="0" applyFont="1" applyFill="1" applyBorder="1" applyAlignment="1">
      <alignment horizontal="left" vertical="top" indent="1"/>
    </xf>
    <xf numFmtId="0" fontId="2" fillId="9" borderId="13" xfId="0" applyFont="1" applyFill="1" applyBorder="1" applyAlignment="1">
      <alignment horizontal="left" vertical="top" indent="1"/>
    </xf>
    <xf numFmtId="0" fontId="2" fillId="9" borderId="14" xfId="0" applyFont="1" applyFill="1" applyBorder="1" applyAlignment="1">
      <alignment horizontal="left" vertical="top" indent="1"/>
    </xf>
    <xf numFmtId="0" fontId="29" fillId="9" borderId="7" xfId="0" applyFont="1" applyFill="1" applyBorder="1" applyAlignment="1">
      <alignment horizontal="left" vertical="center" wrapText="1" indent="1"/>
    </xf>
    <xf numFmtId="0" fontId="29" fillId="9" borderId="8" xfId="0" applyFont="1" applyFill="1" applyBorder="1" applyAlignment="1">
      <alignment horizontal="left" vertical="center" indent="1"/>
    </xf>
    <xf numFmtId="0" fontId="29" fillId="9" borderId="9" xfId="0" applyFont="1" applyFill="1" applyBorder="1" applyAlignment="1">
      <alignment horizontal="left" vertical="center" indent="1"/>
    </xf>
    <xf numFmtId="0" fontId="29" fillId="9" borderId="10" xfId="0" applyFont="1" applyFill="1" applyBorder="1" applyAlignment="1">
      <alignment horizontal="left" vertical="center" indent="1"/>
    </xf>
    <xf numFmtId="0" fontId="29" fillId="9" borderId="0" xfId="0" applyFont="1" applyFill="1" applyAlignment="1">
      <alignment horizontal="left" vertical="center" indent="1"/>
    </xf>
    <xf numFmtId="0" fontId="29" fillId="9" borderId="11" xfId="0" applyFont="1" applyFill="1" applyBorder="1" applyAlignment="1">
      <alignment horizontal="left" vertical="center" indent="1"/>
    </xf>
    <xf numFmtId="0" fontId="29" fillId="9" borderId="12" xfId="0" applyFont="1" applyFill="1" applyBorder="1" applyAlignment="1">
      <alignment horizontal="left" vertical="center" indent="1"/>
    </xf>
    <xf numFmtId="0" fontId="29" fillId="9" borderId="13" xfId="0" applyFont="1" applyFill="1" applyBorder="1" applyAlignment="1">
      <alignment horizontal="left" vertical="center" indent="1"/>
    </xf>
    <xf numFmtId="0" fontId="29" fillId="9" borderId="14" xfId="0" applyFont="1" applyFill="1" applyBorder="1" applyAlignment="1">
      <alignment horizontal="left" vertical="center" indent="1"/>
    </xf>
    <xf numFmtId="0" fontId="2" fillId="9" borderId="7" xfId="0" applyFont="1" applyFill="1" applyBorder="1" applyAlignment="1">
      <alignment horizontal="left" vertical="center" wrapText="1" indent="1"/>
    </xf>
    <xf numFmtId="0" fontId="2" fillId="9" borderId="8" xfId="0" applyFont="1" applyFill="1" applyBorder="1" applyAlignment="1">
      <alignment horizontal="left" vertical="center" indent="1"/>
    </xf>
    <xf numFmtId="0" fontId="2" fillId="9" borderId="9" xfId="0" applyFont="1" applyFill="1" applyBorder="1" applyAlignment="1">
      <alignment horizontal="left" vertical="center" indent="1"/>
    </xf>
    <xf numFmtId="0" fontId="2" fillId="9" borderId="10" xfId="0" applyFont="1" applyFill="1" applyBorder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2" fillId="9" borderId="11" xfId="0" applyFont="1" applyFill="1" applyBorder="1" applyAlignment="1">
      <alignment horizontal="left" vertical="center" indent="1"/>
    </xf>
    <xf numFmtId="0" fontId="2" fillId="9" borderId="12" xfId="0" applyFont="1" applyFill="1" applyBorder="1" applyAlignment="1">
      <alignment horizontal="left" vertical="center" indent="1"/>
    </xf>
    <xf numFmtId="0" fontId="2" fillId="9" borderId="13" xfId="0" applyFont="1" applyFill="1" applyBorder="1" applyAlignment="1">
      <alignment horizontal="left" vertical="center" indent="1"/>
    </xf>
    <xf numFmtId="0" fontId="2" fillId="9" borderId="14" xfId="0" applyFont="1" applyFill="1" applyBorder="1" applyAlignment="1">
      <alignment horizontal="left" vertical="center" indent="1"/>
    </xf>
    <xf numFmtId="0" fontId="25" fillId="0" borderId="0" xfId="0" applyFont="1" applyAlignment="1">
      <alignment horizontal="center"/>
    </xf>
    <xf numFmtId="0" fontId="4" fillId="9" borderId="7" xfId="0" applyFont="1" applyFill="1" applyBorder="1" applyAlignment="1">
      <alignment horizontal="left" vertical="center" wrapText="1" indent="1"/>
    </xf>
    <xf numFmtId="0" fontId="4" fillId="9" borderId="8" xfId="0" applyFont="1" applyFill="1" applyBorder="1" applyAlignment="1">
      <alignment horizontal="left" vertical="center" wrapText="1" indent="1"/>
    </xf>
    <xf numFmtId="0" fontId="4" fillId="9" borderId="9" xfId="0" applyFont="1" applyFill="1" applyBorder="1" applyAlignment="1">
      <alignment horizontal="left" vertical="center" wrapText="1" indent="1"/>
    </xf>
    <xf numFmtId="0" fontId="4" fillId="9" borderId="10" xfId="0" applyFont="1" applyFill="1" applyBorder="1" applyAlignment="1">
      <alignment horizontal="left" vertical="center" wrapText="1" indent="1"/>
    </xf>
    <xf numFmtId="0" fontId="4" fillId="9" borderId="0" xfId="0" applyFont="1" applyFill="1" applyAlignment="1">
      <alignment horizontal="left" vertical="center" wrapText="1" indent="1"/>
    </xf>
    <xf numFmtId="0" fontId="4" fillId="9" borderId="11" xfId="0" applyFont="1" applyFill="1" applyBorder="1" applyAlignment="1">
      <alignment horizontal="left" vertical="center" wrapText="1" indent="1"/>
    </xf>
    <xf numFmtId="0" fontId="4" fillId="9" borderId="12" xfId="0" applyFont="1" applyFill="1" applyBorder="1" applyAlignment="1">
      <alignment horizontal="left" vertical="center" wrapText="1" indent="1"/>
    </xf>
    <xf numFmtId="0" fontId="4" fillId="9" borderId="13" xfId="0" applyFont="1" applyFill="1" applyBorder="1" applyAlignment="1">
      <alignment horizontal="left" vertical="center" wrapText="1" indent="1"/>
    </xf>
    <xf numFmtId="0" fontId="4" fillId="9" borderId="14" xfId="0" applyFont="1" applyFill="1" applyBorder="1" applyAlignment="1">
      <alignment horizontal="left" vertical="center" wrapText="1" indent="1"/>
    </xf>
    <xf numFmtId="0" fontId="38" fillId="0" borderId="0" xfId="0" applyFont="1"/>
    <xf numFmtId="0" fontId="12" fillId="0" borderId="0" xfId="0" applyFont="1" applyAlignment="1">
      <alignment horizontal="right"/>
    </xf>
    <xf numFmtId="0" fontId="39" fillId="0" borderId="0" xfId="0" applyFont="1"/>
    <xf numFmtId="0" fontId="0" fillId="0" borderId="0" xfId="0" applyNumberFormat="1"/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7">
    <dxf>
      <font>
        <b/>
        <i val="0"/>
        <color theme="9"/>
      </font>
      <fill>
        <patternFill>
          <bgColor theme="9" tint="0.79998168889431442"/>
        </patternFill>
      </fill>
    </dxf>
    <dxf>
      <font>
        <b/>
        <i val="0"/>
        <color theme="7" tint="-0.24994659260841701"/>
      </font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theme="5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5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rgb="FFFF00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10" Type="http://schemas.openxmlformats.org/officeDocument/2006/relationships/pivotCacheDefinition" Target="pivotCache/pivotCacheDefinition5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3_20240726.xlsx]Aux - Pivots2!PivotTable5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7.0480792076460561E-2"/>
              <c:y val="-0.126956282879982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2.2025247523894006E-2"/>
              <c:y val="-0.137995959652154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694857811702856"/>
          <c:y val="8.4449969472634889E-2"/>
          <c:w val="0.69493044540795113"/>
          <c:h val="0.86402554187693381"/>
        </c:manualLayout>
      </c:layout>
      <c:doughnutChart>
        <c:varyColors val="1"/>
        <c:ser>
          <c:idx val="0"/>
          <c:order val="0"/>
          <c:tx>
            <c:strRef>
              <c:f>'Aux - Pivots2'!$C$27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D888-4927-8E23-39DAD6DD6CF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88-4927-8E23-39DAD6DD6CF0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D888-4927-8E23-39DAD6DD6CF0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888-4927-8E23-39DAD6DD6C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88-4927-8E23-39DAD6DD6C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- Pivots2'!$B$28:$B$32</c:f>
              <c:strCache>
                <c:ptCount val="4"/>
                <c:pt idx="0">
                  <c:v>0. Cancelado</c:v>
                </c:pt>
                <c:pt idx="1">
                  <c:v>1. Concluído</c:v>
                </c:pt>
                <c:pt idx="2">
                  <c:v>2. Em Teste</c:v>
                </c:pt>
                <c:pt idx="3">
                  <c:v>4. Validação EF</c:v>
                </c:pt>
              </c:strCache>
            </c:strRef>
          </c:cat>
          <c:val>
            <c:numRef>
              <c:f>'Aux - Pivots2'!$C$28:$C$32</c:f>
              <c:numCache>
                <c:formatCode>General</c:formatCode>
                <c:ptCount val="4"/>
                <c:pt idx="0">
                  <c:v>8</c:v>
                </c:pt>
                <c:pt idx="1">
                  <c:v>50</c:v>
                </c:pt>
                <c:pt idx="2">
                  <c:v>90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88-4927-8E23-39DAD6DD6CF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3_20240726.xlsx]Aux - Pivots2!PivotTable7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8670629072327286E-1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108411956254822"/>
          <c:y val="3.8362511176479631E-2"/>
          <c:w val="0.56891588043745178"/>
          <c:h val="0.923274977647040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'Aux - Pivots2'!$C$48:$C$49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Pivots2'!$C$50:$C$63</c:f>
              <c:numCache>
                <c:formatCode>General</c:formatCode>
                <c:ptCount val="13"/>
                <c:pt idx="7">
                  <c:v>3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0-4B61-B7F6-CFC53BD2568F}"/>
            </c:ext>
          </c:extLst>
        </c:ser>
        <c:ser>
          <c:idx val="1"/>
          <c:order val="1"/>
          <c:tx>
            <c:strRef>
              <c:f>'Aux - Pivots2'!$D$48:$D$49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Pivots2'!$D$50:$D$63</c:f>
              <c:numCache>
                <c:formatCode>General</c:formatCode>
                <c:ptCount val="13"/>
                <c:pt idx="0">
                  <c:v>18</c:v>
                </c:pt>
                <c:pt idx="1">
                  <c:v>1</c:v>
                </c:pt>
                <c:pt idx="2">
                  <c:v>8</c:v>
                </c:pt>
                <c:pt idx="3">
                  <c:v>2</c:v>
                </c:pt>
                <c:pt idx="4">
                  <c:v>6</c:v>
                </c:pt>
                <c:pt idx="5">
                  <c:v>6</c:v>
                </c:pt>
                <c:pt idx="9">
                  <c:v>15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D0-4B61-B7F6-CFC53BD2568F}"/>
            </c:ext>
          </c:extLst>
        </c:ser>
        <c:ser>
          <c:idx val="2"/>
          <c:order val="2"/>
          <c:tx>
            <c:strRef>
              <c:f>'Aux - Pivots2'!$E$48:$E$49</c:f>
              <c:strCache>
                <c:ptCount val="1"/>
                <c:pt idx="0">
                  <c:v>2. Em Teste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Pivots2'!$E$50:$E$63</c:f>
              <c:numCache>
                <c:formatCode>General</c:formatCode>
                <c:ptCount val="13"/>
                <c:pt idx="4">
                  <c:v>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D0-4B61-B7F6-CFC53BD2568F}"/>
            </c:ext>
          </c:extLst>
        </c:ser>
        <c:ser>
          <c:idx val="3"/>
          <c:order val="3"/>
          <c:tx>
            <c:strRef>
              <c:f>'Aux - Pivots2'!$F$48:$F$49</c:f>
              <c:strCache>
                <c:ptCount val="1"/>
                <c:pt idx="0">
                  <c:v>3. Pendente de outros desenvolvimentos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Pivots2'!$F$50:$F$63</c:f>
              <c:numCache>
                <c:formatCode>General</c:formatCode>
                <c:ptCount val="13"/>
                <c:pt idx="2">
                  <c:v>7</c:v>
                </c:pt>
                <c:pt idx="3">
                  <c:v>30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D0-4B61-B7F6-CFC53BD2568F}"/>
            </c:ext>
          </c:extLst>
        </c:ser>
        <c:ser>
          <c:idx val="4"/>
          <c:order val="4"/>
          <c:tx>
            <c:strRef>
              <c:f>'Aux - Pivots2'!$G$48:$G$49</c:f>
              <c:strCache>
                <c:ptCount val="1"/>
                <c:pt idx="0">
                  <c:v>4. Validação EF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Pivots2'!$G$50:$G$63</c:f>
              <c:numCache>
                <c:formatCode>General</c:formatCode>
                <c:ptCount val="13"/>
                <c:pt idx="0">
                  <c:v>10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D0-4B61-B7F6-CFC53BD2568F}"/>
            </c:ext>
          </c:extLst>
        </c:ser>
        <c:ser>
          <c:idx val="5"/>
          <c:order val="5"/>
          <c:tx>
            <c:strRef>
              <c:f>'Aux - Pivots2'!$H$48:$H$49</c:f>
              <c:strCache>
                <c:ptCount val="1"/>
                <c:pt idx="0">
                  <c:v>5. Em Correção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Pivots2'!$H$50:$H$63</c:f>
              <c:numCache>
                <c:formatCode>General</c:formatCode>
                <c:ptCount val="13"/>
                <c:pt idx="6">
                  <c:v>40</c:v>
                </c:pt>
                <c:pt idx="7">
                  <c:v>6</c:v>
                </c:pt>
                <c:pt idx="8">
                  <c:v>17</c:v>
                </c:pt>
                <c:pt idx="10">
                  <c:v>14</c:v>
                </c:pt>
                <c:pt idx="1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D0-4B61-B7F6-CFC53BD2568F}"/>
            </c:ext>
          </c:extLst>
        </c:ser>
        <c:ser>
          <c:idx val="6"/>
          <c:order val="6"/>
          <c:tx>
            <c:strRef>
              <c:f>'Aux - Pivots2'!$I$48:$I$49</c:f>
              <c:strCache>
                <c:ptCount val="1"/>
                <c:pt idx="0">
                  <c:v>7.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55D0-4B61-B7F6-CFC53BD2568F}"/>
              </c:ext>
            </c:extLst>
          </c:dPt>
          <c:dLbls>
            <c:dLbl>
              <c:idx val="1"/>
              <c:layout>
                <c:manualLayout>
                  <c:x val="7.8670629072327286E-17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D0-4B61-B7F6-CFC53BD256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Pivots2'!$B$50:$B$63</c:f>
              <c:strCache>
                <c:ptCount val="13"/>
                <c:pt idx="0">
                  <c:v>modesg_param_sfcs_taxon_europeia</c:v>
                </c:pt>
                <c:pt idx="1">
                  <c:v>modesg_out_sfcs_taxon_europeia</c:v>
                </c:pt>
                <c:pt idx="2">
                  <c:v>modesg_out_emss_vcls</c:v>
                </c:pt>
                <c:pt idx="3">
                  <c:v>modesg_out_empr_info_nfin</c:v>
                </c:pt>
                <c:pt idx="4">
                  <c:v>modesg_out_bens_imoveis</c:v>
                </c:pt>
                <c:pt idx="5">
                  <c:v>modesg_inp_risco_fisico</c:v>
                </c:pt>
                <c:pt idx="6">
                  <c:v>modesg_inp_nfrd_alinhamento_tax</c:v>
                </c:pt>
                <c:pt idx="7">
                  <c:v>modesg_inp_km_medios_emss_vcls</c:v>
                </c:pt>
                <c:pt idx="8">
                  <c:v>modesg_inp_emss_vcls</c:v>
                </c:pt>
                <c:pt idx="9">
                  <c:v>modesg_inp_emss_scib</c:v>
                </c:pt>
                <c:pt idx="10">
                  <c:v>modesg_inp_emss_nace</c:v>
                </c:pt>
                <c:pt idx="11">
                  <c:v>modesg_inp_emss_bens_imoveis</c:v>
                </c:pt>
                <c:pt idx="12">
                  <c:v>modesg_inp_empr_excl_paris</c:v>
                </c:pt>
              </c:strCache>
            </c:strRef>
          </c:cat>
          <c:val>
            <c:numRef>
              <c:f>'Aux - Pivots2'!$I$50:$I$63</c:f>
              <c:numCache>
                <c:formatCode>General</c:formatCode>
                <c:ptCount val="13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D0-4B61-B7F6-CFC53BD256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2032166928"/>
        <c:axId val="2032168368"/>
      </c:barChart>
      <c:catAx>
        <c:axId val="203216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2032168368"/>
        <c:crosses val="autoZero"/>
        <c:auto val="1"/>
        <c:lblAlgn val="ctr"/>
        <c:lblOffset val="100"/>
        <c:noMultiLvlLbl val="0"/>
      </c:catAx>
      <c:valAx>
        <c:axId val="20321683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3216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3_20240726.xlsx]Aux - Pivots2!PivotTable8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1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>
            <a:solidFill>
              <a:schemeClr val="bg1"/>
            </a:solidFill>
          </a:ln>
          <a:effectLst/>
        </c:spPr>
      </c:pivotFmt>
      <c:pivotFmt>
        <c:idx val="13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0"/>
              <c:y val="-0.139082058414464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7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19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20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21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1.3677872110818766E-2"/>
              <c:y val="-0.129430860911213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- Pivots2'!$C$72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5D4-4EB6-B42F-AB8E0C055C1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5D4-4EB6-B42F-AB8E0C055C1D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5D4-4EB6-B42F-AB8E0C055C1D}"/>
              </c:ext>
            </c:extLst>
          </c:dPt>
          <c:dPt>
            <c:idx val="3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5D4-4EB6-B42F-AB8E0C055C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8-496C-AAD9-6B132DEF52B5}"/>
              </c:ext>
            </c:extLst>
          </c:dPt>
          <c:dPt>
            <c:idx val="5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75D4-4EB6-B42F-AB8E0C055C1D}"/>
              </c:ext>
            </c:extLst>
          </c:dPt>
          <c:dPt>
            <c:idx val="6"/>
            <c:bubble3D val="0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5D4-4EB6-B42F-AB8E0C055C1D}"/>
              </c:ext>
            </c:extLst>
          </c:dPt>
          <c:dLbls>
            <c:dLbl>
              <c:idx val="6"/>
              <c:layout>
                <c:manualLayout>
                  <c:x val="-1.3677872110818766E-2"/>
                  <c:y val="-0.1294308609112136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5D4-4EB6-B42F-AB8E0C055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- Pivots2'!$B$73:$B$80</c:f>
              <c:strCache>
                <c:ptCount val="7"/>
                <c:pt idx="0">
                  <c:v>0. Cancelado</c:v>
                </c:pt>
                <c:pt idx="1">
                  <c:v>1. Concluído</c:v>
                </c:pt>
                <c:pt idx="2">
                  <c:v>2. Em Teste</c:v>
                </c:pt>
                <c:pt idx="3">
                  <c:v>3. Pendente de outros desenvolvimentos</c:v>
                </c:pt>
                <c:pt idx="4">
                  <c:v>4. Validação EF</c:v>
                </c:pt>
                <c:pt idx="5">
                  <c:v>5. Em Correção</c:v>
                </c:pt>
                <c:pt idx="6">
                  <c:v>7. Por iniciar</c:v>
                </c:pt>
              </c:strCache>
            </c:strRef>
          </c:cat>
          <c:val>
            <c:numRef>
              <c:f>'Aux - Pivots2'!$C$73:$C$80</c:f>
              <c:numCache>
                <c:formatCode>General</c:formatCode>
                <c:ptCount val="7"/>
                <c:pt idx="0">
                  <c:v>10</c:v>
                </c:pt>
                <c:pt idx="1">
                  <c:v>63</c:v>
                </c:pt>
                <c:pt idx="2">
                  <c:v>6</c:v>
                </c:pt>
                <c:pt idx="3">
                  <c:v>45</c:v>
                </c:pt>
                <c:pt idx="4">
                  <c:v>22</c:v>
                </c:pt>
                <c:pt idx="5">
                  <c:v>95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5D4-4EB6-B42F-AB8E0C055C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3_20240726.xlsx]Aux - Pivots2!PivotTable9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225121425396473"/>
          <c:y val="5.0539857569492301E-2"/>
          <c:w val="0.61646152943586985"/>
          <c:h val="0.8989202848610153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'Aux - Pivots2'!$C$94:$C$95</c:f>
              <c:strCache>
                <c:ptCount val="1"/>
                <c:pt idx="0">
                  <c:v>7.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Pivots2'!$B$96:$B$103</c:f>
              <c:strCache>
                <c:ptCount val="7"/>
                <c:pt idx="0">
                  <c:v>lt002_instrument</c:v>
                </c:pt>
                <c:pt idx="1">
                  <c:v>lt003_entity</c:v>
                </c:pt>
                <c:pt idx="2">
                  <c:v>lt004_protection</c:v>
                </c:pt>
                <c:pt idx="3">
                  <c:v>lt005_instr_ent</c:v>
                </c:pt>
                <c:pt idx="4">
                  <c:v>lt006_instr_prot</c:v>
                </c:pt>
                <c:pt idx="5">
                  <c:v>lt825_mthd_usd_instrmnt</c:v>
                </c:pt>
                <c:pt idx="6">
                  <c:v>lt826_esg_sbsctr</c:v>
                </c:pt>
              </c:strCache>
            </c:strRef>
          </c:cat>
          <c:val>
            <c:numRef>
              <c:f>'Aux - Pivots2'!$C$96:$C$103</c:f>
              <c:numCache>
                <c:formatCode>General</c:formatCode>
                <c:ptCount val="7"/>
                <c:pt idx="0">
                  <c:v>34</c:v>
                </c:pt>
                <c:pt idx="1">
                  <c:v>43</c:v>
                </c:pt>
                <c:pt idx="2">
                  <c:v>20</c:v>
                </c:pt>
                <c:pt idx="3">
                  <c:v>5</c:v>
                </c:pt>
                <c:pt idx="4">
                  <c:v>5</c:v>
                </c:pt>
                <c:pt idx="5">
                  <c:v>10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A-41DB-8EF2-A799690B6F5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452047648"/>
        <c:axId val="452048128"/>
      </c:barChart>
      <c:catAx>
        <c:axId val="45204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452048128"/>
        <c:crosses val="autoZero"/>
        <c:auto val="1"/>
        <c:lblAlgn val="ctr"/>
        <c:lblOffset val="100"/>
        <c:noMultiLvlLbl val="0"/>
      </c:catAx>
      <c:valAx>
        <c:axId val="452048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04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0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3_20240726.xlsx]Aux - Pivots2!PivotTable10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4294981636013662E-2"/>
              <c:y val="-5.05747126436781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- Pivots2'!$C$115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14-4E06-98A5-8C9B7A92A5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- Pivots2'!$B$116:$B$117</c:f>
              <c:strCache>
                <c:ptCount val="1"/>
                <c:pt idx="0">
                  <c:v>7. Por iniciar</c:v>
                </c:pt>
              </c:strCache>
            </c:strRef>
          </c:cat>
          <c:val>
            <c:numRef>
              <c:f>'Aux - Pivots2'!$C$116:$C$117</c:f>
              <c:numCache>
                <c:formatCode>General</c:formatCode>
                <c:ptCount val="1"/>
                <c:pt idx="0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C0-4D89-B4A6-C9D366A6C1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3_20240726.xlsx]Aux - Pivots2!PivotTable11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555106387286451E-3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8.016910550693041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999501919625815"/>
          <c:y val="0.18744884404309847"/>
          <c:w val="0.61529552474076299"/>
          <c:h val="0.6251023119138030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'Aux - Pivots2'!$C$135:$C$136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Pivots2'!$B$137:$B$138</c:f>
              <c:strCache>
                <c:ptCount val="1"/>
                <c:pt idx="0">
                  <c:v>lt002_insrmnt</c:v>
                </c:pt>
              </c:strCache>
            </c:strRef>
          </c:cat>
          <c:val>
            <c:numRef>
              <c:f>'Aux - Pivots2'!$C$137:$C$138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8-4088-958E-7F7F56205CD5}"/>
            </c:ext>
          </c:extLst>
        </c:ser>
        <c:ser>
          <c:idx val="1"/>
          <c:order val="1"/>
          <c:tx>
            <c:strRef>
              <c:f>'Aux - Pivots2'!$D$135:$D$136</c:f>
              <c:strCache>
                <c:ptCount val="1"/>
                <c:pt idx="0">
                  <c:v>2. Em Teste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Pivots2'!$B$137:$B$138</c:f>
              <c:strCache>
                <c:ptCount val="1"/>
                <c:pt idx="0">
                  <c:v>lt002_insrmnt</c:v>
                </c:pt>
              </c:strCache>
            </c:strRef>
          </c:cat>
          <c:val>
            <c:numRef>
              <c:f>'Aux - Pivots2'!$D$137:$D$138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68-4088-958E-7F7F56205CD5}"/>
            </c:ext>
          </c:extLst>
        </c:ser>
        <c:ser>
          <c:idx val="2"/>
          <c:order val="2"/>
          <c:tx>
            <c:strRef>
              <c:f>'Aux - Pivots2'!$E$135:$E$136</c:f>
              <c:strCache>
                <c:ptCount val="1"/>
                <c:pt idx="0">
                  <c:v>3. Pendente de outros desenvolvimentos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368-4088-958E-7F7F56205CD5}"/>
              </c:ext>
            </c:extLst>
          </c:dPt>
          <c:dLbls>
            <c:dLbl>
              <c:idx val="0"/>
              <c:layout>
                <c:manualLayout>
                  <c:x val="-2.2555106387286451E-3"/>
                  <c:y val="-8.0169105506930417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68-4088-958E-7F7F56205C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Pivots2'!$B$137:$B$138</c:f>
              <c:strCache>
                <c:ptCount val="1"/>
                <c:pt idx="0">
                  <c:v>lt002_insrmnt</c:v>
                </c:pt>
              </c:strCache>
            </c:strRef>
          </c:cat>
          <c:val>
            <c:numRef>
              <c:f>'Aux - Pivots2'!$E$137:$E$138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68-4088-958E-7F7F56205C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990292928"/>
        <c:axId val="990291008"/>
      </c:barChart>
      <c:catAx>
        <c:axId val="99029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90291008"/>
        <c:crosses val="autoZero"/>
        <c:auto val="1"/>
        <c:lblAlgn val="ctr"/>
        <c:lblOffset val="100"/>
        <c:noMultiLvlLbl val="0"/>
      </c:catAx>
      <c:valAx>
        <c:axId val="9902910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9029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3_20240726.xlsx]Aux - Pivots2!PivotTable12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solidFill>
              <a:schemeClr val="bg1"/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  <c:pivotFmt>
        <c:idx val="9"/>
        <c:spPr>
          <a:solidFill>
            <a:schemeClr val="accent5">
              <a:lumMod val="75000"/>
            </a:schemeClr>
          </a:solidFill>
          <a:ln>
            <a:solidFill>
              <a:schemeClr val="bg1"/>
            </a:solidFill>
          </a:ln>
          <a:effectLst/>
        </c:spPr>
        <c:dLbl>
          <c:idx val="0"/>
          <c:layout>
            <c:manualLayout>
              <c:x val="-5.3171048991828465E-2"/>
              <c:y val="-0.1276091683596248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- Pivots2'!$C$144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BD-4D10-BAD0-1A4780747A64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D-4D10-BAD0-1A4780747A64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BD-4D10-BAD0-1A4780747A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BD-4D10-BAD0-1A4780747A64}"/>
              </c:ext>
            </c:extLst>
          </c:dPt>
          <c:dLbls>
            <c:dLbl>
              <c:idx val="2"/>
              <c:layout>
                <c:manualLayout>
                  <c:x val="-5.3171048991828465E-2"/>
                  <c:y val="-0.127609168359624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2"/>
                      </a:solidFill>
                      <a:latin typeface="Santander Text" panose="020B0504020201020104" pitchFamily="34" charset="0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BD-4D10-BAD0-1A4780747A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- Pivots2'!$B$145:$B$148</c:f>
              <c:strCache>
                <c:ptCount val="3"/>
                <c:pt idx="0">
                  <c:v>1. Concluído</c:v>
                </c:pt>
                <c:pt idx="1">
                  <c:v>2. Em Teste</c:v>
                </c:pt>
                <c:pt idx="2">
                  <c:v>3. Pendente de outros desenvolvimentos</c:v>
                </c:pt>
              </c:strCache>
            </c:strRef>
          </c:cat>
          <c:val>
            <c:numRef>
              <c:f>'Aux - Pivots2'!$C$145:$C$148</c:f>
              <c:numCache>
                <c:formatCode>General</c:formatCode>
                <c:ptCount val="3"/>
                <c:pt idx="0">
                  <c:v>23</c:v>
                </c:pt>
                <c:pt idx="1">
                  <c:v>26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4BD-4D10-BAD0-1A4780747A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 b="1">
          <a:solidFill>
            <a:schemeClr val="bg1"/>
          </a:solidFill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[PdS - Testes GD Pilar 3_20240726.xlsx]Aux - Pivots2!PivotTable1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-5.88649720970762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'Aux - Pivots2'!$C$9:$C$10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666-4CCE-9846-E24A498DDF73}"/>
              </c:ext>
            </c:extLst>
          </c:dPt>
          <c:dLbls>
            <c:dLbl>
              <c:idx val="4"/>
              <c:layout>
                <c:manualLayout>
                  <c:x val="0"/>
                  <c:y val="-5.886497209707622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66-4CCE-9846-E24A498DDF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Pivots2'!$B$11:$B$17</c:f>
              <c:strCache>
                <c:ptCount val="6"/>
                <c:pt idx="0">
                  <c:v>cd_imv_out_trz_prc_bens_imv</c:v>
                </c:pt>
                <c:pt idx="1">
                  <c:v>cd_imv_out_trz_cred_prc</c:v>
                </c:pt>
                <c:pt idx="2">
                  <c:v>cd_imv_out_prc</c:v>
                </c:pt>
                <c:pt idx="3">
                  <c:v>cd_imv_out_certif</c:v>
                </c:pt>
                <c:pt idx="4">
                  <c:v>cd_imv_out_bens</c:v>
                </c:pt>
                <c:pt idx="5">
                  <c:v>cd_imv_inp_certif_estimativa</c:v>
                </c:pt>
              </c:strCache>
            </c:strRef>
          </c:cat>
          <c:val>
            <c:numRef>
              <c:f>'Aux - Pivots2'!$C$11:$C$17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6-4CCE-9846-E24A498DDF73}"/>
            </c:ext>
          </c:extLst>
        </c:ser>
        <c:ser>
          <c:idx val="1"/>
          <c:order val="1"/>
          <c:tx>
            <c:strRef>
              <c:f>'Aux - Pivots2'!$D$9:$D$10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Pivots2'!$B$11:$B$17</c:f>
              <c:strCache>
                <c:ptCount val="6"/>
                <c:pt idx="0">
                  <c:v>cd_imv_out_trz_prc_bens_imv</c:v>
                </c:pt>
                <c:pt idx="1">
                  <c:v>cd_imv_out_trz_cred_prc</c:v>
                </c:pt>
                <c:pt idx="2">
                  <c:v>cd_imv_out_prc</c:v>
                </c:pt>
                <c:pt idx="3">
                  <c:v>cd_imv_out_certif</c:v>
                </c:pt>
                <c:pt idx="4">
                  <c:v>cd_imv_out_bens</c:v>
                </c:pt>
                <c:pt idx="5">
                  <c:v>cd_imv_inp_certif_estimativa</c:v>
                </c:pt>
              </c:strCache>
            </c:strRef>
          </c:cat>
          <c:val>
            <c:numRef>
              <c:f>'Aux - Pivots2'!$D$11:$D$17</c:f>
              <c:numCache>
                <c:formatCode>General</c:formatCode>
                <c:ptCount val="6"/>
                <c:pt idx="0">
                  <c:v>13</c:v>
                </c:pt>
                <c:pt idx="1">
                  <c:v>7</c:v>
                </c:pt>
                <c:pt idx="2">
                  <c:v>3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66-4CCE-9846-E24A498DDF73}"/>
            </c:ext>
          </c:extLst>
        </c:ser>
        <c:ser>
          <c:idx val="2"/>
          <c:order val="2"/>
          <c:tx>
            <c:strRef>
              <c:f>'Aux - Pivots2'!$E$9:$E$10</c:f>
              <c:strCache>
                <c:ptCount val="1"/>
                <c:pt idx="0">
                  <c:v>2. Em Teste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Pivots2'!$B$11:$B$17</c:f>
              <c:strCache>
                <c:ptCount val="6"/>
                <c:pt idx="0">
                  <c:v>cd_imv_out_trz_prc_bens_imv</c:v>
                </c:pt>
                <c:pt idx="1">
                  <c:v>cd_imv_out_trz_cred_prc</c:v>
                </c:pt>
                <c:pt idx="2">
                  <c:v>cd_imv_out_prc</c:v>
                </c:pt>
                <c:pt idx="3">
                  <c:v>cd_imv_out_certif</c:v>
                </c:pt>
                <c:pt idx="4">
                  <c:v>cd_imv_out_bens</c:v>
                </c:pt>
                <c:pt idx="5">
                  <c:v>cd_imv_inp_certif_estimativa</c:v>
                </c:pt>
              </c:strCache>
            </c:strRef>
          </c:cat>
          <c:val>
            <c:numRef>
              <c:f>'Aux - Pivots2'!$E$11:$E$17</c:f>
              <c:numCache>
                <c:formatCode>General</c:formatCode>
                <c:ptCount val="6"/>
                <c:pt idx="0">
                  <c:v>1</c:v>
                </c:pt>
                <c:pt idx="1">
                  <c:v>10</c:v>
                </c:pt>
                <c:pt idx="2">
                  <c:v>11</c:v>
                </c:pt>
                <c:pt idx="3">
                  <c:v>65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66-4CCE-9846-E24A498DDF73}"/>
            </c:ext>
          </c:extLst>
        </c:ser>
        <c:ser>
          <c:idx val="3"/>
          <c:order val="3"/>
          <c:tx>
            <c:strRef>
              <c:f>'Aux - Pivots2'!$F$9:$F$10</c:f>
              <c:strCache>
                <c:ptCount val="1"/>
                <c:pt idx="0">
                  <c:v>4. Validação EF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'Aux - Pivots2'!$B$11:$B$17</c:f>
              <c:strCache>
                <c:ptCount val="6"/>
                <c:pt idx="0">
                  <c:v>cd_imv_out_trz_prc_bens_imv</c:v>
                </c:pt>
                <c:pt idx="1">
                  <c:v>cd_imv_out_trz_cred_prc</c:v>
                </c:pt>
                <c:pt idx="2">
                  <c:v>cd_imv_out_prc</c:v>
                </c:pt>
                <c:pt idx="3">
                  <c:v>cd_imv_out_certif</c:v>
                </c:pt>
                <c:pt idx="4">
                  <c:v>cd_imv_out_bens</c:v>
                </c:pt>
                <c:pt idx="5">
                  <c:v>cd_imv_inp_certif_estimativa</c:v>
                </c:pt>
              </c:strCache>
            </c:strRef>
          </c:cat>
          <c:val>
            <c:numRef>
              <c:f>'Aux - Pivots2'!$F$11:$F$17</c:f>
              <c:numCache>
                <c:formatCode>General</c:formatCode>
                <c:ptCount val="6"/>
                <c:pt idx="4">
                  <c:v>1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66-4CCE-9846-E24A498DDF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830591535"/>
        <c:axId val="830592495"/>
      </c:barChart>
      <c:catAx>
        <c:axId val="8305915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830592495"/>
        <c:crosses val="autoZero"/>
        <c:auto val="1"/>
        <c:lblAlgn val="ctr"/>
        <c:lblOffset val="100"/>
        <c:noMultiLvlLbl val="0"/>
      </c:catAx>
      <c:valAx>
        <c:axId val="830592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05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Santander Text" panose="020B0504020201020104" pitchFamily="34" charset="0"/>
        </a:defRPr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2.sv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11" Type="http://schemas.openxmlformats.org/officeDocument/2006/relationships/chart" Target="../charts/chart8.xml"/><Relationship Id="rId5" Type="http://schemas.openxmlformats.org/officeDocument/2006/relationships/chart" Target="../charts/chart2.xml"/><Relationship Id="rId10" Type="http://schemas.openxmlformats.org/officeDocument/2006/relationships/chart" Target="../charts/chart7.xml"/><Relationship Id="rId4" Type="http://schemas.openxmlformats.org/officeDocument/2006/relationships/image" Target="../media/image3.png"/><Relationship Id="rId9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571682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750" y="219075"/>
          <a:ext cx="857432" cy="151838"/>
        </a:xfrm>
        <a:prstGeom prst="rect">
          <a:avLst/>
        </a:prstGeom>
      </xdr:spPr>
    </xdr:pic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6758" y="96612"/>
          <a:ext cx="934444" cy="438730"/>
        </a:xfrm>
        <a:prstGeom prst="rect">
          <a:avLst/>
        </a:prstGeom>
      </xdr:spPr>
    </xdr:pic>
    <xdr:clientData/>
  </xdr:twoCellAnchor>
  <xdr:twoCellAnchor>
    <xdr:from>
      <xdr:col>7</xdr:col>
      <xdr:colOff>581353</xdr:colOff>
      <xdr:row>11</xdr:row>
      <xdr:rowOff>55176</xdr:rowOff>
    </xdr:from>
    <xdr:to>
      <xdr:col>12</xdr:col>
      <xdr:colOff>616762</xdr:colOff>
      <xdr:row>19</xdr:row>
      <xdr:rowOff>56436</xdr:rowOff>
    </xdr:to>
    <xdr:sp macro="" textlink="">
      <xdr:nvSpPr>
        <xdr:cNvPr id="5" name="Rectángulo 6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525824" y="2318764"/>
          <a:ext cx="3397173" cy="179420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2</xdr:col>
      <xdr:colOff>19145</xdr:colOff>
      <xdr:row>11</xdr:row>
      <xdr:rowOff>58986</xdr:rowOff>
    </xdr:from>
    <xdr:to>
      <xdr:col>7</xdr:col>
      <xdr:colOff>50743</xdr:colOff>
      <xdr:row>19</xdr:row>
      <xdr:rowOff>35714</xdr:rowOff>
    </xdr:to>
    <xdr:sp macro="" textlink="">
      <xdr:nvSpPr>
        <xdr:cNvPr id="6" name="Rectángulo 6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01851" y="2322574"/>
          <a:ext cx="3393363" cy="1769669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7</xdr:col>
      <xdr:colOff>592594</xdr:colOff>
      <xdr:row>9</xdr:row>
      <xdr:rowOff>134438</xdr:rowOff>
    </xdr:from>
    <xdr:to>
      <xdr:col>12</xdr:col>
      <xdr:colOff>628479</xdr:colOff>
      <xdr:row>11</xdr:row>
      <xdr:rowOff>27604</xdr:rowOff>
    </xdr:to>
    <xdr:sp macro="" textlink="">
      <xdr:nvSpPr>
        <xdr:cNvPr id="7" name="Rectángulo 6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537065" y="1949791"/>
          <a:ext cx="3397649" cy="34140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(Clientes)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</a:t>
          </a:r>
        </a:p>
      </xdr:txBody>
    </xdr:sp>
    <xdr:clientData/>
  </xdr:twoCellAnchor>
  <xdr:twoCellAnchor>
    <xdr:from>
      <xdr:col>2</xdr:col>
      <xdr:colOff>19146</xdr:colOff>
      <xdr:row>9</xdr:row>
      <xdr:rowOff>130628</xdr:rowOff>
    </xdr:from>
    <xdr:to>
      <xdr:col>7</xdr:col>
      <xdr:colOff>50744</xdr:colOff>
      <xdr:row>11</xdr:row>
      <xdr:rowOff>27346</xdr:rowOff>
    </xdr:to>
    <xdr:sp macro="" textlink="">
      <xdr:nvSpPr>
        <xdr:cNvPr id="8" name="Rectángulo 6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01852" y="1945981"/>
          <a:ext cx="3393363" cy="344953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 </a:t>
          </a: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c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orporativos</a:t>
          </a:r>
          <a:endParaRPr kumimoji="0" lang="en-GB" sz="1200" b="1" i="1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239945</xdr:colOff>
      <xdr:row>11</xdr:row>
      <xdr:rowOff>188463</xdr:rowOff>
    </xdr:from>
    <xdr:to>
      <xdr:col>6</xdr:col>
      <xdr:colOff>483717</xdr:colOff>
      <xdr:row>12</xdr:row>
      <xdr:rowOff>206908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822651" y="2452051"/>
          <a:ext cx="2933184" cy="24256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List of Paris Excluded Companies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239944</xdr:colOff>
      <xdr:row>13</xdr:row>
      <xdr:rowOff>59112</xdr:rowOff>
    </xdr:from>
    <xdr:to>
      <xdr:col>6</xdr:col>
      <xdr:colOff>483716</xdr:colOff>
      <xdr:row>14</xdr:row>
      <xdr:rowOff>77558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822650" y="2770936"/>
          <a:ext cx="2933184" cy="24256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GAR External Data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227553</xdr:colOff>
      <xdr:row>14</xdr:row>
      <xdr:rowOff>172929</xdr:rowOff>
    </xdr:from>
    <xdr:to>
      <xdr:col>6</xdr:col>
      <xdr:colOff>478945</xdr:colOff>
      <xdr:row>15</xdr:row>
      <xdr:rowOff>170419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810259" y="3108870"/>
          <a:ext cx="2940804" cy="22160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Physical risk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239944</xdr:colOff>
      <xdr:row>16</xdr:row>
      <xdr:rowOff>211594</xdr:rowOff>
    </xdr:from>
    <xdr:to>
      <xdr:col>6</xdr:col>
      <xdr:colOff>483716</xdr:colOff>
      <xdr:row>17</xdr:row>
      <xdr:rowOff>209084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822650" y="3595770"/>
          <a:ext cx="2933184" cy="22160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Emissions Data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132183</xdr:colOff>
      <xdr:row>11</xdr:row>
      <xdr:rowOff>188463</xdr:rowOff>
    </xdr:from>
    <xdr:to>
      <xdr:col>12</xdr:col>
      <xdr:colOff>387865</xdr:colOff>
      <xdr:row>12</xdr:row>
      <xdr:rowOff>203098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4749007" y="2452051"/>
          <a:ext cx="2945093" cy="23875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modesg_inp_empr_excl_paris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132183</xdr:colOff>
      <xdr:row>13</xdr:row>
      <xdr:rowOff>62922</xdr:rowOff>
    </xdr:from>
    <xdr:to>
      <xdr:col>12</xdr:col>
      <xdr:colOff>387865</xdr:colOff>
      <xdr:row>14</xdr:row>
      <xdr:rowOff>77558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4749007" y="2774746"/>
          <a:ext cx="2945093" cy="23875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modesg_inp_nfrd_alinhamento_tax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132183</xdr:colOff>
      <xdr:row>14</xdr:row>
      <xdr:rowOff>169119</xdr:rowOff>
    </xdr:from>
    <xdr:to>
      <xdr:col>12</xdr:col>
      <xdr:colOff>387865</xdr:colOff>
      <xdr:row>15</xdr:row>
      <xdr:rowOff>174229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4749007" y="3105060"/>
          <a:ext cx="2945093" cy="22922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modesg_inp_risco_fisico</a:t>
          </a:r>
          <a:endParaRPr kumimoji="0" lang="pt-BR" altLang="pt-PT" sz="1200" b="0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132183</xdr:colOff>
      <xdr:row>16</xdr:row>
      <xdr:rowOff>41674</xdr:rowOff>
    </xdr:from>
    <xdr:to>
      <xdr:col>12</xdr:col>
      <xdr:colOff>387865</xdr:colOff>
      <xdr:row>18</xdr:row>
      <xdr:rowOff>154886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4707993" y="3334603"/>
          <a:ext cx="2920777" cy="548640"/>
          <a:chOff x="4320951" y="2385099"/>
          <a:chExt cx="2955600" cy="547350"/>
        </a:xfrm>
      </xdr:grpSpPr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>
            <a:spLocks noChangeArrowheads="1"/>
          </xdr:cNvSpPr>
        </xdr:nvSpPr>
        <xdr:spPr bwMode="auto">
          <a:xfrm>
            <a:off x="4320951" y="2385099"/>
            <a:ext cx="2955600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modesg_inp_emss_scib</a:t>
            </a:r>
            <a:endParaRPr kumimoji="0" lang="pt-BR" altLang="pt-PT" sz="12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4320951" y="2701548"/>
            <a:ext cx="2955600" cy="230901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pt-BR" altLang="pt-PT" sz="1200">
                <a:solidFill>
                  <a:prstClr val="black"/>
                </a:solidFill>
                <a:latin typeface="Santander Text" panose="020B0504020201020104" pitchFamily="34" charset="0"/>
              </a:rPr>
              <a:t>modesg_inp_emss_nace</a:t>
            </a:r>
            <a:endParaRPr kumimoji="0" lang="pt-BR" altLang="pt-PT" sz="1200" b="0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7</xdr:col>
      <xdr:colOff>92391</xdr:colOff>
      <xdr:row>12</xdr:row>
      <xdr:rowOff>92294</xdr:rowOff>
    </xdr:from>
    <xdr:to>
      <xdr:col>7</xdr:col>
      <xdr:colOff>549591</xdr:colOff>
      <xdr:row>12</xdr:row>
      <xdr:rowOff>92294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4036862" y="2580000"/>
          <a:ext cx="457200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92391</xdr:colOff>
      <xdr:row>13</xdr:row>
      <xdr:rowOff>173725</xdr:rowOff>
    </xdr:from>
    <xdr:to>
      <xdr:col>7</xdr:col>
      <xdr:colOff>549591</xdr:colOff>
      <xdr:row>13</xdr:row>
      <xdr:rowOff>173725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4036862" y="2885549"/>
          <a:ext cx="457200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92391</xdr:colOff>
      <xdr:row>15</xdr:row>
      <xdr:rowOff>59615</xdr:rowOff>
    </xdr:from>
    <xdr:to>
      <xdr:col>7</xdr:col>
      <xdr:colOff>549591</xdr:colOff>
      <xdr:row>15</xdr:row>
      <xdr:rowOff>59615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4036862" y="3219674"/>
          <a:ext cx="457200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92641</xdr:colOff>
      <xdr:row>17</xdr:row>
      <xdr:rowOff>96318</xdr:rowOff>
    </xdr:from>
    <xdr:to>
      <xdr:col>7</xdr:col>
      <xdr:colOff>578627</xdr:colOff>
      <xdr:row>18</xdr:row>
      <xdr:rowOff>21287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4037112" y="3704612"/>
          <a:ext cx="485986" cy="149087"/>
        </a:xfrm>
        <a:prstGeom prst="bentConnector3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92641</xdr:colOff>
      <xdr:row>16</xdr:row>
      <xdr:rowOff>167718</xdr:rowOff>
    </xdr:from>
    <xdr:to>
      <xdr:col>7</xdr:col>
      <xdr:colOff>578627</xdr:colOff>
      <xdr:row>17</xdr:row>
      <xdr:rowOff>60757</xdr:rowOff>
    </xdr:to>
    <xdr:cxnSp macro="">
      <xdr:nvCxnSpPr>
        <xdr:cNvPr id="21" name="Elb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V="1">
          <a:off x="4037112" y="3551894"/>
          <a:ext cx="485986" cy="117157"/>
        </a:xfrm>
        <a:prstGeom prst="bentConnector3">
          <a:avLst>
            <a:gd name="adj1" fmla="val 50000"/>
          </a:avLst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478829</xdr:colOff>
      <xdr:row>11</xdr:row>
      <xdr:rowOff>55176</xdr:rowOff>
    </xdr:from>
    <xdr:to>
      <xdr:col>18</xdr:col>
      <xdr:colOff>514237</xdr:colOff>
      <xdr:row>19</xdr:row>
      <xdr:rowOff>56436</xdr:rowOff>
    </xdr:to>
    <xdr:sp macro="" textlink="">
      <xdr:nvSpPr>
        <xdr:cNvPr id="22" name="Rectángulo 68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8457417" y="2318764"/>
          <a:ext cx="3397173" cy="179420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13</xdr:col>
      <xdr:colOff>478829</xdr:colOff>
      <xdr:row>9</xdr:row>
      <xdr:rowOff>134438</xdr:rowOff>
    </xdr:from>
    <xdr:to>
      <xdr:col>18</xdr:col>
      <xdr:colOff>514713</xdr:colOff>
      <xdr:row>11</xdr:row>
      <xdr:rowOff>27604</xdr:rowOff>
    </xdr:to>
    <xdr:sp macro="" textlink="">
      <xdr:nvSpPr>
        <xdr:cNvPr id="23" name="Rectángulo 69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8457417" y="1949791"/>
          <a:ext cx="3397649" cy="341401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(Clientes)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Output</a:t>
          </a:r>
        </a:p>
      </xdr:txBody>
    </xdr:sp>
    <xdr:clientData/>
  </xdr:twoCellAnchor>
  <xdr:twoCellAnchor>
    <xdr:from>
      <xdr:col>14</xdr:col>
      <xdr:colOff>152071</xdr:colOff>
      <xdr:row>14</xdr:row>
      <xdr:rowOff>169119</xdr:rowOff>
    </xdr:from>
    <xdr:to>
      <xdr:col>18</xdr:col>
      <xdr:colOff>162928</xdr:colOff>
      <xdr:row>15</xdr:row>
      <xdr:rowOff>174229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8803012" y="3105060"/>
          <a:ext cx="2700269" cy="22922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modesg_out_empr_info_nfin</a:t>
          </a:r>
        </a:p>
      </xdr:txBody>
    </xdr:sp>
    <xdr:clientData/>
  </xdr:twoCellAnchor>
  <xdr:twoCellAnchor>
    <xdr:from>
      <xdr:col>12</xdr:col>
      <xdr:colOff>616762</xdr:colOff>
      <xdr:row>15</xdr:row>
      <xdr:rowOff>55805</xdr:rowOff>
    </xdr:from>
    <xdr:to>
      <xdr:col>13</xdr:col>
      <xdr:colOff>478828</xdr:colOff>
      <xdr:row>15</xdr:row>
      <xdr:rowOff>55805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>
          <a:stCxn id="5" idx="3"/>
          <a:endCxn id="22" idx="1"/>
        </xdr:cNvCxnSpPr>
      </xdr:nvCxnSpPr>
      <xdr:spPr>
        <a:xfrm>
          <a:off x="7922997" y="3215864"/>
          <a:ext cx="534419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588488</xdr:colOff>
      <xdr:row>21</xdr:row>
      <xdr:rowOff>184117</xdr:rowOff>
    </xdr:from>
    <xdr:to>
      <xdr:col>12</xdr:col>
      <xdr:colOff>628677</xdr:colOff>
      <xdr:row>24</xdr:row>
      <xdr:rowOff>169587</xdr:rowOff>
    </xdr:to>
    <xdr:sp macro="" textlink="">
      <xdr:nvSpPr>
        <xdr:cNvPr id="33" name="Rectángulo 68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4532959" y="4688882"/>
          <a:ext cx="3401953" cy="65782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2</xdr:col>
      <xdr:colOff>15335</xdr:colOff>
      <xdr:row>21</xdr:row>
      <xdr:rowOff>183660</xdr:rowOff>
    </xdr:from>
    <xdr:to>
      <xdr:col>7</xdr:col>
      <xdr:colOff>53618</xdr:colOff>
      <xdr:row>24</xdr:row>
      <xdr:rowOff>141842</xdr:rowOff>
    </xdr:to>
    <xdr:sp macro="" textlink="">
      <xdr:nvSpPr>
        <xdr:cNvPr id="34" name="Rectángulo 68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598041" y="4688425"/>
          <a:ext cx="3400048" cy="630535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7</xdr:col>
      <xdr:colOff>590212</xdr:colOff>
      <xdr:row>20</xdr:row>
      <xdr:rowOff>21405</xdr:rowOff>
    </xdr:from>
    <xdr:to>
      <xdr:col>12</xdr:col>
      <xdr:colOff>628971</xdr:colOff>
      <xdr:row>21</xdr:row>
      <xdr:rowOff>145043</xdr:rowOff>
    </xdr:to>
    <xdr:sp macro="" textlink="">
      <xdr:nvSpPr>
        <xdr:cNvPr id="35" name="Rectángulo 6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4534683" y="4302052"/>
          <a:ext cx="3400523" cy="34775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(Taxonomia</a:t>
          </a:r>
          <a:r>
            <a:rPr kumimoji="0" lang="en-GB" sz="1200" b="1" i="0" u="none" strike="noStrike" kern="1200" cap="none" spc="0" normalizeH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 Europeira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</a:t>
          </a:r>
        </a:p>
      </xdr:txBody>
    </xdr:sp>
    <xdr:clientData/>
  </xdr:twoCellAnchor>
  <xdr:twoCellAnchor>
    <xdr:from>
      <xdr:col>2</xdr:col>
      <xdr:colOff>9621</xdr:colOff>
      <xdr:row>20</xdr:row>
      <xdr:rowOff>17595</xdr:rowOff>
    </xdr:from>
    <xdr:to>
      <xdr:col>7</xdr:col>
      <xdr:colOff>47904</xdr:colOff>
      <xdr:row>21</xdr:row>
      <xdr:rowOff>148625</xdr:rowOff>
    </xdr:to>
    <xdr:sp macro="" textlink="">
      <xdr:nvSpPr>
        <xdr:cNvPr id="36" name="Rectángulo 6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592327" y="4298242"/>
          <a:ext cx="3400048" cy="355148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Ficheiro de parametrização</a:t>
          </a:r>
        </a:p>
      </xdr:txBody>
    </xdr:sp>
    <xdr:clientData/>
  </xdr:twoCellAnchor>
  <xdr:twoCellAnchor>
    <xdr:from>
      <xdr:col>2</xdr:col>
      <xdr:colOff>245618</xdr:colOff>
      <xdr:row>22</xdr:row>
      <xdr:rowOff>85592</xdr:rowOff>
    </xdr:from>
    <xdr:to>
      <xdr:col>6</xdr:col>
      <xdr:colOff>474733</xdr:colOff>
      <xdr:row>24</xdr:row>
      <xdr:rowOff>32937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828324" y="4814474"/>
          <a:ext cx="2918527" cy="395581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lvl="0" indent="0" algn="ctr" defTabSz="914400" rtl="0" eaLnBrk="1" latinLnBrk="0" hangingPunct="1">
            <a:defRPr/>
          </a:pPr>
          <a:r>
            <a:rPr lang="pt-PT" sz="1200" kern="1200">
              <a:solidFill>
                <a:prstClr val="black"/>
              </a:solidFill>
              <a:latin typeface="Santander Text" panose="020B0504020201020104" pitchFamily="34" charset="0"/>
              <a:ea typeface="+mn-ea"/>
              <a:cs typeface="+mn-cs"/>
            </a:rPr>
            <a:t>Modelo Verde - Parametrização SFCS e Taxonomia Europeia</a:t>
          </a:r>
          <a:endParaRPr lang="pt-BR" altLang="pt-PT" sz="1200" kern="1200">
            <a:solidFill>
              <a:prstClr val="black"/>
            </a:solidFill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133797</xdr:colOff>
      <xdr:row>22</xdr:row>
      <xdr:rowOff>88512</xdr:rowOff>
    </xdr:from>
    <xdr:to>
      <xdr:col>12</xdr:col>
      <xdr:colOff>401491</xdr:colOff>
      <xdr:row>24</xdr:row>
      <xdr:rowOff>20120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4750621" y="4817394"/>
          <a:ext cx="2957105" cy="37984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modesg_param_sfcs_taxon_europeia</a:t>
          </a:r>
        </a:p>
      </xdr:txBody>
    </xdr:sp>
    <xdr:clientData/>
  </xdr:twoCellAnchor>
  <xdr:twoCellAnchor>
    <xdr:from>
      <xdr:col>7</xdr:col>
      <xdr:colOff>92391</xdr:colOff>
      <xdr:row>22</xdr:row>
      <xdr:rowOff>209096</xdr:rowOff>
    </xdr:from>
    <xdr:to>
      <xdr:col>7</xdr:col>
      <xdr:colOff>549591</xdr:colOff>
      <xdr:row>22</xdr:row>
      <xdr:rowOff>209096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4036862" y="4937978"/>
          <a:ext cx="457200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479765</xdr:colOff>
      <xdr:row>21</xdr:row>
      <xdr:rowOff>184117</xdr:rowOff>
    </xdr:from>
    <xdr:to>
      <xdr:col>18</xdr:col>
      <xdr:colOff>518048</xdr:colOff>
      <xdr:row>24</xdr:row>
      <xdr:rowOff>169587</xdr:rowOff>
    </xdr:to>
    <xdr:sp macro="" textlink="">
      <xdr:nvSpPr>
        <xdr:cNvPr id="40" name="Rectángulo 68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8458353" y="4688882"/>
          <a:ext cx="3400048" cy="65782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13</xdr:col>
      <xdr:colOff>479765</xdr:colOff>
      <xdr:row>20</xdr:row>
      <xdr:rowOff>21405</xdr:rowOff>
    </xdr:from>
    <xdr:to>
      <xdr:col>18</xdr:col>
      <xdr:colOff>510903</xdr:colOff>
      <xdr:row>21</xdr:row>
      <xdr:rowOff>145043</xdr:rowOff>
    </xdr:to>
    <xdr:sp macro="" textlink="">
      <xdr:nvSpPr>
        <xdr:cNvPr id="41" name="Rectángulo 6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8458353" y="4302052"/>
          <a:ext cx="3392903" cy="34775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Modelo Verde (Taxonomia Europeira) 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Output</a:t>
          </a:r>
        </a:p>
      </xdr:txBody>
    </xdr:sp>
    <xdr:clientData/>
  </xdr:twoCellAnchor>
  <xdr:twoCellAnchor>
    <xdr:from>
      <xdr:col>14</xdr:col>
      <xdr:colOff>153302</xdr:colOff>
      <xdr:row>22</xdr:row>
      <xdr:rowOff>88512</xdr:rowOff>
    </xdr:from>
    <xdr:to>
      <xdr:col>18</xdr:col>
      <xdr:colOff>172157</xdr:colOff>
      <xdr:row>24</xdr:row>
      <xdr:rowOff>20120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8804243" y="4817394"/>
          <a:ext cx="2708267" cy="37984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modesg_out_sfcs_taxon_europeia</a:t>
          </a:r>
        </a:p>
      </xdr:txBody>
    </xdr:sp>
    <xdr:clientData/>
  </xdr:twoCellAnchor>
  <xdr:twoCellAnchor>
    <xdr:from>
      <xdr:col>12</xdr:col>
      <xdr:colOff>593637</xdr:colOff>
      <xdr:row>22</xdr:row>
      <xdr:rowOff>209096</xdr:rowOff>
    </xdr:from>
    <xdr:to>
      <xdr:col>13</xdr:col>
      <xdr:colOff>479765</xdr:colOff>
      <xdr:row>22</xdr:row>
      <xdr:rowOff>209096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>
          <a:off x="7899872" y="4937978"/>
          <a:ext cx="558481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590968</xdr:colOff>
      <xdr:row>27</xdr:row>
      <xdr:rowOff>62138</xdr:rowOff>
    </xdr:from>
    <xdr:to>
      <xdr:col>12</xdr:col>
      <xdr:colOff>626197</xdr:colOff>
      <xdr:row>31</xdr:row>
      <xdr:rowOff>49392</xdr:rowOff>
    </xdr:to>
    <xdr:sp macro="" textlink="">
      <xdr:nvSpPr>
        <xdr:cNvPr id="45" name="Rectángulo 68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4535439" y="5911609"/>
          <a:ext cx="3396993" cy="88372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2</xdr:col>
      <xdr:colOff>19145</xdr:colOff>
      <xdr:row>27</xdr:row>
      <xdr:rowOff>56422</xdr:rowOff>
    </xdr:from>
    <xdr:to>
      <xdr:col>7</xdr:col>
      <xdr:colOff>54373</xdr:colOff>
      <xdr:row>31</xdr:row>
      <xdr:rowOff>43023</xdr:rowOff>
    </xdr:to>
    <xdr:sp macro="" textlink="">
      <xdr:nvSpPr>
        <xdr:cNvPr id="46" name="Rectángulo 68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601851" y="5905893"/>
          <a:ext cx="3396993" cy="883071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7</xdr:col>
      <xdr:colOff>588878</xdr:colOff>
      <xdr:row>25</xdr:row>
      <xdr:rowOff>131271</xdr:rowOff>
    </xdr:from>
    <xdr:to>
      <xdr:col>12</xdr:col>
      <xdr:colOff>626487</xdr:colOff>
      <xdr:row>27</xdr:row>
      <xdr:rowOff>26599</xdr:rowOff>
    </xdr:to>
    <xdr:sp macro="" textlink="">
      <xdr:nvSpPr>
        <xdr:cNvPr id="47" name="Rectángulo 6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4533349" y="5532506"/>
          <a:ext cx="3399373" cy="343564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(Bens Móveis - Veículos)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</a:t>
          </a:r>
        </a:p>
      </xdr:txBody>
    </xdr:sp>
    <xdr:clientData/>
  </xdr:twoCellAnchor>
  <xdr:twoCellAnchor>
    <xdr:from>
      <xdr:col>2</xdr:col>
      <xdr:colOff>19146</xdr:colOff>
      <xdr:row>25</xdr:row>
      <xdr:rowOff>131271</xdr:rowOff>
    </xdr:from>
    <xdr:to>
      <xdr:col>7</xdr:col>
      <xdr:colOff>54374</xdr:colOff>
      <xdr:row>27</xdr:row>
      <xdr:rowOff>33981</xdr:rowOff>
    </xdr:to>
    <xdr:sp macro="" textlink="">
      <xdr:nvSpPr>
        <xdr:cNvPr id="48" name="Rectángulo 6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601852" y="5532506"/>
          <a:ext cx="3396993" cy="350946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 </a:t>
          </a: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c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orporativos</a:t>
          </a:r>
          <a:endParaRPr kumimoji="0" lang="en-GB" sz="1200" b="1" i="1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247679</xdr:colOff>
      <xdr:row>28</xdr:row>
      <xdr:rowOff>163553</xdr:rowOff>
    </xdr:from>
    <xdr:to>
      <xdr:col>6</xdr:col>
      <xdr:colOff>479609</xdr:colOff>
      <xdr:row>29</xdr:row>
      <xdr:rowOff>175249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830385" y="6237141"/>
          <a:ext cx="2921342" cy="23581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Emissions Data</a:t>
          </a:r>
          <a:endParaRPr lang="pt-BR" altLang="pt-PT" sz="1200">
            <a:solidFill>
              <a:prstClr val="black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8</xdr:col>
      <xdr:colOff>136199</xdr:colOff>
      <xdr:row>27</xdr:row>
      <xdr:rowOff>223796</xdr:rowOff>
    </xdr:from>
    <xdr:to>
      <xdr:col>12</xdr:col>
      <xdr:colOff>397183</xdr:colOff>
      <xdr:row>29</xdr:row>
      <xdr:rowOff>5660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4753023" y="6073267"/>
          <a:ext cx="2950395" cy="23009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modesg_inp_emss_vcls</a:t>
          </a:r>
        </a:p>
      </xdr:txBody>
    </xdr:sp>
    <xdr:clientData/>
  </xdr:twoCellAnchor>
  <xdr:twoCellAnchor>
    <xdr:from>
      <xdr:col>8</xdr:col>
      <xdr:colOff>136199</xdr:colOff>
      <xdr:row>29</xdr:row>
      <xdr:rowOff>104325</xdr:rowOff>
    </xdr:from>
    <xdr:to>
      <xdr:col>12</xdr:col>
      <xdr:colOff>397183</xdr:colOff>
      <xdr:row>30</xdr:row>
      <xdr:rowOff>131261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4753023" y="6402031"/>
          <a:ext cx="2950395" cy="251054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modesg_inp_km_medios_emss_vcls</a:t>
          </a:r>
        </a:p>
      </xdr:txBody>
    </xdr:sp>
    <xdr:clientData/>
  </xdr:twoCellAnchor>
  <xdr:twoCellAnchor>
    <xdr:from>
      <xdr:col>13</xdr:col>
      <xdr:colOff>477105</xdr:colOff>
      <xdr:row>27</xdr:row>
      <xdr:rowOff>62138</xdr:rowOff>
    </xdr:from>
    <xdr:to>
      <xdr:col>18</xdr:col>
      <xdr:colOff>514238</xdr:colOff>
      <xdr:row>31</xdr:row>
      <xdr:rowOff>49392</xdr:rowOff>
    </xdr:to>
    <xdr:sp macro="" textlink="">
      <xdr:nvSpPr>
        <xdr:cNvPr id="52" name="Rectángulo 68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8455693" y="5911609"/>
          <a:ext cx="3398898" cy="88372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13</xdr:col>
      <xdr:colOff>477105</xdr:colOff>
      <xdr:row>25</xdr:row>
      <xdr:rowOff>131271</xdr:rowOff>
    </xdr:from>
    <xdr:to>
      <xdr:col>18</xdr:col>
      <xdr:colOff>514713</xdr:colOff>
      <xdr:row>27</xdr:row>
      <xdr:rowOff>26599</xdr:rowOff>
    </xdr:to>
    <xdr:sp macro="" textlink="">
      <xdr:nvSpPr>
        <xdr:cNvPr id="53" name="Rectángulo 69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8455693" y="5532506"/>
          <a:ext cx="3399373" cy="343564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Modelo Verde (Bens Móveis - Veículos) 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Output</a:t>
          </a:r>
        </a:p>
      </xdr:txBody>
    </xdr:sp>
    <xdr:clientData/>
  </xdr:twoCellAnchor>
  <xdr:twoCellAnchor>
    <xdr:from>
      <xdr:col>14</xdr:col>
      <xdr:colOff>154334</xdr:colOff>
      <xdr:row>28</xdr:row>
      <xdr:rowOff>154356</xdr:rowOff>
    </xdr:from>
    <xdr:to>
      <xdr:col>18</xdr:col>
      <xdr:colOff>172276</xdr:colOff>
      <xdr:row>29</xdr:row>
      <xdr:rowOff>175577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8805275" y="6227944"/>
          <a:ext cx="2707354" cy="24533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modesg_out_emss_vcls</a:t>
          </a:r>
        </a:p>
      </xdr:txBody>
    </xdr:sp>
    <xdr:clientData/>
  </xdr:twoCellAnchor>
  <xdr:twoCellAnchor>
    <xdr:from>
      <xdr:col>7</xdr:col>
      <xdr:colOff>96437</xdr:colOff>
      <xdr:row>28</xdr:row>
      <xdr:rowOff>172499</xdr:rowOff>
    </xdr:from>
    <xdr:to>
      <xdr:col>7</xdr:col>
      <xdr:colOff>578627</xdr:colOff>
      <xdr:row>30</xdr:row>
      <xdr:rowOff>22209</xdr:rowOff>
    </xdr:to>
    <xdr:grpSp>
      <xdr:nvGrpSpPr>
        <xdr:cNvPr id="55" name="Group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pSpPr/>
      </xdr:nvGrpSpPr>
      <xdr:grpSpPr>
        <a:xfrm>
          <a:off x="3997877" y="6074189"/>
          <a:ext cx="487905" cy="285139"/>
          <a:chOff x="3740581" y="4615607"/>
          <a:chExt cx="588196" cy="312799"/>
        </a:xfrm>
      </xdr:grpSpPr>
      <xdr:cxnSp macro="">
        <xdr:nvCxnSpPr>
          <xdr:cNvPr id="58" name="Elbow Connector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CxnSpPr/>
        </xdr:nvCxnSpPr>
        <xdr:spPr>
          <a:xfrm>
            <a:off x="3740581" y="4768205"/>
            <a:ext cx="588196" cy="160201"/>
          </a:xfrm>
          <a:prstGeom prst="bentConnector3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" name="Elbow Connector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CxnSpPr/>
        </xdr:nvCxnSpPr>
        <xdr:spPr>
          <a:xfrm flipV="1">
            <a:off x="3740581" y="4615607"/>
            <a:ext cx="588196" cy="117930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590968</xdr:colOff>
      <xdr:row>33</xdr:row>
      <xdr:rowOff>163193</xdr:rowOff>
    </xdr:from>
    <xdr:to>
      <xdr:col>12</xdr:col>
      <xdr:colOff>626197</xdr:colOff>
      <xdr:row>37</xdr:row>
      <xdr:rowOff>136861</xdr:rowOff>
    </xdr:to>
    <xdr:sp macro="" textlink="">
      <xdr:nvSpPr>
        <xdr:cNvPr id="61" name="Rectángulo 68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4535439" y="7357369"/>
          <a:ext cx="3396993" cy="87013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2</xdr:col>
      <xdr:colOff>19145</xdr:colOff>
      <xdr:row>33</xdr:row>
      <xdr:rowOff>153667</xdr:rowOff>
    </xdr:from>
    <xdr:to>
      <xdr:col>7</xdr:col>
      <xdr:colOff>54373</xdr:colOff>
      <xdr:row>37</xdr:row>
      <xdr:rowOff>128903</xdr:rowOff>
    </xdr:to>
    <xdr:sp macro="" textlink="">
      <xdr:nvSpPr>
        <xdr:cNvPr id="62" name="Rectángulo 68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601851" y="7347843"/>
          <a:ext cx="3396993" cy="871707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7</xdr:col>
      <xdr:colOff>588878</xdr:colOff>
      <xdr:row>32</xdr:row>
      <xdr:rowOff>21981</xdr:rowOff>
    </xdr:from>
    <xdr:to>
      <xdr:col>12</xdr:col>
      <xdr:colOff>626487</xdr:colOff>
      <xdr:row>33</xdr:row>
      <xdr:rowOff>126529</xdr:rowOff>
    </xdr:to>
    <xdr:sp macro="" textlink="">
      <xdr:nvSpPr>
        <xdr:cNvPr id="63" name="Rectángulo 69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4533349" y="6992040"/>
          <a:ext cx="3399373" cy="328665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Modelo Verde (Bens </a:t>
          </a: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Im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óveis) 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</a:t>
          </a:r>
        </a:p>
      </xdr:txBody>
    </xdr:sp>
    <xdr:clientData/>
  </xdr:twoCellAnchor>
  <xdr:twoCellAnchor>
    <xdr:from>
      <xdr:col>2</xdr:col>
      <xdr:colOff>19146</xdr:colOff>
      <xdr:row>32</xdr:row>
      <xdr:rowOff>6741</xdr:rowOff>
    </xdr:from>
    <xdr:to>
      <xdr:col>7</xdr:col>
      <xdr:colOff>54374</xdr:colOff>
      <xdr:row>33</xdr:row>
      <xdr:rowOff>131962</xdr:rowOff>
    </xdr:to>
    <xdr:sp macro="" textlink="">
      <xdr:nvSpPr>
        <xdr:cNvPr id="64" name="Rectángulo 69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601852" y="6976800"/>
          <a:ext cx="3396993" cy="349338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Inputs </a:t>
          </a: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c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orporativos</a:t>
          </a:r>
          <a:endParaRPr kumimoji="0" lang="en-GB" sz="1200" b="1" i="1" u="none" strike="noStrike" kern="1200" cap="none" spc="0" normalizeH="0" baseline="0">
            <a:ln>
              <a:noFill/>
            </a:ln>
            <a:solidFill>
              <a:prstClr val="white"/>
            </a:solidFill>
            <a:effectLst/>
            <a:uLnTx/>
            <a:uFillTx/>
            <a:latin typeface="Santander Text" panose="020B05040202010201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247679</xdr:colOff>
      <xdr:row>35</xdr:row>
      <xdr:rowOff>7461</xdr:rowOff>
    </xdr:from>
    <xdr:to>
      <xdr:col>6</xdr:col>
      <xdr:colOff>479609</xdr:colOff>
      <xdr:row>36</xdr:row>
      <xdr:rowOff>33847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rrowheads="1"/>
        </xdr:cNvSpPr>
      </xdr:nvSpPr>
      <xdr:spPr bwMode="auto">
        <a:xfrm>
          <a:off x="830385" y="7649873"/>
          <a:ext cx="2921342" cy="250503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US" altLang="pt-PT" sz="1200">
              <a:solidFill>
                <a:prstClr val="black"/>
              </a:solidFill>
              <a:latin typeface="Santander Text" panose="020B0504020201020104" pitchFamily="34" charset="0"/>
            </a:rPr>
            <a:t>Physical risk</a:t>
          </a:r>
          <a:endParaRPr lang="pt-BR" altLang="pt-PT" sz="1200">
            <a:solidFill>
              <a:prstClr val="black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8</xdr:col>
      <xdr:colOff>136199</xdr:colOff>
      <xdr:row>34</xdr:row>
      <xdr:rowOff>106130</xdr:rowOff>
    </xdr:from>
    <xdr:to>
      <xdr:col>12</xdr:col>
      <xdr:colOff>397183</xdr:colOff>
      <xdr:row>35</xdr:row>
      <xdr:rowOff>88700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rrowheads="1"/>
        </xdr:cNvSpPr>
      </xdr:nvSpPr>
      <xdr:spPr bwMode="auto">
        <a:xfrm>
          <a:off x="4753023" y="7524424"/>
          <a:ext cx="2950395" cy="20668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modesg_inp_emss_bens_imoveis</a:t>
          </a:r>
        </a:p>
      </xdr:txBody>
    </xdr:sp>
    <xdr:clientData/>
  </xdr:twoCellAnchor>
  <xdr:twoCellAnchor>
    <xdr:from>
      <xdr:col>8</xdr:col>
      <xdr:colOff>136199</xdr:colOff>
      <xdr:row>35</xdr:row>
      <xdr:rowOff>192404</xdr:rowOff>
    </xdr:from>
    <xdr:to>
      <xdr:col>12</xdr:col>
      <xdr:colOff>397183</xdr:colOff>
      <xdr:row>36</xdr:row>
      <xdr:rowOff>205455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rrowheads="1"/>
        </xdr:cNvSpPr>
      </xdr:nvSpPr>
      <xdr:spPr bwMode="auto">
        <a:xfrm>
          <a:off x="4753023" y="7834816"/>
          <a:ext cx="2950395" cy="23716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modesg_inp_risco_fisico</a:t>
          </a:r>
        </a:p>
      </xdr:txBody>
    </xdr:sp>
    <xdr:clientData/>
  </xdr:twoCellAnchor>
  <xdr:twoCellAnchor>
    <xdr:from>
      <xdr:col>13</xdr:col>
      <xdr:colOff>477105</xdr:colOff>
      <xdr:row>33</xdr:row>
      <xdr:rowOff>163193</xdr:rowOff>
    </xdr:from>
    <xdr:to>
      <xdr:col>18</xdr:col>
      <xdr:colOff>514238</xdr:colOff>
      <xdr:row>37</xdr:row>
      <xdr:rowOff>136861</xdr:rowOff>
    </xdr:to>
    <xdr:sp macro="" textlink="">
      <xdr:nvSpPr>
        <xdr:cNvPr id="68" name="Rectángulo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8455693" y="7357369"/>
          <a:ext cx="3398898" cy="87013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 anchorCtr="0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914400">
            <a:defRPr/>
          </a:pPr>
          <a:endParaRPr kumimoji="0" lang="es-ES" sz="1400" b="0" i="0" u="none" strike="noStrike" kern="1200" cap="none" spc="0" normalizeH="0" baseline="0">
            <a:ln>
              <a:noFill/>
            </a:ln>
            <a:solidFill>
              <a:schemeClr val="bg1">
                <a:lumMod val="50000"/>
              </a:schemeClr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13</xdr:col>
      <xdr:colOff>477105</xdr:colOff>
      <xdr:row>32</xdr:row>
      <xdr:rowOff>21981</xdr:rowOff>
    </xdr:from>
    <xdr:to>
      <xdr:col>18</xdr:col>
      <xdr:colOff>514713</xdr:colOff>
      <xdr:row>33</xdr:row>
      <xdr:rowOff>126529</xdr:rowOff>
    </xdr:to>
    <xdr:sp macro="" textlink="">
      <xdr:nvSpPr>
        <xdr:cNvPr id="69" name="Rectángulo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8455693" y="6992040"/>
          <a:ext cx="3399373" cy="328665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en-GB" sz="1200" b="1">
              <a:solidFill>
                <a:prstClr val="white"/>
              </a:solidFill>
              <a:latin typeface="Santander Text" panose="020B0504020201020104" pitchFamily="34" charset="0"/>
            </a:rPr>
            <a:t>Modelo Verde (Bens Imóveis) </a:t>
          </a:r>
          <a:r>
            <a:rPr kumimoji="0" lang="en-GB" sz="1200" b="1" i="0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- </a:t>
          </a:r>
          <a:r>
            <a:rPr kumimoji="0" lang="en-GB" sz="1200" b="1" i="1" u="none" strike="noStrike" kern="1200" cap="none" spc="0" normalizeH="0" baseline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Santander Text" panose="020B0504020201020104" pitchFamily="34" charset="0"/>
              <a:ea typeface="+mn-ea"/>
              <a:cs typeface="+mn-cs"/>
            </a:rPr>
            <a:t>Output</a:t>
          </a:r>
        </a:p>
      </xdr:txBody>
    </xdr:sp>
    <xdr:clientData/>
  </xdr:twoCellAnchor>
  <xdr:twoCellAnchor>
    <xdr:from>
      <xdr:col>14</xdr:col>
      <xdr:colOff>154334</xdr:colOff>
      <xdr:row>35</xdr:row>
      <xdr:rowOff>32396</xdr:rowOff>
    </xdr:from>
    <xdr:to>
      <xdr:col>18</xdr:col>
      <xdr:colOff>172276</xdr:colOff>
      <xdr:row>36</xdr:row>
      <xdr:rowOff>49257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rrowheads="1"/>
        </xdr:cNvSpPr>
      </xdr:nvSpPr>
      <xdr:spPr bwMode="auto">
        <a:xfrm>
          <a:off x="8805275" y="7674808"/>
          <a:ext cx="2707354" cy="24097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6876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3751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06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74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4377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1250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198124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4998" algn="l" defTabSz="913751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lvl="0" algn="ctr" defTabSz="914400">
            <a:defRPr/>
          </a:pPr>
          <a:r>
            <a:rPr lang="pt-BR" altLang="pt-PT" sz="1200">
              <a:solidFill>
                <a:prstClr val="black"/>
              </a:solidFill>
              <a:latin typeface="Santander Text" panose="020B0504020201020104" pitchFamily="34" charset="0"/>
            </a:rPr>
            <a:t>modesg_out_bens_imoveis</a:t>
          </a:r>
        </a:p>
      </xdr:txBody>
    </xdr:sp>
    <xdr:clientData/>
  </xdr:twoCellAnchor>
  <xdr:twoCellAnchor>
    <xdr:from>
      <xdr:col>7</xdr:col>
      <xdr:colOff>94532</xdr:colOff>
      <xdr:row>35</xdr:row>
      <xdr:rowOff>27801</xdr:rowOff>
    </xdr:from>
    <xdr:to>
      <xdr:col>7</xdr:col>
      <xdr:colOff>578627</xdr:colOff>
      <xdr:row>36</xdr:row>
      <xdr:rowOff>131241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4003592" y="7455396"/>
          <a:ext cx="482190" cy="326869"/>
          <a:chOff x="3740581" y="4615607"/>
          <a:chExt cx="588196" cy="312799"/>
        </a:xfrm>
      </xdr:grpSpPr>
      <xdr:cxnSp macro="">
        <xdr:nvCxnSpPr>
          <xdr:cNvPr id="74" name="Elbow Connector 73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CxnSpPr/>
        </xdr:nvCxnSpPr>
        <xdr:spPr>
          <a:xfrm>
            <a:off x="3740581" y="4768205"/>
            <a:ext cx="588196" cy="160201"/>
          </a:xfrm>
          <a:prstGeom prst="bentConnector3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Elbow Connector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CxnSpPr/>
        </xdr:nvCxnSpPr>
        <xdr:spPr>
          <a:xfrm flipV="1">
            <a:off x="3740581" y="4615607"/>
            <a:ext cx="588196" cy="117930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662654</xdr:colOff>
      <xdr:row>10</xdr:row>
      <xdr:rowOff>2001</xdr:rowOff>
    </xdr:from>
    <xdr:to>
      <xdr:col>38</xdr:col>
      <xdr:colOff>51446</xdr:colOff>
      <xdr:row>30</xdr:row>
      <xdr:rowOff>14018</xdr:rowOff>
    </xdr:to>
    <xdr:grpSp>
      <xdr:nvGrpSpPr>
        <xdr:cNvPr id="218" name="Group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>
          <a:grpSpLocks noChangeAspect="1"/>
        </xdr:cNvGrpSpPr>
      </xdr:nvGrpSpPr>
      <xdr:grpSpPr>
        <a:xfrm>
          <a:off x="13239464" y="1988644"/>
          <a:ext cx="11390292" cy="4370113"/>
          <a:chOff x="13239750" y="1986643"/>
          <a:chExt cx="11382083" cy="4372314"/>
        </a:xfrm>
      </xdr:grpSpPr>
      <xdr:grpSp>
        <xdr:nvGrpSpPr>
          <xdr:cNvPr id="183" name="Group 182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GrpSpPr>
            <a:grpSpLocks noChangeAspect="1"/>
          </xdr:cNvGrpSpPr>
        </xdr:nvGrpSpPr>
        <xdr:grpSpPr>
          <a:xfrm>
            <a:off x="13239750" y="1986643"/>
            <a:ext cx="3419733" cy="860016"/>
            <a:chOff x="520414" y="633351"/>
            <a:chExt cx="3415923" cy="867636"/>
          </a:xfrm>
        </xdr:grpSpPr>
        <xdr:sp macro="" textlink="">
          <xdr:nvSpPr>
            <xdr:cNvPr id="215" name="Rectángulo 68">
              <a:extLst>
                <a:ext uri="{FF2B5EF4-FFF2-40B4-BE49-F238E27FC236}">
                  <a16:creationId xmlns:a16="http://schemas.microsoft.com/office/drawing/2014/main" id="{00000000-0008-0000-0000-0000D7000000}"/>
                </a:ext>
              </a:extLst>
            </xdr:cNvPr>
            <xdr:cNvSpPr/>
          </xdr:nvSpPr>
          <xdr:spPr>
            <a:xfrm>
              <a:off x="520414" y="1000488"/>
              <a:ext cx="3415922" cy="5004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16" name="Rectángulo 69">
              <a:extLst>
                <a:ext uri="{FF2B5EF4-FFF2-40B4-BE49-F238E27FC236}">
                  <a16:creationId xmlns:a16="http://schemas.microsoft.com/office/drawing/2014/main" id="{00000000-0008-0000-0000-0000D8000000}"/>
                </a:ext>
              </a:extLst>
            </xdr:cNvPr>
            <xdr:cNvSpPr/>
          </xdr:nvSpPr>
          <xdr:spPr>
            <a:xfrm>
              <a:off x="520415" y="633351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i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Inputs</a:t>
              </a:r>
            </a:p>
          </xdr:txBody>
        </xdr:sp>
        <xdr:sp macro="" textlink="">
          <xdr:nvSpPr>
            <xdr:cNvPr id="217" name="Rectangle 216">
              <a:extLst>
                <a:ext uri="{FF2B5EF4-FFF2-40B4-BE49-F238E27FC236}">
                  <a16:creationId xmlns:a16="http://schemas.microsoft.com/office/drawing/2014/main" id="{00000000-0008-0000-0000-0000D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1135287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en-US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SANTANDER_INMUEBLES (Gloval) </a:t>
              </a:r>
              <a:endParaRPr kumimoji="0" lang="pt-BR" altLang="pt-PT" sz="12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endParaRPr>
            </a:p>
          </xdr:txBody>
        </xdr:sp>
      </xdr:grpSp>
      <xdr:grpSp>
        <xdr:nvGrpSpPr>
          <xdr:cNvPr id="184" name="Group 183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GrpSpPr>
            <a:grpSpLocks noChangeAspect="1"/>
          </xdr:cNvGrpSpPr>
        </xdr:nvGrpSpPr>
        <xdr:grpSpPr>
          <a:xfrm>
            <a:off x="13241655" y="3068642"/>
            <a:ext cx="3415923" cy="869541"/>
            <a:chOff x="520414" y="1738251"/>
            <a:chExt cx="3415923" cy="867636"/>
          </a:xfrm>
        </xdr:grpSpPr>
        <xdr:sp macro="" textlink="">
          <xdr:nvSpPr>
            <xdr:cNvPr id="212" name="Rectángulo 68">
              <a:extLst>
                <a:ext uri="{FF2B5EF4-FFF2-40B4-BE49-F238E27FC236}">
                  <a16:creationId xmlns:a16="http://schemas.microsoft.com/office/drawing/2014/main" id="{00000000-0008-0000-0000-0000D4000000}"/>
                </a:ext>
              </a:extLst>
            </xdr:cNvPr>
            <xdr:cNvSpPr/>
          </xdr:nvSpPr>
          <xdr:spPr>
            <a:xfrm>
              <a:off x="520414" y="2105388"/>
              <a:ext cx="3415922" cy="5004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13" name="Rectángulo 69">
              <a:extLst>
                <a:ext uri="{FF2B5EF4-FFF2-40B4-BE49-F238E27FC236}">
                  <a16:creationId xmlns:a16="http://schemas.microsoft.com/office/drawing/2014/main" id="{00000000-0008-0000-0000-0000D5000000}"/>
                </a:ext>
              </a:extLst>
            </xdr:cNvPr>
            <xdr:cNvSpPr/>
          </xdr:nvSpPr>
          <xdr:spPr>
            <a:xfrm>
              <a:off x="520415" y="1738251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MUG</a:t>
              </a:r>
            </a:p>
          </xdr:txBody>
        </xdr:sp>
        <xdr:sp macro="" textlink="">
          <xdr:nvSpPr>
            <xdr:cNvPr id="214" name="Rectangle 213">
              <a:extLst>
                <a:ext uri="{FF2B5EF4-FFF2-40B4-BE49-F238E27FC236}">
                  <a16:creationId xmlns:a16="http://schemas.microsoft.com/office/drawing/2014/main" id="{00000000-0008-0000-0000-0000D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2240187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Imóveis colaterizados</a:t>
              </a:r>
            </a:p>
          </xdr:txBody>
        </xdr:sp>
      </xdr:grpSp>
      <xdr:grpSp>
        <xdr:nvGrpSpPr>
          <xdr:cNvPr id="185" name="Group 184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GrpSpPr>
            <a:grpSpLocks noChangeAspect="1"/>
          </xdr:cNvGrpSpPr>
        </xdr:nvGrpSpPr>
        <xdr:grpSpPr>
          <a:xfrm>
            <a:off x="13241655" y="5495131"/>
            <a:ext cx="3415923" cy="863826"/>
            <a:chOff x="520414" y="4143744"/>
            <a:chExt cx="3415923" cy="867636"/>
          </a:xfrm>
        </xdr:grpSpPr>
        <xdr:sp macro="" textlink="">
          <xdr:nvSpPr>
            <xdr:cNvPr id="209" name="Rectángulo 68">
              <a:extLst>
                <a:ext uri="{FF2B5EF4-FFF2-40B4-BE49-F238E27FC236}">
                  <a16:creationId xmlns:a16="http://schemas.microsoft.com/office/drawing/2014/main" id="{00000000-0008-0000-0000-0000D1000000}"/>
                </a:ext>
              </a:extLst>
            </xdr:cNvPr>
            <xdr:cNvSpPr/>
          </xdr:nvSpPr>
          <xdr:spPr>
            <a:xfrm>
              <a:off x="520414" y="4510881"/>
              <a:ext cx="3415922" cy="5004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10" name="Rectángulo 69">
              <a:extLst>
                <a:ext uri="{FF2B5EF4-FFF2-40B4-BE49-F238E27FC236}">
                  <a16:creationId xmlns:a16="http://schemas.microsoft.com/office/drawing/2014/main" id="{00000000-0008-0000-0000-0000D2000000}"/>
                </a:ext>
              </a:extLst>
            </xdr:cNvPr>
            <xdr:cNvSpPr/>
          </xdr:nvSpPr>
          <xdr:spPr>
            <a:xfrm>
              <a:off x="520415" y="4143744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IVT</a:t>
              </a:r>
            </a:p>
          </xdr:txBody>
        </xdr:sp>
        <xdr:sp macro="" textlink="">
          <xdr:nvSpPr>
            <xdr:cNvPr id="211" name="Rectangle 210">
              <a:extLst>
                <a:ext uri="{FF2B5EF4-FFF2-40B4-BE49-F238E27FC236}">
                  <a16:creationId xmlns:a16="http://schemas.microsoft.com/office/drawing/2014/main" id="{00000000-0008-0000-0000-0000D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4645680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Imóveis adjudicados</a:t>
              </a:r>
              <a:r>
                <a:rPr lang="en-US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 </a:t>
              </a:r>
              <a:endParaRPr kumimoji="0" lang="pt-BR" altLang="pt-PT" sz="12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endParaRPr>
            </a:p>
          </xdr:txBody>
        </xdr:sp>
      </xdr:grpSp>
      <xdr:sp macro="" textlink="">
        <xdr:nvSpPr>
          <xdr:cNvPr id="186" name="Rectángulo 69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SpPr>
            <a:spLocks noChangeAspect="1"/>
          </xdr:cNvSpPr>
        </xdr:nvSpPr>
        <xdr:spPr>
          <a:xfrm>
            <a:off x="17219563" y="1986643"/>
            <a:ext cx="3412590" cy="340305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defTabSz="914400">
              <a:defRPr/>
            </a:pPr>
            <a:r>
              <a:rPr lang="en-GB" sz="1200" b="1">
                <a:solidFill>
                  <a:prstClr val="white"/>
                </a:solidFill>
                <a:latin typeface="Santander Text" panose="020B0504020201020104" pitchFamily="34" charset="0"/>
              </a:rPr>
              <a:t>Bens Imóveis - </a:t>
            </a:r>
            <a:r>
              <a:rPr lang="en-GB" sz="1200" b="1" i="1">
                <a:solidFill>
                  <a:prstClr val="white"/>
                </a:solidFill>
                <a:latin typeface="Santander Text" panose="020B0504020201020104" pitchFamily="34" charset="0"/>
              </a:rPr>
              <a:t>Inputs</a:t>
            </a:r>
          </a:p>
        </xdr:txBody>
      </xdr:sp>
      <xdr:grpSp>
        <xdr:nvGrpSpPr>
          <xdr:cNvPr id="187" name="Group 186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GrpSpPr>
            <a:grpSpLocks noChangeAspect="1"/>
          </xdr:cNvGrpSpPr>
        </xdr:nvGrpSpPr>
        <xdr:grpSpPr>
          <a:xfrm>
            <a:off x="17210176" y="2353780"/>
            <a:ext cx="3423542" cy="497912"/>
            <a:chOff x="4490840" y="1002094"/>
            <a:chExt cx="3415922" cy="507437"/>
          </a:xfrm>
        </xdr:grpSpPr>
        <xdr:sp macro="" textlink="">
          <xdr:nvSpPr>
            <xdr:cNvPr id="207" name="Rectángulo 68">
              <a:extLst>
                <a:ext uri="{FF2B5EF4-FFF2-40B4-BE49-F238E27FC236}">
                  <a16:creationId xmlns:a16="http://schemas.microsoft.com/office/drawing/2014/main" id="{00000000-0008-0000-0000-0000CF000000}"/>
                </a:ext>
              </a:extLst>
            </xdr:cNvPr>
            <xdr:cNvSpPr/>
          </xdr:nvSpPr>
          <xdr:spPr>
            <a:xfrm>
              <a:off x="4490840" y="1002094"/>
              <a:ext cx="3415922" cy="507437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08" name="Rectangle 207">
              <a:extLst>
                <a:ext uri="{FF2B5EF4-FFF2-40B4-BE49-F238E27FC236}">
                  <a16:creationId xmlns:a16="http://schemas.microsoft.com/office/drawing/2014/main" id="{00000000-0008-0000-0000-0000D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721001" y="1140362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cd_imv_inp_certif_estimativa</a:t>
              </a:r>
            </a:p>
          </xdr:txBody>
        </xdr:sp>
      </xdr:grpSp>
      <xdr:cxnSp macro="">
        <xdr:nvCxnSpPr>
          <xdr:cNvPr id="188" name="Straight Arrow Connector 187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CxnSpPr>
            <a:cxnSpLocks noChangeAspect="1"/>
          </xdr:cNvCxnSpPr>
        </xdr:nvCxnSpPr>
        <xdr:spPr>
          <a:xfrm>
            <a:off x="16631367" y="2597062"/>
            <a:ext cx="564898" cy="0"/>
          </a:xfrm>
          <a:prstGeom prst="straightConnector1">
            <a:avLst/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grpSp>
        <xdr:nvGrpSpPr>
          <xdr:cNvPr id="189" name="Group 188">
            <a:extLst>
              <a:ext uri="{FF2B5EF4-FFF2-40B4-BE49-F238E27FC236}">
                <a16:creationId xmlns:a16="http://schemas.microsoft.com/office/drawing/2014/main" id="{00000000-0008-0000-0000-0000BD000000}"/>
              </a:ext>
            </a:extLst>
          </xdr:cNvPr>
          <xdr:cNvGrpSpPr>
            <a:grpSpLocks noChangeAspect="1"/>
          </xdr:cNvGrpSpPr>
        </xdr:nvGrpSpPr>
        <xdr:grpSpPr>
          <a:xfrm>
            <a:off x="13241655" y="4152546"/>
            <a:ext cx="3415923" cy="1128221"/>
            <a:chOff x="520414" y="2870282"/>
            <a:chExt cx="3415923" cy="1132031"/>
          </a:xfrm>
        </xdr:grpSpPr>
        <xdr:sp macro="" textlink="">
          <xdr:nvSpPr>
            <xdr:cNvPr id="203" name="Rectángulo 68">
              <a:extLst>
                <a:ext uri="{FF2B5EF4-FFF2-40B4-BE49-F238E27FC236}">
                  <a16:creationId xmlns:a16="http://schemas.microsoft.com/office/drawing/2014/main" id="{00000000-0008-0000-0000-0000CB000000}"/>
                </a:ext>
              </a:extLst>
            </xdr:cNvPr>
            <xdr:cNvSpPr/>
          </xdr:nvSpPr>
          <xdr:spPr>
            <a:xfrm>
              <a:off x="520414" y="3237419"/>
              <a:ext cx="3415922" cy="764894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204" name="Rectángulo 69">
              <a:extLst>
                <a:ext uri="{FF2B5EF4-FFF2-40B4-BE49-F238E27FC236}">
                  <a16:creationId xmlns:a16="http://schemas.microsoft.com/office/drawing/2014/main" id="{00000000-0008-0000-0000-0000CC000000}"/>
                </a:ext>
              </a:extLst>
            </xdr:cNvPr>
            <xdr:cNvSpPr/>
          </xdr:nvSpPr>
          <xdr:spPr>
            <a:xfrm>
              <a:off x="520415" y="2870282"/>
              <a:ext cx="3415922" cy="340006"/>
            </a:xfrm>
            <a:prstGeom prst="rect">
              <a:avLst/>
            </a:prstGeom>
            <a:solidFill>
              <a:schemeClr val="bg2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GB" sz="1200" b="1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Santander Text" panose="020B0504020201020104" pitchFamily="34" charset="0"/>
                  <a:ea typeface="+mn-ea"/>
                  <a:cs typeface="+mn-cs"/>
                </a:rPr>
                <a:t>Aplicação GP</a:t>
              </a:r>
            </a:p>
          </xdr:txBody>
        </xdr:sp>
        <xdr:sp macro="" textlink="">
          <xdr:nvSpPr>
            <xdr:cNvPr id="205" name="Rectangle 204">
              <a:extLst>
                <a:ext uri="{FF2B5EF4-FFF2-40B4-BE49-F238E27FC236}">
                  <a16:creationId xmlns:a16="http://schemas.microsoft.com/office/drawing/2014/main" id="{00000000-0008-0000-0000-0000CD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3372218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exclusivamente financiados</a:t>
              </a:r>
            </a:p>
          </xdr:txBody>
        </xdr:sp>
        <xdr:sp macro="" textlink="">
          <xdr:nvSpPr>
            <xdr:cNvPr id="206" name="Rectangle 205">
              <a:extLst>
                <a:ext uri="{FF2B5EF4-FFF2-40B4-BE49-F238E27FC236}">
                  <a16:creationId xmlns:a16="http://schemas.microsoft.com/office/drawing/2014/main" id="{00000000-0008-0000-0000-0000C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9858" y="3686543"/>
              <a:ext cx="2957034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r>
                <a:rPr lang="en-US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Bens sobre empr. não hipotecários </a:t>
              </a:r>
              <a:endParaRPr kumimoji="0" lang="pt-BR" altLang="pt-PT" sz="12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endParaRPr>
            </a:p>
          </xdr:txBody>
        </xdr:sp>
      </xdr:grpSp>
      <xdr:sp macro="" textlink="">
        <xdr:nvSpPr>
          <xdr:cNvPr id="190" name="Rectángulo 69">
            <a:extLst>
              <a:ext uri="{FF2B5EF4-FFF2-40B4-BE49-F238E27FC236}">
                <a16:creationId xmlns:a16="http://schemas.microsoft.com/office/drawing/2014/main" id="{00000000-0008-0000-0000-0000BE000000}"/>
              </a:ext>
            </a:extLst>
          </xdr:cNvPr>
          <xdr:cNvSpPr>
            <a:spLocks noChangeAspect="1"/>
          </xdr:cNvSpPr>
        </xdr:nvSpPr>
        <xdr:spPr>
          <a:xfrm>
            <a:off x="21203528" y="1986643"/>
            <a:ext cx="3412590" cy="340305"/>
          </a:xfrm>
          <a:prstGeom prst="rect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ES"/>
            </a:defPPr>
            <a:lvl1pPr marL="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6876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3751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06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74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4377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1250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198124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4998" algn="l" defTabSz="913751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200" b="1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Bens imóveis - </a:t>
            </a:r>
            <a:r>
              <a:rPr kumimoji="0" lang="en-GB" sz="1200" b="1" i="1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Santander Text" panose="020B0504020201020104" pitchFamily="34" charset="0"/>
                <a:ea typeface="+mn-ea"/>
                <a:cs typeface="+mn-cs"/>
              </a:rPr>
              <a:t>Outputs</a:t>
            </a:r>
          </a:p>
        </xdr:txBody>
      </xdr:sp>
      <xdr:grpSp>
        <xdr:nvGrpSpPr>
          <xdr:cNvPr id="191" name="Group 190">
            <a:extLst>
              <a:ext uri="{FF2B5EF4-FFF2-40B4-BE49-F238E27FC236}">
                <a16:creationId xmlns:a16="http://schemas.microsoft.com/office/drawing/2014/main" id="{00000000-0008-0000-0000-0000BF000000}"/>
              </a:ext>
            </a:extLst>
          </xdr:cNvPr>
          <xdr:cNvGrpSpPr>
            <a:grpSpLocks noChangeAspect="1"/>
          </xdr:cNvGrpSpPr>
        </xdr:nvGrpSpPr>
        <xdr:grpSpPr>
          <a:xfrm>
            <a:off x="21200196" y="2353780"/>
            <a:ext cx="3421637" cy="1747244"/>
            <a:chOff x="4814690" y="2904017"/>
            <a:chExt cx="3415922" cy="1749149"/>
          </a:xfrm>
        </xdr:grpSpPr>
        <xdr:sp macro="" textlink="">
          <xdr:nvSpPr>
            <xdr:cNvPr id="196" name="Rectángulo 68">
              <a:extLst>
                <a:ext uri="{FF2B5EF4-FFF2-40B4-BE49-F238E27FC236}">
                  <a16:creationId xmlns:a16="http://schemas.microsoft.com/office/drawing/2014/main" id="{00000000-0008-0000-0000-0000C4000000}"/>
                </a:ext>
              </a:extLst>
            </xdr:cNvPr>
            <xdr:cNvSpPr/>
          </xdr:nvSpPr>
          <xdr:spPr>
            <a:xfrm>
              <a:off x="4814690" y="2904017"/>
              <a:ext cx="3415922" cy="1749149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65000"/>
                </a:schemeClr>
              </a:solidFill>
              <a:prstDash val="lg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t" anchorCtr="0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 defTabSz="914400">
                <a:defRPr/>
              </a:pPr>
              <a:endParaRPr kumimoji="0" lang="es-ES" sz="1400" b="0" i="0" u="none" strike="noStrike" kern="1200" cap="none" spc="0" normalizeH="0" baseline="0">
                <a:ln>
                  <a:noFill/>
                </a:ln>
                <a:solidFill>
                  <a:schemeClr val="bg1">
                    <a:lumMod val="50000"/>
                  </a:schemeClr>
                </a:solidFill>
                <a:effectLst/>
                <a:uLnTx/>
                <a:uFillTx/>
                <a:latin typeface="Calibri" panose="020F0502020204030204"/>
              </a:endParaRPr>
            </a:p>
          </xdr:txBody>
        </xdr:sp>
        <xdr:sp macro="" textlink="">
          <xdr:nvSpPr>
            <xdr:cNvPr id="197" name="Rectangle 196">
              <a:extLst>
                <a:ext uri="{FF2B5EF4-FFF2-40B4-BE49-F238E27FC236}">
                  <a16:creationId xmlns:a16="http://schemas.microsoft.com/office/drawing/2014/main" id="{00000000-0008-0000-0000-0000C5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44851" y="3030243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cd_imv_out_bens</a:t>
              </a:r>
            </a:p>
          </xdr:txBody>
        </xdr:sp>
        <xdr:sp macro="" textlink="">
          <xdr:nvSpPr>
            <xdr:cNvPr id="198" name="Rectangle 197">
              <a:extLst>
                <a:ext uri="{FF2B5EF4-FFF2-40B4-BE49-F238E27FC236}">
                  <a16:creationId xmlns:a16="http://schemas.microsoft.com/office/drawing/2014/main" id="{00000000-0008-0000-0000-0000C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44851" y="3346692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cd_imv_out_certif</a:t>
              </a:r>
            </a:p>
          </xdr:txBody>
        </xdr:sp>
        <xdr:sp macro="" textlink="">
          <xdr:nvSpPr>
            <xdr:cNvPr id="199" name="Rectangle 198">
              <a:extLst>
                <a:ext uri="{FF2B5EF4-FFF2-40B4-BE49-F238E27FC236}">
                  <a16:creationId xmlns:a16="http://schemas.microsoft.com/office/drawing/2014/main" id="{00000000-0008-0000-0000-0000C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44851" y="3663141"/>
              <a:ext cx="2955600" cy="230901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s-ES"/>
              </a:defPPr>
              <a:lvl1pPr marL="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6876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3751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06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74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4377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1250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198124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4998" algn="l" defTabSz="913751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lvl="0" algn="ctr" defTabSz="914400">
                <a:defRPr/>
              </a:pPr>
              <a:r>
                <a: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rPr>
                <a:t>cd_imv_out_prc</a:t>
              </a:r>
            </a:p>
          </xdr:txBody>
        </xdr:sp>
        <xdr:grpSp>
          <xdr:nvGrpSpPr>
            <xdr:cNvPr id="200" name="Group 199">
              <a:extLst>
                <a:ext uri="{FF2B5EF4-FFF2-40B4-BE49-F238E27FC236}">
                  <a16:creationId xmlns:a16="http://schemas.microsoft.com/office/drawing/2014/main" id="{00000000-0008-0000-0000-0000C8000000}"/>
                </a:ext>
              </a:extLst>
            </xdr:cNvPr>
            <xdr:cNvGrpSpPr/>
          </xdr:nvGrpSpPr>
          <xdr:grpSpPr>
            <a:xfrm>
              <a:off x="5044851" y="3979590"/>
              <a:ext cx="2955600" cy="547350"/>
              <a:chOff x="4320951" y="2385099"/>
              <a:chExt cx="2955600" cy="547350"/>
            </a:xfrm>
          </xdr:grpSpPr>
          <xdr:sp macro="" textlink="">
            <xdr:nvSpPr>
              <xdr:cNvPr id="201" name="Rectangle 200">
                <a:extLst>
                  <a:ext uri="{FF2B5EF4-FFF2-40B4-BE49-F238E27FC236}">
                    <a16:creationId xmlns:a16="http://schemas.microsoft.com/office/drawing/2014/main" id="{00000000-0008-0000-0000-0000C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320951" y="2385099"/>
                <a:ext cx="2955600" cy="230901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s-ES"/>
                </a:defPPr>
                <a:lvl1pPr marL="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6876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3751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06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74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4377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125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1981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49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lvl="0" algn="ctr" defTabSz="914400">
                  <a:defRPr/>
                </a:pPr>
                <a:r>
                  <a:rPr lang="en-US" altLang="pt-PT" sz="1200">
                    <a:solidFill>
                      <a:prstClr val="black"/>
                    </a:solidFill>
                    <a:latin typeface="Santander Text" panose="020B0504020201020104" pitchFamily="34" charset="0"/>
                  </a:rPr>
                  <a:t>cd_imv_out_trz_cred_prc</a:t>
                </a:r>
                <a:endPara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endParaRPr>
              </a:p>
            </xdr:txBody>
          </xdr:sp>
          <xdr:sp macro="" textlink="">
            <xdr:nvSpPr>
              <xdr:cNvPr id="202" name="Rectangle 201">
                <a:extLst>
                  <a:ext uri="{FF2B5EF4-FFF2-40B4-BE49-F238E27FC236}">
                    <a16:creationId xmlns:a16="http://schemas.microsoft.com/office/drawing/2014/main" id="{00000000-0008-0000-0000-0000C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320951" y="2701548"/>
                <a:ext cx="2955600" cy="230901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s-ES"/>
                </a:defPPr>
                <a:lvl1pPr marL="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6876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3751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06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74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4377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1250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198124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4998" algn="l" defTabSz="913751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lvl="0" algn="ctr" defTabSz="914400">
                  <a:defRPr/>
                </a:pPr>
                <a:r>
                  <a:rPr lang="en-US" altLang="pt-PT" sz="1200">
                    <a:solidFill>
                      <a:prstClr val="black"/>
                    </a:solidFill>
                    <a:latin typeface="Santander Text" panose="020B0504020201020104" pitchFamily="34" charset="0"/>
                  </a:rPr>
                  <a:t>cd_imv_out_trz_prc_bens_imv</a:t>
                </a:r>
                <a:endParaRPr lang="pt-BR" altLang="pt-PT" sz="1200">
                  <a:solidFill>
                    <a:prstClr val="black"/>
                  </a:solidFill>
                  <a:latin typeface="Santander Text" panose="020B0504020201020104" pitchFamily="34" charset="0"/>
                </a:endParaRPr>
              </a:p>
            </xdr:txBody>
          </xdr:sp>
        </xdr:grpSp>
      </xdr:grpSp>
      <xdr:cxnSp macro="">
        <xdr:nvCxnSpPr>
          <xdr:cNvPr id="192" name="Elbow Connector 96">
            <a:extLst>
              <a:ext uri="{FF2B5EF4-FFF2-40B4-BE49-F238E27FC236}">
                <a16:creationId xmlns:a16="http://schemas.microsoft.com/office/drawing/2014/main" id="{00000000-0008-0000-0000-0000C0000000}"/>
              </a:ext>
            </a:extLst>
          </xdr:cNvPr>
          <xdr:cNvCxnSpPr>
            <a:cxnSpLocks noChangeAspect="1"/>
            <a:stCxn id="212" idx="3"/>
            <a:endCxn id="196" idx="1"/>
          </xdr:cNvCxnSpPr>
        </xdr:nvCxnSpPr>
        <xdr:spPr>
          <a:xfrm flipV="1">
            <a:off x="16657577" y="3227402"/>
            <a:ext cx="4542619" cy="452362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3" name="Elbow Connector 97">
            <a:extLst>
              <a:ext uri="{FF2B5EF4-FFF2-40B4-BE49-F238E27FC236}">
                <a16:creationId xmlns:a16="http://schemas.microsoft.com/office/drawing/2014/main" id="{00000000-0008-0000-0000-0000C1000000}"/>
              </a:ext>
            </a:extLst>
          </xdr:cNvPr>
          <xdr:cNvCxnSpPr>
            <a:cxnSpLocks noChangeAspect="1"/>
            <a:endCxn id="196" idx="1"/>
          </xdr:cNvCxnSpPr>
        </xdr:nvCxnSpPr>
        <xdr:spPr>
          <a:xfrm flipV="1">
            <a:off x="16669605" y="3227402"/>
            <a:ext cx="4530591" cy="1676634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4" name="Elbow Connector 98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CxnSpPr>
            <a:cxnSpLocks noChangeAspect="1"/>
            <a:endCxn id="196" idx="1"/>
          </xdr:cNvCxnSpPr>
        </xdr:nvCxnSpPr>
        <xdr:spPr>
          <a:xfrm flipV="1">
            <a:off x="16671660" y="3227402"/>
            <a:ext cx="4528536" cy="2885838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5" name="Elbow Connector 96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CxnSpPr>
            <a:cxnSpLocks/>
          </xdr:cNvCxnSpPr>
        </xdr:nvCxnSpPr>
        <xdr:spPr>
          <a:xfrm>
            <a:off x="20655403" y="2581779"/>
            <a:ext cx="753986" cy="352607"/>
          </a:xfrm>
          <a:prstGeom prst="bentConnector3">
            <a:avLst>
              <a:gd name="adj1" fmla="val 50000"/>
            </a:avLst>
          </a:prstGeom>
          <a:ln>
            <a:solidFill>
              <a:schemeClr val="bg1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625783</xdr:colOff>
      <xdr:row>29</xdr:row>
      <xdr:rowOff>56381</xdr:rowOff>
    </xdr:from>
    <xdr:to>
      <xdr:col>13</xdr:col>
      <xdr:colOff>479957</xdr:colOff>
      <xdr:row>29</xdr:row>
      <xdr:rowOff>56381</xdr:rowOff>
    </xdr:to>
    <xdr:cxnSp macro="">
      <xdr:nvCxnSpPr>
        <xdr:cNvPr id="221" name="Straight Arrow Connector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CxnSpPr>
          <a:stCxn id="45" idx="3"/>
          <a:endCxn id="52" idx="1"/>
        </xdr:cNvCxnSpPr>
      </xdr:nvCxnSpPr>
      <xdr:spPr>
        <a:xfrm>
          <a:off x="7932018" y="6354087"/>
          <a:ext cx="526527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625783</xdr:colOff>
      <xdr:row>35</xdr:row>
      <xdr:rowOff>144332</xdr:rowOff>
    </xdr:from>
    <xdr:to>
      <xdr:col>13</xdr:col>
      <xdr:colOff>479957</xdr:colOff>
      <xdr:row>35</xdr:row>
      <xdr:rowOff>144332</xdr:rowOff>
    </xdr:to>
    <xdr:cxnSp macro="">
      <xdr:nvCxnSpPr>
        <xdr:cNvPr id="224" name="Straight Arrow Connector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CxnSpPr>
          <a:stCxn id="61" idx="3"/>
          <a:endCxn id="68" idx="1"/>
        </xdr:cNvCxnSpPr>
      </xdr:nvCxnSpPr>
      <xdr:spPr>
        <a:xfrm>
          <a:off x="7932018" y="7786744"/>
          <a:ext cx="526527" cy="0"/>
        </a:xfrm>
        <a:prstGeom prst="straightConnector1">
          <a:avLst/>
        </a:prstGeom>
        <a:ln>
          <a:solidFill>
            <a:schemeClr val="bg1">
              <a:lumMod val="75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245218</xdr:colOff>
      <xdr:row>19</xdr:row>
      <xdr:rowOff>0</xdr:rowOff>
    </xdr:from>
    <xdr:to>
      <xdr:col>6</xdr:col>
      <xdr:colOff>151318</xdr:colOff>
      <xdr:row>29</xdr:row>
      <xdr:rowOff>55805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1</xdr:row>
      <xdr:rowOff>0</xdr:rowOff>
    </xdr:from>
    <xdr:to>
      <xdr:col>2</xdr:col>
      <xdr:colOff>571682</xdr:colOff>
      <xdr:row>1</xdr:row>
      <xdr:rowOff>151838</xdr:rowOff>
    </xdr:to>
    <xdr:pic>
      <xdr:nvPicPr>
        <xdr:cNvPr id="9" name="Gráfico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5750" y="217714"/>
          <a:ext cx="857432" cy="151838"/>
        </a:xfrm>
        <a:prstGeom prst="rect">
          <a:avLst/>
        </a:prstGeom>
      </xdr:spPr>
    </xdr:pic>
    <xdr:clientData/>
  </xdr:twoCellAnchor>
  <xdr:twoCellAnchor>
    <xdr:from>
      <xdr:col>3</xdr:col>
      <xdr:colOff>54698</xdr:colOff>
      <xdr:row>0</xdr:row>
      <xdr:rowOff>92802</xdr:rowOff>
    </xdr:from>
    <xdr:to>
      <xdr:col>4</xdr:col>
      <xdr:colOff>330012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2948" y="92802"/>
          <a:ext cx="942064" cy="436009"/>
        </a:xfrm>
        <a:prstGeom prst="rect">
          <a:avLst/>
        </a:prstGeom>
      </xdr:spPr>
    </xdr:pic>
    <xdr:clientData/>
  </xdr:twoCellAnchor>
  <xdr:twoCellAnchor>
    <xdr:from>
      <xdr:col>14</xdr:col>
      <xdr:colOff>522636</xdr:colOff>
      <xdr:row>20</xdr:row>
      <xdr:rowOff>60414</xdr:rowOff>
    </xdr:from>
    <xdr:to>
      <xdr:col>14</xdr:col>
      <xdr:colOff>621111</xdr:colOff>
      <xdr:row>20</xdr:row>
      <xdr:rowOff>174129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/>
        </xdr:cNvSpPr>
      </xdr:nvSpPr>
      <xdr:spPr>
        <a:xfrm>
          <a:off x="9173577" y="4845326"/>
          <a:ext cx="98475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21</xdr:row>
      <xdr:rowOff>57538</xdr:rowOff>
    </xdr:from>
    <xdr:to>
      <xdr:col>14</xdr:col>
      <xdr:colOff>621111</xdr:colOff>
      <xdr:row>21</xdr:row>
      <xdr:rowOff>169348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/>
        </xdr:cNvSpPr>
      </xdr:nvSpPr>
      <xdr:spPr>
        <a:xfrm>
          <a:off x="9173577" y="5066567"/>
          <a:ext cx="98475" cy="11181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22</xdr:row>
      <xdr:rowOff>56118</xdr:rowOff>
    </xdr:from>
    <xdr:to>
      <xdr:col>14</xdr:col>
      <xdr:colOff>621111</xdr:colOff>
      <xdr:row>22</xdr:row>
      <xdr:rowOff>173643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/>
        </xdr:cNvSpPr>
      </xdr:nvSpPr>
      <xdr:spPr>
        <a:xfrm>
          <a:off x="9173577" y="5289265"/>
          <a:ext cx="98475" cy="11752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23</xdr:row>
      <xdr:rowOff>60189</xdr:rowOff>
    </xdr:from>
    <xdr:to>
      <xdr:col>14</xdr:col>
      <xdr:colOff>632959</xdr:colOff>
      <xdr:row>23</xdr:row>
      <xdr:rowOff>167769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/>
        </xdr:cNvSpPr>
      </xdr:nvSpPr>
      <xdr:spPr>
        <a:xfrm>
          <a:off x="9173575" y="5517454"/>
          <a:ext cx="110325" cy="10758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24</xdr:row>
      <xdr:rowOff>74234</xdr:rowOff>
    </xdr:from>
    <xdr:to>
      <xdr:col>14</xdr:col>
      <xdr:colOff>621111</xdr:colOff>
      <xdr:row>24</xdr:row>
      <xdr:rowOff>189854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spect="1"/>
        </xdr:cNvSpPr>
      </xdr:nvSpPr>
      <xdr:spPr>
        <a:xfrm>
          <a:off x="9173577" y="5755616"/>
          <a:ext cx="98475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25</xdr:row>
      <xdr:rowOff>74943</xdr:rowOff>
    </xdr:from>
    <xdr:to>
      <xdr:col>14</xdr:col>
      <xdr:colOff>621111</xdr:colOff>
      <xdr:row>25</xdr:row>
      <xdr:rowOff>188658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/>
        </xdr:cNvSpPr>
      </xdr:nvSpPr>
      <xdr:spPr>
        <a:xfrm>
          <a:off x="9173577" y="5980443"/>
          <a:ext cx="98475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27</xdr:row>
      <xdr:rowOff>56346</xdr:rowOff>
    </xdr:from>
    <xdr:to>
      <xdr:col>14</xdr:col>
      <xdr:colOff>621111</xdr:colOff>
      <xdr:row>27</xdr:row>
      <xdr:rowOff>173871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/>
        </xdr:cNvSpPr>
      </xdr:nvSpPr>
      <xdr:spPr>
        <a:xfrm>
          <a:off x="9173577" y="6410081"/>
          <a:ext cx="98475" cy="11752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26</xdr:row>
      <xdr:rowOff>92090</xdr:rowOff>
    </xdr:from>
    <xdr:to>
      <xdr:col>14</xdr:col>
      <xdr:colOff>621111</xdr:colOff>
      <xdr:row>26</xdr:row>
      <xdr:rowOff>209615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/>
        </xdr:cNvSpPr>
      </xdr:nvSpPr>
      <xdr:spPr>
        <a:xfrm>
          <a:off x="9173577" y="6221708"/>
          <a:ext cx="98475" cy="11752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39</xdr:row>
      <xdr:rowOff>60414</xdr:rowOff>
    </xdr:from>
    <xdr:to>
      <xdr:col>14</xdr:col>
      <xdr:colOff>621111</xdr:colOff>
      <xdr:row>39</xdr:row>
      <xdr:rowOff>174129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/>
        </xdr:cNvSpPr>
      </xdr:nvSpPr>
      <xdr:spPr>
        <a:xfrm>
          <a:off x="9171672" y="4617398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40</xdr:row>
      <xdr:rowOff>57538</xdr:rowOff>
    </xdr:from>
    <xdr:to>
      <xdr:col>14</xdr:col>
      <xdr:colOff>621111</xdr:colOff>
      <xdr:row>40</xdr:row>
      <xdr:rowOff>169348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spect="1"/>
        </xdr:cNvSpPr>
      </xdr:nvSpPr>
      <xdr:spPr>
        <a:xfrm>
          <a:off x="9171672" y="4838640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41</xdr:row>
      <xdr:rowOff>56118</xdr:rowOff>
    </xdr:from>
    <xdr:to>
      <xdr:col>14</xdr:col>
      <xdr:colOff>621111</xdr:colOff>
      <xdr:row>41</xdr:row>
      <xdr:rowOff>173643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spect="1"/>
        </xdr:cNvSpPr>
      </xdr:nvSpPr>
      <xdr:spPr>
        <a:xfrm>
          <a:off x="9171672" y="5068957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42</xdr:row>
      <xdr:rowOff>60189</xdr:rowOff>
    </xdr:from>
    <xdr:to>
      <xdr:col>14</xdr:col>
      <xdr:colOff>632959</xdr:colOff>
      <xdr:row>42</xdr:row>
      <xdr:rowOff>167769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/>
        </xdr:cNvSpPr>
      </xdr:nvSpPr>
      <xdr:spPr>
        <a:xfrm>
          <a:off x="9171670" y="5289526"/>
          <a:ext cx="108420" cy="1152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43</xdr:row>
      <xdr:rowOff>74234</xdr:rowOff>
    </xdr:from>
    <xdr:to>
      <xdr:col>14</xdr:col>
      <xdr:colOff>621111</xdr:colOff>
      <xdr:row>43</xdr:row>
      <xdr:rowOff>189854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/>
        </xdr:cNvSpPr>
      </xdr:nvSpPr>
      <xdr:spPr>
        <a:xfrm>
          <a:off x="9171672" y="5531499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44</xdr:row>
      <xdr:rowOff>74943</xdr:rowOff>
    </xdr:from>
    <xdr:to>
      <xdr:col>14</xdr:col>
      <xdr:colOff>621111</xdr:colOff>
      <xdr:row>44</xdr:row>
      <xdr:rowOff>188658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/>
        </xdr:cNvSpPr>
      </xdr:nvSpPr>
      <xdr:spPr>
        <a:xfrm>
          <a:off x="9171672" y="5756325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46</xdr:row>
      <xdr:rowOff>56346</xdr:rowOff>
    </xdr:from>
    <xdr:to>
      <xdr:col>14</xdr:col>
      <xdr:colOff>621111</xdr:colOff>
      <xdr:row>46</xdr:row>
      <xdr:rowOff>173871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spect="1"/>
        </xdr:cNvSpPr>
      </xdr:nvSpPr>
      <xdr:spPr>
        <a:xfrm>
          <a:off x="9171672" y="6189774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45</xdr:row>
      <xdr:rowOff>92090</xdr:rowOff>
    </xdr:from>
    <xdr:to>
      <xdr:col>14</xdr:col>
      <xdr:colOff>621111</xdr:colOff>
      <xdr:row>45</xdr:row>
      <xdr:rowOff>209615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spect="1"/>
        </xdr:cNvSpPr>
      </xdr:nvSpPr>
      <xdr:spPr>
        <a:xfrm>
          <a:off x="9171672" y="6001400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61</xdr:row>
      <xdr:rowOff>60414</xdr:rowOff>
    </xdr:from>
    <xdr:to>
      <xdr:col>14</xdr:col>
      <xdr:colOff>621111</xdr:colOff>
      <xdr:row>61</xdr:row>
      <xdr:rowOff>174129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spect="1"/>
        </xdr:cNvSpPr>
      </xdr:nvSpPr>
      <xdr:spPr>
        <a:xfrm>
          <a:off x="9171672" y="8102428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62</xdr:row>
      <xdr:rowOff>57538</xdr:rowOff>
    </xdr:from>
    <xdr:to>
      <xdr:col>14</xdr:col>
      <xdr:colOff>621111</xdr:colOff>
      <xdr:row>62</xdr:row>
      <xdr:rowOff>169348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spect="1"/>
        </xdr:cNvSpPr>
      </xdr:nvSpPr>
      <xdr:spPr>
        <a:xfrm>
          <a:off x="9171672" y="8323669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63</xdr:row>
      <xdr:rowOff>56118</xdr:rowOff>
    </xdr:from>
    <xdr:to>
      <xdr:col>14</xdr:col>
      <xdr:colOff>621111</xdr:colOff>
      <xdr:row>63</xdr:row>
      <xdr:rowOff>173643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spect="1"/>
        </xdr:cNvSpPr>
      </xdr:nvSpPr>
      <xdr:spPr>
        <a:xfrm>
          <a:off x="9171672" y="8553987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64</xdr:row>
      <xdr:rowOff>60189</xdr:rowOff>
    </xdr:from>
    <xdr:to>
      <xdr:col>14</xdr:col>
      <xdr:colOff>632959</xdr:colOff>
      <xdr:row>64</xdr:row>
      <xdr:rowOff>167769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/>
        </xdr:cNvSpPr>
      </xdr:nvSpPr>
      <xdr:spPr>
        <a:xfrm>
          <a:off x="9171670" y="8774555"/>
          <a:ext cx="108420" cy="1152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65</xdr:row>
      <xdr:rowOff>74234</xdr:rowOff>
    </xdr:from>
    <xdr:to>
      <xdr:col>14</xdr:col>
      <xdr:colOff>621111</xdr:colOff>
      <xdr:row>65</xdr:row>
      <xdr:rowOff>189854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spect="1"/>
        </xdr:cNvSpPr>
      </xdr:nvSpPr>
      <xdr:spPr>
        <a:xfrm>
          <a:off x="9171672" y="9016528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66</xdr:row>
      <xdr:rowOff>74943</xdr:rowOff>
    </xdr:from>
    <xdr:to>
      <xdr:col>14</xdr:col>
      <xdr:colOff>621111</xdr:colOff>
      <xdr:row>66</xdr:row>
      <xdr:rowOff>188658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spect="1"/>
        </xdr:cNvSpPr>
      </xdr:nvSpPr>
      <xdr:spPr>
        <a:xfrm>
          <a:off x="9171672" y="9241355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68</xdr:row>
      <xdr:rowOff>56346</xdr:rowOff>
    </xdr:from>
    <xdr:to>
      <xdr:col>14</xdr:col>
      <xdr:colOff>621111</xdr:colOff>
      <xdr:row>68</xdr:row>
      <xdr:rowOff>173871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spect="1"/>
        </xdr:cNvSpPr>
      </xdr:nvSpPr>
      <xdr:spPr>
        <a:xfrm>
          <a:off x="9171672" y="9674803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67</xdr:row>
      <xdr:rowOff>92090</xdr:rowOff>
    </xdr:from>
    <xdr:to>
      <xdr:col>14</xdr:col>
      <xdr:colOff>621111</xdr:colOff>
      <xdr:row>67</xdr:row>
      <xdr:rowOff>209615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spect="1"/>
        </xdr:cNvSpPr>
      </xdr:nvSpPr>
      <xdr:spPr>
        <a:xfrm>
          <a:off x="9171672" y="9486429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351191</xdr:colOff>
      <xdr:row>38</xdr:row>
      <xdr:rowOff>76535</xdr:rowOff>
    </xdr:from>
    <xdr:to>
      <xdr:col>14</xdr:col>
      <xdr:colOff>254373</xdr:colOff>
      <xdr:row>56</xdr:row>
      <xdr:rowOff>87923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255772</xdr:colOff>
      <xdr:row>37</xdr:row>
      <xdr:rowOff>95817</xdr:rowOff>
    </xdr:from>
    <xdr:to>
      <xdr:col>6</xdr:col>
      <xdr:colOff>67836</xdr:colOff>
      <xdr:row>49</xdr:row>
      <xdr:rowOff>55192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93006</xdr:colOff>
      <xdr:row>60</xdr:row>
      <xdr:rowOff>37660</xdr:rowOff>
    </xdr:from>
    <xdr:to>
      <xdr:col>14</xdr:col>
      <xdr:colOff>397922</xdr:colOff>
      <xdr:row>71</xdr:row>
      <xdr:rowOff>93458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16605</xdr:colOff>
      <xdr:row>59</xdr:row>
      <xdr:rowOff>37656</xdr:rowOff>
    </xdr:from>
    <xdr:to>
      <xdr:col>5</xdr:col>
      <xdr:colOff>664817</xdr:colOff>
      <xdr:row>71</xdr:row>
      <xdr:rowOff>110495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522636</xdr:colOff>
      <xdr:row>77</xdr:row>
      <xdr:rowOff>60414</xdr:rowOff>
    </xdr:from>
    <xdr:to>
      <xdr:col>14</xdr:col>
      <xdr:colOff>621111</xdr:colOff>
      <xdr:row>77</xdr:row>
      <xdr:rowOff>174129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spect="1"/>
        </xdr:cNvSpPr>
      </xdr:nvSpPr>
      <xdr:spPr>
        <a:xfrm>
          <a:off x="9171672" y="12932163"/>
          <a:ext cx="104190" cy="113715"/>
        </a:xfrm>
        <a:prstGeom prst="ellipse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78</xdr:row>
      <xdr:rowOff>57538</xdr:rowOff>
    </xdr:from>
    <xdr:to>
      <xdr:col>14</xdr:col>
      <xdr:colOff>621111</xdr:colOff>
      <xdr:row>78</xdr:row>
      <xdr:rowOff>169348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spect="1"/>
        </xdr:cNvSpPr>
      </xdr:nvSpPr>
      <xdr:spPr>
        <a:xfrm>
          <a:off x="9171672" y="13153404"/>
          <a:ext cx="104190" cy="11943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79</xdr:row>
      <xdr:rowOff>56118</xdr:rowOff>
    </xdr:from>
    <xdr:to>
      <xdr:col>14</xdr:col>
      <xdr:colOff>621111</xdr:colOff>
      <xdr:row>79</xdr:row>
      <xdr:rowOff>173643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spect="1"/>
        </xdr:cNvSpPr>
      </xdr:nvSpPr>
      <xdr:spPr>
        <a:xfrm>
          <a:off x="9171672" y="13383722"/>
          <a:ext cx="104190" cy="109905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522634</xdr:colOff>
      <xdr:row>80</xdr:row>
      <xdr:rowOff>60189</xdr:rowOff>
    </xdr:from>
    <xdr:to>
      <xdr:col>14</xdr:col>
      <xdr:colOff>632959</xdr:colOff>
      <xdr:row>80</xdr:row>
      <xdr:rowOff>167769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/>
        </xdr:cNvSpPr>
      </xdr:nvSpPr>
      <xdr:spPr>
        <a:xfrm>
          <a:off x="9171670" y="13604291"/>
          <a:ext cx="108420" cy="1152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81</xdr:row>
      <xdr:rowOff>74234</xdr:rowOff>
    </xdr:from>
    <xdr:to>
      <xdr:col>14</xdr:col>
      <xdr:colOff>621111</xdr:colOff>
      <xdr:row>81</xdr:row>
      <xdr:rowOff>189854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spect="1"/>
        </xdr:cNvSpPr>
      </xdr:nvSpPr>
      <xdr:spPr>
        <a:xfrm>
          <a:off x="9171672" y="13846263"/>
          <a:ext cx="104190" cy="115620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82</xdr:row>
      <xdr:rowOff>74943</xdr:rowOff>
    </xdr:from>
    <xdr:to>
      <xdr:col>14</xdr:col>
      <xdr:colOff>621111</xdr:colOff>
      <xdr:row>82</xdr:row>
      <xdr:rowOff>188658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spect="1"/>
        </xdr:cNvSpPr>
      </xdr:nvSpPr>
      <xdr:spPr>
        <a:xfrm>
          <a:off x="9171672" y="14071090"/>
          <a:ext cx="104190" cy="113715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84</xdr:row>
      <xdr:rowOff>56346</xdr:rowOff>
    </xdr:from>
    <xdr:to>
      <xdr:col>14</xdr:col>
      <xdr:colOff>621111</xdr:colOff>
      <xdr:row>84</xdr:row>
      <xdr:rowOff>173871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spect="1"/>
        </xdr:cNvSpPr>
      </xdr:nvSpPr>
      <xdr:spPr>
        <a:xfrm>
          <a:off x="9171672" y="14504538"/>
          <a:ext cx="104190" cy="109905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14</xdr:col>
      <xdr:colOff>522636</xdr:colOff>
      <xdr:row>83</xdr:row>
      <xdr:rowOff>92090</xdr:rowOff>
    </xdr:from>
    <xdr:to>
      <xdr:col>14</xdr:col>
      <xdr:colOff>621111</xdr:colOff>
      <xdr:row>83</xdr:row>
      <xdr:rowOff>209615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spect="1"/>
        </xdr:cNvSpPr>
      </xdr:nvSpPr>
      <xdr:spPr>
        <a:xfrm>
          <a:off x="9171672" y="14316165"/>
          <a:ext cx="104190" cy="109905"/>
        </a:xfrm>
        <a:prstGeom prst="ellipse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96815</xdr:colOff>
      <xdr:row>79</xdr:row>
      <xdr:rowOff>130394</xdr:rowOff>
    </xdr:from>
    <xdr:to>
      <xdr:col>14</xdr:col>
      <xdr:colOff>369793</xdr:colOff>
      <xdr:row>82</xdr:row>
      <xdr:rowOff>210932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247603</xdr:colOff>
      <xdr:row>75</xdr:row>
      <xdr:rowOff>78081</xdr:rowOff>
    </xdr:from>
    <xdr:to>
      <xdr:col>6</xdr:col>
      <xdr:colOff>327030</xdr:colOff>
      <xdr:row>87</xdr:row>
      <xdr:rowOff>75780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109527</xdr:colOff>
      <xdr:row>19</xdr:row>
      <xdr:rowOff>150185</xdr:rowOff>
    </xdr:from>
    <xdr:to>
      <xdr:col>14</xdr:col>
      <xdr:colOff>449645</xdr:colOff>
      <xdr:row>29</xdr:row>
      <xdr:rowOff>98212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BC9E25-C6EE-4EC6-9CE7-FFE493DFE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245031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499.423479976853" backgroundQuery="1" createdVersion="8" refreshedVersion="8" minRefreshableVersion="3" recordCount="0" supportSubquery="1" supportAdvancedDrill="1" xr:uid="{00000000-000A-0000-FFFF-FFFF0C000000}">
  <cacheSource type="external" connectionId="1"/>
  <cacheFields count="7">
    <cacheField name="[Range 1].[Âmbito].[Âmbito]" caption="Âmbito" numFmtId="0" hierarchy="6" level="1">
      <sharedItems containsSemiMixedTypes="0" containsNonDate="0" containsString="0"/>
    </cacheField>
    <cacheField name="[Range 1].[Sub-âmbito].[Sub-âmbito]" caption="Sub-âmbito" numFmtId="0" hierarchy="7" level="1">
      <sharedItems containsSemiMixedTypes="0" containsNonDate="0" containsString="0"/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Table4].[Status Atual].[Status Atual]" caption="Status Atual" numFmtId="0" hierarchy="23" level="1">
      <sharedItems count="1">
        <s v="7. Por iniciar"/>
      </sharedItems>
    </cacheField>
    <cacheField name="[Measures].[Count of Campo 4]" caption="Count of Campo 4" numFmtId="0" hierarchy="36" level="32767"/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po de teste]" caption="Tipo de teste" attribute="1" defaultMemberUniqueName="[Range 1].[Tipo de teste].[All]" allUniqueName="[Range 1].[Tipo de teste].[All]" dimensionUniqueName="[Range 1]" displayFolder="" count="0" memberValueDatatype="130" unbalanced="0"/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499.423476504628" backgroundQuery="1" createdVersion="8" refreshedVersion="8" minRefreshableVersion="3" recordCount="0" supportSubquery="1" supportAdvancedDrill="1" xr:uid="{00000000-000A-0000-FFFF-FFFF0D000000}">
  <cacheSource type="external" connectionId="1"/>
  <cacheFields count="7">
    <cacheField name="[Range].[Sub-âmbito].[Sub-âmbito]" caption="Sub-âmbito" numFmtId="0" hierarchy="1" level="1">
      <sharedItems containsSemiMixedTypes="0" containsNonDate="0" containsString="0"/>
    </cacheField>
    <cacheField name="[Range].[Tipo de teste].[Tipo de teste]" caption="Tipo de teste" numFmtId="0" hierarchy="2" level="1">
      <sharedItems containsSemiMixedTypes="0" containsNonDate="0" containsString="0"/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Measures].[Count of Campo 4]" caption="Count of Campo 4" numFmtId="0" hierarchy="36" level="32767"/>
    <cacheField name="[Table4].[Status Atual].[Status Atual]" caption="Status Atual" numFmtId="0" hierarchy="23" level="1">
      <sharedItems count="5">
        <s v="0. Cancelado"/>
        <s v="1. Concluído"/>
        <s v="2. Em Teste"/>
        <s v="4. Validação EF"/>
        <s v="5. Em Correção" u="1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ipo de teste]" caption="Tipo de teste" attribute="1" defaultMemberUniqueName="[Range].[Tipo de teste].[All]" allUniqueName="[Range].[Tipo de test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0" memberValueDatatype="130" unbalanced="0"/>
    <cacheHierarchy uniqueName="[Range 1].[Sub-âmbito]" caption="Sub-âmbito" attribute="1" defaultMemberUniqueName="[Range 1].[Sub-âmbito].[All]" allUniqueName="[Range 1].[Sub-âmbito].[All]" dimensionUniqueName="[Range 1]" displayFolder="" count="0" memberValueDatatype="130" unbalanced="0"/>
    <cacheHierarchy uniqueName="[Range 1].[Tipo de teste]" caption="Tipo de teste" attribute="1" defaultMemberUniqueName="[Range 1].[Tipo de teste].[All]" allUniqueName="[Range 1].[Tipo de teste].[All]" dimensionUniqueName="[Range 1]" displayFolder="" count="0" memberValueDatatype="130" unbalanced="0"/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6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499.423487384258" backgroundQuery="1" createdVersion="8" refreshedVersion="8" minRefreshableVersion="3" recordCount="0" supportSubquery="1" supportAdvancedDrill="1" xr:uid="{00000000-000A-0000-FFFF-FFFF0A000000}">
  <cacheSource type="external" connectionId="1"/>
  <cacheFields count="8">
    <cacheField name="[Range 1].[Âmbito].[Âmbito]" caption="Âmbito" numFmtId="0" hierarchy="6" level="1">
      <sharedItems containsSemiMixedTypes="0" containsNonDate="0" containsString="0"/>
    </cacheField>
    <cacheField name="[Range 1].[Sub-âmbito].[Sub-âmbito]" caption="Sub-âmbito" numFmtId="0" hierarchy="7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Measures].[Count of Campo 4]" caption="Count of Campo 4" numFmtId="0" hierarchy="36" level="32767"/>
    <cacheField name="[Table4].[Status Atual].[Status Atual]" caption="Status Atual" numFmtId="0" hierarchy="23" level="1">
      <sharedItems count="7">
        <s v="0. Cancelado"/>
        <s v="1. Concluído"/>
        <s v="2. Em Teste"/>
        <s v="3. Pendente de outros desenvolvimentos"/>
        <s v="4. Validação EF"/>
        <s v="5. Em Correção"/>
        <s v="7. Por iniciar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7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499.42351828704" backgroundQuery="1" createdVersion="8" refreshedVersion="8" minRefreshableVersion="3" recordCount="0" supportSubquery="1" supportAdvancedDrill="1" xr:uid="{00000000-000A-0000-FFFF-FFFF0B000000}">
  <cacheSource type="external" connectionId="1"/>
  <cacheFields count="4">
    <cacheField name="[Range 1].[Âmbito].[Âmbito]" caption="Âmbito" numFmtId="0" hierarchy="6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Measures].[Count of Campo 3]" caption="Count of Campo 3" numFmtId="0" hierarchy="35" level="32767"/>
    <cacheField name="[Range 1].[Status Atual].[Status Atual]" caption="Status Atual" numFmtId="0" hierarchy="11" level="1">
      <sharedItems count="4">
        <s v="1. Concluído"/>
        <s v="2. Em Teste"/>
        <s v="3. Pendente de outros desenvolvimentos"/>
        <s v="5. Em Correção" u="1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0" memberValueDatatype="130" unbalanced="0"/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2" memberValueDatatype="130" unbalanced="0">
      <fieldsUsage count="2">
        <fieldUsage x="-1"/>
        <fieldUsage x="3"/>
      </fieldsUsage>
    </cacheHierarchy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0" memberValueDatatype="130" unbalanced="0"/>
    <cacheHierarchy uniqueName="[Table4].[Sub-âmbito]" caption="Sub-âmbito" attribute="1" defaultMemberUniqueName="[Table4].[Sub-âmbito].[All]" allUniqueName="[Table4].[Sub-âmbito].[All]" dimensionUniqueName="[Table4]" displayFolder="" count="0" memberValueDatatype="130" unbalanced="0"/>
    <cacheHierarchy uniqueName="[Table4].[Tipo de teste]" caption="Tipo de teste" attribute="1" defaultMemberUniqueName="[Table4].[Tipo de teste].[All]" allUniqueName="[Table4].[Tipo de teste].[All]" dimensionUniqueName="[Table4]" displayFolder="" count="0" memberValueDatatype="130" unbalanced="0"/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0" memberValueDatatype="130" unbalanced="0"/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499.423472800925" backgroundQuery="1" createdVersion="8" refreshedVersion="8" minRefreshableVersion="3" recordCount="0" supportSubquery="1" supportAdvancedDrill="1" xr:uid="{00000000-000A-0000-FFFF-FFFF11000000}">
  <cacheSource type="external" connectionId="1"/>
  <cacheFields count="6"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Table4].[Tabela].[Tabela]" caption="Tabela" numFmtId="0" hierarchy="21" level="1">
      <sharedItems count="6">
        <s v="cd_imv_inp_certif_estimativa"/>
        <s v="cd_imv_out_bens"/>
        <s v="cd_imv_out_certif"/>
        <s v="cd_imv_out_prc"/>
        <s v="cd_imv_out_trz_cred_prc"/>
        <s v="cd_imv_out_trz_prc_bens_imv"/>
      </sharedItems>
    </cacheField>
    <cacheField name="[Measures].[Count of Campo 4]" caption="Count of Campo 4" numFmtId="0" hierarchy="36" level="32767"/>
    <cacheField name="[Table4].[Status Atual].[Status Atual]" caption="Status Atual" numFmtId="0" hierarchy="23" level="1">
      <sharedItems count="5">
        <s v="0. Cancelado"/>
        <s v="1. Concluído"/>
        <s v="2. Em Teste"/>
        <s v="4. Validação EF"/>
        <s v="5. Em Correção" u="1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0" memberValueDatatype="130" unbalanced="0"/>
    <cacheHierarchy uniqueName="[Range 1].[Sub-âmbito]" caption="Sub-âmbito" attribute="1" defaultMemberUniqueName="[Range 1].[Sub-âmbito].[All]" allUniqueName="[Range 1].[Sub-âmbito].[All]" dimensionUniqueName="[Range 1]" displayFolder="" count="0" memberValueDatatype="130" unbalanced="0"/>
    <cacheHierarchy uniqueName="[Range 1].[Tipo de teste]" caption="Tipo de teste" attribute="1" defaultMemberUniqueName="[Range 1].[Tipo de teste].[All]" allUniqueName="[Range 1].[Tipo de teste].[All]" dimensionUniqueName="[Range 1]" displayFolder="" count="0" memberValueDatatype="130" unbalanced="0"/>
    <cacheHierarchy uniqueName="[Range 1].[Tabela]" caption="Tabela" attribute="1" defaultMemberUniqueName="[Range 1].[Tabela].[All]" allUniqueName="[Range 1].[Tabela].[All]" dimensionUniqueName="[Range 1]" displayFolder="" count="0" memberValueDatatype="130" unbalanced="0"/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1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2"/>
      </fieldsUsage>
    </cacheHierarchy>
    <cacheHierarchy uniqueName="[Table4].[Tabela]" caption="Tabela" attribute="1" defaultMemberUniqueName="[Table4].[Tabela].[All]" allUniqueName="[Table4].[Tabela].[All]" dimensionUniqueName="[Table4]" displayFolder="" count="2" memberValueDatatype="130" unbalanced="0">
      <fieldsUsage count="2">
        <fieldUsage x="-1"/>
        <fieldUsage x="3"/>
      </fieldsUsage>
    </cacheHierarchy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499.423515625" backgroundQuery="1" createdVersion="8" refreshedVersion="8" minRefreshableVersion="3" recordCount="0" supportSubquery="1" supportAdvancedDrill="1" xr:uid="{00000000-000A-0000-FFFF-FFFF10000000}">
  <cacheSource type="external" connectionId="1"/>
  <cacheFields count="5">
    <cacheField name="[Range 1].[Âmbito].[Âmbito]" caption="Âmbito" numFmtId="0" hierarchy="6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Range 1].[Tabela].[Tabela]" caption="Tabela" numFmtId="0" hierarchy="9" level="1">
      <sharedItems count="1">
        <s v="lt002_insrmnt"/>
      </sharedItems>
    </cacheField>
    <cacheField name="[Measures].[Count of Campo 3]" caption="Count of Campo 3" numFmtId="0" hierarchy="35" level="32767"/>
    <cacheField name="[Range 1].[Status Atual].[Status Atual]" caption="Status Atual" numFmtId="0" hierarchy="11" level="1">
      <sharedItems count="4">
        <s v="1. Concluído"/>
        <s v="2. Em Teste"/>
        <s v="3. Pendente de outros desenvolvimentos"/>
        <s v="5. Em Correção" u="1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0" memberValueDatatype="130" unbalanced="0"/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abela]" caption="Tabela" attribute="1" defaultMemberUniqueName="[Range 1].[Tabela].[All]" allUniqueName="[Range 1].[Tabela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2" memberValueDatatype="130" unbalanced="0">
      <fieldsUsage count="2">
        <fieldUsage x="-1"/>
        <fieldUsage x="4"/>
      </fieldsUsage>
    </cacheHierarchy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0" memberValueDatatype="130" unbalanced="0"/>
    <cacheHierarchy uniqueName="[Table4].[Sub-âmbito]" caption="Sub-âmbito" attribute="1" defaultMemberUniqueName="[Table4].[Sub-âmbito].[All]" allUniqueName="[Table4].[Sub-âmbito].[All]" dimensionUniqueName="[Table4]" displayFolder="" count="0" memberValueDatatype="130" unbalanced="0"/>
    <cacheHierarchy uniqueName="[Table4].[Tipo de teste]" caption="Tipo de teste" attribute="1" defaultMemberUniqueName="[Table4].[Tipo de teste].[All]" allUniqueName="[Table4].[Tipo de teste].[All]" dimensionUniqueName="[Table4]" displayFolder="" count="0" memberValueDatatype="130" unbalanced="0"/>
    <cacheHierarchy uniqueName="[Table4].[Tabela]" caption="Tabela" attribute="1" defaultMemberUniqueName="[Table4].[Tabela].[All]" allUniqueName="[Table4].[Tabela].[All]" dimensionUniqueName="[Table4]" displayFolder="" count="0" memberValueDatatype="130" unbalanced="0"/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0" memberValueDatatype="130" unbalanced="0"/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499.423467939814" backgroundQuery="1" createdVersion="8" refreshedVersion="8" minRefreshableVersion="3" recordCount="0" supportSubquery="1" supportAdvancedDrill="1" xr:uid="{00000000-000A-0000-FFFF-FFFF0F000000}">
  <cacheSource type="external" connectionId="1"/>
  <cacheFields count="10">
    <cacheField name="[Range 1].[Âmbito].[Âmbito]" caption="Âmbito" numFmtId="0" hierarchy="6" level="1">
      <sharedItems containsSemiMixedTypes="0" containsNonDate="0" containsString="0"/>
    </cacheField>
    <cacheField name="[Range 1].[Sub-âmbito].[Sub-âmbito]" caption="Sub-âmbito" numFmtId="0" hierarchy="7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Range 1].[Tabela].[Tabela]" caption="Tabela" numFmtId="0" hierarchy="9" level="1">
      <sharedItems count="13">
        <s v="modesg_inp_empr_excl_paris"/>
        <s v="modesg_inp_emss_bens_imoveis"/>
        <s v="modesg_inp_emss_nace"/>
        <s v="modesg_inp_emss_scib"/>
        <s v="modesg_inp_emss_vcls"/>
        <s v="modesg_inp_km_medios_emss_vcls"/>
        <s v="modesg_inp_nfrd_alinhamento_tax"/>
        <s v="modesg_inp_risco_fisico"/>
        <s v="modesg_out_bens_imoveis"/>
        <s v="modesg_out_empr_info_nfin"/>
        <s v="modesg_out_emss_vcls"/>
        <s v="modesg_out_sfcs_taxon_europeia"/>
        <s v="modesg_param_sfcs_taxon_europeia"/>
      </sharedItems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Table4].[Tabela].[Tabela]" caption="Tabela" numFmtId="0" hierarchy="21" level="1">
      <sharedItems count="13">
        <s v="modesg_inp_empr_excl_paris"/>
        <s v="modesg_inp_emss_bens_imoveis"/>
        <s v="modesg_inp_emss_nace"/>
        <s v="modesg_inp_emss_scib"/>
        <s v="modesg_inp_emss_vcls"/>
        <s v="modesg_inp_km_medios_emss_vcls"/>
        <s v="modesg_inp_nfrd_alinhamento_tax"/>
        <s v="modesg_inp_risco_fisico"/>
        <s v="modesg_out_bens_imoveis"/>
        <s v="modesg_out_empr_info_nfin"/>
        <s v="modesg_out_emss_vcls"/>
        <s v="modesg_out_sfcs_taxon_europeia"/>
        <s v="modesg_param_sfcs_taxon_europeia"/>
      </sharedItems>
    </cacheField>
    <cacheField name="[Measures].[Count of Campo 4]" caption="Count of Campo 4" numFmtId="0" hierarchy="36" level="32767"/>
    <cacheField name="[Table4].[Status Atual].[Status Atual]" caption="Status Atual" numFmtId="0" hierarchy="23" level="1">
      <sharedItems count="7">
        <s v="0. Cancelado"/>
        <s v="1. Concluído"/>
        <s v="2. Em Teste"/>
        <s v="3. Pendente de outros desenvolvimentos"/>
        <s v="4. Validação EF"/>
        <s v="5. Em Correção"/>
        <s v="7. Por iniciar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Tabela]" caption="Tabela" attribute="1" defaultMemberUniqueName="[Range 1].[Tabela].[All]" allUniqueName="[Range 1].[Tabela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6"/>
      </fieldsUsage>
    </cacheHierarchy>
    <cacheHierarchy uniqueName="[Table4].[Tabela]" caption="Tabela" attribute="1" defaultMemberUniqueName="[Table4].[Tabela].[All]" allUniqueName="[Table4].[Tabela].[All]" dimensionUniqueName="[Table4]" displayFolder="" count="2" memberValueDatatype="130" unbalanced="0">
      <fieldsUsage count="2">
        <fieldUsage x="-1"/>
        <fieldUsage x="7"/>
      </fieldsUsage>
    </cacheHierarchy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9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ádia Genebra Ahmad" refreshedDate="45499.42348391204" backgroundQuery="1" createdVersion="8" refreshedVersion="8" minRefreshableVersion="3" recordCount="0" supportSubquery="1" supportAdvancedDrill="1" xr:uid="{00000000-000A-0000-FFFF-FFFF0E000000}">
  <cacheSource type="external" connectionId="1"/>
  <cacheFields count="10">
    <cacheField name="[Range 1].[Âmbito].[Âmbito]" caption="Âmbito" numFmtId="0" hierarchy="6" level="1">
      <sharedItems containsSemiMixedTypes="0" containsNonDate="0" containsString="0"/>
    </cacheField>
    <cacheField name="[Range 1].[Sub-âmbito].[Sub-âmbito]" caption="Sub-âmbito" numFmtId="0" hierarchy="7" level="1">
      <sharedItems containsSemiMixedTypes="0" containsNonDate="0" containsString="0"/>
    </cacheField>
    <cacheField name="[Range 1].[Tipo de teste].[Tipo de teste]" caption="Tipo de teste" numFmtId="0" hierarchy="8" level="1">
      <sharedItems containsSemiMixedTypes="0" containsNonDate="0" containsString="0"/>
    </cacheField>
    <cacheField name="[Range 1].[Tabela].[Tabela]" caption="Tabela" numFmtId="0" hierarchy="9" level="1">
      <sharedItems count="7">
        <s v="lt002_instrument"/>
        <s v="lt003_entity"/>
        <s v="lt004_protection"/>
        <s v="lt005_instr_ent"/>
        <s v="lt006_instr_prot"/>
        <s v="lt825_mthd_usd_instrmnt"/>
        <s v="lt826_esg_sbsctr"/>
      </sharedItems>
    </cacheField>
    <cacheField name="[Table4].[Âmbito].[Âmbito]" caption="Âmbito" numFmtId="0" hierarchy="18" level="1">
      <sharedItems containsSemiMixedTypes="0" containsNonDate="0" containsString="0"/>
    </cacheField>
    <cacheField name="[Table4].[Sub-âmbito].[Sub-âmbito]" caption="Sub-âmbito" numFmtId="0" hierarchy="19" level="1">
      <sharedItems containsSemiMixedTypes="0" containsNonDate="0" containsString="0"/>
    </cacheField>
    <cacheField name="[Table4].[Tipo de teste].[Tipo de teste]" caption="Tipo de teste" numFmtId="0" hierarchy="20" level="1">
      <sharedItems containsSemiMixedTypes="0" containsNonDate="0" containsString="0"/>
    </cacheField>
    <cacheField name="[Table4].[Tabela].[Tabela]" caption="Tabela" numFmtId="0" hierarchy="21" level="1">
      <sharedItems count="7">
        <s v="lt002_instrument"/>
        <s v="lt003_entity"/>
        <s v="lt004_protection"/>
        <s v="lt005_instr_ent"/>
        <s v="lt006_instr_prot"/>
        <s v="lt825_mthd_usd_instrmnt"/>
        <s v="lt826_esg_sbsctr"/>
      </sharedItems>
    </cacheField>
    <cacheField name="[Measures].[Count of Campo 4]" caption="Count of Campo 4" numFmtId="0" hierarchy="36" level="32767"/>
    <cacheField name="[Table4].[Status Atual].[Status Atual]" caption="Status Atual" numFmtId="0" hierarchy="23" level="1">
      <sharedItems count="6">
        <s v="7. Por iniciar"/>
        <s v="1. Concluído" u="1"/>
        <s v="2. Em Teste" u="1"/>
        <s v="3. Pendente de outros desenvolvimentos" u="1"/>
        <s v="4. Validação EF" u="1"/>
        <s v="5. Em Correção" u="1"/>
      </sharedItems>
    </cacheField>
  </cacheFields>
  <cacheHierarchies count="37">
    <cacheHierarchy uniqueName="[Range].[Âmbito]" caption="Âmbito" attribute="1" defaultMemberUniqueName="[Range].[Âmbito].[All]" allUniqueName="[Range].[Âmbito].[All]" dimensionUniqueName="[Range]" displayFolder="" count="0" memberValueDatatype="130" unbalanced="0"/>
    <cacheHierarchy uniqueName="[Range].[Sub-âmbito]" caption="Sub-âmbito" attribute="1" defaultMemberUniqueName="[Range].[Sub-âmbito].[All]" allUniqueName="[Range].[Sub-âmbito].[All]" dimensionUniqueName="[Range]" displayFolder="" count="0" memberValueDatatype="130" unbalanced="0"/>
    <cacheHierarchy uniqueName="[Range].[Tipo de teste]" caption="Tipo de teste" attribute="1" defaultMemberUniqueName="[Range].[Tipo de teste].[All]" allUniqueName="[Range].[Tipo de teste].[All]" dimensionUniqueName="[Range]" displayFolder="" count="0" memberValueDatatype="130" unbalanced="0"/>
    <cacheHierarchy uniqueName="[Range].[Tabela]" caption="Tabela" attribute="1" defaultMemberUniqueName="[Range].[Tabela].[All]" allUniqueName="[Range].[Tabela].[All]" dimensionUniqueName="[Range]" displayFolder="" count="0" memberValueDatatype="130" unbalanced="0"/>
    <cacheHierarchy uniqueName="[Range].[Campo]" caption="Campo" attribute="1" defaultMemberUniqueName="[Range].[Campo].[All]" allUniqueName="[Range].[Campo].[All]" dimensionUniqueName="[Range]" displayFolder="" count="0" memberValueDatatype="130" unbalanced="0"/>
    <cacheHierarchy uniqueName="[Range].[Status Atual]" caption="Status Atual" attribute="1" defaultMemberUniqueName="[Range].[Status Atual].[All]" allUniqueName="[Range].[Status Atual].[All]" dimensionUniqueName="[Range]" displayFolder="" count="0" memberValueDatatype="130" unbalanced="0"/>
    <cacheHierarchy uniqueName="[Range 1].[Âmbito]" caption="Âmbito" attribute="1" defaultMemberUniqueName="[Range 1].[Âmbito].[All]" allUniqueName="[Range 1].[Âmbito].[All]" dimensionUniqueName="[Range 1]" displayFolder="" count="2" memberValueDatatype="130" unbalanced="0">
      <fieldsUsage count="2">
        <fieldUsage x="-1"/>
        <fieldUsage x="0"/>
      </fieldsUsage>
    </cacheHierarchy>
    <cacheHierarchy uniqueName="[Range 1].[Sub-âmbito]" caption="Sub-âmbito" attribute="1" defaultMemberUniqueName="[Range 1].[Sub-âmbito].[All]" allUniqueName="[Range 1].[Sub-âmbito].[All]" dimensionUniqueName="[Range 1]" displayFolder="" count="2" memberValueDatatype="130" unbalanced="0">
      <fieldsUsage count="2">
        <fieldUsage x="-1"/>
        <fieldUsage x="1"/>
      </fieldsUsage>
    </cacheHierarchy>
    <cacheHierarchy uniqueName="[Range 1].[Tipo de teste]" caption="Tipo de teste" attribute="1" defaultMemberUniqueName="[Range 1].[Tipo de teste].[All]" allUniqueName="[Range 1].[Tipo de teste].[All]" dimensionUniqueName="[Range 1]" displayFolder="" count="2" memberValueDatatype="130" unbalanced="0">
      <fieldsUsage count="2">
        <fieldUsage x="-1"/>
        <fieldUsage x="2"/>
      </fieldsUsage>
    </cacheHierarchy>
    <cacheHierarchy uniqueName="[Range 1].[Tabela]" caption="Tabela" attribute="1" defaultMemberUniqueName="[Range 1].[Tabela].[All]" allUniqueName="[Range 1].[Tabela].[All]" dimensionUniqueName="[Range 1]" displayFolder="" count="2" memberValueDatatype="130" unbalanced="0">
      <fieldsUsage count="2">
        <fieldUsage x="-1"/>
        <fieldUsage x="3"/>
      </fieldsUsage>
    </cacheHierarchy>
    <cacheHierarchy uniqueName="[Range 1].[Campo]" caption="Campo" attribute="1" defaultMemberUniqueName="[Range 1].[Campo].[All]" allUniqueName="[Range 1].[Campo].[All]" dimensionUniqueName="[Range 1]" displayFolder="" count="0" memberValueDatatype="130" unbalanced="0"/>
    <cacheHierarchy uniqueName="[Range 1].[Status Atual]" caption="Status Atual" attribute="1" defaultMemberUniqueName="[Range 1].[Status Atual].[All]" allUniqueName="[Range 1].[Status Atual].[All]" dimensionUniqueName="[Range 1]" displayFolder="" count="0" memberValueDatatype="130" unbalanced="0"/>
    <cacheHierarchy uniqueName="[Range 2].[Âmbito]" caption="Âmbito" attribute="1" defaultMemberUniqueName="[Range 2].[Âmbito].[All]" allUniqueName="[Range 2].[Âmbito].[All]" dimensionUniqueName="[Range 2]" displayFolder="" count="0" memberValueDatatype="130" unbalanced="0"/>
    <cacheHierarchy uniqueName="[Range 2].[Sub-âmbito]" caption="Sub-âmbito" attribute="1" defaultMemberUniqueName="[Range 2].[Sub-âmbito].[All]" allUniqueName="[Range 2].[Sub-âmbito].[All]" dimensionUniqueName="[Range 2]" displayFolder="" count="0" memberValueDatatype="130" unbalanced="0"/>
    <cacheHierarchy uniqueName="[Range 2].[Tipo de teste]" caption="Tipo de teste" attribute="1" defaultMemberUniqueName="[Range 2].[Tipo de teste].[All]" allUniqueName="[Range 2].[Tipo de teste].[All]" dimensionUniqueName="[Range 2]" displayFolder="" count="0" memberValueDatatype="130" unbalanced="0"/>
    <cacheHierarchy uniqueName="[Range 2].[Tabela]" caption="Tabela" attribute="1" defaultMemberUniqueName="[Range 2].[Tabela].[All]" allUniqueName="[Range 2].[Tabela].[All]" dimensionUniqueName="[Range 2]" displayFolder="" count="0" memberValueDatatype="130" unbalanced="0"/>
    <cacheHierarchy uniqueName="[Range 2].[Campo]" caption="Campo" attribute="1" defaultMemberUniqueName="[Range 2].[Campo].[All]" allUniqueName="[Range 2].[Campo].[All]" dimensionUniqueName="[Range 2]" displayFolder="" count="0" memberValueDatatype="130" unbalanced="0"/>
    <cacheHierarchy uniqueName="[Range 2].[Status Atual]" caption="Status Atual" attribute="1" defaultMemberUniqueName="[Range 2].[Status Atual].[All]" allUniqueName="[Range 2].[Status Atual].[All]" dimensionUniqueName="[Range 2]" displayFolder="" count="0" memberValueDatatype="130" unbalanced="0"/>
    <cacheHierarchy uniqueName="[Table4].[Âmbito]" caption="Âmbito" attribute="1" defaultMemberUniqueName="[Table4].[Âmbito].[All]" allUniqueName="[Table4].[Âmbito].[All]" dimensionUniqueName="[Table4]" displayFolder="" count="2" memberValueDatatype="130" unbalanced="0">
      <fieldsUsage count="2">
        <fieldUsage x="-1"/>
        <fieldUsage x="4"/>
      </fieldsUsage>
    </cacheHierarchy>
    <cacheHierarchy uniqueName="[Table4].[Sub-âmbito]" caption="Sub-âmbito" attribute="1" defaultMemberUniqueName="[Table4].[Sub-âmbito].[All]" allUniqueName="[Table4].[Sub-âmbito].[All]" dimensionUniqueName="[Table4]" displayFolder="" count="2" memberValueDatatype="130" unbalanced="0">
      <fieldsUsage count="2">
        <fieldUsage x="-1"/>
        <fieldUsage x="5"/>
      </fieldsUsage>
    </cacheHierarchy>
    <cacheHierarchy uniqueName="[Table4].[Tipo de teste]" caption="Tipo de teste" attribute="1" defaultMemberUniqueName="[Table4].[Tipo de teste].[All]" allUniqueName="[Table4].[Tipo de teste].[All]" dimensionUniqueName="[Table4]" displayFolder="" count="2" memberValueDatatype="130" unbalanced="0">
      <fieldsUsage count="2">
        <fieldUsage x="-1"/>
        <fieldUsage x="6"/>
      </fieldsUsage>
    </cacheHierarchy>
    <cacheHierarchy uniqueName="[Table4].[Tabela]" caption="Tabela" attribute="1" defaultMemberUniqueName="[Table4].[Tabela].[All]" allUniqueName="[Table4].[Tabela].[All]" dimensionUniqueName="[Table4]" displayFolder="" count="2" memberValueDatatype="130" unbalanced="0">
      <fieldsUsage count="2">
        <fieldUsage x="-1"/>
        <fieldUsage x="7"/>
      </fieldsUsage>
    </cacheHierarchy>
    <cacheHierarchy uniqueName="[Table4].[Campo]" caption="Campo" attribute="1" defaultMemberUniqueName="[Table4].[Campo].[All]" allUniqueName="[Table4].[Campo].[All]" dimensionUniqueName="[Table4]" displayFolder="" count="0" memberValueDatatype="130" unbalanced="0"/>
    <cacheHierarchy uniqueName="[Table4].[Status Atual]" caption="Status Atual" attribute="1" defaultMemberUniqueName="[Table4].[Status Atual].[All]" allUniqueName="[Table4].[Status Atual].[All]" dimensionUniqueName="[Table4]" displayFolder="" count="2" memberValueDatatype="130" unbalanced="0">
      <fieldsUsage count="2">
        <fieldUsage x="-1"/>
        <fieldUsage x="9"/>
      </fieldsUsage>
    </cacheHierarchy>
    <cacheHierarchy uniqueName="[Table4].[Status Anterior]" caption="Status Anterior" attribute="1" defaultMemberUniqueName="[Table4].[Status Anterior].[All]" allUniqueName="[Table4].[Status Anterior].[All]" dimensionUniqueName="[Table4]" displayFolder="" count="0" memberValueDatatype="130" unbalanced="0"/>
    <cacheHierarchy uniqueName="[Table4].[Observações]" caption="Observações" attribute="1" defaultMemberUniqueName="[Table4].[Observações].[All]" allUniqueName="[Table4].[Observações].[All]" dimensionUniqueName="[Table4]" displayFolder="" count="0" memberValueDatatype="130" unbalanced="0"/>
    <cacheHierarchy uniqueName="[Table4].[Data de Pedido correção/esclarecimento]" caption="Data de Pedido correção/esclarecimento" attribute="1" defaultMemberUniqueName="[Table4].[Data de Pedido correção/esclarecimento].[All]" allUniqueName="[Table4].[Data de Pedido correção/esclarecimento].[All]" dimensionUniqueName="[Table4]" displayFolder="" count="0" memberValueDatatype="130" unbalanced="0"/>
    <cacheHierarchy uniqueName="[Table4].[Data de correção prevista]" caption="Data de correção prevista" attribute="1" defaultMemberUniqueName="[Table4].[Data de correção prevista].[All]" allUniqueName="[Table4].[Data de correção prevista].[All]" dimensionUniqueName="[Table4]" displayFolder="" count="0" memberValueDatatype="130" unbalanced="0"/>
    <cacheHierarchy uniqueName="[Table4].[Data de correção efetiva]" caption="Data de correção efetiva" attribute="1" defaultMemberUniqueName="[Table4].[Data de correção efetiva].[All]" allUniqueName="[Table4].[Data de correção efetiva].[All]" dimensionUniqueName="[Table4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Count of Campo 2]" caption="Count of Campo 2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Campo 3]" caption="Count of Campo 3" measure="1" displayFolder="" measureGroup="Range 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Campo 4]" caption="Count of Campo 4" measure="1" displayFolder="" measureGroup="Table4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Table4" uniqueName="[Table4]" caption="Table4"/>
  </dimensions>
  <measureGroups count="4">
    <measureGroup name="Range" caption="Range"/>
    <measureGroup name="Range 1" caption="Range 1"/>
    <measureGroup name="Range 2" caption="Range 2"/>
    <measureGroup name="Table4" caption="Table4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7000000}" name="PivotTable10" cacheId="4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4">
  <location ref="B115:C117" firstHeaderRow="1" firstDataRow="1" firstDataCol="1" rowPageCount="3" colPageCount="1"/>
  <pivotFields count="7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efaultSubtotal="0" defaultAttributeDrillState="1">
      <items count="1">
        <item x="0"/>
      </items>
    </pivotField>
    <pivotField dataField="1" subtotalTop="0" showAll="0" defaultSubtotal="0"/>
  </pivotFields>
  <rowFields count="1">
    <field x="5"/>
  </rowFields>
  <rowItems count="2">
    <i>
      <x/>
    </i>
    <i t="grand">
      <x/>
    </i>
  </rowItems>
  <colItems count="1">
    <i/>
  </colItems>
  <pageFields count="3">
    <pageField fld="2" hier="18" name="[Table4].[Âmbito].&amp;[Pilar III]" cap="Pilar III"/>
    <pageField fld="3" hier="19" name="[Table4].[Sub-âmbito].&amp;[Pilar III]" cap="Pilar III"/>
    <pageField fld="4" hier="20" name="[Table4].[Tipo de teste].&amp;[2. Campo]" cap="2. Campo"/>
  </pageFields>
  <dataFields count="1">
    <dataField name="Count of Campo" fld="6" subtotal="count" baseField="0" baseItem="0"/>
  </dataFields>
  <chartFormats count="2"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Pilar III]"/>
      </members>
    </pivotHierarchy>
    <pivotHierarchy multipleItemSelectionAllowed="1" dragToData="1">
      <members count="1" level="1">
        <member name="[Range 1].[Sub-âmbito].&amp;[Pilar III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1" level="1">
        <member name="[Table4].[Sub-âmbito].&amp;[Pilar III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 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PivotTable5" cacheId="4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8">
  <location ref="B27:C32" firstHeaderRow="1" firstDataRow="1" firstDataCol="1" rowPageCount="3" colPageCount="1"/>
  <pivotFields count="7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2" hier="18" name="[Table4].[Âmbito].&amp;[Pilar III]" cap="Pilar III"/>
    <pageField fld="3" hier="19" name="[Table4].[Sub-âmbito].&amp;[Bens Imóveis - Input]" cap="Bens Imóveis - Input"/>
    <pageField fld="4" hier="20" name="[Table4].[Tipo de teste].&amp;[2. Campo]" cap="2. Campo"/>
  </pageFields>
  <dataFields count="1">
    <dataField name="Count of Campo" fld="5" subtotal="count" baseField="0" baseItem="0"/>
  </dataFields>
  <chartFormats count="6"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Hierarchies count="37">
    <pivotHierarchy dragToData="1"/>
    <pivotHierarchy multipleItemSelectionAllowed="1" dragToData="1">
      <members count="2" level="1">
        <member name="[Range].[Sub-âmbito].&amp;[Bens Imóveis - Input]"/>
        <member name="[Range].[Sub-âmbito].&amp;[Bens Imóveis - Output]"/>
      </members>
    </pivotHierarchy>
    <pivotHierarchy multipleItemSelectionAllowed="1" dragToData="1">
      <members count="1" level="1">
        <member name="[Range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2" level="1">
        <member name="[Table4].[Sub-âmbito].&amp;[Bens Imóveis - Input]"/>
        <member name="[Table4].[Sub-âmbito].&amp;[Bens Imóveis - Output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5000000}" name="PivotTable8" cacheId="4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>
  <location ref="B72:C80" firstHeaderRow="1" firstDataRow="1" firstDataCol="1" rowPageCount="3" colPageCount="1"/>
  <pivotFields count="8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3">
    <pageField fld="3" hier="18" name="[Table4].[Âmbito].&amp;[Pilar III]" cap="Pilar III"/>
    <pageField fld="4" hier="19" name="[Table4].[Sub-âmbito].&amp;[Modelo Verde - Input]" cap="Modelo Verde - Input"/>
    <pageField fld="5" hier="20" name="[Table4].[Tipo de teste].&amp;[2. Campo]" cap="2. Campo"/>
  </pageFields>
  <dataFields count="1">
    <dataField name="Count of Campo" fld="6" subtotal="count" baseField="0" baseItem="0"/>
  </dataFields>
  <chartFormats count="8">
    <chartFormat chart="6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Pilar III]"/>
      </members>
    </pivotHierarchy>
    <pivotHierarchy multipleItemSelectionAllowed="1" dragToData="1">
      <members count="2" level="1">
        <member name="[Range 1].[Sub-âmbito].&amp;[Modelo Verde - Input]"/>
        <member name="[Range 1].[Sub-âmbito].&amp;[Modelo Verde - Output]"/>
      </members>
    </pivotHierarchy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2" level="1">
        <member name="[Table4].[Sub-âmbito].&amp;[Modelo Verde - Input]"/>
        <member name="[Table4].[Sub-âmbito].&amp;[Modelo Verde - Output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 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4000000}" name="PivotTable12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144:C148" firstHeaderRow="1" firstDataRow="1" firstDataCol="1" rowPageCount="2" colPageCount="1"/>
  <pivotFields count="4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0" hier="6" name="[Range 1].[Âmbito].&amp;[GD]" cap="GD"/>
    <pageField fld="1" hier="8" name="[Range 1].[Tipo de teste].&amp;[2. Campo]" cap="2. Campo"/>
  </pageFields>
  <dataFields count="1">
    <dataField name="Count of Campo" fld="2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GD]"/>
      </members>
    </pivotHierarchy>
    <pivotHierarchy dragToData="1"/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. Status Detalhe Campos!$B$6:$G$599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3000000}" name="PivotTable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9:G17" firstHeaderRow="1" firstDataRow="2" firstDataCol="1" rowPageCount="3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6">
        <item x="5"/>
        <item x="4"/>
        <item x="3"/>
        <item x="2"/>
        <item x="1"/>
        <item x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3">
    <pageField fld="0" hier="18" name="[Table4].[Âmbito].&amp;[Pilar III]" cap="Pilar III"/>
    <pageField fld="1" hier="19" name="[Table4].[Sub-âmbito].&amp;[Bens Imóveis - Input]" cap="Bens Imóveis - Input"/>
    <pageField fld="2" hier="20" name="[Table4].[Tipo de teste].&amp;[2. Campo]" cap="2. Campo"/>
  </pageFields>
  <dataFields count="1">
    <dataField name="Count of Campo" fld="4" subtotal="count" baseField="0" baseItem="0"/>
  </dataFields>
  <chartFormats count="6"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5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2" level="1">
        <member name="[Table4].[Sub-âmbito].&amp;[Bens Imóveis - Input]"/>
        <member name="[Table4].[Sub-âmbito].&amp;[Bens Imóveis - Output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stes GD Pilar 3 - Plano_versão trabalho_V1.2.xlsx!Table4"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PivotTable1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135:F138" firstHeaderRow="1" firstDataRow="2" firstDataCol="1" rowPageCount="2" colPageCount="1"/>
  <pivotFields count="5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2">
    <i>
      <x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2">
    <pageField fld="0" hier="6" name="[Range 1].[Âmbito].&amp;[GD]" cap="GD"/>
    <pageField fld="1" hier="8" name="[Range 1].[Tipo de teste].&amp;[2. Campo]" cap="2. Campo"/>
  </pageFields>
  <dataFields count="1">
    <dataField name="Count of Campo" fld="3" subtotal="count" baseField="0" baseItem="0"/>
  </dataFields>
  <chartFormats count="6"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2"/>
          </reference>
        </references>
      </pivotArea>
    </chartFormat>
    <chartFormat chart="6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3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GD]"/>
      </members>
    </pivotHierarchy>
    <pivotHierarchy dragToData="1"/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. Status Detalhe Campos!$B$6:$G$599">
        <x15:activeTabTopLevelEntity name="[Ran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PivotTable7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48:J63" firstHeaderRow="1" firstDataRow="2" firstDataCol="1" rowPageCount="3" colPageCount="1"/>
  <pivotFields count="10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sortType="descending" defaultSubtotal="0" defaultAttributeDrillState="1">
      <items count="13"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13"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9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3">
    <pageField fld="4" hier="18" name="[Table4].[Âmbito].&amp;[Pilar III]" cap="Pilar III"/>
    <pageField fld="5" hier="19" name="[Table4].[Sub-âmbito].&amp;[Modelo Verde - Input]" cap="Modelo Verde - Input"/>
    <pageField fld="6" hier="20" name="[Table4].[Tipo de teste].&amp;[2. Campo]" cap="2. Campo"/>
  </pageFields>
  <dataFields count="1">
    <dataField name="Count of Campo" fld="8" subtotal="count" baseField="0" baseItem="0"/>
  </dataFields>
  <chartFormats count="9">
    <chartFormat chart="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28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9" count="1" selected="0">
            <x v="6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Pilar III]"/>
      </members>
    </pivotHierarchy>
    <pivotHierarchy multipleItemSelectionAllowed="1" dragToData="1">
      <members count="2" level="1">
        <member name="[Range 1].[Sub-âmbito].&amp;[Modelo Verde - Input]"/>
        <member name="[Range 1].[Sub-âmbito].&amp;[Modelo Verde - Output]"/>
      </members>
    </pivotHierarchy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2" level="1">
        <member name="[Table4].[Sub-âmbito].&amp;[Modelo Verde - Input]"/>
        <member name="[Table4].[Sub-âmbito].&amp;[Modelo Verde - Output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stes GD Pilar 3 - Plano_versão trabalho_V1.2.xlsx!Table4">
        <x15:activeTabTopLevelEntity name="[Range 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8000000}" name="PivotTable9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94:D103" firstHeaderRow="1" firstDataRow="2" firstDataCol="1" rowPageCount="3" colPageCount="1"/>
  <pivotFields count="10"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sortType="descending" defaultSubtotal="0" defaultAttributeDrillState="1">
      <items count="7">
        <item x="6"/>
        <item x="5"/>
        <item x="4"/>
        <item x="3"/>
        <item x="2"/>
        <item x="1"/>
        <item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9"/>
  </colFields>
  <colItems count="2">
    <i>
      <x/>
    </i>
    <i t="grand">
      <x/>
    </i>
  </colItems>
  <pageFields count="3">
    <pageField fld="4" hier="18" name="[Table4].[Âmbito].&amp;[Pilar III]" cap="Pilar III"/>
    <pageField fld="5" hier="19" name="[Table4].[Sub-âmbito].&amp;[Pilar III]" cap="Pilar III"/>
    <pageField fld="6" hier="20" name="[Table4].[Tipo de teste].&amp;[2. Campo]" cap="2. Campo"/>
  </pageFields>
  <dataFields count="1">
    <dataField name="Count of Campo" fld="8" subtotal="count" baseField="0" baseItem="0"/>
  </dataFields>
  <chartFormats count="7"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7" format="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 1].[Âmbito].&amp;[Pilar III]"/>
      </members>
    </pivotHierarchy>
    <pivotHierarchy multipleItemSelectionAllowed="1" dragToData="1">
      <members count="1" level="1">
        <member name="[Range 1].[Sub-âmbito].&amp;[Pilar III]"/>
      </members>
    </pivotHierarchy>
    <pivotHierarchy multipleItemSelectionAllowed="1" dragToData="1">
      <members count="1" level="1">
        <member name="[Range 1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4].[Âmbito].&amp;[Pilar III]"/>
      </members>
    </pivotHierarchy>
    <pivotHierarchy multipleItemSelectionAllowed="1" dragToData="1">
      <members count="1" level="1">
        <member name="[Table4].[Sub-âmbito].&amp;[Pilar III]"/>
      </members>
    </pivotHierarchy>
    <pivotHierarchy multipleItemSelectionAllowed="1" dragToData="1">
      <members count="1" level="1">
        <member name="[Table4].[Tipo de teste].&amp;[2. Camp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stes GD Pilar 3 - Plano_versão trabalho_V1.2.xlsx!Table4">
        <x15:activeTabTopLevelEntity name="[Range 1]"/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L605" totalsRowShown="0" headerRowDxfId="16" tableBorderDxfId="15">
  <autoFilter ref="B6:L605" xr:uid="{00000000-0009-0000-0100-000004000000}"/>
  <tableColumns count="11">
    <tableColumn id="1" xr3:uid="{00000000-0010-0000-0000-000001000000}" name="Âmbito" dataDxfId="14"/>
    <tableColumn id="2" xr3:uid="{00000000-0010-0000-0000-000002000000}" name="Sub-âmbito" dataDxfId="13"/>
    <tableColumn id="3" xr3:uid="{00000000-0010-0000-0000-000003000000}" name="Tipo de teste" dataDxfId="12"/>
    <tableColumn id="4" xr3:uid="{00000000-0010-0000-0000-000004000000}" name="Tabela" dataDxfId="11"/>
    <tableColumn id="5" xr3:uid="{00000000-0010-0000-0000-000005000000}" name="Campo" dataDxfId="10"/>
    <tableColumn id="6" xr3:uid="{00000000-0010-0000-0000-000006000000}" name="Status Atual" dataDxfId="9"/>
    <tableColumn id="7" xr3:uid="{00000000-0010-0000-0000-000007000000}" name="Status Anterior" dataDxfId="8"/>
    <tableColumn id="8" xr3:uid="{00000000-0010-0000-0000-000008000000}" name="Observações" dataDxfId="7"/>
    <tableColumn id="9" xr3:uid="{00000000-0010-0000-0000-000009000000}" name="Data de Pedido correção/esclarecimento" dataDxfId="6"/>
    <tableColumn id="10" xr3:uid="{00000000-0010-0000-0000-00000A000000}" name="Data de correção prevista" dataDxfId="5"/>
    <tableColumn id="11" xr3:uid="{00000000-0010-0000-0000-00000B000000}" name="Data de correção efetiva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AN42"/>
  <sheetViews>
    <sheetView showGridLines="0" zoomScale="70" zoomScaleNormal="70" workbookViewId="0">
      <selection activeCell="V34" sqref="V34"/>
    </sheetView>
  </sheetViews>
  <sheetFormatPr defaultColWidth="0" defaultRowHeight="17.399999999999999" customHeight="1" zeroHeight="1" x14ac:dyDescent="0.45"/>
  <cols>
    <col min="1" max="2" width="3.69921875" style="11" customWidth="1"/>
    <col min="3" max="38" width="8.796875" style="11" customWidth="1"/>
    <col min="39" max="40" width="3.69921875" style="11" customWidth="1"/>
    <col min="41" max="16384" width="8.796875" style="11" hidden="1"/>
  </cols>
  <sheetData>
    <row r="1" spans="1:40" x14ac:dyDescent="0.45">
      <c r="AN1" s="27"/>
    </row>
    <row r="2" spans="1:40" x14ac:dyDescent="0.45"/>
    <row r="3" spans="1:40" x14ac:dyDescent="0.45"/>
    <row r="4" spans="1:40" ht="4.95" customHeight="1" x14ac:dyDescent="0.4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pans="1:40" x14ac:dyDescent="0.4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</row>
    <row r="6" spans="1:40" ht="22.2" x14ac:dyDescent="0.55000000000000004">
      <c r="A6" s="26"/>
      <c r="B6" s="36" t="s">
        <v>466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</row>
    <row r="7" spans="1:40" ht="4.95" customHeight="1" x14ac:dyDescent="0.4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</row>
    <row r="8" spans="1:40" x14ac:dyDescent="0.45">
      <c r="A8" s="26"/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30"/>
      <c r="AN8" s="26"/>
    </row>
    <row r="9" spans="1:40" ht="22.2" x14ac:dyDescent="0.55000000000000004">
      <c r="A9" s="26"/>
      <c r="B9" s="31"/>
      <c r="C9" s="51" t="s">
        <v>480</v>
      </c>
      <c r="T9" s="52"/>
      <c r="V9" s="51" t="s">
        <v>481</v>
      </c>
      <c r="AM9" s="32"/>
      <c r="AN9" s="26"/>
    </row>
    <row r="10" spans="1:40" x14ac:dyDescent="0.45">
      <c r="A10" s="26"/>
      <c r="B10" s="31"/>
      <c r="T10" s="52"/>
      <c r="AM10" s="32"/>
      <c r="AN10" s="26"/>
    </row>
    <row r="11" spans="1:40" x14ac:dyDescent="0.45">
      <c r="A11" s="26"/>
      <c r="B11" s="31"/>
      <c r="T11" s="52"/>
      <c r="AM11" s="32"/>
      <c r="AN11" s="26"/>
    </row>
    <row r="12" spans="1:40" x14ac:dyDescent="0.45">
      <c r="A12" s="26"/>
      <c r="B12" s="31"/>
      <c r="T12" s="52"/>
      <c r="AM12" s="32"/>
      <c r="AN12" s="26"/>
    </row>
    <row r="13" spans="1:40" x14ac:dyDescent="0.45">
      <c r="A13" s="26"/>
      <c r="B13" s="31"/>
      <c r="T13" s="52"/>
      <c r="AM13" s="32"/>
      <c r="AN13" s="26"/>
    </row>
    <row r="14" spans="1:40" x14ac:dyDescent="0.45">
      <c r="A14" s="26"/>
      <c r="B14" s="31"/>
      <c r="T14" s="52"/>
      <c r="AM14" s="32"/>
      <c r="AN14" s="26"/>
    </row>
    <row r="15" spans="1:40" x14ac:dyDescent="0.45">
      <c r="A15" s="26"/>
      <c r="B15" s="31"/>
      <c r="T15" s="52"/>
      <c r="AM15" s="32"/>
      <c r="AN15" s="26"/>
    </row>
    <row r="16" spans="1:40" x14ac:dyDescent="0.45">
      <c r="A16" s="26"/>
      <c r="B16" s="31"/>
      <c r="T16" s="52"/>
      <c r="AM16" s="32"/>
      <c r="AN16" s="26"/>
    </row>
    <row r="17" spans="1:40" x14ac:dyDescent="0.45">
      <c r="A17" s="26"/>
      <c r="B17" s="31"/>
      <c r="T17" s="52"/>
      <c r="AM17" s="32"/>
      <c r="AN17" s="26"/>
    </row>
    <row r="18" spans="1:40" x14ac:dyDescent="0.45">
      <c r="A18" s="26"/>
      <c r="B18" s="31"/>
      <c r="T18" s="52"/>
      <c r="AM18" s="32"/>
      <c r="AN18" s="26"/>
    </row>
    <row r="19" spans="1:40" x14ac:dyDescent="0.45">
      <c r="A19" s="26"/>
      <c r="B19" s="31"/>
      <c r="T19" s="52"/>
      <c r="AM19" s="32"/>
      <c r="AN19" s="26"/>
    </row>
    <row r="20" spans="1:40" x14ac:dyDescent="0.45">
      <c r="A20" s="26"/>
      <c r="B20" s="31"/>
      <c r="T20" s="52"/>
      <c r="AM20" s="32"/>
      <c r="AN20" s="26"/>
    </row>
    <row r="21" spans="1:40" x14ac:dyDescent="0.45">
      <c r="A21" s="26"/>
      <c r="B21" s="31"/>
      <c r="T21" s="52"/>
      <c r="AM21" s="32"/>
      <c r="AN21" s="26"/>
    </row>
    <row r="22" spans="1:40" x14ac:dyDescent="0.45">
      <c r="A22" s="26"/>
      <c r="B22" s="31"/>
      <c r="T22" s="52"/>
      <c r="AM22" s="32"/>
      <c r="AN22" s="26"/>
    </row>
    <row r="23" spans="1:40" x14ac:dyDescent="0.45">
      <c r="A23" s="26"/>
      <c r="B23" s="31"/>
      <c r="T23" s="52"/>
      <c r="AM23" s="32"/>
      <c r="AN23" s="26"/>
    </row>
    <row r="24" spans="1:40" x14ac:dyDescent="0.45">
      <c r="A24" s="26"/>
      <c r="B24" s="31"/>
      <c r="T24" s="52"/>
      <c r="AM24" s="32"/>
      <c r="AN24" s="26"/>
    </row>
    <row r="25" spans="1:40" x14ac:dyDescent="0.45">
      <c r="A25" s="26"/>
      <c r="B25" s="31"/>
      <c r="T25" s="52"/>
      <c r="AM25" s="32"/>
      <c r="AN25" s="26"/>
    </row>
    <row r="26" spans="1:40" x14ac:dyDescent="0.45">
      <c r="A26" s="26"/>
      <c r="B26" s="31"/>
      <c r="T26" s="52"/>
      <c r="AM26" s="32"/>
      <c r="AN26" s="26"/>
    </row>
    <row r="27" spans="1:40" x14ac:dyDescent="0.45">
      <c r="A27" s="26"/>
      <c r="B27" s="31"/>
      <c r="T27" s="52"/>
      <c r="AM27" s="32"/>
      <c r="AN27" s="26"/>
    </row>
    <row r="28" spans="1:40" x14ac:dyDescent="0.45">
      <c r="A28" s="26"/>
      <c r="B28" s="31"/>
      <c r="T28" s="52"/>
      <c r="AM28" s="32"/>
      <c r="AN28" s="26"/>
    </row>
    <row r="29" spans="1:40" x14ac:dyDescent="0.45">
      <c r="A29" s="26"/>
      <c r="B29" s="31"/>
      <c r="T29" s="52"/>
      <c r="AM29" s="32"/>
      <c r="AN29" s="26"/>
    </row>
    <row r="30" spans="1:40" x14ac:dyDescent="0.45">
      <c r="A30" s="26"/>
      <c r="B30" s="31"/>
      <c r="T30" s="52"/>
      <c r="AM30" s="32"/>
      <c r="AN30" s="26"/>
    </row>
    <row r="31" spans="1:40" x14ac:dyDescent="0.45">
      <c r="A31" s="26"/>
      <c r="B31" s="31"/>
      <c r="T31" s="52"/>
      <c r="AM31" s="32"/>
      <c r="AN31" s="26"/>
    </row>
    <row r="32" spans="1:40" x14ac:dyDescent="0.45">
      <c r="A32" s="26"/>
      <c r="B32" s="31"/>
      <c r="T32" s="52"/>
      <c r="AM32" s="32"/>
      <c r="AN32" s="26"/>
    </row>
    <row r="33" spans="1:40" x14ac:dyDescent="0.45">
      <c r="A33" s="26"/>
      <c r="B33" s="31"/>
      <c r="T33" s="52"/>
      <c r="AM33" s="32"/>
      <c r="AN33" s="26"/>
    </row>
    <row r="34" spans="1:40" x14ac:dyDescent="0.45">
      <c r="A34" s="26"/>
      <c r="B34" s="31"/>
      <c r="T34" s="52"/>
      <c r="AM34" s="32"/>
      <c r="AN34" s="26"/>
    </row>
    <row r="35" spans="1:40" x14ac:dyDescent="0.45">
      <c r="A35" s="26"/>
      <c r="B35" s="31"/>
      <c r="T35" s="52"/>
      <c r="AM35" s="32"/>
      <c r="AN35" s="26"/>
    </row>
    <row r="36" spans="1:40" x14ac:dyDescent="0.45">
      <c r="A36" s="26"/>
      <c r="B36" s="31"/>
      <c r="T36" s="52"/>
      <c r="AM36" s="32"/>
      <c r="AN36" s="26"/>
    </row>
    <row r="37" spans="1:40" x14ac:dyDescent="0.45">
      <c r="A37" s="26"/>
      <c r="B37" s="31"/>
      <c r="T37" s="52"/>
      <c r="AM37" s="32"/>
      <c r="AN37" s="26"/>
    </row>
    <row r="38" spans="1:40" x14ac:dyDescent="0.45">
      <c r="A38" s="26"/>
      <c r="B38" s="31"/>
      <c r="T38" s="52"/>
      <c r="AM38" s="32"/>
      <c r="AN38" s="26"/>
    </row>
    <row r="39" spans="1:40" x14ac:dyDescent="0.45">
      <c r="A39" s="26"/>
      <c r="B39" s="31"/>
      <c r="C39" s="37" t="s">
        <v>498</v>
      </c>
      <c r="AM39" s="32"/>
      <c r="AN39" s="26"/>
    </row>
    <row r="40" spans="1:40" x14ac:dyDescent="0.45">
      <c r="A40" s="26"/>
      <c r="B40" s="31"/>
      <c r="C40" s="25"/>
      <c r="D40" s="11" t="s">
        <v>497</v>
      </c>
      <c r="AM40" s="32"/>
      <c r="AN40" s="26"/>
    </row>
    <row r="41" spans="1:40" x14ac:dyDescent="0.45">
      <c r="A41" s="26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5"/>
      <c r="AN41" s="26"/>
    </row>
    <row r="42" spans="1:40" x14ac:dyDescent="0.4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N90"/>
  <sheetViews>
    <sheetView showGridLines="0" tabSelected="1" zoomScale="90" zoomScaleNormal="90" workbookViewId="0"/>
  </sheetViews>
  <sheetFormatPr defaultColWidth="0" defaultRowHeight="17.399999999999999" zeroHeight="1" x14ac:dyDescent="0.45"/>
  <cols>
    <col min="1" max="2" width="3.69921875" style="11" customWidth="1"/>
    <col min="3" max="30" width="8.796875" style="11" customWidth="1"/>
    <col min="31" max="32" width="3.69921875" style="11" customWidth="1"/>
    <col min="33" max="40" width="0" style="11" hidden="1" customWidth="1"/>
    <col min="41" max="16384" width="8.796875" style="11" hidden="1"/>
  </cols>
  <sheetData>
    <row r="1" spans="1:32" x14ac:dyDescent="0.45">
      <c r="AF1" s="27"/>
    </row>
    <row r="2" spans="1:32" x14ac:dyDescent="0.45"/>
    <row r="3" spans="1:32" x14ac:dyDescent="0.45"/>
    <row r="4" spans="1:32" ht="4.95" customHeight="1" x14ac:dyDescent="0.4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</row>
    <row r="5" spans="1:32" x14ac:dyDescent="0.4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</row>
    <row r="6" spans="1:32" ht="22.2" x14ac:dyDescent="0.55000000000000004">
      <c r="A6" s="26"/>
      <c r="B6" s="36" t="s">
        <v>505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</row>
    <row r="7" spans="1:32" ht="4.95" customHeight="1" x14ac:dyDescent="0.4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</row>
    <row r="8" spans="1:32" ht="17.399999999999999" customHeight="1" x14ac:dyDescent="0.45">
      <c r="A8" s="26"/>
      <c r="B8" s="69" t="s">
        <v>504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1"/>
      <c r="AF8" s="26"/>
    </row>
    <row r="9" spans="1:32" ht="17.399999999999999" customHeight="1" x14ac:dyDescent="0.45">
      <c r="A9" s="26"/>
      <c r="B9" s="72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4"/>
      <c r="AF9" s="26"/>
    </row>
    <row r="10" spans="1:32" ht="17.399999999999999" customHeight="1" x14ac:dyDescent="0.45">
      <c r="A10" s="26"/>
      <c r="B10" s="72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4"/>
      <c r="AF10" s="26"/>
    </row>
    <row r="11" spans="1:32" ht="17.399999999999999" customHeight="1" x14ac:dyDescent="0.45">
      <c r="A11" s="26"/>
      <c r="B11" s="72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4"/>
      <c r="AF11" s="26"/>
    </row>
    <row r="12" spans="1:32" ht="17.399999999999999" customHeight="1" x14ac:dyDescent="0.45">
      <c r="A12" s="26"/>
      <c r="B12" s="72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4"/>
      <c r="AF12" s="26"/>
    </row>
    <row r="13" spans="1:32" ht="17.399999999999999" customHeight="1" x14ac:dyDescent="0.45">
      <c r="A13" s="26"/>
      <c r="B13" s="72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4"/>
      <c r="AF13" s="26"/>
    </row>
    <row r="14" spans="1:32" ht="17.399999999999999" customHeight="1" x14ac:dyDescent="0.45">
      <c r="A14" s="26"/>
      <c r="B14" s="75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7"/>
      <c r="AF14" s="26"/>
    </row>
    <row r="15" spans="1:32" x14ac:dyDescent="0.4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</row>
    <row r="16" spans="1:32" x14ac:dyDescent="0.4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</row>
    <row r="17" spans="1:32" ht="22.2" x14ac:dyDescent="0.55000000000000004">
      <c r="A17" s="26"/>
      <c r="B17" s="36" t="s">
        <v>467</v>
      </c>
      <c r="C17" s="26"/>
      <c r="D17" s="26"/>
      <c r="E17" s="26"/>
      <c r="F17" s="26"/>
      <c r="G17" s="39" t="s">
        <v>306</v>
      </c>
      <c r="H17" s="39" t="s">
        <v>307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</row>
    <row r="18" spans="1:32" ht="4.95" customHeight="1" x14ac:dyDescent="0.4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</row>
    <row r="19" spans="1:32" x14ac:dyDescent="0.45">
      <c r="A19" s="26"/>
      <c r="B19" s="28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30"/>
      <c r="AF19" s="26"/>
    </row>
    <row r="20" spans="1:32" x14ac:dyDescent="0.45">
      <c r="A20" s="26"/>
      <c r="B20" s="31"/>
      <c r="C20" s="38" t="s">
        <v>471</v>
      </c>
      <c r="G20" s="38" t="s">
        <v>472</v>
      </c>
      <c r="P20" s="41" t="s">
        <v>3</v>
      </c>
      <c r="Q20" s="42"/>
      <c r="R20" s="41"/>
      <c r="S20" s="42"/>
      <c r="T20" s="43">
        <v>45492</v>
      </c>
      <c r="U20" s="43">
        <v>45499</v>
      </c>
      <c r="V20" s="44" t="s">
        <v>473</v>
      </c>
      <c r="X20" s="40" t="s">
        <v>468</v>
      </c>
      <c r="AE20" s="32"/>
      <c r="AF20" s="26"/>
    </row>
    <row r="21" spans="1:32" ht="17.399999999999999" customHeight="1" x14ac:dyDescent="0.45">
      <c r="A21" s="26"/>
      <c r="B21" s="31"/>
      <c r="P21" s="11" t="s">
        <v>426</v>
      </c>
      <c r="T21" s="11">
        <f>COUNTIFS('2. Status Detalhe Campos'!$H$7:$H$605,'1. Status Resumo'!$P21,'2. Status Detalhe Campos'!$C$7:$C$605,'1. Status Resumo'!$G$17,'2. Status Detalhe Campos'!$D$7:$D$605,"2. Campo")+COUNTIFS('2. Status Detalhe Campos'!$H$7:$H$605,'1. Status Resumo'!$P21,'2. Status Detalhe Campos'!$C$7:$C$605,'1. Status Resumo'!$H$17,'2. Status Detalhe Campos'!$D$7:$D$605,"2. Campo")</f>
        <v>8</v>
      </c>
      <c r="U21" s="11">
        <f>COUNTIFS('2. Status Detalhe Campos'!$G$7:$G$605,'1. Status Resumo'!$P21,'2. Status Detalhe Campos'!$C$7:$C$605,'1. Status Resumo'!$G$17,'2. Status Detalhe Campos'!$D$7:$D$605,"2. Campo")+COUNTIFS('2. Status Detalhe Campos'!$G$7:$G$605,'1. Status Resumo'!$P21,'2. Status Detalhe Campos'!$C$7:$C$605,'1. Status Resumo'!$H$17,'2. Status Detalhe Campos'!$D$7:$D$605,"2. Campo")</f>
        <v>8</v>
      </c>
      <c r="V21" s="11">
        <f>U21-T21</f>
        <v>0</v>
      </c>
      <c r="X21" s="106" t="s">
        <v>506</v>
      </c>
      <c r="Y21" s="107"/>
      <c r="Z21" s="107"/>
      <c r="AA21" s="107"/>
      <c r="AB21" s="107"/>
      <c r="AC21" s="107"/>
      <c r="AD21" s="108"/>
      <c r="AE21" s="32"/>
      <c r="AF21" s="26"/>
    </row>
    <row r="22" spans="1:32" x14ac:dyDescent="0.45">
      <c r="A22" s="26"/>
      <c r="B22" s="31"/>
      <c r="P22" s="11" t="s">
        <v>425</v>
      </c>
      <c r="T22" s="11">
        <f>COUNTIFS('2. Status Detalhe Campos'!$H$7:$H$605,'1. Status Resumo'!$P22,'2. Status Detalhe Campos'!$C$7:$C$605,'1. Status Resumo'!$G$17,'2. Status Detalhe Campos'!$D$7:$D$605,"2. Campo")+COUNTIFS('2. Status Detalhe Campos'!$H$7:$H$605,'1. Status Resumo'!$P22,'2. Status Detalhe Campos'!$C$7:$C$605,'1. Status Resumo'!$H$17,'2. Status Detalhe Campos'!$D$7:$D$605,"2. Campo")</f>
        <v>35</v>
      </c>
      <c r="U22" s="11">
        <f>COUNTIFS('2. Status Detalhe Campos'!$G$7:$G$605,'1. Status Resumo'!$P22,'2. Status Detalhe Campos'!$C$7:$C$605,'1. Status Resumo'!$G$17,'2. Status Detalhe Campos'!$D$7:$D$605,"2. Campo")+COUNTIFS('2. Status Detalhe Campos'!$G$7:$G$605,'1. Status Resumo'!$P22,'2. Status Detalhe Campos'!$C$7:$C$605,'1. Status Resumo'!$H$17,'2. Status Detalhe Campos'!$D$7:$D$605,"2. Campo")</f>
        <v>50</v>
      </c>
      <c r="V22" s="11">
        <f t="shared" ref="V22:V28" si="0">U22-T22</f>
        <v>15</v>
      </c>
      <c r="X22" s="109"/>
      <c r="Y22" s="110"/>
      <c r="Z22" s="110"/>
      <c r="AA22" s="110"/>
      <c r="AB22" s="110"/>
      <c r="AC22" s="110"/>
      <c r="AD22" s="111"/>
      <c r="AE22" s="32"/>
      <c r="AF22" s="26"/>
    </row>
    <row r="23" spans="1:32" x14ac:dyDescent="0.45">
      <c r="A23" s="26"/>
      <c r="B23" s="31"/>
      <c r="P23" s="11" t="s">
        <v>429</v>
      </c>
      <c r="T23" s="11">
        <f>COUNTIFS('2. Status Detalhe Campos'!$H$7:$H$605,'1. Status Resumo'!$P23,'2. Status Detalhe Campos'!$C$7:$C$605,'1. Status Resumo'!$G$17,'2. Status Detalhe Campos'!$D$7:$D$605,"2. Campo")+COUNTIFS('2. Status Detalhe Campos'!$H$7:$H$605,'1. Status Resumo'!$P23,'2. Status Detalhe Campos'!$C$7:$C$605,'1. Status Resumo'!$H$17,'2. Status Detalhe Campos'!$D$7:$D$605,"2. Campo")</f>
        <v>103</v>
      </c>
      <c r="U23" s="11">
        <f>COUNTIFS('2. Status Detalhe Campos'!$G$7:$G$605,'1. Status Resumo'!$P23,'2. Status Detalhe Campos'!$C$7:$C$605,'1. Status Resumo'!$G$17,'2. Status Detalhe Campos'!$D$7:$D$605,"2. Campo")+COUNTIFS('2. Status Detalhe Campos'!$G$7:$G$605,'1. Status Resumo'!$P23,'2. Status Detalhe Campos'!$C$7:$C$605,'1. Status Resumo'!$H$17,'2. Status Detalhe Campos'!$D$7:$D$605,"2. Campo")</f>
        <v>90</v>
      </c>
      <c r="V23" s="11">
        <f t="shared" si="0"/>
        <v>-13</v>
      </c>
      <c r="X23" s="109"/>
      <c r="Y23" s="110"/>
      <c r="Z23" s="110"/>
      <c r="AA23" s="110"/>
      <c r="AB23" s="110"/>
      <c r="AC23" s="110"/>
      <c r="AD23" s="111"/>
      <c r="AE23" s="32"/>
      <c r="AF23" s="26"/>
    </row>
    <row r="24" spans="1:32" x14ac:dyDescent="0.45">
      <c r="A24" s="26"/>
      <c r="B24" s="31"/>
      <c r="D24" s="105" t="str">
        <f>"# "&amp;U29</f>
        <v># 161</v>
      </c>
      <c r="E24" s="105"/>
      <c r="P24" s="11" t="s">
        <v>462</v>
      </c>
      <c r="T24" s="11">
        <f>COUNTIFS('2. Status Detalhe Campos'!$H$7:$H$605,'1. Status Resumo'!$P24,'2. Status Detalhe Campos'!$C$7:$C$605,'1. Status Resumo'!$G$17,'2. Status Detalhe Campos'!$D$7:$D$605,"2. Campo")+COUNTIFS('2. Status Detalhe Campos'!$H$7:$H$605,'1. Status Resumo'!$P24,'2. Status Detalhe Campos'!$C$7:$C$605,'1. Status Resumo'!$H$17,'2. Status Detalhe Campos'!$D$7:$D$605,"2. Campo")</f>
        <v>0</v>
      </c>
      <c r="U24" s="11">
        <f>COUNTIFS('2. Status Detalhe Campos'!$G$7:$G$605,'1. Status Resumo'!$P24,'2. Status Detalhe Campos'!$C$7:$C$605,'1. Status Resumo'!$G$17,'2. Status Detalhe Campos'!$D$7:$D$605,"2. Campo")+COUNTIFS('2. Status Detalhe Campos'!$G$7:$G$605,'1. Status Resumo'!$P24,'2. Status Detalhe Campos'!$C$7:$C$605,'1. Status Resumo'!$H$17,'2. Status Detalhe Campos'!$D$7:$D$605,"2. Campo")</f>
        <v>0</v>
      </c>
      <c r="V24" s="11">
        <f t="shared" si="0"/>
        <v>0</v>
      </c>
      <c r="X24" s="109"/>
      <c r="Y24" s="110"/>
      <c r="Z24" s="110"/>
      <c r="AA24" s="110"/>
      <c r="AB24" s="110"/>
      <c r="AC24" s="110"/>
      <c r="AD24" s="111"/>
      <c r="AE24" s="32"/>
      <c r="AF24" s="26"/>
    </row>
    <row r="25" spans="1:32" x14ac:dyDescent="0.45">
      <c r="A25" s="26"/>
      <c r="B25" s="31"/>
      <c r="D25" s="105"/>
      <c r="E25" s="105"/>
      <c r="P25" s="11" t="s">
        <v>428</v>
      </c>
      <c r="T25" s="11">
        <f>COUNTIFS('2. Status Detalhe Campos'!$H$7:$H$605,'1. Status Resumo'!$P25,'2. Status Detalhe Campos'!$C$7:$C$605,'1. Status Resumo'!$G$17,'2. Status Detalhe Campos'!$D$7:$D$605,"2. Campo")+COUNTIFS('2. Status Detalhe Campos'!$H$7:$H$605,'1. Status Resumo'!$P25,'2. Status Detalhe Campos'!$C$7:$C$605,'1. Status Resumo'!$H$17,'2. Status Detalhe Campos'!$D$7:$D$605,"2. Campo")</f>
        <v>13</v>
      </c>
      <c r="U25" s="11">
        <f>COUNTIFS('2. Status Detalhe Campos'!$G$7:$G$605,'1. Status Resumo'!$P25,'2. Status Detalhe Campos'!$C$7:$C$605,'1. Status Resumo'!$G$17,'2. Status Detalhe Campos'!$D$7:$D$605,"2. Campo")+COUNTIFS('2. Status Detalhe Campos'!$G$7:$G$605,'1. Status Resumo'!$P25,'2. Status Detalhe Campos'!$C$7:$C$605,'1. Status Resumo'!$H$17,'2. Status Detalhe Campos'!$D$7:$D$605,"2. Campo")</f>
        <v>13</v>
      </c>
      <c r="V25" s="11">
        <f t="shared" si="0"/>
        <v>0</v>
      </c>
      <c r="X25" s="109"/>
      <c r="Y25" s="110"/>
      <c r="Z25" s="110"/>
      <c r="AA25" s="110"/>
      <c r="AB25" s="110"/>
      <c r="AC25" s="110"/>
      <c r="AD25" s="111"/>
      <c r="AE25" s="32"/>
      <c r="AF25" s="26"/>
    </row>
    <row r="26" spans="1:32" x14ac:dyDescent="0.45">
      <c r="A26" s="26"/>
      <c r="B26" s="31"/>
      <c r="P26" s="11" t="s">
        <v>427</v>
      </c>
      <c r="R26" s="11" t="s">
        <v>486</v>
      </c>
      <c r="T26" s="11">
        <f>COUNTIFS('2. Status Detalhe Campos'!$H$7:$H$605,'1. Status Resumo'!$P26,'2. Status Detalhe Campos'!$C$7:$C$605,'1. Status Resumo'!$G$17,'2. Status Detalhe Campos'!$D$7:$D$605,"2. Campo")+COUNTIFS('2. Status Detalhe Campos'!$H$7:$H$605,'1. Status Resumo'!$P26,'2. Status Detalhe Campos'!$C$7:$C$605,'1. Status Resumo'!$H$17,'2. Status Detalhe Campos'!$D$7:$D$605,"2. Campo")</f>
        <v>2</v>
      </c>
      <c r="U26" s="11">
        <f>COUNTIFS('2. Status Detalhe Campos'!$G$7:$G$605,'1. Status Resumo'!$P26,'2. Status Detalhe Campos'!$C$7:$C$605,'1. Status Resumo'!$G$17,'2. Status Detalhe Campos'!$D$7:$D$605,"2. Campo")+COUNTIFS('2. Status Detalhe Campos'!$G$7:$G$605,'1. Status Resumo'!$P26,'2. Status Detalhe Campos'!$C$7:$C$605,'1. Status Resumo'!$H$17,'2. Status Detalhe Campos'!$D$7:$D$605,"2. Campo")</f>
        <v>0</v>
      </c>
      <c r="V26" s="11">
        <f t="shared" si="0"/>
        <v>-2</v>
      </c>
      <c r="X26" s="109"/>
      <c r="Y26" s="110"/>
      <c r="Z26" s="110"/>
      <c r="AA26" s="110"/>
      <c r="AB26" s="110"/>
      <c r="AC26" s="110"/>
      <c r="AD26" s="111"/>
      <c r="AE26" s="32"/>
      <c r="AF26" s="26"/>
    </row>
    <row r="27" spans="1:32" x14ac:dyDescent="0.45">
      <c r="A27" s="26"/>
      <c r="B27" s="31"/>
      <c r="P27" s="11" t="s">
        <v>465</v>
      </c>
      <c r="T27" s="11">
        <f>COUNTIFS('2. Status Detalhe Campos'!$H$7:$H$605,'1. Status Resumo'!$P27,'2. Status Detalhe Campos'!$C$7:$C$605,'1. Status Resumo'!$G$17,'2. Status Detalhe Campos'!$D$7:$D$605,"2. Campo")+COUNTIFS('2. Status Detalhe Campos'!$H$7:$H$605,'1. Status Resumo'!$P27,'2. Status Detalhe Campos'!$C$7:$C$605,'1. Status Resumo'!$H$17,'2. Status Detalhe Campos'!$D$7:$D$605,"2. Campo")</f>
        <v>0</v>
      </c>
      <c r="U27" s="11">
        <f>COUNTIFS('2. Status Detalhe Campos'!$G$7:$G$605,'1. Status Resumo'!$P27,'2. Status Detalhe Campos'!$C$7:$C$605,'1. Status Resumo'!$G$17,'2. Status Detalhe Campos'!$D$7:$D$605,"2. Campo")+COUNTIFS('2. Status Detalhe Campos'!$G$7:$G$605,'1. Status Resumo'!$P27,'2. Status Detalhe Campos'!$C$7:$C$605,'1. Status Resumo'!$H$17,'2. Status Detalhe Campos'!$D$7:$D$605,"2. Campo")</f>
        <v>0</v>
      </c>
      <c r="V27" s="11">
        <f t="shared" si="0"/>
        <v>0</v>
      </c>
      <c r="X27" s="109"/>
      <c r="Y27" s="110"/>
      <c r="Z27" s="110"/>
      <c r="AA27" s="110"/>
      <c r="AB27" s="110"/>
      <c r="AC27" s="110"/>
      <c r="AD27" s="111"/>
      <c r="AE27" s="32"/>
      <c r="AF27" s="26"/>
    </row>
    <row r="28" spans="1:32" x14ac:dyDescent="0.45">
      <c r="A28" s="26"/>
      <c r="B28" s="31"/>
      <c r="P28" s="11" t="s">
        <v>464</v>
      </c>
      <c r="T28" s="11">
        <f>COUNTIFS('2. Status Detalhe Campos'!$H$7:$H$605,'1. Status Resumo'!$P28,'2. Status Detalhe Campos'!$C$7:$C$605,'1. Status Resumo'!$G$17,'2. Status Detalhe Campos'!$D$7:$D$605,"2. Campo")+COUNTIFS('2. Status Detalhe Campos'!$H$7:$H$605,'1. Status Resumo'!$P28,'2. Status Detalhe Campos'!$C$7:$C$605,'1. Status Resumo'!$H$17,'2. Status Detalhe Campos'!$D$7:$D$605,"2. Campo")</f>
        <v>0</v>
      </c>
      <c r="U28" s="11">
        <f>COUNTIFS('2. Status Detalhe Campos'!$G$7:$G$605,'1. Status Resumo'!$P28,'2. Status Detalhe Campos'!$C$7:$C$605,'1. Status Resumo'!$G$17,'2. Status Detalhe Campos'!$D$7:$D$605,"2. Campo")+COUNTIFS('2. Status Detalhe Campos'!$G$7:$G$605,'1. Status Resumo'!$P28,'2. Status Detalhe Campos'!$C$7:$C$605,'1. Status Resumo'!$H$17,'2. Status Detalhe Campos'!$D$7:$D$605,"2. Campo")</f>
        <v>0</v>
      </c>
      <c r="V28" s="11">
        <f t="shared" si="0"/>
        <v>0</v>
      </c>
      <c r="X28" s="109"/>
      <c r="Y28" s="110"/>
      <c r="Z28" s="110"/>
      <c r="AA28" s="110"/>
      <c r="AB28" s="110"/>
      <c r="AC28" s="110"/>
      <c r="AD28" s="111"/>
      <c r="AE28" s="32"/>
      <c r="AF28" s="26"/>
    </row>
    <row r="29" spans="1:32" x14ac:dyDescent="0.45">
      <c r="A29" s="26"/>
      <c r="B29" s="31"/>
      <c r="T29" s="37">
        <f>SUM(T21:T28)</f>
        <v>161</v>
      </c>
      <c r="U29" s="37">
        <f>SUM(U21:U28)</f>
        <v>161</v>
      </c>
      <c r="X29" s="109"/>
      <c r="Y29" s="110"/>
      <c r="Z29" s="110"/>
      <c r="AA29" s="110"/>
      <c r="AB29" s="110"/>
      <c r="AC29" s="110"/>
      <c r="AD29" s="111"/>
      <c r="AE29" s="32"/>
      <c r="AF29" s="26"/>
    </row>
    <row r="30" spans="1:32" x14ac:dyDescent="0.45">
      <c r="A30" s="26"/>
      <c r="B30" s="31"/>
      <c r="X30" s="109"/>
      <c r="Y30" s="110"/>
      <c r="Z30" s="110"/>
      <c r="AA30" s="110"/>
      <c r="AB30" s="110"/>
      <c r="AC30" s="110"/>
      <c r="AD30" s="111"/>
      <c r="AE30" s="32"/>
      <c r="AF30" s="26"/>
    </row>
    <row r="31" spans="1:32" x14ac:dyDescent="0.45">
      <c r="A31" s="26"/>
      <c r="B31" s="31"/>
      <c r="O31" s="116" t="s">
        <v>511</v>
      </c>
      <c r="P31" s="11" t="s">
        <v>507</v>
      </c>
      <c r="T31" s="115" t="s">
        <v>8</v>
      </c>
      <c r="X31" s="109"/>
      <c r="Y31" s="110"/>
      <c r="Z31" s="110"/>
      <c r="AA31" s="110"/>
      <c r="AB31" s="110"/>
      <c r="AC31" s="110"/>
      <c r="AD31" s="111"/>
      <c r="AE31" s="32"/>
      <c r="AF31" s="26"/>
    </row>
    <row r="32" spans="1:32" x14ac:dyDescent="0.45">
      <c r="A32" s="26"/>
      <c r="B32" s="31"/>
      <c r="O32" s="116" t="s">
        <v>511</v>
      </c>
      <c r="P32" s="11" t="s">
        <v>508</v>
      </c>
      <c r="T32" s="115" t="s">
        <v>8</v>
      </c>
      <c r="X32" s="109"/>
      <c r="Y32" s="110"/>
      <c r="Z32" s="110"/>
      <c r="AA32" s="110"/>
      <c r="AB32" s="110"/>
      <c r="AC32" s="110"/>
      <c r="AD32" s="111"/>
      <c r="AE32" s="32"/>
      <c r="AF32" s="26"/>
    </row>
    <row r="33" spans="1:32" x14ac:dyDescent="0.45">
      <c r="A33" s="26"/>
      <c r="B33" s="31"/>
      <c r="O33" s="116" t="s">
        <v>511</v>
      </c>
      <c r="P33" s="11" t="s">
        <v>509</v>
      </c>
      <c r="T33" s="117" t="s">
        <v>510</v>
      </c>
      <c r="X33" s="112"/>
      <c r="Y33" s="113"/>
      <c r="Z33" s="113"/>
      <c r="AA33" s="113"/>
      <c r="AB33" s="113"/>
      <c r="AC33" s="113"/>
      <c r="AD33" s="114"/>
      <c r="AE33" s="32"/>
      <c r="AF33" s="26"/>
    </row>
    <row r="34" spans="1:32" x14ac:dyDescent="0.45">
      <c r="A34" s="26"/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5"/>
      <c r="AF34" s="26"/>
    </row>
    <row r="35" spans="1:32" x14ac:dyDescent="0.4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</row>
    <row r="36" spans="1:32" ht="22.2" x14ac:dyDescent="0.55000000000000004">
      <c r="A36" s="26"/>
      <c r="B36" s="36" t="s">
        <v>474</v>
      </c>
      <c r="C36" s="26"/>
      <c r="D36" s="26"/>
      <c r="E36" s="26"/>
      <c r="F36" s="26"/>
      <c r="G36" s="39" t="s">
        <v>29</v>
      </c>
      <c r="H36" s="39" t="s">
        <v>30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</row>
    <row r="37" spans="1:32" ht="4.95" customHeight="1" x14ac:dyDescent="0.4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45">
      <c r="A38" s="26"/>
      <c r="B38" s="28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30"/>
      <c r="AF38" s="26"/>
    </row>
    <row r="39" spans="1:32" x14ac:dyDescent="0.45">
      <c r="A39" s="26"/>
      <c r="B39" s="31"/>
      <c r="C39" s="38" t="s">
        <v>471</v>
      </c>
      <c r="G39" s="38" t="s">
        <v>472</v>
      </c>
      <c r="P39" s="41" t="s">
        <v>3</v>
      </c>
      <c r="Q39" s="42"/>
      <c r="R39" s="41"/>
      <c r="S39" s="42"/>
      <c r="T39" s="43">
        <f>T20</f>
        <v>45492</v>
      </c>
      <c r="U39" s="43">
        <f>U20</f>
        <v>45499</v>
      </c>
      <c r="V39" s="44" t="s">
        <v>473</v>
      </c>
      <c r="X39" s="40" t="s">
        <v>468</v>
      </c>
      <c r="AE39" s="32"/>
      <c r="AF39" s="26"/>
    </row>
    <row r="40" spans="1:32" x14ac:dyDescent="0.45">
      <c r="A40" s="26"/>
      <c r="B40" s="31"/>
      <c r="P40" s="11" t="s">
        <v>426</v>
      </c>
      <c r="T40" s="11">
        <f>COUNTIFS('2. Status Detalhe Campos'!$H$7:$H$605,'1. Status Resumo'!$P40,'2. Status Detalhe Campos'!$C$7:$C$605,'1. Status Resumo'!$G$36,'2. Status Detalhe Campos'!$D$7:$D$605,"2. Campo")+COUNTIFS('2. Status Detalhe Campos'!$H$7:$H$605,'1. Status Resumo'!$P40,'2. Status Detalhe Campos'!$C$7:$C$605,'1. Status Resumo'!$H$36,'2. Status Detalhe Campos'!$D$7:$D$605,"2. Campo")</f>
        <v>10</v>
      </c>
      <c r="U40" s="11">
        <f>COUNTIFS('2. Status Detalhe Campos'!$G$7:$G$605,'1. Status Resumo'!$P40,'2. Status Detalhe Campos'!$C$7:$C$605,'1. Status Resumo'!$G$36,'2. Status Detalhe Campos'!$D$7:$D$605,"2. Campo")+COUNTIFS('2. Status Detalhe Campos'!$G$7:$G$605,'1. Status Resumo'!$P40,'2. Status Detalhe Campos'!$C$7:$C$605,'1. Status Resumo'!$H$36,'2. Status Detalhe Campos'!$D$7:$D$605,"2. Campo")</f>
        <v>10</v>
      </c>
      <c r="V40" s="11">
        <f>U40-T40</f>
        <v>0</v>
      </c>
      <c r="W40" s="66"/>
      <c r="X40" s="78" t="s">
        <v>512</v>
      </c>
      <c r="Y40" s="79"/>
      <c r="Z40" s="79"/>
      <c r="AA40" s="79"/>
      <c r="AB40" s="79"/>
      <c r="AC40" s="79"/>
      <c r="AD40" s="80"/>
      <c r="AE40" s="32"/>
      <c r="AF40" s="26"/>
    </row>
    <row r="41" spans="1:32" x14ac:dyDescent="0.45">
      <c r="A41" s="26"/>
      <c r="B41" s="31"/>
      <c r="P41" s="11" t="s">
        <v>425</v>
      </c>
      <c r="T41" s="11">
        <f>COUNTIFS('2. Status Detalhe Campos'!$H$7:$H$605,'1. Status Resumo'!$P41,'2. Status Detalhe Campos'!$C$7:$C$605,'1. Status Resumo'!$G$36,'2. Status Detalhe Campos'!$D$7:$D$605,"2. Campo")+COUNTIFS('2. Status Detalhe Campos'!$H$7:$H$605,'1. Status Resumo'!$P41,'2. Status Detalhe Campos'!$C$7:$C$605,'1. Status Resumo'!$H$36,'2. Status Detalhe Campos'!$D$7:$D$605,"2. Campo")</f>
        <v>63</v>
      </c>
      <c r="U41" s="11">
        <f>COUNTIFS('2. Status Detalhe Campos'!$G$7:$G$605,'1. Status Resumo'!$P41,'2. Status Detalhe Campos'!$C$7:$C$605,'1. Status Resumo'!$G$36,'2. Status Detalhe Campos'!$D$7:$D$605,"2. Campo")+COUNTIFS('2. Status Detalhe Campos'!$G$7:$G$605,'1. Status Resumo'!$P41,'2. Status Detalhe Campos'!$C$7:$C$605,'1. Status Resumo'!$H$36,'2. Status Detalhe Campos'!$D$7:$D$605,"2. Campo")</f>
        <v>63</v>
      </c>
      <c r="V41" s="11">
        <f t="shared" ref="V41:V47" si="1">U41-T41</f>
        <v>0</v>
      </c>
      <c r="W41" s="66"/>
      <c r="X41" s="81"/>
      <c r="Y41" s="82"/>
      <c r="Z41" s="82"/>
      <c r="AA41" s="82"/>
      <c r="AB41" s="82"/>
      <c r="AC41" s="82"/>
      <c r="AD41" s="83"/>
      <c r="AE41" s="32"/>
      <c r="AF41" s="26"/>
    </row>
    <row r="42" spans="1:32" x14ac:dyDescent="0.45">
      <c r="A42" s="26"/>
      <c r="B42" s="31"/>
      <c r="P42" s="11" t="s">
        <v>429</v>
      </c>
      <c r="T42" s="11">
        <f>COUNTIFS('2. Status Detalhe Campos'!$H$7:$H$605,'1. Status Resumo'!$P42,'2. Status Detalhe Campos'!$C$7:$C$605,'1. Status Resumo'!$G$36,'2. Status Detalhe Campos'!$D$7:$D$605,"2. Campo")+COUNTIFS('2. Status Detalhe Campos'!$H$7:$H$605,'1. Status Resumo'!$P42,'2. Status Detalhe Campos'!$C$7:$C$605,'1. Status Resumo'!$H$36,'2. Status Detalhe Campos'!$D$7:$D$605,"2. Campo")</f>
        <v>6</v>
      </c>
      <c r="U42" s="11">
        <f>COUNTIFS('2. Status Detalhe Campos'!$G$7:$G$605,'1. Status Resumo'!$P42,'2. Status Detalhe Campos'!$C$7:$C$605,'1. Status Resumo'!$G$36,'2. Status Detalhe Campos'!$D$7:$D$605,"2. Campo")+COUNTIFS('2. Status Detalhe Campos'!$G$7:$G$605,'1. Status Resumo'!$P42,'2. Status Detalhe Campos'!$C$7:$C$605,'1. Status Resumo'!$H$36,'2. Status Detalhe Campos'!$D$7:$D$605,"2. Campo")</f>
        <v>6</v>
      </c>
      <c r="V42" s="11">
        <f t="shared" si="1"/>
        <v>0</v>
      </c>
      <c r="W42" s="66"/>
      <c r="X42" s="81"/>
      <c r="Y42" s="82"/>
      <c r="Z42" s="82"/>
      <c r="AA42" s="82"/>
      <c r="AB42" s="82"/>
      <c r="AC42" s="82"/>
      <c r="AD42" s="83"/>
      <c r="AE42" s="32"/>
      <c r="AF42" s="26"/>
    </row>
    <row r="43" spans="1:32" x14ac:dyDescent="0.45">
      <c r="A43" s="26"/>
      <c r="B43" s="31"/>
      <c r="D43" s="105" t="str">
        <f>"# "&amp;U48</f>
        <v># 242</v>
      </c>
      <c r="E43" s="105"/>
      <c r="P43" s="11" t="s">
        <v>462</v>
      </c>
      <c r="T43" s="11">
        <f>COUNTIFS('2. Status Detalhe Campos'!$H$7:$H$605,'1. Status Resumo'!$P43,'2. Status Detalhe Campos'!$C$7:$C$605,'1. Status Resumo'!$G$36,'2. Status Detalhe Campos'!$D$7:$D$605,"2. Campo")+COUNTIFS('2. Status Detalhe Campos'!$H$7:$H$605,'1. Status Resumo'!$P43,'2. Status Detalhe Campos'!$C$7:$C$605,'1. Status Resumo'!$H$36,'2. Status Detalhe Campos'!$D$7:$D$605,"2. Campo")</f>
        <v>45</v>
      </c>
      <c r="U43" s="11">
        <f>COUNTIFS('2. Status Detalhe Campos'!$G$7:$G$605,'1. Status Resumo'!$P43,'2. Status Detalhe Campos'!$C$7:$C$605,'1. Status Resumo'!$G$36,'2. Status Detalhe Campos'!$D$7:$D$605,"2. Campo")+COUNTIFS('2. Status Detalhe Campos'!$G$7:$G$605,'1. Status Resumo'!$P43,'2. Status Detalhe Campos'!$C$7:$C$605,'1. Status Resumo'!$H$36,'2. Status Detalhe Campos'!$D$7:$D$605,"2. Campo")</f>
        <v>45</v>
      </c>
      <c r="V43" s="11">
        <f t="shared" si="1"/>
        <v>0</v>
      </c>
      <c r="W43" s="66"/>
      <c r="X43" s="81"/>
      <c r="Y43" s="82"/>
      <c r="Z43" s="82"/>
      <c r="AA43" s="82"/>
      <c r="AB43" s="82"/>
      <c r="AC43" s="82"/>
      <c r="AD43" s="83"/>
      <c r="AE43" s="32"/>
      <c r="AF43" s="26"/>
    </row>
    <row r="44" spans="1:32" ht="17.399999999999999" customHeight="1" x14ac:dyDescent="0.45">
      <c r="A44" s="26"/>
      <c r="B44" s="31"/>
      <c r="D44" s="105"/>
      <c r="E44" s="105"/>
      <c r="P44" s="11" t="s">
        <v>428</v>
      </c>
      <c r="T44" s="11">
        <f>COUNTIFS('2. Status Detalhe Campos'!$H$7:$H$605,'1. Status Resumo'!$P44,'2. Status Detalhe Campos'!$C$7:$C$605,'1. Status Resumo'!$G$36,'2. Status Detalhe Campos'!$D$7:$D$605,"2. Campo")+COUNTIFS('2. Status Detalhe Campos'!$H$7:$H$605,'1. Status Resumo'!$P44,'2. Status Detalhe Campos'!$C$7:$C$605,'1. Status Resumo'!$H$36,'2. Status Detalhe Campos'!$D$7:$D$605,"2. Campo")</f>
        <v>22</v>
      </c>
      <c r="U44" s="11">
        <f>COUNTIFS('2. Status Detalhe Campos'!$G$7:$G$605,'1. Status Resumo'!$P44,'2. Status Detalhe Campos'!$C$7:$C$605,'1. Status Resumo'!$G$36,'2. Status Detalhe Campos'!$D$7:$D$605,"2. Campo")+COUNTIFS('2. Status Detalhe Campos'!$G$7:$G$605,'1. Status Resumo'!$P44,'2. Status Detalhe Campos'!$C$7:$C$605,'1. Status Resumo'!$H$36,'2. Status Detalhe Campos'!$D$7:$D$605,"2. Campo")</f>
        <v>22</v>
      </c>
      <c r="V44" s="11">
        <f t="shared" si="1"/>
        <v>0</v>
      </c>
      <c r="W44" s="66"/>
      <c r="X44" s="81"/>
      <c r="Y44" s="82"/>
      <c r="Z44" s="82"/>
      <c r="AA44" s="82"/>
      <c r="AB44" s="82"/>
      <c r="AC44" s="82"/>
      <c r="AD44" s="83"/>
      <c r="AE44" s="32"/>
      <c r="AF44" s="26"/>
    </row>
    <row r="45" spans="1:32" ht="17.399999999999999" customHeight="1" x14ac:dyDescent="0.45">
      <c r="A45" s="26"/>
      <c r="B45" s="31"/>
      <c r="P45" s="11" t="s">
        <v>427</v>
      </c>
      <c r="R45" s="11" t="s">
        <v>486</v>
      </c>
      <c r="T45" s="11">
        <f>COUNTIFS('2. Status Detalhe Campos'!$H$7:$H$605,'1. Status Resumo'!$P45,'2. Status Detalhe Campos'!$C$7:$C$605,'1. Status Resumo'!$G$36,'2. Status Detalhe Campos'!$D$7:$D$605,"2. Campo")+COUNTIFS('2. Status Detalhe Campos'!$H$7:$H$605,'1. Status Resumo'!$P45,'2. Status Detalhe Campos'!$C$7:$C$605,'1. Status Resumo'!$H$36,'2. Status Detalhe Campos'!$D$7:$D$605,"2. Campo")</f>
        <v>95</v>
      </c>
      <c r="U45" s="11">
        <f>COUNTIFS('2. Status Detalhe Campos'!$G$7:$G$605,'1. Status Resumo'!$P45,'2. Status Detalhe Campos'!$C$7:$C$605,'1. Status Resumo'!$G$36,'2. Status Detalhe Campos'!$D$7:$D$605,"2. Campo")+COUNTIFS('2. Status Detalhe Campos'!$G$7:$G$605,'1. Status Resumo'!$P45,'2. Status Detalhe Campos'!$C$7:$C$605,'1. Status Resumo'!$H$36,'2. Status Detalhe Campos'!$D$7:$D$605,"2. Campo")</f>
        <v>95</v>
      </c>
      <c r="V45" s="11">
        <f t="shared" si="1"/>
        <v>0</v>
      </c>
      <c r="W45" s="66"/>
      <c r="X45" s="81"/>
      <c r="Y45" s="82"/>
      <c r="Z45" s="82"/>
      <c r="AA45" s="82"/>
      <c r="AB45" s="82"/>
      <c r="AC45" s="82"/>
      <c r="AD45" s="83"/>
      <c r="AE45" s="32"/>
      <c r="AF45" s="26"/>
    </row>
    <row r="46" spans="1:32" x14ac:dyDescent="0.45">
      <c r="A46" s="26"/>
      <c r="B46" s="31"/>
      <c r="P46" s="11" t="s">
        <v>465</v>
      </c>
      <c r="T46" s="11">
        <f>COUNTIFS('2. Status Detalhe Campos'!$H$7:$H$605,'1. Status Resumo'!$P46,'2. Status Detalhe Campos'!$C$7:$C$605,'1. Status Resumo'!$G$36,'2. Status Detalhe Campos'!$D$7:$D$605,"2. Campo")+COUNTIFS('2. Status Detalhe Campos'!$H$7:$H$605,'1. Status Resumo'!$P46,'2. Status Detalhe Campos'!$C$7:$C$605,'1. Status Resumo'!$H$36,'2. Status Detalhe Campos'!$D$7:$D$605,"2. Campo")</f>
        <v>0</v>
      </c>
      <c r="U46" s="11">
        <f>COUNTIFS('2. Status Detalhe Campos'!$G$7:$G$605,'1. Status Resumo'!$P46,'2. Status Detalhe Campos'!$C$7:$C$605,'1. Status Resumo'!$G$36,'2. Status Detalhe Campos'!$D$7:$D$605,"2. Campo")+COUNTIFS('2. Status Detalhe Campos'!$G$7:$G$605,'1. Status Resumo'!$P46,'2. Status Detalhe Campos'!$C$7:$C$605,'1. Status Resumo'!$H$36,'2. Status Detalhe Campos'!$D$7:$D$605,"2. Campo")</f>
        <v>0</v>
      </c>
      <c r="V46" s="11">
        <f t="shared" si="1"/>
        <v>0</v>
      </c>
      <c r="X46" s="81"/>
      <c r="Y46" s="82"/>
      <c r="Z46" s="82"/>
      <c r="AA46" s="82"/>
      <c r="AB46" s="82"/>
      <c r="AC46" s="82"/>
      <c r="AD46" s="83"/>
      <c r="AE46" s="32"/>
      <c r="AF46" s="26"/>
    </row>
    <row r="47" spans="1:32" x14ac:dyDescent="0.45">
      <c r="A47" s="26"/>
      <c r="B47" s="31"/>
      <c r="P47" s="11" t="s">
        <v>464</v>
      </c>
      <c r="T47" s="11">
        <f>COUNTIFS('2. Status Detalhe Campos'!$H$7:$H$605,'1. Status Resumo'!$P47,'2. Status Detalhe Campos'!$C$7:$C$605,'1. Status Resumo'!$G$36,'2. Status Detalhe Campos'!$D$7:$D$605,"2. Campo")+COUNTIFS('2. Status Detalhe Campos'!$H$7:$H$605,'1. Status Resumo'!$P47,'2. Status Detalhe Campos'!$C$7:$C$605,'1. Status Resumo'!$H$36,'2. Status Detalhe Campos'!$D$7:$D$605,"2. Campo")</f>
        <v>1</v>
      </c>
      <c r="U47" s="11">
        <f>COUNTIFS('2. Status Detalhe Campos'!$G$7:$G$605,'1. Status Resumo'!$P47,'2. Status Detalhe Campos'!$C$7:$C$605,'1. Status Resumo'!$G$36,'2. Status Detalhe Campos'!$D$7:$D$605,"2. Campo")+COUNTIFS('2. Status Detalhe Campos'!$G$7:$G$605,'1. Status Resumo'!$P47,'2. Status Detalhe Campos'!$C$7:$C$605,'1. Status Resumo'!$H$36,'2. Status Detalhe Campos'!$D$7:$D$605,"2. Campo")</f>
        <v>1</v>
      </c>
      <c r="V47" s="11">
        <f t="shared" si="1"/>
        <v>0</v>
      </c>
      <c r="X47" s="81"/>
      <c r="Y47" s="82"/>
      <c r="Z47" s="82"/>
      <c r="AA47" s="82"/>
      <c r="AB47" s="82"/>
      <c r="AC47" s="82"/>
      <c r="AD47" s="83"/>
      <c r="AE47" s="32"/>
      <c r="AF47" s="26"/>
    </row>
    <row r="48" spans="1:32" x14ac:dyDescent="0.45">
      <c r="A48" s="26"/>
      <c r="B48" s="31"/>
      <c r="T48" s="37">
        <f>SUM(T40:T47)</f>
        <v>242</v>
      </c>
      <c r="U48" s="37">
        <f>SUM(U40:U47)</f>
        <v>242</v>
      </c>
      <c r="X48" s="81"/>
      <c r="Y48" s="82"/>
      <c r="Z48" s="82"/>
      <c r="AA48" s="82"/>
      <c r="AB48" s="82"/>
      <c r="AC48" s="82"/>
      <c r="AD48" s="83"/>
      <c r="AE48" s="32"/>
      <c r="AF48" s="26"/>
    </row>
    <row r="49" spans="1:32" x14ac:dyDescent="0.45">
      <c r="A49" s="26"/>
      <c r="B49" s="31"/>
      <c r="X49" s="81"/>
      <c r="Y49" s="82"/>
      <c r="Z49" s="82"/>
      <c r="AA49" s="82"/>
      <c r="AB49" s="82"/>
      <c r="AC49" s="82"/>
      <c r="AD49" s="83"/>
      <c r="AE49" s="32"/>
      <c r="AF49" s="26"/>
    </row>
    <row r="50" spans="1:32" x14ac:dyDescent="0.45">
      <c r="A50" s="26"/>
      <c r="B50" s="31"/>
      <c r="T50" s="65"/>
      <c r="X50" s="81"/>
      <c r="Y50" s="82"/>
      <c r="Z50" s="82"/>
      <c r="AA50" s="82"/>
      <c r="AB50" s="82"/>
      <c r="AC50" s="82"/>
      <c r="AD50" s="83"/>
      <c r="AE50" s="32"/>
      <c r="AF50" s="26"/>
    </row>
    <row r="51" spans="1:32" x14ac:dyDescent="0.45">
      <c r="A51" s="26"/>
      <c r="B51" s="31"/>
      <c r="T51" s="65"/>
      <c r="X51" s="81"/>
      <c r="Y51" s="82"/>
      <c r="Z51" s="82"/>
      <c r="AA51" s="82"/>
      <c r="AB51" s="82"/>
      <c r="AC51" s="82"/>
      <c r="AD51" s="83"/>
      <c r="AE51" s="32"/>
      <c r="AF51" s="26"/>
    </row>
    <row r="52" spans="1:32" x14ac:dyDescent="0.45">
      <c r="A52" s="26"/>
      <c r="B52" s="31"/>
      <c r="T52" s="65"/>
      <c r="X52" s="81"/>
      <c r="Y52" s="82"/>
      <c r="Z52" s="82"/>
      <c r="AA52" s="82"/>
      <c r="AB52" s="82"/>
      <c r="AC52" s="82"/>
      <c r="AD52" s="83"/>
      <c r="AE52" s="32"/>
      <c r="AF52" s="26"/>
    </row>
    <row r="53" spans="1:32" x14ac:dyDescent="0.45">
      <c r="A53" s="26"/>
      <c r="B53" s="31"/>
      <c r="T53" s="65"/>
      <c r="X53" s="81"/>
      <c r="Y53" s="82"/>
      <c r="Z53" s="82"/>
      <c r="AA53" s="82"/>
      <c r="AB53" s="82"/>
      <c r="AC53" s="82"/>
      <c r="AD53" s="83"/>
      <c r="AE53" s="32"/>
      <c r="AF53" s="26"/>
    </row>
    <row r="54" spans="1:32" x14ac:dyDescent="0.45">
      <c r="A54" s="26"/>
      <c r="B54" s="31"/>
      <c r="P54" s="65"/>
      <c r="X54" s="84"/>
      <c r="Y54" s="85"/>
      <c r="Z54" s="85"/>
      <c r="AA54" s="85"/>
      <c r="AB54" s="85"/>
      <c r="AC54" s="85"/>
      <c r="AD54" s="86"/>
      <c r="AE54" s="32"/>
      <c r="AF54" s="26"/>
    </row>
    <row r="55" spans="1:32" x14ac:dyDescent="0.45">
      <c r="A55" s="26"/>
      <c r="B55" s="31"/>
      <c r="P55" s="65"/>
      <c r="AE55" s="32"/>
      <c r="AF55" s="26"/>
    </row>
    <row r="56" spans="1:32" x14ac:dyDescent="0.45">
      <c r="A56" s="26"/>
      <c r="B56" s="33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5"/>
      <c r="AF56" s="26"/>
    </row>
    <row r="57" spans="1:32" x14ac:dyDescent="0.4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</row>
    <row r="58" spans="1:32" ht="22.2" x14ac:dyDescent="0.55000000000000004">
      <c r="A58" s="26"/>
      <c r="B58" s="36" t="s">
        <v>475</v>
      </c>
      <c r="C58" s="26"/>
      <c r="D58" s="26"/>
      <c r="E58" s="26"/>
      <c r="F58" s="26"/>
      <c r="G58" s="39" t="s">
        <v>27</v>
      </c>
      <c r="H58" s="39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</row>
    <row r="59" spans="1:32" ht="4.95" customHeight="1" x14ac:dyDescent="0.4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</row>
    <row r="60" spans="1:32" x14ac:dyDescent="0.45">
      <c r="A60" s="26"/>
      <c r="B60" s="28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30"/>
      <c r="AF60" s="26"/>
    </row>
    <row r="61" spans="1:32" x14ac:dyDescent="0.45">
      <c r="A61" s="26"/>
      <c r="B61" s="31"/>
      <c r="C61" s="38" t="s">
        <v>471</v>
      </c>
      <c r="G61" s="38" t="s">
        <v>472</v>
      </c>
      <c r="P61" s="41" t="s">
        <v>3</v>
      </c>
      <c r="Q61" s="42"/>
      <c r="R61" s="41"/>
      <c r="S61" s="42"/>
      <c r="T61" s="43">
        <f>T20</f>
        <v>45492</v>
      </c>
      <c r="U61" s="43">
        <f>$U$20</f>
        <v>45499</v>
      </c>
      <c r="V61" s="44" t="s">
        <v>473</v>
      </c>
      <c r="X61" s="40" t="s">
        <v>468</v>
      </c>
      <c r="AE61" s="32"/>
      <c r="AF61" s="26"/>
    </row>
    <row r="62" spans="1:32" x14ac:dyDescent="0.45">
      <c r="A62" s="26"/>
      <c r="B62" s="31"/>
      <c r="P62" s="11" t="s">
        <v>426</v>
      </c>
      <c r="T62" s="11">
        <f>COUNTIFS(Table4[Status Anterior],'1. Status Resumo'!$P62,Table4[Sub-âmbito],'1. Status Resumo'!$G$58,Table4[Tipo de teste],"2. Campo")</f>
        <v>0</v>
      </c>
      <c r="U62" s="11">
        <f>COUNTIFS(Table4[Status Atual],'1. Status Resumo'!$P62,Table4[Sub-âmbito],'1. Status Resumo'!$G$58,Table4[Tipo de teste],"2. Campo")</f>
        <v>0</v>
      </c>
      <c r="V62" s="11">
        <f>U62-T62</f>
        <v>0</v>
      </c>
      <c r="X62" s="87" t="s">
        <v>485</v>
      </c>
      <c r="Y62" s="88"/>
      <c r="Z62" s="88"/>
      <c r="AA62" s="88"/>
      <c r="AB62" s="88"/>
      <c r="AC62" s="88"/>
      <c r="AD62" s="89"/>
      <c r="AE62" s="32"/>
      <c r="AF62" s="26"/>
    </row>
    <row r="63" spans="1:32" x14ac:dyDescent="0.45">
      <c r="A63" s="26"/>
      <c r="B63" s="31"/>
      <c r="P63" s="11" t="s">
        <v>425</v>
      </c>
      <c r="T63" s="11">
        <f>COUNTIFS(Table4[Status Anterior],'1. Status Resumo'!$P63,Table4[Sub-âmbito],'1. Status Resumo'!$G$58,Table4[Tipo de teste],"2. Campo")</f>
        <v>0</v>
      </c>
      <c r="U63" s="11">
        <f>COUNTIFS(Table4[Status Atual],'1. Status Resumo'!$P63,Table4[Sub-âmbito],'1. Status Resumo'!$G$58,Table4[Tipo de teste],"2. Campo")</f>
        <v>0</v>
      </c>
      <c r="V63" s="11">
        <f t="shared" ref="V63:V69" si="2">U63-T63</f>
        <v>0</v>
      </c>
      <c r="X63" s="90"/>
      <c r="Y63" s="91"/>
      <c r="Z63" s="91"/>
      <c r="AA63" s="91"/>
      <c r="AB63" s="91"/>
      <c r="AC63" s="91"/>
      <c r="AD63" s="92"/>
      <c r="AE63" s="32"/>
      <c r="AF63" s="26"/>
    </row>
    <row r="64" spans="1:32" x14ac:dyDescent="0.45">
      <c r="A64" s="26"/>
      <c r="B64" s="31"/>
      <c r="P64" s="11" t="s">
        <v>429</v>
      </c>
      <c r="T64" s="11">
        <f>COUNTIFS(Table4[Status Anterior],'1. Status Resumo'!$P64,Table4[Sub-âmbito],'1. Status Resumo'!$G$58,Table4[Tipo de teste],"2. Campo")</f>
        <v>0</v>
      </c>
      <c r="U64" s="11">
        <f>COUNTIFS(Table4[Status Atual],'1. Status Resumo'!$P64,Table4[Sub-âmbito],'1. Status Resumo'!$G$58,Table4[Tipo de teste],"2. Campo")</f>
        <v>0</v>
      </c>
      <c r="V64" s="11">
        <f t="shared" si="2"/>
        <v>0</v>
      </c>
      <c r="X64" s="90"/>
      <c r="Y64" s="91"/>
      <c r="Z64" s="91"/>
      <c r="AA64" s="91"/>
      <c r="AB64" s="91"/>
      <c r="AC64" s="91"/>
      <c r="AD64" s="92"/>
      <c r="AE64" s="32"/>
      <c r="AF64" s="26"/>
    </row>
    <row r="65" spans="1:32" ht="17.399999999999999" customHeight="1" x14ac:dyDescent="0.45">
      <c r="A65" s="26"/>
      <c r="B65" s="31"/>
      <c r="D65" s="105" t="str">
        <f>"# "&amp;U70</f>
        <v># 126</v>
      </c>
      <c r="E65" s="105"/>
      <c r="P65" s="11" t="s">
        <v>462</v>
      </c>
      <c r="T65" s="11">
        <f>COUNTIFS(Table4[Status Anterior],'1. Status Resumo'!$P65,Table4[Sub-âmbito],'1. Status Resumo'!$G$58,Table4[Tipo de teste],"2. Campo")</f>
        <v>0</v>
      </c>
      <c r="U65" s="11">
        <f>COUNTIFS(Table4[Status Atual],'1. Status Resumo'!$P65,Table4[Sub-âmbito],'1. Status Resumo'!$G$58,Table4[Tipo de teste],"2. Campo")</f>
        <v>0</v>
      </c>
      <c r="V65" s="11">
        <f t="shared" si="2"/>
        <v>0</v>
      </c>
      <c r="X65" s="90"/>
      <c r="Y65" s="91"/>
      <c r="Z65" s="91"/>
      <c r="AA65" s="91"/>
      <c r="AB65" s="91"/>
      <c r="AC65" s="91"/>
      <c r="AD65" s="92"/>
      <c r="AE65" s="32"/>
      <c r="AF65" s="26"/>
    </row>
    <row r="66" spans="1:32" ht="17.399999999999999" customHeight="1" x14ac:dyDescent="0.45">
      <c r="A66" s="26"/>
      <c r="B66" s="31"/>
      <c r="D66" s="105"/>
      <c r="E66" s="105"/>
      <c r="P66" s="11" t="s">
        <v>428</v>
      </c>
      <c r="T66" s="11">
        <f>COUNTIFS(Table4[Status Anterior],'1. Status Resumo'!$P66,Table4[Sub-âmbito],'1. Status Resumo'!$G$58,Table4[Tipo de teste],"2. Campo")</f>
        <v>0</v>
      </c>
      <c r="U66" s="11">
        <f>COUNTIFS(Table4[Status Atual],'1. Status Resumo'!$P66,Table4[Sub-âmbito],'1. Status Resumo'!$G$58,Table4[Tipo de teste],"2. Campo")</f>
        <v>0</v>
      </c>
      <c r="V66" s="11">
        <f t="shared" si="2"/>
        <v>0</v>
      </c>
      <c r="X66" s="90"/>
      <c r="Y66" s="91"/>
      <c r="Z66" s="91"/>
      <c r="AA66" s="91"/>
      <c r="AB66" s="91"/>
      <c r="AC66" s="91"/>
      <c r="AD66" s="92"/>
      <c r="AE66" s="32"/>
      <c r="AF66" s="26"/>
    </row>
    <row r="67" spans="1:32" x14ac:dyDescent="0.45">
      <c r="A67" s="26"/>
      <c r="B67" s="31"/>
      <c r="P67" s="11" t="s">
        <v>427</v>
      </c>
      <c r="R67" s="11" t="s">
        <v>486</v>
      </c>
      <c r="T67" s="11">
        <f>COUNTIFS(Table4[Status Anterior],'1. Status Resumo'!$P67,Table4[Sub-âmbito],'1. Status Resumo'!$G$58,Table4[Tipo de teste],"2. Campo")</f>
        <v>0</v>
      </c>
      <c r="U67" s="11">
        <f>COUNTIFS(Table4[Status Atual],'1. Status Resumo'!$P67,Table4[Sub-âmbito],'1. Status Resumo'!$G$58,Table4[Tipo de teste],"2. Campo")</f>
        <v>0</v>
      </c>
      <c r="V67" s="11">
        <f t="shared" si="2"/>
        <v>0</v>
      </c>
      <c r="X67" s="90"/>
      <c r="Y67" s="91"/>
      <c r="Z67" s="91"/>
      <c r="AA67" s="91"/>
      <c r="AB67" s="91"/>
      <c r="AC67" s="91"/>
      <c r="AD67" s="92"/>
      <c r="AE67" s="32"/>
      <c r="AF67" s="26"/>
    </row>
    <row r="68" spans="1:32" x14ac:dyDescent="0.45">
      <c r="A68" s="26"/>
      <c r="B68" s="31"/>
      <c r="P68" s="11" t="s">
        <v>465</v>
      </c>
      <c r="T68" s="11">
        <f>COUNTIFS(Table4[Status Anterior],'1. Status Resumo'!$P68,Table4[Sub-âmbito],'1. Status Resumo'!$G$58,Table4[Tipo de teste],"2. Campo")</f>
        <v>0</v>
      </c>
      <c r="U68" s="11">
        <f>COUNTIFS(Table4[Status Atual],'1. Status Resumo'!$P68,Table4[Sub-âmbito],'1. Status Resumo'!$G$58,Table4[Tipo de teste],"2. Campo")</f>
        <v>0</v>
      </c>
      <c r="V68" s="11">
        <f t="shared" si="2"/>
        <v>0</v>
      </c>
      <c r="X68" s="90"/>
      <c r="Y68" s="91"/>
      <c r="Z68" s="91"/>
      <c r="AA68" s="91"/>
      <c r="AB68" s="91"/>
      <c r="AC68" s="91"/>
      <c r="AD68" s="92"/>
      <c r="AE68" s="32"/>
      <c r="AF68" s="26"/>
    </row>
    <row r="69" spans="1:32" x14ac:dyDescent="0.45">
      <c r="A69" s="26"/>
      <c r="B69" s="31"/>
      <c r="P69" s="11" t="s">
        <v>464</v>
      </c>
      <c r="T69" s="11">
        <f>COUNTIFS(Table4[Status Anterior],'1. Status Resumo'!$P69,Table4[Sub-âmbito],'1. Status Resumo'!$G$58,Table4[Tipo de teste],"2. Campo")</f>
        <v>126</v>
      </c>
      <c r="U69" s="11">
        <f>COUNTIFS(Table4[Status Atual],'1. Status Resumo'!$P69,Table4[Sub-âmbito],'1. Status Resumo'!$G$58,Table4[Tipo de teste],"2. Campo")</f>
        <v>126</v>
      </c>
      <c r="V69" s="11">
        <f t="shared" si="2"/>
        <v>0</v>
      </c>
      <c r="X69" s="90"/>
      <c r="Y69" s="91"/>
      <c r="Z69" s="91"/>
      <c r="AA69" s="91"/>
      <c r="AB69" s="91"/>
      <c r="AC69" s="91"/>
      <c r="AD69" s="92"/>
      <c r="AE69" s="32"/>
      <c r="AF69" s="26"/>
    </row>
    <row r="70" spans="1:32" x14ac:dyDescent="0.45">
      <c r="A70" s="26"/>
      <c r="B70" s="31"/>
      <c r="T70" s="37">
        <f>SUM(T62:T69)</f>
        <v>126</v>
      </c>
      <c r="U70" s="37">
        <f>SUM(U62:U69)</f>
        <v>126</v>
      </c>
      <c r="X70" s="93"/>
      <c r="Y70" s="94"/>
      <c r="Z70" s="94"/>
      <c r="AA70" s="94"/>
      <c r="AB70" s="94"/>
      <c r="AC70" s="94"/>
      <c r="AD70" s="95"/>
      <c r="AE70" s="32"/>
      <c r="AF70" s="26"/>
    </row>
    <row r="71" spans="1:32" x14ac:dyDescent="0.45">
      <c r="A71" s="26"/>
      <c r="B71" s="31"/>
      <c r="AE71" s="32"/>
      <c r="AF71" s="26"/>
    </row>
    <row r="72" spans="1:32" x14ac:dyDescent="0.45">
      <c r="A72" s="26"/>
      <c r="B72" s="33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5"/>
      <c r="AF72" s="26"/>
    </row>
    <row r="73" spans="1:32" x14ac:dyDescent="0.4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</row>
    <row r="74" spans="1:32" ht="22.2" x14ac:dyDescent="0.55000000000000004">
      <c r="A74" s="26"/>
      <c r="B74" s="36" t="s">
        <v>477</v>
      </c>
      <c r="C74" s="26"/>
      <c r="D74" s="26"/>
      <c r="E74" s="26"/>
      <c r="F74" s="26"/>
      <c r="G74" s="39" t="s">
        <v>5</v>
      </c>
      <c r="H74" s="39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</row>
    <row r="75" spans="1:32" ht="4.95" customHeight="1" x14ac:dyDescent="0.4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</row>
    <row r="76" spans="1:32" x14ac:dyDescent="0.45">
      <c r="A76" s="26"/>
      <c r="B76" s="28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30"/>
      <c r="AF76" s="26"/>
    </row>
    <row r="77" spans="1:32" x14ac:dyDescent="0.45">
      <c r="A77" s="26"/>
      <c r="B77" s="31"/>
      <c r="C77" s="38" t="s">
        <v>471</v>
      </c>
      <c r="G77" s="38" t="s">
        <v>472</v>
      </c>
      <c r="P77" s="41" t="s">
        <v>3</v>
      </c>
      <c r="Q77" s="42"/>
      <c r="R77" s="41"/>
      <c r="S77" s="42"/>
      <c r="T77" s="43">
        <f>T39</f>
        <v>45492</v>
      </c>
      <c r="U77" s="43">
        <f>$U$20</f>
        <v>45499</v>
      </c>
      <c r="V77" s="44" t="s">
        <v>473</v>
      </c>
      <c r="X77" s="40" t="s">
        <v>468</v>
      </c>
      <c r="AE77" s="32"/>
      <c r="AF77" s="26"/>
    </row>
    <row r="78" spans="1:32" x14ac:dyDescent="0.45">
      <c r="A78" s="26"/>
      <c r="B78" s="31"/>
      <c r="P78" s="11" t="s">
        <v>426</v>
      </c>
      <c r="T78" s="11">
        <f>COUNTIFS('2. Status Detalhe Campos'!$H$7:$H$595,'1. Status Resumo'!$P78,'2. Status Detalhe Campos'!$C$7:$C$595,'1. Status Resumo'!$G$74,'2. Status Detalhe Campos'!$D$7:$D$595,"2. Campo")</f>
        <v>0</v>
      </c>
      <c r="U78" s="11">
        <f>COUNTIFS('2. Status Detalhe Campos'!$G$7:$G$595,'1. Status Resumo'!$P78,'2. Status Detalhe Campos'!$C$7:$C$595,'1. Status Resumo'!$G$74,'2. Status Detalhe Campos'!$D$7:$D$595,"2. Campo")</f>
        <v>0</v>
      </c>
      <c r="V78" s="11">
        <f>U78-T78</f>
        <v>0</v>
      </c>
      <c r="X78" s="96" t="s">
        <v>513</v>
      </c>
      <c r="Y78" s="97"/>
      <c r="Z78" s="97"/>
      <c r="AA78" s="97"/>
      <c r="AB78" s="97"/>
      <c r="AC78" s="97"/>
      <c r="AD78" s="98"/>
      <c r="AE78" s="32"/>
      <c r="AF78" s="26"/>
    </row>
    <row r="79" spans="1:32" x14ac:dyDescent="0.45">
      <c r="A79" s="26"/>
      <c r="B79" s="31"/>
      <c r="P79" s="11" t="s">
        <v>425</v>
      </c>
      <c r="T79" s="11">
        <f>COUNTIFS('2. Status Detalhe Campos'!$H$7:$H$595,'1. Status Resumo'!$P79,'2. Status Detalhe Campos'!$C$7:$C$595,'1. Status Resumo'!$G$74,'2. Status Detalhe Campos'!$D$7:$D$595,"2. Campo")</f>
        <v>23</v>
      </c>
      <c r="U79" s="11">
        <f>COUNTIFS('2. Status Detalhe Campos'!$G$7:$G$595,'1. Status Resumo'!$P79,'2. Status Detalhe Campos'!$C$7:$C$595,'1. Status Resumo'!$G$74,'2. Status Detalhe Campos'!$D$7:$D$595,"2. Campo")</f>
        <v>23</v>
      </c>
      <c r="V79" s="11">
        <f t="shared" ref="V79:V85" si="3">U79-T79</f>
        <v>0</v>
      </c>
      <c r="X79" s="99"/>
      <c r="Y79" s="100"/>
      <c r="Z79" s="100"/>
      <c r="AA79" s="100"/>
      <c r="AB79" s="100"/>
      <c r="AC79" s="100"/>
      <c r="AD79" s="101"/>
      <c r="AE79" s="32"/>
      <c r="AF79" s="26"/>
    </row>
    <row r="80" spans="1:32" x14ac:dyDescent="0.45">
      <c r="A80" s="26"/>
      <c r="B80" s="31"/>
      <c r="P80" s="11" t="s">
        <v>429</v>
      </c>
      <c r="T80" s="11">
        <f>COUNTIFS('2. Status Detalhe Campos'!$H$7:$H$595,'1. Status Resumo'!$P80,'2. Status Detalhe Campos'!$C$7:$C$595,'1. Status Resumo'!$G$74,'2. Status Detalhe Campos'!$D$7:$D$595,"2. Campo")</f>
        <v>24</v>
      </c>
      <c r="U80" s="11">
        <f>COUNTIFS('2. Status Detalhe Campos'!$G$7:$G$595,'1. Status Resumo'!$P80,'2. Status Detalhe Campos'!$C$7:$C$595,'1. Status Resumo'!$G$74,'2. Status Detalhe Campos'!$D$7:$D$595,"2. Campo")</f>
        <v>26</v>
      </c>
      <c r="V80" s="11">
        <f t="shared" si="3"/>
        <v>2</v>
      </c>
      <c r="X80" s="99"/>
      <c r="Y80" s="100"/>
      <c r="Z80" s="100"/>
      <c r="AA80" s="100"/>
      <c r="AB80" s="100"/>
      <c r="AC80" s="100"/>
      <c r="AD80" s="101"/>
      <c r="AE80" s="32"/>
      <c r="AF80" s="26"/>
    </row>
    <row r="81" spans="1:32" ht="17.399999999999999" customHeight="1" x14ac:dyDescent="0.45">
      <c r="A81" s="26"/>
      <c r="B81" s="31"/>
      <c r="D81" s="105" t="str">
        <f>"# "&amp;U86</f>
        <v># 50</v>
      </c>
      <c r="E81" s="105"/>
      <c r="P81" s="11" t="s">
        <v>462</v>
      </c>
      <c r="T81" s="11">
        <f>COUNTIFS('2. Status Detalhe Campos'!$H$7:$H$595,'1. Status Resumo'!$P81,'2. Status Detalhe Campos'!$C$7:$C$595,'1. Status Resumo'!$G$74,'2. Status Detalhe Campos'!$D$7:$D$595,"2. Campo")</f>
        <v>1</v>
      </c>
      <c r="U81" s="11">
        <f>COUNTIFS('2. Status Detalhe Campos'!$G$7:$G$595,'1. Status Resumo'!$P81,'2. Status Detalhe Campos'!$C$7:$C$595,'1. Status Resumo'!$G$74,'2. Status Detalhe Campos'!$D$7:$D$595,"2. Campo")</f>
        <v>1</v>
      </c>
      <c r="V81" s="11">
        <f t="shared" si="3"/>
        <v>0</v>
      </c>
      <c r="X81" s="99"/>
      <c r="Y81" s="100"/>
      <c r="Z81" s="100"/>
      <c r="AA81" s="100"/>
      <c r="AB81" s="100"/>
      <c r="AC81" s="100"/>
      <c r="AD81" s="101"/>
      <c r="AE81" s="32"/>
      <c r="AF81" s="26"/>
    </row>
    <row r="82" spans="1:32" ht="17.399999999999999" customHeight="1" x14ac:dyDescent="0.45">
      <c r="A82" s="26"/>
      <c r="B82" s="31"/>
      <c r="D82" s="105"/>
      <c r="E82" s="105"/>
      <c r="P82" s="11" t="s">
        <v>428</v>
      </c>
      <c r="T82" s="11">
        <f>COUNTIFS('2. Status Detalhe Campos'!$H$7:$H$595,'1. Status Resumo'!$P82,'2. Status Detalhe Campos'!$C$7:$C$595,'1. Status Resumo'!$G$74,'2. Status Detalhe Campos'!$D$7:$D$595,"2. Campo")</f>
        <v>0</v>
      </c>
      <c r="U82" s="11">
        <f>COUNTIFS('2. Status Detalhe Campos'!$G$7:$G$595,'1. Status Resumo'!$P82,'2. Status Detalhe Campos'!$C$7:$C$595,'1. Status Resumo'!$G$74,'2. Status Detalhe Campos'!$D$7:$D$595,"2. Campo")</f>
        <v>0</v>
      </c>
      <c r="V82" s="11">
        <f t="shared" si="3"/>
        <v>0</v>
      </c>
      <c r="X82" s="99"/>
      <c r="Y82" s="100"/>
      <c r="Z82" s="100"/>
      <c r="AA82" s="100"/>
      <c r="AB82" s="100"/>
      <c r="AC82" s="100"/>
      <c r="AD82" s="101"/>
      <c r="AE82" s="32"/>
      <c r="AF82" s="26"/>
    </row>
    <row r="83" spans="1:32" x14ac:dyDescent="0.45">
      <c r="A83" s="26"/>
      <c r="B83" s="31"/>
      <c r="P83" s="11" t="s">
        <v>427</v>
      </c>
      <c r="R83" s="11" t="s">
        <v>486</v>
      </c>
      <c r="T83" s="11">
        <f>COUNTIFS('2. Status Detalhe Campos'!$H$7:$H$595,'1. Status Resumo'!$P83,'2. Status Detalhe Campos'!$C$7:$C$595,'1. Status Resumo'!$G$74,'2. Status Detalhe Campos'!$D$7:$D$595,"2. Campo")</f>
        <v>2</v>
      </c>
      <c r="U83" s="11">
        <f>COUNTIFS('2. Status Detalhe Campos'!$G$7:$G$595,'1. Status Resumo'!$P83,'2. Status Detalhe Campos'!$C$7:$C$595,'1. Status Resumo'!$G$74,'2. Status Detalhe Campos'!$D$7:$D$595,"2. Campo")</f>
        <v>0</v>
      </c>
      <c r="V83" s="11">
        <f t="shared" si="3"/>
        <v>-2</v>
      </c>
      <c r="X83" s="99"/>
      <c r="Y83" s="100"/>
      <c r="Z83" s="100"/>
      <c r="AA83" s="100"/>
      <c r="AB83" s="100"/>
      <c r="AC83" s="100"/>
      <c r="AD83" s="101"/>
      <c r="AE83" s="32"/>
      <c r="AF83" s="26"/>
    </row>
    <row r="84" spans="1:32" x14ac:dyDescent="0.45">
      <c r="A84" s="26"/>
      <c r="B84" s="31"/>
      <c r="P84" s="11" t="s">
        <v>465</v>
      </c>
      <c r="T84" s="11">
        <f>COUNTIFS('2. Status Detalhe Campos'!$H$7:$H$595,'1. Status Resumo'!$P84,'2. Status Detalhe Campos'!$C$7:$C$595,'1. Status Resumo'!$G$74,'2. Status Detalhe Campos'!$D$7:$D$595,"2. Campo")</f>
        <v>0</v>
      </c>
      <c r="U84" s="11">
        <f>COUNTIFS('2. Status Detalhe Campos'!$G$7:$G$595,'1. Status Resumo'!$P84,'2. Status Detalhe Campos'!$C$7:$C$595,'1. Status Resumo'!$G$74,'2. Status Detalhe Campos'!$D$7:$D$595,"2. Campo")</f>
        <v>0</v>
      </c>
      <c r="V84" s="11">
        <f t="shared" si="3"/>
        <v>0</v>
      </c>
      <c r="X84" s="99"/>
      <c r="Y84" s="100"/>
      <c r="Z84" s="100"/>
      <c r="AA84" s="100"/>
      <c r="AB84" s="100"/>
      <c r="AC84" s="100"/>
      <c r="AD84" s="101"/>
      <c r="AE84" s="32"/>
      <c r="AF84" s="26"/>
    </row>
    <row r="85" spans="1:32" x14ac:dyDescent="0.45">
      <c r="A85" s="26"/>
      <c r="B85" s="31"/>
      <c r="P85" s="11" t="s">
        <v>464</v>
      </c>
      <c r="T85" s="11">
        <f>COUNTIFS('2. Status Detalhe Campos'!$H$7:$H$595,'1. Status Resumo'!$P85,'2. Status Detalhe Campos'!$C$7:$C$595,'1. Status Resumo'!$G$74,'2. Status Detalhe Campos'!$D$7:$D$595,"2. Campo")</f>
        <v>0</v>
      </c>
      <c r="U85" s="11">
        <f>COUNTIFS('2. Status Detalhe Campos'!$G$7:$G$595,'1. Status Resumo'!$P85,'2. Status Detalhe Campos'!$C$7:$C$595,'1. Status Resumo'!$G$74,'2. Status Detalhe Campos'!$D$7:$D$595,"2. Campo")</f>
        <v>0</v>
      </c>
      <c r="V85" s="11">
        <f t="shared" si="3"/>
        <v>0</v>
      </c>
      <c r="X85" s="99"/>
      <c r="Y85" s="100"/>
      <c r="Z85" s="100"/>
      <c r="AA85" s="100"/>
      <c r="AB85" s="100"/>
      <c r="AC85" s="100"/>
      <c r="AD85" s="101"/>
      <c r="AE85" s="32"/>
      <c r="AF85" s="26"/>
    </row>
    <row r="86" spans="1:32" x14ac:dyDescent="0.45">
      <c r="A86" s="26"/>
      <c r="B86" s="31"/>
      <c r="T86" s="37">
        <f>SUM(T78:T85)</f>
        <v>50</v>
      </c>
      <c r="U86" s="37">
        <f>SUM(U78:U85)</f>
        <v>50</v>
      </c>
      <c r="X86" s="102"/>
      <c r="Y86" s="103"/>
      <c r="Z86" s="103"/>
      <c r="AA86" s="103"/>
      <c r="AB86" s="103"/>
      <c r="AC86" s="103"/>
      <c r="AD86" s="104"/>
      <c r="AE86" s="32"/>
      <c r="AF86" s="26"/>
    </row>
    <row r="87" spans="1:32" x14ac:dyDescent="0.45">
      <c r="A87" s="26"/>
      <c r="B87" s="31"/>
      <c r="AE87" s="32"/>
      <c r="AF87" s="26"/>
    </row>
    <row r="88" spans="1:32" x14ac:dyDescent="0.45">
      <c r="A88" s="26"/>
      <c r="B88" s="33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5"/>
      <c r="AF88" s="26"/>
    </row>
    <row r="89" spans="1:32" x14ac:dyDescent="0.4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</row>
    <row r="90" spans="1:32" x14ac:dyDescent="0.4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</row>
  </sheetData>
  <sortState xmlns:xlrd2="http://schemas.microsoft.com/office/spreadsheetml/2017/richdata2" ref="R21:R28">
    <sortCondition ref="R21:R28"/>
  </sortState>
  <mergeCells count="9">
    <mergeCell ref="B8:AE14"/>
    <mergeCell ref="X40:AD54"/>
    <mergeCell ref="X62:AD70"/>
    <mergeCell ref="X78:AD86"/>
    <mergeCell ref="D24:E25"/>
    <mergeCell ref="D43:E44"/>
    <mergeCell ref="D65:E66"/>
    <mergeCell ref="D81:E82"/>
    <mergeCell ref="X21:AD3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XFC605"/>
  <sheetViews>
    <sheetView showGridLines="0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0" defaultRowHeight="13.8" x14ac:dyDescent="0.25"/>
  <cols>
    <col min="1" max="1" width="3.69921875" customWidth="1"/>
    <col min="2" max="2" width="8.296875" customWidth="1"/>
    <col min="3" max="3" width="19.8984375" bestFit="1" customWidth="1"/>
    <col min="4" max="4" width="12.5" customWidth="1"/>
    <col min="5" max="5" width="35.8984375" bestFit="1" customWidth="1"/>
    <col min="6" max="6" width="30.19921875" bestFit="1" customWidth="1"/>
    <col min="7" max="7" width="30.69921875" bestFit="1" customWidth="1"/>
    <col min="8" max="8" width="30.69921875" customWidth="1"/>
    <col min="9" max="9" width="25.69921875" bestFit="1" customWidth="1"/>
    <col min="10" max="10" width="35" bestFit="1" customWidth="1"/>
    <col min="11" max="11" width="24" bestFit="1" customWidth="1"/>
    <col min="12" max="12" width="22" bestFit="1" customWidth="1"/>
    <col min="13" max="13" width="3.69921875" customWidth="1"/>
    <col min="14" max="39" width="0" hidden="1" customWidth="1"/>
    <col min="40" max="16384" width="8.796875" hidden="1"/>
  </cols>
  <sheetData>
    <row r="1" spans="1:13" ht="17.399999999999999" x14ac:dyDescent="0.4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7.399999999999999" x14ac:dyDescent="0.4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7.399999999999999" x14ac:dyDescent="0.4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4.95" customHeight="1" x14ac:dyDescent="0.4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6" spans="1:13" ht="17.399999999999999" x14ac:dyDescent="0.25">
      <c r="B6" s="23" t="s">
        <v>6</v>
      </c>
      <c r="C6" s="45" t="s">
        <v>28</v>
      </c>
      <c r="D6" s="45" t="s">
        <v>424</v>
      </c>
      <c r="E6" s="45" t="s">
        <v>26</v>
      </c>
      <c r="F6" s="45" t="s">
        <v>4</v>
      </c>
      <c r="G6" s="45" t="s">
        <v>478</v>
      </c>
      <c r="H6" s="45" t="s">
        <v>479</v>
      </c>
      <c r="I6" s="55" t="s">
        <v>496</v>
      </c>
      <c r="J6" s="55" t="s">
        <v>503</v>
      </c>
      <c r="K6" s="55" t="s">
        <v>501</v>
      </c>
      <c r="L6" s="67" t="s">
        <v>502</v>
      </c>
    </row>
    <row r="7" spans="1:13" ht="16.2" x14ac:dyDescent="0.4">
      <c r="A7" s="15" t="str">
        <f>E7&amp;F7</f>
        <v>cd_imv_inp_certif_estimativan.a.</v>
      </c>
      <c r="B7" s="54" t="s">
        <v>27</v>
      </c>
      <c r="C7" s="50" t="s">
        <v>306</v>
      </c>
      <c r="D7" s="46" t="s">
        <v>430</v>
      </c>
      <c r="E7" s="47" t="s">
        <v>309</v>
      </c>
      <c r="F7" s="46" t="s">
        <v>7</v>
      </c>
      <c r="G7" s="48" t="s">
        <v>428</v>
      </c>
      <c r="H7" s="48" t="s">
        <v>428</v>
      </c>
      <c r="I7" s="56"/>
      <c r="J7" s="68" t="s">
        <v>514</v>
      </c>
      <c r="K7" s="68" t="s">
        <v>514</v>
      </c>
      <c r="L7" s="68"/>
    </row>
    <row r="8" spans="1:13" ht="16.2" x14ac:dyDescent="0.4">
      <c r="A8" s="15" t="str">
        <f t="shared" ref="A8:A71" si="0">E8&amp;F8</f>
        <v>cd_imv_inp_certif_estimativacempbem</v>
      </c>
      <c r="B8" s="54" t="s">
        <v>27</v>
      </c>
      <c r="C8" s="50" t="s">
        <v>306</v>
      </c>
      <c r="D8" s="46" t="s">
        <v>431</v>
      </c>
      <c r="E8" s="47" t="s">
        <v>309</v>
      </c>
      <c r="F8" s="46" t="s">
        <v>130</v>
      </c>
      <c r="G8" s="48" t="s">
        <v>428</v>
      </c>
      <c r="H8" s="48" t="s">
        <v>428</v>
      </c>
      <c r="I8" s="56"/>
      <c r="J8" s="68" t="s">
        <v>514</v>
      </c>
      <c r="K8" s="68" t="s">
        <v>514</v>
      </c>
      <c r="L8" s="68"/>
    </row>
    <row r="9" spans="1:13" ht="16.2" x14ac:dyDescent="0.4">
      <c r="A9" s="15" t="str">
        <f t="shared" si="0"/>
        <v>cd_imv_inp_certif_estimativachave_encriptada</v>
      </c>
      <c r="B9" s="54" t="s">
        <v>27</v>
      </c>
      <c r="C9" s="50" t="s">
        <v>306</v>
      </c>
      <c r="D9" s="46" t="s">
        <v>431</v>
      </c>
      <c r="E9" s="47" t="s">
        <v>309</v>
      </c>
      <c r="F9" s="46" t="s">
        <v>172</v>
      </c>
      <c r="G9" s="48" t="s">
        <v>428</v>
      </c>
      <c r="H9" s="48" t="s">
        <v>428</v>
      </c>
      <c r="I9" s="56"/>
      <c r="J9" s="68" t="s">
        <v>514</v>
      </c>
      <c r="K9" s="68" t="s">
        <v>514</v>
      </c>
      <c r="L9" s="68"/>
    </row>
    <row r="10" spans="1:13" ht="16.2" x14ac:dyDescent="0.4">
      <c r="A10" s="15" t="str">
        <f t="shared" si="0"/>
        <v>cd_imv_inp_certif_estimativackbalbem</v>
      </c>
      <c r="B10" s="54" t="s">
        <v>27</v>
      </c>
      <c r="C10" s="50" t="s">
        <v>306</v>
      </c>
      <c r="D10" s="46" t="s">
        <v>431</v>
      </c>
      <c r="E10" s="47" t="s">
        <v>309</v>
      </c>
      <c r="F10" s="46" t="s">
        <v>131</v>
      </c>
      <c r="G10" s="48" t="s">
        <v>428</v>
      </c>
      <c r="H10" s="48" t="s">
        <v>428</v>
      </c>
      <c r="I10" s="56"/>
      <c r="J10" s="68" t="s">
        <v>514</v>
      </c>
      <c r="K10" s="68" t="s">
        <v>514</v>
      </c>
      <c r="L10" s="68"/>
    </row>
    <row r="11" spans="1:13" ht="16.2" x14ac:dyDescent="0.4">
      <c r="A11" s="15" t="str">
        <f t="shared" si="0"/>
        <v>cd_imv_inp_certif_estimativackctabem</v>
      </c>
      <c r="B11" s="54" t="s">
        <v>27</v>
      </c>
      <c r="C11" s="50" t="s">
        <v>306</v>
      </c>
      <c r="D11" s="46" t="s">
        <v>431</v>
      </c>
      <c r="E11" s="47" t="s">
        <v>309</v>
      </c>
      <c r="F11" s="46" t="s">
        <v>132</v>
      </c>
      <c r="G11" s="48" t="s">
        <v>428</v>
      </c>
      <c r="H11" s="48" t="s">
        <v>428</v>
      </c>
      <c r="I11" s="56"/>
      <c r="J11" s="68" t="s">
        <v>514</v>
      </c>
      <c r="K11" s="68" t="s">
        <v>514</v>
      </c>
      <c r="L11" s="68"/>
    </row>
    <row r="12" spans="1:13" ht="16.2" x14ac:dyDescent="0.4">
      <c r="A12" s="15" t="str">
        <f t="shared" si="0"/>
        <v>cd_imv_inp_certif_estimativackrefbem</v>
      </c>
      <c r="B12" s="54" t="s">
        <v>27</v>
      </c>
      <c r="C12" s="50" t="s">
        <v>306</v>
      </c>
      <c r="D12" s="46" t="s">
        <v>431</v>
      </c>
      <c r="E12" s="47" t="s">
        <v>309</v>
      </c>
      <c r="F12" s="46" t="s">
        <v>133</v>
      </c>
      <c r="G12" s="48" t="s">
        <v>428</v>
      </c>
      <c r="H12" s="48" t="s">
        <v>428</v>
      </c>
      <c r="I12" s="56"/>
      <c r="J12" s="68" t="s">
        <v>514</v>
      </c>
      <c r="K12" s="68" t="s">
        <v>514</v>
      </c>
      <c r="L12" s="68"/>
    </row>
    <row r="13" spans="1:13" ht="16.2" x14ac:dyDescent="0.4">
      <c r="A13" s="15" t="str">
        <f t="shared" si="0"/>
        <v>cd_imv_inp_certif_estimativadata_extraccao_info</v>
      </c>
      <c r="B13" s="54" t="s">
        <v>27</v>
      </c>
      <c r="C13" s="50" t="s">
        <v>306</v>
      </c>
      <c r="D13" s="46" t="s">
        <v>431</v>
      </c>
      <c r="E13" s="47" t="s">
        <v>309</v>
      </c>
      <c r="F13" s="46" t="s">
        <v>171</v>
      </c>
      <c r="G13" s="48" t="s">
        <v>428</v>
      </c>
      <c r="H13" s="48" t="s">
        <v>428</v>
      </c>
      <c r="I13" s="56"/>
      <c r="J13" s="68" t="s">
        <v>514</v>
      </c>
      <c r="K13" s="68" t="s">
        <v>514</v>
      </c>
      <c r="L13" s="68"/>
    </row>
    <row r="14" spans="1:13" ht="16.2" x14ac:dyDescent="0.4">
      <c r="A14" s="15" t="str">
        <f t="shared" si="0"/>
        <v>cd_imv_inp_certif_estimativaepc</v>
      </c>
      <c r="B14" s="54" t="s">
        <v>27</v>
      </c>
      <c r="C14" s="50" t="s">
        <v>306</v>
      </c>
      <c r="D14" s="46" t="s">
        <v>431</v>
      </c>
      <c r="E14" s="47" t="s">
        <v>309</v>
      </c>
      <c r="F14" s="46" t="s">
        <v>127</v>
      </c>
      <c r="G14" s="48" t="s">
        <v>428</v>
      </c>
      <c r="H14" s="48" t="s">
        <v>428</v>
      </c>
      <c r="I14" s="56"/>
      <c r="J14" s="68" t="s">
        <v>514</v>
      </c>
      <c r="K14" s="68" t="s">
        <v>514</v>
      </c>
      <c r="L14" s="68"/>
    </row>
    <row r="15" spans="1:13" ht="16.2" x14ac:dyDescent="0.4">
      <c r="A15" s="15" t="str">
        <f t="shared" si="0"/>
        <v>cd_imv_inp_certif_estimativafornecedor</v>
      </c>
      <c r="B15" s="54" t="s">
        <v>27</v>
      </c>
      <c r="C15" s="50" t="s">
        <v>306</v>
      </c>
      <c r="D15" s="46" t="s">
        <v>431</v>
      </c>
      <c r="E15" s="47" t="s">
        <v>309</v>
      </c>
      <c r="F15" s="46" t="s">
        <v>173</v>
      </c>
      <c r="G15" s="48" t="s">
        <v>428</v>
      </c>
      <c r="H15" s="48" t="s">
        <v>428</v>
      </c>
      <c r="I15" s="56"/>
      <c r="J15" s="68" t="s">
        <v>514</v>
      </c>
      <c r="K15" s="68" t="s">
        <v>514</v>
      </c>
      <c r="L15" s="68"/>
    </row>
    <row r="16" spans="1:13" ht="16.2" x14ac:dyDescent="0.4">
      <c r="A16" s="15" t="str">
        <f t="shared" si="0"/>
        <v>cd_imv_inp_certif_estimativametodo_info</v>
      </c>
      <c r="B16" s="54" t="s">
        <v>27</v>
      </c>
      <c r="C16" s="50" t="s">
        <v>306</v>
      </c>
      <c r="D16" s="46" t="s">
        <v>431</v>
      </c>
      <c r="E16" s="47" t="s">
        <v>309</v>
      </c>
      <c r="F16" s="46" t="s">
        <v>176</v>
      </c>
      <c r="G16" s="48" t="s">
        <v>428</v>
      </c>
      <c r="H16" s="48" t="s">
        <v>428</v>
      </c>
      <c r="I16" s="56"/>
      <c r="J16" s="68" t="s">
        <v>514</v>
      </c>
      <c r="K16" s="68" t="s">
        <v>514</v>
      </c>
      <c r="L16" s="68"/>
    </row>
    <row r="17" spans="1:12" ht="16.2" x14ac:dyDescent="0.4">
      <c r="A17" s="15" t="str">
        <f t="shared" si="0"/>
        <v>cd_imv_inp_certif_estimativascore_qualidade</v>
      </c>
      <c r="B17" s="54" t="s">
        <v>27</v>
      </c>
      <c r="C17" s="50" t="s">
        <v>306</v>
      </c>
      <c r="D17" s="46" t="s">
        <v>431</v>
      </c>
      <c r="E17" s="47" t="s">
        <v>309</v>
      </c>
      <c r="F17" s="46" t="s">
        <v>57</v>
      </c>
      <c r="G17" s="48" t="s">
        <v>428</v>
      </c>
      <c r="H17" s="48" t="s">
        <v>428</v>
      </c>
      <c r="I17" s="56"/>
      <c r="J17" s="68" t="s">
        <v>514</v>
      </c>
      <c r="K17" s="68" t="s">
        <v>514</v>
      </c>
      <c r="L17" s="68"/>
    </row>
    <row r="18" spans="1:12" ht="16.2" x14ac:dyDescent="0.4">
      <c r="A18" s="15" t="str">
        <f t="shared" si="0"/>
        <v>cd_imv_inp_certif_estimativavlr_cnsm_ano</v>
      </c>
      <c r="B18" s="54" t="s">
        <v>27</v>
      </c>
      <c r="C18" s="50" t="s">
        <v>306</v>
      </c>
      <c r="D18" s="46" t="s">
        <v>431</v>
      </c>
      <c r="E18" s="47" t="s">
        <v>309</v>
      </c>
      <c r="F18" s="46" t="s">
        <v>175</v>
      </c>
      <c r="G18" s="48" t="s">
        <v>428</v>
      </c>
      <c r="H18" s="48" t="s">
        <v>428</v>
      </c>
      <c r="I18" s="56"/>
      <c r="J18" s="68" t="s">
        <v>514</v>
      </c>
      <c r="K18" s="68" t="s">
        <v>514</v>
      </c>
      <c r="L18" s="68"/>
    </row>
    <row r="19" spans="1:12" ht="16.2" x14ac:dyDescent="0.4">
      <c r="A19" s="15" t="str">
        <f t="shared" si="0"/>
        <v>cd_imv_inp_certif_estimativavlr_emss_ano</v>
      </c>
      <c r="B19" s="54" t="s">
        <v>27</v>
      </c>
      <c r="C19" s="50" t="s">
        <v>306</v>
      </c>
      <c r="D19" s="46" t="s">
        <v>431</v>
      </c>
      <c r="E19" s="47" t="s">
        <v>309</v>
      </c>
      <c r="F19" s="46" t="s">
        <v>174</v>
      </c>
      <c r="G19" s="48" t="s">
        <v>428</v>
      </c>
      <c r="H19" s="48" t="s">
        <v>428</v>
      </c>
      <c r="I19" s="56"/>
      <c r="J19" s="68" t="s">
        <v>514</v>
      </c>
      <c r="K19" s="68" t="s">
        <v>514</v>
      </c>
      <c r="L19" s="68"/>
    </row>
    <row r="20" spans="1:12" ht="16.2" x14ac:dyDescent="0.4">
      <c r="A20" s="15" t="str">
        <f t="shared" si="0"/>
        <v>cd_imv_out_prcn.a.</v>
      </c>
      <c r="B20" s="54" t="s">
        <v>27</v>
      </c>
      <c r="C20" s="50" t="s">
        <v>307</v>
      </c>
      <c r="D20" s="46" t="s">
        <v>430</v>
      </c>
      <c r="E20" s="47" t="s">
        <v>312</v>
      </c>
      <c r="F20" s="46" t="s">
        <v>7</v>
      </c>
      <c r="G20" s="48" t="s">
        <v>429</v>
      </c>
      <c r="H20" s="48" t="s">
        <v>429</v>
      </c>
      <c r="I20" s="56"/>
      <c r="J20" s="68" t="s">
        <v>514</v>
      </c>
      <c r="K20" s="68" t="s">
        <v>514</v>
      </c>
      <c r="L20" s="68"/>
    </row>
    <row r="21" spans="1:12" ht="16.2" x14ac:dyDescent="0.4">
      <c r="A21" s="15" t="str">
        <f t="shared" si="0"/>
        <v>cd_imv_out_prccempresa</v>
      </c>
      <c r="B21" s="54" t="s">
        <v>27</v>
      </c>
      <c r="C21" s="50" t="s">
        <v>307</v>
      </c>
      <c r="D21" s="46" t="s">
        <v>431</v>
      </c>
      <c r="E21" s="47" t="s">
        <v>312</v>
      </c>
      <c r="F21" s="46" t="s">
        <v>148</v>
      </c>
      <c r="G21" s="48" t="s">
        <v>425</v>
      </c>
      <c r="H21" s="48" t="s">
        <v>429</v>
      </c>
      <c r="I21" s="56" t="s">
        <v>517</v>
      </c>
      <c r="J21" s="68" t="s">
        <v>514</v>
      </c>
      <c r="K21" s="68" t="s">
        <v>514</v>
      </c>
      <c r="L21" s="68"/>
    </row>
    <row r="22" spans="1:12" ht="16.2" x14ac:dyDescent="0.4">
      <c r="A22" s="15" t="str">
        <f t="shared" si="0"/>
        <v>cd_imv_out_prcckbalcao</v>
      </c>
      <c r="B22" s="54" t="s">
        <v>27</v>
      </c>
      <c r="C22" s="50" t="s">
        <v>307</v>
      </c>
      <c r="D22" s="46" t="s">
        <v>431</v>
      </c>
      <c r="E22" s="47" t="s">
        <v>312</v>
      </c>
      <c r="F22" s="46" t="s">
        <v>257</v>
      </c>
      <c r="G22" s="48" t="s">
        <v>425</v>
      </c>
      <c r="H22" s="48" t="s">
        <v>429</v>
      </c>
      <c r="I22" s="56" t="s">
        <v>517</v>
      </c>
      <c r="J22" s="68" t="s">
        <v>514</v>
      </c>
      <c r="K22" s="68" t="s">
        <v>514</v>
      </c>
      <c r="L22" s="68"/>
    </row>
    <row r="23" spans="1:12" ht="16.2" x14ac:dyDescent="0.4">
      <c r="A23" s="15" t="str">
        <f t="shared" si="0"/>
        <v>cd_imv_out_prccknumcta</v>
      </c>
      <c r="B23" s="54" t="s">
        <v>27</v>
      </c>
      <c r="C23" s="50" t="s">
        <v>307</v>
      </c>
      <c r="D23" s="46" t="s">
        <v>431</v>
      </c>
      <c r="E23" s="47" t="s">
        <v>312</v>
      </c>
      <c r="F23" s="46" t="s">
        <v>258</v>
      </c>
      <c r="G23" s="48" t="s">
        <v>425</v>
      </c>
      <c r="H23" s="48" t="s">
        <v>429</v>
      </c>
      <c r="I23" s="56" t="s">
        <v>517</v>
      </c>
      <c r="J23" s="68" t="s">
        <v>514</v>
      </c>
      <c r="K23" s="68" t="s">
        <v>514</v>
      </c>
      <c r="L23" s="68"/>
    </row>
    <row r="24" spans="1:12" ht="16.2" x14ac:dyDescent="0.4">
      <c r="A24" s="15" t="str">
        <f t="shared" si="0"/>
        <v>cd_imv_out_prccod_estd_prcs</v>
      </c>
      <c r="B24" s="54" t="s">
        <v>27</v>
      </c>
      <c r="C24" s="50" t="s">
        <v>307</v>
      </c>
      <c r="D24" s="46" t="s">
        <v>431</v>
      </c>
      <c r="E24" s="47" t="s">
        <v>312</v>
      </c>
      <c r="F24" s="46" t="s">
        <v>269</v>
      </c>
      <c r="G24" s="48" t="s">
        <v>426</v>
      </c>
      <c r="H24" s="48" t="s">
        <v>426</v>
      </c>
      <c r="I24" s="56"/>
      <c r="J24" s="68" t="s">
        <v>514</v>
      </c>
      <c r="K24" s="68" t="s">
        <v>514</v>
      </c>
      <c r="L24" s="68"/>
    </row>
    <row r="25" spans="1:12" ht="16.2" x14ac:dyDescent="0.4">
      <c r="A25" s="15" t="str">
        <f t="shared" si="0"/>
        <v>cd_imv_out_prccod_grt</v>
      </c>
      <c r="B25" s="54" t="s">
        <v>27</v>
      </c>
      <c r="C25" s="50" t="s">
        <v>307</v>
      </c>
      <c r="D25" s="46" t="s">
        <v>431</v>
      </c>
      <c r="E25" s="47" t="s">
        <v>312</v>
      </c>
      <c r="F25" s="46" t="s">
        <v>268</v>
      </c>
      <c r="G25" s="48" t="s">
        <v>429</v>
      </c>
      <c r="H25" s="48" t="s">
        <v>429</v>
      </c>
      <c r="I25" s="56"/>
      <c r="J25" s="68" t="s">
        <v>514</v>
      </c>
      <c r="K25" s="68" t="s">
        <v>514</v>
      </c>
      <c r="L25" s="68"/>
    </row>
    <row r="26" spans="1:12" ht="16.2" x14ac:dyDescent="0.4">
      <c r="A26" s="15" t="str">
        <f t="shared" si="0"/>
        <v>cd_imv_out_prccod_moeda</v>
      </c>
      <c r="B26" s="54" t="s">
        <v>27</v>
      </c>
      <c r="C26" s="50" t="s">
        <v>307</v>
      </c>
      <c r="D26" s="46" t="s">
        <v>431</v>
      </c>
      <c r="E26" s="47" t="s">
        <v>312</v>
      </c>
      <c r="F26" s="46" t="s">
        <v>265</v>
      </c>
      <c r="G26" s="48" t="s">
        <v>429</v>
      </c>
      <c r="H26" s="48" t="s">
        <v>429</v>
      </c>
      <c r="I26" s="56"/>
      <c r="J26" s="68" t="s">
        <v>514</v>
      </c>
      <c r="K26" s="68" t="s">
        <v>514</v>
      </c>
      <c r="L26" s="68"/>
    </row>
    <row r="27" spans="1:12" ht="16.2" x14ac:dyDescent="0.4">
      <c r="A27" s="15" t="str">
        <f t="shared" si="0"/>
        <v>cd_imv_out_prccod_observacao</v>
      </c>
      <c r="B27" s="54" t="s">
        <v>27</v>
      </c>
      <c r="C27" s="50" t="s">
        <v>307</v>
      </c>
      <c r="D27" s="46" t="s">
        <v>431</v>
      </c>
      <c r="E27" s="47" t="s">
        <v>312</v>
      </c>
      <c r="F27" s="46" t="s">
        <v>270</v>
      </c>
      <c r="G27" s="48" t="s">
        <v>429</v>
      </c>
      <c r="H27" s="48" t="s">
        <v>429</v>
      </c>
      <c r="I27" s="56"/>
      <c r="J27" s="68" t="s">
        <v>514</v>
      </c>
      <c r="K27" s="68" t="s">
        <v>514</v>
      </c>
      <c r="L27" s="68"/>
    </row>
    <row r="28" spans="1:12" ht="16.2" x14ac:dyDescent="0.4">
      <c r="A28" s="15" t="str">
        <f t="shared" si="0"/>
        <v>cd_imv_out_prccod_prd_grnt</v>
      </c>
      <c r="B28" s="54" t="s">
        <v>27</v>
      </c>
      <c r="C28" s="50" t="s">
        <v>307</v>
      </c>
      <c r="D28" s="46" t="s">
        <v>431</v>
      </c>
      <c r="E28" s="47" t="s">
        <v>312</v>
      </c>
      <c r="F28" s="46" t="s">
        <v>260</v>
      </c>
      <c r="G28" s="48" t="s">
        <v>429</v>
      </c>
      <c r="H28" s="48" t="s">
        <v>429</v>
      </c>
      <c r="I28" s="56"/>
      <c r="J28" s="68" t="s">
        <v>514</v>
      </c>
      <c r="K28" s="68" t="s">
        <v>514</v>
      </c>
      <c r="L28" s="68"/>
    </row>
    <row r="29" spans="1:12" ht="16.2" x14ac:dyDescent="0.4">
      <c r="A29" s="15" t="str">
        <f t="shared" si="0"/>
        <v>cd_imv_out_prccod_sprd_grnt</v>
      </c>
      <c r="B29" s="54" t="s">
        <v>27</v>
      </c>
      <c r="C29" s="50" t="s">
        <v>307</v>
      </c>
      <c r="D29" s="46" t="s">
        <v>431</v>
      </c>
      <c r="E29" s="47" t="s">
        <v>312</v>
      </c>
      <c r="F29" s="46" t="s">
        <v>261</v>
      </c>
      <c r="G29" s="48" t="s">
        <v>429</v>
      </c>
      <c r="H29" s="48" t="s">
        <v>429</v>
      </c>
      <c r="I29" s="56"/>
      <c r="J29" s="68" t="s">
        <v>514</v>
      </c>
      <c r="K29" s="68" t="s">
        <v>514</v>
      </c>
      <c r="L29" s="68"/>
    </row>
    <row r="30" spans="1:12" ht="16.2" x14ac:dyDescent="0.4">
      <c r="A30" s="15" t="str">
        <f t="shared" si="0"/>
        <v>cd_imv_out_prccod_tipo</v>
      </c>
      <c r="B30" s="54" t="s">
        <v>27</v>
      </c>
      <c r="C30" s="50" t="s">
        <v>307</v>
      </c>
      <c r="D30" s="46" t="s">
        <v>431</v>
      </c>
      <c r="E30" s="47" t="s">
        <v>312</v>
      </c>
      <c r="F30" s="46" t="s">
        <v>264</v>
      </c>
      <c r="G30" s="48" t="s">
        <v>429</v>
      </c>
      <c r="H30" s="48" t="s">
        <v>429</v>
      </c>
      <c r="I30" s="56"/>
      <c r="J30" s="68" t="s">
        <v>514</v>
      </c>
      <c r="K30" s="68" t="s">
        <v>514</v>
      </c>
      <c r="L30" s="68"/>
    </row>
    <row r="31" spans="1:12" ht="16.2" x14ac:dyDescent="0.4">
      <c r="A31" s="15" t="str">
        <f t="shared" si="0"/>
        <v>cd_imv_out_prccomp_id_gar</v>
      </c>
      <c r="B31" s="54" t="s">
        <v>27</v>
      </c>
      <c r="C31" s="50" t="s">
        <v>307</v>
      </c>
      <c r="D31" s="46" t="s">
        <v>431</v>
      </c>
      <c r="E31" s="47" t="s">
        <v>312</v>
      </c>
      <c r="F31" s="46" t="s">
        <v>259</v>
      </c>
      <c r="G31" s="48" t="s">
        <v>429</v>
      </c>
      <c r="H31" s="48" t="s">
        <v>429</v>
      </c>
      <c r="I31" s="56"/>
      <c r="J31" s="68" t="s">
        <v>514</v>
      </c>
      <c r="K31" s="68" t="s">
        <v>514</v>
      </c>
      <c r="L31" s="68"/>
    </row>
    <row r="32" spans="1:12" ht="16.2" x14ac:dyDescent="0.4">
      <c r="A32" s="15" t="str">
        <f t="shared" si="0"/>
        <v>cd_imv_out_prcdata_inicio</v>
      </c>
      <c r="B32" s="54" t="s">
        <v>27</v>
      </c>
      <c r="C32" s="50" t="s">
        <v>307</v>
      </c>
      <c r="D32" s="46" t="s">
        <v>431</v>
      </c>
      <c r="E32" s="47" t="s">
        <v>312</v>
      </c>
      <c r="F32" s="46" t="s">
        <v>262</v>
      </c>
      <c r="G32" s="48" t="s">
        <v>429</v>
      </c>
      <c r="H32" s="48" t="s">
        <v>429</v>
      </c>
      <c r="I32" s="56"/>
      <c r="J32" s="68" t="s">
        <v>514</v>
      </c>
      <c r="K32" s="68" t="s">
        <v>514</v>
      </c>
      <c r="L32" s="68"/>
    </row>
    <row r="33" spans="1:12" ht="16.2" x14ac:dyDescent="0.4">
      <c r="A33" s="15" t="str">
        <f t="shared" si="0"/>
        <v>cd_imv_out_prcdata_vcmt</v>
      </c>
      <c r="B33" s="54" t="s">
        <v>27</v>
      </c>
      <c r="C33" s="50" t="s">
        <v>307</v>
      </c>
      <c r="D33" s="46" t="s">
        <v>431</v>
      </c>
      <c r="E33" s="47" t="s">
        <v>312</v>
      </c>
      <c r="F33" s="46" t="s">
        <v>263</v>
      </c>
      <c r="G33" s="48" t="s">
        <v>429</v>
      </c>
      <c r="H33" s="48" t="s">
        <v>429</v>
      </c>
      <c r="I33" s="56"/>
      <c r="J33" s="68" t="s">
        <v>514</v>
      </c>
      <c r="K33" s="68" t="s">
        <v>514</v>
      </c>
      <c r="L33" s="68"/>
    </row>
    <row r="34" spans="1:12" ht="16.2" x14ac:dyDescent="0.4">
      <c r="A34" s="15" t="str">
        <f t="shared" si="0"/>
        <v>cd_imv_out_prcmontante_eur</v>
      </c>
      <c r="B34" s="54" t="s">
        <v>27</v>
      </c>
      <c r="C34" s="50" t="s">
        <v>307</v>
      </c>
      <c r="D34" s="46" t="s">
        <v>431</v>
      </c>
      <c r="E34" s="47" t="s">
        <v>312</v>
      </c>
      <c r="F34" s="46" t="s">
        <v>266</v>
      </c>
      <c r="G34" s="48" t="s">
        <v>426</v>
      </c>
      <c r="H34" s="48" t="s">
        <v>426</v>
      </c>
      <c r="I34" s="56"/>
      <c r="J34" s="68" t="s">
        <v>514</v>
      </c>
      <c r="K34" s="68" t="s">
        <v>514</v>
      </c>
      <c r="L34" s="68"/>
    </row>
    <row r="35" spans="1:12" ht="16.2" x14ac:dyDescent="0.4">
      <c r="A35" s="15" t="str">
        <f t="shared" si="0"/>
        <v>cd_imv_out_prcmontante_org</v>
      </c>
      <c r="B35" s="54" t="s">
        <v>27</v>
      </c>
      <c r="C35" s="50" t="s">
        <v>307</v>
      </c>
      <c r="D35" s="46" t="s">
        <v>431</v>
      </c>
      <c r="E35" s="47" t="s">
        <v>312</v>
      </c>
      <c r="F35" s="46" t="s">
        <v>267</v>
      </c>
      <c r="G35" s="48" t="s">
        <v>426</v>
      </c>
      <c r="H35" s="48" t="s">
        <v>426</v>
      </c>
      <c r="I35" s="56"/>
      <c r="J35" s="68" t="s">
        <v>514</v>
      </c>
      <c r="K35" s="68" t="s">
        <v>514</v>
      </c>
      <c r="L35" s="68"/>
    </row>
    <row r="36" spans="1:12" ht="16.2" x14ac:dyDescent="0.4">
      <c r="A36" s="15" t="str">
        <f t="shared" si="0"/>
        <v>cd_imv_out_prcorigem</v>
      </c>
      <c r="B36" s="54" t="s">
        <v>27</v>
      </c>
      <c r="C36" s="50" t="s">
        <v>307</v>
      </c>
      <c r="D36" s="46" t="s">
        <v>431</v>
      </c>
      <c r="E36" s="47" t="s">
        <v>312</v>
      </c>
      <c r="F36" s="46" t="s">
        <v>159</v>
      </c>
      <c r="G36" s="48" t="s">
        <v>429</v>
      </c>
      <c r="H36" s="48" t="s">
        <v>429</v>
      </c>
      <c r="I36" s="56"/>
      <c r="J36" s="68" t="s">
        <v>514</v>
      </c>
      <c r="K36" s="68" t="s">
        <v>514</v>
      </c>
      <c r="L36" s="68"/>
    </row>
    <row r="37" spans="1:12" ht="16.2" x14ac:dyDescent="0.4">
      <c r="A37" s="15" t="str">
        <f t="shared" si="0"/>
        <v>cd_imv_out_prcref_date</v>
      </c>
      <c r="B37" s="54" t="s">
        <v>27</v>
      </c>
      <c r="C37" s="50" t="s">
        <v>307</v>
      </c>
      <c r="D37" s="46" t="s">
        <v>431</v>
      </c>
      <c r="E37" s="47" t="s">
        <v>312</v>
      </c>
      <c r="F37" s="46" t="s">
        <v>44</v>
      </c>
      <c r="G37" s="48" t="s">
        <v>429</v>
      </c>
      <c r="H37" s="48" t="s">
        <v>429</v>
      </c>
      <c r="I37" s="56"/>
      <c r="J37" s="68" t="s">
        <v>514</v>
      </c>
      <c r="K37" s="68" t="s">
        <v>514</v>
      </c>
      <c r="L37" s="68"/>
    </row>
    <row r="38" spans="1:12" ht="16.2" x14ac:dyDescent="0.4">
      <c r="A38" s="15" t="str">
        <f t="shared" si="0"/>
        <v>cd_imv_out_trz_cred_prcn.a.</v>
      </c>
      <c r="B38" s="54" t="s">
        <v>27</v>
      </c>
      <c r="C38" s="50" t="s">
        <v>307</v>
      </c>
      <c r="D38" s="46" t="s">
        <v>430</v>
      </c>
      <c r="E38" s="47" t="s">
        <v>313</v>
      </c>
      <c r="F38" s="46" t="s">
        <v>7</v>
      </c>
      <c r="G38" s="48" t="s">
        <v>429</v>
      </c>
      <c r="H38" s="48" t="s">
        <v>429</v>
      </c>
      <c r="I38" s="56"/>
      <c r="J38" s="68" t="s">
        <v>514</v>
      </c>
      <c r="K38" s="68" t="s">
        <v>514</v>
      </c>
      <c r="L38" s="68"/>
    </row>
    <row r="39" spans="1:12" ht="16.2" x14ac:dyDescent="0.4">
      <c r="A39" s="15" t="str">
        <f t="shared" si="0"/>
        <v>cd_imv_out_trz_cred_prccempresa</v>
      </c>
      <c r="B39" s="54" t="s">
        <v>27</v>
      </c>
      <c r="C39" s="50" t="s">
        <v>307</v>
      </c>
      <c r="D39" s="46" t="s">
        <v>431</v>
      </c>
      <c r="E39" s="47" t="s">
        <v>313</v>
      </c>
      <c r="F39" s="46" t="s">
        <v>148</v>
      </c>
      <c r="G39" s="48" t="s">
        <v>425</v>
      </c>
      <c r="H39" s="48" t="s">
        <v>429</v>
      </c>
      <c r="I39" s="56" t="s">
        <v>517</v>
      </c>
      <c r="J39" s="68" t="s">
        <v>514</v>
      </c>
      <c r="K39" s="68" t="s">
        <v>514</v>
      </c>
      <c r="L39" s="68"/>
    </row>
    <row r="40" spans="1:12" ht="16.2" x14ac:dyDescent="0.4">
      <c r="A40" s="15" t="str">
        <f t="shared" si="0"/>
        <v>cd_imv_out_trz_cred_prccempresp</v>
      </c>
      <c r="B40" s="54" t="s">
        <v>27</v>
      </c>
      <c r="C40" s="50" t="s">
        <v>307</v>
      </c>
      <c r="D40" s="46" t="s">
        <v>431</v>
      </c>
      <c r="E40" s="47" t="s">
        <v>313</v>
      </c>
      <c r="F40" s="46" t="s">
        <v>271</v>
      </c>
      <c r="G40" s="48" t="s">
        <v>425</v>
      </c>
      <c r="H40" s="48" t="s">
        <v>429</v>
      </c>
      <c r="I40" s="56" t="s">
        <v>517</v>
      </c>
      <c r="J40" s="68" t="s">
        <v>514</v>
      </c>
      <c r="K40" s="68" t="s">
        <v>514</v>
      </c>
      <c r="L40" s="68"/>
    </row>
    <row r="41" spans="1:12" ht="16.2" x14ac:dyDescent="0.4">
      <c r="A41" s="15" t="str">
        <f t="shared" si="0"/>
        <v>cd_imv_out_trz_cred_prcckbalcao</v>
      </c>
      <c r="B41" s="54" t="s">
        <v>27</v>
      </c>
      <c r="C41" s="50" t="s">
        <v>307</v>
      </c>
      <c r="D41" s="46" t="s">
        <v>431</v>
      </c>
      <c r="E41" s="47" t="s">
        <v>313</v>
      </c>
      <c r="F41" s="46" t="s">
        <v>257</v>
      </c>
      <c r="G41" s="48" t="s">
        <v>425</v>
      </c>
      <c r="H41" s="48" t="s">
        <v>429</v>
      </c>
      <c r="I41" s="56" t="s">
        <v>517</v>
      </c>
      <c r="J41" s="68" t="s">
        <v>514</v>
      </c>
      <c r="K41" s="68" t="s">
        <v>514</v>
      </c>
      <c r="L41" s="68"/>
    </row>
    <row r="42" spans="1:12" ht="16.2" x14ac:dyDescent="0.4">
      <c r="A42" s="15" t="str">
        <f t="shared" si="0"/>
        <v>cd_imv_out_trz_cred_prcckbalres</v>
      </c>
      <c r="B42" s="54" t="s">
        <v>27</v>
      </c>
      <c r="C42" s="50" t="s">
        <v>307</v>
      </c>
      <c r="D42" s="46" t="s">
        <v>431</v>
      </c>
      <c r="E42" s="47" t="s">
        <v>313</v>
      </c>
      <c r="F42" s="46" t="s">
        <v>272</v>
      </c>
      <c r="G42" s="48" t="s">
        <v>425</v>
      </c>
      <c r="H42" s="48" t="s">
        <v>429</v>
      </c>
      <c r="I42" s="56" t="s">
        <v>517</v>
      </c>
      <c r="J42" s="68" t="s">
        <v>514</v>
      </c>
      <c r="K42" s="68" t="s">
        <v>514</v>
      </c>
      <c r="L42" s="68"/>
    </row>
    <row r="43" spans="1:12" ht="16.2" x14ac:dyDescent="0.4">
      <c r="A43" s="15" t="str">
        <f t="shared" si="0"/>
        <v>cd_imv_out_trz_cred_prcckctares</v>
      </c>
      <c r="B43" s="54" t="s">
        <v>27</v>
      </c>
      <c r="C43" s="50" t="s">
        <v>307</v>
      </c>
      <c r="D43" s="46" t="s">
        <v>431</v>
      </c>
      <c r="E43" s="47" t="s">
        <v>313</v>
      </c>
      <c r="F43" s="46" t="s">
        <v>273</v>
      </c>
      <c r="G43" s="48" t="s">
        <v>425</v>
      </c>
      <c r="H43" s="48" t="s">
        <v>429</v>
      </c>
      <c r="I43" s="56" t="s">
        <v>517</v>
      </c>
      <c r="J43" s="68" t="s">
        <v>514</v>
      </c>
      <c r="K43" s="68" t="s">
        <v>514</v>
      </c>
      <c r="L43" s="68"/>
    </row>
    <row r="44" spans="1:12" ht="16.2" x14ac:dyDescent="0.4">
      <c r="A44" s="15" t="str">
        <f t="shared" si="0"/>
        <v>cd_imv_out_trz_cred_prccknumcta</v>
      </c>
      <c r="B44" s="54" t="s">
        <v>27</v>
      </c>
      <c r="C44" s="50" t="s">
        <v>307</v>
      </c>
      <c r="D44" s="46" t="s">
        <v>431</v>
      </c>
      <c r="E44" s="47" t="s">
        <v>313</v>
      </c>
      <c r="F44" s="46" t="s">
        <v>258</v>
      </c>
      <c r="G44" s="48" t="s">
        <v>425</v>
      </c>
      <c r="H44" s="48" t="s">
        <v>429</v>
      </c>
      <c r="I44" s="56" t="s">
        <v>517</v>
      </c>
      <c r="J44" s="68" t="s">
        <v>514</v>
      </c>
      <c r="K44" s="68" t="s">
        <v>514</v>
      </c>
      <c r="L44" s="68"/>
    </row>
    <row r="45" spans="1:12" ht="16.2" x14ac:dyDescent="0.4">
      <c r="A45" s="15" t="str">
        <f t="shared" si="0"/>
        <v>cd_imv_out_trz_cred_prcckrefresp</v>
      </c>
      <c r="B45" s="54" t="s">
        <v>27</v>
      </c>
      <c r="C45" s="50" t="s">
        <v>307</v>
      </c>
      <c r="D45" s="46" t="s">
        <v>431</v>
      </c>
      <c r="E45" s="47" t="s">
        <v>313</v>
      </c>
      <c r="F45" s="46" t="s">
        <v>274</v>
      </c>
      <c r="G45" s="48" t="s">
        <v>425</v>
      </c>
      <c r="H45" s="48" t="s">
        <v>429</v>
      </c>
      <c r="I45" s="56" t="s">
        <v>517</v>
      </c>
      <c r="J45" s="68" t="s">
        <v>514</v>
      </c>
      <c r="K45" s="68" t="s">
        <v>514</v>
      </c>
      <c r="L45" s="68"/>
    </row>
    <row r="46" spans="1:12" ht="16.2" x14ac:dyDescent="0.4">
      <c r="A46" s="15" t="str">
        <f t="shared" si="0"/>
        <v>cd_imv_out_trz_cred_prccod_fnld</v>
      </c>
      <c r="B46" s="54" t="s">
        <v>27</v>
      </c>
      <c r="C46" s="50" t="s">
        <v>307</v>
      </c>
      <c r="D46" s="46" t="s">
        <v>431</v>
      </c>
      <c r="E46" s="47" t="s">
        <v>313</v>
      </c>
      <c r="F46" s="46" t="s">
        <v>279</v>
      </c>
      <c r="G46" s="48" t="s">
        <v>429</v>
      </c>
      <c r="H46" s="48" t="s">
        <v>429</v>
      </c>
      <c r="I46" s="56"/>
      <c r="J46" s="68" t="s">
        <v>514</v>
      </c>
      <c r="K46" s="68" t="s">
        <v>514</v>
      </c>
      <c r="L46" s="68"/>
    </row>
    <row r="47" spans="1:12" ht="16.2" x14ac:dyDescent="0.4">
      <c r="A47" s="15" t="str">
        <f t="shared" si="0"/>
        <v>cd_imv_out_trz_cred_prccod_ocupacao</v>
      </c>
      <c r="B47" s="54" t="s">
        <v>27</v>
      </c>
      <c r="C47" s="50" t="s">
        <v>307</v>
      </c>
      <c r="D47" s="46" t="s">
        <v>431</v>
      </c>
      <c r="E47" s="47" t="s">
        <v>313</v>
      </c>
      <c r="F47" s="46" t="s">
        <v>281</v>
      </c>
      <c r="G47" s="48" t="s">
        <v>429</v>
      </c>
      <c r="H47" s="48" t="s">
        <v>429</v>
      </c>
      <c r="I47" s="56"/>
      <c r="J47" s="68" t="s">
        <v>514</v>
      </c>
      <c r="K47" s="68" t="s">
        <v>514</v>
      </c>
      <c r="L47" s="68"/>
    </row>
    <row r="48" spans="1:12" ht="16.2" x14ac:dyDescent="0.4">
      <c r="A48" s="15" t="str">
        <f t="shared" si="0"/>
        <v>cd_imv_out_trz_cred_prccod_prd_resp</v>
      </c>
      <c r="B48" s="54" t="s">
        <v>27</v>
      </c>
      <c r="C48" s="50" t="s">
        <v>307</v>
      </c>
      <c r="D48" s="46" t="s">
        <v>431</v>
      </c>
      <c r="E48" s="47" t="s">
        <v>313</v>
      </c>
      <c r="F48" s="46" t="s">
        <v>277</v>
      </c>
      <c r="G48" s="48" t="s">
        <v>429</v>
      </c>
      <c r="H48" s="48" t="s">
        <v>429</v>
      </c>
      <c r="I48" s="56"/>
      <c r="J48" s="68" t="s">
        <v>514</v>
      </c>
      <c r="K48" s="68" t="s">
        <v>514</v>
      </c>
      <c r="L48" s="68"/>
    </row>
    <row r="49" spans="1:12" ht="16.2" x14ac:dyDescent="0.4">
      <c r="A49" s="15" t="str">
        <f t="shared" si="0"/>
        <v>cd_imv_out_trz_cred_prccod_sit</v>
      </c>
      <c r="B49" s="54" t="s">
        <v>27</v>
      </c>
      <c r="C49" s="50" t="s">
        <v>307</v>
      </c>
      <c r="D49" s="46" t="s">
        <v>431</v>
      </c>
      <c r="E49" s="47" t="s">
        <v>313</v>
      </c>
      <c r="F49" s="46" t="s">
        <v>275</v>
      </c>
      <c r="G49" s="48" t="s">
        <v>426</v>
      </c>
      <c r="H49" s="48" t="s">
        <v>426</v>
      </c>
      <c r="I49" s="56"/>
      <c r="J49" s="68" t="s">
        <v>514</v>
      </c>
      <c r="K49" s="68" t="s">
        <v>514</v>
      </c>
      <c r="L49" s="68"/>
    </row>
    <row r="50" spans="1:12" ht="16.2" x14ac:dyDescent="0.4">
      <c r="A50" s="15" t="str">
        <f t="shared" si="0"/>
        <v>cd_imv_out_trz_cred_prccod_sprd_resp</v>
      </c>
      <c r="B50" s="54" t="s">
        <v>27</v>
      </c>
      <c r="C50" s="50" t="s">
        <v>307</v>
      </c>
      <c r="D50" s="46" t="s">
        <v>431</v>
      </c>
      <c r="E50" s="47" t="s">
        <v>313</v>
      </c>
      <c r="F50" s="46" t="s">
        <v>278</v>
      </c>
      <c r="G50" s="48" t="s">
        <v>429</v>
      </c>
      <c r="H50" s="48" t="s">
        <v>429</v>
      </c>
      <c r="I50" s="56"/>
      <c r="J50" s="68" t="s">
        <v>514</v>
      </c>
      <c r="K50" s="68" t="s">
        <v>514</v>
      </c>
      <c r="L50" s="68"/>
    </row>
    <row r="51" spans="1:12" ht="16.2" x14ac:dyDescent="0.4">
      <c r="A51" s="15" t="str">
        <f t="shared" si="0"/>
        <v>cd_imv_out_trz_cred_prccomp_id_gar</v>
      </c>
      <c r="B51" s="54" t="s">
        <v>27</v>
      </c>
      <c r="C51" s="50" t="s">
        <v>307</v>
      </c>
      <c r="D51" s="46" t="s">
        <v>431</v>
      </c>
      <c r="E51" s="47" t="s">
        <v>313</v>
      </c>
      <c r="F51" s="46" t="s">
        <v>259</v>
      </c>
      <c r="G51" s="48" t="s">
        <v>429</v>
      </c>
      <c r="H51" s="48" t="s">
        <v>429</v>
      </c>
      <c r="I51" s="56"/>
      <c r="J51" s="68" t="s">
        <v>514</v>
      </c>
      <c r="K51" s="68" t="s">
        <v>514</v>
      </c>
      <c r="L51" s="68"/>
    </row>
    <row r="52" spans="1:12" ht="16.2" x14ac:dyDescent="0.4">
      <c r="A52" s="15" t="str">
        <f t="shared" si="0"/>
        <v>cd_imv_out_trz_cred_prcdata_fim</v>
      </c>
      <c r="B52" s="54" t="s">
        <v>27</v>
      </c>
      <c r="C52" s="50" t="s">
        <v>307</v>
      </c>
      <c r="D52" s="46" t="s">
        <v>431</v>
      </c>
      <c r="E52" s="47" t="s">
        <v>313</v>
      </c>
      <c r="F52" s="46" t="s">
        <v>276</v>
      </c>
      <c r="G52" s="48" t="s">
        <v>429</v>
      </c>
      <c r="H52" s="48" t="s">
        <v>429</v>
      </c>
      <c r="I52" s="56"/>
      <c r="J52" s="68" t="s">
        <v>514</v>
      </c>
      <c r="K52" s="68" t="s">
        <v>514</v>
      </c>
      <c r="L52" s="68"/>
    </row>
    <row r="53" spans="1:12" ht="16.2" x14ac:dyDescent="0.4">
      <c r="A53" s="15" t="str">
        <f t="shared" si="0"/>
        <v>cd_imv_out_trz_cred_prcdata_inicio</v>
      </c>
      <c r="B53" s="54" t="s">
        <v>27</v>
      </c>
      <c r="C53" s="50" t="s">
        <v>307</v>
      </c>
      <c r="D53" s="46" t="s">
        <v>431</v>
      </c>
      <c r="E53" s="47" t="s">
        <v>313</v>
      </c>
      <c r="F53" s="46" t="s">
        <v>262</v>
      </c>
      <c r="G53" s="48" t="s">
        <v>429</v>
      </c>
      <c r="H53" s="48" t="s">
        <v>429</v>
      </c>
      <c r="I53" s="56"/>
      <c r="J53" s="68" t="s">
        <v>514</v>
      </c>
      <c r="K53" s="68" t="s">
        <v>514</v>
      </c>
      <c r="L53" s="68"/>
    </row>
    <row r="54" spans="1:12" ht="16.2" x14ac:dyDescent="0.4">
      <c r="A54" s="15" t="str">
        <f t="shared" si="0"/>
        <v>cd_imv_out_trz_cred_prcdata_vcmt</v>
      </c>
      <c r="B54" s="54" t="s">
        <v>27</v>
      </c>
      <c r="C54" s="50" t="s">
        <v>307</v>
      </c>
      <c r="D54" s="46" t="s">
        <v>431</v>
      </c>
      <c r="E54" s="47" t="s">
        <v>313</v>
      </c>
      <c r="F54" s="46" t="s">
        <v>263</v>
      </c>
      <c r="G54" s="48" t="s">
        <v>429</v>
      </c>
      <c r="H54" s="48" t="s">
        <v>429</v>
      </c>
      <c r="I54" s="56"/>
      <c r="J54" s="68" t="s">
        <v>514</v>
      </c>
      <c r="K54" s="68" t="s">
        <v>514</v>
      </c>
      <c r="L54" s="68"/>
    </row>
    <row r="55" spans="1:12" ht="16.2" x14ac:dyDescent="0.4">
      <c r="A55" s="15" t="str">
        <f t="shared" si="0"/>
        <v>cd_imv_out_trz_cred_prcidetgar</v>
      </c>
      <c r="B55" s="54" t="s">
        <v>27</v>
      </c>
      <c r="C55" s="50" t="s">
        <v>307</v>
      </c>
      <c r="D55" s="46" t="s">
        <v>431</v>
      </c>
      <c r="E55" s="47" t="s">
        <v>313</v>
      </c>
      <c r="F55" s="46" t="s">
        <v>282</v>
      </c>
      <c r="G55" s="48" t="s">
        <v>426</v>
      </c>
      <c r="H55" s="48" t="s">
        <v>426</v>
      </c>
      <c r="I55" s="56"/>
      <c r="J55" s="68" t="s">
        <v>514</v>
      </c>
      <c r="K55" s="68" t="s">
        <v>514</v>
      </c>
      <c r="L55" s="68"/>
    </row>
    <row r="56" spans="1:12" ht="16.2" x14ac:dyDescent="0.4">
      <c r="A56" s="15" t="str">
        <f t="shared" si="0"/>
        <v>cd_imv_out_trz_cred_prcnum_prop</v>
      </c>
      <c r="B56" s="54" t="s">
        <v>27</v>
      </c>
      <c r="C56" s="50" t="s">
        <v>307</v>
      </c>
      <c r="D56" s="46" t="s">
        <v>431</v>
      </c>
      <c r="E56" s="47" t="s">
        <v>313</v>
      </c>
      <c r="F56" s="46" t="s">
        <v>280</v>
      </c>
      <c r="G56" s="48" t="s">
        <v>426</v>
      </c>
      <c r="H56" s="48" t="s">
        <v>426</v>
      </c>
      <c r="I56" s="56"/>
      <c r="J56" s="68" t="s">
        <v>514</v>
      </c>
      <c r="K56" s="68" t="s">
        <v>514</v>
      </c>
      <c r="L56" s="68"/>
    </row>
    <row r="57" spans="1:12" ht="16.2" x14ac:dyDescent="0.4">
      <c r="A57" s="15" t="str">
        <f t="shared" si="0"/>
        <v>cd_imv_out_trz_cred_prcorigem</v>
      </c>
      <c r="B57" s="54" t="s">
        <v>27</v>
      </c>
      <c r="C57" s="50" t="s">
        <v>307</v>
      </c>
      <c r="D57" s="46" t="s">
        <v>431</v>
      </c>
      <c r="E57" s="47" t="s">
        <v>313</v>
      </c>
      <c r="F57" s="46" t="s">
        <v>159</v>
      </c>
      <c r="G57" s="48" t="s">
        <v>429</v>
      </c>
      <c r="H57" s="48" t="s">
        <v>429</v>
      </c>
      <c r="I57" s="56"/>
      <c r="J57" s="68" t="s">
        <v>514</v>
      </c>
      <c r="K57" s="68" t="s">
        <v>514</v>
      </c>
      <c r="L57" s="68"/>
    </row>
    <row r="58" spans="1:12" ht="16.2" x14ac:dyDescent="0.4">
      <c r="A58" s="15" t="str">
        <f t="shared" si="0"/>
        <v>cd_imv_out_trz_cred_prcref_date</v>
      </c>
      <c r="B58" s="54" t="s">
        <v>27</v>
      </c>
      <c r="C58" s="50" t="s">
        <v>307</v>
      </c>
      <c r="D58" s="46" t="s">
        <v>431</v>
      </c>
      <c r="E58" s="47" t="s">
        <v>313</v>
      </c>
      <c r="F58" s="46" t="s">
        <v>44</v>
      </c>
      <c r="G58" s="48" t="s">
        <v>429</v>
      </c>
      <c r="H58" s="48" t="s">
        <v>429</v>
      </c>
      <c r="I58" s="56"/>
      <c r="J58" s="68" t="s">
        <v>514</v>
      </c>
      <c r="K58" s="68" t="s">
        <v>514</v>
      </c>
      <c r="L58" s="68"/>
    </row>
    <row r="59" spans="1:12" ht="16.2" x14ac:dyDescent="0.4">
      <c r="A59" s="15" t="str">
        <f t="shared" si="0"/>
        <v>cd_imv_out_trz_prc_bens_imvn.a.</v>
      </c>
      <c r="B59" s="54" t="s">
        <v>27</v>
      </c>
      <c r="C59" s="50" t="s">
        <v>307</v>
      </c>
      <c r="D59" s="46" t="s">
        <v>430</v>
      </c>
      <c r="E59" s="47" t="s">
        <v>303</v>
      </c>
      <c r="F59" s="46" t="s">
        <v>7</v>
      </c>
      <c r="G59" s="48" t="s">
        <v>429</v>
      </c>
      <c r="H59" s="48" t="s">
        <v>429</v>
      </c>
      <c r="I59" s="56"/>
      <c r="J59" s="68" t="s">
        <v>514</v>
      </c>
      <c r="K59" s="68" t="s">
        <v>514</v>
      </c>
      <c r="L59" s="68"/>
    </row>
    <row r="60" spans="1:12" ht="16.2" x14ac:dyDescent="0.4">
      <c r="A60" s="15" t="str">
        <f t="shared" si="0"/>
        <v>cd_imv_out_trz_prc_bens_imvcempbem</v>
      </c>
      <c r="B60" s="54" t="s">
        <v>27</v>
      </c>
      <c r="C60" s="50" t="s">
        <v>307</v>
      </c>
      <c r="D60" s="46" t="s">
        <v>431</v>
      </c>
      <c r="E60" s="47" t="s">
        <v>303</v>
      </c>
      <c r="F60" s="46" t="s">
        <v>130</v>
      </c>
      <c r="G60" s="48" t="s">
        <v>425</v>
      </c>
      <c r="H60" s="48" t="s">
        <v>425</v>
      </c>
      <c r="I60" s="56"/>
      <c r="J60" s="68" t="s">
        <v>514</v>
      </c>
      <c r="K60" s="68" t="s">
        <v>514</v>
      </c>
      <c r="L60" s="68"/>
    </row>
    <row r="61" spans="1:12" ht="16.2" x14ac:dyDescent="0.4">
      <c r="A61" s="15" t="str">
        <f t="shared" si="0"/>
        <v>cd_imv_out_trz_prc_bens_imvcempresa</v>
      </c>
      <c r="B61" s="54" t="s">
        <v>27</v>
      </c>
      <c r="C61" s="50" t="s">
        <v>307</v>
      </c>
      <c r="D61" s="46" t="s">
        <v>431</v>
      </c>
      <c r="E61" s="47" t="s">
        <v>303</v>
      </c>
      <c r="F61" s="46" t="s">
        <v>148</v>
      </c>
      <c r="G61" s="48" t="s">
        <v>425</v>
      </c>
      <c r="H61" s="48" t="s">
        <v>429</v>
      </c>
      <c r="I61" s="56" t="s">
        <v>517</v>
      </c>
      <c r="J61" s="68" t="s">
        <v>514</v>
      </c>
      <c r="K61" s="68" t="s">
        <v>514</v>
      </c>
      <c r="L61" s="68"/>
    </row>
    <row r="62" spans="1:12" ht="16.2" x14ac:dyDescent="0.4">
      <c r="A62" s="15" t="str">
        <f t="shared" si="0"/>
        <v>cd_imv_out_trz_prc_bens_imvckbalbem</v>
      </c>
      <c r="B62" s="54" t="s">
        <v>27</v>
      </c>
      <c r="C62" s="50" t="s">
        <v>307</v>
      </c>
      <c r="D62" s="46" t="s">
        <v>431</v>
      </c>
      <c r="E62" s="47" t="s">
        <v>303</v>
      </c>
      <c r="F62" s="46" t="s">
        <v>131</v>
      </c>
      <c r="G62" s="48" t="s">
        <v>425</v>
      </c>
      <c r="H62" s="48" t="s">
        <v>429</v>
      </c>
      <c r="I62" s="56" t="s">
        <v>517</v>
      </c>
      <c r="J62" s="68" t="s">
        <v>514</v>
      </c>
      <c r="K62" s="68" t="s">
        <v>514</v>
      </c>
      <c r="L62" s="68"/>
    </row>
    <row r="63" spans="1:12" ht="16.2" x14ac:dyDescent="0.4">
      <c r="A63" s="15" t="str">
        <f t="shared" si="0"/>
        <v>cd_imv_out_trz_prc_bens_imvckbalcao</v>
      </c>
      <c r="B63" s="54" t="s">
        <v>27</v>
      </c>
      <c r="C63" s="50" t="s">
        <v>307</v>
      </c>
      <c r="D63" s="46" t="s">
        <v>431</v>
      </c>
      <c r="E63" s="47" t="s">
        <v>303</v>
      </c>
      <c r="F63" s="46" t="s">
        <v>257</v>
      </c>
      <c r="G63" s="48" t="s">
        <v>425</v>
      </c>
      <c r="H63" s="48" t="s">
        <v>429</v>
      </c>
      <c r="I63" s="56" t="s">
        <v>517</v>
      </c>
      <c r="J63" s="68" t="s">
        <v>514</v>
      </c>
      <c r="K63" s="68" t="s">
        <v>514</v>
      </c>
      <c r="L63" s="68"/>
    </row>
    <row r="64" spans="1:12" ht="16.2" x14ac:dyDescent="0.4">
      <c r="A64" s="15" t="str">
        <f t="shared" si="0"/>
        <v>cd_imv_out_trz_prc_bens_imvckctabem</v>
      </c>
      <c r="B64" s="54" t="s">
        <v>27</v>
      </c>
      <c r="C64" s="50" t="s">
        <v>307</v>
      </c>
      <c r="D64" s="46" t="s">
        <v>431</v>
      </c>
      <c r="E64" s="47" t="s">
        <v>303</v>
      </c>
      <c r="F64" s="46" t="s">
        <v>132</v>
      </c>
      <c r="G64" s="48" t="s">
        <v>425</v>
      </c>
      <c r="H64" s="48" t="s">
        <v>429</v>
      </c>
      <c r="I64" s="56" t="s">
        <v>517</v>
      </c>
      <c r="J64" s="68" t="s">
        <v>514</v>
      </c>
      <c r="K64" s="68" t="s">
        <v>514</v>
      </c>
      <c r="L64" s="68"/>
    </row>
    <row r="65" spans="1:12" ht="16.2" x14ac:dyDescent="0.4">
      <c r="A65" s="15" t="str">
        <f t="shared" si="0"/>
        <v>cd_imv_out_trz_prc_bens_imvcknumcta</v>
      </c>
      <c r="B65" s="54" t="s">
        <v>27</v>
      </c>
      <c r="C65" s="50" t="s">
        <v>307</v>
      </c>
      <c r="D65" s="46" t="s">
        <v>431</v>
      </c>
      <c r="E65" s="47" t="s">
        <v>303</v>
      </c>
      <c r="F65" s="46" t="s">
        <v>258</v>
      </c>
      <c r="G65" s="48" t="s">
        <v>425</v>
      </c>
      <c r="H65" s="48" t="s">
        <v>429</v>
      </c>
      <c r="I65" s="56" t="s">
        <v>517</v>
      </c>
      <c r="J65" s="68" t="s">
        <v>514</v>
      </c>
      <c r="K65" s="68" t="s">
        <v>514</v>
      </c>
      <c r="L65" s="68"/>
    </row>
    <row r="66" spans="1:12" ht="16.2" x14ac:dyDescent="0.4">
      <c r="A66" s="15" t="str">
        <f t="shared" si="0"/>
        <v>cd_imv_out_trz_prc_bens_imvckrefbem</v>
      </c>
      <c r="B66" s="54" t="s">
        <v>27</v>
      </c>
      <c r="C66" s="50" t="s">
        <v>307</v>
      </c>
      <c r="D66" s="46" t="s">
        <v>431</v>
      </c>
      <c r="E66" s="47" t="s">
        <v>303</v>
      </c>
      <c r="F66" s="46" t="s">
        <v>133</v>
      </c>
      <c r="G66" s="48" t="s">
        <v>425</v>
      </c>
      <c r="H66" s="48" t="s">
        <v>425</v>
      </c>
      <c r="I66" s="56"/>
      <c r="J66" s="68" t="s">
        <v>514</v>
      </c>
      <c r="K66" s="68" t="s">
        <v>514</v>
      </c>
      <c r="L66" s="68"/>
    </row>
    <row r="67" spans="1:12" ht="16.2" x14ac:dyDescent="0.4">
      <c r="A67" s="15" t="str">
        <f t="shared" si="0"/>
        <v>cd_imv_out_trz_prc_bens_imvcomp_id_gar</v>
      </c>
      <c r="B67" s="54" t="s">
        <v>27</v>
      </c>
      <c r="C67" s="50" t="s">
        <v>307</v>
      </c>
      <c r="D67" s="46" t="s">
        <v>431</v>
      </c>
      <c r="E67" s="47" t="s">
        <v>303</v>
      </c>
      <c r="F67" s="46" t="s">
        <v>259</v>
      </c>
      <c r="G67" s="48" t="s">
        <v>429</v>
      </c>
      <c r="H67" s="48" t="s">
        <v>429</v>
      </c>
      <c r="I67" s="56"/>
      <c r="J67" s="68" t="s">
        <v>514</v>
      </c>
      <c r="K67" s="68" t="s">
        <v>514</v>
      </c>
      <c r="L67" s="68"/>
    </row>
    <row r="68" spans="1:12" ht="16.2" x14ac:dyDescent="0.4">
      <c r="A68" s="15" t="str">
        <f t="shared" si="0"/>
        <v>cd_imv_out_trz_prc_bens_imvdata_assc</v>
      </c>
      <c r="B68" s="54" t="s">
        <v>27</v>
      </c>
      <c r="C68" s="50" t="s">
        <v>307</v>
      </c>
      <c r="D68" s="46" t="s">
        <v>431</v>
      </c>
      <c r="E68" s="47" t="s">
        <v>303</v>
      </c>
      <c r="F68" s="46" t="s">
        <v>283</v>
      </c>
      <c r="G68" s="48" t="s">
        <v>426</v>
      </c>
      <c r="H68" s="48" t="s">
        <v>426</v>
      </c>
      <c r="I68" s="56"/>
      <c r="J68" s="68" t="s">
        <v>514</v>
      </c>
      <c r="K68" s="68" t="s">
        <v>514</v>
      </c>
      <c r="L68" s="68"/>
    </row>
    <row r="69" spans="1:12" ht="16.2" x14ac:dyDescent="0.4">
      <c r="A69" s="15" t="str">
        <f t="shared" si="0"/>
        <v>cd_imv_out_trz_prc_bens_imvflg_adj</v>
      </c>
      <c r="B69" s="54" t="s">
        <v>27</v>
      </c>
      <c r="C69" s="50" t="s">
        <v>307</v>
      </c>
      <c r="D69" s="46" t="s">
        <v>431</v>
      </c>
      <c r="E69" s="47" t="s">
        <v>303</v>
      </c>
      <c r="F69" s="46" t="s">
        <v>285</v>
      </c>
      <c r="G69" s="48" t="s">
        <v>425</v>
      </c>
      <c r="H69" s="48" t="s">
        <v>425</v>
      </c>
      <c r="I69" s="56"/>
      <c r="J69" s="68" t="s">
        <v>514</v>
      </c>
      <c r="K69" s="68" t="s">
        <v>514</v>
      </c>
      <c r="L69" s="68"/>
    </row>
    <row r="70" spans="1:12" ht="16.2" x14ac:dyDescent="0.4">
      <c r="A70" s="15" t="str">
        <f t="shared" si="0"/>
        <v>cd_imv_out_trz_prc_bens_imvflg_col</v>
      </c>
      <c r="B70" s="54" t="s">
        <v>27</v>
      </c>
      <c r="C70" s="50" t="s">
        <v>307</v>
      </c>
      <c r="D70" s="46" t="s">
        <v>431</v>
      </c>
      <c r="E70" s="47" t="s">
        <v>303</v>
      </c>
      <c r="F70" s="46" t="s">
        <v>286</v>
      </c>
      <c r="G70" s="48" t="s">
        <v>425</v>
      </c>
      <c r="H70" s="48" t="s">
        <v>425</v>
      </c>
      <c r="I70" s="56"/>
      <c r="J70" s="68" t="s">
        <v>514</v>
      </c>
      <c r="K70" s="68" t="s">
        <v>514</v>
      </c>
      <c r="L70" s="68"/>
    </row>
    <row r="71" spans="1:12" ht="16.2" x14ac:dyDescent="0.4">
      <c r="A71" s="15" t="str">
        <f t="shared" si="0"/>
        <v>cd_imv_out_trz_prc_bens_imvflg_fin</v>
      </c>
      <c r="B71" s="54" t="s">
        <v>27</v>
      </c>
      <c r="C71" s="50" t="s">
        <v>307</v>
      </c>
      <c r="D71" s="46" t="s">
        <v>431</v>
      </c>
      <c r="E71" s="47" t="s">
        <v>303</v>
      </c>
      <c r="F71" s="46" t="s">
        <v>284</v>
      </c>
      <c r="G71" s="48" t="s">
        <v>425</v>
      </c>
      <c r="H71" s="48" t="s">
        <v>425</v>
      </c>
      <c r="I71" s="56"/>
      <c r="J71" s="68" t="s">
        <v>514</v>
      </c>
      <c r="K71" s="68" t="s">
        <v>514</v>
      </c>
      <c r="L71" s="68"/>
    </row>
    <row r="72" spans="1:12" ht="16.2" x14ac:dyDescent="0.4">
      <c r="A72" s="15" t="str">
        <f t="shared" ref="A72:A135" si="1">E72&amp;F72</f>
        <v>cd_imv_out_trz_prc_bens_imvflg_pro</v>
      </c>
      <c r="B72" s="54" t="s">
        <v>27</v>
      </c>
      <c r="C72" s="50" t="s">
        <v>307</v>
      </c>
      <c r="D72" s="46" t="s">
        <v>431</v>
      </c>
      <c r="E72" s="47" t="s">
        <v>303</v>
      </c>
      <c r="F72" s="46" t="s">
        <v>287</v>
      </c>
      <c r="G72" s="48" t="s">
        <v>425</v>
      </c>
      <c r="H72" s="48" t="s">
        <v>425</v>
      </c>
      <c r="I72" s="56"/>
      <c r="J72" s="68" t="s">
        <v>514</v>
      </c>
      <c r="K72" s="68" t="s">
        <v>514</v>
      </c>
      <c r="L72" s="68"/>
    </row>
    <row r="73" spans="1:12" ht="16.2" x14ac:dyDescent="0.4">
      <c r="A73" s="15" t="str">
        <f t="shared" si="1"/>
        <v>cd_imv_out_trz_prc_bens_imvorigem</v>
      </c>
      <c r="B73" s="54" t="s">
        <v>27</v>
      </c>
      <c r="C73" s="50" t="s">
        <v>307</v>
      </c>
      <c r="D73" s="46" t="s">
        <v>431</v>
      </c>
      <c r="E73" s="47" t="s">
        <v>303</v>
      </c>
      <c r="F73" s="46" t="s">
        <v>159</v>
      </c>
      <c r="G73" s="48" t="s">
        <v>425</v>
      </c>
      <c r="H73" s="48" t="s">
        <v>425</v>
      </c>
      <c r="I73" s="56"/>
      <c r="J73" s="68" t="s">
        <v>514</v>
      </c>
      <c r="K73" s="68" t="s">
        <v>514</v>
      </c>
      <c r="L73" s="68"/>
    </row>
    <row r="74" spans="1:12" ht="16.2" x14ac:dyDescent="0.4">
      <c r="A74" s="15" t="str">
        <f t="shared" si="1"/>
        <v>cd_imv_out_trz_prc_bens_imvref_date</v>
      </c>
      <c r="B74" s="54" t="s">
        <v>27</v>
      </c>
      <c r="C74" s="50" t="s">
        <v>307</v>
      </c>
      <c r="D74" s="46" t="s">
        <v>431</v>
      </c>
      <c r="E74" s="47" t="s">
        <v>303</v>
      </c>
      <c r="F74" s="46" t="s">
        <v>44</v>
      </c>
      <c r="G74" s="48" t="s">
        <v>425</v>
      </c>
      <c r="H74" s="48" t="s">
        <v>425</v>
      </c>
      <c r="I74" s="56"/>
      <c r="J74" s="68" t="s">
        <v>514</v>
      </c>
      <c r="K74" s="68" t="s">
        <v>514</v>
      </c>
      <c r="L74" s="68"/>
    </row>
    <row r="75" spans="1:12" ht="16.2" x14ac:dyDescent="0.4">
      <c r="A75" s="15" t="str">
        <f t="shared" si="1"/>
        <v>cd_imv_out_bensn.a.</v>
      </c>
      <c r="B75" s="54" t="s">
        <v>27</v>
      </c>
      <c r="C75" s="50" t="s">
        <v>307</v>
      </c>
      <c r="D75" s="46" t="s">
        <v>430</v>
      </c>
      <c r="E75" s="47" t="s">
        <v>310</v>
      </c>
      <c r="F75" s="46" t="s">
        <v>7</v>
      </c>
      <c r="G75" s="48" t="s">
        <v>429</v>
      </c>
      <c r="H75" s="48" t="s">
        <v>429</v>
      </c>
      <c r="I75" s="56"/>
      <c r="J75" s="68" t="s">
        <v>514</v>
      </c>
      <c r="K75" s="68" t="s">
        <v>514</v>
      </c>
      <c r="L75" s="68"/>
    </row>
    <row r="76" spans="1:12" ht="16.2" x14ac:dyDescent="0.4">
      <c r="A76" s="15" t="str">
        <f t="shared" si="1"/>
        <v>cd_imv_out_bensano_construcao</v>
      </c>
      <c r="B76" s="54" t="s">
        <v>27</v>
      </c>
      <c r="C76" s="50" t="s">
        <v>307</v>
      </c>
      <c r="D76" s="46" t="s">
        <v>431</v>
      </c>
      <c r="E76" s="47" t="s">
        <v>310</v>
      </c>
      <c r="F76" s="46" t="s">
        <v>201</v>
      </c>
      <c r="G76" s="48" t="s">
        <v>428</v>
      </c>
      <c r="H76" s="48" t="s">
        <v>428</v>
      </c>
      <c r="I76" s="56"/>
      <c r="J76" s="68" t="s">
        <v>514</v>
      </c>
      <c r="K76" s="68" t="s">
        <v>514</v>
      </c>
      <c r="L76" s="68"/>
    </row>
    <row r="77" spans="1:12" ht="16.2" x14ac:dyDescent="0.4">
      <c r="A77" s="15" t="str">
        <f t="shared" si="1"/>
        <v>cd_imv_out_bensarea_util</v>
      </c>
      <c r="B77" s="54" t="s">
        <v>27</v>
      </c>
      <c r="C77" s="50" t="s">
        <v>307</v>
      </c>
      <c r="D77" s="46" t="s">
        <v>431</v>
      </c>
      <c r="E77" s="47" t="s">
        <v>310</v>
      </c>
      <c r="F77" s="46" t="s">
        <v>200</v>
      </c>
      <c r="G77" s="48" t="s">
        <v>429</v>
      </c>
      <c r="H77" s="48" t="s">
        <v>429</v>
      </c>
      <c r="I77" s="56"/>
      <c r="J77" s="68" t="s">
        <v>514</v>
      </c>
      <c r="K77" s="68" t="s">
        <v>514</v>
      </c>
      <c r="L77" s="68"/>
    </row>
    <row r="78" spans="1:12" ht="16.2" x14ac:dyDescent="0.4">
      <c r="A78" s="15" t="str">
        <f t="shared" si="1"/>
        <v>cd_imv_out_benscempbem</v>
      </c>
      <c r="B78" s="54" t="s">
        <v>27</v>
      </c>
      <c r="C78" s="50" t="s">
        <v>307</v>
      </c>
      <c r="D78" s="46" t="s">
        <v>431</v>
      </c>
      <c r="E78" s="47" t="s">
        <v>310</v>
      </c>
      <c r="F78" s="46" t="s">
        <v>130</v>
      </c>
      <c r="G78" s="48" t="s">
        <v>425</v>
      </c>
      <c r="H78" s="48" t="s">
        <v>425</v>
      </c>
      <c r="I78" s="56"/>
      <c r="J78" s="68" t="s">
        <v>514</v>
      </c>
      <c r="K78" s="68" t="s">
        <v>514</v>
      </c>
      <c r="L78" s="68"/>
    </row>
    <row r="79" spans="1:12" ht="16.2" x14ac:dyDescent="0.4">
      <c r="A79" s="15" t="str">
        <f t="shared" si="1"/>
        <v>cd_imv_out_bensckbalbem</v>
      </c>
      <c r="B79" s="54" t="s">
        <v>27</v>
      </c>
      <c r="C79" s="50" t="s">
        <v>307</v>
      </c>
      <c r="D79" s="46" t="s">
        <v>431</v>
      </c>
      <c r="E79" s="47" t="s">
        <v>310</v>
      </c>
      <c r="F79" s="46" t="s">
        <v>131</v>
      </c>
      <c r="G79" s="48" t="s">
        <v>425</v>
      </c>
      <c r="H79" s="48" t="s">
        <v>425</v>
      </c>
      <c r="I79" s="56"/>
      <c r="J79" s="68" t="s">
        <v>514</v>
      </c>
      <c r="K79" s="68" t="s">
        <v>514</v>
      </c>
      <c r="L79" s="68"/>
    </row>
    <row r="80" spans="1:12" ht="16.2" x14ac:dyDescent="0.4">
      <c r="A80" s="15" t="str">
        <f t="shared" si="1"/>
        <v>cd_imv_out_bensckctabem</v>
      </c>
      <c r="B80" s="54" t="s">
        <v>27</v>
      </c>
      <c r="C80" s="50" t="s">
        <v>307</v>
      </c>
      <c r="D80" s="46" t="s">
        <v>431</v>
      </c>
      <c r="E80" s="47" t="s">
        <v>310</v>
      </c>
      <c r="F80" s="46" t="s">
        <v>132</v>
      </c>
      <c r="G80" s="48" t="s">
        <v>425</v>
      </c>
      <c r="H80" s="48" t="s">
        <v>425</v>
      </c>
      <c r="I80" s="56"/>
      <c r="J80" s="68" t="s">
        <v>514</v>
      </c>
      <c r="K80" s="68" t="s">
        <v>514</v>
      </c>
      <c r="L80" s="68"/>
    </row>
    <row r="81" spans="1:12" ht="16.2" x14ac:dyDescent="0.4">
      <c r="A81" s="15" t="str">
        <f t="shared" si="1"/>
        <v>cd_imv_out_bensckrefbem</v>
      </c>
      <c r="B81" s="54" t="s">
        <v>27</v>
      </c>
      <c r="C81" s="50" t="s">
        <v>307</v>
      </c>
      <c r="D81" s="46" t="s">
        <v>431</v>
      </c>
      <c r="E81" s="47" t="s">
        <v>310</v>
      </c>
      <c r="F81" s="46" t="s">
        <v>133</v>
      </c>
      <c r="G81" s="48" t="s">
        <v>425</v>
      </c>
      <c r="H81" s="48" t="s">
        <v>425</v>
      </c>
      <c r="I81" s="56"/>
      <c r="J81" s="68" t="s">
        <v>514</v>
      </c>
      <c r="K81" s="68" t="s">
        <v>514</v>
      </c>
      <c r="L81" s="68"/>
    </row>
    <row r="82" spans="1:12" ht="16.2" x14ac:dyDescent="0.4">
      <c r="A82" s="15" t="str">
        <f t="shared" si="1"/>
        <v>cd_imv_out_benscod_art_matr</v>
      </c>
      <c r="B82" s="54" t="s">
        <v>27</v>
      </c>
      <c r="C82" s="50" t="s">
        <v>307</v>
      </c>
      <c r="D82" s="46" t="s">
        <v>431</v>
      </c>
      <c r="E82" s="47" t="s">
        <v>310</v>
      </c>
      <c r="F82" s="46" t="s">
        <v>189</v>
      </c>
      <c r="G82" s="48" t="s">
        <v>425</v>
      </c>
      <c r="H82" s="48" t="s">
        <v>425</v>
      </c>
      <c r="I82" s="56"/>
      <c r="J82" s="68" t="s">
        <v>514</v>
      </c>
      <c r="K82" s="68" t="s">
        <v>514</v>
      </c>
      <c r="L82" s="68"/>
    </row>
    <row r="83" spans="1:12" ht="16.2" x14ac:dyDescent="0.4">
      <c r="A83" s="15" t="str">
        <f t="shared" si="1"/>
        <v>cd_imv_out_benscod_avl</v>
      </c>
      <c r="B83" s="54" t="s">
        <v>27</v>
      </c>
      <c r="C83" s="50" t="s">
        <v>307</v>
      </c>
      <c r="D83" s="46" t="s">
        <v>431</v>
      </c>
      <c r="E83" s="47" t="s">
        <v>310</v>
      </c>
      <c r="F83" s="46" t="s">
        <v>195</v>
      </c>
      <c r="G83" s="48" t="s">
        <v>425</v>
      </c>
      <c r="H83" s="48" t="s">
        <v>425</v>
      </c>
      <c r="I83" s="56"/>
      <c r="J83" s="68" t="s">
        <v>514</v>
      </c>
      <c r="K83" s="68" t="s">
        <v>514</v>
      </c>
      <c r="L83" s="68"/>
    </row>
    <row r="84" spans="1:12" ht="16.2" x14ac:dyDescent="0.4">
      <c r="A84" s="15" t="str">
        <f t="shared" si="1"/>
        <v>cd_imv_out_benscod_bem</v>
      </c>
      <c r="B84" s="54" t="s">
        <v>27</v>
      </c>
      <c r="C84" s="50" t="s">
        <v>307</v>
      </c>
      <c r="D84" s="46" t="s">
        <v>431</v>
      </c>
      <c r="E84" s="47" t="s">
        <v>310</v>
      </c>
      <c r="F84" s="46" t="s">
        <v>177</v>
      </c>
      <c r="G84" s="48" t="s">
        <v>426</v>
      </c>
      <c r="H84" s="48" t="s">
        <v>426</v>
      </c>
      <c r="I84" s="56"/>
      <c r="J84" s="68" t="s">
        <v>514</v>
      </c>
      <c r="K84" s="68" t="s">
        <v>514</v>
      </c>
      <c r="L84" s="68"/>
    </row>
    <row r="85" spans="1:12" ht="16.2" x14ac:dyDescent="0.4">
      <c r="A85" s="15" t="str">
        <f t="shared" si="1"/>
        <v>cd_imv_out_benscod_disconf</v>
      </c>
      <c r="B85" s="54" t="s">
        <v>27</v>
      </c>
      <c r="C85" s="50" t="s">
        <v>307</v>
      </c>
      <c r="D85" s="46" t="s">
        <v>431</v>
      </c>
      <c r="E85" s="47" t="s">
        <v>310</v>
      </c>
      <c r="F85" s="46" t="s">
        <v>179</v>
      </c>
      <c r="G85" s="48" t="s">
        <v>425</v>
      </c>
      <c r="H85" s="48" t="s">
        <v>425</v>
      </c>
      <c r="I85" s="56"/>
      <c r="J85" s="68" t="s">
        <v>514</v>
      </c>
      <c r="K85" s="68" t="s">
        <v>514</v>
      </c>
      <c r="L85" s="68"/>
    </row>
    <row r="86" spans="1:12" ht="16.2" x14ac:dyDescent="0.4">
      <c r="A86" s="15" t="str">
        <f t="shared" si="1"/>
        <v>cd_imv_out_benscod_fin_bem</v>
      </c>
      <c r="B86" s="54" t="s">
        <v>27</v>
      </c>
      <c r="C86" s="50" t="s">
        <v>307</v>
      </c>
      <c r="D86" s="46" t="s">
        <v>431</v>
      </c>
      <c r="E86" s="47" t="s">
        <v>310</v>
      </c>
      <c r="F86" s="46" t="s">
        <v>190</v>
      </c>
      <c r="G86" s="48" t="s">
        <v>425</v>
      </c>
      <c r="H86" s="48" t="s">
        <v>425</v>
      </c>
      <c r="I86" s="56"/>
      <c r="J86" s="68" t="s">
        <v>514</v>
      </c>
      <c r="K86" s="68" t="s">
        <v>514</v>
      </c>
      <c r="L86" s="68"/>
    </row>
    <row r="87" spans="1:12" ht="16.2" x14ac:dyDescent="0.4">
      <c r="A87" s="15" t="str">
        <f t="shared" si="1"/>
        <v>cd_imv_out_benscod_idd_pred</v>
      </c>
      <c r="B87" s="54" t="s">
        <v>27</v>
      </c>
      <c r="C87" s="50" t="s">
        <v>307</v>
      </c>
      <c r="D87" s="46" t="s">
        <v>431</v>
      </c>
      <c r="E87" s="47" t="s">
        <v>310</v>
      </c>
      <c r="F87" s="46" t="s">
        <v>187</v>
      </c>
      <c r="G87" s="48" t="s">
        <v>425</v>
      </c>
      <c r="H87" s="48" t="s">
        <v>425</v>
      </c>
      <c r="I87" s="56"/>
      <c r="J87" s="68" t="s">
        <v>514</v>
      </c>
      <c r="K87" s="68" t="s">
        <v>514</v>
      </c>
      <c r="L87" s="68"/>
    </row>
    <row r="88" spans="1:12" ht="16.2" x14ac:dyDescent="0.4">
      <c r="A88" s="15" t="str">
        <f t="shared" si="1"/>
        <v>cd_imv_out_benscod_morada</v>
      </c>
      <c r="B88" s="54" t="s">
        <v>27</v>
      </c>
      <c r="C88" s="50" t="s">
        <v>307</v>
      </c>
      <c r="D88" s="46" t="s">
        <v>431</v>
      </c>
      <c r="E88" s="47" t="s">
        <v>310</v>
      </c>
      <c r="F88" s="46" t="s">
        <v>182</v>
      </c>
      <c r="G88" s="48" t="s">
        <v>425</v>
      </c>
      <c r="H88" s="48" t="s">
        <v>425</v>
      </c>
      <c r="I88" s="56"/>
      <c r="J88" s="68" t="s">
        <v>514</v>
      </c>
      <c r="K88" s="68" t="s">
        <v>514</v>
      </c>
      <c r="L88" s="68"/>
    </row>
    <row r="89" spans="1:12" ht="16.2" x14ac:dyDescent="0.4">
      <c r="A89" s="15" t="str">
        <f t="shared" si="1"/>
        <v>cd_imv_out_benscod_pais</v>
      </c>
      <c r="B89" s="54" t="s">
        <v>27</v>
      </c>
      <c r="C89" s="50" t="s">
        <v>307</v>
      </c>
      <c r="D89" s="46" t="s">
        <v>431</v>
      </c>
      <c r="E89" s="47" t="s">
        <v>310</v>
      </c>
      <c r="F89" s="46" t="s">
        <v>104</v>
      </c>
      <c r="G89" s="48" t="s">
        <v>425</v>
      </c>
      <c r="H89" s="48" t="s">
        <v>425</v>
      </c>
      <c r="I89" s="56"/>
      <c r="J89" s="68" t="s">
        <v>514</v>
      </c>
      <c r="K89" s="68" t="s">
        <v>514</v>
      </c>
      <c r="L89" s="68"/>
    </row>
    <row r="90" spans="1:12" ht="16.2" x14ac:dyDescent="0.4">
      <c r="A90" s="15" t="str">
        <f t="shared" si="1"/>
        <v>cd_imv_out_benscod_post</v>
      </c>
      <c r="B90" s="54" t="s">
        <v>27</v>
      </c>
      <c r="C90" s="50" t="s">
        <v>307</v>
      </c>
      <c r="D90" s="46" t="s">
        <v>431</v>
      </c>
      <c r="E90" s="47" t="s">
        <v>310</v>
      </c>
      <c r="F90" s="46" t="s">
        <v>191</v>
      </c>
      <c r="G90" s="48" t="s">
        <v>425</v>
      </c>
      <c r="H90" s="48" t="s">
        <v>425</v>
      </c>
      <c r="I90" s="56"/>
      <c r="J90" s="68" t="s">
        <v>514</v>
      </c>
      <c r="K90" s="68" t="s">
        <v>514</v>
      </c>
      <c r="L90" s="68"/>
    </row>
    <row r="91" spans="1:12" ht="16.2" x14ac:dyDescent="0.4">
      <c r="A91" s="15" t="str">
        <f t="shared" si="1"/>
        <v>cd_imv_out_benscod_tp_bem</v>
      </c>
      <c r="B91" s="54" t="s">
        <v>27</v>
      </c>
      <c r="C91" s="50" t="s">
        <v>307</v>
      </c>
      <c r="D91" s="46" t="s">
        <v>431</v>
      </c>
      <c r="E91" s="47" t="s">
        <v>310</v>
      </c>
      <c r="F91" s="46" t="s">
        <v>178</v>
      </c>
      <c r="G91" s="48" t="s">
        <v>425</v>
      </c>
      <c r="H91" s="48" t="s">
        <v>425</v>
      </c>
      <c r="I91" s="56"/>
      <c r="J91" s="68" t="s">
        <v>514</v>
      </c>
      <c r="K91" s="68" t="s">
        <v>514</v>
      </c>
      <c r="L91" s="68"/>
    </row>
    <row r="92" spans="1:12" ht="16.2" x14ac:dyDescent="0.4">
      <c r="A92" s="15" t="str">
        <f t="shared" si="1"/>
        <v>cd_imv_out_bensdata_avl</v>
      </c>
      <c r="B92" s="54" t="s">
        <v>27</v>
      </c>
      <c r="C92" s="50" t="s">
        <v>307</v>
      </c>
      <c r="D92" s="46" t="s">
        <v>431</v>
      </c>
      <c r="E92" s="47" t="s">
        <v>310</v>
      </c>
      <c r="F92" s="46" t="s">
        <v>193</v>
      </c>
      <c r="G92" s="48" t="s">
        <v>425</v>
      </c>
      <c r="H92" s="48" t="s">
        <v>425</v>
      </c>
      <c r="I92" s="56"/>
      <c r="J92" s="68" t="s">
        <v>514</v>
      </c>
      <c r="K92" s="68" t="s">
        <v>514</v>
      </c>
      <c r="L92" s="68"/>
    </row>
    <row r="93" spans="1:12" ht="16.2" x14ac:dyDescent="0.4">
      <c r="A93" s="15" t="str">
        <f t="shared" si="1"/>
        <v>cd_imv_out_bensdata_lic_util</v>
      </c>
      <c r="B93" s="54" t="s">
        <v>27</v>
      </c>
      <c r="C93" s="50" t="s">
        <v>307</v>
      </c>
      <c r="D93" s="46" t="s">
        <v>431</v>
      </c>
      <c r="E93" s="47" t="s">
        <v>310</v>
      </c>
      <c r="F93" s="46" t="s">
        <v>199</v>
      </c>
      <c r="G93" s="48" t="s">
        <v>425</v>
      </c>
      <c r="H93" s="48" t="s">
        <v>425</v>
      </c>
      <c r="I93" s="56"/>
      <c r="J93" s="68" t="s">
        <v>514</v>
      </c>
      <c r="K93" s="68" t="s">
        <v>514</v>
      </c>
      <c r="L93" s="68"/>
    </row>
    <row r="94" spans="1:12" ht="16.2" x14ac:dyDescent="0.4">
      <c r="A94" s="15" t="str">
        <f t="shared" si="1"/>
        <v>cd_imv_out_bensficha</v>
      </c>
      <c r="B94" s="54" t="s">
        <v>27</v>
      </c>
      <c r="C94" s="50" t="s">
        <v>307</v>
      </c>
      <c r="D94" s="46" t="s">
        <v>431</v>
      </c>
      <c r="E94" s="47" t="s">
        <v>310</v>
      </c>
      <c r="F94" s="46" t="s">
        <v>196</v>
      </c>
      <c r="G94" s="48" t="s">
        <v>425</v>
      </c>
      <c r="H94" s="48" t="s">
        <v>425</v>
      </c>
      <c r="I94" s="56"/>
      <c r="J94" s="68" t="s">
        <v>514</v>
      </c>
      <c r="K94" s="68" t="s">
        <v>514</v>
      </c>
      <c r="L94" s="68"/>
    </row>
    <row r="95" spans="1:12" ht="16.2" x14ac:dyDescent="0.4">
      <c r="A95" s="15" t="str">
        <f t="shared" si="1"/>
        <v>cd_imv_out_bensid_frac</v>
      </c>
      <c r="B95" s="54" t="s">
        <v>27</v>
      </c>
      <c r="C95" s="50" t="s">
        <v>307</v>
      </c>
      <c r="D95" s="46" t="s">
        <v>431</v>
      </c>
      <c r="E95" s="47" t="s">
        <v>310</v>
      </c>
      <c r="F95" s="46" t="s">
        <v>186</v>
      </c>
      <c r="G95" s="48" t="s">
        <v>425</v>
      </c>
      <c r="H95" s="48" t="s">
        <v>425</v>
      </c>
      <c r="I95" s="56"/>
      <c r="J95" s="68" t="s">
        <v>514</v>
      </c>
      <c r="K95" s="68" t="s">
        <v>514</v>
      </c>
      <c r="L95" s="68"/>
    </row>
    <row r="96" spans="1:12" ht="16.2" x14ac:dyDescent="0.4">
      <c r="A96" s="15" t="str">
        <f t="shared" si="1"/>
        <v>cd_imv_out_benslocalid</v>
      </c>
      <c r="B96" s="54" t="s">
        <v>27</v>
      </c>
      <c r="C96" s="50" t="s">
        <v>307</v>
      </c>
      <c r="D96" s="46" t="s">
        <v>431</v>
      </c>
      <c r="E96" s="47" t="s">
        <v>310</v>
      </c>
      <c r="F96" s="46" t="s">
        <v>180</v>
      </c>
      <c r="G96" s="48" t="s">
        <v>425</v>
      </c>
      <c r="H96" s="48" t="s">
        <v>425</v>
      </c>
      <c r="I96" s="56"/>
      <c r="J96" s="68" t="s">
        <v>514</v>
      </c>
      <c r="K96" s="68" t="s">
        <v>514</v>
      </c>
      <c r="L96" s="68"/>
    </row>
    <row r="97" spans="1:12" ht="16.2" x14ac:dyDescent="0.4">
      <c r="A97" s="15" t="str">
        <f t="shared" si="1"/>
        <v>cd_imv_out_benslote</v>
      </c>
      <c r="B97" s="54" t="s">
        <v>27</v>
      </c>
      <c r="C97" s="50" t="s">
        <v>307</v>
      </c>
      <c r="D97" s="46" t="s">
        <v>431</v>
      </c>
      <c r="E97" s="47" t="s">
        <v>310</v>
      </c>
      <c r="F97" s="46" t="s">
        <v>185</v>
      </c>
      <c r="G97" s="48" t="s">
        <v>425</v>
      </c>
      <c r="H97" s="48" t="s">
        <v>425</v>
      </c>
      <c r="I97" s="56"/>
      <c r="J97" s="68" t="s">
        <v>514</v>
      </c>
      <c r="K97" s="68" t="s">
        <v>514</v>
      </c>
      <c r="L97" s="68"/>
    </row>
    <row r="98" spans="1:12" ht="16.2" x14ac:dyDescent="0.4">
      <c r="A98" s="15" t="str">
        <f t="shared" si="1"/>
        <v>cd_imv_out_bensmontante_avl</v>
      </c>
      <c r="B98" s="54" t="s">
        <v>27</v>
      </c>
      <c r="C98" s="50" t="s">
        <v>307</v>
      </c>
      <c r="D98" s="46" t="s">
        <v>431</v>
      </c>
      <c r="E98" s="47" t="s">
        <v>310</v>
      </c>
      <c r="F98" s="46" t="s">
        <v>192</v>
      </c>
      <c r="G98" s="48" t="s">
        <v>425</v>
      </c>
      <c r="H98" s="48" t="s">
        <v>425</v>
      </c>
      <c r="I98" s="56"/>
      <c r="J98" s="68" t="s">
        <v>514</v>
      </c>
      <c r="K98" s="68" t="s">
        <v>514</v>
      </c>
      <c r="L98" s="68"/>
    </row>
    <row r="99" spans="1:12" ht="16.2" x14ac:dyDescent="0.4">
      <c r="A99" s="15" t="str">
        <f t="shared" si="1"/>
        <v>cd_imv_out_bensmontante_avl_dist</v>
      </c>
      <c r="B99" s="54" t="s">
        <v>27</v>
      </c>
      <c r="C99" s="50" t="s">
        <v>307</v>
      </c>
      <c r="D99" s="46" t="s">
        <v>431</v>
      </c>
      <c r="E99" s="47" t="s">
        <v>310</v>
      </c>
      <c r="F99" s="46" t="s">
        <v>194</v>
      </c>
      <c r="G99" s="48" t="s">
        <v>425</v>
      </c>
      <c r="H99" s="48" t="s">
        <v>425</v>
      </c>
      <c r="I99" s="56"/>
      <c r="J99" s="68" t="s">
        <v>514</v>
      </c>
      <c r="K99" s="68" t="s">
        <v>514</v>
      </c>
      <c r="L99" s="68"/>
    </row>
    <row r="100" spans="1:12" ht="16.2" x14ac:dyDescent="0.4">
      <c r="A100" s="15" t="str">
        <f t="shared" si="1"/>
        <v>cd_imv_out_bensmontante_vnd_rap</v>
      </c>
      <c r="B100" s="54" t="s">
        <v>27</v>
      </c>
      <c r="C100" s="50" t="s">
        <v>307</v>
      </c>
      <c r="D100" s="46" t="s">
        <v>431</v>
      </c>
      <c r="E100" s="47" t="s">
        <v>310</v>
      </c>
      <c r="F100" s="46" t="s">
        <v>197</v>
      </c>
      <c r="G100" s="48" t="s">
        <v>425</v>
      </c>
      <c r="H100" s="48" t="s">
        <v>425</v>
      </c>
      <c r="I100" s="56"/>
      <c r="J100" s="68" t="s">
        <v>514</v>
      </c>
      <c r="K100" s="68" t="s">
        <v>514</v>
      </c>
      <c r="L100" s="68"/>
    </row>
    <row r="101" spans="1:12" ht="16.2" x14ac:dyDescent="0.4">
      <c r="A101" s="15" t="str">
        <f t="shared" si="1"/>
        <v>cd_imv_out_bensmorada</v>
      </c>
      <c r="B101" s="54" t="s">
        <v>27</v>
      </c>
      <c r="C101" s="50" t="s">
        <v>307</v>
      </c>
      <c r="D101" s="46" t="s">
        <v>431</v>
      </c>
      <c r="E101" s="47" t="s">
        <v>310</v>
      </c>
      <c r="F101" s="46" t="s">
        <v>183</v>
      </c>
      <c r="G101" s="48" t="s">
        <v>425</v>
      </c>
      <c r="H101" s="48" t="s">
        <v>425</v>
      </c>
      <c r="I101" s="56"/>
      <c r="J101" s="68" t="s">
        <v>514</v>
      </c>
      <c r="K101" s="68" t="s">
        <v>514</v>
      </c>
      <c r="L101" s="68"/>
    </row>
    <row r="102" spans="1:12" ht="16.2" x14ac:dyDescent="0.4">
      <c r="A102" s="15" t="str">
        <f t="shared" si="1"/>
        <v>cd_imv_out_bensnum</v>
      </c>
      <c r="B102" s="54" t="s">
        <v>27</v>
      </c>
      <c r="C102" s="50" t="s">
        <v>307</v>
      </c>
      <c r="D102" s="46" t="s">
        <v>431</v>
      </c>
      <c r="E102" s="47" t="s">
        <v>310</v>
      </c>
      <c r="F102" s="46" t="s">
        <v>184</v>
      </c>
      <c r="G102" s="48" t="s">
        <v>425</v>
      </c>
      <c r="H102" s="48" t="s">
        <v>425</v>
      </c>
      <c r="I102" s="56"/>
      <c r="J102" s="68" t="s">
        <v>514</v>
      </c>
      <c r="K102" s="68" t="s">
        <v>514</v>
      </c>
      <c r="L102" s="68"/>
    </row>
    <row r="103" spans="1:12" ht="16.2" x14ac:dyDescent="0.4">
      <c r="A103" s="15" t="str">
        <f t="shared" si="1"/>
        <v>cd_imv_out_bensorigem</v>
      </c>
      <c r="B103" s="54" t="s">
        <v>27</v>
      </c>
      <c r="C103" s="50" t="s">
        <v>307</v>
      </c>
      <c r="D103" s="46" t="s">
        <v>431</v>
      </c>
      <c r="E103" s="47" t="s">
        <v>310</v>
      </c>
      <c r="F103" s="46" t="s">
        <v>159</v>
      </c>
      <c r="G103" s="48" t="s">
        <v>425</v>
      </c>
      <c r="H103" s="48" t="s">
        <v>425</v>
      </c>
      <c r="I103" s="56"/>
      <c r="J103" s="68" t="s">
        <v>514</v>
      </c>
      <c r="K103" s="68" t="s">
        <v>514</v>
      </c>
      <c r="L103" s="68"/>
    </row>
    <row r="104" spans="1:12" ht="16.2" x14ac:dyDescent="0.4">
      <c r="A104" s="15" t="str">
        <f t="shared" si="1"/>
        <v>cd_imv_out_bensperc_obra</v>
      </c>
      <c r="B104" s="54" t="s">
        <v>27</v>
      </c>
      <c r="C104" s="50" t="s">
        <v>307</v>
      </c>
      <c r="D104" s="46" t="s">
        <v>431</v>
      </c>
      <c r="E104" s="47" t="s">
        <v>310</v>
      </c>
      <c r="F104" s="46" t="s">
        <v>188</v>
      </c>
      <c r="G104" s="48" t="s">
        <v>429</v>
      </c>
      <c r="H104" s="48" t="s">
        <v>427</v>
      </c>
      <c r="I104" s="56" t="s">
        <v>516</v>
      </c>
      <c r="J104" s="68">
        <v>45491</v>
      </c>
      <c r="K104" s="68">
        <v>45495</v>
      </c>
      <c r="L104" s="68">
        <v>45495</v>
      </c>
    </row>
    <row r="105" spans="1:12" ht="16.2" x14ac:dyDescent="0.4">
      <c r="A105" s="15" t="str">
        <f t="shared" si="1"/>
        <v>cd_imv_out_bensprealcons</v>
      </c>
      <c r="B105" s="54" t="s">
        <v>27</v>
      </c>
      <c r="C105" s="50" t="s">
        <v>307</v>
      </c>
      <c r="D105" s="46" t="s">
        <v>431</v>
      </c>
      <c r="E105" s="47" t="s">
        <v>310</v>
      </c>
      <c r="F105" s="46" t="s">
        <v>198</v>
      </c>
      <c r="G105" s="48" t="s">
        <v>429</v>
      </c>
      <c r="H105" s="48" t="s">
        <v>427</v>
      </c>
      <c r="I105" s="56" t="s">
        <v>516</v>
      </c>
      <c r="J105" s="68">
        <v>45491</v>
      </c>
      <c r="K105" s="68">
        <v>45495</v>
      </c>
      <c r="L105" s="68">
        <v>45495</v>
      </c>
    </row>
    <row r="106" spans="1:12" ht="16.2" x14ac:dyDescent="0.4">
      <c r="A106" s="15" t="str">
        <f t="shared" si="1"/>
        <v>cd_imv_out_bensref_date</v>
      </c>
      <c r="B106" s="54" t="s">
        <v>27</v>
      </c>
      <c r="C106" s="50" t="s">
        <v>307</v>
      </c>
      <c r="D106" s="46" t="s">
        <v>431</v>
      </c>
      <c r="E106" s="47" t="s">
        <v>310</v>
      </c>
      <c r="F106" s="46" t="s">
        <v>44</v>
      </c>
      <c r="G106" s="48" t="s">
        <v>425</v>
      </c>
      <c r="H106" s="48" t="s">
        <v>425</v>
      </c>
      <c r="I106" s="56"/>
      <c r="J106" s="68" t="s">
        <v>514</v>
      </c>
      <c r="K106" s="68" t="s">
        <v>514</v>
      </c>
      <c r="L106" s="68"/>
    </row>
    <row r="107" spans="1:12" ht="16.2" x14ac:dyDescent="0.4">
      <c r="A107" s="15" t="str">
        <f t="shared" si="1"/>
        <v>cd_imv_out_bensurbaniz</v>
      </c>
      <c r="B107" s="54" t="s">
        <v>27</v>
      </c>
      <c r="C107" s="50" t="s">
        <v>307</v>
      </c>
      <c r="D107" s="46" t="s">
        <v>431</v>
      </c>
      <c r="E107" s="47" t="s">
        <v>310</v>
      </c>
      <c r="F107" s="46" t="s">
        <v>181</v>
      </c>
      <c r="G107" s="48" t="s">
        <v>425</v>
      </c>
      <c r="H107" s="48" t="s">
        <v>425</v>
      </c>
      <c r="I107" s="56"/>
      <c r="J107" s="68" t="s">
        <v>514</v>
      </c>
      <c r="K107" s="68" t="s">
        <v>514</v>
      </c>
      <c r="L107" s="68"/>
    </row>
    <row r="108" spans="1:12" ht="16.2" x14ac:dyDescent="0.4">
      <c r="A108" s="15" t="str">
        <f t="shared" si="1"/>
        <v>cd_imv_out_certifn.a.</v>
      </c>
      <c r="B108" s="54" t="s">
        <v>27</v>
      </c>
      <c r="C108" s="50" t="s">
        <v>307</v>
      </c>
      <c r="D108" s="46" t="s">
        <v>430</v>
      </c>
      <c r="E108" s="47" t="s">
        <v>311</v>
      </c>
      <c r="F108" s="46" t="s">
        <v>7</v>
      </c>
      <c r="G108" s="48" t="s">
        <v>429</v>
      </c>
      <c r="H108" s="48" t="s">
        <v>429</v>
      </c>
      <c r="I108" s="56"/>
      <c r="J108" s="68" t="s">
        <v>514</v>
      </c>
      <c r="K108" s="68" t="s">
        <v>514</v>
      </c>
      <c r="L108" s="68"/>
    </row>
    <row r="109" spans="1:12" ht="16.2" x14ac:dyDescent="0.4">
      <c r="A109" s="15" t="str">
        <f t="shared" si="1"/>
        <v>cd_imv_out_certifcempbem</v>
      </c>
      <c r="B109" s="54" t="s">
        <v>27</v>
      </c>
      <c r="C109" s="50" t="s">
        <v>307</v>
      </c>
      <c r="D109" s="46" t="s">
        <v>431</v>
      </c>
      <c r="E109" s="47" t="s">
        <v>311</v>
      </c>
      <c r="F109" s="46" t="s">
        <v>130</v>
      </c>
      <c r="G109" s="48" t="s">
        <v>429</v>
      </c>
      <c r="H109" s="48" t="s">
        <v>429</v>
      </c>
      <c r="I109" s="56"/>
      <c r="J109" s="68" t="s">
        <v>514</v>
      </c>
      <c r="K109" s="68" t="s">
        <v>514</v>
      </c>
      <c r="L109" s="68"/>
    </row>
    <row r="110" spans="1:12" ht="16.2" x14ac:dyDescent="0.4">
      <c r="A110" s="15" t="str">
        <f t="shared" si="1"/>
        <v>cd_imv_out_certifckbalbem</v>
      </c>
      <c r="B110" s="54" t="s">
        <v>27</v>
      </c>
      <c r="C110" s="50" t="s">
        <v>307</v>
      </c>
      <c r="D110" s="46" t="s">
        <v>431</v>
      </c>
      <c r="E110" s="47" t="s">
        <v>311</v>
      </c>
      <c r="F110" s="46" t="s">
        <v>131</v>
      </c>
      <c r="G110" s="48" t="s">
        <v>429</v>
      </c>
      <c r="H110" s="48" t="s">
        <v>429</v>
      </c>
      <c r="I110" s="56"/>
      <c r="J110" s="68" t="s">
        <v>514</v>
      </c>
      <c r="K110" s="68" t="s">
        <v>514</v>
      </c>
      <c r="L110" s="68"/>
    </row>
    <row r="111" spans="1:12" ht="16.2" x14ac:dyDescent="0.4">
      <c r="A111" s="15" t="str">
        <f t="shared" si="1"/>
        <v>cd_imv_out_certifckctabem</v>
      </c>
      <c r="B111" s="54" t="s">
        <v>27</v>
      </c>
      <c r="C111" s="50" t="s">
        <v>307</v>
      </c>
      <c r="D111" s="46" t="s">
        <v>431</v>
      </c>
      <c r="E111" s="47" t="s">
        <v>311</v>
      </c>
      <c r="F111" s="46" t="s">
        <v>132</v>
      </c>
      <c r="G111" s="48" t="s">
        <v>429</v>
      </c>
      <c r="H111" s="48" t="s">
        <v>429</v>
      </c>
      <c r="I111" s="56"/>
      <c r="J111" s="68" t="s">
        <v>514</v>
      </c>
      <c r="K111" s="68" t="s">
        <v>514</v>
      </c>
      <c r="L111" s="68"/>
    </row>
    <row r="112" spans="1:12" ht="16.2" x14ac:dyDescent="0.4">
      <c r="A112" s="15" t="str">
        <f t="shared" si="1"/>
        <v>cd_imv_out_certifckrefbem</v>
      </c>
      <c r="B112" s="54" t="s">
        <v>27</v>
      </c>
      <c r="C112" s="50" t="s">
        <v>307</v>
      </c>
      <c r="D112" s="46" t="s">
        <v>431</v>
      </c>
      <c r="E112" s="47" t="s">
        <v>311</v>
      </c>
      <c r="F112" s="46" t="s">
        <v>133</v>
      </c>
      <c r="G112" s="48" t="s">
        <v>429</v>
      </c>
      <c r="H112" s="48" t="s">
        <v>429</v>
      </c>
      <c r="I112" s="56"/>
      <c r="J112" s="68" t="s">
        <v>514</v>
      </c>
      <c r="K112" s="68" t="s">
        <v>514</v>
      </c>
      <c r="L112" s="68"/>
    </row>
    <row r="113" spans="1:12" ht="16.2" x14ac:dyDescent="0.4">
      <c r="A113" s="15" t="str">
        <f t="shared" si="1"/>
        <v>cd_imv_out_certifcod_cnsrvtr_rgst_prdl</v>
      </c>
      <c r="B113" s="54" t="s">
        <v>27</v>
      </c>
      <c r="C113" s="50" t="s">
        <v>307</v>
      </c>
      <c r="D113" s="46" t="s">
        <v>431</v>
      </c>
      <c r="E113" s="47" t="s">
        <v>311</v>
      </c>
      <c r="F113" s="46" t="s">
        <v>209</v>
      </c>
      <c r="G113" s="48" t="s">
        <v>429</v>
      </c>
      <c r="H113" s="48" t="s">
        <v>429</v>
      </c>
      <c r="I113" s="56"/>
      <c r="J113" s="68" t="s">
        <v>514</v>
      </c>
      <c r="K113" s="68" t="s">
        <v>514</v>
      </c>
      <c r="L113" s="68"/>
    </row>
    <row r="114" spans="1:12" ht="16.2" x14ac:dyDescent="0.4">
      <c r="A114" s="15" t="str">
        <f t="shared" si="1"/>
        <v>cd_imv_out_certifcod_inscrc</v>
      </c>
      <c r="B114" s="54" t="s">
        <v>27</v>
      </c>
      <c r="C114" s="50" t="s">
        <v>307</v>
      </c>
      <c r="D114" s="46" t="s">
        <v>431</v>
      </c>
      <c r="E114" s="47" t="s">
        <v>311</v>
      </c>
      <c r="F114" s="46" t="s">
        <v>210</v>
      </c>
      <c r="G114" s="48" t="s">
        <v>429</v>
      </c>
      <c r="H114" s="48" t="s">
        <v>429</v>
      </c>
      <c r="I114" s="56"/>
      <c r="J114" s="68" t="s">
        <v>514</v>
      </c>
      <c r="K114" s="68" t="s">
        <v>514</v>
      </c>
      <c r="L114" s="68"/>
    </row>
    <row r="115" spans="1:12" ht="16.2" x14ac:dyDescent="0.4">
      <c r="A115" s="15" t="str">
        <f t="shared" si="1"/>
        <v>cd_imv_out_certifcod_sce</v>
      </c>
      <c r="B115" s="54" t="s">
        <v>27</v>
      </c>
      <c r="C115" s="50" t="s">
        <v>307</v>
      </c>
      <c r="D115" s="46" t="s">
        <v>431</v>
      </c>
      <c r="E115" s="47" t="s">
        <v>311</v>
      </c>
      <c r="F115" s="46" t="s">
        <v>208</v>
      </c>
      <c r="G115" s="48" t="s">
        <v>429</v>
      </c>
      <c r="H115" s="48" t="s">
        <v>429</v>
      </c>
      <c r="I115" s="56"/>
      <c r="J115" s="68" t="s">
        <v>514</v>
      </c>
      <c r="K115" s="68" t="s">
        <v>514</v>
      </c>
      <c r="L115" s="68"/>
    </row>
    <row r="116" spans="1:12" ht="16.2" x14ac:dyDescent="0.4">
      <c r="A116" s="15" t="str">
        <f t="shared" si="1"/>
        <v>cd_imv_out_certifdata_epc</v>
      </c>
      <c r="B116" s="54" t="s">
        <v>27</v>
      </c>
      <c r="C116" s="50" t="s">
        <v>307</v>
      </c>
      <c r="D116" s="46" t="s">
        <v>431</v>
      </c>
      <c r="E116" s="47" t="s">
        <v>311</v>
      </c>
      <c r="F116" s="46" t="s">
        <v>202</v>
      </c>
      <c r="G116" s="48" t="s">
        <v>429</v>
      </c>
      <c r="H116" s="48" t="s">
        <v>429</v>
      </c>
      <c r="I116" s="56"/>
      <c r="J116" s="68" t="s">
        <v>514</v>
      </c>
      <c r="K116" s="68" t="s">
        <v>514</v>
      </c>
      <c r="L116" s="68"/>
    </row>
    <row r="117" spans="1:12" ht="16.2" x14ac:dyDescent="0.4">
      <c r="A117" s="15" t="str">
        <f t="shared" si="1"/>
        <v>cd_imv_out_certifdata_exprc_epc</v>
      </c>
      <c r="B117" s="54" t="s">
        <v>27</v>
      </c>
      <c r="C117" s="50" t="s">
        <v>307</v>
      </c>
      <c r="D117" s="46" t="s">
        <v>431</v>
      </c>
      <c r="E117" s="47" t="s">
        <v>311</v>
      </c>
      <c r="F117" s="46" t="s">
        <v>203</v>
      </c>
      <c r="G117" s="48" t="s">
        <v>429</v>
      </c>
      <c r="H117" s="48" t="s">
        <v>429</v>
      </c>
      <c r="I117" s="56"/>
      <c r="J117" s="68" t="s">
        <v>514</v>
      </c>
      <c r="K117" s="68" t="s">
        <v>514</v>
      </c>
      <c r="L117" s="68"/>
    </row>
    <row r="118" spans="1:12" ht="16.2" x14ac:dyDescent="0.4">
      <c r="A118" s="15" t="str">
        <f t="shared" si="1"/>
        <v>cd_imv_out_certifepc</v>
      </c>
      <c r="B118" s="54" t="s">
        <v>27</v>
      </c>
      <c r="C118" s="50" t="s">
        <v>307</v>
      </c>
      <c r="D118" s="46" t="s">
        <v>431</v>
      </c>
      <c r="E118" s="47" t="s">
        <v>311</v>
      </c>
      <c r="F118" s="46" t="s">
        <v>127</v>
      </c>
      <c r="G118" s="48" t="s">
        <v>429</v>
      </c>
      <c r="H118" s="48" t="s">
        <v>429</v>
      </c>
      <c r="I118" s="56"/>
      <c r="J118" s="68" t="s">
        <v>514</v>
      </c>
      <c r="K118" s="68" t="s">
        <v>514</v>
      </c>
      <c r="L118" s="68"/>
    </row>
    <row r="119" spans="1:12" ht="16.2" x14ac:dyDescent="0.4">
      <c r="A119" s="15" t="str">
        <f t="shared" si="1"/>
        <v>cd_imv_out_certifflg_efcc_enrg_cnsm_tp_s</v>
      </c>
      <c r="B119" s="54" t="s">
        <v>27</v>
      </c>
      <c r="C119" s="50" t="s">
        <v>307</v>
      </c>
      <c r="D119" s="46" t="s">
        <v>431</v>
      </c>
      <c r="E119" s="47" t="s">
        <v>311</v>
      </c>
      <c r="F119" s="46" t="s">
        <v>229</v>
      </c>
      <c r="G119" s="48" t="s">
        <v>429</v>
      </c>
      <c r="H119" s="48" t="s">
        <v>429</v>
      </c>
      <c r="I119" s="56"/>
      <c r="J119" s="68" t="s">
        <v>514</v>
      </c>
      <c r="K119" s="68" t="s">
        <v>514</v>
      </c>
      <c r="L119" s="68"/>
    </row>
    <row r="120" spans="1:12" ht="16.2" x14ac:dyDescent="0.4">
      <c r="A120" s="15" t="str">
        <f t="shared" si="1"/>
        <v>cd_imv_out_certifflg_efcnc_enrg_cnsm_tp_t</v>
      </c>
      <c r="B120" s="54" t="s">
        <v>27</v>
      </c>
      <c r="C120" s="50" t="s">
        <v>307</v>
      </c>
      <c r="D120" s="46" t="s">
        <v>431</v>
      </c>
      <c r="E120" s="47" t="s">
        <v>311</v>
      </c>
      <c r="F120" s="46" t="s">
        <v>230</v>
      </c>
      <c r="G120" s="48" t="s">
        <v>429</v>
      </c>
      <c r="H120" s="48" t="s">
        <v>429</v>
      </c>
      <c r="I120" s="56"/>
      <c r="J120" s="68" t="s">
        <v>514</v>
      </c>
      <c r="K120" s="68" t="s">
        <v>514</v>
      </c>
      <c r="L120" s="68"/>
    </row>
    <row r="121" spans="1:12" ht="16.2" x14ac:dyDescent="0.4">
      <c r="A121" s="15" t="str">
        <f t="shared" si="1"/>
        <v>cd_imv_out_certifflg_efcnc_enrgtc</v>
      </c>
      <c r="B121" s="54" t="s">
        <v>27</v>
      </c>
      <c r="C121" s="50" t="s">
        <v>307</v>
      </c>
      <c r="D121" s="46" t="s">
        <v>431</v>
      </c>
      <c r="E121" s="47" t="s">
        <v>311</v>
      </c>
      <c r="F121" s="46" t="s">
        <v>228</v>
      </c>
      <c r="G121" s="48" t="s">
        <v>429</v>
      </c>
      <c r="H121" s="48" t="s">
        <v>429</v>
      </c>
      <c r="I121" s="56"/>
      <c r="J121" s="68" t="s">
        <v>514</v>
      </c>
      <c r="K121" s="68" t="s">
        <v>514</v>
      </c>
      <c r="L121" s="68"/>
    </row>
    <row r="122" spans="1:12" ht="16.2" x14ac:dyDescent="0.4">
      <c r="A122" s="15" t="str">
        <f t="shared" si="1"/>
        <v>cd_imv_out_certifflg_efcnc_enrgtc_rnvv</v>
      </c>
      <c r="B122" s="54" t="s">
        <v>27</v>
      </c>
      <c r="C122" s="50" t="s">
        <v>307</v>
      </c>
      <c r="D122" s="46" t="s">
        <v>431</v>
      </c>
      <c r="E122" s="47" t="s">
        <v>311</v>
      </c>
      <c r="F122" s="46" t="s">
        <v>231</v>
      </c>
      <c r="G122" s="48" t="s">
        <v>429</v>
      </c>
      <c r="H122" s="48" t="s">
        <v>429</v>
      </c>
      <c r="I122" s="56"/>
      <c r="J122" s="68" t="s">
        <v>514</v>
      </c>
      <c r="K122" s="68" t="s">
        <v>514</v>
      </c>
      <c r="L122" s="68"/>
    </row>
    <row r="123" spans="1:12" ht="16.2" x14ac:dyDescent="0.4">
      <c r="A123" s="15" t="str">
        <f t="shared" si="1"/>
        <v>cd_imv_out_certifflg_nzeb</v>
      </c>
      <c r="B123" s="54" t="s">
        <v>27</v>
      </c>
      <c r="C123" s="50" t="s">
        <v>307</v>
      </c>
      <c r="D123" s="46" t="s">
        <v>431</v>
      </c>
      <c r="E123" s="47" t="s">
        <v>311</v>
      </c>
      <c r="F123" s="46" t="s">
        <v>205</v>
      </c>
      <c r="G123" s="48" t="s">
        <v>429</v>
      </c>
      <c r="H123" s="48" t="s">
        <v>429</v>
      </c>
      <c r="I123" s="56"/>
      <c r="J123" s="68" t="s">
        <v>514</v>
      </c>
      <c r="K123" s="68" t="s">
        <v>514</v>
      </c>
      <c r="L123" s="68"/>
    </row>
    <row r="124" spans="1:12" ht="16.2" x14ac:dyDescent="0.4">
      <c r="A124" s="15" t="str">
        <f t="shared" si="1"/>
        <v>cd_imv_out_certifmetodo_info</v>
      </c>
      <c r="B124" s="54" t="s">
        <v>27</v>
      </c>
      <c r="C124" s="50" t="s">
        <v>307</v>
      </c>
      <c r="D124" s="46" t="s">
        <v>431</v>
      </c>
      <c r="E124" s="47" t="s">
        <v>311</v>
      </c>
      <c r="F124" s="46" t="s">
        <v>176</v>
      </c>
      <c r="G124" s="48" t="s">
        <v>429</v>
      </c>
      <c r="H124" s="48" t="s">
        <v>429</v>
      </c>
      <c r="I124" s="56"/>
      <c r="J124" s="68" t="s">
        <v>514</v>
      </c>
      <c r="K124" s="68" t="s">
        <v>514</v>
      </c>
      <c r="L124" s="68"/>
    </row>
    <row r="125" spans="1:12" ht="16.2" x14ac:dyDescent="0.4">
      <c r="A125" s="15" t="str">
        <f t="shared" si="1"/>
        <v>cd_imv_out_certifnvl_efcc_enrg</v>
      </c>
      <c r="B125" s="54" t="s">
        <v>27</v>
      </c>
      <c r="C125" s="50" t="s">
        <v>307</v>
      </c>
      <c r="D125" s="46" t="s">
        <v>431</v>
      </c>
      <c r="E125" s="47" t="s">
        <v>311</v>
      </c>
      <c r="F125" s="46" t="s">
        <v>206</v>
      </c>
      <c r="G125" s="48" t="s">
        <v>429</v>
      </c>
      <c r="H125" s="48" t="s">
        <v>429</v>
      </c>
      <c r="I125" s="56"/>
      <c r="J125" s="68" t="s">
        <v>514</v>
      </c>
      <c r="K125" s="68" t="s">
        <v>514</v>
      </c>
      <c r="L125" s="68"/>
    </row>
    <row r="126" spans="1:12" ht="16.2" x14ac:dyDescent="0.4">
      <c r="A126" s="15" t="str">
        <f t="shared" si="1"/>
        <v>cd_imv_out_certiforigem</v>
      </c>
      <c r="B126" s="54" t="s">
        <v>27</v>
      </c>
      <c r="C126" s="50" t="s">
        <v>307</v>
      </c>
      <c r="D126" s="46" t="s">
        <v>431</v>
      </c>
      <c r="E126" s="47" t="s">
        <v>311</v>
      </c>
      <c r="F126" s="46" t="s">
        <v>159</v>
      </c>
      <c r="G126" s="48" t="s">
        <v>429</v>
      </c>
      <c r="H126" s="48" t="s">
        <v>429</v>
      </c>
      <c r="I126" s="56"/>
      <c r="J126" s="68" t="s">
        <v>514</v>
      </c>
      <c r="K126" s="68" t="s">
        <v>514</v>
      </c>
      <c r="L126" s="68"/>
    </row>
    <row r="127" spans="1:12" ht="16.2" x14ac:dyDescent="0.4">
      <c r="A127" s="15" t="str">
        <f t="shared" si="1"/>
        <v>cd_imv_out_certifref_date</v>
      </c>
      <c r="B127" s="54" t="s">
        <v>27</v>
      </c>
      <c r="C127" s="50" t="s">
        <v>307</v>
      </c>
      <c r="D127" s="46" t="s">
        <v>431</v>
      </c>
      <c r="E127" s="47" t="s">
        <v>311</v>
      </c>
      <c r="F127" s="46" t="s">
        <v>44</v>
      </c>
      <c r="G127" s="48" t="s">
        <v>429</v>
      </c>
      <c r="H127" s="48" t="s">
        <v>429</v>
      </c>
      <c r="I127" s="56"/>
      <c r="J127" s="68" t="s">
        <v>514</v>
      </c>
      <c r="K127" s="68" t="s">
        <v>514</v>
      </c>
      <c r="L127" s="68"/>
    </row>
    <row r="128" spans="1:12" ht="16.2" x14ac:dyDescent="0.4">
      <c r="A128" s="15" t="str">
        <f t="shared" si="1"/>
        <v>cd_imv_out_certiftp_crtfcd</v>
      </c>
      <c r="B128" s="54" t="s">
        <v>27</v>
      </c>
      <c r="C128" s="50" t="s">
        <v>307</v>
      </c>
      <c r="D128" s="46" t="s">
        <v>431</v>
      </c>
      <c r="E128" s="47" t="s">
        <v>311</v>
      </c>
      <c r="F128" s="46" t="s">
        <v>207</v>
      </c>
      <c r="G128" s="48" t="s">
        <v>429</v>
      </c>
      <c r="H128" s="48" t="s">
        <v>429</v>
      </c>
      <c r="I128" s="56"/>
      <c r="J128" s="68" t="s">
        <v>514</v>
      </c>
      <c r="K128" s="68" t="s">
        <v>514</v>
      </c>
      <c r="L128" s="68"/>
    </row>
    <row r="129" spans="1:12" ht="16.2" x14ac:dyDescent="0.4">
      <c r="A129" s="15" t="str">
        <f t="shared" si="1"/>
        <v>cd_imv_out_certifvlr_agua_qnt_sant_edfc</v>
      </c>
      <c r="B129" s="54" t="s">
        <v>27</v>
      </c>
      <c r="C129" s="50" t="s">
        <v>307</v>
      </c>
      <c r="D129" s="46" t="s">
        <v>431</v>
      </c>
      <c r="E129" s="47" t="s">
        <v>311</v>
      </c>
      <c r="F129" s="46" t="s">
        <v>219</v>
      </c>
      <c r="G129" s="48" t="s">
        <v>429</v>
      </c>
      <c r="H129" s="48" t="s">
        <v>429</v>
      </c>
      <c r="I129" s="56"/>
      <c r="J129" s="68" t="s">
        <v>514</v>
      </c>
      <c r="K129" s="68" t="s">
        <v>514</v>
      </c>
      <c r="L129" s="68"/>
    </row>
    <row r="130" spans="1:12" ht="16.2" x14ac:dyDescent="0.4">
      <c r="A130" s="15" t="str">
        <f t="shared" si="1"/>
        <v>cd_imv_out_certifvlr_agua_qnt_snt_rnvv</v>
      </c>
      <c r="B130" s="54" t="s">
        <v>27</v>
      </c>
      <c r="C130" s="50" t="s">
        <v>307</v>
      </c>
      <c r="D130" s="46" t="s">
        <v>431</v>
      </c>
      <c r="E130" s="47" t="s">
        <v>311</v>
      </c>
      <c r="F130" s="46" t="s">
        <v>220</v>
      </c>
      <c r="G130" s="48" t="s">
        <v>429</v>
      </c>
      <c r="H130" s="48" t="s">
        <v>429</v>
      </c>
      <c r="I130" s="56"/>
      <c r="J130" s="68" t="s">
        <v>514</v>
      </c>
      <c r="K130" s="68" t="s">
        <v>514</v>
      </c>
      <c r="L130" s="68"/>
    </row>
    <row r="131" spans="1:12" ht="16.2" x14ac:dyDescent="0.4">
      <c r="A131" s="15" t="str">
        <f t="shared" si="1"/>
        <v>cd_imv_out_certifvlr_agua_qnt_sntr_rfrc</v>
      </c>
      <c r="B131" s="54" t="s">
        <v>27</v>
      </c>
      <c r="C131" s="50" t="s">
        <v>307</v>
      </c>
      <c r="D131" s="46" t="s">
        <v>431</v>
      </c>
      <c r="E131" s="47" t="s">
        <v>311</v>
      </c>
      <c r="F131" s="46" t="s">
        <v>218</v>
      </c>
      <c r="G131" s="48" t="s">
        <v>429</v>
      </c>
      <c r="H131" s="48" t="s">
        <v>429</v>
      </c>
      <c r="I131" s="56"/>
      <c r="J131" s="68" t="s">
        <v>514</v>
      </c>
      <c r="K131" s="68" t="s">
        <v>514</v>
      </c>
      <c r="L131" s="68"/>
    </row>
    <row r="132" spans="1:12" ht="16.2" x14ac:dyDescent="0.4">
      <c r="A132" s="15" t="str">
        <f t="shared" si="1"/>
        <v>cd_imv_out_certifvlr_alttt</v>
      </c>
      <c r="B132" s="54" t="s">
        <v>27</v>
      </c>
      <c r="C132" s="50" t="s">
        <v>307</v>
      </c>
      <c r="D132" s="46" t="s">
        <v>431</v>
      </c>
      <c r="E132" s="47" t="s">
        <v>311</v>
      </c>
      <c r="F132" s="46" t="s">
        <v>235</v>
      </c>
      <c r="G132" s="48" t="s">
        <v>429</v>
      </c>
      <c r="H132" s="48" t="s">
        <v>429</v>
      </c>
      <c r="I132" s="56"/>
      <c r="J132" s="68" t="s">
        <v>514</v>
      </c>
      <c r="K132" s="68" t="s">
        <v>514</v>
      </c>
      <c r="L132" s="68"/>
    </row>
    <row r="133" spans="1:12" ht="16.2" x14ac:dyDescent="0.4">
      <c r="A133" s="15" t="str">
        <f t="shared" si="1"/>
        <v>cd_imv_out_certifvlr_aqcmnt_ambnt_edfc</v>
      </c>
      <c r="B133" s="54" t="s">
        <v>27</v>
      </c>
      <c r="C133" s="50" t="s">
        <v>307</v>
      </c>
      <c r="D133" s="46" t="s">
        <v>431</v>
      </c>
      <c r="E133" s="47" t="s">
        <v>311</v>
      </c>
      <c r="F133" s="46" t="s">
        <v>213</v>
      </c>
      <c r="G133" s="48" t="s">
        <v>429</v>
      </c>
      <c r="H133" s="48" t="s">
        <v>429</v>
      </c>
      <c r="I133" s="56"/>
      <c r="J133" s="68" t="s">
        <v>514</v>
      </c>
      <c r="K133" s="68" t="s">
        <v>514</v>
      </c>
      <c r="L133" s="68"/>
    </row>
    <row r="134" spans="1:12" ht="16.2" x14ac:dyDescent="0.4">
      <c r="A134" s="15" t="str">
        <f t="shared" si="1"/>
        <v>cd_imv_out_certifvlr_aqcmnt_ambnt_rfrc</v>
      </c>
      <c r="B134" s="54" t="s">
        <v>27</v>
      </c>
      <c r="C134" s="50" t="s">
        <v>307</v>
      </c>
      <c r="D134" s="46" t="s">
        <v>431</v>
      </c>
      <c r="E134" s="47" t="s">
        <v>311</v>
      </c>
      <c r="F134" s="46" t="s">
        <v>212</v>
      </c>
      <c r="G134" s="48" t="s">
        <v>429</v>
      </c>
      <c r="H134" s="48" t="s">
        <v>429</v>
      </c>
      <c r="I134" s="56"/>
      <c r="J134" s="68" t="s">
        <v>514</v>
      </c>
      <c r="K134" s="68" t="s">
        <v>514</v>
      </c>
      <c r="L134" s="68"/>
    </row>
    <row r="135" spans="1:12" ht="16.2" x14ac:dyDescent="0.4">
      <c r="A135" s="15" t="str">
        <f t="shared" si="1"/>
        <v>cd_imv_out_certifvlr_aqcmnt_ambnt_rnvv</v>
      </c>
      <c r="B135" s="54" t="s">
        <v>27</v>
      </c>
      <c r="C135" s="50" t="s">
        <v>307</v>
      </c>
      <c r="D135" s="46" t="s">
        <v>431</v>
      </c>
      <c r="E135" s="47" t="s">
        <v>311</v>
      </c>
      <c r="F135" s="46" t="s">
        <v>214</v>
      </c>
      <c r="G135" s="48" t="s">
        <v>429</v>
      </c>
      <c r="H135" s="48" t="s">
        <v>429</v>
      </c>
      <c r="I135" s="56"/>
      <c r="J135" s="68" t="s">
        <v>514</v>
      </c>
      <c r="K135" s="68" t="s">
        <v>514</v>
      </c>
      <c r="L135" s="68"/>
    </row>
    <row r="136" spans="1:12" ht="16.2" x14ac:dyDescent="0.4">
      <c r="A136" s="15" t="str">
        <f t="shared" ref="A136:A199" si="2">E136&amp;F136</f>
        <v>cd_imv_out_certifvlr_arrfcmnt_ambnt_edfc</v>
      </c>
      <c r="B136" s="54" t="s">
        <v>27</v>
      </c>
      <c r="C136" s="50" t="s">
        <v>307</v>
      </c>
      <c r="D136" s="46" t="s">
        <v>431</v>
      </c>
      <c r="E136" s="47" t="s">
        <v>311</v>
      </c>
      <c r="F136" s="46" t="s">
        <v>216</v>
      </c>
      <c r="G136" s="48" t="s">
        <v>429</v>
      </c>
      <c r="H136" s="48" t="s">
        <v>429</v>
      </c>
      <c r="I136" s="56"/>
      <c r="J136" s="68" t="s">
        <v>514</v>
      </c>
      <c r="K136" s="68" t="s">
        <v>514</v>
      </c>
      <c r="L136" s="68"/>
    </row>
    <row r="137" spans="1:12" ht="16.2" x14ac:dyDescent="0.4">
      <c r="A137" s="15" t="str">
        <f t="shared" si="2"/>
        <v>cd_imv_out_certifvlr_arrfcmnt_ambnt_renvv</v>
      </c>
      <c r="B137" s="54" t="s">
        <v>27</v>
      </c>
      <c r="C137" s="50" t="s">
        <v>307</v>
      </c>
      <c r="D137" s="46" t="s">
        <v>431</v>
      </c>
      <c r="E137" s="47" t="s">
        <v>311</v>
      </c>
      <c r="F137" s="46" t="s">
        <v>217</v>
      </c>
      <c r="G137" s="48" t="s">
        <v>429</v>
      </c>
      <c r="H137" s="48" t="s">
        <v>429</v>
      </c>
      <c r="I137" s="56"/>
      <c r="J137" s="68" t="s">
        <v>514</v>
      </c>
      <c r="K137" s="68" t="s">
        <v>514</v>
      </c>
      <c r="L137" s="68"/>
    </row>
    <row r="138" spans="1:12" ht="16.2" x14ac:dyDescent="0.4">
      <c r="A138" s="15" t="str">
        <f t="shared" si="2"/>
        <v>cd_imv_out_certifvlr_arrfcmnt_ambnt_rfrc</v>
      </c>
      <c r="B138" s="54" t="s">
        <v>27</v>
      </c>
      <c r="C138" s="50" t="s">
        <v>307</v>
      </c>
      <c r="D138" s="46" t="s">
        <v>431</v>
      </c>
      <c r="E138" s="47" t="s">
        <v>311</v>
      </c>
      <c r="F138" s="46" t="s">
        <v>215</v>
      </c>
      <c r="G138" s="48" t="s">
        <v>429</v>
      </c>
      <c r="H138" s="48" t="s">
        <v>429</v>
      </c>
      <c r="I138" s="56"/>
      <c r="J138" s="68" t="s">
        <v>514</v>
      </c>
      <c r="K138" s="68" t="s">
        <v>514</v>
      </c>
      <c r="L138" s="68"/>
    </row>
    <row r="139" spans="1:12" ht="16.2" x14ac:dyDescent="0.4">
      <c r="A139" s="15" t="str">
        <f t="shared" si="2"/>
        <v>cd_imv_out_certifvlr_class_enrg_aps_mdd</v>
      </c>
      <c r="B139" s="54" t="s">
        <v>27</v>
      </c>
      <c r="C139" s="50" t="s">
        <v>307</v>
      </c>
      <c r="D139" s="46" t="s">
        <v>431</v>
      </c>
      <c r="E139" s="47" t="s">
        <v>311</v>
      </c>
      <c r="F139" s="46" t="s">
        <v>234</v>
      </c>
      <c r="G139" s="48" t="s">
        <v>429</v>
      </c>
      <c r="H139" s="48" t="s">
        <v>429</v>
      </c>
      <c r="I139" s="56"/>
      <c r="J139" s="68" t="s">
        <v>514</v>
      </c>
      <c r="K139" s="68" t="s">
        <v>514</v>
      </c>
      <c r="L139" s="68"/>
    </row>
    <row r="140" spans="1:12" ht="16.2" x14ac:dyDescent="0.4">
      <c r="A140" s="15" t="str">
        <f t="shared" si="2"/>
        <v>cd_imv_out_certifvlr_cnsm_ano</v>
      </c>
      <c r="B140" s="54" t="s">
        <v>27</v>
      </c>
      <c r="C140" s="50" t="s">
        <v>307</v>
      </c>
      <c r="D140" s="46" t="s">
        <v>431</v>
      </c>
      <c r="E140" s="47" t="s">
        <v>311</v>
      </c>
      <c r="F140" s="46" t="s">
        <v>175</v>
      </c>
      <c r="G140" s="48" t="s">
        <v>429</v>
      </c>
      <c r="H140" s="48" t="s">
        <v>429</v>
      </c>
      <c r="I140" s="56"/>
      <c r="J140" s="68" t="s">
        <v>514</v>
      </c>
      <c r="K140" s="68" t="s">
        <v>514</v>
      </c>
      <c r="L140" s="68"/>
    </row>
    <row r="141" spans="1:12" ht="16.2" x14ac:dyDescent="0.4">
      <c r="A141" s="15" t="str">
        <f t="shared" si="2"/>
        <v>cd_imv_out_certifvlr_comp_trmc_cbrtrs</v>
      </c>
      <c r="B141" s="54" t="s">
        <v>27</v>
      </c>
      <c r="C141" s="50" t="s">
        <v>307</v>
      </c>
      <c r="D141" s="46" t="s">
        <v>431</v>
      </c>
      <c r="E141" s="47" t="s">
        <v>311</v>
      </c>
      <c r="F141" s="46" t="s">
        <v>243</v>
      </c>
      <c r="G141" s="48" t="s">
        <v>429</v>
      </c>
      <c r="H141" s="48" t="s">
        <v>429</v>
      </c>
      <c r="I141" s="56"/>
      <c r="J141" s="68" t="s">
        <v>514</v>
      </c>
      <c r="K141" s="68" t="s">
        <v>514</v>
      </c>
      <c r="L141" s="68"/>
    </row>
    <row r="142" spans="1:12" ht="16.2" x14ac:dyDescent="0.4">
      <c r="A142" s="15" t="str">
        <f t="shared" si="2"/>
        <v>cd_imv_out_certifvlr_comp_trmc_jnls</v>
      </c>
      <c r="B142" s="54" t="s">
        <v>27</v>
      </c>
      <c r="C142" s="50" t="s">
        <v>307</v>
      </c>
      <c r="D142" s="46" t="s">
        <v>431</v>
      </c>
      <c r="E142" s="47" t="s">
        <v>311</v>
      </c>
      <c r="F142" s="46" t="s">
        <v>245</v>
      </c>
      <c r="G142" s="48" t="s">
        <v>429</v>
      </c>
      <c r="H142" s="48" t="s">
        <v>429</v>
      </c>
      <c r="I142" s="56"/>
      <c r="J142" s="68" t="s">
        <v>514</v>
      </c>
      <c r="K142" s="68" t="s">
        <v>514</v>
      </c>
      <c r="L142" s="68"/>
    </row>
    <row r="143" spans="1:12" ht="16.2" x14ac:dyDescent="0.4">
      <c r="A143" s="15" t="str">
        <f t="shared" si="2"/>
        <v>cd_imv_out_certifvlr_comp_trmc_prds</v>
      </c>
      <c r="B143" s="54" t="s">
        <v>27</v>
      </c>
      <c r="C143" s="50" t="s">
        <v>307</v>
      </c>
      <c r="D143" s="46" t="s">
        <v>431</v>
      </c>
      <c r="E143" s="47" t="s">
        <v>311</v>
      </c>
      <c r="F143" s="46" t="s">
        <v>242</v>
      </c>
      <c r="G143" s="48" t="s">
        <v>429</v>
      </c>
      <c r="H143" s="48" t="s">
        <v>429</v>
      </c>
      <c r="I143" s="56"/>
      <c r="J143" s="68" t="s">
        <v>514</v>
      </c>
      <c r="K143" s="68" t="s">
        <v>514</v>
      </c>
      <c r="L143" s="68"/>
    </row>
    <row r="144" spans="1:12" ht="16.2" x14ac:dyDescent="0.4">
      <c r="A144" s="15" t="str">
        <f t="shared" si="2"/>
        <v>cd_imv_out_certifvlr_comp_trmc_pvmnts</v>
      </c>
      <c r="B144" s="54" t="s">
        <v>27</v>
      </c>
      <c r="C144" s="50" t="s">
        <v>307</v>
      </c>
      <c r="D144" s="46" t="s">
        <v>431</v>
      </c>
      <c r="E144" s="47" t="s">
        <v>311</v>
      </c>
      <c r="F144" s="46" t="s">
        <v>244</v>
      </c>
      <c r="G144" s="48" t="s">
        <v>429</v>
      </c>
      <c r="H144" s="48" t="s">
        <v>429</v>
      </c>
      <c r="I144" s="56"/>
      <c r="J144" s="68" t="s">
        <v>514</v>
      </c>
      <c r="K144" s="68" t="s">
        <v>514</v>
      </c>
      <c r="L144" s="68"/>
    </row>
    <row r="145" spans="1:12" ht="16.2" x14ac:dyDescent="0.4">
      <c r="A145" s="15" t="str">
        <f t="shared" si="2"/>
        <v>cd_imv_out_certifvlr_comp_trmc_sstmtcn_vntld</v>
      </c>
      <c r="B145" s="54" t="s">
        <v>27</v>
      </c>
      <c r="C145" s="50" t="s">
        <v>307</v>
      </c>
      <c r="D145" s="46" t="s">
        <v>431</v>
      </c>
      <c r="E145" s="47" t="s">
        <v>311</v>
      </c>
      <c r="F145" s="46" t="s">
        <v>246</v>
      </c>
      <c r="G145" s="48" t="s">
        <v>429</v>
      </c>
      <c r="H145" s="48" t="s">
        <v>429</v>
      </c>
      <c r="I145" s="56"/>
      <c r="J145" s="68" t="s">
        <v>514</v>
      </c>
      <c r="K145" s="68" t="s">
        <v>514</v>
      </c>
      <c r="L145" s="68"/>
    </row>
    <row r="146" spans="1:12" ht="16.2" x14ac:dyDescent="0.4">
      <c r="A146" s="15" t="str">
        <f t="shared" si="2"/>
        <v>cd_imv_out_certifvlr_cst_ttl_invstmnt_estmd</v>
      </c>
      <c r="B146" s="54" t="s">
        <v>27</v>
      </c>
      <c r="C146" s="50" t="s">
        <v>307</v>
      </c>
      <c r="D146" s="46" t="s">
        <v>431</v>
      </c>
      <c r="E146" s="47" t="s">
        <v>311</v>
      </c>
      <c r="F146" s="46" t="s">
        <v>232</v>
      </c>
      <c r="G146" s="48" t="s">
        <v>429</v>
      </c>
      <c r="H146" s="48" t="s">
        <v>429</v>
      </c>
      <c r="I146" s="56"/>
      <c r="J146" s="68" t="s">
        <v>514</v>
      </c>
      <c r="K146" s="68" t="s">
        <v>514</v>
      </c>
      <c r="L146" s="68"/>
    </row>
    <row r="147" spans="1:12" ht="16.2" x14ac:dyDescent="0.4">
      <c r="A147" s="15" t="str">
        <f t="shared" si="2"/>
        <v>cd_imv_out_certifvlr_drc_estc_aqcmnt</v>
      </c>
      <c r="B147" s="54" t="s">
        <v>27</v>
      </c>
      <c r="C147" s="50" t="s">
        <v>307</v>
      </c>
      <c r="D147" s="46" t="s">
        <v>431</v>
      </c>
      <c r="E147" s="47" t="s">
        <v>311</v>
      </c>
      <c r="F147" s="46" t="s">
        <v>240</v>
      </c>
      <c r="G147" s="48" t="s">
        <v>429</v>
      </c>
      <c r="H147" s="48" t="s">
        <v>429</v>
      </c>
      <c r="I147" s="56"/>
      <c r="J147" s="68" t="s">
        <v>514</v>
      </c>
      <c r="K147" s="68" t="s">
        <v>514</v>
      </c>
      <c r="L147" s="68"/>
    </row>
    <row r="148" spans="1:12" ht="16.2" x14ac:dyDescent="0.4">
      <c r="A148" s="15" t="str">
        <f t="shared" si="2"/>
        <v>cd_imv_out_certifvlr_drc_estc_arrfcmnt</v>
      </c>
      <c r="B148" s="54" t="s">
        <v>27</v>
      </c>
      <c r="C148" s="50" t="s">
        <v>307</v>
      </c>
      <c r="D148" s="46" t="s">
        <v>431</v>
      </c>
      <c r="E148" s="47" t="s">
        <v>311</v>
      </c>
      <c r="F148" s="46" t="s">
        <v>241</v>
      </c>
      <c r="G148" s="48" t="s">
        <v>429</v>
      </c>
      <c r="H148" s="48" t="s">
        <v>429</v>
      </c>
      <c r="I148" s="56"/>
      <c r="J148" s="68" t="s">
        <v>514</v>
      </c>
      <c r="K148" s="68" t="s">
        <v>514</v>
      </c>
      <c r="L148" s="68"/>
    </row>
    <row r="149" spans="1:12" ht="16.2" x14ac:dyDescent="0.4">
      <c r="A149" s="15" t="str">
        <f t="shared" si="2"/>
        <v>cd_imv_out_certifvlr_emss_ano</v>
      </c>
      <c r="B149" s="54" t="s">
        <v>27</v>
      </c>
      <c r="C149" s="50" t="s">
        <v>307</v>
      </c>
      <c r="D149" s="46" t="s">
        <v>431</v>
      </c>
      <c r="E149" s="47" t="s">
        <v>311</v>
      </c>
      <c r="F149" s="46" t="s">
        <v>174</v>
      </c>
      <c r="G149" s="48" t="s">
        <v>429</v>
      </c>
      <c r="H149" s="48" t="s">
        <v>429</v>
      </c>
      <c r="I149" s="56"/>
      <c r="J149" s="68" t="s">
        <v>514</v>
      </c>
      <c r="K149" s="68" t="s">
        <v>514</v>
      </c>
      <c r="L149" s="68"/>
    </row>
    <row r="150" spans="1:12" ht="16.2" x14ac:dyDescent="0.4">
      <c r="A150" s="15" t="str">
        <f t="shared" si="2"/>
        <v>cd_imv_out_certifvlr_emss_co2</v>
      </c>
      <c r="B150" s="54" t="s">
        <v>27</v>
      </c>
      <c r="C150" s="50" t="s">
        <v>307</v>
      </c>
      <c r="D150" s="46" t="s">
        <v>431</v>
      </c>
      <c r="E150" s="47" t="s">
        <v>311</v>
      </c>
      <c r="F150" s="46" t="s">
        <v>211</v>
      </c>
      <c r="G150" s="48" t="s">
        <v>429</v>
      </c>
      <c r="H150" s="48" t="s">
        <v>429</v>
      </c>
      <c r="I150" s="56"/>
      <c r="J150" s="68" t="s">
        <v>514</v>
      </c>
      <c r="K150" s="68" t="s">
        <v>514</v>
      </c>
      <c r="L150" s="68"/>
    </row>
    <row r="151" spans="1:12" ht="16.2" x14ac:dyDescent="0.4">
      <c r="A151" s="15" t="str">
        <f t="shared" si="2"/>
        <v>cd_imv_out_certifvlr_enrg_eltc_vntldr</v>
      </c>
      <c r="B151" s="54" t="s">
        <v>27</v>
      </c>
      <c r="C151" s="50" t="s">
        <v>307</v>
      </c>
      <c r="D151" s="46" t="s">
        <v>431</v>
      </c>
      <c r="E151" s="47" t="s">
        <v>311</v>
      </c>
      <c r="F151" s="46" t="s">
        <v>225</v>
      </c>
      <c r="G151" s="48" t="s">
        <v>429</v>
      </c>
      <c r="H151" s="48" t="s">
        <v>429</v>
      </c>
      <c r="I151" s="56"/>
      <c r="J151" s="68" t="s">
        <v>514</v>
      </c>
      <c r="K151" s="68" t="s">
        <v>514</v>
      </c>
      <c r="L151" s="68"/>
    </row>
    <row r="152" spans="1:12" ht="16.2" x14ac:dyDescent="0.4">
      <c r="A152" s="15" t="str">
        <f t="shared" si="2"/>
        <v>cd_imv_out_certifvlr_enrg_fnts_rnvv_otr_uso</v>
      </c>
      <c r="B152" s="54" t="s">
        <v>27</v>
      </c>
      <c r="C152" s="50" t="s">
        <v>307</v>
      </c>
      <c r="D152" s="46" t="s">
        <v>431</v>
      </c>
      <c r="E152" s="47" t="s">
        <v>311</v>
      </c>
      <c r="F152" s="46" t="s">
        <v>227</v>
      </c>
      <c r="G152" s="48" t="s">
        <v>429</v>
      </c>
      <c r="H152" s="48" t="s">
        <v>429</v>
      </c>
      <c r="I152" s="56"/>
      <c r="J152" s="68" t="s">
        <v>514</v>
      </c>
      <c r="K152" s="68" t="s">
        <v>514</v>
      </c>
      <c r="L152" s="68"/>
    </row>
    <row r="153" spans="1:12" ht="16.2" x14ac:dyDescent="0.4">
      <c r="A153" s="15" t="str">
        <f t="shared" si="2"/>
        <v>cd_imv_out_certifvlr_enrg_fnts_rnvv_regl</v>
      </c>
      <c r="B153" s="54" t="s">
        <v>27</v>
      </c>
      <c r="C153" s="50" t="s">
        <v>307</v>
      </c>
      <c r="D153" s="46" t="s">
        <v>431</v>
      </c>
      <c r="E153" s="47" t="s">
        <v>311</v>
      </c>
      <c r="F153" s="46" t="s">
        <v>226</v>
      </c>
      <c r="G153" s="48" t="s">
        <v>429</v>
      </c>
      <c r="H153" s="48" t="s">
        <v>429</v>
      </c>
      <c r="I153" s="56"/>
      <c r="J153" s="68" t="s">
        <v>514</v>
      </c>
      <c r="K153" s="68" t="s">
        <v>514</v>
      </c>
      <c r="L153" s="68"/>
    </row>
    <row r="154" spans="1:12" ht="16.2" x14ac:dyDescent="0.4">
      <c r="A154" s="15" t="str">
        <f t="shared" si="2"/>
        <v>cd_imv_out_certifvlr_enrg_renew</v>
      </c>
      <c r="B154" s="54" t="s">
        <v>27</v>
      </c>
      <c r="C154" s="50" t="s">
        <v>307</v>
      </c>
      <c r="D154" s="46" t="s">
        <v>431</v>
      </c>
      <c r="E154" s="47" t="s">
        <v>311</v>
      </c>
      <c r="F154" s="46" t="s">
        <v>204</v>
      </c>
      <c r="G154" s="48" t="s">
        <v>429</v>
      </c>
      <c r="H154" s="48" t="s">
        <v>429</v>
      </c>
      <c r="I154" s="56"/>
      <c r="J154" s="68" t="s">
        <v>514</v>
      </c>
      <c r="K154" s="68" t="s">
        <v>514</v>
      </c>
      <c r="L154" s="68"/>
    </row>
    <row r="155" spans="1:12" ht="16.2" x14ac:dyDescent="0.4">
      <c r="A155" s="15" t="str">
        <f t="shared" si="2"/>
        <v>cd_imv_out_certifvlr_enrg_utl_agua_qt_snt</v>
      </c>
      <c r="B155" s="54" t="s">
        <v>27</v>
      </c>
      <c r="C155" s="50" t="s">
        <v>307</v>
      </c>
      <c r="D155" s="46" t="s">
        <v>431</v>
      </c>
      <c r="E155" s="47" t="s">
        <v>311</v>
      </c>
      <c r="F155" s="46" t="s">
        <v>224</v>
      </c>
      <c r="G155" s="48" t="s">
        <v>429</v>
      </c>
      <c r="H155" s="48" t="s">
        <v>429</v>
      </c>
      <c r="I155" s="56"/>
      <c r="J155" s="68" t="s">
        <v>514</v>
      </c>
      <c r="K155" s="68" t="s">
        <v>514</v>
      </c>
      <c r="L155" s="68"/>
    </row>
    <row r="156" spans="1:12" ht="16.2" x14ac:dyDescent="0.4">
      <c r="A156" s="15" t="str">
        <f t="shared" si="2"/>
        <v>cd_imv_out_certifvlr_enrg_utl_arrfcmnt</v>
      </c>
      <c r="B156" s="54" t="s">
        <v>27</v>
      </c>
      <c r="C156" s="50" t="s">
        <v>307</v>
      </c>
      <c r="D156" s="46" t="s">
        <v>431</v>
      </c>
      <c r="E156" s="47" t="s">
        <v>311</v>
      </c>
      <c r="F156" s="46" t="s">
        <v>223</v>
      </c>
      <c r="G156" s="48" t="s">
        <v>429</v>
      </c>
      <c r="H156" s="48" t="s">
        <v>429</v>
      </c>
      <c r="I156" s="56"/>
      <c r="J156" s="68" t="s">
        <v>514</v>
      </c>
      <c r="K156" s="68" t="s">
        <v>514</v>
      </c>
      <c r="L156" s="68"/>
    </row>
    <row r="157" spans="1:12" ht="16.2" x14ac:dyDescent="0.4">
      <c r="A157" s="15" t="str">
        <f t="shared" si="2"/>
        <v>cd_imv_out_certifvlr_grs_dia</v>
      </c>
      <c r="B157" s="54" t="s">
        <v>27</v>
      </c>
      <c r="C157" s="50" t="s">
        <v>307</v>
      </c>
      <c r="D157" s="46" t="s">
        <v>431</v>
      </c>
      <c r="E157" s="47" t="s">
        <v>311</v>
      </c>
      <c r="F157" s="46" t="s">
        <v>236</v>
      </c>
      <c r="G157" s="48" t="s">
        <v>429</v>
      </c>
      <c r="H157" s="48" t="s">
        <v>429</v>
      </c>
      <c r="I157" s="56"/>
      <c r="J157" s="68" t="s">
        <v>514</v>
      </c>
      <c r="K157" s="68" t="s">
        <v>514</v>
      </c>
      <c r="L157" s="68"/>
    </row>
    <row r="158" spans="1:12" ht="16.2" x14ac:dyDescent="0.4">
      <c r="A158" s="15" t="str">
        <f t="shared" si="2"/>
        <v>cd_imv_out_certifvlr_ncssdd_enrg_prmr</v>
      </c>
      <c r="B158" s="54" t="s">
        <v>27</v>
      </c>
      <c r="C158" s="50" t="s">
        <v>307</v>
      </c>
      <c r="D158" s="46" t="s">
        <v>431</v>
      </c>
      <c r="E158" s="47" t="s">
        <v>311</v>
      </c>
      <c r="F158" s="46" t="s">
        <v>221</v>
      </c>
      <c r="G158" s="48" t="s">
        <v>429</v>
      </c>
      <c r="H158" s="48" t="s">
        <v>429</v>
      </c>
      <c r="I158" s="56"/>
      <c r="J158" s="68" t="s">
        <v>514</v>
      </c>
      <c r="K158" s="68" t="s">
        <v>514</v>
      </c>
      <c r="L158" s="68"/>
    </row>
    <row r="159" spans="1:12" ht="16.2" x14ac:dyDescent="0.4">
      <c r="A159" s="15" t="str">
        <f t="shared" si="2"/>
        <v>cd_imv_out_certifvlr_ncssdd_enrg_utl_aqcd</v>
      </c>
      <c r="B159" s="54" t="s">
        <v>27</v>
      </c>
      <c r="C159" s="50" t="s">
        <v>307</v>
      </c>
      <c r="D159" s="46" t="s">
        <v>431</v>
      </c>
      <c r="E159" s="47" t="s">
        <v>311</v>
      </c>
      <c r="F159" s="46" t="s">
        <v>222</v>
      </c>
      <c r="G159" s="48" t="s">
        <v>429</v>
      </c>
      <c r="H159" s="48" t="s">
        <v>429</v>
      </c>
      <c r="I159" s="56"/>
      <c r="J159" s="68" t="s">
        <v>514</v>
      </c>
      <c r="K159" s="68" t="s">
        <v>514</v>
      </c>
      <c r="L159" s="68"/>
    </row>
    <row r="160" spans="1:12" ht="16.2" x14ac:dyDescent="0.4">
      <c r="A160" s="15" t="str">
        <f t="shared" si="2"/>
        <v>cd_imv_out_certifvlr_prd_gnh_invrn_prd_prt</v>
      </c>
      <c r="B160" s="54" t="s">
        <v>27</v>
      </c>
      <c r="C160" s="50" t="s">
        <v>307</v>
      </c>
      <c r="D160" s="46" t="s">
        <v>431</v>
      </c>
      <c r="E160" s="47" t="s">
        <v>311</v>
      </c>
      <c r="F160" s="46" t="s">
        <v>251</v>
      </c>
      <c r="G160" s="48" t="s">
        <v>429</v>
      </c>
      <c r="H160" s="48" t="s">
        <v>429</v>
      </c>
      <c r="I160" s="56"/>
      <c r="J160" s="68" t="s">
        <v>514</v>
      </c>
      <c r="K160" s="68" t="s">
        <v>514</v>
      </c>
      <c r="L160" s="68"/>
    </row>
    <row r="161" spans="1:12" ht="16.2" x14ac:dyDescent="0.4">
      <c r="A161" s="15" t="str">
        <f t="shared" si="2"/>
        <v>cd_imv_out_certifvlr_prd_gnh_invrn_pvmnt</v>
      </c>
      <c r="B161" s="54" t="s">
        <v>27</v>
      </c>
      <c r="C161" s="50" t="s">
        <v>307</v>
      </c>
      <c r="D161" s="46" t="s">
        <v>431</v>
      </c>
      <c r="E161" s="47" t="s">
        <v>311</v>
      </c>
      <c r="F161" s="46" t="s">
        <v>252</v>
      </c>
      <c r="G161" s="48" t="s">
        <v>429</v>
      </c>
      <c r="H161" s="48" t="s">
        <v>429</v>
      </c>
      <c r="I161" s="56"/>
      <c r="J161" s="68" t="s">
        <v>514</v>
      </c>
      <c r="K161" s="68" t="s">
        <v>514</v>
      </c>
      <c r="L161" s="68"/>
    </row>
    <row r="162" spans="1:12" ht="16.2" x14ac:dyDescent="0.4">
      <c r="A162" s="15" t="str">
        <f t="shared" si="2"/>
        <v>cd_imv_out_certifvlr_prds_gnhs_invrn_cbrtr</v>
      </c>
      <c r="B162" s="54" t="s">
        <v>27</v>
      </c>
      <c r="C162" s="50" t="s">
        <v>307</v>
      </c>
      <c r="D162" s="46" t="s">
        <v>431</v>
      </c>
      <c r="E162" s="47" t="s">
        <v>311</v>
      </c>
      <c r="F162" s="46" t="s">
        <v>250</v>
      </c>
      <c r="G162" s="48" t="s">
        <v>429</v>
      </c>
      <c r="H162" s="48" t="s">
        <v>429</v>
      </c>
      <c r="I162" s="56"/>
      <c r="J162" s="68" t="s">
        <v>514</v>
      </c>
      <c r="K162" s="68" t="s">
        <v>514</v>
      </c>
      <c r="L162" s="68"/>
    </row>
    <row r="163" spans="1:12" ht="16.2" x14ac:dyDescent="0.4">
      <c r="A163" s="15" t="str">
        <f t="shared" si="2"/>
        <v>cd_imv_out_certifvlr_prds_gnhs_invrn_jnl</v>
      </c>
      <c r="B163" s="54" t="s">
        <v>27</v>
      </c>
      <c r="C163" s="50" t="s">
        <v>307</v>
      </c>
      <c r="D163" s="46" t="s">
        <v>431</v>
      </c>
      <c r="E163" s="47" t="s">
        <v>311</v>
      </c>
      <c r="F163" s="46" t="s">
        <v>248</v>
      </c>
      <c r="G163" s="48" t="s">
        <v>429</v>
      </c>
      <c r="H163" s="48" t="s">
        <v>429</v>
      </c>
      <c r="I163" s="56"/>
      <c r="J163" s="68" t="s">
        <v>514</v>
      </c>
      <c r="K163" s="68" t="s">
        <v>514</v>
      </c>
      <c r="L163" s="68"/>
    </row>
    <row r="164" spans="1:12" ht="16.2" x14ac:dyDescent="0.4">
      <c r="A164" s="15" t="str">
        <f t="shared" si="2"/>
        <v>cd_imv_out_certifvlr_prds_gnhs_invrn_rfc</v>
      </c>
      <c r="B164" s="54" t="s">
        <v>27</v>
      </c>
      <c r="C164" s="50" t="s">
        <v>307</v>
      </c>
      <c r="D164" s="46" t="s">
        <v>431</v>
      </c>
      <c r="E164" s="47" t="s">
        <v>311</v>
      </c>
      <c r="F164" s="46" t="s">
        <v>247</v>
      </c>
      <c r="G164" s="48" t="s">
        <v>429</v>
      </c>
      <c r="H164" s="48" t="s">
        <v>429</v>
      </c>
      <c r="I164" s="56"/>
      <c r="J164" s="68" t="s">
        <v>514</v>
      </c>
      <c r="K164" s="68" t="s">
        <v>514</v>
      </c>
      <c r="L164" s="68"/>
    </row>
    <row r="165" spans="1:12" ht="16.2" x14ac:dyDescent="0.4">
      <c r="A165" s="15" t="str">
        <f t="shared" si="2"/>
        <v>cd_imv_out_certifvlr_prds_gnhs_invrn_vntnh</v>
      </c>
      <c r="B165" s="54" t="s">
        <v>27</v>
      </c>
      <c r="C165" s="50" t="s">
        <v>307</v>
      </c>
      <c r="D165" s="46" t="s">
        <v>431</v>
      </c>
      <c r="E165" s="47" t="s">
        <v>311</v>
      </c>
      <c r="F165" s="46" t="s">
        <v>249</v>
      </c>
      <c r="G165" s="48" t="s">
        <v>429</v>
      </c>
      <c r="H165" s="48" t="s">
        <v>429</v>
      </c>
      <c r="I165" s="56"/>
      <c r="J165" s="68" t="s">
        <v>514</v>
      </c>
      <c r="K165" s="68" t="s">
        <v>514</v>
      </c>
      <c r="L165" s="68"/>
    </row>
    <row r="166" spans="1:12" ht="16.2" x14ac:dyDescent="0.4">
      <c r="A166" s="15" t="str">
        <f t="shared" si="2"/>
        <v>cd_imv_out_certifvlr_prds_gnhs_vr_cbrtr</v>
      </c>
      <c r="B166" s="54" t="s">
        <v>27</v>
      </c>
      <c r="C166" s="50" t="s">
        <v>307</v>
      </c>
      <c r="D166" s="46" t="s">
        <v>431</v>
      </c>
      <c r="E166" s="47" t="s">
        <v>311</v>
      </c>
      <c r="F166" s="46" t="s">
        <v>255</v>
      </c>
      <c r="G166" s="48" t="s">
        <v>429</v>
      </c>
      <c r="H166" s="48" t="s">
        <v>429</v>
      </c>
      <c r="I166" s="56"/>
      <c r="J166" s="68" t="s">
        <v>514</v>
      </c>
      <c r="K166" s="68" t="s">
        <v>514</v>
      </c>
      <c r="L166" s="68"/>
    </row>
    <row r="167" spans="1:12" ht="16.2" x14ac:dyDescent="0.4">
      <c r="A167" s="15" t="str">
        <f t="shared" si="2"/>
        <v>cd_imv_out_certifvlr_prds_gnhs_vr_jnl</v>
      </c>
      <c r="B167" s="54" t="s">
        <v>27</v>
      </c>
      <c r="C167" s="50" t="s">
        <v>307</v>
      </c>
      <c r="D167" s="46" t="s">
        <v>431</v>
      </c>
      <c r="E167" s="47" t="s">
        <v>311</v>
      </c>
      <c r="F167" s="46" t="s">
        <v>254</v>
      </c>
      <c r="G167" s="48" t="s">
        <v>429</v>
      </c>
      <c r="H167" s="48" t="s">
        <v>429</v>
      </c>
      <c r="I167" s="56"/>
      <c r="J167" s="68" t="s">
        <v>514</v>
      </c>
      <c r="K167" s="68" t="s">
        <v>514</v>
      </c>
      <c r="L167" s="68"/>
    </row>
    <row r="168" spans="1:12" ht="16.2" x14ac:dyDescent="0.4">
      <c r="A168" s="15" t="str">
        <f t="shared" si="2"/>
        <v>cd_imv_out_certifvlr_prds_gnhs_vr_prd_prt</v>
      </c>
      <c r="B168" s="54" t="s">
        <v>27</v>
      </c>
      <c r="C168" s="50" t="s">
        <v>307</v>
      </c>
      <c r="D168" s="46" t="s">
        <v>431</v>
      </c>
      <c r="E168" s="47" t="s">
        <v>311</v>
      </c>
      <c r="F168" s="46" t="s">
        <v>256</v>
      </c>
      <c r="G168" s="48" t="s">
        <v>429</v>
      </c>
      <c r="H168" s="48" t="s">
        <v>429</v>
      </c>
      <c r="I168" s="56"/>
      <c r="J168" s="68" t="s">
        <v>514</v>
      </c>
      <c r="K168" s="68" t="s">
        <v>514</v>
      </c>
      <c r="L168" s="68"/>
    </row>
    <row r="169" spans="1:12" ht="16.2" x14ac:dyDescent="0.4">
      <c r="A169" s="15" t="str">
        <f t="shared" si="2"/>
        <v>cd_imv_out_certifvlr_prds_gnhs_vr_rfrc</v>
      </c>
      <c r="B169" s="54" t="s">
        <v>27</v>
      </c>
      <c r="C169" s="50" t="s">
        <v>307</v>
      </c>
      <c r="D169" s="46" t="s">
        <v>431</v>
      </c>
      <c r="E169" s="47" t="s">
        <v>311</v>
      </c>
      <c r="F169" s="46" t="s">
        <v>253</v>
      </c>
      <c r="G169" s="48" t="s">
        <v>429</v>
      </c>
      <c r="H169" s="48" t="s">
        <v>429</v>
      </c>
      <c r="I169" s="56"/>
      <c r="J169" s="68" t="s">
        <v>514</v>
      </c>
      <c r="K169" s="68" t="s">
        <v>514</v>
      </c>
      <c r="L169" s="68"/>
    </row>
    <row r="170" spans="1:12" ht="16.2" x14ac:dyDescent="0.4">
      <c r="A170" s="15" t="str">
        <f t="shared" si="2"/>
        <v>cd_imv_out_certifvlr_rdc_anl_estmd_ftr</v>
      </c>
      <c r="B170" s="54" t="s">
        <v>27</v>
      </c>
      <c r="C170" s="50" t="s">
        <v>307</v>
      </c>
      <c r="D170" s="46" t="s">
        <v>431</v>
      </c>
      <c r="E170" s="47" t="s">
        <v>311</v>
      </c>
      <c r="F170" s="46" t="s">
        <v>233</v>
      </c>
      <c r="G170" s="48" t="s">
        <v>429</v>
      </c>
      <c r="H170" s="48" t="s">
        <v>429</v>
      </c>
      <c r="I170" s="56"/>
      <c r="J170" s="68" t="s">
        <v>514</v>
      </c>
      <c r="K170" s="68" t="s">
        <v>514</v>
      </c>
      <c r="L170" s="68"/>
    </row>
    <row r="171" spans="1:12" ht="16.2" x14ac:dyDescent="0.4">
      <c r="A171" s="15" t="str">
        <f t="shared" si="2"/>
        <v>cd_imv_out_certifvlr_tmprtr_md_extrr</v>
      </c>
      <c r="B171" s="54" t="s">
        <v>27</v>
      </c>
      <c r="C171" s="50" t="s">
        <v>307</v>
      </c>
      <c r="D171" s="46" t="s">
        <v>431</v>
      </c>
      <c r="E171" s="47" t="s">
        <v>311</v>
      </c>
      <c r="F171" s="46" t="s">
        <v>237</v>
      </c>
      <c r="G171" s="48" t="s">
        <v>429</v>
      </c>
      <c r="H171" s="48" t="s">
        <v>429</v>
      </c>
      <c r="I171" s="56"/>
      <c r="J171" s="68" t="s">
        <v>514</v>
      </c>
      <c r="K171" s="68" t="s">
        <v>514</v>
      </c>
      <c r="L171" s="68"/>
    </row>
    <row r="172" spans="1:12" ht="16.2" x14ac:dyDescent="0.4">
      <c r="A172" s="15" t="str">
        <f t="shared" si="2"/>
        <v>cd_imv_out_certifzn_clmtc_invrn</v>
      </c>
      <c r="B172" s="54" t="s">
        <v>27</v>
      </c>
      <c r="C172" s="50" t="s">
        <v>307</v>
      </c>
      <c r="D172" s="46" t="s">
        <v>431</v>
      </c>
      <c r="E172" s="47" t="s">
        <v>311</v>
      </c>
      <c r="F172" s="46" t="s">
        <v>238</v>
      </c>
      <c r="G172" s="48" t="s">
        <v>429</v>
      </c>
      <c r="H172" s="48" t="s">
        <v>429</v>
      </c>
      <c r="I172" s="56"/>
      <c r="J172" s="68" t="s">
        <v>514</v>
      </c>
      <c r="K172" s="68" t="s">
        <v>514</v>
      </c>
      <c r="L172" s="68"/>
    </row>
    <row r="173" spans="1:12" ht="16.2" x14ac:dyDescent="0.4">
      <c r="A173" s="15" t="str">
        <f t="shared" si="2"/>
        <v>cd_imv_out_certifzn_clmtc_vr</v>
      </c>
      <c r="B173" s="54" t="s">
        <v>27</v>
      </c>
      <c r="C173" s="50" t="s">
        <v>307</v>
      </c>
      <c r="D173" s="46" t="s">
        <v>431</v>
      </c>
      <c r="E173" s="47" t="s">
        <v>311</v>
      </c>
      <c r="F173" s="46" t="s">
        <v>239</v>
      </c>
      <c r="G173" s="48" t="s">
        <v>429</v>
      </c>
      <c r="H173" s="48" t="s">
        <v>429</v>
      </c>
      <c r="I173" s="56"/>
      <c r="J173" s="68" t="s">
        <v>514</v>
      </c>
      <c r="K173" s="68" t="s">
        <v>514</v>
      </c>
      <c r="L173" s="68"/>
    </row>
    <row r="174" spans="1:12" ht="16.2" x14ac:dyDescent="0.4">
      <c r="A174" s="15" t="str">
        <f t="shared" si="2"/>
        <v>modesg_param_sfcs_taxon_europeian.a.</v>
      </c>
      <c r="B174" s="54" t="s">
        <v>27</v>
      </c>
      <c r="C174" s="50" t="s">
        <v>29</v>
      </c>
      <c r="D174" s="46" t="s">
        <v>430</v>
      </c>
      <c r="E174" s="47" t="s">
        <v>316</v>
      </c>
      <c r="F174" s="46" t="s">
        <v>7</v>
      </c>
      <c r="G174" s="48" t="s">
        <v>428</v>
      </c>
      <c r="H174" s="48" t="s">
        <v>428</v>
      </c>
      <c r="I174" s="56"/>
      <c r="J174" s="68" t="s">
        <v>514</v>
      </c>
      <c r="K174" s="68" t="s">
        <v>514</v>
      </c>
      <c r="L174" s="68"/>
    </row>
    <row r="175" spans="1:12" ht="16.2" x14ac:dyDescent="0.4">
      <c r="A175" s="15" t="str">
        <f t="shared" si="2"/>
        <v>modesg_param_sfcs_taxon_europeiacbalcao</v>
      </c>
      <c r="B175" s="54" t="s">
        <v>27</v>
      </c>
      <c r="C175" s="50" t="s">
        <v>29</v>
      </c>
      <c r="D175" s="46" t="s">
        <v>431</v>
      </c>
      <c r="E175" s="47" t="s">
        <v>316</v>
      </c>
      <c r="F175" s="46" t="s">
        <v>149</v>
      </c>
      <c r="G175" s="48" t="s">
        <v>425</v>
      </c>
      <c r="H175" s="48" t="s">
        <v>425</v>
      </c>
      <c r="I175" s="56"/>
      <c r="J175" s="68" t="s">
        <v>514</v>
      </c>
      <c r="K175" s="68" t="s">
        <v>514</v>
      </c>
      <c r="L175" s="68"/>
    </row>
    <row r="176" spans="1:12" ht="16.2" x14ac:dyDescent="0.4">
      <c r="A176" s="15" t="str">
        <f t="shared" si="2"/>
        <v>modesg_param_sfcs_taxon_europeiacempresa</v>
      </c>
      <c r="B176" s="54" t="s">
        <v>27</v>
      </c>
      <c r="C176" s="50" t="s">
        <v>29</v>
      </c>
      <c r="D176" s="46" t="s">
        <v>431</v>
      </c>
      <c r="E176" s="47" t="s">
        <v>316</v>
      </c>
      <c r="F176" s="46" t="s">
        <v>148</v>
      </c>
      <c r="G176" s="48" t="s">
        <v>425</v>
      </c>
      <c r="H176" s="48" t="s">
        <v>425</v>
      </c>
      <c r="I176" s="56"/>
      <c r="J176" s="68" t="s">
        <v>514</v>
      </c>
      <c r="K176" s="68" t="s">
        <v>514</v>
      </c>
      <c r="L176" s="68"/>
    </row>
    <row r="177" spans="1:12" ht="16.2" x14ac:dyDescent="0.4">
      <c r="A177" s="15" t="str">
        <f t="shared" si="2"/>
        <v>modesg_param_sfcs_taxon_europeiackmetamis</v>
      </c>
      <c r="B177" s="54" t="s">
        <v>27</v>
      </c>
      <c r="C177" s="50" t="s">
        <v>29</v>
      </c>
      <c r="D177" s="46" t="s">
        <v>431</v>
      </c>
      <c r="E177" s="47" t="s">
        <v>316</v>
      </c>
      <c r="F177" s="46" t="s">
        <v>166</v>
      </c>
      <c r="G177" s="48" t="s">
        <v>425</v>
      </c>
      <c r="H177" s="48" t="s">
        <v>425</v>
      </c>
      <c r="I177" s="56"/>
      <c r="J177" s="68" t="s">
        <v>514</v>
      </c>
      <c r="K177" s="68" t="s">
        <v>514</v>
      </c>
      <c r="L177" s="68"/>
    </row>
    <row r="178" spans="1:12" ht="16.2" x14ac:dyDescent="0.4">
      <c r="A178" s="15" t="str">
        <f t="shared" si="2"/>
        <v>modesg_param_sfcs_taxon_europeiackprodmi</v>
      </c>
      <c r="B178" s="54" t="s">
        <v>27</v>
      </c>
      <c r="C178" s="50" t="s">
        <v>29</v>
      </c>
      <c r="D178" s="46" t="s">
        <v>431</v>
      </c>
      <c r="E178" s="47" t="s">
        <v>316</v>
      </c>
      <c r="F178" s="46" t="s">
        <v>167</v>
      </c>
      <c r="G178" s="48" t="s">
        <v>425</v>
      </c>
      <c r="H178" s="48" t="s">
        <v>425</v>
      </c>
      <c r="I178" s="56"/>
      <c r="J178" s="68" t="s">
        <v>514</v>
      </c>
      <c r="K178" s="68" t="s">
        <v>514</v>
      </c>
      <c r="L178" s="68"/>
    </row>
    <row r="179" spans="1:12" ht="16.2" x14ac:dyDescent="0.4">
      <c r="A179" s="15" t="str">
        <f t="shared" si="2"/>
        <v>modesg_param_sfcs_taxon_europeiacmetanseg</v>
      </c>
      <c r="B179" s="54" t="s">
        <v>27</v>
      </c>
      <c r="C179" s="50" t="s">
        <v>29</v>
      </c>
      <c r="D179" s="46" t="s">
        <v>431</v>
      </c>
      <c r="E179" s="47" t="s">
        <v>316</v>
      </c>
      <c r="F179" s="46" t="s">
        <v>168</v>
      </c>
      <c r="G179" s="48" t="s">
        <v>425</v>
      </c>
      <c r="H179" s="48" t="s">
        <v>425</v>
      </c>
      <c r="I179" s="56"/>
      <c r="J179" s="68" t="s">
        <v>514</v>
      </c>
      <c r="K179" s="68" t="s">
        <v>514</v>
      </c>
      <c r="L179" s="68"/>
    </row>
    <row r="180" spans="1:12" ht="16.2" x14ac:dyDescent="0.4">
      <c r="A180" s="15" t="str">
        <f t="shared" si="2"/>
        <v>modesg_param_sfcs_taxon_europeiacnsm_co2</v>
      </c>
      <c r="B180" s="54" t="s">
        <v>27</v>
      </c>
      <c r="C180" s="50" t="s">
        <v>29</v>
      </c>
      <c r="D180" s="46" t="s">
        <v>431</v>
      </c>
      <c r="E180" s="47" t="s">
        <v>316</v>
      </c>
      <c r="F180" s="46" t="s">
        <v>147</v>
      </c>
      <c r="G180" s="48" t="s">
        <v>425</v>
      </c>
      <c r="H180" s="48" t="s">
        <v>425</v>
      </c>
      <c r="I180" s="56"/>
      <c r="J180" s="68" t="s">
        <v>514</v>
      </c>
      <c r="K180" s="68" t="s">
        <v>514</v>
      </c>
      <c r="L180" s="68"/>
    </row>
    <row r="181" spans="1:12" ht="16.2" x14ac:dyDescent="0.4">
      <c r="A181" s="15" t="str">
        <f t="shared" si="2"/>
        <v>modesg_param_sfcs_taxon_europeiacnumecta</v>
      </c>
      <c r="B181" s="54" t="s">
        <v>27</v>
      </c>
      <c r="C181" s="50" t="s">
        <v>29</v>
      </c>
      <c r="D181" s="46" t="s">
        <v>431</v>
      </c>
      <c r="E181" s="47" t="s">
        <v>316</v>
      </c>
      <c r="F181" s="46" t="s">
        <v>150</v>
      </c>
      <c r="G181" s="48" t="s">
        <v>425</v>
      </c>
      <c r="H181" s="48" t="s">
        <v>425</v>
      </c>
      <c r="I181" s="56"/>
      <c r="J181" s="68" t="s">
        <v>514</v>
      </c>
      <c r="K181" s="68" t="s">
        <v>514</v>
      </c>
      <c r="L181" s="68"/>
    </row>
    <row r="182" spans="1:12" ht="16.2" x14ac:dyDescent="0.4">
      <c r="A182" s="15" t="str">
        <f t="shared" si="2"/>
        <v>modesg_param_sfcs_taxon_europeiacod_lease</v>
      </c>
      <c r="B182" s="54" t="s">
        <v>27</v>
      </c>
      <c r="C182" s="50" t="s">
        <v>29</v>
      </c>
      <c r="D182" s="46" t="s">
        <v>431</v>
      </c>
      <c r="E182" s="47" t="s">
        <v>316</v>
      </c>
      <c r="F182" s="46" t="s">
        <v>169</v>
      </c>
      <c r="G182" s="48" t="s">
        <v>425</v>
      </c>
      <c r="H182" s="48" t="s">
        <v>425</v>
      </c>
      <c r="I182" s="56"/>
      <c r="J182" s="68" t="s">
        <v>514</v>
      </c>
      <c r="K182" s="68" t="s">
        <v>514</v>
      </c>
      <c r="L182" s="68"/>
    </row>
    <row r="183" spans="1:12" ht="16.2" x14ac:dyDescent="0.4">
      <c r="A183" s="15" t="str">
        <f t="shared" si="2"/>
        <v>modesg_param_sfcs_taxon_europeiacod_regra</v>
      </c>
      <c r="B183" s="54" t="s">
        <v>27</v>
      </c>
      <c r="C183" s="50" t="s">
        <v>29</v>
      </c>
      <c r="D183" s="46" t="s">
        <v>431</v>
      </c>
      <c r="E183" s="47" t="s">
        <v>316</v>
      </c>
      <c r="F183" s="46" t="s">
        <v>152</v>
      </c>
      <c r="G183" s="48" t="s">
        <v>428</v>
      </c>
      <c r="H183" s="48" t="s">
        <v>428</v>
      </c>
      <c r="I183" s="56"/>
      <c r="J183" s="68" t="s">
        <v>514</v>
      </c>
      <c r="K183" s="68" t="s">
        <v>514</v>
      </c>
      <c r="L183" s="68"/>
    </row>
    <row r="184" spans="1:12" ht="16.2" x14ac:dyDescent="0.4">
      <c r="A184" s="15" t="str">
        <f t="shared" si="2"/>
        <v>modesg_param_sfcs_taxon_europeiacomite</v>
      </c>
      <c r="B184" s="54" t="s">
        <v>27</v>
      </c>
      <c r="C184" s="50" t="s">
        <v>29</v>
      </c>
      <c r="D184" s="46" t="s">
        <v>431</v>
      </c>
      <c r="E184" s="47" t="s">
        <v>316</v>
      </c>
      <c r="F184" s="46" t="s">
        <v>162</v>
      </c>
      <c r="G184" s="48" t="s">
        <v>428</v>
      </c>
      <c r="H184" s="48" t="s">
        <v>428</v>
      </c>
      <c r="I184" s="56"/>
      <c r="J184" s="68" t="s">
        <v>514</v>
      </c>
      <c r="K184" s="68" t="s">
        <v>514</v>
      </c>
      <c r="L184" s="68"/>
    </row>
    <row r="185" spans="1:12" ht="16.2" x14ac:dyDescent="0.4">
      <c r="A185" s="15" t="str">
        <f t="shared" si="2"/>
        <v>modesg_param_sfcs_taxon_europeiadata_aprvc</v>
      </c>
      <c r="B185" s="54" t="s">
        <v>27</v>
      </c>
      <c r="C185" s="50" t="s">
        <v>29</v>
      </c>
      <c r="D185" s="46" t="s">
        <v>431</v>
      </c>
      <c r="E185" s="47" t="s">
        <v>316</v>
      </c>
      <c r="F185" s="46" t="s">
        <v>163</v>
      </c>
      <c r="G185" s="48" t="s">
        <v>428</v>
      </c>
      <c r="H185" s="48" t="s">
        <v>428</v>
      </c>
      <c r="I185" s="56"/>
      <c r="J185" s="68" t="s">
        <v>514</v>
      </c>
      <c r="K185" s="68" t="s">
        <v>514</v>
      </c>
      <c r="L185" s="68"/>
    </row>
    <row r="186" spans="1:12" ht="16.2" x14ac:dyDescent="0.4">
      <c r="A186" s="15" t="str">
        <f t="shared" si="2"/>
        <v>modesg_param_sfcs_taxon_europeiadata_final</v>
      </c>
      <c r="B186" s="54" t="s">
        <v>27</v>
      </c>
      <c r="C186" s="50" t="s">
        <v>29</v>
      </c>
      <c r="D186" s="46" t="s">
        <v>431</v>
      </c>
      <c r="E186" s="47" t="s">
        <v>316</v>
      </c>
      <c r="F186" s="46" t="s">
        <v>165</v>
      </c>
      <c r="G186" s="48" t="s">
        <v>428</v>
      </c>
      <c r="H186" s="48" t="s">
        <v>428</v>
      </c>
      <c r="I186" s="56"/>
      <c r="J186" s="68" t="s">
        <v>514</v>
      </c>
      <c r="K186" s="68" t="s">
        <v>514</v>
      </c>
      <c r="L186" s="68"/>
    </row>
    <row r="187" spans="1:12" ht="16.2" x14ac:dyDescent="0.4">
      <c r="A187" s="15" t="str">
        <f t="shared" si="2"/>
        <v>modesg_param_sfcs_taxon_europeiadata_inicial</v>
      </c>
      <c r="B187" s="54" t="s">
        <v>27</v>
      </c>
      <c r="C187" s="50" t="s">
        <v>29</v>
      </c>
      <c r="D187" s="46" t="s">
        <v>431</v>
      </c>
      <c r="E187" s="47" t="s">
        <v>316</v>
      </c>
      <c r="F187" s="46" t="s">
        <v>164</v>
      </c>
      <c r="G187" s="48" t="s">
        <v>428</v>
      </c>
      <c r="H187" s="48" t="s">
        <v>428</v>
      </c>
      <c r="I187" s="56"/>
      <c r="J187" s="68" t="s">
        <v>514</v>
      </c>
      <c r="K187" s="68" t="s">
        <v>514</v>
      </c>
      <c r="L187" s="68"/>
    </row>
    <row r="188" spans="1:12" ht="16.2" x14ac:dyDescent="0.4">
      <c r="A188" s="15" t="str">
        <f t="shared" si="2"/>
        <v>modesg_param_sfcs_taxon_europeiadominio</v>
      </c>
      <c r="B188" s="54" t="s">
        <v>27</v>
      </c>
      <c r="C188" s="50" t="s">
        <v>29</v>
      </c>
      <c r="D188" s="46" t="s">
        <v>431</v>
      </c>
      <c r="E188" s="47" t="s">
        <v>316</v>
      </c>
      <c r="F188" s="46" t="s">
        <v>160</v>
      </c>
      <c r="G188" s="48" t="s">
        <v>425</v>
      </c>
      <c r="H188" s="48" t="s">
        <v>425</v>
      </c>
      <c r="I188" s="56"/>
      <c r="J188" s="68" t="s">
        <v>514</v>
      </c>
      <c r="K188" s="68" t="s">
        <v>514</v>
      </c>
      <c r="L188" s="68"/>
    </row>
    <row r="189" spans="1:12" ht="16.2" x14ac:dyDescent="0.4">
      <c r="A189" s="15" t="str">
        <f t="shared" si="2"/>
        <v>modesg_param_sfcs_taxon_europeiadscrc</v>
      </c>
      <c r="B189" s="54" t="s">
        <v>27</v>
      </c>
      <c r="C189" s="50" t="s">
        <v>29</v>
      </c>
      <c r="D189" s="46" t="s">
        <v>431</v>
      </c>
      <c r="E189" s="47" t="s">
        <v>316</v>
      </c>
      <c r="F189" s="46" t="s">
        <v>161</v>
      </c>
      <c r="G189" s="48" t="s">
        <v>425</v>
      </c>
      <c r="H189" s="48" t="s">
        <v>425</v>
      </c>
      <c r="I189" s="56"/>
      <c r="J189" s="68" t="s">
        <v>514</v>
      </c>
      <c r="K189" s="68" t="s">
        <v>514</v>
      </c>
      <c r="L189" s="68"/>
    </row>
    <row r="190" spans="1:12" ht="16.2" x14ac:dyDescent="0.4">
      <c r="A190" s="15" t="str">
        <f t="shared" si="2"/>
        <v>modesg_param_sfcs_taxon_europeiaepc</v>
      </c>
      <c r="B190" s="54" t="s">
        <v>27</v>
      </c>
      <c r="C190" s="50" t="s">
        <v>29</v>
      </c>
      <c r="D190" s="46" t="s">
        <v>431</v>
      </c>
      <c r="E190" s="47" t="s">
        <v>316</v>
      </c>
      <c r="F190" s="46" t="s">
        <v>127</v>
      </c>
      <c r="G190" s="48" t="s">
        <v>425</v>
      </c>
      <c r="H190" s="48" t="s">
        <v>425</v>
      </c>
      <c r="I190" s="56"/>
      <c r="J190" s="68" t="s">
        <v>514</v>
      </c>
      <c r="K190" s="68" t="s">
        <v>514</v>
      </c>
      <c r="L190" s="68"/>
    </row>
    <row r="191" spans="1:12" ht="16.2" x14ac:dyDescent="0.4">
      <c r="A191" s="15" t="str">
        <f t="shared" si="2"/>
        <v>modesg_param_sfcs_taxon_europeiaflag_project_finance</v>
      </c>
      <c r="B191" s="54" t="s">
        <v>27</v>
      </c>
      <c r="C191" s="50" t="s">
        <v>29</v>
      </c>
      <c r="D191" s="46" t="s">
        <v>431</v>
      </c>
      <c r="E191" s="47" t="s">
        <v>316</v>
      </c>
      <c r="F191" s="46" t="s">
        <v>304</v>
      </c>
      <c r="G191" s="48" t="s">
        <v>428</v>
      </c>
      <c r="H191" s="48" t="s">
        <v>428</v>
      </c>
      <c r="I191" s="57" t="s">
        <v>483</v>
      </c>
      <c r="J191" s="68" t="s">
        <v>514</v>
      </c>
      <c r="K191" s="68" t="s">
        <v>514</v>
      </c>
      <c r="L191" s="68"/>
    </row>
    <row r="192" spans="1:12" ht="16.2" x14ac:dyDescent="0.4">
      <c r="A192" s="15" t="str">
        <f t="shared" si="2"/>
        <v>modesg_param_sfcs_taxon_europeiacfinalidad</v>
      </c>
      <c r="B192" s="54" t="s">
        <v>27</v>
      </c>
      <c r="C192" s="50" t="s">
        <v>29</v>
      </c>
      <c r="D192" s="46" t="s">
        <v>431</v>
      </c>
      <c r="E192" s="47" t="s">
        <v>316</v>
      </c>
      <c r="F192" s="46" t="s">
        <v>305</v>
      </c>
      <c r="G192" s="48" t="s">
        <v>428</v>
      </c>
      <c r="H192" s="48" t="s">
        <v>428</v>
      </c>
      <c r="I192" s="57" t="s">
        <v>483</v>
      </c>
      <c r="J192" s="68" t="s">
        <v>514</v>
      </c>
      <c r="K192" s="68" t="s">
        <v>514</v>
      </c>
      <c r="L192" s="68"/>
    </row>
    <row r="193" spans="1:12" ht="16.2" x14ac:dyDescent="0.4">
      <c r="A193" s="15" t="str">
        <f t="shared" si="2"/>
        <v>modesg_param_sfcs_taxon_europeiatipo_combust</v>
      </c>
      <c r="B193" s="54" t="s">
        <v>27</v>
      </c>
      <c r="C193" s="50" t="s">
        <v>29</v>
      </c>
      <c r="D193" s="46" t="s">
        <v>431</v>
      </c>
      <c r="E193" s="47" t="s">
        <v>316</v>
      </c>
      <c r="F193" s="46" t="s">
        <v>423</v>
      </c>
      <c r="G193" s="48" t="s">
        <v>428</v>
      </c>
      <c r="H193" s="48" t="s">
        <v>428</v>
      </c>
      <c r="I193" s="57" t="s">
        <v>170</v>
      </c>
      <c r="J193" s="68" t="s">
        <v>514</v>
      </c>
      <c r="K193" s="68" t="s">
        <v>514</v>
      </c>
      <c r="L193" s="68"/>
    </row>
    <row r="194" spans="1:12" ht="16.2" x14ac:dyDescent="0.4">
      <c r="A194" s="15" t="str">
        <f t="shared" si="2"/>
        <v>modesg_param_sfcs_taxon_europeiamontante_pndrc</v>
      </c>
      <c r="B194" s="54" t="s">
        <v>27</v>
      </c>
      <c r="C194" s="50" t="s">
        <v>29</v>
      </c>
      <c r="D194" s="46" t="s">
        <v>431</v>
      </c>
      <c r="E194" s="47" t="s">
        <v>316</v>
      </c>
      <c r="F194" s="46" t="s">
        <v>158</v>
      </c>
      <c r="G194" s="48" t="s">
        <v>428</v>
      </c>
      <c r="H194" s="48" t="s">
        <v>428</v>
      </c>
      <c r="I194" s="56"/>
      <c r="J194" s="68" t="s">
        <v>514</v>
      </c>
      <c r="K194" s="68" t="s">
        <v>514</v>
      </c>
      <c r="L194" s="68"/>
    </row>
    <row r="195" spans="1:12" ht="16.2" x14ac:dyDescent="0.4">
      <c r="A195" s="15" t="str">
        <f t="shared" si="2"/>
        <v>modesg_param_sfcs_taxon_europeianome_ctgr_sfcs</v>
      </c>
      <c r="B195" s="54" t="s">
        <v>27</v>
      </c>
      <c r="C195" s="50" t="s">
        <v>29</v>
      </c>
      <c r="D195" s="46" t="s">
        <v>431</v>
      </c>
      <c r="E195" s="47" t="s">
        <v>316</v>
      </c>
      <c r="F195" s="46" t="s">
        <v>153</v>
      </c>
      <c r="G195" s="48" t="s">
        <v>428</v>
      </c>
      <c r="H195" s="48" t="s">
        <v>428</v>
      </c>
      <c r="I195" s="56"/>
      <c r="J195" s="68" t="s">
        <v>514</v>
      </c>
      <c r="K195" s="68" t="s">
        <v>514</v>
      </c>
      <c r="L195" s="68"/>
    </row>
    <row r="196" spans="1:12" ht="16.2" x14ac:dyDescent="0.4">
      <c r="A196" s="15" t="str">
        <f t="shared" si="2"/>
        <v>modesg_param_sfcs_taxon_europeianome_general_specific_purpose</v>
      </c>
      <c r="B196" s="54" t="s">
        <v>27</v>
      </c>
      <c r="C196" s="50" t="s">
        <v>29</v>
      </c>
      <c r="D196" s="46" t="s">
        <v>431</v>
      </c>
      <c r="E196" s="47" t="s">
        <v>316</v>
      </c>
      <c r="F196" s="46" t="s">
        <v>155</v>
      </c>
      <c r="G196" s="48" t="s">
        <v>425</v>
      </c>
      <c r="H196" s="48" t="s">
        <v>425</v>
      </c>
      <c r="I196" s="56"/>
      <c r="J196" s="68" t="s">
        <v>514</v>
      </c>
      <c r="K196" s="68" t="s">
        <v>514</v>
      </c>
      <c r="L196" s="68"/>
    </row>
    <row r="197" spans="1:12" ht="16.2" x14ac:dyDescent="0.4">
      <c r="A197" s="15" t="str">
        <f t="shared" si="2"/>
        <v>modesg_param_sfcs_taxon_europeianome_purpose_esg</v>
      </c>
      <c r="B197" s="54" t="s">
        <v>27</v>
      </c>
      <c r="C197" s="50" t="s">
        <v>29</v>
      </c>
      <c r="D197" s="46" t="s">
        <v>431</v>
      </c>
      <c r="E197" s="47" t="s">
        <v>316</v>
      </c>
      <c r="F197" s="46" t="s">
        <v>154</v>
      </c>
      <c r="G197" s="48" t="s">
        <v>425</v>
      </c>
      <c r="H197" s="48" t="s">
        <v>425</v>
      </c>
      <c r="I197" s="56"/>
      <c r="J197" s="68" t="s">
        <v>514</v>
      </c>
      <c r="K197" s="68" t="s">
        <v>514</v>
      </c>
      <c r="L197" s="68"/>
    </row>
    <row r="198" spans="1:12" ht="16.2" x14ac:dyDescent="0.4">
      <c r="A198" s="15" t="str">
        <f t="shared" si="2"/>
        <v>modesg_param_sfcs_taxon_europeianome_specific_eligible</v>
      </c>
      <c r="B198" s="54" t="s">
        <v>27</v>
      </c>
      <c r="C198" s="50" t="s">
        <v>29</v>
      </c>
      <c r="D198" s="46" t="s">
        <v>431</v>
      </c>
      <c r="E198" s="47" t="s">
        <v>316</v>
      </c>
      <c r="F198" s="46" t="s">
        <v>156</v>
      </c>
      <c r="G198" s="48" t="s">
        <v>425</v>
      </c>
      <c r="H198" s="48" t="s">
        <v>425</v>
      </c>
      <c r="I198" s="56"/>
      <c r="J198" s="68" t="s">
        <v>514</v>
      </c>
      <c r="K198" s="68" t="s">
        <v>514</v>
      </c>
      <c r="L198" s="68"/>
    </row>
    <row r="199" spans="1:12" ht="16.2" x14ac:dyDescent="0.4">
      <c r="A199" s="15" t="str">
        <f t="shared" si="2"/>
        <v>modesg_param_sfcs_taxon_europeianome_specific_sustainable</v>
      </c>
      <c r="B199" s="54" t="s">
        <v>27</v>
      </c>
      <c r="C199" s="50" t="s">
        <v>29</v>
      </c>
      <c r="D199" s="46" t="s">
        <v>431</v>
      </c>
      <c r="E199" s="47" t="s">
        <v>316</v>
      </c>
      <c r="F199" s="46" t="s">
        <v>157</v>
      </c>
      <c r="G199" s="48" t="s">
        <v>425</v>
      </c>
      <c r="H199" s="48" t="s">
        <v>425</v>
      </c>
      <c r="I199" s="56"/>
      <c r="J199" s="68" t="s">
        <v>514</v>
      </c>
      <c r="K199" s="68" t="s">
        <v>514</v>
      </c>
      <c r="L199" s="68"/>
    </row>
    <row r="200" spans="1:12" ht="16.2" x14ac:dyDescent="0.4">
      <c r="A200" s="15" t="str">
        <f t="shared" ref="A200:A263" si="3">E200&amp;F200</f>
        <v>modesg_param_sfcs_taxon_europeiaref_date</v>
      </c>
      <c r="B200" s="54" t="s">
        <v>27</v>
      </c>
      <c r="C200" s="50" t="s">
        <v>29</v>
      </c>
      <c r="D200" s="46" t="s">
        <v>431</v>
      </c>
      <c r="E200" s="47" t="s">
        <v>316</v>
      </c>
      <c r="F200" s="46" t="s">
        <v>44</v>
      </c>
      <c r="G200" s="48" t="s">
        <v>425</v>
      </c>
      <c r="H200" s="48" t="s">
        <v>425</v>
      </c>
      <c r="I200" s="56"/>
      <c r="J200" s="68" t="s">
        <v>514</v>
      </c>
      <c r="K200" s="68" t="s">
        <v>514</v>
      </c>
      <c r="L200" s="68"/>
    </row>
    <row r="201" spans="1:12" ht="16.2" x14ac:dyDescent="0.4">
      <c r="A201" s="15" t="str">
        <f t="shared" si="3"/>
        <v>modesg_param_sfcs_taxon_europeiazcliente</v>
      </c>
      <c r="B201" s="54" t="s">
        <v>27</v>
      </c>
      <c r="C201" s="50" t="s">
        <v>29</v>
      </c>
      <c r="D201" s="46" t="s">
        <v>431</v>
      </c>
      <c r="E201" s="47" t="s">
        <v>316</v>
      </c>
      <c r="F201" s="46" t="s">
        <v>142</v>
      </c>
      <c r="G201" s="48" t="s">
        <v>425</v>
      </c>
      <c r="H201" s="48" t="s">
        <v>425</v>
      </c>
      <c r="I201" s="56"/>
      <c r="J201" s="68" t="s">
        <v>514</v>
      </c>
      <c r="K201" s="68" t="s">
        <v>514</v>
      </c>
      <c r="L201" s="68"/>
    </row>
    <row r="202" spans="1:12" ht="16.2" x14ac:dyDescent="0.4">
      <c r="A202" s="15" t="str">
        <f t="shared" si="3"/>
        <v>modesg_param_sfcs_taxon_europeiazdeposit</v>
      </c>
      <c r="B202" s="54" t="s">
        <v>27</v>
      </c>
      <c r="C202" s="50" t="s">
        <v>29</v>
      </c>
      <c r="D202" s="46" t="s">
        <v>431</v>
      </c>
      <c r="E202" s="47" t="s">
        <v>316</v>
      </c>
      <c r="F202" s="46" t="s">
        <v>151</v>
      </c>
      <c r="G202" s="48" t="s">
        <v>425</v>
      </c>
      <c r="H202" s="48" t="s">
        <v>425</v>
      </c>
      <c r="I202" s="56"/>
      <c r="J202" s="68" t="s">
        <v>514</v>
      </c>
      <c r="K202" s="68" t="s">
        <v>514</v>
      </c>
      <c r="L202" s="68"/>
    </row>
    <row r="203" spans="1:12" ht="16.2" x14ac:dyDescent="0.4">
      <c r="A203" s="15" t="str">
        <f t="shared" si="3"/>
        <v>modesg_inp_emss_vclsn.a.</v>
      </c>
      <c r="B203" s="54" t="s">
        <v>27</v>
      </c>
      <c r="C203" s="50" t="s">
        <v>29</v>
      </c>
      <c r="D203" s="46" t="s">
        <v>430</v>
      </c>
      <c r="E203" s="47" t="s">
        <v>36</v>
      </c>
      <c r="F203" s="46" t="s">
        <v>7</v>
      </c>
      <c r="G203" s="48" t="s">
        <v>427</v>
      </c>
      <c r="H203" s="48" t="s">
        <v>427</v>
      </c>
      <c r="I203" s="56" t="s">
        <v>482</v>
      </c>
      <c r="J203" s="68">
        <v>45471</v>
      </c>
      <c r="K203" s="68" t="s">
        <v>514</v>
      </c>
      <c r="L203" s="68"/>
    </row>
    <row r="204" spans="1:12" ht="16.2" x14ac:dyDescent="0.4">
      <c r="A204" s="15" t="str">
        <f t="shared" si="3"/>
        <v>modesg_inp_km_medios_emss_vclsn.a.</v>
      </c>
      <c r="B204" s="54" t="s">
        <v>27</v>
      </c>
      <c r="C204" s="50" t="s">
        <v>29</v>
      </c>
      <c r="D204" s="46" t="s">
        <v>430</v>
      </c>
      <c r="E204" s="47" t="s">
        <v>37</v>
      </c>
      <c r="F204" s="46" t="s">
        <v>7</v>
      </c>
      <c r="G204" s="48" t="s">
        <v>427</v>
      </c>
      <c r="H204" s="48" t="s">
        <v>427</v>
      </c>
      <c r="I204" s="56" t="s">
        <v>482</v>
      </c>
      <c r="J204" s="68" t="s">
        <v>514</v>
      </c>
      <c r="K204" s="68" t="s">
        <v>514</v>
      </c>
      <c r="L204" s="68"/>
    </row>
    <row r="205" spans="1:12" ht="16.2" x14ac:dyDescent="0.4">
      <c r="A205" s="15" t="str">
        <f t="shared" si="3"/>
        <v>modesg_inp_empr_excl_parisn.a.</v>
      </c>
      <c r="B205" s="54" t="s">
        <v>27</v>
      </c>
      <c r="C205" s="50" t="s">
        <v>29</v>
      </c>
      <c r="D205" s="46" t="s">
        <v>430</v>
      </c>
      <c r="E205" s="47" t="s">
        <v>38</v>
      </c>
      <c r="F205" s="46" t="s">
        <v>7</v>
      </c>
      <c r="G205" s="48" t="s">
        <v>425</v>
      </c>
      <c r="H205" s="48" t="s">
        <v>425</v>
      </c>
      <c r="I205" s="56"/>
      <c r="J205" s="68" t="s">
        <v>514</v>
      </c>
      <c r="K205" s="68" t="s">
        <v>514</v>
      </c>
      <c r="L205" s="68"/>
    </row>
    <row r="206" spans="1:12" ht="16.2" x14ac:dyDescent="0.4">
      <c r="A206" s="15" t="str">
        <f t="shared" si="3"/>
        <v>modesg_inp_nfrd_alinhamento_taxn.a.</v>
      </c>
      <c r="B206" s="54" t="s">
        <v>27</v>
      </c>
      <c r="C206" s="50" t="s">
        <v>29</v>
      </c>
      <c r="D206" s="46" t="s">
        <v>430</v>
      </c>
      <c r="E206" s="47" t="s">
        <v>39</v>
      </c>
      <c r="F206" s="46" t="s">
        <v>7</v>
      </c>
      <c r="G206" s="48" t="s">
        <v>427</v>
      </c>
      <c r="H206" s="48" t="s">
        <v>427</v>
      </c>
      <c r="I206" s="56" t="s">
        <v>482</v>
      </c>
      <c r="J206" s="68" t="s">
        <v>514</v>
      </c>
      <c r="K206" s="68" t="s">
        <v>514</v>
      </c>
      <c r="L206" s="68"/>
    </row>
    <row r="207" spans="1:12" ht="16.2" x14ac:dyDescent="0.4">
      <c r="A207" s="15" t="str">
        <f t="shared" si="3"/>
        <v>modesg_inp_risco_fisicon.a.</v>
      </c>
      <c r="B207" s="54" t="s">
        <v>27</v>
      </c>
      <c r="C207" s="50" t="s">
        <v>29</v>
      </c>
      <c r="D207" s="46" t="s">
        <v>430</v>
      </c>
      <c r="E207" s="47" t="s">
        <v>40</v>
      </c>
      <c r="F207" s="46" t="s">
        <v>7</v>
      </c>
      <c r="G207" s="48" t="s">
        <v>425</v>
      </c>
      <c r="H207" s="48" t="s">
        <v>425</v>
      </c>
      <c r="I207" s="56"/>
      <c r="J207" s="68" t="s">
        <v>514</v>
      </c>
      <c r="K207" s="68" t="s">
        <v>514</v>
      </c>
      <c r="L207" s="68"/>
    </row>
    <row r="208" spans="1:12" ht="16.2" x14ac:dyDescent="0.4">
      <c r="A208" s="15" t="str">
        <f t="shared" si="3"/>
        <v>modesg_inp_emss_scibn.a.</v>
      </c>
      <c r="B208" s="54" t="s">
        <v>27</v>
      </c>
      <c r="C208" s="50" t="s">
        <v>29</v>
      </c>
      <c r="D208" s="46" t="s">
        <v>430</v>
      </c>
      <c r="E208" s="47" t="s">
        <v>41</v>
      </c>
      <c r="F208" s="46" t="s">
        <v>7</v>
      </c>
      <c r="G208" s="48" t="s">
        <v>425</v>
      </c>
      <c r="H208" s="48" t="s">
        <v>425</v>
      </c>
      <c r="I208" s="56"/>
      <c r="J208" s="68" t="s">
        <v>514</v>
      </c>
      <c r="K208" s="68" t="s">
        <v>514</v>
      </c>
      <c r="L208" s="68"/>
    </row>
    <row r="209" spans="1:12" ht="16.2" x14ac:dyDescent="0.4">
      <c r="A209" s="15" t="str">
        <f t="shared" si="3"/>
        <v>modesg_inp_emss_nacen.a.</v>
      </c>
      <c r="B209" s="54" t="s">
        <v>27</v>
      </c>
      <c r="C209" s="50" t="s">
        <v>29</v>
      </c>
      <c r="D209" s="46" t="s">
        <v>430</v>
      </c>
      <c r="E209" s="47" t="s">
        <v>42</v>
      </c>
      <c r="F209" s="46" t="s">
        <v>7</v>
      </c>
      <c r="G209" s="48" t="s">
        <v>427</v>
      </c>
      <c r="H209" s="48" t="s">
        <v>427</v>
      </c>
      <c r="I209" s="56" t="s">
        <v>482</v>
      </c>
      <c r="J209" s="68" t="s">
        <v>514</v>
      </c>
      <c r="K209" s="68" t="s">
        <v>514</v>
      </c>
      <c r="L209" s="68"/>
    </row>
    <row r="210" spans="1:12" ht="16.2" x14ac:dyDescent="0.4">
      <c r="A210" s="15" t="str">
        <f t="shared" si="3"/>
        <v>modesg_inp_emss_bens_imoveisn.a.</v>
      </c>
      <c r="B210" s="54" t="s">
        <v>27</v>
      </c>
      <c r="C210" s="50" t="s">
        <v>29</v>
      </c>
      <c r="D210" s="46" t="s">
        <v>430</v>
      </c>
      <c r="E210" s="47" t="s">
        <v>43</v>
      </c>
      <c r="F210" s="46" t="s">
        <v>7</v>
      </c>
      <c r="G210" s="48" t="s">
        <v>427</v>
      </c>
      <c r="H210" s="48" t="s">
        <v>427</v>
      </c>
      <c r="I210" s="56" t="s">
        <v>482</v>
      </c>
      <c r="J210" s="68" t="s">
        <v>514</v>
      </c>
      <c r="K210" s="68" t="s">
        <v>514</v>
      </c>
      <c r="L210" s="68"/>
    </row>
    <row r="211" spans="1:12" ht="16.2" x14ac:dyDescent="0.4">
      <c r="A211" s="15" t="str">
        <f t="shared" si="3"/>
        <v>modesg_inp_emss_vclsref_date</v>
      </c>
      <c r="B211" s="54" t="s">
        <v>27</v>
      </c>
      <c r="C211" s="50" t="s">
        <v>29</v>
      </c>
      <c r="D211" s="46" t="s">
        <v>431</v>
      </c>
      <c r="E211" s="47" t="s">
        <v>36</v>
      </c>
      <c r="F211" s="46" t="s">
        <v>44</v>
      </c>
      <c r="G211" s="48" t="s">
        <v>427</v>
      </c>
      <c r="H211" s="48" t="s">
        <v>427</v>
      </c>
      <c r="I211" s="56" t="s">
        <v>482</v>
      </c>
      <c r="J211" s="68" t="s">
        <v>514</v>
      </c>
      <c r="K211" s="68" t="s">
        <v>514</v>
      </c>
      <c r="L211" s="68"/>
    </row>
    <row r="212" spans="1:12" ht="16.2" x14ac:dyDescent="0.4">
      <c r="A212" s="15" t="str">
        <f t="shared" si="3"/>
        <v>modesg_inp_emss_vclsnome_regiao</v>
      </c>
      <c r="B212" s="54" t="s">
        <v>27</v>
      </c>
      <c r="C212" s="50" t="s">
        <v>29</v>
      </c>
      <c r="D212" s="46" t="s">
        <v>431</v>
      </c>
      <c r="E212" s="47" t="s">
        <v>36</v>
      </c>
      <c r="F212" s="46" t="s">
        <v>45</v>
      </c>
      <c r="G212" s="48" t="s">
        <v>427</v>
      </c>
      <c r="H212" s="48" t="s">
        <v>427</v>
      </c>
      <c r="I212" s="56" t="s">
        <v>482</v>
      </c>
      <c r="J212" s="68" t="s">
        <v>514</v>
      </c>
      <c r="K212" s="68" t="s">
        <v>514</v>
      </c>
      <c r="L212" s="68"/>
    </row>
    <row r="213" spans="1:12" ht="16.2" x14ac:dyDescent="0.4">
      <c r="A213" s="15" t="str">
        <f t="shared" si="3"/>
        <v>modesg_inp_emss_vclsnome_pais</v>
      </c>
      <c r="B213" s="54" t="s">
        <v>27</v>
      </c>
      <c r="C213" s="50" t="s">
        <v>29</v>
      </c>
      <c r="D213" s="46" t="s">
        <v>431</v>
      </c>
      <c r="E213" s="47" t="s">
        <v>36</v>
      </c>
      <c r="F213" s="46" t="s">
        <v>46</v>
      </c>
      <c r="G213" s="48" t="s">
        <v>427</v>
      </c>
      <c r="H213" s="48" t="s">
        <v>427</v>
      </c>
      <c r="I213" s="56" t="s">
        <v>482</v>
      </c>
      <c r="J213" s="68" t="s">
        <v>514</v>
      </c>
      <c r="K213" s="68" t="s">
        <v>514</v>
      </c>
      <c r="L213" s="68"/>
    </row>
    <row r="214" spans="1:12" ht="16.2" x14ac:dyDescent="0.4">
      <c r="A214" s="15" t="str">
        <f t="shared" si="3"/>
        <v>modesg_inp_emss_vclsnome_estado</v>
      </c>
      <c r="B214" s="54" t="s">
        <v>27</v>
      </c>
      <c r="C214" s="50" t="s">
        <v>29</v>
      </c>
      <c r="D214" s="46" t="s">
        <v>431</v>
      </c>
      <c r="E214" s="47" t="s">
        <v>36</v>
      </c>
      <c r="F214" s="46" t="s">
        <v>47</v>
      </c>
      <c r="G214" s="48" t="s">
        <v>427</v>
      </c>
      <c r="H214" s="48" t="s">
        <v>427</v>
      </c>
      <c r="I214" s="56" t="s">
        <v>482</v>
      </c>
      <c r="J214" s="68" t="s">
        <v>514</v>
      </c>
      <c r="K214" s="68" t="s">
        <v>514</v>
      </c>
      <c r="L214" s="68"/>
    </row>
    <row r="215" spans="1:12" ht="16.2" x14ac:dyDescent="0.4">
      <c r="A215" s="15" t="str">
        <f t="shared" si="3"/>
        <v>modesg_inp_emss_vclstipo_veiculo</v>
      </c>
      <c r="B215" s="54" t="s">
        <v>27</v>
      </c>
      <c r="C215" s="50" t="s">
        <v>29</v>
      </c>
      <c r="D215" s="46" t="s">
        <v>431</v>
      </c>
      <c r="E215" s="47" t="s">
        <v>36</v>
      </c>
      <c r="F215" s="46" t="s">
        <v>48</v>
      </c>
      <c r="G215" s="48" t="s">
        <v>427</v>
      </c>
      <c r="H215" s="48" t="s">
        <v>427</v>
      </c>
      <c r="I215" s="56" t="s">
        <v>482</v>
      </c>
      <c r="J215" s="68" t="s">
        <v>514</v>
      </c>
      <c r="K215" s="68" t="s">
        <v>514</v>
      </c>
      <c r="L215" s="68"/>
    </row>
    <row r="216" spans="1:12" ht="16.2" x14ac:dyDescent="0.4">
      <c r="A216" s="15" t="str">
        <f t="shared" si="3"/>
        <v>modesg_inp_emss_vclstipo_motor</v>
      </c>
      <c r="B216" s="54" t="s">
        <v>27</v>
      </c>
      <c r="C216" s="50" t="s">
        <v>29</v>
      </c>
      <c r="D216" s="46" t="s">
        <v>431</v>
      </c>
      <c r="E216" s="47" t="s">
        <v>36</v>
      </c>
      <c r="F216" s="46" t="s">
        <v>49</v>
      </c>
      <c r="G216" s="48" t="s">
        <v>427</v>
      </c>
      <c r="H216" s="48" t="s">
        <v>427</v>
      </c>
      <c r="I216" s="56" t="s">
        <v>482</v>
      </c>
      <c r="J216" s="68" t="s">
        <v>514</v>
      </c>
      <c r="K216" s="68" t="s">
        <v>514</v>
      </c>
      <c r="L216" s="68"/>
    </row>
    <row r="217" spans="1:12" ht="16.2" x14ac:dyDescent="0.4">
      <c r="A217" s="15" t="str">
        <f t="shared" si="3"/>
        <v>modesg_inp_emss_vclsmarca</v>
      </c>
      <c r="B217" s="54" t="s">
        <v>27</v>
      </c>
      <c r="C217" s="50" t="s">
        <v>29</v>
      </c>
      <c r="D217" s="46" t="s">
        <v>431</v>
      </c>
      <c r="E217" s="47" t="s">
        <v>36</v>
      </c>
      <c r="F217" s="46" t="s">
        <v>50</v>
      </c>
      <c r="G217" s="48" t="s">
        <v>427</v>
      </c>
      <c r="H217" s="48" t="s">
        <v>427</v>
      </c>
      <c r="I217" s="56" t="s">
        <v>482</v>
      </c>
      <c r="J217" s="68" t="s">
        <v>514</v>
      </c>
      <c r="K217" s="68" t="s">
        <v>514</v>
      </c>
      <c r="L217" s="68"/>
    </row>
    <row r="218" spans="1:12" ht="16.2" x14ac:dyDescent="0.4">
      <c r="A218" s="15" t="str">
        <f t="shared" si="3"/>
        <v>modesg_inp_emss_vclsmodelo</v>
      </c>
      <c r="B218" s="54" t="s">
        <v>27</v>
      </c>
      <c r="C218" s="50" t="s">
        <v>29</v>
      </c>
      <c r="D218" s="46" t="s">
        <v>431</v>
      </c>
      <c r="E218" s="47" t="s">
        <v>36</v>
      </c>
      <c r="F218" s="46" t="s">
        <v>51</v>
      </c>
      <c r="G218" s="48" t="s">
        <v>427</v>
      </c>
      <c r="H218" s="48" t="s">
        <v>427</v>
      </c>
      <c r="I218" s="56" t="s">
        <v>482</v>
      </c>
      <c r="J218" s="68" t="s">
        <v>514</v>
      </c>
      <c r="K218" s="68" t="s">
        <v>514</v>
      </c>
      <c r="L218" s="68"/>
    </row>
    <row r="219" spans="1:12" ht="16.2" x14ac:dyDescent="0.4">
      <c r="A219" s="15" t="str">
        <f t="shared" si="3"/>
        <v>modesg_inp_emss_vclsdata_level_5</v>
      </c>
      <c r="B219" s="54" t="s">
        <v>27</v>
      </c>
      <c r="C219" s="50" t="s">
        <v>29</v>
      </c>
      <c r="D219" s="46" t="s">
        <v>431</v>
      </c>
      <c r="E219" s="47" t="s">
        <v>36</v>
      </c>
      <c r="F219" s="46" t="s">
        <v>52</v>
      </c>
      <c r="G219" s="48" t="s">
        <v>427</v>
      </c>
      <c r="H219" s="48" t="s">
        <v>427</v>
      </c>
      <c r="I219" s="57" t="s">
        <v>484</v>
      </c>
      <c r="J219" s="68" t="s">
        <v>514</v>
      </c>
      <c r="K219" s="68" t="s">
        <v>514</v>
      </c>
      <c r="L219" s="68"/>
    </row>
    <row r="220" spans="1:12" ht="16.2" x14ac:dyDescent="0.4">
      <c r="A220" s="15" t="str">
        <f t="shared" si="3"/>
        <v>modesg_inp_emss_vclsnome_unidade_funcional</v>
      </c>
      <c r="B220" s="54" t="s">
        <v>27</v>
      </c>
      <c r="C220" s="50" t="s">
        <v>29</v>
      </c>
      <c r="D220" s="46" t="s">
        <v>431</v>
      </c>
      <c r="E220" s="47" t="s">
        <v>36</v>
      </c>
      <c r="F220" s="46" t="s">
        <v>53</v>
      </c>
      <c r="G220" s="48" t="s">
        <v>427</v>
      </c>
      <c r="H220" s="48" t="s">
        <v>427</v>
      </c>
      <c r="I220" s="56" t="s">
        <v>482</v>
      </c>
      <c r="J220" s="68" t="s">
        <v>514</v>
      </c>
      <c r="K220" s="68" t="s">
        <v>514</v>
      </c>
      <c r="L220" s="68"/>
    </row>
    <row r="221" spans="1:12" ht="16.2" x14ac:dyDescent="0.4">
      <c r="A221" s="15" t="str">
        <f t="shared" si="3"/>
        <v>modesg_inp_emss_vclsunidade_funcional</v>
      </c>
      <c r="B221" s="54" t="s">
        <v>27</v>
      </c>
      <c r="C221" s="50" t="s">
        <v>29</v>
      </c>
      <c r="D221" s="46" t="s">
        <v>431</v>
      </c>
      <c r="E221" s="47" t="s">
        <v>36</v>
      </c>
      <c r="F221" s="46" t="s">
        <v>54</v>
      </c>
      <c r="G221" s="48" t="s">
        <v>427</v>
      </c>
      <c r="H221" s="48" t="s">
        <v>427</v>
      </c>
      <c r="I221" s="56" t="s">
        <v>482</v>
      </c>
      <c r="J221" s="68" t="s">
        <v>514</v>
      </c>
      <c r="K221" s="68" t="s">
        <v>514</v>
      </c>
      <c r="L221" s="68"/>
    </row>
    <row r="222" spans="1:12" ht="16.2" x14ac:dyDescent="0.4">
      <c r="A222" s="15" t="str">
        <f t="shared" si="3"/>
        <v>modesg_inp_emss_vclsnome_fator_emissao</v>
      </c>
      <c r="B222" s="54" t="s">
        <v>27</v>
      </c>
      <c r="C222" s="50" t="s">
        <v>29</v>
      </c>
      <c r="D222" s="46" t="s">
        <v>431</v>
      </c>
      <c r="E222" s="47" t="s">
        <v>36</v>
      </c>
      <c r="F222" s="46" t="s">
        <v>55</v>
      </c>
      <c r="G222" s="48" t="s">
        <v>427</v>
      </c>
      <c r="H222" s="48" t="s">
        <v>427</v>
      </c>
      <c r="I222" s="56" t="s">
        <v>482</v>
      </c>
      <c r="J222" s="68" t="s">
        <v>514</v>
      </c>
      <c r="K222" s="68" t="s">
        <v>514</v>
      </c>
      <c r="L222" s="68"/>
    </row>
    <row r="223" spans="1:12" ht="16.2" x14ac:dyDescent="0.4">
      <c r="A223" s="15" t="str">
        <f t="shared" si="3"/>
        <v>modesg_inp_emss_vclsunidade_fator_emissao</v>
      </c>
      <c r="B223" s="54" t="s">
        <v>27</v>
      </c>
      <c r="C223" s="50" t="s">
        <v>29</v>
      </c>
      <c r="D223" s="46" t="s">
        <v>431</v>
      </c>
      <c r="E223" s="47" t="s">
        <v>36</v>
      </c>
      <c r="F223" s="46" t="s">
        <v>56</v>
      </c>
      <c r="G223" s="48" t="s">
        <v>427</v>
      </c>
      <c r="H223" s="48" t="s">
        <v>427</v>
      </c>
      <c r="I223" s="56" t="s">
        <v>482</v>
      </c>
      <c r="J223" s="68" t="s">
        <v>514</v>
      </c>
      <c r="K223" s="68" t="s">
        <v>514</v>
      </c>
      <c r="L223" s="68"/>
    </row>
    <row r="224" spans="1:12" ht="16.2" x14ac:dyDescent="0.4">
      <c r="A224" s="15" t="str">
        <f t="shared" si="3"/>
        <v>modesg_inp_emss_vclsscore_qualidade</v>
      </c>
      <c r="B224" s="54" t="s">
        <v>27</v>
      </c>
      <c r="C224" s="50" t="s">
        <v>29</v>
      </c>
      <c r="D224" s="46" t="s">
        <v>431</v>
      </c>
      <c r="E224" s="47" t="s">
        <v>36</v>
      </c>
      <c r="F224" s="46" t="s">
        <v>57</v>
      </c>
      <c r="G224" s="48" t="s">
        <v>427</v>
      </c>
      <c r="H224" s="48" t="s">
        <v>427</v>
      </c>
      <c r="I224" s="56" t="s">
        <v>482</v>
      </c>
      <c r="J224" s="68" t="s">
        <v>514</v>
      </c>
      <c r="K224" s="68" t="s">
        <v>514</v>
      </c>
      <c r="L224" s="68"/>
    </row>
    <row r="225" spans="1:12" ht="16.2" x14ac:dyDescent="0.4">
      <c r="A225" s="15" t="str">
        <f t="shared" si="3"/>
        <v>modesg_inp_emss_vclsscp1_ftr_emss</v>
      </c>
      <c r="B225" s="54" t="s">
        <v>27</v>
      </c>
      <c r="C225" s="50" t="s">
        <v>29</v>
      </c>
      <c r="D225" s="46" t="s">
        <v>431</v>
      </c>
      <c r="E225" s="47" t="s">
        <v>36</v>
      </c>
      <c r="F225" s="46" t="s">
        <v>58</v>
      </c>
      <c r="G225" s="48" t="s">
        <v>427</v>
      </c>
      <c r="H225" s="48" t="s">
        <v>427</v>
      </c>
      <c r="I225" s="56" t="s">
        <v>482</v>
      </c>
      <c r="J225" s="68" t="s">
        <v>514</v>
      </c>
      <c r="K225" s="68" t="s">
        <v>514</v>
      </c>
      <c r="L225" s="68"/>
    </row>
    <row r="226" spans="1:12" ht="16.2" x14ac:dyDescent="0.4">
      <c r="A226" s="15" t="str">
        <f t="shared" si="3"/>
        <v>modesg_inp_emss_vclsscp2_ftr_emss</v>
      </c>
      <c r="B226" s="54" t="s">
        <v>27</v>
      </c>
      <c r="C226" s="50" t="s">
        <v>29</v>
      </c>
      <c r="D226" s="46" t="s">
        <v>431</v>
      </c>
      <c r="E226" s="47" t="s">
        <v>36</v>
      </c>
      <c r="F226" s="46" t="s">
        <v>59</v>
      </c>
      <c r="G226" s="48" t="s">
        <v>427</v>
      </c>
      <c r="H226" s="48" t="s">
        <v>427</v>
      </c>
      <c r="I226" s="56" t="s">
        <v>482</v>
      </c>
      <c r="J226" s="68" t="s">
        <v>514</v>
      </c>
      <c r="K226" s="68" t="s">
        <v>514</v>
      </c>
      <c r="L226" s="68"/>
    </row>
    <row r="227" spans="1:12" ht="16.2" x14ac:dyDescent="0.4">
      <c r="A227" s="15" t="str">
        <f t="shared" si="3"/>
        <v>modesg_inp_emss_vclsscp3_ftr_emss</v>
      </c>
      <c r="B227" s="54" t="s">
        <v>27</v>
      </c>
      <c r="C227" s="50" t="s">
        <v>29</v>
      </c>
      <c r="D227" s="46" t="s">
        <v>431</v>
      </c>
      <c r="E227" s="47" t="s">
        <v>36</v>
      </c>
      <c r="F227" s="46" t="s">
        <v>60</v>
      </c>
      <c r="G227" s="48" t="s">
        <v>427</v>
      </c>
      <c r="H227" s="48" t="s">
        <v>427</v>
      </c>
      <c r="I227" s="56" t="s">
        <v>482</v>
      </c>
      <c r="J227" s="68" t="s">
        <v>514</v>
      </c>
      <c r="K227" s="68" t="s">
        <v>514</v>
      </c>
      <c r="L227" s="68"/>
    </row>
    <row r="228" spans="1:12" ht="16.2" x14ac:dyDescent="0.4">
      <c r="A228" s="15" t="str">
        <f t="shared" si="3"/>
        <v>modesg_inp_km_medios_emss_vclsref_date</v>
      </c>
      <c r="B228" s="54" t="s">
        <v>27</v>
      </c>
      <c r="C228" s="50" t="s">
        <v>29</v>
      </c>
      <c r="D228" s="46" t="s">
        <v>431</v>
      </c>
      <c r="E228" s="47" t="s">
        <v>37</v>
      </c>
      <c r="F228" s="46" t="s">
        <v>44</v>
      </c>
      <c r="G228" s="48" t="s">
        <v>427</v>
      </c>
      <c r="H228" s="48" t="s">
        <v>427</v>
      </c>
      <c r="I228" s="56" t="s">
        <v>482</v>
      </c>
      <c r="J228" s="68" t="s">
        <v>514</v>
      </c>
      <c r="K228" s="68" t="s">
        <v>514</v>
      </c>
      <c r="L228" s="68"/>
    </row>
    <row r="229" spans="1:12" ht="16.2" x14ac:dyDescent="0.4">
      <c r="A229" s="15" t="str">
        <f t="shared" si="3"/>
        <v>modesg_inp_km_medios_emss_vclsnome_pais</v>
      </c>
      <c r="B229" s="54" t="s">
        <v>27</v>
      </c>
      <c r="C229" s="50" t="s">
        <v>29</v>
      </c>
      <c r="D229" s="46" t="s">
        <v>431</v>
      </c>
      <c r="E229" s="47" t="s">
        <v>37</v>
      </c>
      <c r="F229" s="46" t="s">
        <v>46</v>
      </c>
      <c r="G229" s="48" t="s">
        <v>427</v>
      </c>
      <c r="H229" s="48" t="s">
        <v>427</v>
      </c>
      <c r="I229" s="56" t="s">
        <v>482</v>
      </c>
      <c r="J229" s="68" t="s">
        <v>514</v>
      </c>
      <c r="K229" s="68" t="s">
        <v>514</v>
      </c>
      <c r="L229" s="68"/>
    </row>
    <row r="230" spans="1:12" ht="16.2" x14ac:dyDescent="0.4">
      <c r="A230" s="15" t="str">
        <f t="shared" si="3"/>
        <v>modesg_inp_km_medios_emss_vclstipo_vcl</v>
      </c>
      <c r="B230" s="54" t="s">
        <v>27</v>
      </c>
      <c r="C230" s="50" t="s">
        <v>29</v>
      </c>
      <c r="D230" s="46" t="s">
        <v>431</v>
      </c>
      <c r="E230" s="47" t="s">
        <v>37</v>
      </c>
      <c r="F230" s="46" t="s">
        <v>61</v>
      </c>
      <c r="G230" s="48" t="s">
        <v>427</v>
      </c>
      <c r="H230" s="48" t="s">
        <v>427</v>
      </c>
      <c r="I230" s="56" t="s">
        <v>482</v>
      </c>
      <c r="J230" s="68" t="s">
        <v>514</v>
      </c>
      <c r="K230" s="68" t="s">
        <v>514</v>
      </c>
      <c r="L230" s="68"/>
    </row>
    <row r="231" spans="1:12" ht="16.2" x14ac:dyDescent="0.4">
      <c r="A231" s="15" t="str">
        <f t="shared" si="3"/>
        <v>modesg_inp_km_medios_emss_vclstipo_motor</v>
      </c>
      <c r="B231" s="54" t="s">
        <v>27</v>
      </c>
      <c r="C231" s="50" t="s">
        <v>29</v>
      </c>
      <c r="D231" s="46" t="s">
        <v>431</v>
      </c>
      <c r="E231" s="47" t="s">
        <v>37</v>
      </c>
      <c r="F231" s="46" t="s">
        <v>49</v>
      </c>
      <c r="G231" s="48" t="s">
        <v>427</v>
      </c>
      <c r="H231" s="48" t="s">
        <v>427</v>
      </c>
      <c r="I231" s="56" t="s">
        <v>482</v>
      </c>
      <c r="J231" s="68" t="s">
        <v>514</v>
      </c>
      <c r="K231" s="68" t="s">
        <v>514</v>
      </c>
      <c r="L231" s="68"/>
    </row>
    <row r="232" spans="1:12" ht="16.2" x14ac:dyDescent="0.4">
      <c r="A232" s="15" t="str">
        <f t="shared" si="3"/>
        <v>modesg_inp_km_medios_emss_vclsdata_level_5</v>
      </c>
      <c r="B232" s="54" t="s">
        <v>27</v>
      </c>
      <c r="C232" s="50" t="s">
        <v>29</v>
      </c>
      <c r="D232" s="46" t="s">
        <v>431</v>
      </c>
      <c r="E232" s="47" t="s">
        <v>37</v>
      </c>
      <c r="F232" s="46" t="s">
        <v>52</v>
      </c>
      <c r="G232" s="48" t="s">
        <v>427</v>
      </c>
      <c r="H232" s="48" t="s">
        <v>427</v>
      </c>
      <c r="I232" s="57" t="s">
        <v>484</v>
      </c>
      <c r="J232" s="68" t="s">
        <v>514</v>
      </c>
      <c r="K232" s="68" t="s">
        <v>514</v>
      </c>
      <c r="L232" s="68"/>
    </row>
    <row r="233" spans="1:12" ht="16.2" x14ac:dyDescent="0.4">
      <c r="A233" s="15" t="str">
        <f t="shared" si="3"/>
        <v>modesg_inp_km_medios_emss_vclsmedia_km</v>
      </c>
      <c r="B233" s="54" t="s">
        <v>27</v>
      </c>
      <c r="C233" s="50" t="s">
        <v>29</v>
      </c>
      <c r="D233" s="46" t="s">
        <v>431</v>
      </c>
      <c r="E233" s="47" t="s">
        <v>37</v>
      </c>
      <c r="F233" s="46" t="s">
        <v>62</v>
      </c>
      <c r="G233" s="48" t="s">
        <v>427</v>
      </c>
      <c r="H233" s="48" t="s">
        <v>427</v>
      </c>
      <c r="I233" s="56" t="s">
        <v>482</v>
      </c>
      <c r="J233" s="68" t="s">
        <v>514</v>
      </c>
      <c r="K233" s="68" t="s">
        <v>514</v>
      </c>
      <c r="L233" s="68"/>
    </row>
    <row r="234" spans="1:12" ht="16.2" x14ac:dyDescent="0.4">
      <c r="A234" s="15" t="str">
        <f t="shared" si="3"/>
        <v>modesg_inp_empr_excl_parisref_date</v>
      </c>
      <c r="B234" s="54" t="s">
        <v>27</v>
      </c>
      <c r="C234" s="50" t="s">
        <v>29</v>
      </c>
      <c r="D234" s="46" t="s">
        <v>431</v>
      </c>
      <c r="E234" s="47" t="s">
        <v>38</v>
      </c>
      <c r="F234" s="46" t="s">
        <v>44</v>
      </c>
      <c r="G234" s="48" t="s">
        <v>425</v>
      </c>
      <c r="H234" s="48" t="s">
        <v>425</v>
      </c>
      <c r="I234" s="56"/>
      <c r="J234" s="68" t="s">
        <v>514</v>
      </c>
      <c r="K234" s="68" t="s">
        <v>514</v>
      </c>
      <c r="L234" s="68"/>
    </row>
    <row r="235" spans="1:12" ht="16.2" x14ac:dyDescent="0.4">
      <c r="A235" s="15" t="str">
        <f t="shared" si="3"/>
        <v>modesg_inp_empr_excl_parisisin</v>
      </c>
      <c r="B235" s="54" t="s">
        <v>27</v>
      </c>
      <c r="C235" s="50" t="s">
        <v>29</v>
      </c>
      <c r="D235" s="46" t="s">
        <v>431</v>
      </c>
      <c r="E235" s="47" t="s">
        <v>38</v>
      </c>
      <c r="F235" s="46" t="s">
        <v>63</v>
      </c>
      <c r="G235" s="48" t="s">
        <v>425</v>
      </c>
      <c r="H235" s="48" t="s">
        <v>425</v>
      </c>
      <c r="I235" s="56"/>
      <c r="J235" s="68" t="s">
        <v>514</v>
      </c>
      <c r="K235" s="68" t="s">
        <v>514</v>
      </c>
      <c r="L235" s="68"/>
    </row>
    <row r="236" spans="1:12" ht="16.2" x14ac:dyDescent="0.4">
      <c r="A236" s="15" t="str">
        <f t="shared" si="3"/>
        <v>modesg_inp_empr_excl_parisclei</v>
      </c>
      <c r="B236" s="54" t="s">
        <v>27</v>
      </c>
      <c r="C236" s="50" t="s">
        <v>29</v>
      </c>
      <c r="D236" s="46" t="s">
        <v>431</v>
      </c>
      <c r="E236" s="47" t="s">
        <v>38</v>
      </c>
      <c r="F236" s="46" t="s">
        <v>64</v>
      </c>
      <c r="G236" s="48" t="s">
        <v>425</v>
      </c>
      <c r="H236" s="48" t="s">
        <v>425</v>
      </c>
      <c r="I236" s="56"/>
      <c r="J236" s="68" t="s">
        <v>514</v>
      </c>
      <c r="K236" s="68" t="s">
        <v>514</v>
      </c>
      <c r="L236" s="68"/>
    </row>
    <row r="237" spans="1:12" ht="16.2" x14ac:dyDescent="0.4">
      <c r="A237" s="15" t="str">
        <f t="shared" si="3"/>
        <v>modesg_inp_empr_excl_parisccli_kgl</v>
      </c>
      <c r="B237" s="54" t="s">
        <v>27</v>
      </c>
      <c r="C237" s="50" t="s">
        <v>29</v>
      </c>
      <c r="D237" s="46" t="s">
        <v>431</v>
      </c>
      <c r="E237" s="47" t="s">
        <v>38</v>
      </c>
      <c r="F237" s="46" t="s">
        <v>65</v>
      </c>
      <c r="G237" s="48" t="s">
        <v>425</v>
      </c>
      <c r="H237" s="48" t="s">
        <v>425</v>
      </c>
      <c r="I237" s="56"/>
      <c r="J237" s="68" t="s">
        <v>514</v>
      </c>
      <c r="K237" s="68" t="s">
        <v>514</v>
      </c>
      <c r="L237" s="68"/>
    </row>
    <row r="238" spans="1:12" ht="16.2" x14ac:dyDescent="0.4">
      <c r="A238" s="15" t="str">
        <f t="shared" si="3"/>
        <v>modesg_inp_empr_excl_parisnome_entidade</v>
      </c>
      <c r="B238" s="54" t="s">
        <v>27</v>
      </c>
      <c r="C238" s="50" t="s">
        <v>29</v>
      </c>
      <c r="D238" s="46" t="s">
        <v>431</v>
      </c>
      <c r="E238" s="47" t="s">
        <v>38</v>
      </c>
      <c r="F238" s="46" t="s">
        <v>66</v>
      </c>
      <c r="G238" s="48" t="s">
        <v>425</v>
      </c>
      <c r="H238" s="48" t="s">
        <v>425</v>
      </c>
      <c r="I238" s="56"/>
      <c r="J238" s="68" t="s">
        <v>514</v>
      </c>
      <c r="K238" s="68" t="s">
        <v>514</v>
      </c>
      <c r="L238" s="68"/>
    </row>
    <row r="239" spans="1:12" ht="16.2" x14ac:dyDescent="0.4">
      <c r="A239" s="15" t="str">
        <f t="shared" si="3"/>
        <v>modesg_inp_empr_excl_parisflg_scib</v>
      </c>
      <c r="B239" s="54" t="s">
        <v>27</v>
      </c>
      <c r="C239" s="50" t="s">
        <v>29</v>
      </c>
      <c r="D239" s="46" t="s">
        <v>431</v>
      </c>
      <c r="E239" s="47" t="s">
        <v>38</v>
      </c>
      <c r="F239" s="46" t="s">
        <v>67</v>
      </c>
      <c r="G239" s="48" t="s">
        <v>425</v>
      </c>
      <c r="H239" s="48" t="s">
        <v>425</v>
      </c>
      <c r="I239" s="56"/>
      <c r="J239" s="68" t="s">
        <v>514</v>
      </c>
      <c r="K239" s="68" t="s">
        <v>514</v>
      </c>
      <c r="L239" s="68"/>
    </row>
    <row r="240" spans="1:12" ht="16.2" x14ac:dyDescent="0.4">
      <c r="A240" s="15" t="str">
        <f t="shared" si="3"/>
        <v>modesg_inp_empr_excl_parisnome_pais</v>
      </c>
      <c r="B240" s="54" t="s">
        <v>27</v>
      </c>
      <c r="C240" s="50" t="s">
        <v>29</v>
      </c>
      <c r="D240" s="46" t="s">
        <v>431</v>
      </c>
      <c r="E240" s="47" t="s">
        <v>38</v>
      </c>
      <c r="F240" s="46" t="s">
        <v>46</v>
      </c>
      <c r="G240" s="48" t="s">
        <v>425</v>
      </c>
      <c r="H240" s="48" t="s">
        <v>425</v>
      </c>
      <c r="I240" s="56"/>
      <c r="J240" s="68" t="s">
        <v>514</v>
      </c>
      <c r="K240" s="68" t="s">
        <v>514</v>
      </c>
      <c r="L240" s="68"/>
    </row>
    <row r="241" spans="1:12" ht="16.2" x14ac:dyDescent="0.4">
      <c r="A241" s="15" t="str">
        <f t="shared" si="3"/>
        <v>modesg_inp_nfrd_alinhamento_taxref_date</v>
      </c>
      <c r="B241" s="54" t="s">
        <v>27</v>
      </c>
      <c r="C241" s="50" t="s">
        <v>29</v>
      </c>
      <c r="D241" s="46" t="s">
        <v>431</v>
      </c>
      <c r="E241" s="47" t="s">
        <v>39</v>
      </c>
      <c r="F241" s="46" t="s">
        <v>44</v>
      </c>
      <c r="G241" s="48" t="s">
        <v>427</v>
      </c>
      <c r="H241" s="48" t="s">
        <v>427</v>
      </c>
      <c r="I241" s="56" t="s">
        <v>482</v>
      </c>
      <c r="J241" s="68" t="s">
        <v>514</v>
      </c>
      <c r="K241" s="68" t="s">
        <v>514</v>
      </c>
      <c r="L241" s="68"/>
    </row>
    <row r="242" spans="1:12" ht="16.2" x14ac:dyDescent="0.4">
      <c r="A242" s="15" t="str">
        <f t="shared" si="3"/>
        <v>modesg_inp_nfrd_alinhamento_taxccli_kgl</v>
      </c>
      <c r="B242" s="54" t="s">
        <v>27</v>
      </c>
      <c r="C242" s="50" t="s">
        <v>29</v>
      </c>
      <c r="D242" s="46" t="s">
        <v>431</v>
      </c>
      <c r="E242" s="47" t="s">
        <v>39</v>
      </c>
      <c r="F242" s="46" t="s">
        <v>65</v>
      </c>
      <c r="G242" s="48" t="s">
        <v>427</v>
      </c>
      <c r="H242" s="48" t="s">
        <v>427</v>
      </c>
      <c r="I242" s="56" t="s">
        <v>482</v>
      </c>
      <c r="J242" s="68" t="s">
        <v>514</v>
      </c>
      <c r="K242" s="68" t="s">
        <v>514</v>
      </c>
      <c r="L242" s="68"/>
    </row>
    <row r="243" spans="1:12" ht="16.2" x14ac:dyDescent="0.4">
      <c r="A243" s="15" t="str">
        <f t="shared" si="3"/>
        <v>modesg_inp_nfrd_alinhamento_taxclei</v>
      </c>
      <c r="B243" s="54" t="s">
        <v>27</v>
      </c>
      <c r="C243" s="50" t="s">
        <v>29</v>
      </c>
      <c r="D243" s="46" t="s">
        <v>431</v>
      </c>
      <c r="E243" s="47" t="s">
        <v>39</v>
      </c>
      <c r="F243" s="46" t="s">
        <v>64</v>
      </c>
      <c r="G243" s="48" t="s">
        <v>427</v>
      </c>
      <c r="H243" s="48" t="s">
        <v>427</v>
      </c>
      <c r="I243" s="56" t="s">
        <v>482</v>
      </c>
      <c r="J243" s="68" t="s">
        <v>514</v>
      </c>
      <c r="K243" s="68" t="s">
        <v>514</v>
      </c>
      <c r="L243" s="68"/>
    </row>
    <row r="244" spans="1:12" ht="16.2" x14ac:dyDescent="0.4">
      <c r="A244" s="15" t="str">
        <f t="shared" si="3"/>
        <v>modesg_inp_nfrd_alinhamento_taxperm_id</v>
      </c>
      <c r="B244" s="54" t="s">
        <v>27</v>
      </c>
      <c r="C244" s="50" t="s">
        <v>29</v>
      </c>
      <c r="D244" s="46" t="s">
        <v>431</v>
      </c>
      <c r="E244" s="47" t="s">
        <v>39</v>
      </c>
      <c r="F244" s="46" t="s">
        <v>68</v>
      </c>
      <c r="G244" s="48" t="s">
        <v>427</v>
      </c>
      <c r="H244" s="48" t="s">
        <v>427</v>
      </c>
      <c r="I244" s="56" t="s">
        <v>482</v>
      </c>
      <c r="J244" s="68" t="s">
        <v>514</v>
      </c>
      <c r="K244" s="68" t="s">
        <v>514</v>
      </c>
      <c r="L244" s="68"/>
    </row>
    <row r="245" spans="1:12" ht="16.2" x14ac:dyDescent="0.4">
      <c r="A245" s="15" t="str">
        <f t="shared" si="3"/>
        <v>modesg_inp_nfrd_alinhamento_taxnome_entidade</v>
      </c>
      <c r="B245" s="54" t="s">
        <v>27</v>
      </c>
      <c r="C245" s="50" t="s">
        <v>29</v>
      </c>
      <c r="D245" s="46" t="s">
        <v>431</v>
      </c>
      <c r="E245" s="47" t="s">
        <v>39</v>
      </c>
      <c r="F245" s="46" t="s">
        <v>66</v>
      </c>
      <c r="G245" s="48" t="s">
        <v>427</v>
      </c>
      <c r="H245" s="48" t="s">
        <v>427</v>
      </c>
      <c r="I245" s="56" t="s">
        <v>482</v>
      </c>
      <c r="J245" s="68" t="s">
        <v>514</v>
      </c>
      <c r="K245" s="68" t="s">
        <v>514</v>
      </c>
      <c r="L245" s="68"/>
    </row>
    <row r="246" spans="1:12" ht="16.2" x14ac:dyDescent="0.4">
      <c r="A246" s="15" t="str">
        <f t="shared" si="3"/>
        <v>modesg_inp_nfrd_alinhamento_taxflg_nfrd</v>
      </c>
      <c r="B246" s="54" t="s">
        <v>27</v>
      </c>
      <c r="C246" s="50" t="s">
        <v>29</v>
      </c>
      <c r="D246" s="46" t="s">
        <v>431</v>
      </c>
      <c r="E246" s="47" t="s">
        <v>39</v>
      </c>
      <c r="F246" s="46" t="s">
        <v>69</v>
      </c>
      <c r="G246" s="48" t="s">
        <v>427</v>
      </c>
      <c r="H246" s="48" t="s">
        <v>427</v>
      </c>
      <c r="I246" s="56" t="s">
        <v>482</v>
      </c>
      <c r="J246" s="68" t="s">
        <v>514</v>
      </c>
      <c r="K246" s="68" t="s">
        <v>514</v>
      </c>
      <c r="L246" s="68"/>
    </row>
    <row r="247" spans="1:12" ht="16.2" x14ac:dyDescent="0.4">
      <c r="A247" s="15" t="str">
        <f t="shared" si="3"/>
        <v>modesg_inp_nfrd_alinhamento_taxcca_trnvr_ttl_elgbl</v>
      </c>
      <c r="B247" s="54" t="s">
        <v>27</v>
      </c>
      <c r="C247" s="50" t="s">
        <v>29</v>
      </c>
      <c r="D247" s="46" t="s">
        <v>431</v>
      </c>
      <c r="E247" s="47" t="s">
        <v>39</v>
      </c>
      <c r="F247" s="46" t="s">
        <v>70</v>
      </c>
      <c r="G247" s="48" t="s">
        <v>427</v>
      </c>
      <c r="H247" s="48" t="s">
        <v>427</v>
      </c>
      <c r="I247" s="56" t="s">
        <v>482</v>
      </c>
      <c r="J247" s="68" t="s">
        <v>514</v>
      </c>
      <c r="K247" s="68" t="s">
        <v>514</v>
      </c>
      <c r="L247" s="68"/>
    </row>
    <row r="248" spans="1:12" ht="16.2" x14ac:dyDescent="0.4">
      <c r="A248" s="15" t="str">
        <f t="shared" si="3"/>
        <v>modesg_inp_nfrd_alinhamento_taxcca_trnvr_enblng_alignd</v>
      </c>
      <c r="B248" s="54" t="s">
        <v>27</v>
      </c>
      <c r="C248" s="50" t="s">
        <v>29</v>
      </c>
      <c r="D248" s="46" t="s">
        <v>431</v>
      </c>
      <c r="E248" s="47" t="s">
        <v>39</v>
      </c>
      <c r="F248" s="46" t="s">
        <v>71</v>
      </c>
      <c r="G248" s="48" t="s">
        <v>427</v>
      </c>
      <c r="H248" s="48" t="s">
        <v>427</v>
      </c>
      <c r="I248" s="56" t="s">
        <v>482</v>
      </c>
      <c r="J248" s="68" t="s">
        <v>514</v>
      </c>
      <c r="K248" s="68" t="s">
        <v>514</v>
      </c>
      <c r="L248" s="68"/>
    </row>
    <row r="249" spans="1:12" ht="16.2" x14ac:dyDescent="0.4">
      <c r="A249" s="15" t="str">
        <f t="shared" si="3"/>
        <v>modesg_inp_nfrd_alinhamento_taxcca_turnover_own_prfrmnce_algnd</v>
      </c>
      <c r="B249" s="54" t="s">
        <v>27</v>
      </c>
      <c r="C249" s="50" t="s">
        <v>29</v>
      </c>
      <c r="D249" s="46" t="s">
        <v>431</v>
      </c>
      <c r="E249" s="47" t="s">
        <v>39</v>
      </c>
      <c r="F249" s="46" t="s">
        <v>72</v>
      </c>
      <c r="G249" s="48" t="s">
        <v>427</v>
      </c>
      <c r="H249" s="48" t="s">
        <v>427</v>
      </c>
      <c r="I249" s="56" t="s">
        <v>482</v>
      </c>
      <c r="J249" s="68" t="s">
        <v>514</v>
      </c>
      <c r="K249" s="68" t="s">
        <v>514</v>
      </c>
      <c r="L249" s="68"/>
    </row>
    <row r="250" spans="1:12" ht="16.2" x14ac:dyDescent="0.4">
      <c r="A250" s="15" t="str">
        <f t="shared" si="3"/>
        <v>modesg_inp_nfrd_alinhamento_taxcca_capex_ttl_elgbl</v>
      </c>
      <c r="B250" s="54" t="s">
        <v>27</v>
      </c>
      <c r="C250" s="50" t="s">
        <v>29</v>
      </c>
      <c r="D250" s="46" t="s">
        <v>431</v>
      </c>
      <c r="E250" s="47" t="s">
        <v>39</v>
      </c>
      <c r="F250" s="46" t="s">
        <v>73</v>
      </c>
      <c r="G250" s="48" t="s">
        <v>427</v>
      </c>
      <c r="H250" s="48" t="s">
        <v>427</v>
      </c>
      <c r="I250" s="56" t="s">
        <v>482</v>
      </c>
      <c r="J250" s="68" t="s">
        <v>514</v>
      </c>
      <c r="K250" s="68" t="s">
        <v>514</v>
      </c>
      <c r="L250" s="68"/>
    </row>
    <row r="251" spans="1:12" ht="16.2" x14ac:dyDescent="0.4">
      <c r="A251" s="15" t="str">
        <f t="shared" si="3"/>
        <v>modesg_inp_nfrd_alinhamento_taxcca_capex_enblng_algnd</v>
      </c>
      <c r="B251" s="54" t="s">
        <v>27</v>
      </c>
      <c r="C251" s="50" t="s">
        <v>29</v>
      </c>
      <c r="D251" s="46" t="s">
        <v>431</v>
      </c>
      <c r="E251" s="47" t="s">
        <v>39</v>
      </c>
      <c r="F251" s="46" t="s">
        <v>74</v>
      </c>
      <c r="G251" s="48" t="s">
        <v>427</v>
      </c>
      <c r="H251" s="48" t="s">
        <v>427</v>
      </c>
      <c r="I251" s="56" t="s">
        <v>482</v>
      </c>
      <c r="J251" s="68" t="s">
        <v>514</v>
      </c>
      <c r="K251" s="68" t="s">
        <v>514</v>
      </c>
      <c r="L251" s="68"/>
    </row>
    <row r="252" spans="1:12" ht="16.2" x14ac:dyDescent="0.4">
      <c r="A252" s="15" t="str">
        <f t="shared" si="3"/>
        <v>modesg_inp_nfrd_alinhamento_taxcca_capex_own_prfrmnce_algnd</v>
      </c>
      <c r="B252" s="54" t="s">
        <v>27</v>
      </c>
      <c r="C252" s="50" t="s">
        <v>29</v>
      </c>
      <c r="D252" s="46" t="s">
        <v>431</v>
      </c>
      <c r="E252" s="47" t="s">
        <v>39</v>
      </c>
      <c r="F252" s="46" t="s">
        <v>75</v>
      </c>
      <c r="G252" s="48" t="s">
        <v>427</v>
      </c>
      <c r="H252" s="48" t="s">
        <v>427</v>
      </c>
      <c r="I252" s="56" t="s">
        <v>482</v>
      </c>
      <c r="J252" s="68" t="s">
        <v>514</v>
      </c>
      <c r="K252" s="68" t="s">
        <v>514</v>
      </c>
      <c r="L252" s="68"/>
    </row>
    <row r="253" spans="1:12" ht="16.2" x14ac:dyDescent="0.4">
      <c r="A253" s="15" t="str">
        <f t="shared" si="3"/>
        <v>modesg_inp_nfrd_alinhamento_taxccm_trnvr_ttl_elgbl</v>
      </c>
      <c r="B253" s="54" t="s">
        <v>27</v>
      </c>
      <c r="C253" s="50" t="s">
        <v>29</v>
      </c>
      <c r="D253" s="46" t="s">
        <v>431</v>
      </c>
      <c r="E253" s="47" t="s">
        <v>39</v>
      </c>
      <c r="F253" s="46" t="s">
        <v>76</v>
      </c>
      <c r="G253" s="48" t="s">
        <v>427</v>
      </c>
      <c r="H253" s="48" t="s">
        <v>427</v>
      </c>
      <c r="I253" s="56" t="s">
        <v>482</v>
      </c>
      <c r="J253" s="68" t="s">
        <v>514</v>
      </c>
      <c r="K253" s="68" t="s">
        <v>514</v>
      </c>
      <c r="L253" s="68"/>
    </row>
    <row r="254" spans="1:12" ht="16.2" x14ac:dyDescent="0.4">
      <c r="A254" s="15" t="str">
        <f t="shared" si="3"/>
        <v>modesg_inp_nfrd_alinhamento_taxccm_trnvr_enblng_algnd</v>
      </c>
      <c r="B254" s="54" t="s">
        <v>27</v>
      </c>
      <c r="C254" s="50" t="s">
        <v>29</v>
      </c>
      <c r="D254" s="46" t="s">
        <v>431</v>
      </c>
      <c r="E254" s="47" t="s">
        <v>39</v>
      </c>
      <c r="F254" s="46" t="s">
        <v>77</v>
      </c>
      <c r="G254" s="48" t="s">
        <v>427</v>
      </c>
      <c r="H254" s="48" t="s">
        <v>427</v>
      </c>
      <c r="I254" s="56" t="s">
        <v>482</v>
      </c>
      <c r="J254" s="68" t="s">
        <v>514</v>
      </c>
      <c r="K254" s="68" t="s">
        <v>514</v>
      </c>
      <c r="L254" s="68"/>
    </row>
    <row r="255" spans="1:12" ht="16.2" x14ac:dyDescent="0.4">
      <c r="A255" s="15" t="str">
        <f t="shared" si="3"/>
        <v>modesg_inp_nfrd_alinhamento_taxccm_trnvr_trnstn_alignd</v>
      </c>
      <c r="B255" s="54" t="s">
        <v>27</v>
      </c>
      <c r="C255" s="50" t="s">
        <v>29</v>
      </c>
      <c r="D255" s="46" t="s">
        <v>431</v>
      </c>
      <c r="E255" s="47" t="s">
        <v>39</v>
      </c>
      <c r="F255" s="46" t="s">
        <v>78</v>
      </c>
      <c r="G255" s="48" t="s">
        <v>427</v>
      </c>
      <c r="H255" s="48" t="s">
        <v>427</v>
      </c>
      <c r="I255" s="56" t="s">
        <v>482</v>
      </c>
      <c r="J255" s="68" t="s">
        <v>514</v>
      </c>
      <c r="K255" s="68" t="s">
        <v>514</v>
      </c>
      <c r="L255" s="68"/>
    </row>
    <row r="256" spans="1:12" ht="16.2" x14ac:dyDescent="0.4">
      <c r="A256" s="15" t="str">
        <f t="shared" si="3"/>
        <v>modesg_inp_nfrd_alinhamento_taxccm_trnvr_own_prfrmnce_algnd</v>
      </c>
      <c r="B256" s="54" t="s">
        <v>27</v>
      </c>
      <c r="C256" s="50" t="s">
        <v>29</v>
      </c>
      <c r="D256" s="46" t="s">
        <v>431</v>
      </c>
      <c r="E256" s="47" t="s">
        <v>39</v>
      </c>
      <c r="F256" s="46" t="s">
        <v>79</v>
      </c>
      <c r="G256" s="48" t="s">
        <v>427</v>
      </c>
      <c r="H256" s="48" t="s">
        <v>427</v>
      </c>
      <c r="I256" s="56" t="s">
        <v>482</v>
      </c>
      <c r="J256" s="68" t="s">
        <v>514</v>
      </c>
      <c r="K256" s="68" t="s">
        <v>514</v>
      </c>
      <c r="L256" s="68"/>
    </row>
    <row r="257" spans="1:12" ht="16.2" x14ac:dyDescent="0.4">
      <c r="A257" s="15" t="str">
        <f t="shared" si="3"/>
        <v>modesg_inp_nfrd_alinhamento_taxccm_capex_ttl_elgbl</v>
      </c>
      <c r="B257" s="54" t="s">
        <v>27</v>
      </c>
      <c r="C257" s="50" t="s">
        <v>29</v>
      </c>
      <c r="D257" s="46" t="s">
        <v>431</v>
      </c>
      <c r="E257" s="47" t="s">
        <v>39</v>
      </c>
      <c r="F257" s="46" t="s">
        <v>80</v>
      </c>
      <c r="G257" s="48" t="s">
        <v>427</v>
      </c>
      <c r="H257" s="48" t="s">
        <v>427</v>
      </c>
      <c r="I257" s="56" t="s">
        <v>482</v>
      </c>
      <c r="J257" s="68" t="s">
        <v>514</v>
      </c>
      <c r="K257" s="68" t="s">
        <v>514</v>
      </c>
      <c r="L257" s="68"/>
    </row>
    <row r="258" spans="1:12" ht="16.2" x14ac:dyDescent="0.4">
      <c r="A258" s="15" t="str">
        <f t="shared" si="3"/>
        <v>modesg_inp_nfrd_alinhamento_taxccm_capex_enblng_algnd</v>
      </c>
      <c r="B258" s="54" t="s">
        <v>27</v>
      </c>
      <c r="C258" s="50" t="s">
        <v>29</v>
      </c>
      <c r="D258" s="46" t="s">
        <v>431</v>
      </c>
      <c r="E258" s="47" t="s">
        <v>39</v>
      </c>
      <c r="F258" s="46" t="s">
        <v>81</v>
      </c>
      <c r="G258" s="48" t="s">
        <v>427</v>
      </c>
      <c r="H258" s="48" t="s">
        <v>427</v>
      </c>
      <c r="I258" s="56" t="s">
        <v>482</v>
      </c>
      <c r="J258" s="68" t="s">
        <v>514</v>
      </c>
      <c r="K258" s="68" t="s">
        <v>514</v>
      </c>
      <c r="L258" s="68"/>
    </row>
    <row r="259" spans="1:12" ht="16.2" x14ac:dyDescent="0.4">
      <c r="A259" s="15" t="str">
        <f t="shared" si="3"/>
        <v>modesg_inp_nfrd_alinhamento_taxccm_capex_trnstn_algnd</v>
      </c>
      <c r="B259" s="54" t="s">
        <v>27</v>
      </c>
      <c r="C259" s="50" t="s">
        <v>29</v>
      </c>
      <c r="D259" s="46" t="s">
        <v>431</v>
      </c>
      <c r="E259" s="47" t="s">
        <v>39</v>
      </c>
      <c r="F259" s="46" t="s">
        <v>82</v>
      </c>
      <c r="G259" s="48" t="s">
        <v>427</v>
      </c>
      <c r="H259" s="48" t="s">
        <v>427</v>
      </c>
      <c r="I259" s="56" t="s">
        <v>482</v>
      </c>
      <c r="J259" s="68" t="s">
        <v>514</v>
      </c>
      <c r="K259" s="68" t="s">
        <v>514</v>
      </c>
      <c r="L259" s="68"/>
    </row>
    <row r="260" spans="1:12" ht="16.2" x14ac:dyDescent="0.4">
      <c r="A260" s="15" t="str">
        <f t="shared" si="3"/>
        <v>modesg_inp_nfrd_alinhamento_taxccm_capex_own_prfrmnce_algnd</v>
      </c>
      <c r="B260" s="54" t="s">
        <v>27</v>
      </c>
      <c r="C260" s="50" t="s">
        <v>29</v>
      </c>
      <c r="D260" s="46" t="s">
        <v>431</v>
      </c>
      <c r="E260" s="47" t="s">
        <v>39</v>
      </c>
      <c r="F260" s="46" t="s">
        <v>83</v>
      </c>
      <c r="G260" s="48" t="s">
        <v>427</v>
      </c>
      <c r="H260" s="48" t="s">
        <v>427</v>
      </c>
      <c r="I260" s="56" t="s">
        <v>482</v>
      </c>
      <c r="J260" s="68" t="s">
        <v>514</v>
      </c>
      <c r="K260" s="68" t="s">
        <v>514</v>
      </c>
      <c r="L260" s="68"/>
    </row>
    <row r="261" spans="1:12" ht="16.2" x14ac:dyDescent="0.4">
      <c r="A261" s="15" t="str">
        <f t="shared" si="3"/>
        <v>modesg_inp_nfrd_alinhamento_taxppc_trnvr_ttl_elgbl</v>
      </c>
      <c r="B261" s="54" t="s">
        <v>27</v>
      </c>
      <c r="C261" s="50" t="s">
        <v>29</v>
      </c>
      <c r="D261" s="46" t="s">
        <v>431</v>
      </c>
      <c r="E261" s="47" t="s">
        <v>39</v>
      </c>
      <c r="F261" s="46" t="s">
        <v>84</v>
      </c>
      <c r="G261" s="48" t="s">
        <v>427</v>
      </c>
      <c r="H261" s="48" t="s">
        <v>427</v>
      </c>
      <c r="I261" s="57" t="s">
        <v>484</v>
      </c>
      <c r="J261" s="68" t="s">
        <v>514</v>
      </c>
      <c r="K261" s="68" t="s">
        <v>514</v>
      </c>
      <c r="L261" s="68"/>
    </row>
    <row r="262" spans="1:12" ht="16.2" x14ac:dyDescent="0.4">
      <c r="A262" s="15" t="str">
        <f t="shared" si="3"/>
        <v>modesg_inp_nfrd_alinhamento_taxppc_turnover_own_prfrmnce_algnd</v>
      </c>
      <c r="B262" s="54" t="s">
        <v>27</v>
      </c>
      <c r="C262" s="50" t="s">
        <v>29</v>
      </c>
      <c r="D262" s="46" t="s">
        <v>431</v>
      </c>
      <c r="E262" s="47" t="s">
        <v>39</v>
      </c>
      <c r="F262" s="46" t="s">
        <v>85</v>
      </c>
      <c r="G262" s="48" t="s">
        <v>427</v>
      </c>
      <c r="H262" s="48" t="s">
        <v>427</v>
      </c>
      <c r="I262" s="57" t="s">
        <v>484</v>
      </c>
      <c r="J262" s="68" t="s">
        <v>514</v>
      </c>
      <c r="K262" s="68" t="s">
        <v>514</v>
      </c>
      <c r="L262" s="68"/>
    </row>
    <row r="263" spans="1:12" ht="16.2" x14ac:dyDescent="0.4">
      <c r="A263" s="15" t="str">
        <f t="shared" si="3"/>
        <v>modesg_inp_nfrd_alinhamento_taxppc_capex_ttl_elgbl</v>
      </c>
      <c r="B263" s="54" t="s">
        <v>27</v>
      </c>
      <c r="C263" s="50" t="s">
        <v>29</v>
      </c>
      <c r="D263" s="46" t="s">
        <v>431</v>
      </c>
      <c r="E263" s="47" t="s">
        <v>39</v>
      </c>
      <c r="F263" s="46" t="s">
        <v>86</v>
      </c>
      <c r="G263" s="48" t="s">
        <v>427</v>
      </c>
      <c r="H263" s="48" t="s">
        <v>427</v>
      </c>
      <c r="I263" s="57" t="s">
        <v>484</v>
      </c>
      <c r="J263" s="68" t="s">
        <v>514</v>
      </c>
      <c r="K263" s="68" t="s">
        <v>514</v>
      </c>
      <c r="L263" s="68"/>
    </row>
    <row r="264" spans="1:12" ht="16.2" x14ac:dyDescent="0.4">
      <c r="A264" s="15" t="str">
        <f t="shared" ref="A264:A327" si="4">E264&amp;F264</f>
        <v>modesg_inp_nfrd_alinhamento_taxppc_capex_own_prfrmnce_algnd</v>
      </c>
      <c r="B264" s="54" t="s">
        <v>27</v>
      </c>
      <c r="C264" s="50" t="s">
        <v>29</v>
      </c>
      <c r="D264" s="46" t="s">
        <v>431</v>
      </c>
      <c r="E264" s="47" t="s">
        <v>39</v>
      </c>
      <c r="F264" s="46" t="s">
        <v>87</v>
      </c>
      <c r="G264" s="48" t="s">
        <v>427</v>
      </c>
      <c r="H264" s="48" t="s">
        <v>427</v>
      </c>
      <c r="I264" s="57" t="s">
        <v>484</v>
      </c>
      <c r="J264" s="68" t="s">
        <v>514</v>
      </c>
      <c r="K264" s="68" t="s">
        <v>514</v>
      </c>
      <c r="L264" s="68"/>
    </row>
    <row r="265" spans="1:12" ht="16.2" x14ac:dyDescent="0.4">
      <c r="A265" s="15" t="str">
        <f t="shared" si="4"/>
        <v>modesg_inp_nfrd_alinhamento_taxbio_trnvr_ttl_elgbl</v>
      </c>
      <c r="B265" s="54" t="s">
        <v>27</v>
      </c>
      <c r="C265" s="50" t="s">
        <v>29</v>
      </c>
      <c r="D265" s="46" t="s">
        <v>431</v>
      </c>
      <c r="E265" s="47" t="s">
        <v>39</v>
      </c>
      <c r="F265" s="46" t="s">
        <v>88</v>
      </c>
      <c r="G265" s="48" t="s">
        <v>427</v>
      </c>
      <c r="H265" s="48" t="s">
        <v>427</v>
      </c>
      <c r="I265" s="57" t="s">
        <v>484</v>
      </c>
      <c r="J265" s="68" t="s">
        <v>514</v>
      </c>
      <c r="K265" s="68" t="s">
        <v>514</v>
      </c>
      <c r="L265" s="68"/>
    </row>
    <row r="266" spans="1:12" ht="16.2" x14ac:dyDescent="0.4">
      <c r="A266" s="15" t="str">
        <f t="shared" si="4"/>
        <v>modesg_inp_nfrd_alinhamento_taxbio_turnover_own_prfrmnce_algnd</v>
      </c>
      <c r="B266" s="54" t="s">
        <v>27</v>
      </c>
      <c r="C266" s="50" t="s">
        <v>29</v>
      </c>
      <c r="D266" s="46" t="s">
        <v>431</v>
      </c>
      <c r="E266" s="47" t="s">
        <v>39</v>
      </c>
      <c r="F266" s="46" t="s">
        <v>89</v>
      </c>
      <c r="G266" s="48" t="s">
        <v>427</v>
      </c>
      <c r="H266" s="48" t="s">
        <v>427</v>
      </c>
      <c r="I266" s="57" t="s">
        <v>484</v>
      </c>
      <c r="J266" s="68" t="s">
        <v>514</v>
      </c>
      <c r="K266" s="68" t="s">
        <v>514</v>
      </c>
      <c r="L266" s="68"/>
    </row>
    <row r="267" spans="1:12" ht="16.2" x14ac:dyDescent="0.4">
      <c r="A267" s="15" t="str">
        <f t="shared" si="4"/>
        <v>modesg_inp_nfrd_alinhamento_taxbio_capex_ttl_elgbl</v>
      </c>
      <c r="B267" s="54" t="s">
        <v>27</v>
      </c>
      <c r="C267" s="50" t="s">
        <v>29</v>
      </c>
      <c r="D267" s="46" t="s">
        <v>431</v>
      </c>
      <c r="E267" s="47" t="s">
        <v>39</v>
      </c>
      <c r="F267" s="46" t="s">
        <v>90</v>
      </c>
      <c r="G267" s="48" t="s">
        <v>427</v>
      </c>
      <c r="H267" s="48" t="s">
        <v>427</v>
      </c>
      <c r="I267" s="57" t="s">
        <v>484</v>
      </c>
      <c r="J267" s="68" t="s">
        <v>514</v>
      </c>
      <c r="K267" s="68" t="s">
        <v>514</v>
      </c>
      <c r="L267" s="68"/>
    </row>
    <row r="268" spans="1:12" ht="16.2" x14ac:dyDescent="0.4">
      <c r="A268" s="15" t="str">
        <f t="shared" si="4"/>
        <v>modesg_inp_nfrd_alinhamento_taxbio_capex_own_prfrmnce_algnd</v>
      </c>
      <c r="B268" s="54" t="s">
        <v>27</v>
      </c>
      <c r="C268" s="50" t="s">
        <v>29</v>
      </c>
      <c r="D268" s="46" t="s">
        <v>431</v>
      </c>
      <c r="E268" s="47" t="s">
        <v>39</v>
      </c>
      <c r="F268" s="46" t="s">
        <v>91</v>
      </c>
      <c r="G268" s="48" t="s">
        <v>427</v>
      </c>
      <c r="H268" s="48" t="s">
        <v>427</v>
      </c>
      <c r="I268" s="57" t="s">
        <v>484</v>
      </c>
      <c r="J268" s="68" t="s">
        <v>514</v>
      </c>
      <c r="K268" s="68" t="s">
        <v>514</v>
      </c>
      <c r="L268" s="68"/>
    </row>
    <row r="269" spans="1:12" ht="16.2" x14ac:dyDescent="0.4">
      <c r="A269" s="15" t="str">
        <f t="shared" si="4"/>
        <v>modesg_inp_nfrd_alinhamento_taxwtr_trnvr_ttl_elgbl</v>
      </c>
      <c r="B269" s="54" t="s">
        <v>27</v>
      </c>
      <c r="C269" s="50" t="s">
        <v>29</v>
      </c>
      <c r="D269" s="46" t="s">
        <v>431</v>
      </c>
      <c r="E269" s="47" t="s">
        <v>39</v>
      </c>
      <c r="F269" s="46" t="s">
        <v>92</v>
      </c>
      <c r="G269" s="48" t="s">
        <v>427</v>
      </c>
      <c r="H269" s="48" t="s">
        <v>427</v>
      </c>
      <c r="I269" s="57" t="s">
        <v>484</v>
      </c>
      <c r="J269" s="68" t="s">
        <v>514</v>
      </c>
      <c r="K269" s="68" t="s">
        <v>514</v>
      </c>
      <c r="L269" s="68"/>
    </row>
    <row r="270" spans="1:12" ht="16.2" x14ac:dyDescent="0.4">
      <c r="A270" s="15" t="str">
        <f t="shared" si="4"/>
        <v>modesg_inp_nfrd_alinhamento_taxwtr_trnvr_enblng_alignd</v>
      </c>
      <c r="B270" s="54" t="s">
        <v>27</v>
      </c>
      <c r="C270" s="50" t="s">
        <v>29</v>
      </c>
      <c r="D270" s="46" t="s">
        <v>431</v>
      </c>
      <c r="E270" s="47" t="s">
        <v>39</v>
      </c>
      <c r="F270" s="46" t="s">
        <v>93</v>
      </c>
      <c r="G270" s="48" t="s">
        <v>427</v>
      </c>
      <c r="H270" s="48" t="s">
        <v>427</v>
      </c>
      <c r="I270" s="57" t="s">
        <v>484</v>
      </c>
      <c r="J270" s="68" t="s">
        <v>514</v>
      </c>
      <c r="K270" s="68" t="s">
        <v>514</v>
      </c>
      <c r="L270" s="68"/>
    </row>
    <row r="271" spans="1:12" ht="16.2" x14ac:dyDescent="0.4">
      <c r="A271" s="15" t="str">
        <f t="shared" si="4"/>
        <v>modesg_inp_nfrd_alinhamento_taxwtr_turnover_own_prfrmnce_algnd</v>
      </c>
      <c r="B271" s="54" t="s">
        <v>27</v>
      </c>
      <c r="C271" s="50" t="s">
        <v>29</v>
      </c>
      <c r="D271" s="46" t="s">
        <v>431</v>
      </c>
      <c r="E271" s="47" t="s">
        <v>39</v>
      </c>
      <c r="F271" s="46" t="s">
        <v>94</v>
      </c>
      <c r="G271" s="48" t="s">
        <v>427</v>
      </c>
      <c r="H271" s="48" t="s">
        <v>427</v>
      </c>
      <c r="I271" s="57" t="s">
        <v>484</v>
      </c>
      <c r="J271" s="68" t="s">
        <v>514</v>
      </c>
      <c r="K271" s="68" t="s">
        <v>514</v>
      </c>
      <c r="L271" s="68"/>
    </row>
    <row r="272" spans="1:12" ht="16.2" x14ac:dyDescent="0.4">
      <c r="A272" s="15" t="str">
        <f t="shared" si="4"/>
        <v>modesg_inp_nfrd_alinhamento_taxwtr_capex_ttl_elgbl</v>
      </c>
      <c r="B272" s="54" t="s">
        <v>27</v>
      </c>
      <c r="C272" s="50" t="s">
        <v>29</v>
      </c>
      <c r="D272" s="46" t="s">
        <v>431</v>
      </c>
      <c r="E272" s="47" t="s">
        <v>39</v>
      </c>
      <c r="F272" s="46" t="s">
        <v>95</v>
      </c>
      <c r="G272" s="48" t="s">
        <v>427</v>
      </c>
      <c r="H272" s="48" t="s">
        <v>427</v>
      </c>
      <c r="I272" s="57" t="s">
        <v>484</v>
      </c>
      <c r="J272" s="68" t="s">
        <v>514</v>
      </c>
      <c r="K272" s="68" t="s">
        <v>514</v>
      </c>
      <c r="L272" s="68"/>
    </row>
    <row r="273" spans="1:12" ht="16.2" x14ac:dyDescent="0.4">
      <c r="A273" s="15" t="str">
        <f t="shared" si="4"/>
        <v>modesg_inp_nfrd_alinhamento_taxwtr_capex_enblng_algnd</v>
      </c>
      <c r="B273" s="54" t="s">
        <v>27</v>
      </c>
      <c r="C273" s="50" t="s">
        <v>29</v>
      </c>
      <c r="D273" s="46" t="s">
        <v>431</v>
      </c>
      <c r="E273" s="47" t="s">
        <v>39</v>
      </c>
      <c r="F273" s="46" t="s">
        <v>96</v>
      </c>
      <c r="G273" s="48" t="s">
        <v>427</v>
      </c>
      <c r="H273" s="48" t="s">
        <v>427</v>
      </c>
      <c r="I273" s="57" t="s">
        <v>484</v>
      </c>
      <c r="J273" s="68" t="s">
        <v>514</v>
      </c>
      <c r="K273" s="68" t="s">
        <v>514</v>
      </c>
      <c r="L273" s="68"/>
    </row>
    <row r="274" spans="1:12" ht="16.2" x14ac:dyDescent="0.4">
      <c r="A274" s="15" t="str">
        <f t="shared" si="4"/>
        <v>modesg_inp_nfrd_alinhamento_taxwtr_capex_own_prfrmnce_algnd</v>
      </c>
      <c r="B274" s="54" t="s">
        <v>27</v>
      </c>
      <c r="C274" s="50" t="s">
        <v>29</v>
      </c>
      <c r="D274" s="46" t="s">
        <v>431</v>
      </c>
      <c r="E274" s="47" t="s">
        <v>39</v>
      </c>
      <c r="F274" s="46" t="s">
        <v>97</v>
      </c>
      <c r="G274" s="48" t="s">
        <v>427</v>
      </c>
      <c r="H274" s="48" t="s">
        <v>427</v>
      </c>
      <c r="I274" s="57" t="s">
        <v>484</v>
      </c>
      <c r="J274" s="68" t="s">
        <v>514</v>
      </c>
      <c r="K274" s="68" t="s">
        <v>514</v>
      </c>
      <c r="L274" s="68"/>
    </row>
    <row r="275" spans="1:12" ht="16.2" x14ac:dyDescent="0.4">
      <c r="A275" s="15" t="str">
        <f t="shared" si="4"/>
        <v>modesg_inp_nfrd_alinhamento_taxce_trnvr_ttl_elgbl</v>
      </c>
      <c r="B275" s="54" t="s">
        <v>27</v>
      </c>
      <c r="C275" s="50" t="s">
        <v>29</v>
      </c>
      <c r="D275" s="46" t="s">
        <v>431</v>
      </c>
      <c r="E275" s="47" t="s">
        <v>39</v>
      </c>
      <c r="F275" s="46" t="s">
        <v>98</v>
      </c>
      <c r="G275" s="48" t="s">
        <v>427</v>
      </c>
      <c r="H275" s="48" t="s">
        <v>427</v>
      </c>
      <c r="I275" s="57" t="s">
        <v>484</v>
      </c>
      <c r="J275" s="68" t="s">
        <v>514</v>
      </c>
      <c r="K275" s="68" t="s">
        <v>514</v>
      </c>
      <c r="L275" s="68"/>
    </row>
    <row r="276" spans="1:12" ht="16.2" x14ac:dyDescent="0.4">
      <c r="A276" s="15" t="str">
        <f t="shared" si="4"/>
        <v>modesg_inp_nfrd_alinhamento_taxce_trnvr_enblng_alignd</v>
      </c>
      <c r="B276" s="54" t="s">
        <v>27</v>
      </c>
      <c r="C276" s="50" t="s">
        <v>29</v>
      </c>
      <c r="D276" s="46" t="s">
        <v>431</v>
      </c>
      <c r="E276" s="47" t="s">
        <v>39</v>
      </c>
      <c r="F276" s="46" t="s">
        <v>99</v>
      </c>
      <c r="G276" s="48" t="s">
        <v>427</v>
      </c>
      <c r="H276" s="48" t="s">
        <v>427</v>
      </c>
      <c r="I276" s="57" t="s">
        <v>484</v>
      </c>
      <c r="J276" s="68" t="s">
        <v>514</v>
      </c>
      <c r="K276" s="68" t="s">
        <v>514</v>
      </c>
      <c r="L276" s="68"/>
    </row>
    <row r="277" spans="1:12" ht="16.2" x14ac:dyDescent="0.4">
      <c r="A277" s="15" t="str">
        <f t="shared" si="4"/>
        <v>modesg_inp_nfrd_alinhamento_taxce_turnover_own_prfrmnce_algnd</v>
      </c>
      <c r="B277" s="54" t="s">
        <v>27</v>
      </c>
      <c r="C277" s="50" t="s">
        <v>29</v>
      </c>
      <c r="D277" s="46" t="s">
        <v>431</v>
      </c>
      <c r="E277" s="47" t="s">
        <v>39</v>
      </c>
      <c r="F277" s="46" t="s">
        <v>100</v>
      </c>
      <c r="G277" s="48" t="s">
        <v>427</v>
      </c>
      <c r="H277" s="48" t="s">
        <v>427</v>
      </c>
      <c r="I277" s="57" t="s">
        <v>484</v>
      </c>
      <c r="J277" s="68" t="s">
        <v>514</v>
      </c>
      <c r="K277" s="68" t="s">
        <v>514</v>
      </c>
      <c r="L277" s="68"/>
    </row>
    <row r="278" spans="1:12" ht="16.2" x14ac:dyDescent="0.4">
      <c r="A278" s="15" t="str">
        <f t="shared" si="4"/>
        <v>modesg_inp_nfrd_alinhamento_taxce_capex_ttl_elgbl</v>
      </c>
      <c r="B278" s="54" t="s">
        <v>27</v>
      </c>
      <c r="C278" s="50" t="s">
        <v>29</v>
      </c>
      <c r="D278" s="46" t="s">
        <v>431</v>
      </c>
      <c r="E278" s="47" t="s">
        <v>39</v>
      </c>
      <c r="F278" s="46" t="s">
        <v>101</v>
      </c>
      <c r="G278" s="48" t="s">
        <v>427</v>
      </c>
      <c r="H278" s="48" t="s">
        <v>427</v>
      </c>
      <c r="I278" s="57" t="s">
        <v>484</v>
      </c>
      <c r="J278" s="68" t="s">
        <v>514</v>
      </c>
      <c r="K278" s="68" t="s">
        <v>514</v>
      </c>
      <c r="L278" s="68"/>
    </row>
    <row r="279" spans="1:12" ht="16.2" x14ac:dyDescent="0.4">
      <c r="A279" s="15" t="str">
        <f t="shared" si="4"/>
        <v>modesg_inp_nfrd_alinhamento_taxce_capex_enblng_algnd</v>
      </c>
      <c r="B279" s="54" t="s">
        <v>27</v>
      </c>
      <c r="C279" s="50" t="s">
        <v>29</v>
      </c>
      <c r="D279" s="46" t="s">
        <v>431</v>
      </c>
      <c r="E279" s="47" t="s">
        <v>39</v>
      </c>
      <c r="F279" s="46" t="s">
        <v>102</v>
      </c>
      <c r="G279" s="48" t="s">
        <v>427</v>
      </c>
      <c r="H279" s="48" t="s">
        <v>427</v>
      </c>
      <c r="I279" s="57" t="s">
        <v>484</v>
      </c>
      <c r="J279" s="68" t="s">
        <v>514</v>
      </c>
      <c r="K279" s="68" t="s">
        <v>514</v>
      </c>
      <c r="L279" s="68"/>
    </row>
    <row r="280" spans="1:12" ht="16.2" x14ac:dyDescent="0.4">
      <c r="A280" s="15" t="str">
        <f t="shared" si="4"/>
        <v>modesg_inp_nfrd_alinhamento_taxce_capex_own_prfrmnce_algnd</v>
      </c>
      <c r="B280" s="54" t="s">
        <v>27</v>
      </c>
      <c r="C280" s="50" t="s">
        <v>29</v>
      </c>
      <c r="D280" s="46" t="s">
        <v>431</v>
      </c>
      <c r="E280" s="47" t="s">
        <v>39</v>
      </c>
      <c r="F280" s="46" t="s">
        <v>103</v>
      </c>
      <c r="G280" s="48" t="s">
        <v>427</v>
      </c>
      <c r="H280" s="48" t="s">
        <v>427</v>
      </c>
      <c r="I280" s="57" t="s">
        <v>484</v>
      </c>
      <c r="J280" s="68" t="s">
        <v>514</v>
      </c>
      <c r="K280" s="68" t="s">
        <v>514</v>
      </c>
      <c r="L280" s="68"/>
    </row>
    <row r="281" spans="1:12" ht="16.2" x14ac:dyDescent="0.4">
      <c r="A281" s="15" t="str">
        <f t="shared" si="4"/>
        <v>modesg_inp_risco_fisicoref_date</v>
      </c>
      <c r="B281" s="54" t="s">
        <v>27</v>
      </c>
      <c r="C281" s="50" t="s">
        <v>29</v>
      </c>
      <c r="D281" s="46" t="s">
        <v>431</v>
      </c>
      <c r="E281" s="47" t="s">
        <v>40</v>
      </c>
      <c r="F281" s="46" t="s">
        <v>44</v>
      </c>
      <c r="G281" s="48" t="s">
        <v>425</v>
      </c>
      <c r="H281" s="48" t="s">
        <v>425</v>
      </c>
      <c r="I281" s="56"/>
      <c r="J281" s="68" t="s">
        <v>514</v>
      </c>
      <c r="K281" s="68" t="s">
        <v>514</v>
      </c>
      <c r="L281" s="68"/>
    </row>
    <row r="282" spans="1:12" ht="16.2" x14ac:dyDescent="0.4">
      <c r="A282" s="15" t="str">
        <f t="shared" si="4"/>
        <v>modesg_inp_risco_fisicocod_pais</v>
      </c>
      <c r="B282" s="54" t="s">
        <v>27</v>
      </c>
      <c r="C282" s="50" t="s">
        <v>29</v>
      </c>
      <c r="D282" s="46" t="s">
        <v>431</v>
      </c>
      <c r="E282" s="47" t="s">
        <v>40</v>
      </c>
      <c r="F282" s="46" t="s">
        <v>104</v>
      </c>
      <c r="G282" s="48" t="s">
        <v>425</v>
      </c>
      <c r="H282" s="48" t="s">
        <v>425</v>
      </c>
      <c r="I282" s="56"/>
      <c r="J282" s="68" t="s">
        <v>514</v>
      </c>
      <c r="K282" s="68" t="s">
        <v>514</v>
      </c>
      <c r="L282" s="68"/>
    </row>
    <row r="283" spans="1:12" ht="16.2" x14ac:dyDescent="0.4">
      <c r="A283" s="15" t="str">
        <f t="shared" si="4"/>
        <v>modesg_inp_risco_fisicocod_nutiii</v>
      </c>
      <c r="B283" s="54" t="s">
        <v>27</v>
      </c>
      <c r="C283" s="50" t="s">
        <v>29</v>
      </c>
      <c r="D283" s="46" t="s">
        <v>431</v>
      </c>
      <c r="E283" s="47" t="s">
        <v>40</v>
      </c>
      <c r="F283" s="46" t="s">
        <v>105</v>
      </c>
      <c r="G283" s="48" t="s">
        <v>425</v>
      </c>
      <c r="H283" s="48" t="s">
        <v>425</v>
      </c>
      <c r="I283" s="56"/>
      <c r="J283" s="68" t="s">
        <v>514</v>
      </c>
      <c r="K283" s="68" t="s">
        <v>514</v>
      </c>
      <c r="L283" s="68"/>
    </row>
    <row r="284" spans="1:12" ht="16.2" x14ac:dyDescent="0.4">
      <c r="A284" s="15" t="str">
        <f t="shared" si="4"/>
        <v>modesg_inp_risco_fisicocod_nace_esg</v>
      </c>
      <c r="B284" s="54" t="s">
        <v>27</v>
      </c>
      <c r="C284" s="50" t="s">
        <v>29</v>
      </c>
      <c r="D284" s="46" t="s">
        <v>431</v>
      </c>
      <c r="E284" s="47" t="s">
        <v>40</v>
      </c>
      <c r="F284" s="46" t="s">
        <v>106</v>
      </c>
      <c r="G284" s="48" t="s">
        <v>425</v>
      </c>
      <c r="H284" s="48" t="s">
        <v>425</v>
      </c>
      <c r="I284" s="56"/>
      <c r="J284" s="68" t="s">
        <v>514</v>
      </c>
      <c r="K284" s="68" t="s">
        <v>514</v>
      </c>
      <c r="L284" s="68"/>
    </row>
    <row r="285" spans="1:12" ht="16.2" x14ac:dyDescent="0.4">
      <c r="A285" s="15" t="str">
        <f t="shared" si="4"/>
        <v>modesg_inp_risco_fisicoflg_rsc_fsc_agd</v>
      </c>
      <c r="B285" s="54" t="s">
        <v>27</v>
      </c>
      <c r="C285" s="50" t="s">
        <v>29</v>
      </c>
      <c r="D285" s="46" t="s">
        <v>431</v>
      </c>
      <c r="E285" s="47" t="s">
        <v>40</v>
      </c>
      <c r="F285" s="46" t="s">
        <v>107</v>
      </c>
      <c r="G285" s="48" t="s">
        <v>425</v>
      </c>
      <c r="H285" s="48" t="s">
        <v>425</v>
      </c>
      <c r="I285" s="56"/>
      <c r="J285" s="68" t="s">
        <v>514</v>
      </c>
      <c r="K285" s="68" t="s">
        <v>514</v>
      </c>
      <c r="L285" s="68"/>
    </row>
    <row r="286" spans="1:12" ht="16.2" x14ac:dyDescent="0.4">
      <c r="A286" s="15" t="str">
        <f t="shared" si="4"/>
        <v>modesg_inp_risco_fisicoflg_rsc_fsc_crnc</v>
      </c>
      <c r="B286" s="54" t="s">
        <v>27</v>
      </c>
      <c r="C286" s="50" t="s">
        <v>29</v>
      </c>
      <c r="D286" s="46" t="s">
        <v>431</v>
      </c>
      <c r="E286" s="47" t="s">
        <v>40</v>
      </c>
      <c r="F286" s="46" t="s">
        <v>108</v>
      </c>
      <c r="G286" s="48" t="s">
        <v>425</v>
      </c>
      <c r="H286" s="48" t="s">
        <v>425</v>
      </c>
      <c r="I286" s="56"/>
      <c r="J286" s="68" t="s">
        <v>514</v>
      </c>
      <c r="K286" s="68" t="s">
        <v>514</v>
      </c>
      <c r="L286" s="68"/>
    </row>
    <row r="287" spans="1:12" ht="16.2" x14ac:dyDescent="0.4">
      <c r="A287" s="15" t="str">
        <f t="shared" si="4"/>
        <v>modesg_inp_emss_scibref_date</v>
      </c>
      <c r="B287" s="54" t="s">
        <v>27</v>
      </c>
      <c r="C287" s="50" t="s">
        <v>29</v>
      </c>
      <c r="D287" s="46" t="s">
        <v>431</v>
      </c>
      <c r="E287" s="47" t="s">
        <v>41</v>
      </c>
      <c r="F287" s="46" t="s">
        <v>44</v>
      </c>
      <c r="G287" s="48" t="s">
        <v>425</v>
      </c>
      <c r="H287" s="48" t="s">
        <v>425</v>
      </c>
      <c r="I287" s="56"/>
      <c r="J287" s="68" t="s">
        <v>514</v>
      </c>
      <c r="K287" s="68" t="s">
        <v>514</v>
      </c>
      <c r="L287" s="68"/>
    </row>
    <row r="288" spans="1:12" ht="16.2" x14ac:dyDescent="0.4">
      <c r="A288" s="15" t="str">
        <f t="shared" si="4"/>
        <v>modesg_inp_emss_scibccli_kgl</v>
      </c>
      <c r="B288" s="54" t="s">
        <v>27</v>
      </c>
      <c r="C288" s="50" t="s">
        <v>29</v>
      </c>
      <c r="D288" s="46" t="s">
        <v>431</v>
      </c>
      <c r="E288" s="47" t="s">
        <v>41</v>
      </c>
      <c r="F288" s="46" t="s">
        <v>65</v>
      </c>
      <c r="G288" s="48" t="s">
        <v>425</v>
      </c>
      <c r="H288" s="48" t="s">
        <v>425</v>
      </c>
      <c r="I288" s="56"/>
      <c r="J288" s="68" t="s">
        <v>514</v>
      </c>
      <c r="K288" s="68" t="s">
        <v>514</v>
      </c>
      <c r="L288" s="68"/>
    </row>
    <row r="289" spans="1:12" ht="16.2" x14ac:dyDescent="0.4">
      <c r="A289" s="15" t="str">
        <f t="shared" si="4"/>
        <v>modesg_inp_emss_scibnome_grupo</v>
      </c>
      <c r="B289" s="54" t="s">
        <v>27</v>
      </c>
      <c r="C289" s="50" t="s">
        <v>29</v>
      </c>
      <c r="D289" s="46" t="s">
        <v>431</v>
      </c>
      <c r="E289" s="47" t="s">
        <v>41</v>
      </c>
      <c r="F289" s="46" t="s">
        <v>109</v>
      </c>
      <c r="G289" s="48" t="s">
        <v>425</v>
      </c>
      <c r="H289" s="48" t="s">
        <v>425</v>
      </c>
      <c r="I289" s="56"/>
      <c r="J289" s="68" t="s">
        <v>514</v>
      </c>
      <c r="K289" s="68" t="s">
        <v>514</v>
      </c>
      <c r="L289" s="68"/>
    </row>
    <row r="290" spans="1:12" ht="16.2" x14ac:dyDescent="0.4">
      <c r="A290" s="15" t="str">
        <f t="shared" si="4"/>
        <v>modesg_inp_emss_scibisin</v>
      </c>
      <c r="B290" s="54" t="s">
        <v>27</v>
      </c>
      <c r="C290" s="50" t="s">
        <v>29</v>
      </c>
      <c r="D290" s="46" t="s">
        <v>431</v>
      </c>
      <c r="E290" s="47" t="s">
        <v>41</v>
      </c>
      <c r="F290" s="46" t="s">
        <v>63</v>
      </c>
      <c r="G290" s="48" t="s">
        <v>425</v>
      </c>
      <c r="H290" s="48" t="s">
        <v>425</v>
      </c>
      <c r="I290" s="56"/>
      <c r="J290" s="68" t="s">
        <v>514</v>
      </c>
      <c r="K290" s="68" t="s">
        <v>514</v>
      </c>
      <c r="L290" s="68"/>
    </row>
    <row r="291" spans="1:12" ht="16.2" x14ac:dyDescent="0.4">
      <c r="A291" s="15" t="str">
        <f t="shared" si="4"/>
        <v>modesg_inp_emss_scibclei</v>
      </c>
      <c r="B291" s="54" t="s">
        <v>27</v>
      </c>
      <c r="C291" s="50" t="s">
        <v>29</v>
      </c>
      <c r="D291" s="46" t="s">
        <v>431</v>
      </c>
      <c r="E291" s="47" t="s">
        <v>41</v>
      </c>
      <c r="F291" s="46" t="s">
        <v>64</v>
      </c>
      <c r="G291" s="48" t="s">
        <v>425</v>
      </c>
      <c r="H291" s="48" t="s">
        <v>425</v>
      </c>
      <c r="I291" s="56"/>
      <c r="J291" s="68" t="s">
        <v>514</v>
      </c>
      <c r="K291" s="68" t="s">
        <v>514</v>
      </c>
      <c r="L291" s="68"/>
    </row>
    <row r="292" spans="1:12" ht="16.2" x14ac:dyDescent="0.4">
      <c r="A292" s="15" t="str">
        <f t="shared" si="4"/>
        <v>modesg_inp_emss_scibscp1_emss</v>
      </c>
      <c r="B292" s="54" t="s">
        <v>27</v>
      </c>
      <c r="C292" s="50" t="s">
        <v>29</v>
      </c>
      <c r="D292" s="46" t="s">
        <v>431</v>
      </c>
      <c r="E292" s="47" t="s">
        <v>41</v>
      </c>
      <c r="F292" s="46" t="s">
        <v>110</v>
      </c>
      <c r="G292" s="48" t="s">
        <v>429</v>
      </c>
      <c r="H292" s="48" t="s">
        <v>429</v>
      </c>
      <c r="I292" s="56" t="s">
        <v>518</v>
      </c>
      <c r="J292" s="68" t="s">
        <v>514</v>
      </c>
      <c r="K292" s="68" t="s">
        <v>514</v>
      </c>
      <c r="L292" s="68"/>
    </row>
    <row r="293" spans="1:12" ht="16.2" x14ac:dyDescent="0.4">
      <c r="A293" s="15" t="str">
        <f t="shared" si="4"/>
        <v>modesg_inp_emss_scibscp2_emss</v>
      </c>
      <c r="B293" s="54" t="s">
        <v>27</v>
      </c>
      <c r="C293" s="50" t="s">
        <v>29</v>
      </c>
      <c r="D293" s="46" t="s">
        <v>431</v>
      </c>
      <c r="E293" s="47" t="s">
        <v>41</v>
      </c>
      <c r="F293" s="46" t="s">
        <v>111</v>
      </c>
      <c r="G293" s="48" t="s">
        <v>429</v>
      </c>
      <c r="H293" s="48" t="s">
        <v>429</v>
      </c>
      <c r="I293" s="56" t="s">
        <v>518</v>
      </c>
      <c r="J293" s="68" t="s">
        <v>514</v>
      </c>
      <c r="K293" s="68" t="s">
        <v>514</v>
      </c>
      <c r="L293" s="68"/>
    </row>
    <row r="294" spans="1:12" ht="16.2" x14ac:dyDescent="0.4">
      <c r="A294" s="15" t="str">
        <f t="shared" si="4"/>
        <v>modesg_inp_emss_scibscp3_emss</v>
      </c>
      <c r="B294" s="54" t="s">
        <v>27</v>
      </c>
      <c r="C294" s="50" t="s">
        <v>29</v>
      </c>
      <c r="D294" s="46" t="s">
        <v>431</v>
      </c>
      <c r="E294" s="47" t="s">
        <v>41</v>
      </c>
      <c r="F294" s="46" t="s">
        <v>112</v>
      </c>
      <c r="G294" s="48" t="s">
        <v>425</v>
      </c>
      <c r="H294" s="48" t="s">
        <v>425</v>
      </c>
      <c r="I294" s="56"/>
      <c r="J294" s="68" t="s">
        <v>514</v>
      </c>
      <c r="K294" s="68" t="s">
        <v>514</v>
      </c>
      <c r="L294" s="68"/>
    </row>
    <row r="295" spans="1:12" ht="16.2" x14ac:dyDescent="0.4">
      <c r="A295" s="15" t="str">
        <f t="shared" si="4"/>
        <v>modesg_inp_emss_scibscore_scp1</v>
      </c>
      <c r="B295" s="54" t="s">
        <v>27</v>
      </c>
      <c r="C295" s="50" t="s">
        <v>29</v>
      </c>
      <c r="D295" s="46" t="s">
        <v>431</v>
      </c>
      <c r="E295" s="47" t="s">
        <v>41</v>
      </c>
      <c r="F295" s="46" t="s">
        <v>113</v>
      </c>
      <c r="G295" s="48" t="s">
        <v>425</v>
      </c>
      <c r="H295" s="48" t="s">
        <v>425</v>
      </c>
      <c r="I295" s="56"/>
      <c r="J295" s="68" t="s">
        <v>514</v>
      </c>
      <c r="K295" s="68" t="s">
        <v>514</v>
      </c>
      <c r="L295" s="68"/>
    </row>
    <row r="296" spans="1:12" ht="16.2" x14ac:dyDescent="0.4">
      <c r="A296" s="15" t="str">
        <f t="shared" si="4"/>
        <v>modesg_inp_emss_scibscore_scp2</v>
      </c>
      <c r="B296" s="54" t="s">
        <v>27</v>
      </c>
      <c r="C296" s="50" t="s">
        <v>29</v>
      </c>
      <c r="D296" s="46" t="s">
        <v>431</v>
      </c>
      <c r="E296" s="47" t="s">
        <v>41</v>
      </c>
      <c r="F296" s="46" t="s">
        <v>114</v>
      </c>
      <c r="G296" s="48" t="s">
        <v>425</v>
      </c>
      <c r="H296" s="48" t="s">
        <v>425</v>
      </c>
      <c r="I296" s="56"/>
      <c r="J296" s="68" t="s">
        <v>514</v>
      </c>
      <c r="K296" s="68" t="s">
        <v>514</v>
      </c>
      <c r="L296" s="68"/>
    </row>
    <row r="297" spans="1:12" ht="16.2" x14ac:dyDescent="0.4">
      <c r="A297" s="15" t="str">
        <f t="shared" si="4"/>
        <v>modesg_inp_emss_scibscore_scp3</v>
      </c>
      <c r="B297" s="54" t="s">
        <v>27</v>
      </c>
      <c r="C297" s="50" t="s">
        <v>29</v>
      </c>
      <c r="D297" s="46" t="s">
        <v>431</v>
      </c>
      <c r="E297" s="47" t="s">
        <v>41</v>
      </c>
      <c r="F297" s="46" t="s">
        <v>115</v>
      </c>
      <c r="G297" s="48" t="s">
        <v>425</v>
      </c>
      <c r="H297" s="48" t="s">
        <v>425</v>
      </c>
      <c r="I297" s="56"/>
      <c r="J297" s="68" t="s">
        <v>514</v>
      </c>
      <c r="K297" s="68" t="s">
        <v>514</v>
      </c>
      <c r="L297" s="68"/>
    </row>
    <row r="298" spans="1:12" ht="16.2" x14ac:dyDescent="0.4">
      <c r="A298" s="15" t="str">
        <f t="shared" si="4"/>
        <v>modesg_inp_emss_sciborigem_scp1</v>
      </c>
      <c r="B298" s="54" t="s">
        <v>27</v>
      </c>
      <c r="C298" s="50" t="s">
        <v>29</v>
      </c>
      <c r="D298" s="46" t="s">
        <v>431</v>
      </c>
      <c r="E298" s="47" t="s">
        <v>41</v>
      </c>
      <c r="F298" s="46" t="s">
        <v>116</v>
      </c>
      <c r="G298" s="48" t="s">
        <v>425</v>
      </c>
      <c r="H298" s="48" t="s">
        <v>425</v>
      </c>
      <c r="I298" s="56"/>
      <c r="J298" s="68" t="s">
        <v>514</v>
      </c>
      <c r="K298" s="68" t="s">
        <v>514</v>
      </c>
      <c r="L298" s="68"/>
    </row>
    <row r="299" spans="1:12" ht="16.2" x14ac:dyDescent="0.4">
      <c r="A299" s="15" t="str">
        <f t="shared" si="4"/>
        <v>modesg_inp_emss_sciborigem_scp2</v>
      </c>
      <c r="B299" s="54" t="s">
        <v>27</v>
      </c>
      <c r="C299" s="50" t="s">
        <v>29</v>
      </c>
      <c r="D299" s="46" t="s">
        <v>431</v>
      </c>
      <c r="E299" s="47" t="s">
        <v>41</v>
      </c>
      <c r="F299" s="46" t="s">
        <v>117</v>
      </c>
      <c r="G299" s="48" t="s">
        <v>425</v>
      </c>
      <c r="H299" s="48" t="s">
        <v>425</v>
      </c>
      <c r="I299" s="56"/>
      <c r="J299" s="68" t="s">
        <v>514</v>
      </c>
      <c r="K299" s="68" t="s">
        <v>514</v>
      </c>
      <c r="L299" s="68"/>
    </row>
    <row r="300" spans="1:12" ht="16.2" x14ac:dyDescent="0.4">
      <c r="A300" s="15" t="str">
        <f t="shared" si="4"/>
        <v>modesg_inp_emss_sciborigem_scp3</v>
      </c>
      <c r="B300" s="54" t="s">
        <v>27</v>
      </c>
      <c r="C300" s="50" t="s">
        <v>29</v>
      </c>
      <c r="D300" s="46" t="s">
        <v>431</v>
      </c>
      <c r="E300" s="47" t="s">
        <v>41</v>
      </c>
      <c r="F300" s="46" t="s">
        <v>118</v>
      </c>
      <c r="G300" s="48" t="s">
        <v>425</v>
      </c>
      <c r="H300" s="48" t="s">
        <v>425</v>
      </c>
      <c r="I300" s="56"/>
      <c r="J300" s="68" t="s">
        <v>514</v>
      </c>
      <c r="K300" s="68" t="s">
        <v>514</v>
      </c>
      <c r="L300" s="68"/>
    </row>
    <row r="301" spans="1:12" ht="16.2" x14ac:dyDescent="0.4">
      <c r="A301" s="15" t="str">
        <f t="shared" si="4"/>
        <v>modesg_inp_emss_scibano_info</v>
      </c>
      <c r="B301" s="54" t="s">
        <v>27</v>
      </c>
      <c r="C301" s="50" t="s">
        <v>29</v>
      </c>
      <c r="D301" s="46" t="s">
        <v>431</v>
      </c>
      <c r="E301" s="47" t="s">
        <v>41</v>
      </c>
      <c r="F301" s="46" t="s">
        <v>119</v>
      </c>
      <c r="G301" s="48" t="s">
        <v>425</v>
      </c>
      <c r="H301" s="48" t="s">
        <v>425</v>
      </c>
      <c r="I301" s="56"/>
      <c r="J301" s="68" t="s">
        <v>514</v>
      </c>
      <c r="K301" s="68" t="s">
        <v>514</v>
      </c>
      <c r="L301" s="68"/>
    </row>
    <row r="302" spans="1:12" ht="16.2" x14ac:dyDescent="0.4">
      <c r="A302" s="15" t="str">
        <f t="shared" si="4"/>
        <v>modesg_inp_emss_scibdivida_total</v>
      </c>
      <c r="B302" s="54" t="s">
        <v>27</v>
      </c>
      <c r="C302" s="50" t="s">
        <v>29</v>
      </c>
      <c r="D302" s="46" t="s">
        <v>431</v>
      </c>
      <c r="E302" s="47" t="s">
        <v>41</v>
      </c>
      <c r="F302" s="46" t="s">
        <v>120</v>
      </c>
      <c r="G302" s="48" t="s">
        <v>425</v>
      </c>
      <c r="H302" s="48" t="s">
        <v>425</v>
      </c>
      <c r="I302" s="56"/>
      <c r="J302" s="68" t="s">
        <v>514</v>
      </c>
      <c r="K302" s="68" t="s">
        <v>514</v>
      </c>
      <c r="L302" s="68"/>
    </row>
    <row r="303" spans="1:12" ht="16.2" x14ac:dyDescent="0.4">
      <c r="A303" s="15" t="str">
        <f t="shared" si="4"/>
        <v>modesg_inp_emss_scibcapital_proprio</v>
      </c>
      <c r="B303" s="54" t="s">
        <v>27</v>
      </c>
      <c r="C303" s="50" t="s">
        <v>29</v>
      </c>
      <c r="D303" s="46" t="s">
        <v>431</v>
      </c>
      <c r="E303" s="47" t="s">
        <v>41</v>
      </c>
      <c r="F303" s="46" t="s">
        <v>121</v>
      </c>
      <c r="G303" s="48" t="s">
        <v>425</v>
      </c>
      <c r="H303" s="48" t="s">
        <v>425</v>
      </c>
      <c r="I303" s="56"/>
      <c r="J303" s="68" t="s">
        <v>514</v>
      </c>
      <c r="K303" s="68" t="s">
        <v>514</v>
      </c>
      <c r="L303" s="68"/>
    </row>
    <row r="304" spans="1:12" ht="16.2" x14ac:dyDescent="0.4">
      <c r="A304" s="15" t="str">
        <f t="shared" si="4"/>
        <v>modesg_inp_emss_naceref_date</v>
      </c>
      <c r="B304" s="54" t="s">
        <v>27</v>
      </c>
      <c r="C304" s="50" t="s">
        <v>29</v>
      </c>
      <c r="D304" s="46" t="s">
        <v>431</v>
      </c>
      <c r="E304" s="47" t="s">
        <v>42</v>
      </c>
      <c r="F304" s="46" t="s">
        <v>44</v>
      </c>
      <c r="G304" s="48" t="s">
        <v>427</v>
      </c>
      <c r="H304" s="48" t="s">
        <v>427</v>
      </c>
      <c r="I304" s="56" t="s">
        <v>482</v>
      </c>
      <c r="J304" s="68" t="s">
        <v>514</v>
      </c>
      <c r="K304" s="68" t="s">
        <v>514</v>
      </c>
      <c r="L304" s="68"/>
    </row>
    <row r="305" spans="1:12" ht="16.2" x14ac:dyDescent="0.4">
      <c r="A305" s="15" t="str">
        <f t="shared" si="4"/>
        <v>modesg_inp_emss_naceano</v>
      </c>
      <c r="B305" s="54" t="s">
        <v>27</v>
      </c>
      <c r="C305" s="50" t="s">
        <v>29</v>
      </c>
      <c r="D305" s="46" t="s">
        <v>431</v>
      </c>
      <c r="E305" s="47" t="s">
        <v>42</v>
      </c>
      <c r="F305" s="46" t="s">
        <v>122</v>
      </c>
      <c r="G305" s="48" t="s">
        <v>427</v>
      </c>
      <c r="H305" s="48" t="s">
        <v>427</v>
      </c>
      <c r="I305" s="57" t="s">
        <v>484</v>
      </c>
      <c r="J305" s="68" t="s">
        <v>514</v>
      </c>
      <c r="K305" s="68" t="s">
        <v>514</v>
      </c>
      <c r="L305" s="68"/>
    </row>
    <row r="306" spans="1:12" ht="16.2" x14ac:dyDescent="0.4">
      <c r="A306" s="15" t="str">
        <f t="shared" si="4"/>
        <v>modesg_inp_emss_nacenome_regiao</v>
      </c>
      <c r="B306" s="54" t="s">
        <v>27</v>
      </c>
      <c r="C306" s="50" t="s">
        <v>29</v>
      </c>
      <c r="D306" s="46" t="s">
        <v>431</v>
      </c>
      <c r="E306" s="47" t="s">
        <v>42</v>
      </c>
      <c r="F306" s="46" t="s">
        <v>45</v>
      </c>
      <c r="G306" s="48" t="s">
        <v>427</v>
      </c>
      <c r="H306" s="48" t="s">
        <v>427</v>
      </c>
      <c r="I306" s="57" t="s">
        <v>484</v>
      </c>
      <c r="J306" s="68" t="s">
        <v>514</v>
      </c>
      <c r="K306" s="68" t="s">
        <v>514</v>
      </c>
      <c r="L306" s="68"/>
    </row>
    <row r="307" spans="1:12" ht="16.2" x14ac:dyDescent="0.4">
      <c r="A307" s="15" t="str">
        <f t="shared" si="4"/>
        <v>modesg_inp_emss_nacecod_nace_esg</v>
      </c>
      <c r="B307" s="54" t="s">
        <v>27</v>
      </c>
      <c r="C307" s="50" t="s">
        <v>29</v>
      </c>
      <c r="D307" s="46" t="s">
        <v>431</v>
      </c>
      <c r="E307" s="47" t="s">
        <v>42</v>
      </c>
      <c r="F307" s="46" t="s">
        <v>106</v>
      </c>
      <c r="G307" s="48" t="s">
        <v>427</v>
      </c>
      <c r="H307" s="48" t="s">
        <v>427</v>
      </c>
      <c r="I307" s="56" t="s">
        <v>482</v>
      </c>
      <c r="J307" s="68" t="s">
        <v>514</v>
      </c>
      <c r="K307" s="68" t="s">
        <v>514</v>
      </c>
      <c r="L307" s="68"/>
    </row>
    <row r="308" spans="1:12" ht="16.2" x14ac:dyDescent="0.4">
      <c r="A308" s="15" t="str">
        <f t="shared" si="4"/>
        <v>modesg_inp_emss_nacecod_class_indust</v>
      </c>
      <c r="B308" s="54" t="s">
        <v>27</v>
      </c>
      <c r="C308" s="50" t="s">
        <v>29</v>
      </c>
      <c r="D308" s="46" t="s">
        <v>431</v>
      </c>
      <c r="E308" s="47" t="s">
        <v>42</v>
      </c>
      <c r="F308" s="46" t="s">
        <v>123</v>
      </c>
      <c r="G308" s="48" t="s">
        <v>427</v>
      </c>
      <c r="H308" s="48" t="s">
        <v>427</v>
      </c>
      <c r="I308" s="56" t="s">
        <v>482</v>
      </c>
      <c r="J308" s="68" t="s">
        <v>514</v>
      </c>
      <c r="K308" s="68" t="s">
        <v>514</v>
      </c>
      <c r="L308" s="68"/>
    </row>
    <row r="309" spans="1:12" ht="16.2" x14ac:dyDescent="0.4">
      <c r="A309" s="15" t="str">
        <f t="shared" si="4"/>
        <v>modesg_inp_emss_naceclassification_level_1</v>
      </c>
      <c r="B309" s="54" t="s">
        <v>27</v>
      </c>
      <c r="C309" s="50" t="s">
        <v>29</v>
      </c>
      <c r="D309" s="46" t="s">
        <v>431</v>
      </c>
      <c r="E309" s="47" t="s">
        <v>42</v>
      </c>
      <c r="F309" s="46" t="s">
        <v>457</v>
      </c>
      <c r="G309" s="48" t="s">
        <v>427</v>
      </c>
      <c r="H309" s="48" t="s">
        <v>427</v>
      </c>
      <c r="I309" s="57" t="s">
        <v>484</v>
      </c>
      <c r="J309" s="68" t="s">
        <v>514</v>
      </c>
      <c r="K309" s="68" t="s">
        <v>514</v>
      </c>
      <c r="L309" s="68"/>
    </row>
    <row r="310" spans="1:12" ht="16.2" x14ac:dyDescent="0.4">
      <c r="A310" s="15" t="str">
        <f t="shared" si="4"/>
        <v>modesg_inp_emss_naceasset_class</v>
      </c>
      <c r="B310" s="54" t="s">
        <v>27</v>
      </c>
      <c r="C310" s="50" t="s">
        <v>29</v>
      </c>
      <c r="D310" s="46" t="s">
        <v>431</v>
      </c>
      <c r="E310" s="47" t="s">
        <v>42</v>
      </c>
      <c r="F310" s="46" t="s">
        <v>458</v>
      </c>
      <c r="G310" s="48" t="s">
        <v>427</v>
      </c>
      <c r="H310" s="48" t="s">
        <v>427</v>
      </c>
      <c r="I310" s="57" t="s">
        <v>484</v>
      </c>
      <c r="J310" s="68" t="s">
        <v>514</v>
      </c>
      <c r="K310" s="68" t="s">
        <v>514</v>
      </c>
      <c r="L310" s="68"/>
    </row>
    <row r="311" spans="1:12" ht="16.2" x14ac:dyDescent="0.4">
      <c r="A311" s="15" t="str">
        <f t="shared" si="4"/>
        <v>modesg_inp_emss_nacemethodology_option</v>
      </c>
      <c r="B311" s="54" t="s">
        <v>27</v>
      </c>
      <c r="C311" s="50" t="s">
        <v>29</v>
      </c>
      <c r="D311" s="46" t="s">
        <v>431</v>
      </c>
      <c r="E311" s="47" t="s">
        <v>42</v>
      </c>
      <c r="F311" s="46" t="s">
        <v>459</v>
      </c>
      <c r="G311" s="48" t="s">
        <v>427</v>
      </c>
      <c r="H311" s="48" t="s">
        <v>427</v>
      </c>
      <c r="I311" s="57" t="s">
        <v>484</v>
      </c>
      <c r="J311" s="68" t="s">
        <v>514</v>
      </c>
      <c r="K311" s="68" t="s">
        <v>514</v>
      </c>
      <c r="L311" s="68"/>
    </row>
    <row r="312" spans="1:12" ht="16.2" x14ac:dyDescent="0.4">
      <c r="A312" s="15" t="str">
        <f t="shared" si="4"/>
        <v>modesg_inp_emss_naceunidade_funcional</v>
      </c>
      <c r="B312" s="54" t="s">
        <v>27</v>
      </c>
      <c r="C312" s="50" t="s">
        <v>29</v>
      </c>
      <c r="D312" s="46" t="s">
        <v>431</v>
      </c>
      <c r="E312" s="47" t="s">
        <v>42</v>
      </c>
      <c r="F312" s="46" t="s">
        <v>54</v>
      </c>
      <c r="G312" s="48" t="s">
        <v>427</v>
      </c>
      <c r="H312" s="48" t="s">
        <v>427</v>
      </c>
      <c r="I312" s="56" t="s">
        <v>482</v>
      </c>
      <c r="J312" s="68" t="s">
        <v>514</v>
      </c>
      <c r="K312" s="68" t="s">
        <v>514</v>
      </c>
      <c r="L312" s="68"/>
    </row>
    <row r="313" spans="1:12" ht="16.2" x14ac:dyDescent="0.4">
      <c r="A313" s="15" t="str">
        <f t="shared" si="4"/>
        <v>modesg_inp_emss_naceunidade_fator_de_emissao</v>
      </c>
      <c r="B313" s="54" t="s">
        <v>27</v>
      </c>
      <c r="C313" s="50" t="s">
        <v>29</v>
      </c>
      <c r="D313" s="46" t="s">
        <v>431</v>
      </c>
      <c r="E313" s="47" t="s">
        <v>42</v>
      </c>
      <c r="F313" s="46" t="s">
        <v>125</v>
      </c>
      <c r="G313" s="48" t="s">
        <v>427</v>
      </c>
      <c r="H313" s="48" t="s">
        <v>427</v>
      </c>
      <c r="I313" s="56" t="s">
        <v>482</v>
      </c>
      <c r="J313" s="68" t="s">
        <v>514</v>
      </c>
      <c r="K313" s="68" t="s">
        <v>514</v>
      </c>
      <c r="L313" s="68"/>
    </row>
    <row r="314" spans="1:12" ht="16.2" x14ac:dyDescent="0.4">
      <c r="A314" s="15" t="str">
        <f t="shared" si="4"/>
        <v>modesg_inp_emss_nacescore_qualidade</v>
      </c>
      <c r="B314" s="54" t="s">
        <v>27</v>
      </c>
      <c r="C314" s="50" t="s">
        <v>29</v>
      </c>
      <c r="D314" s="46" t="s">
        <v>431</v>
      </c>
      <c r="E314" s="47" t="s">
        <v>42</v>
      </c>
      <c r="F314" s="46" t="s">
        <v>57</v>
      </c>
      <c r="G314" s="48" t="s">
        <v>427</v>
      </c>
      <c r="H314" s="48" t="s">
        <v>427</v>
      </c>
      <c r="I314" s="56" t="s">
        <v>482</v>
      </c>
      <c r="J314" s="68" t="s">
        <v>514</v>
      </c>
      <c r="K314" s="68" t="s">
        <v>514</v>
      </c>
      <c r="L314" s="68"/>
    </row>
    <row r="315" spans="1:12" ht="16.2" x14ac:dyDescent="0.4">
      <c r="A315" s="15" t="str">
        <f t="shared" si="4"/>
        <v>modesg_inp_emss_nacescp1_ftr_emss</v>
      </c>
      <c r="B315" s="54" t="s">
        <v>27</v>
      </c>
      <c r="C315" s="50" t="s">
        <v>29</v>
      </c>
      <c r="D315" s="46" t="s">
        <v>431</v>
      </c>
      <c r="E315" s="47" t="s">
        <v>42</v>
      </c>
      <c r="F315" s="46" t="s">
        <v>58</v>
      </c>
      <c r="G315" s="48" t="s">
        <v>427</v>
      </c>
      <c r="H315" s="48" t="s">
        <v>427</v>
      </c>
      <c r="I315" s="56" t="s">
        <v>482</v>
      </c>
      <c r="J315" s="68" t="s">
        <v>514</v>
      </c>
      <c r="K315" s="68" t="s">
        <v>514</v>
      </c>
      <c r="L315" s="68"/>
    </row>
    <row r="316" spans="1:12" ht="16.2" x14ac:dyDescent="0.4">
      <c r="A316" s="15" t="str">
        <f t="shared" si="4"/>
        <v>modesg_inp_emss_nacescp2_ftr_emss</v>
      </c>
      <c r="B316" s="54" t="s">
        <v>27</v>
      </c>
      <c r="C316" s="50" t="s">
        <v>29</v>
      </c>
      <c r="D316" s="46" t="s">
        <v>431</v>
      </c>
      <c r="E316" s="47" t="s">
        <v>42</v>
      </c>
      <c r="F316" s="46" t="s">
        <v>59</v>
      </c>
      <c r="G316" s="48" t="s">
        <v>427</v>
      </c>
      <c r="H316" s="48" t="s">
        <v>427</v>
      </c>
      <c r="I316" s="56" t="s">
        <v>482</v>
      </c>
      <c r="J316" s="68" t="s">
        <v>514</v>
      </c>
      <c r="K316" s="68" t="s">
        <v>514</v>
      </c>
      <c r="L316" s="68"/>
    </row>
    <row r="317" spans="1:12" ht="16.2" x14ac:dyDescent="0.4">
      <c r="A317" s="15" t="str">
        <f t="shared" si="4"/>
        <v>modesg_inp_emss_nacescp3_ftr_emss</v>
      </c>
      <c r="B317" s="54" t="s">
        <v>27</v>
      </c>
      <c r="C317" s="50" t="s">
        <v>29</v>
      </c>
      <c r="D317" s="46" t="s">
        <v>431</v>
      </c>
      <c r="E317" s="47" t="s">
        <v>42</v>
      </c>
      <c r="F317" s="46" t="s">
        <v>60</v>
      </c>
      <c r="G317" s="48" t="s">
        <v>427</v>
      </c>
      <c r="H317" s="48" t="s">
        <v>427</v>
      </c>
      <c r="I317" s="56" t="s">
        <v>482</v>
      </c>
      <c r="J317" s="68" t="s">
        <v>514</v>
      </c>
      <c r="K317" s="68" t="s">
        <v>514</v>
      </c>
      <c r="L317" s="68"/>
    </row>
    <row r="318" spans="1:12" ht="16.2" x14ac:dyDescent="0.4">
      <c r="A318" s="15" t="str">
        <f t="shared" si="4"/>
        <v>modesg_inp_emss_bens_imoveisref_date</v>
      </c>
      <c r="B318" s="54" t="s">
        <v>27</v>
      </c>
      <c r="C318" s="50" t="s">
        <v>29</v>
      </c>
      <c r="D318" s="46" t="s">
        <v>431</v>
      </c>
      <c r="E318" s="47" t="s">
        <v>43</v>
      </c>
      <c r="F318" s="46" t="s">
        <v>44</v>
      </c>
      <c r="G318" s="48" t="s">
        <v>427</v>
      </c>
      <c r="H318" s="48" t="s">
        <v>427</v>
      </c>
      <c r="I318" s="56" t="s">
        <v>482</v>
      </c>
      <c r="J318" s="68" t="s">
        <v>514</v>
      </c>
      <c r="K318" s="68" t="s">
        <v>514</v>
      </c>
      <c r="L318" s="68"/>
    </row>
    <row r="319" spans="1:12" ht="16.2" x14ac:dyDescent="0.4">
      <c r="A319" s="15" t="str">
        <f t="shared" si="4"/>
        <v>modesg_inp_emss_bens_imoveisnome_pais</v>
      </c>
      <c r="B319" s="54" t="s">
        <v>27</v>
      </c>
      <c r="C319" s="50" t="s">
        <v>29</v>
      </c>
      <c r="D319" s="46" t="s">
        <v>431</v>
      </c>
      <c r="E319" s="47" t="s">
        <v>43</v>
      </c>
      <c r="F319" s="46" t="s">
        <v>46</v>
      </c>
      <c r="G319" s="48" t="s">
        <v>427</v>
      </c>
      <c r="H319" s="48" t="s">
        <v>427</v>
      </c>
      <c r="I319" s="56" t="s">
        <v>482</v>
      </c>
      <c r="J319" s="68" t="s">
        <v>514</v>
      </c>
      <c r="K319" s="68" t="s">
        <v>514</v>
      </c>
      <c r="L319" s="68"/>
    </row>
    <row r="320" spans="1:12" ht="16.2" x14ac:dyDescent="0.4">
      <c r="A320" s="15" t="str">
        <f t="shared" si="4"/>
        <v>modesg_inp_emss_bens_imoveisnome_estado</v>
      </c>
      <c r="B320" s="54" t="s">
        <v>27</v>
      </c>
      <c r="C320" s="50" t="s">
        <v>29</v>
      </c>
      <c r="D320" s="46" t="s">
        <v>431</v>
      </c>
      <c r="E320" s="47" t="s">
        <v>43</v>
      </c>
      <c r="F320" s="46" t="s">
        <v>47</v>
      </c>
      <c r="G320" s="48" t="s">
        <v>427</v>
      </c>
      <c r="H320" s="48" t="s">
        <v>427</v>
      </c>
      <c r="I320" s="56" t="s">
        <v>482</v>
      </c>
      <c r="J320" s="68" t="s">
        <v>514</v>
      </c>
      <c r="K320" s="68" t="s">
        <v>514</v>
      </c>
      <c r="L320" s="68"/>
    </row>
    <row r="321" spans="1:12" ht="16.2" x14ac:dyDescent="0.4">
      <c r="A321" s="15" t="str">
        <f t="shared" si="4"/>
        <v>modesg_inp_emss_bens_imoveisasset_class</v>
      </c>
      <c r="B321" s="54" t="s">
        <v>27</v>
      </c>
      <c r="C321" s="50" t="s">
        <v>29</v>
      </c>
      <c r="D321" s="46" t="s">
        <v>431</v>
      </c>
      <c r="E321" s="47" t="s">
        <v>43</v>
      </c>
      <c r="F321" s="46" t="s">
        <v>458</v>
      </c>
      <c r="G321" s="48" t="s">
        <v>427</v>
      </c>
      <c r="H321" s="48" t="s">
        <v>427</v>
      </c>
      <c r="I321" s="56" t="s">
        <v>482</v>
      </c>
      <c r="J321" s="68" t="s">
        <v>514</v>
      </c>
      <c r="K321" s="68" t="s">
        <v>514</v>
      </c>
      <c r="L321" s="68"/>
    </row>
    <row r="322" spans="1:12" ht="16.2" x14ac:dyDescent="0.4">
      <c r="A322" s="15" t="str">
        <f t="shared" si="4"/>
        <v>modesg_inp_emss_bens_imoveisemission_factor_type</v>
      </c>
      <c r="B322" s="54" t="s">
        <v>27</v>
      </c>
      <c r="C322" s="50" t="s">
        <v>29</v>
      </c>
      <c r="D322" s="46" t="s">
        <v>431</v>
      </c>
      <c r="E322" s="47" t="s">
        <v>43</v>
      </c>
      <c r="F322" s="46" t="s">
        <v>460</v>
      </c>
      <c r="G322" s="48" t="s">
        <v>427</v>
      </c>
      <c r="H322" s="48" t="s">
        <v>427</v>
      </c>
      <c r="I322" s="57" t="s">
        <v>484</v>
      </c>
      <c r="J322" s="68" t="s">
        <v>514</v>
      </c>
      <c r="K322" s="68" t="s">
        <v>514</v>
      </c>
      <c r="L322" s="68"/>
    </row>
    <row r="323" spans="1:12" ht="16.2" x14ac:dyDescent="0.4">
      <c r="A323" s="15" t="str">
        <f t="shared" si="4"/>
        <v>modesg_inp_emss_bens_imoveisnome_regiao</v>
      </c>
      <c r="B323" s="54" t="s">
        <v>27</v>
      </c>
      <c r="C323" s="50" t="s">
        <v>29</v>
      </c>
      <c r="D323" s="46" t="s">
        <v>431</v>
      </c>
      <c r="E323" s="47" t="s">
        <v>43</v>
      </c>
      <c r="F323" s="46" t="s">
        <v>45</v>
      </c>
      <c r="G323" s="48" t="s">
        <v>427</v>
      </c>
      <c r="H323" s="48" t="s">
        <v>427</v>
      </c>
      <c r="I323" s="57" t="s">
        <v>484</v>
      </c>
      <c r="J323" s="68" t="s">
        <v>514</v>
      </c>
      <c r="K323" s="68" t="s">
        <v>514</v>
      </c>
      <c r="L323" s="68"/>
    </row>
    <row r="324" spans="1:12" ht="16.2" x14ac:dyDescent="0.4">
      <c r="A324" s="15" t="str">
        <f t="shared" si="4"/>
        <v>modesg_inp_emss_bens_imoveistipo_bem</v>
      </c>
      <c r="B324" s="54" t="s">
        <v>27</v>
      </c>
      <c r="C324" s="50" t="s">
        <v>29</v>
      </c>
      <c r="D324" s="46" t="s">
        <v>431</v>
      </c>
      <c r="E324" s="47" t="s">
        <v>43</v>
      </c>
      <c r="F324" s="46" t="s">
        <v>124</v>
      </c>
      <c r="G324" s="48" t="s">
        <v>427</v>
      </c>
      <c r="H324" s="48" t="s">
        <v>427</v>
      </c>
      <c r="I324" s="56" t="s">
        <v>482</v>
      </c>
      <c r="J324" s="68" t="s">
        <v>514</v>
      </c>
      <c r="K324" s="68" t="s">
        <v>514</v>
      </c>
      <c r="L324" s="68"/>
    </row>
    <row r="325" spans="1:12" ht="16.2" x14ac:dyDescent="0.4">
      <c r="A325" s="15" t="str">
        <f t="shared" si="4"/>
        <v>modesg_inp_emss_bens_imoveistipo_finalidade_bem</v>
      </c>
      <c r="B325" s="54" t="s">
        <v>27</v>
      </c>
      <c r="C325" s="50" t="s">
        <v>29</v>
      </c>
      <c r="D325" s="46" t="s">
        <v>431</v>
      </c>
      <c r="E325" s="47" t="s">
        <v>43</v>
      </c>
      <c r="F325" s="46" t="s">
        <v>126</v>
      </c>
      <c r="G325" s="48" t="s">
        <v>427</v>
      </c>
      <c r="H325" s="48" t="s">
        <v>427</v>
      </c>
      <c r="I325" s="56" t="s">
        <v>482</v>
      </c>
      <c r="J325" s="68" t="s">
        <v>514</v>
      </c>
      <c r="K325" s="68" t="s">
        <v>514</v>
      </c>
      <c r="L325" s="68"/>
    </row>
    <row r="326" spans="1:12" ht="16.2" x14ac:dyDescent="0.4">
      <c r="A326" s="15" t="str">
        <f t="shared" si="4"/>
        <v>modesg_inp_emss_bens_imoveisepc</v>
      </c>
      <c r="B326" s="54" t="s">
        <v>27</v>
      </c>
      <c r="C326" s="50" t="s">
        <v>29</v>
      </c>
      <c r="D326" s="46" t="s">
        <v>431</v>
      </c>
      <c r="E326" s="47" t="s">
        <v>43</v>
      </c>
      <c r="F326" s="46" t="s">
        <v>127</v>
      </c>
      <c r="G326" s="48" t="s">
        <v>427</v>
      </c>
      <c r="H326" s="48" t="s">
        <v>427</v>
      </c>
      <c r="I326" s="58" t="s">
        <v>484</v>
      </c>
      <c r="J326" s="68" t="s">
        <v>514</v>
      </c>
      <c r="K326" s="68" t="s">
        <v>514</v>
      </c>
      <c r="L326" s="68"/>
    </row>
    <row r="327" spans="1:12" ht="16.2" x14ac:dyDescent="0.4">
      <c r="A327" s="15" t="str">
        <f t="shared" si="4"/>
        <v>modesg_inp_emss_bens_imoveisflg_ftr_emss_area</v>
      </c>
      <c r="B327" s="54" t="s">
        <v>27</v>
      </c>
      <c r="C327" s="50" t="s">
        <v>29</v>
      </c>
      <c r="D327" s="46" t="s">
        <v>431</v>
      </c>
      <c r="E327" s="47" t="s">
        <v>43</v>
      </c>
      <c r="F327" s="46" t="s">
        <v>128</v>
      </c>
      <c r="G327" s="48" t="s">
        <v>427</v>
      </c>
      <c r="H327" s="48" t="s">
        <v>427</v>
      </c>
      <c r="I327" s="58" t="s">
        <v>484</v>
      </c>
      <c r="J327" s="68" t="s">
        <v>514</v>
      </c>
      <c r="K327" s="68" t="s">
        <v>514</v>
      </c>
      <c r="L327" s="68"/>
    </row>
    <row r="328" spans="1:12" ht="16.2" x14ac:dyDescent="0.4">
      <c r="A328" s="15" t="str">
        <f t="shared" ref="A328:A391" si="5">E328&amp;F328</f>
        <v>modesg_inp_emss_bens_imoveisnome_unidade_funcional</v>
      </c>
      <c r="B328" s="54" t="s">
        <v>27</v>
      </c>
      <c r="C328" s="50" t="s">
        <v>29</v>
      </c>
      <c r="D328" s="46" t="s">
        <v>431</v>
      </c>
      <c r="E328" s="47" t="s">
        <v>43</v>
      </c>
      <c r="F328" s="46" t="s">
        <v>53</v>
      </c>
      <c r="G328" s="48" t="s">
        <v>427</v>
      </c>
      <c r="H328" s="48" t="s">
        <v>427</v>
      </c>
      <c r="I328" s="56" t="s">
        <v>482</v>
      </c>
      <c r="J328" s="68" t="s">
        <v>514</v>
      </c>
      <c r="K328" s="68" t="s">
        <v>514</v>
      </c>
      <c r="L328" s="68"/>
    </row>
    <row r="329" spans="1:12" ht="16.2" x14ac:dyDescent="0.4">
      <c r="A329" s="15" t="str">
        <f t="shared" si="5"/>
        <v>modesg_inp_emss_bens_imoveisunidade_funcional</v>
      </c>
      <c r="B329" s="54" t="s">
        <v>27</v>
      </c>
      <c r="C329" s="50" t="s">
        <v>29</v>
      </c>
      <c r="D329" s="46" t="s">
        <v>431</v>
      </c>
      <c r="E329" s="47" t="s">
        <v>43</v>
      </c>
      <c r="F329" s="46" t="s">
        <v>54</v>
      </c>
      <c r="G329" s="48" t="s">
        <v>427</v>
      </c>
      <c r="H329" s="48" t="s">
        <v>427</v>
      </c>
      <c r="I329" s="56" t="s">
        <v>482</v>
      </c>
      <c r="J329" s="68" t="s">
        <v>514</v>
      </c>
      <c r="K329" s="68" t="s">
        <v>514</v>
      </c>
      <c r="L329" s="68"/>
    </row>
    <row r="330" spans="1:12" ht="16.2" x14ac:dyDescent="0.4">
      <c r="A330" s="15" t="str">
        <f t="shared" si="5"/>
        <v>modesg_inp_emss_bens_imoveisnome_fator_emissao</v>
      </c>
      <c r="B330" s="54" t="s">
        <v>27</v>
      </c>
      <c r="C330" s="50" t="s">
        <v>29</v>
      </c>
      <c r="D330" s="46" t="s">
        <v>431</v>
      </c>
      <c r="E330" s="47" t="s">
        <v>43</v>
      </c>
      <c r="F330" s="46" t="s">
        <v>55</v>
      </c>
      <c r="G330" s="48" t="s">
        <v>427</v>
      </c>
      <c r="H330" s="48" t="s">
        <v>427</v>
      </c>
      <c r="I330" s="56" t="s">
        <v>482</v>
      </c>
      <c r="J330" s="68" t="s">
        <v>514</v>
      </c>
      <c r="K330" s="68" t="s">
        <v>514</v>
      </c>
      <c r="L330" s="68"/>
    </row>
    <row r="331" spans="1:12" ht="16.2" x14ac:dyDescent="0.4">
      <c r="A331" s="15" t="str">
        <f t="shared" si="5"/>
        <v>modesg_inp_emss_bens_imoveisunidade_fator_emissao</v>
      </c>
      <c r="B331" s="54" t="s">
        <v>27</v>
      </c>
      <c r="C331" s="50" t="s">
        <v>29</v>
      </c>
      <c r="D331" s="46" t="s">
        <v>431</v>
      </c>
      <c r="E331" s="47" t="s">
        <v>43</v>
      </c>
      <c r="F331" s="46" t="s">
        <v>56</v>
      </c>
      <c r="G331" s="48" t="s">
        <v>427</v>
      </c>
      <c r="H331" s="48" t="s">
        <v>427</v>
      </c>
      <c r="I331" s="56" t="s">
        <v>482</v>
      </c>
      <c r="J331" s="68" t="s">
        <v>514</v>
      </c>
      <c r="K331" s="68" t="s">
        <v>514</v>
      </c>
      <c r="L331" s="68"/>
    </row>
    <row r="332" spans="1:12" ht="16.2" x14ac:dyDescent="0.4">
      <c r="A332" s="15" t="str">
        <f t="shared" si="5"/>
        <v>modesg_inp_emss_bens_imoveisscore_qualidade</v>
      </c>
      <c r="B332" s="54" t="s">
        <v>27</v>
      </c>
      <c r="C332" s="50" t="s">
        <v>29</v>
      </c>
      <c r="D332" s="46" t="s">
        <v>431</v>
      </c>
      <c r="E332" s="47" t="s">
        <v>43</v>
      </c>
      <c r="F332" s="46" t="s">
        <v>57</v>
      </c>
      <c r="G332" s="48" t="s">
        <v>427</v>
      </c>
      <c r="H332" s="48" t="s">
        <v>427</v>
      </c>
      <c r="I332" s="56" t="s">
        <v>482</v>
      </c>
      <c r="J332" s="68" t="s">
        <v>514</v>
      </c>
      <c r="K332" s="68" t="s">
        <v>514</v>
      </c>
      <c r="L332" s="68"/>
    </row>
    <row r="333" spans="1:12" ht="16.2" x14ac:dyDescent="0.4">
      <c r="A333" s="15" t="str">
        <f t="shared" si="5"/>
        <v>modesg_inp_emss_bens_imoveisscp_ftr_emss_ano1</v>
      </c>
      <c r="B333" s="54" t="s">
        <v>27</v>
      </c>
      <c r="C333" s="50" t="s">
        <v>29</v>
      </c>
      <c r="D333" s="46" t="s">
        <v>431</v>
      </c>
      <c r="E333" s="47" t="s">
        <v>43</v>
      </c>
      <c r="F333" s="46" t="s">
        <v>461</v>
      </c>
      <c r="G333" s="48" t="s">
        <v>427</v>
      </c>
      <c r="H333" s="48" t="s">
        <v>427</v>
      </c>
      <c r="I333" s="58" t="s">
        <v>484</v>
      </c>
      <c r="J333" s="68" t="s">
        <v>514</v>
      </c>
      <c r="K333" s="68" t="s">
        <v>514</v>
      </c>
      <c r="L333" s="68"/>
    </row>
    <row r="334" spans="1:12" ht="16.2" x14ac:dyDescent="0.4">
      <c r="A334" s="15" t="str">
        <f t="shared" si="5"/>
        <v>modesg_inp_emss_bens_imoveisscp1_ftr_emss</v>
      </c>
      <c r="B334" s="54" t="s">
        <v>27</v>
      </c>
      <c r="C334" s="50" t="s">
        <v>29</v>
      </c>
      <c r="D334" s="46" t="s">
        <v>431</v>
      </c>
      <c r="E334" s="47" t="s">
        <v>43</v>
      </c>
      <c r="F334" s="46" t="s">
        <v>58</v>
      </c>
      <c r="G334" s="48" t="s">
        <v>427</v>
      </c>
      <c r="H334" s="48" t="s">
        <v>427</v>
      </c>
      <c r="I334" s="56" t="s">
        <v>482</v>
      </c>
      <c r="J334" s="68" t="s">
        <v>514</v>
      </c>
      <c r="K334" s="68" t="s">
        <v>514</v>
      </c>
      <c r="L334" s="68"/>
    </row>
    <row r="335" spans="1:12" ht="16.2" x14ac:dyDescent="0.4">
      <c r="A335" s="15" t="str">
        <f t="shared" si="5"/>
        <v>modesg_inp_emss_bens_imoveisscp2_ftr_emss</v>
      </c>
      <c r="B335" s="54" t="s">
        <v>27</v>
      </c>
      <c r="C335" s="50" t="s">
        <v>29</v>
      </c>
      <c r="D335" s="46" t="s">
        <v>431</v>
      </c>
      <c r="E335" s="47" t="s">
        <v>43</v>
      </c>
      <c r="F335" s="46" t="s">
        <v>59</v>
      </c>
      <c r="G335" s="48" t="s">
        <v>427</v>
      </c>
      <c r="H335" s="48" t="s">
        <v>427</v>
      </c>
      <c r="I335" s="56" t="s">
        <v>482</v>
      </c>
      <c r="J335" s="68" t="s">
        <v>514</v>
      </c>
      <c r="K335" s="68" t="s">
        <v>514</v>
      </c>
      <c r="L335" s="68"/>
    </row>
    <row r="336" spans="1:12" ht="16.2" x14ac:dyDescent="0.4">
      <c r="A336" s="15" t="str">
        <f t="shared" si="5"/>
        <v>modesg_out_bens_imoveisn.a.</v>
      </c>
      <c r="B336" s="54" t="s">
        <v>27</v>
      </c>
      <c r="C336" s="50" t="s">
        <v>30</v>
      </c>
      <c r="D336" s="46" t="s">
        <v>430</v>
      </c>
      <c r="E336" s="47" t="s">
        <v>302</v>
      </c>
      <c r="F336" s="46" t="s">
        <v>7</v>
      </c>
      <c r="G336" s="48" t="s">
        <v>462</v>
      </c>
      <c r="H336" s="48" t="s">
        <v>462</v>
      </c>
      <c r="I336" s="56"/>
      <c r="J336" s="68" t="s">
        <v>514</v>
      </c>
      <c r="K336" s="68" t="s">
        <v>514</v>
      </c>
      <c r="L336" s="68"/>
    </row>
    <row r="337" spans="1:12" ht="16.2" x14ac:dyDescent="0.4">
      <c r="A337" s="15" t="str">
        <f t="shared" si="5"/>
        <v>modesg_out_bens_imoveiscempbem</v>
      </c>
      <c r="B337" s="54" t="s">
        <v>27</v>
      </c>
      <c r="C337" s="50" t="s">
        <v>30</v>
      </c>
      <c r="D337" s="46" t="s">
        <v>431</v>
      </c>
      <c r="E337" s="47" t="s">
        <v>302</v>
      </c>
      <c r="F337" s="46" t="s">
        <v>130</v>
      </c>
      <c r="G337" s="48" t="s">
        <v>425</v>
      </c>
      <c r="H337" s="48" t="s">
        <v>425</v>
      </c>
      <c r="I337" s="56"/>
      <c r="J337" s="68" t="s">
        <v>514</v>
      </c>
      <c r="K337" s="68" t="s">
        <v>514</v>
      </c>
      <c r="L337" s="68"/>
    </row>
    <row r="338" spans="1:12" ht="16.2" x14ac:dyDescent="0.4">
      <c r="A338" s="15" t="str">
        <f t="shared" si="5"/>
        <v>modesg_out_bens_imoveisckbalbem</v>
      </c>
      <c r="B338" s="54" t="s">
        <v>27</v>
      </c>
      <c r="C338" s="50" t="s">
        <v>30</v>
      </c>
      <c r="D338" s="46" t="s">
        <v>431</v>
      </c>
      <c r="E338" s="47" t="s">
        <v>302</v>
      </c>
      <c r="F338" s="46" t="s">
        <v>131</v>
      </c>
      <c r="G338" s="48" t="s">
        <v>425</v>
      </c>
      <c r="H338" s="48" t="s">
        <v>425</v>
      </c>
      <c r="I338" s="56"/>
      <c r="J338" s="68" t="s">
        <v>514</v>
      </c>
      <c r="K338" s="68" t="s">
        <v>514</v>
      </c>
      <c r="L338" s="68"/>
    </row>
    <row r="339" spans="1:12" ht="16.2" x14ac:dyDescent="0.4">
      <c r="A339" s="15" t="str">
        <f t="shared" si="5"/>
        <v>modesg_out_bens_imoveisckctabem</v>
      </c>
      <c r="B339" s="54" t="s">
        <v>27</v>
      </c>
      <c r="C339" s="50" t="s">
        <v>30</v>
      </c>
      <c r="D339" s="46" t="s">
        <v>431</v>
      </c>
      <c r="E339" s="47" t="s">
        <v>302</v>
      </c>
      <c r="F339" s="46" t="s">
        <v>132</v>
      </c>
      <c r="G339" s="48" t="s">
        <v>425</v>
      </c>
      <c r="H339" s="48" t="s">
        <v>425</v>
      </c>
      <c r="I339" s="56"/>
      <c r="J339" s="68" t="s">
        <v>514</v>
      </c>
      <c r="K339" s="68" t="s">
        <v>514</v>
      </c>
      <c r="L339" s="68"/>
    </row>
    <row r="340" spans="1:12" ht="16.2" x14ac:dyDescent="0.4">
      <c r="A340" s="15" t="str">
        <f t="shared" si="5"/>
        <v>modesg_out_bens_imoveisckrefbem</v>
      </c>
      <c r="B340" s="54" t="s">
        <v>27</v>
      </c>
      <c r="C340" s="50" t="s">
        <v>30</v>
      </c>
      <c r="D340" s="46" t="s">
        <v>431</v>
      </c>
      <c r="E340" s="47" t="s">
        <v>302</v>
      </c>
      <c r="F340" s="46" t="s">
        <v>133</v>
      </c>
      <c r="G340" s="48" t="s">
        <v>425</v>
      </c>
      <c r="H340" s="48" t="s">
        <v>425</v>
      </c>
      <c r="I340" s="56"/>
      <c r="J340" s="68" t="s">
        <v>514</v>
      </c>
      <c r="K340" s="68" t="s">
        <v>514</v>
      </c>
      <c r="L340" s="68"/>
    </row>
    <row r="341" spans="1:12" ht="16.2" x14ac:dyDescent="0.4">
      <c r="A341" s="15" t="str">
        <f t="shared" si="5"/>
        <v>modesg_out_bens_imoveisflg_rsc_fsc_agd</v>
      </c>
      <c r="B341" s="54" t="s">
        <v>27</v>
      </c>
      <c r="C341" s="50" t="s">
        <v>30</v>
      </c>
      <c r="D341" s="46" t="s">
        <v>431</v>
      </c>
      <c r="E341" s="47" t="s">
        <v>302</v>
      </c>
      <c r="F341" s="46" t="s">
        <v>107</v>
      </c>
      <c r="G341" s="48" t="s">
        <v>429</v>
      </c>
      <c r="H341" s="48" t="s">
        <v>429</v>
      </c>
      <c r="I341" s="56"/>
      <c r="J341" s="68" t="s">
        <v>514</v>
      </c>
      <c r="K341" s="68" t="s">
        <v>514</v>
      </c>
      <c r="L341" s="68"/>
    </row>
    <row r="342" spans="1:12" ht="16.2" x14ac:dyDescent="0.4">
      <c r="A342" s="15" t="str">
        <f t="shared" si="5"/>
        <v>modesg_out_bens_imoveisflg_rsc_fsc_crnc</v>
      </c>
      <c r="B342" s="54" t="s">
        <v>27</v>
      </c>
      <c r="C342" s="50" t="s">
        <v>30</v>
      </c>
      <c r="D342" s="46" t="s">
        <v>431</v>
      </c>
      <c r="E342" s="47" t="s">
        <v>302</v>
      </c>
      <c r="F342" s="46" t="s">
        <v>108</v>
      </c>
      <c r="G342" s="48" t="s">
        <v>429</v>
      </c>
      <c r="H342" s="48" t="s">
        <v>429</v>
      </c>
      <c r="I342" s="56"/>
      <c r="J342" s="68" t="s">
        <v>514</v>
      </c>
      <c r="K342" s="68" t="s">
        <v>514</v>
      </c>
      <c r="L342" s="68"/>
    </row>
    <row r="343" spans="1:12" ht="16.2" x14ac:dyDescent="0.4">
      <c r="A343" s="15" t="str">
        <f t="shared" si="5"/>
        <v>modesg_out_bens_imoveisorigem_flg_rsc_fsc_agd</v>
      </c>
      <c r="B343" s="54" t="s">
        <v>27</v>
      </c>
      <c r="C343" s="50" t="s">
        <v>30</v>
      </c>
      <c r="D343" s="46" t="s">
        <v>431</v>
      </c>
      <c r="E343" s="47" t="s">
        <v>302</v>
      </c>
      <c r="F343" s="46" t="s">
        <v>134</v>
      </c>
      <c r="G343" s="48" t="s">
        <v>429</v>
      </c>
      <c r="H343" s="48" t="s">
        <v>429</v>
      </c>
      <c r="I343" s="56"/>
      <c r="J343" s="68" t="s">
        <v>514</v>
      </c>
      <c r="K343" s="68" t="s">
        <v>514</v>
      </c>
      <c r="L343" s="68"/>
    </row>
    <row r="344" spans="1:12" ht="16.2" x14ac:dyDescent="0.4">
      <c r="A344" s="15" t="str">
        <f t="shared" si="5"/>
        <v>modesg_out_bens_imoveisorigem_flg_rsc_fsc_crnc</v>
      </c>
      <c r="B344" s="54" t="s">
        <v>27</v>
      </c>
      <c r="C344" s="50" t="s">
        <v>30</v>
      </c>
      <c r="D344" s="46" t="s">
        <v>431</v>
      </c>
      <c r="E344" s="47" t="s">
        <v>302</v>
      </c>
      <c r="F344" s="46" t="s">
        <v>135</v>
      </c>
      <c r="G344" s="48" t="s">
        <v>429</v>
      </c>
      <c r="H344" s="48" t="s">
        <v>429</v>
      </c>
      <c r="I344" s="56"/>
      <c r="J344" s="68" t="s">
        <v>514</v>
      </c>
      <c r="K344" s="68" t="s">
        <v>514</v>
      </c>
      <c r="L344" s="68"/>
    </row>
    <row r="345" spans="1:12" ht="16.2" x14ac:dyDescent="0.4">
      <c r="A345" s="15" t="str">
        <f t="shared" si="5"/>
        <v>modesg_out_bens_imoveisorigem_scp1_emss</v>
      </c>
      <c r="B345" s="54" t="s">
        <v>27</v>
      </c>
      <c r="C345" s="50" t="s">
        <v>30</v>
      </c>
      <c r="D345" s="46" t="s">
        <v>431</v>
      </c>
      <c r="E345" s="47" t="s">
        <v>302</v>
      </c>
      <c r="F345" s="46" t="s">
        <v>139</v>
      </c>
      <c r="G345" s="48" t="s">
        <v>462</v>
      </c>
      <c r="H345" s="48" t="s">
        <v>462</v>
      </c>
      <c r="I345" s="56"/>
      <c r="J345" s="68" t="s">
        <v>514</v>
      </c>
      <c r="K345" s="68" t="s">
        <v>514</v>
      </c>
      <c r="L345" s="68"/>
    </row>
    <row r="346" spans="1:12" ht="16.2" x14ac:dyDescent="0.4">
      <c r="A346" s="15" t="str">
        <f t="shared" si="5"/>
        <v>modesg_out_bens_imoveisorigem_scp2_emss</v>
      </c>
      <c r="B346" s="54" t="s">
        <v>27</v>
      </c>
      <c r="C346" s="50" t="s">
        <v>30</v>
      </c>
      <c r="D346" s="46" t="s">
        <v>431</v>
      </c>
      <c r="E346" s="47" t="s">
        <v>302</v>
      </c>
      <c r="F346" s="46" t="s">
        <v>140</v>
      </c>
      <c r="G346" s="48" t="s">
        <v>462</v>
      </c>
      <c r="H346" s="48" t="s">
        <v>462</v>
      </c>
      <c r="I346" s="56"/>
      <c r="J346" s="68" t="s">
        <v>514</v>
      </c>
      <c r="K346" s="68" t="s">
        <v>514</v>
      </c>
      <c r="L346" s="68"/>
    </row>
    <row r="347" spans="1:12" ht="16.2" x14ac:dyDescent="0.4">
      <c r="A347" s="15" t="str">
        <f t="shared" si="5"/>
        <v>modesg_out_bens_imoveisorigem_scp3_emss</v>
      </c>
      <c r="B347" s="54" t="s">
        <v>27</v>
      </c>
      <c r="C347" s="50" t="s">
        <v>30</v>
      </c>
      <c r="D347" s="46" t="s">
        <v>431</v>
      </c>
      <c r="E347" s="47" t="s">
        <v>302</v>
      </c>
      <c r="F347" s="46" t="s">
        <v>141</v>
      </c>
      <c r="G347" s="48" t="s">
        <v>462</v>
      </c>
      <c r="H347" s="48" t="s">
        <v>462</v>
      </c>
      <c r="I347" s="56"/>
      <c r="J347" s="68" t="s">
        <v>514</v>
      </c>
      <c r="K347" s="68" t="s">
        <v>514</v>
      </c>
      <c r="L347" s="68"/>
    </row>
    <row r="348" spans="1:12" ht="16.2" x14ac:dyDescent="0.4">
      <c r="A348" s="15" t="str">
        <f t="shared" si="5"/>
        <v>modesg_out_bens_imoveisref_date</v>
      </c>
      <c r="B348" s="54" t="s">
        <v>27</v>
      </c>
      <c r="C348" s="50" t="s">
        <v>30</v>
      </c>
      <c r="D348" s="46" t="s">
        <v>431</v>
      </c>
      <c r="E348" s="47" t="s">
        <v>302</v>
      </c>
      <c r="F348" s="46" t="s">
        <v>44</v>
      </c>
      <c r="G348" s="48" t="s">
        <v>425</v>
      </c>
      <c r="H348" s="48" t="s">
        <v>425</v>
      </c>
      <c r="I348" s="56"/>
      <c r="J348" s="68" t="s">
        <v>514</v>
      </c>
      <c r="K348" s="68" t="s">
        <v>514</v>
      </c>
      <c r="L348" s="68"/>
    </row>
    <row r="349" spans="1:12" ht="16.2" x14ac:dyDescent="0.4">
      <c r="A349" s="15" t="str">
        <f t="shared" si="5"/>
        <v>modesg_out_bens_imoveisscp1_emss</v>
      </c>
      <c r="B349" s="54" t="s">
        <v>27</v>
      </c>
      <c r="C349" s="50" t="s">
        <v>30</v>
      </c>
      <c r="D349" s="46" t="s">
        <v>431</v>
      </c>
      <c r="E349" s="47" t="s">
        <v>302</v>
      </c>
      <c r="F349" s="46" t="s">
        <v>110</v>
      </c>
      <c r="G349" s="48" t="s">
        <v>462</v>
      </c>
      <c r="H349" s="48" t="s">
        <v>462</v>
      </c>
      <c r="I349" s="56"/>
      <c r="J349" s="68" t="s">
        <v>514</v>
      </c>
      <c r="K349" s="68" t="s">
        <v>514</v>
      </c>
      <c r="L349" s="68"/>
    </row>
    <row r="350" spans="1:12" ht="16.2" x14ac:dyDescent="0.4">
      <c r="A350" s="15" t="str">
        <f t="shared" si="5"/>
        <v>modesg_out_bens_imoveisscp2_emss</v>
      </c>
      <c r="B350" s="54" t="s">
        <v>27</v>
      </c>
      <c r="C350" s="50" t="s">
        <v>30</v>
      </c>
      <c r="D350" s="46" t="s">
        <v>431</v>
      </c>
      <c r="E350" s="47" t="s">
        <v>302</v>
      </c>
      <c r="F350" s="46" t="s">
        <v>111</v>
      </c>
      <c r="G350" s="48" t="s">
        <v>462</v>
      </c>
      <c r="H350" s="48" t="s">
        <v>462</v>
      </c>
      <c r="I350" s="56"/>
      <c r="J350" s="68" t="s">
        <v>514</v>
      </c>
      <c r="K350" s="68" t="s">
        <v>514</v>
      </c>
      <c r="L350" s="68"/>
    </row>
    <row r="351" spans="1:12" ht="16.2" x14ac:dyDescent="0.4">
      <c r="A351" s="15" t="str">
        <f t="shared" si="5"/>
        <v>modesg_out_bens_imoveisscp3_emss</v>
      </c>
      <c r="B351" s="54" t="s">
        <v>27</v>
      </c>
      <c r="C351" s="50" t="s">
        <v>30</v>
      </c>
      <c r="D351" s="46" t="s">
        <v>431</v>
      </c>
      <c r="E351" s="47" t="s">
        <v>302</v>
      </c>
      <c r="F351" s="46" t="s">
        <v>112</v>
      </c>
      <c r="G351" s="48" t="s">
        <v>425</v>
      </c>
      <c r="H351" s="48" t="s">
        <v>425</v>
      </c>
      <c r="I351" s="56"/>
      <c r="J351" s="68" t="s">
        <v>514</v>
      </c>
      <c r="K351" s="68" t="s">
        <v>514</v>
      </c>
      <c r="L351" s="68"/>
    </row>
    <row r="352" spans="1:12" ht="16.2" x14ac:dyDescent="0.4">
      <c r="A352" s="15" t="str">
        <f t="shared" si="5"/>
        <v>modesg_out_bens_imoveisunidade_funcional_scp1_emss</v>
      </c>
      <c r="B352" s="54" t="s">
        <v>27</v>
      </c>
      <c r="C352" s="50" t="s">
        <v>30</v>
      </c>
      <c r="D352" s="46" t="s">
        <v>431</v>
      </c>
      <c r="E352" s="47" t="s">
        <v>302</v>
      </c>
      <c r="F352" s="46" t="s">
        <v>136</v>
      </c>
      <c r="G352" s="48" t="s">
        <v>462</v>
      </c>
      <c r="H352" s="48" t="s">
        <v>462</v>
      </c>
      <c r="I352" s="56"/>
      <c r="J352" s="68" t="s">
        <v>514</v>
      </c>
      <c r="K352" s="68" t="s">
        <v>514</v>
      </c>
      <c r="L352" s="68"/>
    </row>
    <row r="353" spans="1:12" ht="16.2" x14ac:dyDescent="0.4">
      <c r="A353" s="15" t="str">
        <f t="shared" si="5"/>
        <v>modesg_out_bens_imoveisunidade_funcional_scp2_emss</v>
      </c>
      <c r="B353" s="54" t="s">
        <v>27</v>
      </c>
      <c r="C353" s="50" t="s">
        <v>30</v>
      </c>
      <c r="D353" s="46" t="s">
        <v>431</v>
      </c>
      <c r="E353" s="47" t="s">
        <v>302</v>
      </c>
      <c r="F353" s="46" t="s">
        <v>137</v>
      </c>
      <c r="G353" s="48" t="s">
        <v>462</v>
      </c>
      <c r="H353" s="48" t="s">
        <v>462</v>
      </c>
      <c r="I353" s="56"/>
      <c r="J353" s="68" t="s">
        <v>514</v>
      </c>
      <c r="K353" s="68" t="s">
        <v>514</v>
      </c>
      <c r="L353" s="68"/>
    </row>
    <row r="354" spans="1:12" ht="16.2" x14ac:dyDescent="0.4">
      <c r="A354" s="15" t="str">
        <f t="shared" si="5"/>
        <v>modesg_out_bens_imoveisunidade_funcional_scp3_emss</v>
      </c>
      <c r="B354" s="54" t="s">
        <v>27</v>
      </c>
      <c r="C354" s="50" t="s">
        <v>30</v>
      </c>
      <c r="D354" s="46" t="s">
        <v>431</v>
      </c>
      <c r="E354" s="47" t="s">
        <v>302</v>
      </c>
      <c r="F354" s="46" t="s">
        <v>138</v>
      </c>
      <c r="G354" s="48" t="s">
        <v>462</v>
      </c>
      <c r="H354" s="48" t="s">
        <v>462</v>
      </c>
      <c r="I354" s="56"/>
      <c r="J354" s="68" t="s">
        <v>514</v>
      </c>
      <c r="K354" s="68" t="s">
        <v>514</v>
      </c>
      <c r="L354" s="68"/>
    </row>
    <row r="355" spans="1:12" ht="16.2" x14ac:dyDescent="0.4">
      <c r="A355" s="15" t="str">
        <f t="shared" si="5"/>
        <v>modesg_out_empr_info_nfinn.a.</v>
      </c>
      <c r="B355" s="54" t="s">
        <v>27</v>
      </c>
      <c r="C355" s="50" t="s">
        <v>30</v>
      </c>
      <c r="D355" s="46" t="s">
        <v>430</v>
      </c>
      <c r="E355" s="47" t="s">
        <v>301</v>
      </c>
      <c r="F355" s="46" t="s">
        <v>7</v>
      </c>
      <c r="G355" s="48" t="s">
        <v>425</v>
      </c>
      <c r="H355" s="48" t="s">
        <v>425</v>
      </c>
      <c r="I355" s="56"/>
      <c r="J355" s="68" t="s">
        <v>514</v>
      </c>
      <c r="K355" s="68" t="s">
        <v>514</v>
      </c>
      <c r="L355" s="68"/>
    </row>
    <row r="356" spans="1:12" ht="16.2" x14ac:dyDescent="0.4">
      <c r="A356" s="15" t="str">
        <f t="shared" si="5"/>
        <v>modesg_out_empr_info_nfincca_capex_enblng_algnd</v>
      </c>
      <c r="B356" s="54" t="s">
        <v>27</v>
      </c>
      <c r="C356" s="50" t="s">
        <v>30</v>
      </c>
      <c r="D356" s="46" t="s">
        <v>431</v>
      </c>
      <c r="E356" s="47" t="s">
        <v>301</v>
      </c>
      <c r="F356" s="46" t="s">
        <v>74</v>
      </c>
      <c r="G356" s="48" t="s">
        <v>462</v>
      </c>
      <c r="H356" s="48" t="s">
        <v>462</v>
      </c>
      <c r="I356" s="56"/>
      <c r="J356" s="68">
        <v>45490</v>
      </c>
      <c r="K356" s="68">
        <v>45504</v>
      </c>
      <c r="L356" s="68"/>
    </row>
    <row r="357" spans="1:12" ht="16.2" x14ac:dyDescent="0.4">
      <c r="A357" s="15" t="str">
        <f t="shared" si="5"/>
        <v>modesg_out_empr_info_nfincca_capex_own_prfrmnce_algnd</v>
      </c>
      <c r="B357" s="54" t="s">
        <v>27</v>
      </c>
      <c r="C357" s="50" t="s">
        <v>30</v>
      </c>
      <c r="D357" s="46" t="s">
        <v>431</v>
      </c>
      <c r="E357" s="47" t="s">
        <v>301</v>
      </c>
      <c r="F357" s="46" t="s">
        <v>75</v>
      </c>
      <c r="G357" s="48" t="s">
        <v>462</v>
      </c>
      <c r="H357" s="48" t="s">
        <v>462</v>
      </c>
      <c r="I357" s="56"/>
      <c r="J357" s="68">
        <v>45490</v>
      </c>
      <c r="K357" s="68">
        <v>45504</v>
      </c>
      <c r="L357" s="68"/>
    </row>
    <row r="358" spans="1:12" ht="16.2" x14ac:dyDescent="0.4">
      <c r="A358" s="15" t="str">
        <f t="shared" si="5"/>
        <v>modesg_out_empr_info_nfincca_capex_ttl_elgbl</v>
      </c>
      <c r="B358" s="54" t="s">
        <v>27</v>
      </c>
      <c r="C358" s="50" t="s">
        <v>30</v>
      </c>
      <c r="D358" s="46" t="s">
        <v>431</v>
      </c>
      <c r="E358" s="47" t="s">
        <v>301</v>
      </c>
      <c r="F358" s="46" t="s">
        <v>73</v>
      </c>
      <c r="G358" s="48" t="s">
        <v>462</v>
      </c>
      <c r="H358" s="48" t="s">
        <v>462</v>
      </c>
      <c r="I358" s="56"/>
      <c r="J358" s="68">
        <v>45490</v>
      </c>
      <c r="K358" s="68">
        <v>45504</v>
      </c>
      <c r="L358" s="68"/>
    </row>
    <row r="359" spans="1:12" ht="16.2" x14ac:dyDescent="0.4">
      <c r="A359" s="15" t="str">
        <f t="shared" si="5"/>
        <v>modesg_out_empr_info_nfincca_trnvr_enblng_alignd</v>
      </c>
      <c r="B359" s="54" t="s">
        <v>27</v>
      </c>
      <c r="C359" s="50" t="s">
        <v>30</v>
      </c>
      <c r="D359" s="46" t="s">
        <v>431</v>
      </c>
      <c r="E359" s="47" t="s">
        <v>301</v>
      </c>
      <c r="F359" s="46" t="s">
        <v>71</v>
      </c>
      <c r="G359" s="48" t="s">
        <v>462</v>
      </c>
      <c r="H359" s="48" t="s">
        <v>462</v>
      </c>
      <c r="I359" s="56"/>
      <c r="J359" s="68">
        <v>45490</v>
      </c>
      <c r="K359" s="68">
        <v>45504</v>
      </c>
      <c r="L359" s="68"/>
    </row>
    <row r="360" spans="1:12" ht="16.2" x14ac:dyDescent="0.4">
      <c r="A360" s="15" t="str">
        <f t="shared" si="5"/>
        <v>modesg_out_empr_info_nfincca_trnvr_ttl_elgbl</v>
      </c>
      <c r="B360" s="54" t="s">
        <v>27</v>
      </c>
      <c r="C360" s="50" t="s">
        <v>30</v>
      </c>
      <c r="D360" s="46" t="s">
        <v>431</v>
      </c>
      <c r="E360" s="47" t="s">
        <v>301</v>
      </c>
      <c r="F360" s="46" t="s">
        <v>70</v>
      </c>
      <c r="G360" s="48" t="s">
        <v>462</v>
      </c>
      <c r="H360" s="48" t="s">
        <v>462</v>
      </c>
      <c r="I360" s="56"/>
      <c r="J360" s="68">
        <v>45490</v>
      </c>
      <c r="K360" s="68">
        <v>45504</v>
      </c>
      <c r="L360" s="68"/>
    </row>
    <row r="361" spans="1:12" ht="16.2" x14ac:dyDescent="0.4">
      <c r="A361" s="15" t="str">
        <f t="shared" si="5"/>
        <v>modesg_out_empr_info_nfincca_turnover_own_prfrmnce_algnd</v>
      </c>
      <c r="B361" s="54" t="s">
        <v>27</v>
      </c>
      <c r="C361" s="50" t="s">
        <v>30</v>
      </c>
      <c r="D361" s="46" t="s">
        <v>431</v>
      </c>
      <c r="E361" s="47" t="s">
        <v>301</v>
      </c>
      <c r="F361" s="46" t="s">
        <v>72</v>
      </c>
      <c r="G361" s="48" t="s">
        <v>462</v>
      </c>
      <c r="H361" s="48" t="s">
        <v>462</v>
      </c>
      <c r="I361" s="56"/>
      <c r="J361" s="68">
        <v>45490</v>
      </c>
      <c r="K361" s="68">
        <v>45504</v>
      </c>
      <c r="L361" s="68"/>
    </row>
    <row r="362" spans="1:12" ht="16.2" x14ac:dyDescent="0.4">
      <c r="A362" s="15" t="str">
        <f t="shared" si="5"/>
        <v>modesg_out_empr_info_nfinccm_capex_enblng_algnd</v>
      </c>
      <c r="B362" s="54" t="s">
        <v>27</v>
      </c>
      <c r="C362" s="50" t="s">
        <v>30</v>
      </c>
      <c r="D362" s="46" t="s">
        <v>431</v>
      </c>
      <c r="E362" s="47" t="s">
        <v>301</v>
      </c>
      <c r="F362" s="46" t="s">
        <v>81</v>
      </c>
      <c r="G362" s="48" t="s">
        <v>462</v>
      </c>
      <c r="H362" s="48" t="s">
        <v>462</v>
      </c>
      <c r="I362" s="56"/>
      <c r="J362" s="68">
        <v>45490</v>
      </c>
      <c r="K362" s="68">
        <v>45504</v>
      </c>
      <c r="L362" s="68"/>
    </row>
    <row r="363" spans="1:12" ht="16.2" x14ac:dyDescent="0.4">
      <c r="A363" s="15" t="str">
        <f t="shared" si="5"/>
        <v>modesg_out_empr_info_nfinccm_capex_own_prfrmnce_algnd</v>
      </c>
      <c r="B363" s="54" t="s">
        <v>27</v>
      </c>
      <c r="C363" s="50" t="s">
        <v>30</v>
      </c>
      <c r="D363" s="46" t="s">
        <v>431</v>
      </c>
      <c r="E363" s="47" t="s">
        <v>301</v>
      </c>
      <c r="F363" s="46" t="s">
        <v>83</v>
      </c>
      <c r="G363" s="48" t="s">
        <v>462</v>
      </c>
      <c r="H363" s="48" t="s">
        <v>462</v>
      </c>
      <c r="I363" s="56"/>
      <c r="J363" s="68">
        <v>45490</v>
      </c>
      <c r="K363" s="68">
        <v>45504</v>
      </c>
      <c r="L363" s="68"/>
    </row>
    <row r="364" spans="1:12" ht="16.2" x14ac:dyDescent="0.4">
      <c r="A364" s="15" t="str">
        <f t="shared" si="5"/>
        <v>modesg_out_empr_info_nfinccm_capex_trnstn_algnd</v>
      </c>
      <c r="B364" s="54" t="s">
        <v>27</v>
      </c>
      <c r="C364" s="50" t="s">
        <v>30</v>
      </c>
      <c r="D364" s="46" t="s">
        <v>431</v>
      </c>
      <c r="E364" s="47" t="s">
        <v>301</v>
      </c>
      <c r="F364" s="46" t="s">
        <v>82</v>
      </c>
      <c r="G364" s="48" t="s">
        <v>462</v>
      </c>
      <c r="H364" s="48" t="s">
        <v>462</v>
      </c>
      <c r="I364" s="56"/>
      <c r="J364" s="68">
        <v>45490</v>
      </c>
      <c r="K364" s="68">
        <v>45504</v>
      </c>
      <c r="L364" s="68"/>
    </row>
    <row r="365" spans="1:12" ht="16.2" x14ac:dyDescent="0.4">
      <c r="A365" s="15" t="str">
        <f t="shared" si="5"/>
        <v>modesg_out_empr_info_nfinccm_capex_ttl_elgbl</v>
      </c>
      <c r="B365" s="54" t="s">
        <v>27</v>
      </c>
      <c r="C365" s="50" t="s">
        <v>30</v>
      </c>
      <c r="D365" s="46" t="s">
        <v>431</v>
      </c>
      <c r="E365" s="47" t="s">
        <v>301</v>
      </c>
      <c r="F365" s="46" t="s">
        <v>80</v>
      </c>
      <c r="G365" s="48" t="s">
        <v>462</v>
      </c>
      <c r="H365" s="48" t="s">
        <v>462</v>
      </c>
      <c r="I365" s="56"/>
      <c r="J365" s="68">
        <v>45490</v>
      </c>
      <c r="K365" s="68">
        <v>45504</v>
      </c>
      <c r="L365" s="68"/>
    </row>
    <row r="366" spans="1:12" ht="16.2" x14ac:dyDescent="0.4">
      <c r="A366" s="15" t="str">
        <f t="shared" si="5"/>
        <v>modesg_out_empr_info_nfinccm_trnvr_enblng_algnd</v>
      </c>
      <c r="B366" s="54" t="s">
        <v>27</v>
      </c>
      <c r="C366" s="50" t="s">
        <v>30</v>
      </c>
      <c r="D366" s="46" t="s">
        <v>431</v>
      </c>
      <c r="E366" s="47" t="s">
        <v>301</v>
      </c>
      <c r="F366" s="46" t="s">
        <v>77</v>
      </c>
      <c r="G366" s="48" t="s">
        <v>462</v>
      </c>
      <c r="H366" s="48" t="s">
        <v>462</v>
      </c>
      <c r="I366" s="56"/>
      <c r="J366" s="68">
        <v>45490</v>
      </c>
      <c r="K366" s="68">
        <v>45504</v>
      </c>
      <c r="L366" s="68"/>
    </row>
    <row r="367" spans="1:12" ht="16.2" x14ac:dyDescent="0.4">
      <c r="A367" s="15" t="str">
        <f t="shared" si="5"/>
        <v>modesg_out_empr_info_nfinccm_trnvr_own_prfrmnce_algnd</v>
      </c>
      <c r="B367" s="54" t="s">
        <v>27</v>
      </c>
      <c r="C367" s="50" t="s">
        <v>30</v>
      </c>
      <c r="D367" s="46" t="s">
        <v>431</v>
      </c>
      <c r="E367" s="47" t="s">
        <v>301</v>
      </c>
      <c r="F367" s="46" t="s">
        <v>79</v>
      </c>
      <c r="G367" s="48" t="s">
        <v>462</v>
      </c>
      <c r="H367" s="48" t="s">
        <v>462</v>
      </c>
      <c r="I367" s="56"/>
      <c r="J367" s="68">
        <v>45490</v>
      </c>
      <c r="K367" s="68">
        <v>45504</v>
      </c>
      <c r="L367" s="68"/>
    </row>
    <row r="368" spans="1:12" ht="16.2" x14ac:dyDescent="0.4">
      <c r="A368" s="15" t="str">
        <f t="shared" si="5"/>
        <v>modesg_out_empr_info_nfinccm_trnvr_trnstn_alignd</v>
      </c>
      <c r="B368" s="54" t="s">
        <v>27</v>
      </c>
      <c r="C368" s="50" t="s">
        <v>30</v>
      </c>
      <c r="D368" s="46" t="s">
        <v>431</v>
      </c>
      <c r="E368" s="47" t="s">
        <v>301</v>
      </c>
      <c r="F368" s="46" t="s">
        <v>78</v>
      </c>
      <c r="G368" s="48" t="s">
        <v>462</v>
      </c>
      <c r="H368" s="48" t="s">
        <v>462</v>
      </c>
      <c r="I368" s="56"/>
      <c r="J368" s="68">
        <v>45490</v>
      </c>
      <c r="K368" s="68">
        <v>45504</v>
      </c>
      <c r="L368" s="68"/>
    </row>
    <row r="369" spans="1:12" ht="16.2" x14ac:dyDescent="0.4">
      <c r="A369" s="15" t="str">
        <f t="shared" si="5"/>
        <v>modesg_out_empr_info_nfinccm_trnvr_ttl_elgbl</v>
      </c>
      <c r="B369" s="54" t="s">
        <v>27</v>
      </c>
      <c r="C369" s="50" t="s">
        <v>30</v>
      </c>
      <c r="D369" s="46" t="s">
        <v>431</v>
      </c>
      <c r="E369" s="47" t="s">
        <v>301</v>
      </c>
      <c r="F369" s="46" t="s">
        <v>76</v>
      </c>
      <c r="G369" s="48" t="s">
        <v>462</v>
      </c>
      <c r="H369" s="48" t="s">
        <v>462</v>
      </c>
      <c r="I369" s="56"/>
      <c r="J369" s="68">
        <v>45490</v>
      </c>
      <c r="K369" s="68">
        <v>45504</v>
      </c>
      <c r="L369" s="68"/>
    </row>
    <row r="370" spans="1:12" ht="16.2" x14ac:dyDescent="0.4">
      <c r="A370" s="15" t="str">
        <f t="shared" si="5"/>
        <v>modesg_out_empr_info_nfincod_nace_esg</v>
      </c>
      <c r="B370" s="54" t="s">
        <v>27</v>
      </c>
      <c r="C370" s="50" t="s">
        <v>30</v>
      </c>
      <c r="D370" s="46" t="s">
        <v>431</v>
      </c>
      <c r="E370" s="47" t="s">
        <v>301</v>
      </c>
      <c r="F370" s="46" t="s">
        <v>106</v>
      </c>
      <c r="G370" s="48" t="s">
        <v>462</v>
      </c>
      <c r="H370" s="48" t="s">
        <v>462</v>
      </c>
      <c r="I370" s="56"/>
      <c r="J370" s="68" t="s">
        <v>514</v>
      </c>
      <c r="K370" s="68" t="s">
        <v>514</v>
      </c>
      <c r="L370" s="68"/>
    </row>
    <row r="371" spans="1:12" ht="16.2" x14ac:dyDescent="0.4">
      <c r="A371" s="15" t="str">
        <f t="shared" si="5"/>
        <v>modesg_out_empr_info_nfinflg_emprs_excl_paris</v>
      </c>
      <c r="B371" s="54" t="s">
        <v>27</v>
      </c>
      <c r="C371" s="50" t="s">
        <v>30</v>
      </c>
      <c r="D371" s="46" t="s">
        <v>431</v>
      </c>
      <c r="E371" s="47" t="s">
        <v>301</v>
      </c>
      <c r="F371" s="46" t="s">
        <v>144</v>
      </c>
      <c r="G371" s="48" t="s">
        <v>462</v>
      </c>
      <c r="H371" s="48" t="s">
        <v>462</v>
      </c>
      <c r="I371" s="56"/>
      <c r="J371" s="68">
        <v>45490</v>
      </c>
      <c r="K371" s="68">
        <v>45504</v>
      </c>
      <c r="L371" s="68"/>
    </row>
    <row r="372" spans="1:12" ht="16.2" x14ac:dyDescent="0.4">
      <c r="A372" s="15" t="str">
        <f t="shared" si="5"/>
        <v>modesg_out_empr_info_nfinflg_nfrd</v>
      </c>
      <c r="B372" s="54" t="s">
        <v>27</v>
      </c>
      <c r="C372" s="50" t="s">
        <v>30</v>
      </c>
      <c r="D372" s="46" t="s">
        <v>431</v>
      </c>
      <c r="E372" s="47" t="s">
        <v>301</v>
      </c>
      <c r="F372" s="46" t="s">
        <v>69</v>
      </c>
      <c r="G372" s="48" t="s">
        <v>462</v>
      </c>
      <c r="H372" s="48" t="s">
        <v>462</v>
      </c>
      <c r="I372" s="56"/>
      <c r="J372" s="68">
        <v>45490</v>
      </c>
      <c r="K372" s="68">
        <v>45504</v>
      </c>
      <c r="L372" s="68"/>
    </row>
    <row r="373" spans="1:12" ht="16.2" x14ac:dyDescent="0.4">
      <c r="A373" s="15" t="str">
        <f t="shared" si="5"/>
        <v>modesg_out_empr_info_nfinflg_rsc_fsc_agd</v>
      </c>
      <c r="B373" s="54" t="s">
        <v>27</v>
      </c>
      <c r="C373" s="50" t="s">
        <v>30</v>
      </c>
      <c r="D373" s="46" t="s">
        <v>431</v>
      </c>
      <c r="E373" s="47" t="s">
        <v>301</v>
      </c>
      <c r="F373" s="46" t="s">
        <v>107</v>
      </c>
      <c r="G373" s="48" t="s">
        <v>462</v>
      </c>
      <c r="H373" s="48" t="s">
        <v>462</v>
      </c>
      <c r="I373" s="56"/>
      <c r="J373" s="68" t="s">
        <v>514</v>
      </c>
      <c r="K373" s="68" t="s">
        <v>514</v>
      </c>
      <c r="L373" s="68"/>
    </row>
    <row r="374" spans="1:12" ht="16.2" x14ac:dyDescent="0.4">
      <c r="A374" s="15" t="str">
        <f t="shared" si="5"/>
        <v>modesg_out_empr_info_nfinflg_rsc_fsc_crnc</v>
      </c>
      <c r="B374" s="54" t="s">
        <v>27</v>
      </c>
      <c r="C374" s="50" t="s">
        <v>30</v>
      </c>
      <c r="D374" s="46" t="s">
        <v>431</v>
      </c>
      <c r="E374" s="47" t="s">
        <v>301</v>
      </c>
      <c r="F374" s="46" t="s">
        <v>108</v>
      </c>
      <c r="G374" s="48" t="s">
        <v>462</v>
      </c>
      <c r="H374" s="48" t="s">
        <v>462</v>
      </c>
      <c r="I374" s="56"/>
      <c r="J374" s="68" t="s">
        <v>514</v>
      </c>
      <c r="K374" s="68" t="s">
        <v>514</v>
      </c>
      <c r="L374" s="68"/>
    </row>
    <row r="375" spans="1:12" ht="16.2" x14ac:dyDescent="0.4">
      <c r="A375" s="15" t="str">
        <f t="shared" si="5"/>
        <v>modesg_out_empr_info_nfinorigem_alinhamentos</v>
      </c>
      <c r="B375" s="54" t="s">
        <v>27</v>
      </c>
      <c r="C375" s="50" t="s">
        <v>30</v>
      </c>
      <c r="D375" s="46" t="s">
        <v>431</v>
      </c>
      <c r="E375" s="47" t="s">
        <v>301</v>
      </c>
      <c r="F375" s="46" t="s">
        <v>146</v>
      </c>
      <c r="G375" s="48" t="s">
        <v>462</v>
      </c>
      <c r="H375" s="48" t="s">
        <v>462</v>
      </c>
      <c r="I375" s="56"/>
      <c r="J375" s="68" t="s">
        <v>514</v>
      </c>
      <c r="K375" s="68" t="s">
        <v>514</v>
      </c>
      <c r="L375" s="68"/>
    </row>
    <row r="376" spans="1:12" ht="16.2" x14ac:dyDescent="0.4">
      <c r="A376" s="15" t="str">
        <f t="shared" si="5"/>
        <v>modesg_out_empr_info_nfinorigem_flg_emprs_excl_paris</v>
      </c>
      <c r="B376" s="54" t="s">
        <v>27</v>
      </c>
      <c r="C376" s="50" t="s">
        <v>30</v>
      </c>
      <c r="D376" s="46" t="s">
        <v>431</v>
      </c>
      <c r="E376" s="47" t="s">
        <v>301</v>
      </c>
      <c r="F376" s="46" t="s">
        <v>145</v>
      </c>
      <c r="G376" s="48" t="s">
        <v>462</v>
      </c>
      <c r="H376" s="48" t="s">
        <v>462</v>
      </c>
      <c r="I376" s="56"/>
      <c r="J376" s="68" t="s">
        <v>514</v>
      </c>
      <c r="K376" s="68" t="s">
        <v>514</v>
      </c>
      <c r="L376" s="68"/>
    </row>
    <row r="377" spans="1:12" ht="16.2" x14ac:dyDescent="0.4">
      <c r="A377" s="15" t="str">
        <f t="shared" si="5"/>
        <v>modesg_out_empr_info_nfinorigem_flg_nfrd</v>
      </c>
      <c r="B377" s="54" t="s">
        <v>27</v>
      </c>
      <c r="C377" s="50" t="s">
        <v>30</v>
      </c>
      <c r="D377" s="46" t="s">
        <v>431</v>
      </c>
      <c r="E377" s="47" t="s">
        <v>301</v>
      </c>
      <c r="F377" s="46" t="s">
        <v>143</v>
      </c>
      <c r="G377" s="48" t="s">
        <v>462</v>
      </c>
      <c r="H377" s="48" t="s">
        <v>462</v>
      </c>
      <c r="I377" s="56"/>
      <c r="J377" s="68" t="s">
        <v>514</v>
      </c>
      <c r="K377" s="68" t="s">
        <v>514</v>
      </c>
      <c r="L377" s="68"/>
    </row>
    <row r="378" spans="1:12" ht="16.2" x14ac:dyDescent="0.4">
      <c r="A378" s="15" t="str">
        <f t="shared" si="5"/>
        <v>modesg_out_empr_info_nfinorigem_flg_rsc_fsc_agd</v>
      </c>
      <c r="B378" s="54" t="s">
        <v>27</v>
      </c>
      <c r="C378" s="50" t="s">
        <v>30</v>
      </c>
      <c r="D378" s="46" t="s">
        <v>431</v>
      </c>
      <c r="E378" s="47" t="s">
        <v>301</v>
      </c>
      <c r="F378" s="46" t="s">
        <v>134</v>
      </c>
      <c r="G378" s="48" t="s">
        <v>462</v>
      </c>
      <c r="H378" s="48" t="s">
        <v>462</v>
      </c>
      <c r="I378" s="56"/>
      <c r="J378" s="68" t="s">
        <v>514</v>
      </c>
      <c r="K378" s="68" t="s">
        <v>514</v>
      </c>
      <c r="L378" s="68"/>
    </row>
    <row r="379" spans="1:12" ht="16.2" x14ac:dyDescent="0.4">
      <c r="A379" s="15" t="str">
        <f t="shared" si="5"/>
        <v>modesg_out_empr_info_nfinorigem_flg_rsc_fsc_crnc</v>
      </c>
      <c r="B379" s="54" t="s">
        <v>27</v>
      </c>
      <c r="C379" s="50" t="s">
        <v>30</v>
      </c>
      <c r="D379" s="46" t="s">
        <v>431</v>
      </c>
      <c r="E379" s="47" t="s">
        <v>301</v>
      </c>
      <c r="F379" s="46" t="s">
        <v>135</v>
      </c>
      <c r="G379" s="48" t="s">
        <v>462</v>
      </c>
      <c r="H379" s="48" t="s">
        <v>462</v>
      </c>
      <c r="I379" s="56"/>
      <c r="J379" s="68" t="s">
        <v>514</v>
      </c>
      <c r="K379" s="68" t="s">
        <v>514</v>
      </c>
      <c r="L379" s="68"/>
    </row>
    <row r="380" spans="1:12" ht="16.2" x14ac:dyDescent="0.4">
      <c r="A380" s="15" t="str">
        <f t="shared" si="5"/>
        <v>modesg_out_empr_info_nfinorigem_scp1_emss</v>
      </c>
      <c r="B380" s="54" t="s">
        <v>27</v>
      </c>
      <c r="C380" s="50" t="s">
        <v>30</v>
      </c>
      <c r="D380" s="46" t="s">
        <v>431</v>
      </c>
      <c r="E380" s="47" t="s">
        <v>301</v>
      </c>
      <c r="F380" s="46" t="s">
        <v>139</v>
      </c>
      <c r="G380" s="48" t="s">
        <v>462</v>
      </c>
      <c r="H380" s="48" t="s">
        <v>462</v>
      </c>
      <c r="I380" s="56"/>
      <c r="J380" s="68" t="s">
        <v>514</v>
      </c>
      <c r="K380" s="68" t="s">
        <v>514</v>
      </c>
      <c r="L380" s="68"/>
    </row>
    <row r="381" spans="1:12" ht="16.2" x14ac:dyDescent="0.4">
      <c r="A381" s="15" t="str">
        <f t="shared" si="5"/>
        <v>modesg_out_empr_info_nfinorigem_scp2_emss</v>
      </c>
      <c r="B381" s="54" t="s">
        <v>27</v>
      </c>
      <c r="C381" s="50" t="s">
        <v>30</v>
      </c>
      <c r="D381" s="46" t="s">
        <v>431</v>
      </c>
      <c r="E381" s="47" t="s">
        <v>301</v>
      </c>
      <c r="F381" s="46" t="s">
        <v>140</v>
      </c>
      <c r="G381" s="48" t="s">
        <v>462</v>
      </c>
      <c r="H381" s="48" t="s">
        <v>462</v>
      </c>
      <c r="I381" s="56"/>
      <c r="J381" s="68" t="s">
        <v>514</v>
      </c>
      <c r="K381" s="68" t="s">
        <v>514</v>
      </c>
      <c r="L381" s="68"/>
    </row>
    <row r="382" spans="1:12" ht="16.2" x14ac:dyDescent="0.4">
      <c r="A382" s="15" t="str">
        <f t="shared" si="5"/>
        <v>modesg_out_empr_info_nfinorigem_scp3_emss</v>
      </c>
      <c r="B382" s="54" t="s">
        <v>27</v>
      </c>
      <c r="C382" s="50" t="s">
        <v>30</v>
      </c>
      <c r="D382" s="46" t="s">
        <v>431</v>
      </c>
      <c r="E382" s="47" t="s">
        <v>301</v>
      </c>
      <c r="F382" s="46" t="s">
        <v>141</v>
      </c>
      <c r="G382" s="48" t="s">
        <v>462</v>
      </c>
      <c r="H382" s="48" t="s">
        <v>462</v>
      </c>
      <c r="I382" s="56"/>
      <c r="J382" s="68" t="s">
        <v>514</v>
      </c>
      <c r="K382" s="68" t="s">
        <v>514</v>
      </c>
      <c r="L382" s="68"/>
    </row>
    <row r="383" spans="1:12" ht="16.2" x14ac:dyDescent="0.4">
      <c r="A383" s="15" t="str">
        <f t="shared" si="5"/>
        <v>modesg_out_empr_info_nfinref_date</v>
      </c>
      <c r="B383" s="54" t="s">
        <v>27</v>
      </c>
      <c r="C383" s="50" t="s">
        <v>30</v>
      </c>
      <c r="D383" s="46" t="s">
        <v>431</v>
      </c>
      <c r="E383" s="47" t="s">
        <v>301</v>
      </c>
      <c r="F383" s="46" t="s">
        <v>44</v>
      </c>
      <c r="G383" s="48" t="s">
        <v>425</v>
      </c>
      <c r="H383" s="48" t="s">
        <v>425</v>
      </c>
      <c r="I383" s="56"/>
      <c r="J383" s="68" t="s">
        <v>514</v>
      </c>
      <c r="K383" s="68" t="s">
        <v>514</v>
      </c>
      <c r="L383" s="68"/>
    </row>
    <row r="384" spans="1:12" ht="16.2" x14ac:dyDescent="0.4">
      <c r="A384" s="15" t="str">
        <f t="shared" si="5"/>
        <v>modesg_out_empr_info_nfinscp1_emss</v>
      </c>
      <c r="B384" s="54" t="s">
        <v>27</v>
      </c>
      <c r="C384" s="50" t="s">
        <v>30</v>
      </c>
      <c r="D384" s="46" t="s">
        <v>431</v>
      </c>
      <c r="E384" s="47" t="s">
        <v>301</v>
      </c>
      <c r="F384" s="46" t="s">
        <v>110</v>
      </c>
      <c r="G384" s="48" t="s">
        <v>462</v>
      </c>
      <c r="H384" s="48" t="s">
        <v>462</v>
      </c>
      <c r="I384" s="56"/>
      <c r="J384" s="68">
        <v>45490</v>
      </c>
      <c r="K384" s="68">
        <v>45504</v>
      </c>
      <c r="L384" s="68"/>
    </row>
    <row r="385" spans="1:12" ht="16.2" x14ac:dyDescent="0.4">
      <c r="A385" s="15" t="str">
        <f t="shared" si="5"/>
        <v>modesg_out_empr_info_nfinscp2_emss</v>
      </c>
      <c r="B385" s="54" t="s">
        <v>27</v>
      </c>
      <c r="C385" s="50" t="s">
        <v>30</v>
      </c>
      <c r="D385" s="46" t="s">
        <v>431</v>
      </c>
      <c r="E385" s="47" t="s">
        <v>301</v>
      </c>
      <c r="F385" s="46" t="s">
        <v>111</v>
      </c>
      <c r="G385" s="48" t="s">
        <v>462</v>
      </c>
      <c r="H385" s="48" t="s">
        <v>462</v>
      </c>
      <c r="I385" s="56"/>
      <c r="J385" s="68">
        <v>45490</v>
      </c>
      <c r="K385" s="68">
        <v>45504</v>
      </c>
      <c r="L385" s="68"/>
    </row>
    <row r="386" spans="1:12" ht="16.2" x14ac:dyDescent="0.4">
      <c r="A386" s="15" t="str">
        <f t="shared" si="5"/>
        <v>modesg_out_empr_info_nfinscp3_emss</v>
      </c>
      <c r="B386" s="54" t="s">
        <v>27</v>
      </c>
      <c r="C386" s="50" t="s">
        <v>30</v>
      </c>
      <c r="D386" s="46" t="s">
        <v>431</v>
      </c>
      <c r="E386" s="47" t="s">
        <v>301</v>
      </c>
      <c r="F386" s="46" t="s">
        <v>112</v>
      </c>
      <c r="G386" s="48" t="s">
        <v>462</v>
      </c>
      <c r="H386" s="48" t="s">
        <v>462</v>
      </c>
      <c r="I386" s="56"/>
      <c r="J386" s="68">
        <v>45490</v>
      </c>
      <c r="K386" s="68">
        <v>45504</v>
      </c>
      <c r="L386" s="68"/>
    </row>
    <row r="387" spans="1:12" ht="16.2" x14ac:dyDescent="0.4">
      <c r="A387" s="15" t="str">
        <f t="shared" si="5"/>
        <v>modesg_out_empr_info_nfinzcliente</v>
      </c>
      <c r="B387" s="54" t="s">
        <v>27</v>
      </c>
      <c r="C387" s="50" t="s">
        <v>30</v>
      </c>
      <c r="D387" s="46" t="s">
        <v>431</v>
      </c>
      <c r="E387" s="47" t="s">
        <v>301</v>
      </c>
      <c r="F387" s="46" t="s">
        <v>142</v>
      </c>
      <c r="G387" s="48" t="s">
        <v>425</v>
      </c>
      <c r="H387" s="48" t="s">
        <v>425</v>
      </c>
      <c r="I387" s="56"/>
      <c r="J387" s="68" t="s">
        <v>514</v>
      </c>
      <c r="K387" s="68" t="s">
        <v>514</v>
      </c>
      <c r="L387" s="68"/>
    </row>
    <row r="388" spans="1:12" ht="16.2" x14ac:dyDescent="0.4">
      <c r="A388" s="15" t="str">
        <f t="shared" si="5"/>
        <v>modesg_out_emss_vclsn.a.</v>
      </c>
      <c r="B388" s="54" t="s">
        <v>27</v>
      </c>
      <c r="C388" s="50" t="s">
        <v>30</v>
      </c>
      <c r="D388" s="46" t="s">
        <v>430</v>
      </c>
      <c r="E388" s="47" t="s">
        <v>314</v>
      </c>
      <c r="F388" s="46" t="s">
        <v>7</v>
      </c>
      <c r="G388" s="48" t="s">
        <v>462</v>
      </c>
      <c r="H388" s="48" t="s">
        <v>462</v>
      </c>
      <c r="I388" s="56" t="s">
        <v>499</v>
      </c>
      <c r="J388" s="68" t="s">
        <v>514</v>
      </c>
      <c r="K388" s="68" t="s">
        <v>514</v>
      </c>
      <c r="L388" s="68"/>
    </row>
    <row r="389" spans="1:12" ht="16.2" x14ac:dyDescent="0.4">
      <c r="A389" s="15" t="str">
        <f t="shared" si="5"/>
        <v>modesg_out_emss_vclscempbem</v>
      </c>
      <c r="B389" s="54" t="s">
        <v>27</v>
      </c>
      <c r="C389" s="50" t="s">
        <v>30</v>
      </c>
      <c r="D389" s="46" t="s">
        <v>431</v>
      </c>
      <c r="E389" s="47" t="s">
        <v>314</v>
      </c>
      <c r="F389" s="46" t="s">
        <v>130</v>
      </c>
      <c r="G389" s="48" t="s">
        <v>425</v>
      </c>
      <c r="H389" s="48" t="s">
        <v>425</v>
      </c>
      <c r="I389" s="56" t="s">
        <v>499</v>
      </c>
      <c r="J389" s="68" t="s">
        <v>514</v>
      </c>
      <c r="K389" s="68" t="s">
        <v>514</v>
      </c>
      <c r="L389" s="68"/>
    </row>
    <row r="390" spans="1:12" ht="16.2" x14ac:dyDescent="0.4">
      <c r="A390" s="15" t="str">
        <f t="shared" si="5"/>
        <v>modesg_out_emss_vclsckbalbem</v>
      </c>
      <c r="B390" s="54" t="s">
        <v>27</v>
      </c>
      <c r="C390" s="50" t="s">
        <v>30</v>
      </c>
      <c r="D390" s="46" t="s">
        <v>431</v>
      </c>
      <c r="E390" s="47" t="s">
        <v>314</v>
      </c>
      <c r="F390" s="46" t="s">
        <v>131</v>
      </c>
      <c r="G390" s="48" t="s">
        <v>425</v>
      </c>
      <c r="H390" s="48" t="s">
        <v>425</v>
      </c>
      <c r="I390" s="56" t="s">
        <v>499</v>
      </c>
      <c r="J390" s="68" t="s">
        <v>514</v>
      </c>
      <c r="K390" s="68" t="s">
        <v>514</v>
      </c>
      <c r="L390" s="68"/>
    </row>
    <row r="391" spans="1:12" ht="16.2" x14ac:dyDescent="0.4">
      <c r="A391" s="15" t="str">
        <f t="shared" si="5"/>
        <v>modesg_out_emss_vclsckctabem</v>
      </c>
      <c r="B391" s="54" t="s">
        <v>27</v>
      </c>
      <c r="C391" s="50" t="s">
        <v>30</v>
      </c>
      <c r="D391" s="46" t="s">
        <v>431</v>
      </c>
      <c r="E391" s="47" t="s">
        <v>314</v>
      </c>
      <c r="F391" s="46" t="s">
        <v>132</v>
      </c>
      <c r="G391" s="48" t="s">
        <v>425</v>
      </c>
      <c r="H391" s="48" t="s">
        <v>425</v>
      </c>
      <c r="I391" s="56" t="s">
        <v>499</v>
      </c>
      <c r="J391" s="68" t="s">
        <v>514</v>
      </c>
      <c r="K391" s="68" t="s">
        <v>514</v>
      </c>
      <c r="L391" s="68"/>
    </row>
    <row r="392" spans="1:12" ht="16.2" x14ac:dyDescent="0.4">
      <c r="A392" s="15" t="str">
        <f t="shared" ref="A392:A455" si="6">E392&amp;F392</f>
        <v>modesg_out_emss_vclsckrefbem</v>
      </c>
      <c r="B392" s="54" t="s">
        <v>27</v>
      </c>
      <c r="C392" s="50" t="s">
        <v>30</v>
      </c>
      <c r="D392" s="46" t="s">
        <v>431</v>
      </c>
      <c r="E392" s="47" t="s">
        <v>314</v>
      </c>
      <c r="F392" s="46" t="s">
        <v>133</v>
      </c>
      <c r="G392" s="48" t="s">
        <v>425</v>
      </c>
      <c r="H392" s="48" t="s">
        <v>425</v>
      </c>
      <c r="I392" s="56" t="s">
        <v>499</v>
      </c>
      <c r="J392" s="68" t="s">
        <v>514</v>
      </c>
      <c r="K392" s="68" t="s">
        <v>514</v>
      </c>
      <c r="L392" s="68"/>
    </row>
    <row r="393" spans="1:12" ht="16.2" x14ac:dyDescent="0.4">
      <c r="A393" s="15" t="str">
        <f t="shared" si="6"/>
        <v>modesg_out_emss_vclscnsm_co2</v>
      </c>
      <c r="B393" s="54" t="s">
        <v>27</v>
      </c>
      <c r="C393" s="50" t="s">
        <v>30</v>
      </c>
      <c r="D393" s="46" t="s">
        <v>431</v>
      </c>
      <c r="E393" s="47" t="s">
        <v>314</v>
      </c>
      <c r="F393" s="46" t="s">
        <v>147</v>
      </c>
      <c r="G393" s="48" t="s">
        <v>462</v>
      </c>
      <c r="H393" s="48" t="s">
        <v>462</v>
      </c>
      <c r="I393" s="56" t="s">
        <v>499</v>
      </c>
      <c r="J393" s="68" t="s">
        <v>514</v>
      </c>
      <c r="K393" s="68" t="s">
        <v>514</v>
      </c>
      <c r="L393" s="68"/>
    </row>
    <row r="394" spans="1:12" ht="16.2" x14ac:dyDescent="0.4">
      <c r="A394" s="15" t="str">
        <f t="shared" si="6"/>
        <v>modesg_out_emss_vclsorigem_scp1_emss</v>
      </c>
      <c r="B394" s="54" t="s">
        <v>27</v>
      </c>
      <c r="C394" s="50" t="s">
        <v>30</v>
      </c>
      <c r="D394" s="46" t="s">
        <v>431</v>
      </c>
      <c r="E394" s="47" t="s">
        <v>314</v>
      </c>
      <c r="F394" s="46" t="s">
        <v>139</v>
      </c>
      <c r="G394" s="48" t="s">
        <v>462</v>
      </c>
      <c r="H394" s="48" t="s">
        <v>462</v>
      </c>
      <c r="I394" s="56" t="s">
        <v>499</v>
      </c>
      <c r="J394" s="68" t="s">
        <v>514</v>
      </c>
      <c r="K394" s="68" t="s">
        <v>514</v>
      </c>
      <c r="L394" s="68"/>
    </row>
    <row r="395" spans="1:12" ht="16.2" x14ac:dyDescent="0.4">
      <c r="A395" s="15" t="str">
        <f t="shared" si="6"/>
        <v>modesg_out_emss_vclsorigem_scp2_emss</v>
      </c>
      <c r="B395" s="54" t="s">
        <v>27</v>
      </c>
      <c r="C395" s="50" t="s">
        <v>30</v>
      </c>
      <c r="D395" s="46" t="s">
        <v>431</v>
      </c>
      <c r="E395" s="47" t="s">
        <v>314</v>
      </c>
      <c r="F395" s="46" t="s">
        <v>140</v>
      </c>
      <c r="G395" s="48" t="s">
        <v>462</v>
      </c>
      <c r="H395" s="48" t="s">
        <v>462</v>
      </c>
      <c r="I395" s="56" t="s">
        <v>499</v>
      </c>
      <c r="J395" s="68" t="s">
        <v>514</v>
      </c>
      <c r="K395" s="68" t="s">
        <v>514</v>
      </c>
      <c r="L395" s="68"/>
    </row>
    <row r="396" spans="1:12" ht="16.2" x14ac:dyDescent="0.4">
      <c r="A396" s="15" t="str">
        <f t="shared" si="6"/>
        <v>modesg_out_emss_vclsorigem_scp3_emss</v>
      </c>
      <c r="B396" s="54" t="s">
        <v>27</v>
      </c>
      <c r="C396" s="50" t="s">
        <v>30</v>
      </c>
      <c r="D396" s="46" t="s">
        <v>431</v>
      </c>
      <c r="E396" s="47" t="s">
        <v>314</v>
      </c>
      <c r="F396" s="46" t="s">
        <v>141</v>
      </c>
      <c r="G396" s="48" t="s">
        <v>462</v>
      </c>
      <c r="H396" s="48" t="s">
        <v>462</v>
      </c>
      <c r="I396" s="56" t="s">
        <v>499</v>
      </c>
      <c r="J396" s="68" t="s">
        <v>514</v>
      </c>
      <c r="K396" s="68" t="s">
        <v>514</v>
      </c>
      <c r="L396" s="68"/>
    </row>
    <row r="397" spans="1:12" ht="16.2" x14ac:dyDescent="0.4">
      <c r="A397" s="15" t="str">
        <f t="shared" si="6"/>
        <v>modesg_out_emss_vclsref_date</v>
      </c>
      <c r="B397" s="54" t="s">
        <v>27</v>
      </c>
      <c r="C397" s="50" t="s">
        <v>30</v>
      </c>
      <c r="D397" s="46" t="s">
        <v>431</v>
      </c>
      <c r="E397" s="47" t="s">
        <v>314</v>
      </c>
      <c r="F397" s="46" t="s">
        <v>44</v>
      </c>
      <c r="G397" s="48" t="s">
        <v>425</v>
      </c>
      <c r="H397" s="48" t="s">
        <v>425</v>
      </c>
      <c r="I397" s="56" t="s">
        <v>499</v>
      </c>
      <c r="J397" s="68" t="s">
        <v>514</v>
      </c>
      <c r="K397" s="68" t="s">
        <v>514</v>
      </c>
      <c r="L397" s="68"/>
    </row>
    <row r="398" spans="1:12" ht="16.2" x14ac:dyDescent="0.4">
      <c r="A398" s="15" t="str">
        <f t="shared" si="6"/>
        <v>modesg_out_emss_vclsscp1_emss</v>
      </c>
      <c r="B398" s="54" t="s">
        <v>27</v>
      </c>
      <c r="C398" s="50" t="s">
        <v>30</v>
      </c>
      <c r="D398" s="46" t="s">
        <v>431</v>
      </c>
      <c r="E398" s="47" t="s">
        <v>314</v>
      </c>
      <c r="F398" s="46" t="s">
        <v>110</v>
      </c>
      <c r="G398" s="48" t="s">
        <v>462</v>
      </c>
      <c r="H398" s="48" t="s">
        <v>462</v>
      </c>
      <c r="I398" s="56" t="s">
        <v>499</v>
      </c>
      <c r="J398" s="68" t="s">
        <v>514</v>
      </c>
      <c r="K398" s="68" t="s">
        <v>514</v>
      </c>
      <c r="L398" s="68"/>
    </row>
    <row r="399" spans="1:12" ht="16.2" x14ac:dyDescent="0.4">
      <c r="A399" s="15" t="str">
        <f t="shared" si="6"/>
        <v>modesg_out_emss_vclsscp2_emss</v>
      </c>
      <c r="B399" s="54" t="s">
        <v>27</v>
      </c>
      <c r="C399" s="50" t="s">
        <v>30</v>
      </c>
      <c r="D399" s="46" t="s">
        <v>431</v>
      </c>
      <c r="E399" s="47" t="s">
        <v>314</v>
      </c>
      <c r="F399" s="46" t="s">
        <v>111</v>
      </c>
      <c r="G399" s="48" t="s">
        <v>462</v>
      </c>
      <c r="H399" s="48" t="s">
        <v>462</v>
      </c>
      <c r="I399" s="56" t="s">
        <v>499</v>
      </c>
      <c r="J399" s="68" t="s">
        <v>514</v>
      </c>
      <c r="K399" s="68" t="s">
        <v>514</v>
      </c>
      <c r="L399" s="68"/>
    </row>
    <row r="400" spans="1:12" ht="16.2" x14ac:dyDescent="0.4">
      <c r="A400" s="15" t="str">
        <f t="shared" si="6"/>
        <v>modesg_out_emss_vclsscp3_emss</v>
      </c>
      <c r="B400" s="54" t="s">
        <v>27</v>
      </c>
      <c r="C400" s="50" t="s">
        <v>30</v>
      </c>
      <c r="D400" s="46" t="s">
        <v>431</v>
      </c>
      <c r="E400" s="47" t="s">
        <v>314</v>
      </c>
      <c r="F400" s="46" t="s">
        <v>112</v>
      </c>
      <c r="G400" s="48" t="s">
        <v>462</v>
      </c>
      <c r="H400" s="48" t="s">
        <v>462</v>
      </c>
      <c r="I400" s="56" t="s">
        <v>499</v>
      </c>
      <c r="J400" s="68" t="s">
        <v>514</v>
      </c>
      <c r="K400" s="68" t="s">
        <v>514</v>
      </c>
      <c r="L400" s="68"/>
    </row>
    <row r="401" spans="1:12" ht="16.2" x14ac:dyDescent="0.4">
      <c r="A401" s="15" t="str">
        <f t="shared" si="6"/>
        <v>modesg_out_emss_vclsunidade_funcional_scp1_emss</v>
      </c>
      <c r="B401" s="54" t="s">
        <v>27</v>
      </c>
      <c r="C401" s="50" t="s">
        <v>30</v>
      </c>
      <c r="D401" s="46" t="s">
        <v>431</v>
      </c>
      <c r="E401" s="47" t="s">
        <v>314</v>
      </c>
      <c r="F401" s="46" t="s">
        <v>136</v>
      </c>
      <c r="G401" s="48" t="s">
        <v>425</v>
      </c>
      <c r="H401" s="48" t="s">
        <v>425</v>
      </c>
      <c r="I401" s="56" t="s">
        <v>499</v>
      </c>
      <c r="J401" s="68" t="s">
        <v>514</v>
      </c>
      <c r="K401" s="68" t="s">
        <v>514</v>
      </c>
      <c r="L401" s="68"/>
    </row>
    <row r="402" spans="1:12" ht="16.2" x14ac:dyDescent="0.4">
      <c r="A402" s="15" t="str">
        <f t="shared" si="6"/>
        <v>modesg_out_emss_vclsunidade_funcional_scp2_emss</v>
      </c>
      <c r="B402" s="54" t="s">
        <v>27</v>
      </c>
      <c r="C402" s="50" t="s">
        <v>30</v>
      </c>
      <c r="D402" s="46" t="s">
        <v>431</v>
      </c>
      <c r="E402" s="47" t="s">
        <v>314</v>
      </c>
      <c r="F402" s="46" t="s">
        <v>137</v>
      </c>
      <c r="G402" s="48" t="s">
        <v>425</v>
      </c>
      <c r="H402" s="48" t="s">
        <v>425</v>
      </c>
      <c r="I402" s="56" t="s">
        <v>499</v>
      </c>
      <c r="J402" s="68" t="s">
        <v>514</v>
      </c>
      <c r="K402" s="68" t="s">
        <v>514</v>
      </c>
      <c r="L402" s="68"/>
    </row>
    <row r="403" spans="1:12" ht="16.2" x14ac:dyDescent="0.4">
      <c r="A403" s="15" t="str">
        <f t="shared" si="6"/>
        <v>modesg_out_emss_vclsunidade_funcional_scp3_emss</v>
      </c>
      <c r="B403" s="54" t="s">
        <v>27</v>
      </c>
      <c r="C403" s="50" t="s">
        <v>30</v>
      </c>
      <c r="D403" s="46" t="s">
        <v>431</v>
      </c>
      <c r="E403" s="47" t="s">
        <v>314</v>
      </c>
      <c r="F403" s="46" t="s">
        <v>138</v>
      </c>
      <c r="G403" s="48" t="s">
        <v>425</v>
      </c>
      <c r="H403" s="48" t="s">
        <v>425</v>
      </c>
      <c r="I403" s="56" t="s">
        <v>499</v>
      </c>
      <c r="J403" s="68" t="s">
        <v>514</v>
      </c>
      <c r="K403" s="68" t="s">
        <v>514</v>
      </c>
      <c r="L403" s="68"/>
    </row>
    <row r="404" spans="1:12" ht="16.2" x14ac:dyDescent="0.4">
      <c r="A404" s="15" t="str">
        <f t="shared" si="6"/>
        <v>modesg_out_sfcs_taxon_europeian.a.</v>
      </c>
      <c r="B404" s="54" t="s">
        <v>27</v>
      </c>
      <c r="C404" s="50" t="s">
        <v>30</v>
      </c>
      <c r="D404" s="46" t="s">
        <v>430</v>
      </c>
      <c r="E404" s="47" t="s">
        <v>315</v>
      </c>
      <c r="F404" s="46" t="s">
        <v>7</v>
      </c>
      <c r="G404" s="48" t="s">
        <v>428</v>
      </c>
      <c r="H404" s="48" t="s">
        <v>428</v>
      </c>
      <c r="I404" s="56" t="s">
        <v>500</v>
      </c>
      <c r="J404" s="68" t="s">
        <v>514</v>
      </c>
      <c r="K404" s="68" t="s">
        <v>514</v>
      </c>
      <c r="L404" s="68"/>
    </row>
    <row r="405" spans="1:12" ht="16.2" x14ac:dyDescent="0.4">
      <c r="A405" s="15" t="str">
        <f t="shared" si="6"/>
        <v>modesg_out_sfcs_taxon_europeiacbalcao</v>
      </c>
      <c r="B405" s="54" t="s">
        <v>27</v>
      </c>
      <c r="C405" s="50" t="s">
        <v>30</v>
      </c>
      <c r="D405" s="46" t="s">
        <v>431</v>
      </c>
      <c r="E405" s="47" t="s">
        <v>315</v>
      </c>
      <c r="F405" s="46" t="s">
        <v>149</v>
      </c>
      <c r="G405" s="48" t="s">
        <v>428</v>
      </c>
      <c r="H405" s="48" t="s">
        <v>428</v>
      </c>
      <c r="I405" s="56" t="s">
        <v>500</v>
      </c>
      <c r="J405" s="68" t="s">
        <v>514</v>
      </c>
      <c r="K405" s="68" t="s">
        <v>514</v>
      </c>
      <c r="L405" s="68"/>
    </row>
    <row r="406" spans="1:12" ht="16.2" x14ac:dyDescent="0.4">
      <c r="A406" s="15" t="str">
        <f t="shared" si="6"/>
        <v>modesg_out_sfcs_taxon_europeiacempresa</v>
      </c>
      <c r="B406" s="54" t="s">
        <v>27</v>
      </c>
      <c r="C406" s="50" t="s">
        <v>30</v>
      </c>
      <c r="D406" s="46" t="s">
        <v>431</v>
      </c>
      <c r="E406" s="47" t="s">
        <v>315</v>
      </c>
      <c r="F406" s="46" t="s">
        <v>148</v>
      </c>
      <c r="G406" s="48" t="s">
        <v>428</v>
      </c>
      <c r="H406" s="48" t="s">
        <v>428</v>
      </c>
      <c r="I406" s="56" t="s">
        <v>500</v>
      </c>
      <c r="J406" s="68" t="s">
        <v>514</v>
      </c>
      <c r="K406" s="68" t="s">
        <v>514</v>
      </c>
      <c r="L406" s="68"/>
    </row>
    <row r="407" spans="1:12" ht="16.2" x14ac:dyDescent="0.4">
      <c r="A407" s="15" t="str">
        <f t="shared" si="6"/>
        <v>modesg_out_sfcs_taxon_europeiacnumecta</v>
      </c>
      <c r="B407" s="54" t="s">
        <v>27</v>
      </c>
      <c r="C407" s="50" t="s">
        <v>30</v>
      </c>
      <c r="D407" s="46" t="s">
        <v>431</v>
      </c>
      <c r="E407" s="47" t="s">
        <v>315</v>
      </c>
      <c r="F407" s="46" t="s">
        <v>150</v>
      </c>
      <c r="G407" s="48" t="s">
        <v>428</v>
      </c>
      <c r="H407" s="48" t="s">
        <v>428</v>
      </c>
      <c r="I407" s="56" t="s">
        <v>500</v>
      </c>
      <c r="J407" s="68" t="s">
        <v>514</v>
      </c>
      <c r="K407" s="68" t="s">
        <v>514</v>
      </c>
      <c r="L407" s="68"/>
    </row>
    <row r="408" spans="1:12" ht="16.2" x14ac:dyDescent="0.4">
      <c r="A408" s="15" t="str">
        <f t="shared" si="6"/>
        <v>modesg_out_sfcs_taxon_europeiacod_regra</v>
      </c>
      <c r="B408" s="54" t="s">
        <v>27</v>
      </c>
      <c r="C408" s="50" t="s">
        <v>30</v>
      </c>
      <c r="D408" s="46" t="s">
        <v>431</v>
      </c>
      <c r="E408" s="47" t="s">
        <v>315</v>
      </c>
      <c r="F408" s="46" t="s">
        <v>152</v>
      </c>
      <c r="G408" s="48" t="s">
        <v>428</v>
      </c>
      <c r="H408" s="48" t="s">
        <v>428</v>
      </c>
      <c r="I408" s="56" t="s">
        <v>500</v>
      </c>
      <c r="J408" s="68" t="s">
        <v>514</v>
      </c>
      <c r="K408" s="68" t="s">
        <v>514</v>
      </c>
      <c r="L408" s="68"/>
    </row>
    <row r="409" spans="1:12" ht="16.2" x14ac:dyDescent="0.4">
      <c r="A409" s="15" t="str">
        <f t="shared" si="6"/>
        <v>modesg_out_sfcs_taxon_europeiaordem</v>
      </c>
      <c r="B409" s="54" t="s">
        <v>27</v>
      </c>
      <c r="C409" s="50" t="s">
        <v>30</v>
      </c>
      <c r="D409" s="46" t="s">
        <v>431</v>
      </c>
      <c r="E409" s="47" t="s">
        <v>315</v>
      </c>
      <c r="F409" s="46" t="s">
        <v>293</v>
      </c>
      <c r="G409" s="48" t="s">
        <v>464</v>
      </c>
      <c r="H409" s="48" t="s">
        <v>464</v>
      </c>
      <c r="I409" s="57" t="s">
        <v>170</v>
      </c>
      <c r="J409" s="68" t="s">
        <v>514</v>
      </c>
      <c r="K409" s="68" t="s">
        <v>514</v>
      </c>
      <c r="L409" s="68"/>
    </row>
    <row r="410" spans="1:12" ht="16.2" x14ac:dyDescent="0.4">
      <c r="A410" s="15" t="str">
        <f t="shared" si="6"/>
        <v>modesg_out_sfcs_taxon_europeiamontante_pndrc</v>
      </c>
      <c r="B410" s="54" t="s">
        <v>27</v>
      </c>
      <c r="C410" s="50" t="s">
        <v>30</v>
      </c>
      <c r="D410" s="46" t="s">
        <v>431</v>
      </c>
      <c r="E410" s="47" t="s">
        <v>315</v>
      </c>
      <c r="F410" s="46" t="s">
        <v>158</v>
      </c>
      <c r="G410" s="48" t="s">
        <v>428</v>
      </c>
      <c r="H410" s="48" t="s">
        <v>428</v>
      </c>
      <c r="I410" s="56" t="s">
        <v>500</v>
      </c>
      <c r="J410" s="68" t="s">
        <v>514</v>
      </c>
      <c r="K410" s="68" t="s">
        <v>514</v>
      </c>
      <c r="L410" s="68"/>
    </row>
    <row r="411" spans="1:12" ht="16.2" x14ac:dyDescent="0.4">
      <c r="A411" s="15" t="str">
        <f t="shared" si="6"/>
        <v>modesg_out_sfcs_taxon_europeianome_ctgr_sfcs</v>
      </c>
      <c r="B411" s="54" t="s">
        <v>27</v>
      </c>
      <c r="C411" s="50" t="s">
        <v>30</v>
      </c>
      <c r="D411" s="46" t="s">
        <v>431</v>
      </c>
      <c r="E411" s="47" t="s">
        <v>315</v>
      </c>
      <c r="F411" s="46" t="s">
        <v>153</v>
      </c>
      <c r="G411" s="48" t="s">
        <v>428</v>
      </c>
      <c r="H411" s="48" t="s">
        <v>428</v>
      </c>
      <c r="I411" s="56" t="s">
        <v>500</v>
      </c>
      <c r="J411" s="68" t="s">
        <v>514</v>
      </c>
      <c r="K411" s="68" t="s">
        <v>514</v>
      </c>
      <c r="L411" s="68"/>
    </row>
    <row r="412" spans="1:12" ht="16.2" x14ac:dyDescent="0.4">
      <c r="A412" s="15" t="str">
        <f t="shared" si="6"/>
        <v>modesg_out_sfcs_taxon_europeianome_general_specific_purpose</v>
      </c>
      <c r="B412" s="54" t="s">
        <v>27</v>
      </c>
      <c r="C412" s="50" t="s">
        <v>30</v>
      </c>
      <c r="D412" s="46" t="s">
        <v>431</v>
      </c>
      <c r="E412" s="47" t="s">
        <v>315</v>
      </c>
      <c r="F412" s="46" t="s">
        <v>155</v>
      </c>
      <c r="G412" s="48" t="s">
        <v>428</v>
      </c>
      <c r="H412" s="48" t="s">
        <v>428</v>
      </c>
      <c r="I412" s="56" t="s">
        <v>500</v>
      </c>
      <c r="J412" s="68" t="s">
        <v>514</v>
      </c>
      <c r="K412" s="68" t="s">
        <v>514</v>
      </c>
      <c r="L412" s="68"/>
    </row>
    <row r="413" spans="1:12" ht="16.2" x14ac:dyDescent="0.4">
      <c r="A413" s="15" t="str">
        <f t="shared" si="6"/>
        <v>modesg_out_sfcs_taxon_europeianome_purpose_esg</v>
      </c>
      <c r="B413" s="54" t="s">
        <v>27</v>
      </c>
      <c r="C413" s="50" t="s">
        <v>30</v>
      </c>
      <c r="D413" s="46" t="s">
        <v>431</v>
      </c>
      <c r="E413" s="47" t="s">
        <v>315</v>
      </c>
      <c r="F413" s="46" t="s">
        <v>154</v>
      </c>
      <c r="G413" s="48" t="s">
        <v>428</v>
      </c>
      <c r="H413" s="48" t="s">
        <v>428</v>
      </c>
      <c r="I413" s="56" t="s">
        <v>500</v>
      </c>
      <c r="J413" s="68" t="s">
        <v>514</v>
      </c>
      <c r="K413" s="68" t="s">
        <v>514</v>
      </c>
      <c r="L413" s="68"/>
    </row>
    <row r="414" spans="1:12" ht="16.2" x14ac:dyDescent="0.4">
      <c r="A414" s="15" t="str">
        <f t="shared" si="6"/>
        <v>modesg_out_sfcs_taxon_europeianome_specific_eligible</v>
      </c>
      <c r="B414" s="54" t="s">
        <v>27</v>
      </c>
      <c r="C414" s="50" t="s">
        <v>30</v>
      </c>
      <c r="D414" s="46" t="s">
        <v>431</v>
      </c>
      <c r="E414" s="47" t="s">
        <v>315</v>
      </c>
      <c r="F414" s="46" t="s">
        <v>156</v>
      </c>
      <c r="G414" s="48" t="s">
        <v>428</v>
      </c>
      <c r="H414" s="48" t="s">
        <v>428</v>
      </c>
      <c r="I414" s="56" t="s">
        <v>500</v>
      </c>
      <c r="J414" s="68" t="s">
        <v>514</v>
      </c>
      <c r="K414" s="68" t="s">
        <v>514</v>
      </c>
      <c r="L414" s="68"/>
    </row>
    <row r="415" spans="1:12" ht="16.2" x14ac:dyDescent="0.4">
      <c r="A415" s="15" t="str">
        <f t="shared" si="6"/>
        <v>modesg_out_sfcs_taxon_europeianome_specific_sustainable</v>
      </c>
      <c r="B415" s="54" t="s">
        <v>27</v>
      </c>
      <c r="C415" s="50" t="s">
        <v>30</v>
      </c>
      <c r="D415" s="46" t="s">
        <v>431</v>
      </c>
      <c r="E415" s="47" t="s">
        <v>315</v>
      </c>
      <c r="F415" s="46" t="s">
        <v>157</v>
      </c>
      <c r="G415" s="48" t="s">
        <v>428</v>
      </c>
      <c r="H415" s="48" t="s">
        <v>428</v>
      </c>
      <c r="I415" s="56" t="s">
        <v>500</v>
      </c>
      <c r="J415" s="68" t="s">
        <v>514</v>
      </c>
      <c r="K415" s="68" t="s">
        <v>514</v>
      </c>
      <c r="L415" s="68"/>
    </row>
    <row r="416" spans="1:12" ht="16.2" x14ac:dyDescent="0.4">
      <c r="A416" s="15" t="str">
        <f t="shared" si="6"/>
        <v>modesg_out_sfcs_taxon_europeiaorigem</v>
      </c>
      <c r="B416" s="54" t="s">
        <v>27</v>
      </c>
      <c r="C416" s="50" t="s">
        <v>30</v>
      </c>
      <c r="D416" s="46" t="s">
        <v>431</v>
      </c>
      <c r="E416" s="47" t="s">
        <v>315</v>
      </c>
      <c r="F416" s="46" t="s">
        <v>159</v>
      </c>
      <c r="G416" s="48" t="s">
        <v>425</v>
      </c>
      <c r="H416" s="48" t="s">
        <v>425</v>
      </c>
      <c r="I416" s="56"/>
      <c r="J416" s="68" t="s">
        <v>514</v>
      </c>
      <c r="K416" s="68" t="s">
        <v>514</v>
      </c>
      <c r="L416" s="68"/>
    </row>
    <row r="417" spans="1:12" ht="16.2" x14ac:dyDescent="0.4">
      <c r="A417" s="15" t="str">
        <f t="shared" si="6"/>
        <v>modesg_out_sfcs_taxon_europeiaref_date</v>
      </c>
      <c r="B417" s="54" t="s">
        <v>27</v>
      </c>
      <c r="C417" s="50" t="s">
        <v>30</v>
      </c>
      <c r="D417" s="46" t="s">
        <v>431</v>
      </c>
      <c r="E417" s="47" t="s">
        <v>315</v>
      </c>
      <c r="F417" s="46" t="s">
        <v>44</v>
      </c>
      <c r="G417" s="48" t="s">
        <v>428</v>
      </c>
      <c r="H417" s="48" t="s">
        <v>428</v>
      </c>
      <c r="I417" s="56" t="s">
        <v>500</v>
      </c>
      <c r="J417" s="68" t="s">
        <v>514</v>
      </c>
      <c r="K417" s="68" t="s">
        <v>514</v>
      </c>
      <c r="L417" s="68"/>
    </row>
    <row r="418" spans="1:12" ht="16.2" x14ac:dyDescent="0.4">
      <c r="A418" s="15" t="str">
        <f t="shared" si="6"/>
        <v>modesg_out_sfcs_taxon_europeiazdeposit</v>
      </c>
      <c r="B418" s="54" t="s">
        <v>27</v>
      </c>
      <c r="C418" s="50" t="s">
        <v>30</v>
      </c>
      <c r="D418" s="46" t="s">
        <v>431</v>
      </c>
      <c r="E418" s="47" t="s">
        <v>315</v>
      </c>
      <c r="F418" s="46" t="s">
        <v>151</v>
      </c>
      <c r="G418" s="48" t="s">
        <v>428</v>
      </c>
      <c r="H418" s="48" t="s">
        <v>428</v>
      </c>
      <c r="I418" s="56" t="s">
        <v>500</v>
      </c>
      <c r="J418" s="68" t="s">
        <v>514</v>
      </c>
      <c r="K418" s="68" t="s">
        <v>514</v>
      </c>
      <c r="L418" s="68"/>
    </row>
    <row r="419" spans="1:12" ht="16.2" x14ac:dyDescent="0.4">
      <c r="A419" s="15" t="str">
        <f t="shared" si="6"/>
        <v>lt003_entitynace_esg</v>
      </c>
      <c r="B419" s="54" t="s">
        <v>27</v>
      </c>
      <c r="C419" s="50" t="s">
        <v>27</v>
      </c>
      <c r="D419" s="46" t="s">
        <v>431</v>
      </c>
      <c r="E419" s="49" t="s">
        <v>288</v>
      </c>
      <c r="F419" s="49" t="s">
        <v>367</v>
      </c>
      <c r="G419" s="48" t="s">
        <v>464</v>
      </c>
      <c r="H419" s="48" t="s">
        <v>464</v>
      </c>
      <c r="I419" s="56"/>
      <c r="J419" s="68" t="s">
        <v>514</v>
      </c>
      <c r="K419" s="68" t="s">
        <v>514</v>
      </c>
      <c r="L419" s="68"/>
    </row>
    <row r="420" spans="1:12" ht="16.2" x14ac:dyDescent="0.4">
      <c r="A420" s="15" t="str">
        <f t="shared" si="6"/>
        <v>lt003_entitytxnmy_elgbl_capex_ccm</v>
      </c>
      <c r="B420" s="54" t="s">
        <v>27</v>
      </c>
      <c r="C420" s="50" t="s">
        <v>27</v>
      </c>
      <c r="D420" s="46" t="s">
        <v>431</v>
      </c>
      <c r="E420" s="49" t="s">
        <v>288</v>
      </c>
      <c r="F420" s="49" t="s">
        <v>368</v>
      </c>
      <c r="G420" s="48" t="s">
        <v>464</v>
      </c>
      <c r="H420" s="48" t="s">
        <v>464</v>
      </c>
      <c r="I420" s="56"/>
      <c r="J420" s="68" t="s">
        <v>514</v>
      </c>
      <c r="K420" s="68" t="s">
        <v>514</v>
      </c>
      <c r="L420" s="68"/>
    </row>
    <row r="421" spans="1:12" ht="16.2" x14ac:dyDescent="0.4">
      <c r="A421" s="15" t="str">
        <f t="shared" si="6"/>
        <v>lt003_entitytxnmy_elgbl_trnvr_ccm</v>
      </c>
      <c r="B421" s="54" t="s">
        <v>27</v>
      </c>
      <c r="C421" s="50" t="s">
        <v>27</v>
      </c>
      <c r="D421" s="46" t="s">
        <v>431</v>
      </c>
      <c r="E421" s="49" t="s">
        <v>288</v>
      </c>
      <c r="F421" s="49" t="s">
        <v>369</v>
      </c>
      <c r="G421" s="48" t="s">
        <v>464</v>
      </c>
      <c r="H421" s="48" t="s">
        <v>464</v>
      </c>
      <c r="I421" s="56"/>
      <c r="J421" s="68" t="s">
        <v>514</v>
      </c>
      <c r="K421" s="68" t="s">
        <v>514</v>
      </c>
      <c r="L421" s="68"/>
    </row>
    <row r="422" spans="1:12" ht="16.2" x14ac:dyDescent="0.4">
      <c r="A422" s="15" t="str">
        <f t="shared" si="6"/>
        <v>lt003_entitytxnmy_elgbl_capex_cca</v>
      </c>
      <c r="B422" s="54" t="s">
        <v>27</v>
      </c>
      <c r="C422" s="50" t="s">
        <v>27</v>
      </c>
      <c r="D422" s="46" t="s">
        <v>431</v>
      </c>
      <c r="E422" s="49" t="s">
        <v>288</v>
      </c>
      <c r="F422" s="49" t="s">
        <v>370</v>
      </c>
      <c r="G422" s="48" t="s">
        <v>464</v>
      </c>
      <c r="H422" s="48" t="s">
        <v>464</v>
      </c>
      <c r="I422" s="56"/>
      <c r="J422" s="68" t="s">
        <v>514</v>
      </c>
      <c r="K422" s="68" t="s">
        <v>514</v>
      </c>
      <c r="L422" s="68"/>
    </row>
    <row r="423" spans="1:12" ht="16.2" x14ac:dyDescent="0.4">
      <c r="A423" s="15" t="str">
        <f t="shared" si="6"/>
        <v>lt003_entitytxnmy_elgbl_trnvr_cca</v>
      </c>
      <c r="B423" s="54" t="s">
        <v>27</v>
      </c>
      <c r="C423" s="50" t="s">
        <v>27</v>
      </c>
      <c r="D423" s="46" t="s">
        <v>431</v>
      </c>
      <c r="E423" s="49" t="s">
        <v>288</v>
      </c>
      <c r="F423" s="49" t="s">
        <v>371</v>
      </c>
      <c r="G423" s="48" t="s">
        <v>464</v>
      </c>
      <c r="H423" s="48" t="s">
        <v>464</v>
      </c>
      <c r="I423" s="56"/>
      <c r="J423" s="68" t="s">
        <v>514</v>
      </c>
      <c r="K423" s="68" t="s">
        <v>514</v>
      </c>
      <c r="L423" s="68"/>
    </row>
    <row r="424" spans="1:12" ht="16.2" x14ac:dyDescent="0.4">
      <c r="A424" s="15" t="str">
        <f t="shared" si="6"/>
        <v>lt003_entityenblng_capex_ccm</v>
      </c>
      <c r="B424" s="54" t="s">
        <v>27</v>
      </c>
      <c r="C424" s="50" t="s">
        <v>27</v>
      </c>
      <c r="D424" s="46" t="s">
        <v>431</v>
      </c>
      <c r="E424" s="49" t="s">
        <v>288</v>
      </c>
      <c r="F424" s="49" t="s">
        <v>372</v>
      </c>
      <c r="G424" s="48" t="s">
        <v>464</v>
      </c>
      <c r="H424" s="48" t="s">
        <v>464</v>
      </c>
      <c r="I424" s="56"/>
      <c r="J424" s="68" t="s">
        <v>514</v>
      </c>
      <c r="K424" s="68" t="s">
        <v>514</v>
      </c>
      <c r="L424" s="68"/>
    </row>
    <row r="425" spans="1:12" ht="16.2" x14ac:dyDescent="0.4">
      <c r="A425" s="15" t="str">
        <f t="shared" si="6"/>
        <v>lt003_entityenblng_capex_cca</v>
      </c>
      <c r="B425" s="54" t="s">
        <v>27</v>
      </c>
      <c r="C425" s="50" t="s">
        <v>27</v>
      </c>
      <c r="D425" s="46" t="s">
        <v>431</v>
      </c>
      <c r="E425" s="49" t="s">
        <v>288</v>
      </c>
      <c r="F425" s="49" t="s">
        <v>373</v>
      </c>
      <c r="G425" s="48" t="s">
        <v>464</v>
      </c>
      <c r="H425" s="48" t="s">
        <v>464</v>
      </c>
      <c r="I425" s="56"/>
      <c r="J425" s="68" t="s">
        <v>514</v>
      </c>
      <c r="K425" s="68" t="s">
        <v>514</v>
      </c>
      <c r="L425" s="68"/>
    </row>
    <row r="426" spans="1:12" ht="16.2" x14ac:dyDescent="0.4">
      <c r="A426" s="15" t="str">
        <f t="shared" si="6"/>
        <v>lt003_entitytrnstnl_capex</v>
      </c>
      <c r="B426" s="54" t="s">
        <v>27</v>
      </c>
      <c r="C426" s="50" t="s">
        <v>27</v>
      </c>
      <c r="D426" s="46" t="s">
        <v>431</v>
      </c>
      <c r="E426" s="49" t="s">
        <v>288</v>
      </c>
      <c r="F426" s="49" t="s">
        <v>374</v>
      </c>
      <c r="G426" s="48" t="s">
        <v>464</v>
      </c>
      <c r="H426" s="48" t="s">
        <v>464</v>
      </c>
      <c r="I426" s="56"/>
      <c r="J426" s="68" t="s">
        <v>514</v>
      </c>
      <c r="K426" s="68" t="s">
        <v>514</v>
      </c>
      <c r="L426" s="68"/>
    </row>
    <row r="427" spans="1:12" ht="16.2" x14ac:dyDescent="0.4">
      <c r="A427" s="15" t="str">
        <f t="shared" si="6"/>
        <v>lt003_entitypure_capex_ccm</v>
      </c>
      <c r="B427" s="54" t="s">
        <v>27</v>
      </c>
      <c r="C427" s="50" t="s">
        <v>27</v>
      </c>
      <c r="D427" s="46" t="s">
        <v>431</v>
      </c>
      <c r="E427" s="49" t="s">
        <v>288</v>
      </c>
      <c r="F427" s="49" t="s">
        <v>375</v>
      </c>
      <c r="G427" s="48" t="s">
        <v>464</v>
      </c>
      <c r="H427" s="48" t="s">
        <v>464</v>
      </c>
      <c r="I427" s="56"/>
      <c r="J427" s="68" t="s">
        <v>514</v>
      </c>
      <c r="K427" s="68" t="s">
        <v>514</v>
      </c>
      <c r="L427" s="68"/>
    </row>
    <row r="428" spans="1:12" ht="16.2" x14ac:dyDescent="0.4">
      <c r="A428" s="15" t="str">
        <f t="shared" si="6"/>
        <v>lt003_entitypure_capex_cca</v>
      </c>
      <c r="B428" s="54" t="s">
        <v>27</v>
      </c>
      <c r="C428" s="50" t="s">
        <v>27</v>
      </c>
      <c r="D428" s="46" t="s">
        <v>431</v>
      </c>
      <c r="E428" s="49" t="s">
        <v>288</v>
      </c>
      <c r="F428" s="49" t="s">
        <v>376</v>
      </c>
      <c r="G428" s="48" t="s">
        <v>464</v>
      </c>
      <c r="H428" s="48" t="s">
        <v>464</v>
      </c>
      <c r="I428" s="56"/>
      <c r="J428" s="68" t="s">
        <v>514</v>
      </c>
      <c r="K428" s="68" t="s">
        <v>514</v>
      </c>
      <c r="L428" s="68"/>
    </row>
    <row r="429" spans="1:12" ht="16.2" x14ac:dyDescent="0.4">
      <c r="A429" s="15" t="str">
        <f t="shared" si="6"/>
        <v>lt003_entityenblng_trnvr_ccm</v>
      </c>
      <c r="B429" s="54" t="s">
        <v>27</v>
      </c>
      <c r="C429" s="50" t="s">
        <v>27</v>
      </c>
      <c r="D429" s="46" t="s">
        <v>431</v>
      </c>
      <c r="E429" s="49" t="s">
        <v>288</v>
      </c>
      <c r="F429" s="49" t="s">
        <v>377</v>
      </c>
      <c r="G429" s="48" t="s">
        <v>464</v>
      </c>
      <c r="H429" s="48" t="s">
        <v>464</v>
      </c>
      <c r="I429" s="56"/>
      <c r="J429" s="68" t="s">
        <v>514</v>
      </c>
      <c r="K429" s="68" t="s">
        <v>514</v>
      </c>
      <c r="L429" s="68"/>
    </row>
    <row r="430" spans="1:12" ht="16.2" x14ac:dyDescent="0.4">
      <c r="A430" s="15" t="str">
        <f t="shared" si="6"/>
        <v>lt003_entityenblng_trnvr_cca</v>
      </c>
      <c r="B430" s="54" t="s">
        <v>27</v>
      </c>
      <c r="C430" s="50" t="s">
        <v>27</v>
      </c>
      <c r="D430" s="46" t="s">
        <v>431</v>
      </c>
      <c r="E430" s="49" t="s">
        <v>288</v>
      </c>
      <c r="F430" s="49" t="s">
        <v>378</v>
      </c>
      <c r="G430" s="48" t="s">
        <v>464</v>
      </c>
      <c r="H430" s="48" t="s">
        <v>464</v>
      </c>
      <c r="I430" s="56"/>
      <c r="J430" s="68" t="s">
        <v>514</v>
      </c>
      <c r="K430" s="68" t="s">
        <v>514</v>
      </c>
      <c r="L430" s="68"/>
    </row>
    <row r="431" spans="1:12" ht="16.2" x14ac:dyDescent="0.4">
      <c r="A431" s="15" t="str">
        <f t="shared" si="6"/>
        <v>lt003_entitytrnstnl_trnvr</v>
      </c>
      <c r="B431" s="54" t="s">
        <v>27</v>
      </c>
      <c r="C431" s="50" t="s">
        <v>27</v>
      </c>
      <c r="D431" s="46" t="s">
        <v>431</v>
      </c>
      <c r="E431" s="49" t="s">
        <v>288</v>
      </c>
      <c r="F431" s="49" t="s">
        <v>379</v>
      </c>
      <c r="G431" s="48" t="s">
        <v>464</v>
      </c>
      <c r="H431" s="48" t="s">
        <v>464</v>
      </c>
      <c r="I431" s="56"/>
      <c r="J431" s="68" t="s">
        <v>514</v>
      </c>
      <c r="K431" s="68" t="s">
        <v>514</v>
      </c>
      <c r="L431" s="68"/>
    </row>
    <row r="432" spans="1:12" ht="16.2" x14ac:dyDescent="0.4">
      <c r="A432" s="15" t="str">
        <f t="shared" si="6"/>
        <v>lt003_entitypure_trnvr_ccm</v>
      </c>
      <c r="B432" s="54" t="s">
        <v>27</v>
      </c>
      <c r="C432" s="50" t="s">
        <v>27</v>
      </c>
      <c r="D432" s="46" t="s">
        <v>431</v>
      </c>
      <c r="E432" s="49" t="s">
        <v>288</v>
      </c>
      <c r="F432" s="49" t="s">
        <v>380</v>
      </c>
      <c r="G432" s="48" t="s">
        <v>464</v>
      </c>
      <c r="H432" s="48" t="s">
        <v>464</v>
      </c>
      <c r="I432" s="56"/>
      <c r="J432" s="68" t="s">
        <v>514</v>
      </c>
      <c r="K432" s="68" t="s">
        <v>514</v>
      </c>
      <c r="L432" s="68"/>
    </row>
    <row r="433" spans="1:12" ht="16.2" x14ac:dyDescent="0.4">
      <c r="A433" s="15" t="str">
        <f t="shared" si="6"/>
        <v>lt003_entitypure_trnvr_cca</v>
      </c>
      <c r="B433" s="54" t="s">
        <v>27</v>
      </c>
      <c r="C433" s="50" t="s">
        <v>27</v>
      </c>
      <c r="D433" s="46" t="s">
        <v>431</v>
      </c>
      <c r="E433" s="49" t="s">
        <v>288</v>
      </c>
      <c r="F433" s="49" t="s">
        <v>381</v>
      </c>
      <c r="G433" s="48" t="s">
        <v>464</v>
      </c>
      <c r="H433" s="48" t="s">
        <v>464</v>
      </c>
      <c r="I433" s="56"/>
      <c r="J433" s="68" t="s">
        <v>514</v>
      </c>
      <c r="K433" s="68" t="s">
        <v>514</v>
      </c>
      <c r="L433" s="68"/>
    </row>
    <row r="434" spans="1:12" ht="16.2" x14ac:dyDescent="0.4">
      <c r="A434" s="15" t="str">
        <f t="shared" si="6"/>
        <v>lt003_entityflg_nfrd_applcblty</v>
      </c>
      <c r="B434" s="54" t="s">
        <v>27</v>
      </c>
      <c r="C434" s="50" t="s">
        <v>27</v>
      </c>
      <c r="D434" s="46" t="s">
        <v>431</v>
      </c>
      <c r="E434" s="49" t="s">
        <v>288</v>
      </c>
      <c r="F434" s="49" t="s">
        <v>382</v>
      </c>
      <c r="G434" s="48" t="s">
        <v>464</v>
      </c>
      <c r="H434" s="48" t="s">
        <v>464</v>
      </c>
      <c r="I434" s="56"/>
      <c r="J434" s="68" t="s">
        <v>514</v>
      </c>
      <c r="K434" s="68" t="s">
        <v>514</v>
      </c>
      <c r="L434" s="68"/>
    </row>
    <row r="435" spans="1:12" ht="16.2" x14ac:dyDescent="0.4">
      <c r="A435" s="15" t="str">
        <f t="shared" si="6"/>
        <v>lt003_entitycntrprty_emssns_scp1</v>
      </c>
      <c r="B435" s="54" t="s">
        <v>27</v>
      </c>
      <c r="C435" s="50" t="s">
        <v>27</v>
      </c>
      <c r="D435" s="46" t="s">
        <v>431</v>
      </c>
      <c r="E435" s="49" t="s">
        <v>288</v>
      </c>
      <c r="F435" s="49" t="s">
        <v>383</v>
      </c>
      <c r="G435" s="48" t="s">
        <v>464</v>
      </c>
      <c r="H435" s="48" t="s">
        <v>464</v>
      </c>
      <c r="I435" s="56"/>
      <c r="J435" s="68" t="s">
        <v>514</v>
      </c>
      <c r="K435" s="68" t="s">
        <v>514</v>
      </c>
      <c r="L435" s="68"/>
    </row>
    <row r="436" spans="1:12" ht="16.2" x14ac:dyDescent="0.4">
      <c r="A436" s="15" t="str">
        <f t="shared" si="6"/>
        <v>lt003_entitycntrprty_emssns_scp2</v>
      </c>
      <c r="B436" s="54" t="s">
        <v>27</v>
      </c>
      <c r="C436" s="50" t="s">
        <v>27</v>
      </c>
      <c r="D436" s="46" t="s">
        <v>431</v>
      </c>
      <c r="E436" s="49" t="s">
        <v>288</v>
      </c>
      <c r="F436" s="49" t="s">
        <v>384</v>
      </c>
      <c r="G436" s="48" t="s">
        <v>464</v>
      </c>
      <c r="H436" s="48" t="s">
        <v>464</v>
      </c>
      <c r="I436" s="56"/>
      <c r="J436" s="68" t="s">
        <v>514</v>
      </c>
      <c r="K436" s="68" t="s">
        <v>514</v>
      </c>
      <c r="L436" s="68"/>
    </row>
    <row r="437" spans="1:12" ht="16.2" x14ac:dyDescent="0.4">
      <c r="A437" s="15" t="str">
        <f t="shared" si="6"/>
        <v>lt003_entitycntrprty_emssns_scp3</v>
      </c>
      <c r="B437" s="54" t="s">
        <v>27</v>
      </c>
      <c r="C437" s="50" t="s">
        <v>27</v>
      </c>
      <c r="D437" s="46" t="s">
        <v>431</v>
      </c>
      <c r="E437" s="49" t="s">
        <v>288</v>
      </c>
      <c r="F437" s="49" t="s">
        <v>385</v>
      </c>
      <c r="G437" s="48" t="s">
        <v>464</v>
      </c>
      <c r="H437" s="48" t="s">
        <v>464</v>
      </c>
      <c r="I437" s="56"/>
      <c r="J437" s="68" t="s">
        <v>514</v>
      </c>
      <c r="K437" s="68" t="s">
        <v>514</v>
      </c>
      <c r="L437" s="68"/>
    </row>
    <row r="438" spans="1:12" ht="16.2" x14ac:dyDescent="0.4">
      <c r="A438" s="15" t="str">
        <f t="shared" si="6"/>
        <v>lt003_entityflg_excldd_eu_prs_algnd_bnchmrk</v>
      </c>
      <c r="B438" s="54" t="s">
        <v>27</v>
      </c>
      <c r="C438" s="50" t="s">
        <v>27</v>
      </c>
      <c r="D438" s="46" t="s">
        <v>431</v>
      </c>
      <c r="E438" s="49" t="s">
        <v>288</v>
      </c>
      <c r="F438" s="49" t="s">
        <v>386</v>
      </c>
      <c r="G438" s="48" t="s">
        <v>464</v>
      </c>
      <c r="H438" s="48" t="s">
        <v>464</v>
      </c>
      <c r="I438" s="56"/>
      <c r="J438" s="68" t="s">
        <v>514</v>
      </c>
      <c r="K438" s="68" t="s">
        <v>514</v>
      </c>
      <c r="L438" s="68"/>
    </row>
    <row r="439" spans="1:12" ht="16.2" x14ac:dyDescent="0.4">
      <c r="A439" s="15" t="str">
        <f t="shared" si="6"/>
        <v>lt003_entityflg_act_physcl_rsk</v>
      </c>
      <c r="B439" s="54" t="s">
        <v>27</v>
      </c>
      <c r="C439" s="50" t="s">
        <v>27</v>
      </c>
      <c r="D439" s="46" t="s">
        <v>431</v>
      </c>
      <c r="E439" s="49" t="s">
        <v>288</v>
      </c>
      <c r="F439" s="49" t="s">
        <v>387</v>
      </c>
      <c r="G439" s="48" t="s">
        <v>464</v>
      </c>
      <c r="H439" s="48" t="s">
        <v>464</v>
      </c>
      <c r="I439" s="56"/>
      <c r="J439" s="68" t="s">
        <v>514</v>
      </c>
      <c r="K439" s="68" t="s">
        <v>514</v>
      </c>
      <c r="L439" s="68"/>
    </row>
    <row r="440" spans="1:12" ht="16.2" x14ac:dyDescent="0.4">
      <c r="A440" s="15" t="str">
        <f t="shared" si="6"/>
        <v>lt003_entityflg_chrnc_physcl_rsk</v>
      </c>
      <c r="B440" s="54" t="s">
        <v>27</v>
      </c>
      <c r="C440" s="50" t="s">
        <v>27</v>
      </c>
      <c r="D440" s="46" t="s">
        <v>431</v>
      </c>
      <c r="E440" s="49" t="s">
        <v>288</v>
      </c>
      <c r="F440" s="49" t="s">
        <v>388</v>
      </c>
      <c r="G440" s="48" t="s">
        <v>464</v>
      </c>
      <c r="H440" s="48" t="s">
        <v>464</v>
      </c>
      <c r="I440" s="56"/>
      <c r="J440" s="68" t="s">
        <v>514</v>
      </c>
      <c r="K440" s="68" t="s">
        <v>514</v>
      </c>
      <c r="L440" s="68"/>
    </row>
    <row r="441" spans="1:12" ht="16.2" x14ac:dyDescent="0.4">
      <c r="A441" s="15" t="str">
        <f t="shared" si="6"/>
        <v>lt003_entitypst_cd</v>
      </c>
      <c r="B441" s="54" t="s">
        <v>27</v>
      </c>
      <c r="C441" s="50" t="s">
        <v>27</v>
      </c>
      <c r="D441" s="46" t="s">
        <v>431</v>
      </c>
      <c r="E441" s="49" t="s">
        <v>288</v>
      </c>
      <c r="F441" s="49" t="s">
        <v>389</v>
      </c>
      <c r="G441" s="48" t="s">
        <v>464</v>
      </c>
      <c r="H441" s="48" t="s">
        <v>464</v>
      </c>
      <c r="I441" s="56"/>
      <c r="J441" s="68" t="s">
        <v>514</v>
      </c>
      <c r="K441" s="68" t="s">
        <v>514</v>
      </c>
      <c r="L441" s="68"/>
    </row>
    <row r="442" spans="1:12" ht="16.2" x14ac:dyDescent="0.4">
      <c r="A442" s="15" t="str">
        <f t="shared" si="6"/>
        <v>lt003_entityesg_sbsctr</v>
      </c>
      <c r="B442" s="54" t="s">
        <v>27</v>
      </c>
      <c r="C442" s="50" t="s">
        <v>27</v>
      </c>
      <c r="D442" s="46" t="s">
        <v>431</v>
      </c>
      <c r="E442" s="49" t="s">
        <v>288</v>
      </c>
      <c r="F442" s="49" t="s">
        <v>390</v>
      </c>
      <c r="G442" s="48" t="s">
        <v>464</v>
      </c>
      <c r="H442" s="48" t="s">
        <v>464</v>
      </c>
      <c r="I442" s="56"/>
      <c r="J442" s="68" t="s">
        <v>514</v>
      </c>
      <c r="K442" s="68" t="s">
        <v>514</v>
      </c>
      <c r="L442" s="68"/>
    </row>
    <row r="443" spans="1:12" ht="16.2" x14ac:dyDescent="0.4">
      <c r="A443" s="15" t="str">
        <f t="shared" si="6"/>
        <v>lt003_entityttl_lblty</v>
      </c>
      <c r="B443" s="54" t="s">
        <v>27</v>
      </c>
      <c r="C443" s="50" t="s">
        <v>27</v>
      </c>
      <c r="D443" s="46" t="s">
        <v>431</v>
      </c>
      <c r="E443" s="49" t="s">
        <v>288</v>
      </c>
      <c r="F443" s="49" t="s">
        <v>391</v>
      </c>
      <c r="G443" s="48" t="s">
        <v>464</v>
      </c>
      <c r="H443" s="48" t="s">
        <v>464</v>
      </c>
      <c r="I443" s="56"/>
      <c r="J443" s="68" t="s">
        <v>514</v>
      </c>
      <c r="K443" s="68" t="s">
        <v>514</v>
      </c>
      <c r="L443" s="68"/>
    </row>
    <row r="444" spans="1:12" ht="16.2" x14ac:dyDescent="0.4">
      <c r="A444" s="15" t="str">
        <f t="shared" si="6"/>
        <v>lt003_entityisin</v>
      </c>
      <c r="B444" s="54" t="s">
        <v>27</v>
      </c>
      <c r="C444" s="50" t="s">
        <v>27</v>
      </c>
      <c r="D444" s="46" t="s">
        <v>431</v>
      </c>
      <c r="E444" s="49" t="s">
        <v>288</v>
      </c>
      <c r="F444" s="49" t="s">
        <v>63</v>
      </c>
      <c r="G444" s="48" t="s">
        <v>464</v>
      </c>
      <c r="H444" s="48" t="s">
        <v>464</v>
      </c>
      <c r="I444" s="56"/>
      <c r="J444" s="68" t="s">
        <v>514</v>
      </c>
      <c r="K444" s="68" t="s">
        <v>514</v>
      </c>
      <c r="L444" s="68"/>
    </row>
    <row r="445" spans="1:12" ht="16.2" x14ac:dyDescent="0.4">
      <c r="A445" s="15" t="str">
        <f t="shared" si="6"/>
        <v>lt003_entitygrp_annl_trnvr_le</v>
      </c>
      <c r="B445" s="54" t="s">
        <v>27</v>
      </c>
      <c r="C445" s="50" t="s">
        <v>27</v>
      </c>
      <c r="D445" s="46" t="s">
        <v>431</v>
      </c>
      <c r="E445" s="49" t="s">
        <v>288</v>
      </c>
      <c r="F445" s="49" t="s">
        <v>392</v>
      </c>
      <c r="G445" s="48" t="s">
        <v>464</v>
      </c>
      <c r="H445" s="48" t="s">
        <v>464</v>
      </c>
      <c r="I445" s="56"/>
      <c r="J445" s="68" t="s">
        <v>514</v>
      </c>
      <c r="K445" s="68" t="s">
        <v>514</v>
      </c>
      <c r="L445" s="68"/>
    </row>
    <row r="446" spans="1:12" ht="16.2" x14ac:dyDescent="0.4">
      <c r="A446" s="15" t="str">
        <f t="shared" si="6"/>
        <v>lt003_entitygrp_ttl_lblty</v>
      </c>
      <c r="B446" s="54" t="s">
        <v>27</v>
      </c>
      <c r="C446" s="50" t="s">
        <v>27</v>
      </c>
      <c r="D446" s="46" t="s">
        <v>431</v>
      </c>
      <c r="E446" s="49" t="s">
        <v>288</v>
      </c>
      <c r="F446" s="49" t="s">
        <v>393</v>
      </c>
      <c r="G446" s="48" t="s">
        <v>464</v>
      </c>
      <c r="H446" s="48" t="s">
        <v>464</v>
      </c>
      <c r="I446" s="56"/>
      <c r="J446" s="68" t="s">
        <v>514</v>
      </c>
      <c r="K446" s="68" t="s">
        <v>514</v>
      </c>
      <c r="L446" s="68"/>
    </row>
    <row r="447" spans="1:12" ht="16.2" x14ac:dyDescent="0.4">
      <c r="A447" s="15" t="str">
        <f t="shared" si="6"/>
        <v>lt003_entityflg_grp_nfrd_applcblty</v>
      </c>
      <c r="B447" s="54" t="s">
        <v>27</v>
      </c>
      <c r="C447" s="50" t="s">
        <v>27</v>
      </c>
      <c r="D447" s="46" t="s">
        <v>431</v>
      </c>
      <c r="E447" s="49" t="s">
        <v>288</v>
      </c>
      <c r="F447" s="49" t="s">
        <v>394</v>
      </c>
      <c r="G447" s="48" t="s">
        <v>464</v>
      </c>
      <c r="H447" s="48" t="s">
        <v>464</v>
      </c>
      <c r="I447" s="56"/>
      <c r="J447" s="68" t="s">
        <v>514</v>
      </c>
      <c r="K447" s="68" t="s">
        <v>514</v>
      </c>
      <c r="L447" s="68"/>
    </row>
    <row r="448" spans="1:12" ht="16.2" x14ac:dyDescent="0.4">
      <c r="A448" s="15" t="str">
        <f t="shared" si="6"/>
        <v>lt003_entitygrp_emssns_scp1</v>
      </c>
      <c r="B448" s="54" t="s">
        <v>27</v>
      </c>
      <c r="C448" s="50" t="s">
        <v>27</v>
      </c>
      <c r="D448" s="46" t="s">
        <v>431</v>
      </c>
      <c r="E448" s="49" t="s">
        <v>288</v>
      </c>
      <c r="F448" s="49" t="s">
        <v>395</v>
      </c>
      <c r="G448" s="48" t="s">
        <v>464</v>
      </c>
      <c r="H448" s="48" t="s">
        <v>464</v>
      </c>
      <c r="I448" s="56"/>
      <c r="J448" s="68" t="s">
        <v>514</v>
      </c>
      <c r="K448" s="68" t="s">
        <v>514</v>
      </c>
      <c r="L448" s="68"/>
    </row>
    <row r="449" spans="1:12" ht="16.2" x14ac:dyDescent="0.4">
      <c r="A449" s="15" t="str">
        <f t="shared" si="6"/>
        <v>lt003_entitygrp_emssns_scp2</v>
      </c>
      <c r="B449" s="54" t="s">
        <v>27</v>
      </c>
      <c r="C449" s="50" t="s">
        <v>27</v>
      </c>
      <c r="D449" s="46" t="s">
        <v>431</v>
      </c>
      <c r="E449" s="49" t="s">
        <v>288</v>
      </c>
      <c r="F449" s="49" t="s">
        <v>396</v>
      </c>
      <c r="G449" s="48" t="s">
        <v>464</v>
      </c>
      <c r="H449" s="48" t="s">
        <v>464</v>
      </c>
      <c r="I449" s="56"/>
      <c r="J449" s="68" t="s">
        <v>514</v>
      </c>
      <c r="K449" s="68" t="s">
        <v>514</v>
      </c>
      <c r="L449" s="68"/>
    </row>
    <row r="450" spans="1:12" ht="16.2" x14ac:dyDescent="0.4">
      <c r="A450" s="15" t="str">
        <f t="shared" si="6"/>
        <v>lt003_entitygrp_emssns_scp3</v>
      </c>
      <c r="B450" s="54" t="s">
        <v>27</v>
      </c>
      <c r="C450" s="50" t="s">
        <v>27</v>
      </c>
      <c r="D450" s="46" t="s">
        <v>431</v>
      </c>
      <c r="E450" s="49" t="s">
        <v>288</v>
      </c>
      <c r="F450" s="49" t="s">
        <v>397</v>
      </c>
      <c r="G450" s="48" t="s">
        <v>464</v>
      </c>
      <c r="H450" s="48" t="s">
        <v>464</v>
      </c>
      <c r="I450" s="56"/>
      <c r="J450" s="68" t="s">
        <v>514</v>
      </c>
      <c r="K450" s="68" t="s">
        <v>514</v>
      </c>
      <c r="L450" s="68"/>
    </row>
    <row r="451" spans="1:12" ht="16.2" x14ac:dyDescent="0.4">
      <c r="A451" s="15" t="str">
        <f t="shared" si="6"/>
        <v>lt004_protectiontyp_ep_scr</v>
      </c>
      <c r="B451" s="54" t="s">
        <v>27</v>
      </c>
      <c r="C451" s="50" t="s">
        <v>27</v>
      </c>
      <c r="D451" s="46" t="s">
        <v>431</v>
      </c>
      <c r="E451" s="49" t="s">
        <v>289</v>
      </c>
      <c r="F451" s="49" t="s">
        <v>398</v>
      </c>
      <c r="G451" s="48" t="s">
        <v>464</v>
      </c>
      <c r="H451" s="48" t="s">
        <v>464</v>
      </c>
      <c r="I451" s="56"/>
      <c r="J451" s="68" t="s">
        <v>514</v>
      </c>
      <c r="K451" s="68" t="s">
        <v>514</v>
      </c>
      <c r="L451" s="68"/>
    </row>
    <row r="452" spans="1:12" ht="16.2" x14ac:dyDescent="0.4">
      <c r="A452" s="15" t="str">
        <f t="shared" si="6"/>
        <v>lt004_protectionep_scr</v>
      </c>
      <c r="B452" s="54" t="s">
        <v>27</v>
      </c>
      <c r="C452" s="50" t="s">
        <v>27</v>
      </c>
      <c r="D452" s="46" t="s">
        <v>431</v>
      </c>
      <c r="E452" s="49" t="s">
        <v>289</v>
      </c>
      <c r="F452" s="49" t="s">
        <v>399</v>
      </c>
      <c r="G452" s="48" t="s">
        <v>464</v>
      </c>
      <c r="H452" s="48" t="s">
        <v>464</v>
      </c>
      <c r="I452" s="56"/>
      <c r="J452" s="68" t="s">
        <v>514</v>
      </c>
      <c r="K452" s="68" t="s">
        <v>514</v>
      </c>
      <c r="L452" s="68"/>
    </row>
    <row r="453" spans="1:12" ht="16.2" x14ac:dyDescent="0.4">
      <c r="A453" s="15" t="str">
        <f t="shared" si="6"/>
        <v>lt004_protectiontyp_epc_lbl</v>
      </c>
      <c r="B453" s="54" t="s">
        <v>27</v>
      </c>
      <c r="C453" s="50" t="s">
        <v>27</v>
      </c>
      <c r="D453" s="46" t="s">
        <v>431</v>
      </c>
      <c r="E453" s="49" t="s">
        <v>289</v>
      </c>
      <c r="F453" s="49" t="s">
        <v>400</v>
      </c>
      <c r="G453" s="48" t="s">
        <v>464</v>
      </c>
      <c r="H453" s="48" t="s">
        <v>464</v>
      </c>
      <c r="I453" s="56"/>
      <c r="J453" s="68" t="s">
        <v>514</v>
      </c>
      <c r="K453" s="68" t="s">
        <v>514</v>
      </c>
      <c r="L453" s="68"/>
    </row>
    <row r="454" spans="1:12" ht="16.2" x14ac:dyDescent="0.4">
      <c r="A454" s="15" t="str">
        <f t="shared" si="6"/>
        <v>lt004_protectionepc_lbl</v>
      </c>
      <c r="B454" s="54" t="s">
        <v>27</v>
      </c>
      <c r="C454" s="50" t="s">
        <v>27</v>
      </c>
      <c r="D454" s="46" t="s">
        <v>431</v>
      </c>
      <c r="E454" s="49" t="s">
        <v>289</v>
      </c>
      <c r="F454" s="49" t="s">
        <v>401</v>
      </c>
      <c r="G454" s="48" t="s">
        <v>464</v>
      </c>
      <c r="H454" s="48" t="s">
        <v>464</v>
      </c>
      <c r="I454" s="56"/>
      <c r="J454" s="68" t="s">
        <v>514</v>
      </c>
      <c r="K454" s="68" t="s">
        <v>514</v>
      </c>
      <c r="L454" s="68"/>
    </row>
    <row r="455" spans="1:12" ht="16.2" x14ac:dyDescent="0.4">
      <c r="A455" s="15" t="str">
        <f t="shared" si="6"/>
        <v>lt004_protectionemssns_scp1_prtctn</v>
      </c>
      <c r="B455" s="54" t="s">
        <v>27</v>
      </c>
      <c r="C455" s="50" t="s">
        <v>27</v>
      </c>
      <c r="D455" s="46" t="s">
        <v>431</v>
      </c>
      <c r="E455" s="49" t="s">
        <v>289</v>
      </c>
      <c r="F455" s="49" t="s">
        <v>402</v>
      </c>
      <c r="G455" s="48" t="s">
        <v>464</v>
      </c>
      <c r="H455" s="48" t="s">
        <v>464</v>
      </c>
      <c r="I455" s="56"/>
      <c r="J455" s="68" t="s">
        <v>514</v>
      </c>
      <c r="K455" s="68" t="s">
        <v>514</v>
      </c>
      <c r="L455" s="68"/>
    </row>
    <row r="456" spans="1:12" ht="16.2" x14ac:dyDescent="0.4">
      <c r="A456" s="15" t="str">
        <f t="shared" ref="A456:A519" si="7">E456&amp;F456</f>
        <v>lt004_protectionemssns_scp2_prtctn</v>
      </c>
      <c r="B456" s="54" t="s">
        <v>27</v>
      </c>
      <c r="C456" s="50" t="s">
        <v>27</v>
      </c>
      <c r="D456" s="46" t="s">
        <v>431</v>
      </c>
      <c r="E456" s="49" t="s">
        <v>289</v>
      </c>
      <c r="F456" s="49" t="s">
        <v>403</v>
      </c>
      <c r="G456" s="48" t="s">
        <v>464</v>
      </c>
      <c r="H456" s="48" t="s">
        <v>464</v>
      </c>
      <c r="I456" s="56"/>
      <c r="J456" s="68" t="s">
        <v>514</v>
      </c>
      <c r="K456" s="68" t="s">
        <v>514</v>
      </c>
      <c r="L456" s="68"/>
    </row>
    <row r="457" spans="1:12" ht="16.2" x14ac:dyDescent="0.4">
      <c r="A457" s="15" t="str">
        <f t="shared" si="7"/>
        <v>lt004_protectionemssns_scp3_prtctn</v>
      </c>
      <c r="B457" s="54" t="s">
        <v>27</v>
      </c>
      <c r="C457" s="50" t="s">
        <v>27</v>
      </c>
      <c r="D457" s="46" t="s">
        <v>431</v>
      </c>
      <c r="E457" s="49" t="s">
        <v>289</v>
      </c>
      <c r="F457" s="49" t="s">
        <v>404</v>
      </c>
      <c r="G457" s="48" t="s">
        <v>464</v>
      </c>
      <c r="H457" s="48" t="s">
        <v>464</v>
      </c>
      <c r="I457" s="56"/>
      <c r="J457" s="68" t="s">
        <v>514</v>
      </c>
      <c r="K457" s="68" t="s">
        <v>514</v>
      </c>
      <c r="L457" s="68"/>
    </row>
    <row r="458" spans="1:12" ht="16.2" x14ac:dyDescent="0.4">
      <c r="A458" s="15" t="str">
        <f t="shared" si="7"/>
        <v>lt004_protectionmthd_usd_prtctn_scp_1</v>
      </c>
      <c r="B458" s="54" t="s">
        <v>27</v>
      </c>
      <c r="C458" s="50" t="s">
        <v>27</v>
      </c>
      <c r="D458" s="46" t="s">
        <v>431</v>
      </c>
      <c r="E458" s="49" t="s">
        <v>289</v>
      </c>
      <c r="F458" s="49" t="s">
        <v>405</v>
      </c>
      <c r="G458" s="48" t="s">
        <v>464</v>
      </c>
      <c r="H458" s="48" t="s">
        <v>464</v>
      </c>
      <c r="I458" s="56"/>
      <c r="J458" s="68" t="s">
        <v>514</v>
      </c>
      <c r="K458" s="68" t="s">
        <v>514</v>
      </c>
      <c r="L458" s="68"/>
    </row>
    <row r="459" spans="1:12" ht="16.2" x14ac:dyDescent="0.4">
      <c r="A459" s="15" t="str">
        <f t="shared" si="7"/>
        <v>lt004_protectionmthd_usd_prtctn_scp_2</v>
      </c>
      <c r="B459" s="54" t="s">
        <v>27</v>
      </c>
      <c r="C459" s="50" t="s">
        <v>27</v>
      </c>
      <c r="D459" s="46" t="s">
        <v>431</v>
      </c>
      <c r="E459" s="49" t="s">
        <v>289</v>
      </c>
      <c r="F459" s="49" t="s">
        <v>406</v>
      </c>
      <c r="G459" s="48" t="s">
        <v>464</v>
      </c>
      <c r="H459" s="48" t="s">
        <v>464</v>
      </c>
      <c r="I459" s="56"/>
      <c r="J459" s="68" t="s">
        <v>514</v>
      </c>
      <c r="K459" s="68" t="s">
        <v>514</v>
      </c>
      <c r="L459" s="68"/>
    </row>
    <row r="460" spans="1:12" ht="16.2" x14ac:dyDescent="0.4">
      <c r="A460" s="15" t="str">
        <f t="shared" si="7"/>
        <v>lt004_protectionmthd_usd_prtctn_scp_3</v>
      </c>
      <c r="B460" s="54" t="s">
        <v>27</v>
      </c>
      <c r="C460" s="50" t="s">
        <v>27</v>
      </c>
      <c r="D460" s="46" t="s">
        <v>431</v>
      </c>
      <c r="E460" s="49" t="s">
        <v>289</v>
      </c>
      <c r="F460" s="49" t="s">
        <v>407</v>
      </c>
      <c r="G460" s="48" t="s">
        <v>464</v>
      </c>
      <c r="H460" s="48" t="s">
        <v>464</v>
      </c>
      <c r="I460" s="56"/>
      <c r="J460" s="68" t="s">
        <v>514</v>
      </c>
      <c r="K460" s="68" t="s">
        <v>514</v>
      </c>
      <c r="L460" s="68"/>
    </row>
    <row r="461" spans="1:12" ht="16.2" x14ac:dyDescent="0.4">
      <c r="A461" s="15" t="str">
        <f t="shared" si="7"/>
        <v>lt004_protectionflg_act_physcl_rsk</v>
      </c>
      <c r="B461" s="54" t="s">
        <v>27</v>
      </c>
      <c r="C461" s="50" t="s">
        <v>27</v>
      </c>
      <c r="D461" s="46" t="s">
        <v>431</v>
      </c>
      <c r="E461" s="49" t="s">
        <v>289</v>
      </c>
      <c r="F461" s="49" t="s">
        <v>387</v>
      </c>
      <c r="G461" s="48" t="s">
        <v>464</v>
      </c>
      <c r="H461" s="48" t="s">
        <v>464</v>
      </c>
      <c r="I461" s="56"/>
      <c r="J461" s="68" t="s">
        <v>514</v>
      </c>
      <c r="K461" s="68" t="s">
        <v>514</v>
      </c>
      <c r="L461" s="68"/>
    </row>
    <row r="462" spans="1:12" ht="16.2" x14ac:dyDescent="0.4">
      <c r="A462" s="15" t="str">
        <f t="shared" si="7"/>
        <v>lt004_protectionflg_chrnc_physcl_rsk</v>
      </c>
      <c r="B462" s="54" t="s">
        <v>27</v>
      </c>
      <c r="C462" s="50" t="s">
        <v>27</v>
      </c>
      <c r="D462" s="46" t="s">
        <v>431</v>
      </c>
      <c r="E462" s="49" t="s">
        <v>289</v>
      </c>
      <c r="F462" s="49" t="s">
        <v>388</v>
      </c>
      <c r="G462" s="48" t="s">
        <v>464</v>
      </c>
      <c r="H462" s="48" t="s">
        <v>464</v>
      </c>
      <c r="I462" s="56"/>
      <c r="J462" s="68" t="s">
        <v>514</v>
      </c>
      <c r="K462" s="68" t="s">
        <v>514</v>
      </c>
      <c r="L462" s="68"/>
    </row>
    <row r="463" spans="1:12" ht="16.2" x14ac:dyDescent="0.4">
      <c r="A463" s="15" t="str">
        <f t="shared" si="7"/>
        <v>lt002_instrumentrsk_mtgtd_cct</v>
      </c>
      <c r="B463" s="54" t="s">
        <v>27</v>
      </c>
      <c r="C463" s="50" t="s">
        <v>27</v>
      </c>
      <c r="D463" s="46" t="s">
        <v>431</v>
      </c>
      <c r="E463" s="49" t="s">
        <v>290</v>
      </c>
      <c r="F463" s="49" t="s">
        <v>408</v>
      </c>
      <c r="G463" s="48" t="s">
        <v>464</v>
      </c>
      <c r="H463" s="48" t="s">
        <v>464</v>
      </c>
      <c r="I463" s="56"/>
      <c r="J463" s="68" t="s">
        <v>514</v>
      </c>
      <c r="K463" s="68" t="s">
        <v>514</v>
      </c>
      <c r="L463" s="68"/>
    </row>
    <row r="464" spans="1:12" ht="16.2" x14ac:dyDescent="0.4">
      <c r="A464" s="15" t="str">
        <f t="shared" si="7"/>
        <v>lt002_instrumentrsk_mtgtd_ccp</v>
      </c>
      <c r="B464" s="54" t="s">
        <v>27</v>
      </c>
      <c r="C464" s="50" t="s">
        <v>27</v>
      </c>
      <c r="D464" s="46" t="s">
        <v>431</v>
      </c>
      <c r="E464" s="49" t="s">
        <v>290</v>
      </c>
      <c r="F464" s="49" t="s">
        <v>409</v>
      </c>
      <c r="G464" s="48" t="s">
        <v>464</v>
      </c>
      <c r="H464" s="48" t="s">
        <v>464</v>
      </c>
      <c r="I464" s="56"/>
      <c r="J464" s="68" t="s">
        <v>514</v>
      </c>
      <c r="K464" s="68" t="s">
        <v>514</v>
      </c>
      <c r="L464" s="68"/>
    </row>
    <row r="465" spans="1:12" ht="16.2" x14ac:dyDescent="0.4">
      <c r="A465" s="15" t="str">
        <f t="shared" si="7"/>
        <v>lt002_instrumentenvrnmntl_objctv</v>
      </c>
      <c r="B465" s="54" t="s">
        <v>27</v>
      </c>
      <c r="C465" s="50" t="s">
        <v>27</v>
      </c>
      <c r="D465" s="46" t="s">
        <v>431</v>
      </c>
      <c r="E465" s="49" t="s">
        <v>290</v>
      </c>
      <c r="F465" s="49" t="s">
        <v>410</v>
      </c>
      <c r="G465" s="48" t="s">
        <v>464</v>
      </c>
      <c r="H465" s="48" t="s">
        <v>464</v>
      </c>
      <c r="I465" s="56"/>
      <c r="J465" s="68" t="s">
        <v>514</v>
      </c>
      <c r="K465" s="68" t="s">
        <v>514</v>
      </c>
      <c r="L465" s="68"/>
    </row>
    <row r="466" spans="1:12" ht="16.2" x14ac:dyDescent="0.4">
      <c r="A466" s="15" t="str">
        <f t="shared" si="7"/>
        <v>lt002_instrumenttyp_actvty</v>
      </c>
      <c r="B466" s="54" t="s">
        <v>27</v>
      </c>
      <c r="C466" s="50" t="s">
        <v>27</v>
      </c>
      <c r="D466" s="46" t="s">
        <v>431</v>
      </c>
      <c r="E466" s="49" t="s">
        <v>290</v>
      </c>
      <c r="F466" s="49" t="s">
        <v>411</v>
      </c>
      <c r="G466" s="48" t="s">
        <v>464</v>
      </c>
      <c r="H466" s="48" t="s">
        <v>464</v>
      </c>
      <c r="I466" s="56"/>
      <c r="J466" s="68" t="s">
        <v>514</v>
      </c>
      <c r="K466" s="68" t="s">
        <v>514</v>
      </c>
      <c r="L466" s="68"/>
    </row>
    <row r="467" spans="1:12" ht="16.2" x14ac:dyDescent="0.4">
      <c r="A467" s="15" t="str">
        <f t="shared" si="7"/>
        <v>lt002_instrumentlns_clltrlzd_clssfctn</v>
      </c>
      <c r="B467" s="54" t="s">
        <v>27</v>
      </c>
      <c r="C467" s="50" t="s">
        <v>27</v>
      </c>
      <c r="D467" s="46" t="s">
        <v>431</v>
      </c>
      <c r="E467" s="49" t="s">
        <v>290</v>
      </c>
      <c r="F467" s="49" t="s">
        <v>412</v>
      </c>
      <c r="G467" s="48" t="s">
        <v>464</v>
      </c>
      <c r="H467" s="48" t="s">
        <v>464</v>
      </c>
      <c r="I467" s="56"/>
      <c r="J467" s="68" t="s">
        <v>514</v>
      </c>
      <c r="K467" s="68" t="s">
        <v>514</v>
      </c>
      <c r="L467" s="68"/>
    </row>
    <row r="468" spans="1:12" ht="16.2" x14ac:dyDescent="0.4">
      <c r="A468" s="15" t="str">
        <f t="shared" si="7"/>
        <v>lt002_instrumentmthd_usd_instrmnt_scp_1</v>
      </c>
      <c r="B468" s="54" t="s">
        <v>27</v>
      </c>
      <c r="C468" s="50" t="s">
        <v>27</v>
      </c>
      <c r="D468" s="46" t="s">
        <v>431</v>
      </c>
      <c r="E468" s="49" t="s">
        <v>290</v>
      </c>
      <c r="F468" s="49" t="s">
        <v>413</v>
      </c>
      <c r="G468" s="48" t="s">
        <v>464</v>
      </c>
      <c r="H468" s="48" t="s">
        <v>464</v>
      </c>
      <c r="I468" s="56"/>
      <c r="J468" s="68" t="s">
        <v>514</v>
      </c>
      <c r="K468" s="68" t="s">
        <v>514</v>
      </c>
      <c r="L468" s="68"/>
    </row>
    <row r="469" spans="1:12" ht="16.2" x14ac:dyDescent="0.4">
      <c r="A469" s="15" t="str">
        <f t="shared" si="7"/>
        <v>lt002_instrumentmthd_usd_instrmnt_scp_2</v>
      </c>
      <c r="B469" s="54" t="s">
        <v>27</v>
      </c>
      <c r="C469" s="50" t="s">
        <v>27</v>
      </c>
      <c r="D469" s="46" t="s">
        <v>431</v>
      </c>
      <c r="E469" s="49" t="s">
        <v>290</v>
      </c>
      <c r="F469" s="49" t="s">
        <v>414</v>
      </c>
      <c r="G469" s="48" t="s">
        <v>464</v>
      </c>
      <c r="H469" s="48" t="s">
        <v>464</v>
      </c>
      <c r="I469" s="56"/>
      <c r="J469" s="68" t="s">
        <v>514</v>
      </c>
      <c r="K469" s="68" t="s">
        <v>514</v>
      </c>
      <c r="L469" s="68"/>
    </row>
    <row r="470" spans="1:12" ht="16.2" x14ac:dyDescent="0.4">
      <c r="A470" s="15" t="str">
        <f t="shared" si="7"/>
        <v>lt002_instrumentmthd_usd_instrmnt_scp_3</v>
      </c>
      <c r="B470" s="54" t="s">
        <v>27</v>
      </c>
      <c r="C470" s="50" t="s">
        <v>27</v>
      </c>
      <c r="D470" s="46" t="s">
        <v>431</v>
      </c>
      <c r="E470" s="49" t="s">
        <v>290</v>
      </c>
      <c r="F470" s="49" t="s">
        <v>415</v>
      </c>
      <c r="G470" s="48" t="s">
        <v>464</v>
      </c>
      <c r="H470" s="48" t="s">
        <v>464</v>
      </c>
      <c r="I470" s="56"/>
      <c r="J470" s="68" t="s">
        <v>514</v>
      </c>
      <c r="K470" s="68" t="s">
        <v>514</v>
      </c>
      <c r="L470" s="68"/>
    </row>
    <row r="471" spans="1:12" ht="16.2" x14ac:dyDescent="0.4">
      <c r="A471" s="15" t="str">
        <f t="shared" si="7"/>
        <v>lt002_instrumentsstnbl_ctgry_txnmy</v>
      </c>
      <c r="B471" s="54" t="s">
        <v>27</v>
      </c>
      <c r="C471" s="50" t="s">
        <v>27</v>
      </c>
      <c r="D471" s="46" t="s">
        <v>431</v>
      </c>
      <c r="E471" s="49" t="s">
        <v>290</v>
      </c>
      <c r="F471" s="49" t="s">
        <v>416</v>
      </c>
      <c r="G471" s="48" t="s">
        <v>464</v>
      </c>
      <c r="H471" s="48" t="s">
        <v>464</v>
      </c>
      <c r="I471" s="56"/>
      <c r="J471" s="68" t="s">
        <v>514</v>
      </c>
      <c r="K471" s="68" t="s">
        <v>514</v>
      </c>
      <c r="L471" s="68"/>
    </row>
    <row r="472" spans="1:12" ht="16.2" x14ac:dyDescent="0.4">
      <c r="A472" s="15" t="str">
        <f t="shared" si="7"/>
        <v>lt825_mthd_usd_instrmntambito</v>
      </c>
      <c r="B472" s="54" t="s">
        <v>27</v>
      </c>
      <c r="C472" s="50" t="s">
        <v>27</v>
      </c>
      <c r="D472" s="46" t="s">
        <v>431</v>
      </c>
      <c r="E472" s="49" t="s">
        <v>291</v>
      </c>
      <c r="F472" s="49" t="s">
        <v>292</v>
      </c>
      <c r="G472" s="48" t="s">
        <v>464</v>
      </c>
      <c r="H472" s="48" t="s">
        <v>464</v>
      </c>
      <c r="I472" s="56"/>
      <c r="J472" s="68" t="s">
        <v>514</v>
      </c>
      <c r="K472" s="68" t="s">
        <v>514</v>
      </c>
      <c r="L472" s="68"/>
    </row>
    <row r="473" spans="1:12" ht="16.2" x14ac:dyDescent="0.4">
      <c r="A473" s="15" t="str">
        <f t="shared" si="7"/>
        <v>lt825_mthd_usd_instrmntref_date</v>
      </c>
      <c r="B473" s="54" t="s">
        <v>27</v>
      </c>
      <c r="C473" s="50" t="s">
        <v>27</v>
      </c>
      <c r="D473" s="46" t="s">
        <v>431</v>
      </c>
      <c r="E473" s="49" t="s">
        <v>291</v>
      </c>
      <c r="F473" s="49" t="s">
        <v>44</v>
      </c>
      <c r="G473" s="48" t="s">
        <v>464</v>
      </c>
      <c r="H473" s="48" t="s">
        <v>464</v>
      </c>
      <c r="I473" s="56"/>
      <c r="J473" s="68" t="s">
        <v>514</v>
      </c>
      <c r="K473" s="68" t="s">
        <v>514</v>
      </c>
      <c r="L473" s="68"/>
    </row>
    <row r="474" spans="1:12" ht="16.2" x14ac:dyDescent="0.4">
      <c r="A474" s="15" t="str">
        <f t="shared" si="7"/>
        <v>lt825_mthd_usd_instrmntordem</v>
      </c>
      <c r="B474" s="54" t="s">
        <v>27</v>
      </c>
      <c r="C474" s="50" t="s">
        <v>27</v>
      </c>
      <c r="D474" s="46" t="s">
        <v>431</v>
      </c>
      <c r="E474" s="49" t="s">
        <v>291</v>
      </c>
      <c r="F474" s="49" t="s">
        <v>293</v>
      </c>
      <c r="G474" s="48" t="s">
        <v>464</v>
      </c>
      <c r="H474" s="48" t="s">
        <v>464</v>
      </c>
      <c r="I474" s="56"/>
      <c r="J474" s="68" t="s">
        <v>514</v>
      </c>
      <c r="K474" s="68" t="s">
        <v>514</v>
      </c>
      <c r="L474" s="68"/>
    </row>
    <row r="475" spans="1:12" ht="16.2" x14ac:dyDescent="0.4">
      <c r="A475" s="15" t="str">
        <f t="shared" si="7"/>
        <v>lt825_mthd_usd_instrmnttabela</v>
      </c>
      <c r="B475" s="54" t="s">
        <v>27</v>
      </c>
      <c r="C475" s="50" t="s">
        <v>27</v>
      </c>
      <c r="D475" s="46" t="s">
        <v>431</v>
      </c>
      <c r="E475" s="49" t="s">
        <v>291</v>
      </c>
      <c r="F475" s="49" t="s">
        <v>294</v>
      </c>
      <c r="G475" s="48" t="s">
        <v>464</v>
      </c>
      <c r="H475" s="48" t="s">
        <v>464</v>
      </c>
      <c r="I475" s="56"/>
      <c r="J475" s="68" t="s">
        <v>514</v>
      </c>
      <c r="K475" s="68" t="s">
        <v>514</v>
      </c>
      <c r="L475" s="68"/>
    </row>
    <row r="476" spans="1:12" ht="16.2" x14ac:dyDescent="0.4">
      <c r="A476" s="15" t="str">
        <f t="shared" si="7"/>
        <v>lt825_mthd_usd_instrmntorigem_scp1_emss</v>
      </c>
      <c r="B476" s="54" t="s">
        <v>27</v>
      </c>
      <c r="C476" s="50" t="s">
        <v>27</v>
      </c>
      <c r="D476" s="46" t="s">
        <v>431</v>
      </c>
      <c r="E476" s="49" t="s">
        <v>291</v>
      </c>
      <c r="F476" s="49" t="s">
        <v>139</v>
      </c>
      <c r="G476" s="48" t="s">
        <v>464</v>
      </c>
      <c r="H476" s="48" t="s">
        <v>464</v>
      </c>
      <c r="I476" s="56"/>
      <c r="J476" s="68" t="s">
        <v>514</v>
      </c>
      <c r="K476" s="68" t="s">
        <v>514</v>
      </c>
      <c r="L476" s="68"/>
    </row>
    <row r="477" spans="1:12" ht="16.2" x14ac:dyDescent="0.4">
      <c r="A477" s="15" t="str">
        <f t="shared" si="7"/>
        <v>lt825_mthd_usd_instrmntorigem_scp2_emss</v>
      </c>
      <c r="B477" s="54" t="s">
        <v>27</v>
      </c>
      <c r="C477" s="50" t="s">
        <v>27</v>
      </c>
      <c r="D477" s="46" t="s">
        <v>431</v>
      </c>
      <c r="E477" s="49" t="s">
        <v>291</v>
      </c>
      <c r="F477" s="49" t="s">
        <v>140</v>
      </c>
      <c r="G477" s="48" t="s">
        <v>464</v>
      </c>
      <c r="H477" s="48" t="s">
        <v>464</v>
      </c>
      <c r="I477" s="56"/>
      <c r="J477" s="68" t="s">
        <v>514</v>
      </c>
      <c r="K477" s="68" t="s">
        <v>514</v>
      </c>
      <c r="L477" s="68"/>
    </row>
    <row r="478" spans="1:12" ht="16.2" x14ac:dyDescent="0.4">
      <c r="A478" s="15" t="str">
        <f t="shared" si="7"/>
        <v>lt825_mthd_usd_instrmntorigem_scp3_emss</v>
      </c>
      <c r="B478" s="54" t="s">
        <v>27</v>
      </c>
      <c r="C478" s="50" t="s">
        <v>27</v>
      </c>
      <c r="D478" s="46" t="s">
        <v>431</v>
      </c>
      <c r="E478" s="49" t="s">
        <v>291</v>
      </c>
      <c r="F478" s="49" t="s">
        <v>141</v>
      </c>
      <c r="G478" s="48" t="s">
        <v>464</v>
      </c>
      <c r="H478" s="48" t="s">
        <v>464</v>
      </c>
      <c r="I478" s="56"/>
      <c r="J478" s="68" t="s">
        <v>514</v>
      </c>
      <c r="K478" s="68" t="s">
        <v>514</v>
      </c>
      <c r="L478" s="68"/>
    </row>
    <row r="479" spans="1:12" ht="16.2" x14ac:dyDescent="0.4">
      <c r="A479" s="15" t="str">
        <f t="shared" si="7"/>
        <v>lt825_mthd_usd_instrmntmthd_usd_instrmnt_scp_1</v>
      </c>
      <c r="B479" s="54" t="s">
        <v>27</v>
      </c>
      <c r="C479" s="50" t="s">
        <v>27</v>
      </c>
      <c r="D479" s="46" t="s">
        <v>431</v>
      </c>
      <c r="E479" s="49" t="s">
        <v>291</v>
      </c>
      <c r="F479" s="49" t="s">
        <v>413</v>
      </c>
      <c r="G479" s="48" t="s">
        <v>464</v>
      </c>
      <c r="H479" s="48" t="s">
        <v>464</v>
      </c>
      <c r="I479" s="56"/>
      <c r="J479" s="68" t="s">
        <v>514</v>
      </c>
      <c r="K479" s="68" t="s">
        <v>514</v>
      </c>
      <c r="L479" s="68"/>
    </row>
    <row r="480" spans="1:12" ht="16.2" x14ac:dyDescent="0.4">
      <c r="A480" s="15" t="str">
        <f t="shared" si="7"/>
        <v>lt825_mthd_usd_instrmntmthd_usd_instrmnt_scp_2</v>
      </c>
      <c r="B480" s="54" t="s">
        <v>27</v>
      </c>
      <c r="C480" s="50" t="s">
        <v>27</v>
      </c>
      <c r="D480" s="46" t="s">
        <v>431</v>
      </c>
      <c r="E480" s="49" t="s">
        <v>291</v>
      </c>
      <c r="F480" s="49" t="s">
        <v>414</v>
      </c>
      <c r="G480" s="48" t="s">
        <v>464</v>
      </c>
      <c r="H480" s="48" t="s">
        <v>464</v>
      </c>
      <c r="I480" s="56"/>
      <c r="J480" s="68" t="s">
        <v>514</v>
      </c>
      <c r="K480" s="68" t="s">
        <v>514</v>
      </c>
      <c r="L480" s="68"/>
    </row>
    <row r="481" spans="1:12" ht="16.2" x14ac:dyDescent="0.4">
      <c r="A481" s="15" t="str">
        <f t="shared" si="7"/>
        <v>lt825_mthd_usd_instrmntmthd_usd_instrmnt_scp_3</v>
      </c>
      <c r="B481" s="54" t="s">
        <v>27</v>
      </c>
      <c r="C481" s="50" t="s">
        <v>27</v>
      </c>
      <c r="D481" s="46" t="s">
        <v>431</v>
      </c>
      <c r="E481" s="49" t="s">
        <v>291</v>
      </c>
      <c r="F481" s="49" t="s">
        <v>415</v>
      </c>
      <c r="G481" s="48" t="s">
        <v>464</v>
      </c>
      <c r="H481" s="48" t="s">
        <v>464</v>
      </c>
      <c r="I481" s="56"/>
      <c r="J481" s="68" t="s">
        <v>514</v>
      </c>
      <c r="K481" s="68" t="s">
        <v>514</v>
      </c>
      <c r="L481" s="68"/>
    </row>
    <row r="482" spans="1:12" ht="16.2" x14ac:dyDescent="0.4">
      <c r="A482" s="15" t="str">
        <f t="shared" si="7"/>
        <v>lt826_esg_sbsctrambito</v>
      </c>
      <c r="B482" s="54" t="s">
        <v>27</v>
      </c>
      <c r="C482" s="50" t="s">
        <v>27</v>
      </c>
      <c r="D482" s="46" t="s">
        <v>431</v>
      </c>
      <c r="E482" s="49" t="s">
        <v>295</v>
      </c>
      <c r="F482" s="49" t="s">
        <v>292</v>
      </c>
      <c r="G482" s="48" t="s">
        <v>464</v>
      </c>
      <c r="H482" s="48" t="s">
        <v>464</v>
      </c>
      <c r="I482" s="56"/>
      <c r="J482" s="68" t="s">
        <v>514</v>
      </c>
      <c r="K482" s="68" t="s">
        <v>514</v>
      </c>
      <c r="L482" s="68"/>
    </row>
    <row r="483" spans="1:12" ht="16.2" x14ac:dyDescent="0.4">
      <c r="A483" s="15" t="str">
        <f t="shared" si="7"/>
        <v>lt826_esg_sbsctrref_date</v>
      </c>
      <c r="B483" s="54" t="s">
        <v>27</v>
      </c>
      <c r="C483" s="50" t="s">
        <v>27</v>
      </c>
      <c r="D483" s="46" t="s">
        <v>431</v>
      </c>
      <c r="E483" s="49" t="s">
        <v>295</v>
      </c>
      <c r="F483" s="49" t="s">
        <v>44</v>
      </c>
      <c r="G483" s="48" t="s">
        <v>464</v>
      </c>
      <c r="H483" s="48" t="s">
        <v>464</v>
      </c>
      <c r="I483" s="56"/>
      <c r="J483" s="68" t="s">
        <v>514</v>
      </c>
      <c r="K483" s="68" t="s">
        <v>514</v>
      </c>
      <c r="L483" s="68"/>
    </row>
    <row r="484" spans="1:12" ht="16.2" x14ac:dyDescent="0.4">
      <c r="A484" s="15" t="str">
        <f t="shared" si="7"/>
        <v>lt826_esg_sbsctrordem</v>
      </c>
      <c r="B484" s="54" t="s">
        <v>27</v>
      </c>
      <c r="C484" s="50" t="s">
        <v>27</v>
      </c>
      <c r="D484" s="46" t="s">
        <v>431</v>
      </c>
      <c r="E484" s="49" t="s">
        <v>295</v>
      </c>
      <c r="F484" s="49" t="s">
        <v>293</v>
      </c>
      <c r="G484" s="48" t="s">
        <v>464</v>
      </c>
      <c r="H484" s="48" t="s">
        <v>464</v>
      </c>
      <c r="I484" s="56"/>
      <c r="J484" s="68" t="s">
        <v>514</v>
      </c>
      <c r="K484" s="68" t="s">
        <v>514</v>
      </c>
      <c r="L484" s="68"/>
    </row>
    <row r="485" spans="1:12" ht="16.2" x14ac:dyDescent="0.4">
      <c r="A485" s="15" t="str">
        <f t="shared" si="7"/>
        <v>lt826_esg_sbsctrnace_code</v>
      </c>
      <c r="B485" s="54" t="s">
        <v>27</v>
      </c>
      <c r="C485" s="50" t="s">
        <v>27</v>
      </c>
      <c r="D485" s="46" t="s">
        <v>431</v>
      </c>
      <c r="E485" s="49" t="s">
        <v>295</v>
      </c>
      <c r="F485" s="49" t="s">
        <v>296</v>
      </c>
      <c r="G485" s="48" t="s">
        <v>464</v>
      </c>
      <c r="H485" s="48" t="s">
        <v>464</v>
      </c>
      <c r="I485" s="56"/>
      <c r="J485" s="68" t="s">
        <v>514</v>
      </c>
      <c r="K485" s="68" t="s">
        <v>514</v>
      </c>
      <c r="L485" s="68"/>
    </row>
    <row r="486" spans="1:12" ht="16.2" x14ac:dyDescent="0.4">
      <c r="A486" s="15" t="str">
        <f t="shared" si="7"/>
        <v>lt826_esg_sbsctrcontraparte</v>
      </c>
      <c r="B486" s="54" t="s">
        <v>27</v>
      </c>
      <c r="C486" s="50" t="s">
        <v>27</v>
      </c>
      <c r="D486" s="46" t="s">
        <v>431</v>
      </c>
      <c r="E486" s="49" t="s">
        <v>295</v>
      </c>
      <c r="F486" s="49" t="s">
        <v>297</v>
      </c>
      <c r="G486" s="48" t="s">
        <v>464</v>
      </c>
      <c r="H486" s="48" t="s">
        <v>464</v>
      </c>
      <c r="I486" s="56"/>
      <c r="J486" s="68" t="s">
        <v>514</v>
      </c>
      <c r="K486" s="68" t="s">
        <v>514</v>
      </c>
      <c r="L486" s="68"/>
    </row>
    <row r="487" spans="1:12" ht="16.2" x14ac:dyDescent="0.4">
      <c r="A487" s="15" t="str">
        <f t="shared" si="7"/>
        <v>lt826_esg_sbsctrcnatureza_juri</v>
      </c>
      <c r="B487" s="54" t="s">
        <v>27</v>
      </c>
      <c r="C487" s="50" t="s">
        <v>27</v>
      </c>
      <c r="D487" s="46" t="s">
        <v>431</v>
      </c>
      <c r="E487" s="49" t="s">
        <v>295</v>
      </c>
      <c r="F487" s="49" t="s">
        <v>298</v>
      </c>
      <c r="G487" s="48" t="s">
        <v>464</v>
      </c>
      <c r="H487" s="48" t="s">
        <v>464</v>
      </c>
      <c r="I487" s="56"/>
      <c r="J487" s="68" t="s">
        <v>514</v>
      </c>
      <c r="K487" s="68" t="s">
        <v>514</v>
      </c>
      <c r="L487" s="68"/>
    </row>
    <row r="488" spans="1:12" ht="16.2" x14ac:dyDescent="0.4">
      <c r="A488" s="15" t="str">
        <f t="shared" si="7"/>
        <v>lt826_esg_sbsctridcomb</v>
      </c>
      <c r="B488" s="54" t="s">
        <v>27</v>
      </c>
      <c r="C488" s="50" t="s">
        <v>27</v>
      </c>
      <c r="D488" s="46" t="s">
        <v>431</v>
      </c>
      <c r="E488" s="49" t="s">
        <v>295</v>
      </c>
      <c r="F488" s="49" t="s">
        <v>299</v>
      </c>
      <c r="G488" s="48" t="s">
        <v>464</v>
      </c>
      <c r="H488" s="48" t="s">
        <v>464</v>
      </c>
      <c r="I488" s="56"/>
      <c r="J488" s="68" t="s">
        <v>514</v>
      </c>
      <c r="K488" s="68" t="s">
        <v>514</v>
      </c>
      <c r="L488" s="68"/>
    </row>
    <row r="489" spans="1:12" ht="16.2" x14ac:dyDescent="0.4">
      <c r="A489" s="15" t="str">
        <f t="shared" si="7"/>
        <v>lt826_esg_sbsctresg_sbsctr</v>
      </c>
      <c r="B489" s="54" t="s">
        <v>27</v>
      </c>
      <c r="C489" s="50" t="s">
        <v>27</v>
      </c>
      <c r="D489" s="46" t="s">
        <v>431</v>
      </c>
      <c r="E489" s="49" t="s">
        <v>295</v>
      </c>
      <c r="F489" s="49" t="s">
        <v>390</v>
      </c>
      <c r="G489" s="48" t="s">
        <v>464</v>
      </c>
      <c r="H489" s="48" t="s">
        <v>464</v>
      </c>
      <c r="I489" s="56"/>
      <c r="J489" s="68" t="s">
        <v>514</v>
      </c>
      <c r="K489" s="68" t="s">
        <v>514</v>
      </c>
      <c r="L489" s="68"/>
    </row>
    <row r="490" spans="1:12" ht="16.2" x14ac:dyDescent="0.4">
      <c r="A490" s="15" t="str">
        <f t="shared" si="7"/>
        <v>lt826_esg_sbsctrdescrição</v>
      </c>
      <c r="B490" s="54" t="s">
        <v>27</v>
      </c>
      <c r="C490" s="50" t="s">
        <v>27</v>
      </c>
      <c r="D490" s="46" t="s">
        <v>431</v>
      </c>
      <c r="E490" s="49" t="s">
        <v>295</v>
      </c>
      <c r="F490" s="49" t="s">
        <v>300</v>
      </c>
      <c r="G490" s="48" t="s">
        <v>464</v>
      </c>
      <c r="H490" s="48" t="s">
        <v>464</v>
      </c>
      <c r="I490" s="56"/>
      <c r="J490" s="68" t="s">
        <v>514</v>
      </c>
      <c r="K490" s="68" t="s">
        <v>514</v>
      </c>
      <c r="L490" s="68"/>
    </row>
    <row r="491" spans="1:12" ht="16.2" x14ac:dyDescent="0.4">
      <c r="A491" s="15" t="str">
        <f t="shared" si="7"/>
        <v>lt002_instrumentdt_rfrnc</v>
      </c>
      <c r="B491" s="54" t="s">
        <v>27</v>
      </c>
      <c r="C491" s="50" t="s">
        <v>27</v>
      </c>
      <c r="D491" s="46" t="s">
        <v>431</v>
      </c>
      <c r="E491" s="49" t="s">
        <v>290</v>
      </c>
      <c r="F491" s="49" t="s">
        <v>323</v>
      </c>
      <c r="G491" s="48" t="s">
        <v>464</v>
      </c>
      <c r="H491" s="48" t="s">
        <v>464</v>
      </c>
      <c r="I491" s="56"/>
      <c r="J491" s="68" t="s">
        <v>514</v>
      </c>
      <c r="K491" s="68" t="s">
        <v>514</v>
      </c>
      <c r="L491" s="68"/>
    </row>
    <row r="492" spans="1:12" ht="16.2" x14ac:dyDescent="0.4">
      <c r="A492" s="15" t="str">
        <f t="shared" si="7"/>
        <v>lt002_instrumentinstrmnt_id</v>
      </c>
      <c r="B492" s="54" t="s">
        <v>27</v>
      </c>
      <c r="C492" s="50" t="s">
        <v>27</v>
      </c>
      <c r="D492" s="46" t="s">
        <v>431</v>
      </c>
      <c r="E492" s="49" t="s">
        <v>290</v>
      </c>
      <c r="F492" s="49" t="s">
        <v>327</v>
      </c>
      <c r="G492" s="48" t="s">
        <v>464</v>
      </c>
      <c r="H492" s="48" t="s">
        <v>464</v>
      </c>
      <c r="I492" s="56"/>
      <c r="J492" s="68" t="s">
        <v>514</v>
      </c>
      <c r="K492" s="68" t="s">
        <v>514</v>
      </c>
      <c r="L492" s="68"/>
    </row>
    <row r="493" spans="1:12" ht="16.2" x14ac:dyDescent="0.4">
      <c r="A493" s="15" t="str">
        <f t="shared" si="7"/>
        <v>lt002_instrumentdt_incptn</v>
      </c>
      <c r="B493" s="54" t="s">
        <v>27</v>
      </c>
      <c r="C493" s="50" t="s">
        <v>27</v>
      </c>
      <c r="D493" s="46" t="s">
        <v>431</v>
      </c>
      <c r="E493" s="49" t="s">
        <v>290</v>
      </c>
      <c r="F493" s="49" t="s">
        <v>432</v>
      </c>
      <c r="G493" s="48" t="s">
        <v>464</v>
      </c>
      <c r="H493" s="48" t="s">
        <v>464</v>
      </c>
      <c r="I493" s="56"/>
      <c r="J493" s="68" t="s">
        <v>514</v>
      </c>
      <c r="K493" s="68" t="s">
        <v>514</v>
      </c>
      <c r="L493" s="68"/>
    </row>
    <row r="494" spans="1:12" ht="16.2" x14ac:dyDescent="0.4">
      <c r="A494" s="15" t="str">
        <f t="shared" si="7"/>
        <v>lt002_instrumentdflt_stts_instrmnt</v>
      </c>
      <c r="B494" s="54" t="s">
        <v>27</v>
      </c>
      <c r="C494" s="50" t="s">
        <v>27</v>
      </c>
      <c r="D494" s="46" t="s">
        <v>431</v>
      </c>
      <c r="E494" s="49" t="s">
        <v>290</v>
      </c>
      <c r="F494" s="49" t="s">
        <v>318</v>
      </c>
      <c r="G494" s="48" t="s">
        <v>464</v>
      </c>
      <c r="H494" s="48" t="s">
        <v>464</v>
      </c>
      <c r="I494" s="56"/>
      <c r="J494" s="68" t="s">
        <v>514</v>
      </c>
      <c r="K494" s="68" t="s">
        <v>514</v>
      </c>
      <c r="L494" s="68"/>
    </row>
    <row r="495" spans="1:12" ht="16.2" x14ac:dyDescent="0.4">
      <c r="A495" s="15" t="str">
        <f t="shared" si="7"/>
        <v>lt002_instrumentimprmnt_stts</v>
      </c>
      <c r="B495" s="54" t="s">
        <v>27</v>
      </c>
      <c r="C495" s="50" t="s">
        <v>27</v>
      </c>
      <c r="D495" s="46" t="s">
        <v>431</v>
      </c>
      <c r="E495" s="49" t="s">
        <v>290</v>
      </c>
      <c r="F495" s="49" t="s">
        <v>326</v>
      </c>
      <c r="G495" s="48" t="s">
        <v>464</v>
      </c>
      <c r="H495" s="48" t="s">
        <v>464</v>
      </c>
      <c r="I495" s="56"/>
      <c r="J495" s="68" t="s">
        <v>514</v>
      </c>
      <c r="K495" s="68" t="s">
        <v>514</v>
      </c>
      <c r="L495" s="68"/>
    </row>
    <row r="496" spans="1:12" ht="16.2" x14ac:dyDescent="0.4">
      <c r="A496" s="15" t="str">
        <f t="shared" si="7"/>
        <v>lt002_instrumentprfrmng_stts</v>
      </c>
      <c r="B496" s="54" t="s">
        <v>27</v>
      </c>
      <c r="C496" s="50" t="s">
        <v>27</v>
      </c>
      <c r="D496" s="46" t="s">
        <v>431</v>
      </c>
      <c r="E496" s="49" t="s">
        <v>290</v>
      </c>
      <c r="F496" s="49" t="s">
        <v>330</v>
      </c>
      <c r="G496" s="48" t="s">
        <v>464</v>
      </c>
      <c r="H496" s="48" t="s">
        <v>464</v>
      </c>
      <c r="I496" s="56"/>
      <c r="J496" s="68" t="s">
        <v>514</v>
      </c>
      <c r="K496" s="68" t="s">
        <v>514</v>
      </c>
      <c r="L496" s="68"/>
    </row>
    <row r="497" spans="1:12" ht="16.2" x14ac:dyDescent="0.4">
      <c r="A497" s="15" t="str">
        <f t="shared" si="7"/>
        <v>lt002_instrumentprjct_fnnc_ln</v>
      </c>
      <c r="B497" s="54" t="s">
        <v>27</v>
      </c>
      <c r="C497" s="50" t="s">
        <v>27</v>
      </c>
      <c r="D497" s="46" t="s">
        <v>431</v>
      </c>
      <c r="E497" s="49" t="s">
        <v>290</v>
      </c>
      <c r="F497" s="49" t="s">
        <v>433</v>
      </c>
      <c r="G497" s="48" t="s">
        <v>464</v>
      </c>
      <c r="H497" s="48" t="s">
        <v>464</v>
      </c>
      <c r="I497" s="56"/>
      <c r="J497" s="68" t="s">
        <v>514</v>
      </c>
      <c r="K497" s="68" t="s">
        <v>514</v>
      </c>
      <c r="L497" s="68"/>
    </row>
    <row r="498" spans="1:12" ht="16.2" x14ac:dyDescent="0.4">
      <c r="A498" s="15" t="str">
        <f t="shared" si="7"/>
        <v>lt002_instrumenttyp_instrmnt</v>
      </c>
      <c r="B498" s="54" t="s">
        <v>27</v>
      </c>
      <c r="C498" s="50" t="s">
        <v>27</v>
      </c>
      <c r="D498" s="46" t="s">
        <v>431</v>
      </c>
      <c r="E498" s="49" t="s">
        <v>290</v>
      </c>
      <c r="F498" s="49" t="s">
        <v>333</v>
      </c>
      <c r="G498" s="48" t="s">
        <v>464</v>
      </c>
      <c r="H498" s="48" t="s">
        <v>464</v>
      </c>
      <c r="I498" s="56"/>
      <c r="J498" s="68" t="s">
        <v>514</v>
      </c>
      <c r="K498" s="68" t="s">
        <v>514</v>
      </c>
      <c r="L498" s="68"/>
    </row>
    <row r="499" spans="1:12" ht="16.2" x14ac:dyDescent="0.4">
      <c r="A499" s="15" t="str">
        <f t="shared" si="7"/>
        <v>lt002_instrumentgrss_crryng_amnt_instrmnt</v>
      </c>
      <c r="B499" s="54" t="s">
        <v>27</v>
      </c>
      <c r="C499" s="50" t="s">
        <v>27</v>
      </c>
      <c r="D499" s="46" t="s">
        <v>431</v>
      </c>
      <c r="E499" s="49" t="s">
        <v>290</v>
      </c>
      <c r="F499" s="49" t="s">
        <v>324</v>
      </c>
      <c r="G499" s="48" t="s">
        <v>464</v>
      </c>
      <c r="H499" s="48" t="s">
        <v>464</v>
      </c>
      <c r="I499" s="56"/>
      <c r="J499" s="68" t="s">
        <v>514</v>
      </c>
      <c r="K499" s="68" t="s">
        <v>514</v>
      </c>
      <c r="L499" s="68"/>
    </row>
    <row r="500" spans="1:12" ht="16.2" x14ac:dyDescent="0.4">
      <c r="A500" s="15" t="str">
        <f t="shared" si="7"/>
        <v>lt002_instrumentaccmltd_chngs_fv_cr_instrmnt</v>
      </c>
      <c r="B500" s="54" t="s">
        <v>27</v>
      </c>
      <c r="C500" s="50" t="s">
        <v>27</v>
      </c>
      <c r="D500" s="46" t="s">
        <v>431</v>
      </c>
      <c r="E500" s="49" t="s">
        <v>290</v>
      </c>
      <c r="F500" s="49" t="s">
        <v>319</v>
      </c>
      <c r="G500" s="48" t="s">
        <v>464</v>
      </c>
      <c r="H500" s="48" t="s">
        <v>464</v>
      </c>
      <c r="I500" s="56"/>
      <c r="J500" s="68" t="s">
        <v>514</v>
      </c>
      <c r="K500" s="68" t="s">
        <v>514</v>
      </c>
      <c r="L500" s="68"/>
    </row>
    <row r="501" spans="1:12" ht="16.2" x14ac:dyDescent="0.4">
      <c r="A501" s="15" t="str">
        <f t="shared" si="7"/>
        <v>lt002_instrumentaccntng_clssfctn</v>
      </c>
      <c r="B501" s="54" t="s">
        <v>27</v>
      </c>
      <c r="C501" s="50" t="s">
        <v>27</v>
      </c>
      <c r="D501" s="46" t="s">
        <v>431</v>
      </c>
      <c r="E501" s="49" t="s">
        <v>290</v>
      </c>
      <c r="F501" s="49" t="s">
        <v>321</v>
      </c>
      <c r="G501" s="48" t="s">
        <v>464</v>
      </c>
      <c r="H501" s="48" t="s">
        <v>464</v>
      </c>
      <c r="I501" s="56"/>
      <c r="J501" s="68" t="s">
        <v>514</v>
      </c>
      <c r="K501" s="68" t="s">
        <v>514</v>
      </c>
      <c r="L501" s="68"/>
    </row>
    <row r="502" spans="1:12" ht="16.2" x14ac:dyDescent="0.4">
      <c r="A502" s="15" t="str">
        <f t="shared" si="7"/>
        <v>lt002_instrumentdt_lgl_fnl_mtrty</v>
      </c>
      <c r="B502" s="54" t="s">
        <v>27</v>
      </c>
      <c r="C502" s="50" t="s">
        <v>27</v>
      </c>
      <c r="D502" s="46" t="s">
        <v>431</v>
      </c>
      <c r="E502" s="49" t="s">
        <v>290</v>
      </c>
      <c r="F502" s="49" t="s">
        <v>434</v>
      </c>
      <c r="G502" s="48" t="s">
        <v>464</v>
      </c>
      <c r="H502" s="48" t="s">
        <v>464</v>
      </c>
      <c r="I502" s="56"/>
      <c r="J502" s="68" t="s">
        <v>514</v>
      </c>
      <c r="K502" s="68" t="s">
        <v>514</v>
      </c>
      <c r="L502" s="68"/>
    </row>
    <row r="503" spans="1:12" ht="16.2" x14ac:dyDescent="0.4">
      <c r="A503" s="15" t="str">
        <f t="shared" si="7"/>
        <v>lt002_instrumentaccmltd_imprmnt_instrmnt</v>
      </c>
      <c r="B503" s="54" t="s">
        <v>27</v>
      </c>
      <c r="C503" s="50" t="s">
        <v>27</v>
      </c>
      <c r="D503" s="46" t="s">
        <v>431</v>
      </c>
      <c r="E503" s="49" t="s">
        <v>290</v>
      </c>
      <c r="F503" s="49" t="s">
        <v>320</v>
      </c>
      <c r="G503" s="48" t="s">
        <v>464</v>
      </c>
      <c r="H503" s="48" t="s">
        <v>464</v>
      </c>
      <c r="I503" s="56"/>
      <c r="J503" s="68" t="s">
        <v>514</v>
      </c>
      <c r="K503" s="68" t="s">
        <v>514</v>
      </c>
      <c r="L503" s="68"/>
    </row>
    <row r="504" spans="1:12" ht="16.2" x14ac:dyDescent="0.4">
      <c r="A504" s="15" t="str">
        <f t="shared" si="7"/>
        <v>lt002_instrumentissr_cntry</v>
      </c>
      <c r="B504" s="54" t="s">
        <v>27</v>
      </c>
      <c r="C504" s="50" t="s">
        <v>27</v>
      </c>
      <c r="D504" s="46" t="s">
        <v>431</v>
      </c>
      <c r="E504" s="49" t="s">
        <v>290</v>
      </c>
      <c r="F504" s="49" t="s">
        <v>435</v>
      </c>
      <c r="G504" s="48" t="s">
        <v>464</v>
      </c>
      <c r="H504" s="48" t="s">
        <v>464</v>
      </c>
      <c r="I504" s="56"/>
      <c r="J504" s="68" t="s">
        <v>514</v>
      </c>
      <c r="K504" s="68" t="s">
        <v>514</v>
      </c>
      <c r="L504" s="68"/>
    </row>
    <row r="505" spans="1:12" ht="16.2" x14ac:dyDescent="0.4">
      <c r="A505" s="15" t="str">
        <f t="shared" si="7"/>
        <v>lt002_instrumentissr_nace_sctr</v>
      </c>
      <c r="B505" s="54" t="s">
        <v>27</v>
      </c>
      <c r="C505" s="50" t="s">
        <v>27</v>
      </c>
      <c r="D505" s="46" t="s">
        <v>431</v>
      </c>
      <c r="E505" s="49" t="s">
        <v>290</v>
      </c>
      <c r="F505" s="49" t="s">
        <v>436</v>
      </c>
      <c r="G505" s="48" t="s">
        <v>464</v>
      </c>
      <c r="H505" s="48" t="s">
        <v>464</v>
      </c>
      <c r="I505" s="56"/>
      <c r="J505" s="68" t="s">
        <v>514</v>
      </c>
      <c r="K505" s="68" t="s">
        <v>514</v>
      </c>
      <c r="L505" s="68"/>
    </row>
    <row r="506" spans="1:12" ht="16.2" x14ac:dyDescent="0.4">
      <c r="A506" s="15" t="str">
        <f t="shared" si="7"/>
        <v>lt002_instrumentprmry_asst_clssf</v>
      </c>
      <c r="B506" s="54" t="s">
        <v>27</v>
      </c>
      <c r="C506" s="50" t="s">
        <v>27</v>
      </c>
      <c r="D506" s="46" t="s">
        <v>431</v>
      </c>
      <c r="E506" s="49" t="s">
        <v>290</v>
      </c>
      <c r="F506" s="49" t="s">
        <v>437</v>
      </c>
      <c r="G506" s="48" t="s">
        <v>464</v>
      </c>
      <c r="H506" s="48" t="s">
        <v>464</v>
      </c>
      <c r="I506" s="56"/>
      <c r="J506" s="68" t="s">
        <v>514</v>
      </c>
      <c r="K506" s="68" t="s">
        <v>514</v>
      </c>
      <c r="L506" s="68"/>
    </row>
    <row r="507" spans="1:12" ht="16.2" x14ac:dyDescent="0.4">
      <c r="A507" s="15" t="str">
        <f t="shared" si="7"/>
        <v>lt002_instrumentsubportfolio_id</v>
      </c>
      <c r="B507" s="54" t="s">
        <v>27</v>
      </c>
      <c r="C507" s="50" t="s">
        <v>27</v>
      </c>
      <c r="D507" s="46" t="s">
        <v>431</v>
      </c>
      <c r="E507" s="49" t="s">
        <v>290</v>
      </c>
      <c r="F507" s="49" t="s">
        <v>332</v>
      </c>
      <c r="G507" s="48" t="s">
        <v>464</v>
      </c>
      <c r="H507" s="48" t="s">
        <v>464</v>
      </c>
      <c r="I507" s="56"/>
      <c r="J507" s="68" t="s">
        <v>514</v>
      </c>
      <c r="K507" s="68" t="s">
        <v>514</v>
      </c>
      <c r="L507" s="68"/>
    </row>
    <row r="508" spans="1:12" ht="16.2" x14ac:dyDescent="0.4">
      <c r="A508" s="15" t="str">
        <f t="shared" si="7"/>
        <v>lt002_instrumentcod_soc</v>
      </c>
      <c r="B508" s="54" t="s">
        <v>27</v>
      </c>
      <c r="C508" s="50" t="s">
        <v>27</v>
      </c>
      <c r="D508" s="46" t="s">
        <v>431</v>
      </c>
      <c r="E508" s="49" t="s">
        <v>290</v>
      </c>
      <c r="F508" s="49" t="s">
        <v>322</v>
      </c>
      <c r="G508" s="48" t="s">
        <v>464</v>
      </c>
      <c r="H508" s="48" t="s">
        <v>464</v>
      </c>
      <c r="I508" s="56"/>
      <c r="J508" s="68" t="s">
        <v>514</v>
      </c>
      <c r="K508" s="68" t="s">
        <v>514</v>
      </c>
      <c r="L508" s="68"/>
    </row>
    <row r="509" spans="1:12" ht="16.2" x14ac:dyDescent="0.4">
      <c r="A509" s="15" t="str">
        <f t="shared" si="7"/>
        <v>lt002_instrumentlcl_instmrnt_id</v>
      </c>
      <c r="B509" s="54" t="s">
        <v>27</v>
      </c>
      <c r="C509" s="50" t="s">
        <v>27</v>
      </c>
      <c r="D509" s="46" t="s">
        <v>431</v>
      </c>
      <c r="E509" s="49" t="s">
        <v>290</v>
      </c>
      <c r="F509" s="49" t="s">
        <v>328</v>
      </c>
      <c r="G509" s="48" t="s">
        <v>464</v>
      </c>
      <c r="H509" s="48" t="s">
        <v>464</v>
      </c>
      <c r="I509" s="56"/>
      <c r="J509" s="68" t="s">
        <v>514</v>
      </c>
      <c r="K509" s="68" t="s">
        <v>514</v>
      </c>
      <c r="L509" s="68"/>
    </row>
    <row r="510" spans="1:12" ht="16.2" x14ac:dyDescent="0.4">
      <c r="A510" s="15" t="str">
        <f t="shared" si="7"/>
        <v>lt002_instrumentsstnbl_indctr</v>
      </c>
      <c r="B510" s="54" t="s">
        <v>27</v>
      </c>
      <c r="C510" s="50" t="s">
        <v>27</v>
      </c>
      <c r="D510" s="46" t="s">
        <v>431</v>
      </c>
      <c r="E510" s="49" t="s">
        <v>290</v>
      </c>
      <c r="F510" s="49" t="s">
        <v>366</v>
      </c>
      <c r="G510" s="48" t="s">
        <v>464</v>
      </c>
      <c r="H510" s="48" t="s">
        <v>464</v>
      </c>
      <c r="I510" s="56"/>
      <c r="J510" s="68" t="s">
        <v>514</v>
      </c>
      <c r="K510" s="68" t="s">
        <v>514</v>
      </c>
      <c r="L510" s="68"/>
    </row>
    <row r="511" spans="1:12" ht="16.2" x14ac:dyDescent="0.4">
      <c r="A511" s="15" t="str">
        <f t="shared" si="7"/>
        <v>lt002_instrumentsstnbl_ctgry</v>
      </c>
      <c r="B511" s="54" t="s">
        <v>27</v>
      </c>
      <c r="C511" s="50" t="s">
        <v>27</v>
      </c>
      <c r="D511" s="46" t="s">
        <v>431</v>
      </c>
      <c r="E511" s="49" t="s">
        <v>290</v>
      </c>
      <c r="F511" s="49" t="s">
        <v>317</v>
      </c>
      <c r="G511" s="48" t="s">
        <v>464</v>
      </c>
      <c r="H511" s="48" t="s">
        <v>464</v>
      </c>
      <c r="I511" s="56"/>
      <c r="J511" s="68" t="s">
        <v>514</v>
      </c>
      <c r="K511" s="68" t="s">
        <v>514</v>
      </c>
      <c r="L511" s="68"/>
    </row>
    <row r="512" spans="1:12" ht="16.2" x14ac:dyDescent="0.4">
      <c r="A512" s="15" t="str">
        <f t="shared" si="7"/>
        <v>lt002_instrumentgrss_intrst_incm</v>
      </c>
      <c r="B512" s="54" t="s">
        <v>27</v>
      </c>
      <c r="C512" s="50" t="s">
        <v>27</v>
      </c>
      <c r="D512" s="46" t="s">
        <v>431</v>
      </c>
      <c r="E512" s="49" t="s">
        <v>290</v>
      </c>
      <c r="F512" s="49" t="s">
        <v>355</v>
      </c>
      <c r="G512" s="48" t="s">
        <v>464</v>
      </c>
      <c r="H512" s="48" t="s">
        <v>464</v>
      </c>
      <c r="I512" s="56"/>
      <c r="J512" s="68" t="s">
        <v>514</v>
      </c>
      <c r="K512" s="68" t="s">
        <v>514</v>
      </c>
      <c r="L512" s="68"/>
    </row>
    <row r="513" spans="1:12" ht="16.2" x14ac:dyDescent="0.4">
      <c r="A513" s="15" t="str">
        <f t="shared" si="7"/>
        <v>lt002_instrumentgrss_cmmssn_incm</v>
      </c>
      <c r="B513" s="54" t="s">
        <v>27</v>
      </c>
      <c r="C513" s="50" t="s">
        <v>27</v>
      </c>
      <c r="D513" s="46" t="s">
        <v>431</v>
      </c>
      <c r="E513" s="49" t="s">
        <v>290</v>
      </c>
      <c r="F513" s="49" t="s">
        <v>356</v>
      </c>
      <c r="G513" s="48" t="s">
        <v>464</v>
      </c>
      <c r="H513" s="48" t="s">
        <v>464</v>
      </c>
      <c r="I513" s="56"/>
      <c r="J513" s="68" t="s">
        <v>514</v>
      </c>
      <c r="K513" s="68" t="s">
        <v>514</v>
      </c>
      <c r="L513" s="68"/>
    </row>
    <row r="514" spans="1:12" ht="16.2" x14ac:dyDescent="0.4">
      <c r="A514" s="15" t="str">
        <f t="shared" si="7"/>
        <v>lt002_instrumentgrss_cmmssn_incm_off_blnc</v>
      </c>
      <c r="B514" s="54" t="s">
        <v>27</v>
      </c>
      <c r="C514" s="50" t="s">
        <v>27</v>
      </c>
      <c r="D514" s="46" t="s">
        <v>431</v>
      </c>
      <c r="E514" s="49" t="s">
        <v>290</v>
      </c>
      <c r="F514" s="49" t="s">
        <v>351</v>
      </c>
      <c r="G514" s="48" t="s">
        <v>464</v>
      </c>
      <c r="H514" s="48" t="s">
        <v>464</v>
      </c>
      <c r="I514" s="56"/>
      <c r="J514" s="68" t="s">
        <v>514</v>
      </c>
      <c r="K514" s="68" t="s">
        <v>514</v>
      </c>
      <c r="L514" s="68"/>
    </row>
    <row r="515" spans="1:12" ht="16.2" x14ac:dyDescent="0.4">
      <c r="A515" s="15" t="str">
        <f t="shared" si="7"/>
        <v>lt002_instrumentidcmb</v>
      </c>
      <c r="B515" s="54" t="s">
        <v>27</v>
      </c>
      <c r="C515" s="50" t="s">
        <v>27</v>
      </c>
      <c r="D515" s="46" t="s">
        <v>431</v>
      </c>
      <c r="E515" s="49" t="s">
        <v>290</v>
      </c>
      <c r="F515" s="49" t="s">
        <v>325</v>
      </c>
      <c r="G515" s="48" t="s">
        <v>464</v>
      </c>
      <c r="H515" s="48" t="s">
        <v>464</v>
      </c>
      <c r="I515" s="56"/>
      <c r="J515" s="68" t="s">
        <v>514</v>
      </c>
      <c r="K515" s="68" t="s">
        <v>514</v>
      </c>
      <c r="L515" s="68"/>
    </row>
    <row r="516" spans="1:12" ht="16.2" x14ac:dyDescent="0.4">
      <c r="A516" s="15" t="str">
        <f t="shared" si="7"/>
        <v>lt003_entitycntry</v>
      </c>
      <c r="B516" s="54" t="s">
        <v>27</v>
      </c>
      <c r="C516" s="50" t="s">
        <v>27</v>
      </c>
      <c r="D516" s="46" t="s">
        <v>431</v>
      </c>
      <c r="E516" s="49" t="s">
        <v>288</v>
      </c>
      <c r="F516" s="49" t="s">
        <v>438</v>
      </c>
      <c r="G516" s="48" t="s">
        <v>464</v>
      </c>
      <c r="H516" s="48" t="s">
        <v>464</v>
      </c>
      <c r="I516" s="56"/>
      <c r="J516" s="68" t="s">
        <v>514</v>
      </c>
      <c r="K516" s="68" t="s">
        <v>514</v>
      </c>
      <c r="L516" s="68"/>
    </row>
    <row r="517" spans="1:12" ht="16.2" x14ac:dyDescent="0.4">
      <c r="A517" s="15" t="str">
        <f t="shared" si="7"/>
        <v>lt003_entitydt_rfrnc</v>
      </c>
      <c r="B517" s="54" t="s">
        <v>27</v>
      </c>
      <c r="C517" s="50" t="s">
        <v>27</v>
      </c>
      <c r="D517" s="46" t="s">
        <v>431</v>
      </c>
      <c r="E517" s="49" t="s">
        <v>288</v>
      </c>
      <c r="F517" s="49" t="s">
        <v>323</v>
      </c>
      <c r="G517" s="48" t="s">
        <v>464</v>
      </c>
      <c r="H517" s="48" t="s">
        <v>464</v>
      </c>
      <c r="I517" s="56"/>
      <c r="J517" s="68" t="s">
        <v>514</v>
      </c>
      <c r="K517" s="68" t="s">
        <v>514</v>
      </c>
      <c r="L517" s="68"/>
    </row>
    <row r="518" spans="1:12" ht="16.2" x14ac:dyDescent="0.4">
      <c r="A518" s="15" t="str">
        <f t="shared" si="7"/>
        <v>lt003_entityentty_id</v>
      </c>
      <c r="B518" s="54" t="s">
        <v>27</v>
      </c>
      <c r="C518" s="50" t="s">
        <v>27</v>
      </c>
      <c r="D518" s="46" t="s">
        <v>431</v>
      </c>
      <c r="E518" s="49" t="s">
        <v>288</v>
      </c>
      <c r="F518" s="49" t="s">
        <v>439</v>
      </c>
      <c r="G518" s="48" t="s">
        <v>464</v>
      </c>
      <c r="H518" s="48" t="s">
        <v>464</v>
      </c>
      <c r="I518" s="56"/>
      <c r="J518" s="68" t="s">
        <v>514</v>
      </c>
      <c r="K518" s="68" t="s">
        <v>514</v>
      </c>
      <c r="L518" s="68"/>
    </row>
    <row r="519" spans="1:12" ht="16.2" x14ac:dyDescent="0.4">
      <c r="A519" s="15" t="str">
        <f t="shared" si="7"/>
        <v>lt003_entitylei</v>
      </c>
      <c r="B519" s="54" t="s">
        <v>27</v>
      </c>
      <c r="C519" s="50" t="s">
        <v>27</v>
      </c>
      <c r="D519" s="46" t="s">
        <v>431</v>
      </c>
      <c r="E519" s="49" t="s">
        <v>288</v>
      </c>
      <c r="F519" s="49" t="s">
        <v>440</v>
      </c>
      <c r="G519" s="48" t="s">
        <v>464</v>
      </c>
      <c r="H519" s="48" t="s">
        <v>464</v>
      </c>
      <c r="I519" s="56"/>
      <c r="J519" s="68" t="s">
        <v>514</v>
      </c>
      <c r="K519" s="68" t="s">
        <v>514</v>
      </c>
      <c r="L519" s="68"/>
    </row>
    <row r="520" spans="1:12" ht="16.2" x14ac:dyDescent="0.4">
      <c r="A520" s="15" t="str">
        <f t="shared" ref="A520:A583" si="8">E520&amp;F520</f>
        <v>lt003_entityecnmc_actvty</v>
      </c>
      <c r="B520" s="54" t="s">
        <v>27</v>
      </c>
      <c r="C520" s="50" t="s">
        <v>27</v>
      </c>
      <c r="D520" s="46" t="s">
        <v>431</v>
      </c>
      <c r="E520" s="49" t="s">
        <v>288</v>
      </c>
      <c r="F520" s="49" t="s">
        <v>441</v>
      </c>
      <c r="G520" s="48" t="s">
        <v>464</v>
      </c>
      <c r="H520" s="48" t="s">
        <v>464</v>
      </c>
      <c r="I520" s="56"/>
      <c r="J520" s="68" t="s">
        <v>514</v>
      </c>
      <c r="K520" s="68" t="s">
        <v>514</v>
      </c>
      <c r="L520" s="68"/>
    </row>
    <row r="521" spans="1:12" ht="16.2" x14ac:dyDescent="0.4">
      <c r="A521" s="15" t="str">
        <f t="shared" si="8"/>
        <v>lt003_entitygrp_eqty</v>
      </c>
      <c r="B521" s="54" t="s">
        <v>27</v>
      </c>
      <c r="C521" s="50" t="s">
        <v>27</v>
      </c>
      <c r="D521" s="46" t="s">
        <v>431</v>
      </c>
      <c r="E521" s="49" t="s">
        <v>288</v>
      </c>
      <c r="F521" s="49" t="s">
        <v>442</v>
      </c>
      <c r="G521" s="48" t="s">
        <v>464</v>
      </c>
      <c r="H521" s="48" t="s">
        <v>464</v>
      </c>
      <c r="I521" s="56"/>
      <c r="J521" s="68" t="s">
        <v>514</v>
      </c>
      <c r="K521" s="68" t="s">
        <v>514</v>
      </c>
      <c r="L521" s="68"/>
    </row>
    <row r="522" spans="1:12" ht="16.2" x14ac:dyDescent="0.4">
      <c r="A522" s="15" t="str">
        <f t="shared" si="8"/>
        <v>lt003_entityannl_trnvr_le</v>
      </c>
      <c r="B522" s="54" t="s">
        <v>27</v>
      </c>
      <c r="C522" s="50" t="s">
        <v>27</v>
      </c>
      <c r="D522" s="46" t="s">
        <v>431</v>
      </c>
      <c r="E522" s="49" t="s">
        <v>288</v>
      </c>
      <c r="F522" s="49" t="s">
        <v>443</v>
      </c>
      <c r="G522" s="48" t="s">
        <v>464</v>
      </c>
      <c r="H522" s="48" t="s">
        <v>464</v>
      </c>
      <c r="I522" s="56"/>
      <c r="J522" s="68" t="s">
        <v>514</v>
      </c>
      <c r="K522" s="68" t="s">
        <v>514</v>
      </c>
      <c r="L522" s="68"/>
    </row>
    <row r="523" spans="1:12" ht="16.2" x14ac:dyDescent="0.4">
      <c r="A523" s="15" t="str">
        <f t="shared" si="8"/>
        <v>lt003_entityeqty</v>
      </c>
      <c r="B523" s="54" t="s">
        <v>27</v>
      </c>
      <c r="C523" s="50" t="s">
        <v>27</v>
      </c>
      <c r="D523" s="46" t="s">
        <v>431</v>
      </c>
      <c r="E523" s="49" t="s">
        <v>288</v>
      </c>
      <c r="F523" s="49" t="s">
        <v>444</v>
      </c>
      <c r="G523" s="48" t="s">
        <v>464</v>
      </c>
      <c r="H523" s="48" t="s">
        <v>464</v>
      </c>
      <c r="I523" s="56"/>
      <c r="J523" s="68" t="s">
        <v>514</v>
      </c>
      <c r="K523" s="68" t="s">
        <v>514</v>
      </c>
      <c r="L523" s="68"/>
    </row>
    <row r="524" spans="1:12" ht="16.2" x14ac:dyDescent="0.4">
      <c r="A524" s="15" t="str">
        <f t="shared" si="8"/>
        <v>lt003_entitygrp_ttl_dbt</v>
      </c>
      <c r="B524" s="54" t="s">
        <v>27</v>
      </c>
      <c r="C524" s="50" t="s">
        <v>27</v>
      </c>
      <c r="D524" s="46" t="s">
        <v>431</v>
      </c>
      <c r="E524" s="49" t="s">
        <v>288</v>
      </c>
      <c r="F524" s="49" t="s">
        <v>445</v>
      </c>
      <c r="G524" s="48" t="s">
        <v>464</v>
      </c>
      <c r="H524" s="48" t="s">
        <v>464</v>
      </c>
      <c r="I524" s="56"/>
      <c r="J524" s="68" t="s">
        <v>514</v>
      </c>
      <c r="K524" s="68" t="s">
        <v>514</v>
      </c>
      <c r="L524" s="68"/>
    </row>
    <row r="525" spans="1:12" ht="16.2" x14ac:dyDescent="0.4">
      <c r="A525" s="15" t="str">
        <f t="shared" si="8"/>
        <v>lt003_entityttl_dbt</v>
      </c>
      <c r="B525" s="54" t="s">
        <v>27</v>
      </c>
      <c r="C525" s="50" t="s">
        <v>27</v>
      </c>
      <c r="D525" s="46" t="s">
        <v>431</v>
      </c>
      <c r="E525" s="49" t="s">
        <v>288</v>
      </c>
      <c r="F525" s="49" t="s">
        <v>446</v>
      </c>
      <c r="G525" s="48" t="s">
        <v>464</v>
      </c>
      <c r="H525" s="48" t="s">
        <v>464</v>
      </c>
      <c r="I525" s="56"/>
      <c r="J525" s="68" t="s">
        <v>514</v>
      </c>
      <c r="K525" s="68" t="s">
        <v>514</v>
      </c>
      <c r="L525" s="68"/>
    </row>
    <row r="526" spans="1:12" ht="16.2" x14ac:dyDescent="0.4">
      <c r="A526" s="15" t="str">
        <f t="shared" si="8"/>
        <v>lt003_entitycod_soc</v>
      </c>
      <c r="B526" s="54" t="s">
        <v>27</v>
      </c>
      <c r="C526" s="50" t="s">
        <v>27</v>
      </c>
      <c r="D526" s="46" t="s">
        <v>431</v>
      </c>
      <c r="E526" s="49" t="s">
        <v>288</v>
      </c>
      <c r="F526" s="49" t="s">
        <v>322</v>
      </c>
      <c r="G526" s="48" t="s">
        <v>464</v>
      </c>
      <c r="H526" s="48" t="s">
        <v>464</v>
      </c>
      <c r="I526" s="56"/>
      <c r="J526" s="68" t="s">
        <v>514</v>
      </c>
      <c r="K526" s="68" t="s">
        <v>514</v>
      </c>
      <c r="L526" s="68"/>
    </row>
    <row r="527" spans="1:12" ht="16.2" x14ac:dyDescent="0.4">
      <c r="A527" s="15" t="str">
        <f t="shared" si="8"/>
        <v>lt004_protectiondt_rfrnc</v>
      </c>
      <c r="B527" s="54" t="s">
        <v>27</v>
      </c>
      <c r="C527" s="50" t="s">
        <v>27</v>
      </c>
      <c r="D527" s="46" t="s">
        <v>431</v>
      </c>
      <c r="E527" s="49" t="s">
        <v>289</v>
      </c>
      <c r="F527" s="49" t="s">
        <v>323</v>
      </c>
      <c r="G527" s="48" t="s">
        <v>464</v>
      </c>
      <c r="H527" s="48" t="s">
        <v>464</v>
      </c>
      <c r="I527" s="56"/>
      <c r="J527" s="68" t="s">
        <v>514</v>
      </c>
      <c r="K527" s="68" t="s">
        <v>514</v>
      </c>
      <c r="L527" s="68"/>
    </row>
    <row r="528" spans="1:12" ht="16.2" x14ac:dyDescent="0.4">
      <c r="A528" s="15" t="str">
        <f t="shared" si="8"/>
        <v>lt004_protectionprtctn_id</v>
      </c>
      <c r="B528" s="54" t="s">
        <v>27</v>
      </c>
      <c r="C528" s="50" t="s">
        <v>27</v>
      </c>
      <c r="D528" s="46" t="s">
        <v>431</v>
      </c>
      <c r="E528" s="49" t="s">
        <v>289</v>
      </c>
      <c r="F528" s="49" t="s">
        <v>447</v>
      </c>
      <c r="G528" s="48" t="s">
        <v>464</v>
      </c>
      <c r="H528" s="48" t="s">
        <v>464</v>
      </c>
      <c r="I528" s="56"/>
      <c r="J528" s="68" t="s">
        <v>514</v>
      </c>
      <c r="K528" s="68" t="s">
        <v>514</v>
      </c>
      <c r="L528" s="68"/>
    </row>
    <row r="529" spans="1:12" ht="16.2" x14ac:dyDescent="0.4">
      <c r="A529" s="15" t="str">
        <f t="shared" si="8"/>
        <v>lt004_protectionrl_estt_clltrl_lctn</v>
      </c>
      <c r="B529" s="54" t="s">
        <v>27</v>
      </c>
      <c r="C529" s="50" t="s">
        <v>27</v>
      </c>
      <c r="D529" s="46" t="s">
        <v>431</v>
      </c>
      <c r="E529" s="49" t="s">
        <v>289</v>
      </c>
      <c r="F529" s="49" t="s">
        <v>448</v>
      </c>
      <c r="G529" s="48" t="s">
        <v>464</v>
      </c>
      <c r="H529" s="48" t="s">
        <v>464</v>
      </c>
      <c r="I529" s="56"/>
      <c r="J529" s="68" t="s">
        <v>514</v>
      </c>
      <c r="K529" s="68" t="s">
        <v>514</v>
      </c>
      <c r="L529" s="68"/>
    </row>
    <row r="530" spans="1:12" ht="16.2" x14ac:dyDescent="0.4">
      <c r="A530" s="15" t="str">
        <f t="shared" si="8"/>
        <v>lt004_protectionrl_estt_pst_cd</v>
      </c>
      <c r="B530" s="54" t="s">
        <v>27</v>
      </c>
      <c r="C530" s="50" t="s">
        <v>27</v>
      </c>
      <c r="D530" s="46" t="s">
        <v>431</v>
      </c>
      <c r="E530" s="49" t="s">
        <v>289</v>
      </c>
      <c r="F530" s="49" t="s">
        <v>449</v>
      </c>
      <c r="G530" s="48" t="s">
        <v>464</v>
      </c>
      <c r="H530" s="48" t="s">
        <v>464</v>
      </c>
      <c r="I530" s="56"/>
      <c r="J530" s="68" t="s">
        <v>514</v>
      </c>
      <c r="K530" s="68" t="s">
        <v>514</v>
      </c>
      <c r="L530" s="68"/>
    </row>
    <row r="531" spans="1:12" ht="16.2" x14ac:dyDescent="0.4">
      <c r="A531" s="15" t="str">
        <f t="shared" si="8"/>
        <v>lt004_protectiontyp_prtctn</v>
      </c>
      <c r="B531" s="54" t="s">
        <v>27</v>
      </c>
      <c r="C531" s="50" t="s">
        <v>27</v>
      </c>
      <c r="D531" s="46" t="s">
        <v>431</v>
      </c>
      <c r="E531" s="49" t="s">
        <v>289</v>
      </c>
      <c r="F531" s="49" t="s">
        <v>450</v>
      </c>
      <c r="G531" s="48" t="s">
        <v>464</v>
      </c>
      <c r="H531" s="48" t="s">
        <v>464</v>
      </c>
      <c r="I531" s="56"/>
      <c r="J531" s="68" t="s">
        <v>514</v>
      </c>
      <c r="K531" s="68" t="s">
        <v>514</v>
      </c>
      <c r="L531" s="68"/>
    </row>
    <row r="532" spans="1:12" ht="16.2" x14ac:dyDescent="0.4">
      <c r="A532" s="15" t="str">
        <f t="shared" si="8"/>
        <v>lt004_protectionorgnl_prtctn_vl</v>
      </c>
      <c r="B532" s="54" t="s">
        <v>27</v>
      </c>
      <c r="C532" s="50" t="s">
        <v>27</v>
      </c>
      <c r="D532" s="46" t="s">
        <v>431</v>
      </c>
      <c r="E532" s="49" t="s">
        <v>289</v>
      </c>
      <c r="F532" s="49" t="s">
        <v>451</v>
      </c>
      <c r="G532" s="48" t="s">
        <v>464</v>
      </c>
      <c r="H532" s="48" t="s">
        <v>464</v>
      </c>
      <c r="I532" s="56"/>
      <c r="J532" s="68" t="s">
        <v>514</v>
      </c>
      <c r="K532" s="68" t="s">
        <v>514</v>
      </c>
      <c r="L532" s="68"/>
    </row>
    <row r="533" spans="1:12" ht="16.2" x14ac:dyDescent="0.4">
      <c r="A533" s="15" t="str">
        <f t="shared" si="8"/>
        <v>lt004_protectionprtctn_vl</v>
      </c>
      <c r="B533" s="54" t="s">
        <v>27</v>
      </c>
      <c r="C533" s="50" t="s">
        <v>27</v>
      </c>
      <c r="D533" s="46" t="s">
        <v>431</v>
      </c>
      <c r="E533" s="49" t="s">
        <v>289</v>
      </c>
      <c r="F533" s="49" t="s">
        <v>452</v>
      </c>
      <c r="G533" s="48" t="s">
        <v>464</v>
      </c>
      <c r="H533" s="48" t="s">
        <v>464</v>
      </c>
      <c r="I533" s="56"/>
      <c r="J533" s="68" t="s">
        <v>514</v>
      </c>
      <c r="K533" s="68" t="s">
        <v>514</v>
      </c>
      <c r="L533" s="68"/>
    </row>
    <row r="534" spans="1:12" ht="16.2" x14ac:dyDescent="0.4">
      <c r="A534" s="15" t="str">
        <f t="shared" si="8"/>
        <v>lt004_protectioncod_soc</v>
      </c>
      <c r="B534" s="54" t="s">
        <v>27</v>
      </c>
      <c r="C534" s="50" t="s">
        <v>27</v>
      </c>
      <c r="D534" s="46" t="s">
        <v>431</v>
      </c>
      <c r="E534" s="49" t="s">
        <v>289</v>
      </c>
      <c r="F534" s="49" t="s">
        <v>322</v>
      </c>
      <c r="G534" s="48" t="s">
        <v>464</v>
      </c>
      <c r="H534" s="48" t="s">
        <v>464</v>
      </c>
      <c r="I534" s="56"/>
      <c r="J534" s="68" t="s">
        <v>514</v>
      </c>
      <c r="K534" s="68" t="s">
        <v>514</v>
      </c>
      <c r="L534" s="68"/>
    </row>
    <row r="535" spans="1:12" ht="16.2" x14ac:dyDescent="0.4">
      <c r="A535" s="15" t="str">
        <f t="shared" si="8"/>
        <v>lt005_instr_entdt_rfrnc</v>
      </c>
      <c r="B535" s="54" t="s">
        <v>27</v>
      </c>
      <c r="C535" s="50" t="s">
        <v>27</v>
      </c>
      <c r="D535" s="46" t="s">
        <v>431</v>
      </c>
      <c r="E535" s="49" t="s">
        <v>453</v>
      </c>
      <c r="F535" s="49" t="s">
        <v>323</v>
      </c>
      <c r="G535" s="48" t="s">
        <v>464</v>
      </c>
      <c r="H535" s="48" t="s">
        <v>464</v>
      </c>
      <c r="I535" s="56"/>
      <c r="J535" s="68" t="s">
        <v>514</v>
      </c>
      <c r="K535" s="68" t="s">
        <v>514</v>
      </c>
      <c r="L535" s="68"/>
    </row>
    <row r="536" spans="1:12" ht="16.2" x14ac:dyDescent="0.4">
      <c r="A536" s="15" t="str">
        <f t="shared" si="8"/>
        <v>lt005_instr_ententty_id</v>
      </c>
      <c r="B536" s="54" t="s">
        <v>27</v>
      </c>
      <c r="C536" s="50" t="s">
        <v>27</v>
      </c>
      <c r="D536" s="46" t="s">
        <v>431</v>
      </c>
      <c r="E536" s="49" t="s">
        <v>453</v>
      </c>
      <c r="F536" s="49" t="s">
        <v>439</v>
      </c>
      <c r="G536" s="48" t="s">
        <v>464</v>
      </c>
      <c r="H536" s="48" t="s">
        <v>464</v>
      </c>
      <c r="I536" s="56"/>
      <c r="J536" s="68" t="s">
        <v>514</v>
      </c>
      <c r="K536" s="68" t="s">
        <v>514</v>
      </c>
      <c r="L536" s="68"/>
    </row>
    <row r="537" spans="1:12" ht="16.2" x14ac:dyDescent="0.4">
      <c r="A537" s="15" t="str">
        <f t="shared" si="8"/>
        <v>lt005_instr_entinstrmnt_id</v>
      </c>
      <c r="B537" s="54" t="s">
        <v>27</v>
      </c>
      <c r="C537" s="50" t="s">
        <v>27</v>
      </c>
      <c r="D537" s="46" t="s">
        <v>431</v>
      </c>
      <c r="E537" s="49" t="s">
        <v>453</v>
      </c>
      <c r="F537" s="49" t="s">
        <v>327</v>
      </c>
      <c r="G537" s="48" t="s">
        <v>464</v>
      </c>
      <c r="H537" s="48" t="s">
        <v>464</v>
      </c>
      <c r="I537" s="56"/>
      <c r="J537" s="68" t="s">
        <v>514</v>
      </c>
      <c r="K537" s="68" t="s">
        <v>514</v>
      </c>
      <c r="L537" s="68"/>
    </row>
    <row r="538" spans="1:12" ht="16.2" x14ac:dyDescent="0.4">
      <c r="A538" s="15" t="str">
        <f t="shared" si="8"/>
        <v>lt005_instr_entcod_soc</v>
      </c>
      <c r="B538" s="54" t="s">
        <v>27</v>
      </c>
      <c r="C538" s="50" t="s">
        <v>27</v>
      </c>
      <c r="D538" s="46" t="s">
        <v>431</v>
      </c>
      <c r="E538" s="49" t="s">
        <v>453</v>
      </c>
      <c r="F538" s="49" t="s">
        <v>322</v>
      </c>
      <c r="G538" s="48" t="s">
        <v>464</v>
      </c>
      <c r="H538" s="48" t="s">
        <v>464</v>
      </c>
      <c r="I538" s="56"/>
      <c r="J538" s="68" t="s">
        <v>514</v>
      </c>
      <c r="K538" s="68" t="s">
        <v>514</v>
      </c>
      <c r="L538" s="68"/>
    </row>
    <row r="539" spans="1:12" ht="16.2" x14ac:dyDescent="0.4">
      <c r="A539" s="15" t="str">
        <f t="shared" si="8"/>
        <v>lt005_instr_entmn_entty_id</v>
      </c>
      <c r="B539" s="54" t="s">
        <v>27</v>
      </c>
      <c r="C539" s="50" t="s">
        <v>27</v>
      </c>
      <c r="D539" s="46" t="s">
        <v>431</v>
      </c>
      <c r="E539" s="49" t="s">
        <v>453</v>
      </c>
      <c r="F539" s="49" t="s">
        <v>455</v>
      </c>
      <c r="G539" s="48" t="s">
        <v>464</v>
      </c>
      <c r="H539" s="48" t="s">
        <v>464</v>
      </c>
      <c r="I539" s="56"/>
      <c r="J539" s="68" t="s">
        <v>514</v>
      </c>
      <c r="K539" s="68" t="s">
        <v>514</v>
      </c>
      <c r="L539" s="68"/>
    </row>
    <row r="540" spans="1:12" ht="16.2" x14ac:dyDescent="0.4">
      <c r="A540" s="15" t="str">
        <f t="shared" si="8"/>
        <v>lt006_instr_protdt_rfrnc</v>
      </c>
      <c r="B540" s="54" t="s">
        <v>27</v>
      </c>
      <c r="C540" s="50" t="s">
        <v>27</v>
      </c>
      <c r="D540" s="46" t="s">
        <v>431</v>
      </c>
      <c r="E540" s="49" t="s">
        <v>454</v>
      </c>
      <c r="F540" s="49" t="s">
        <v>323</v>
      </c>
      <c r="G540" s="48" t="s">
        <v>464</v>
      </c>
      <c r="H540" s="48" t="s">
        <v>464</v>
      </c>
      <c r="I540" s="56"/>
      <c r="J540" s="68" t="s">
        <v>514</v>
      </c>
      <c r="K540" s="68" t="s">
        <v>514</v>
      </c>
      <c r="L540" s="68"/>
    </row>
    <row r="541" spans="1:12" ht="16.2" x14ac:dyDescent="0.4">
      <c r="A541" s="15" t="str">
        <f t="shared" si="8"/>
        <v>lt006_instr_protinstrmnt_id</v>
      </c>
      <c r="B541" s="54" t="s">
        <v>27</v>
      </c>
      <c r="C541" s="50" t="s">
        <v>27</v>
      </c>
      <c r="D541" s="46" t="s">
        <v>431</v>
      </c>
      <c r="E541" s="49" t="s">
        <v>454</v>
      </c>
      <c r="F541" s="49" t="s">
        <v>327</v>
      </c>
      <c r="G541" s="48" t="s">
        <v>464</v>
      </c>
      <c r="H541" s="48" t="s">
        <v>464</v>
      </c>
      <c r="I541" s="56"/>
      <c r="J541" s="68" t="s">
        <v>514</v>
      </c>
      <c r="K541" s="68" t="s">
        <v>514</v>
      </c>
      <c r="L541" s="68"/>
    </row>
    <row r="542" spans="1:12" ht="16.2" x14ac:dyDescent="0.4">
      <c r="A542" s="15" t="str">
        <f t="shared" si="8"/>
        <v>lt006_instr_protprtctn_id</v>
      </c>
      <c r="B542" s="54" t="s">
        <v>27</v>
      </c>
      <c r="C542" s="50" t="s">
        <v>27</v>
      </c>
      <c r="D542" s="46" t="s">
        <v>431</v>
      </c>
      <c r="E542" s="49" t="s">
        <v>454</v>
      </c>
      <c r="F542" s="49" t="s">
        <v>447</v>
      </c>
      <c r="G542" s="48" t="s">
        <v>464</v>
      </c>
      <c r="H542" s="48" t="s">
        <v>464</v>
      </c>
      <c r="I542" s="56"/>
      <c r="J542" s="68" t="s">
        <v>514</v>
      </c>
      <c r="K542" s="68" t="s">
        <v>514</v>
      </c>
      <c r="L542" s="68"/>
    </row>
    <row r="543" spans="1:12" ht="16.2" x14ac:dyDescent="0.4">
      <c r="A543" s="15" t="str">
        <f t="shared" si="8"/>
        <v>lt006_instr_protprtctn_allctd_vl</v>
      </c>
      <c r="B543" s="54" t="s">
        <v>27</v>
      </c>
      <c r="C543" s="50" t="s">
        <v>27</v>
      </c>
      <c r="D543" s="46" t="s">
        <v>431</v>
      </c>
      <c r="E543" s="49" t="s">
        <v>454</v>
      </c>
      <c r="F543" s="49" t="s">
        <v>456</v>
      </c>
      <c r="G543" s="48" t="s">
        <v>464</v>
      </c>
      <c r="H543" s="48" t="s">
        <v>464</v>
      </c>
      <c r="I543" s="56"/>
      <c r="J543" s="68" t="s">
        <v>514</v>
      </c>
      <c r="K543" s="68" t="s">
        <v>514</v>
      </c>
      <c r="L543" s="68"/>
    </row>
    <row r="544" spans="1:12" ht="16.2" x14ac:dyDescent="0.4">
      <c r="A544" s="15" t="str">
        <f t="shared" si="8"/>
        <v>lt006_instr_protcod_soc</v>
      </c>
      <c r="B544" s="54" t="s">
        <v>27</v>
      </c>
      <c r="C544" s="50" t="s">
        <v>27</v>
      </c>
      <c r="D544" s="46" t="s">
        <v>431</v>
      </c>
      <c r="E544" s="49" t="s">
        <v>454</v>
      </c>
      <c r="F544" s="49" t="s">
        <v>322</v>
      </c>
      <c r="G544" s="48" t="s">
        <v>464</v>
      </c>
      <c r="H544" s="48" t="s">
        <v>464</v>
      </c>
      <c r="I544" s="56"/>
      <c r="J544" s="68" t="s">
        <v>514</v>
      </c>
      <c r="K544" s="68" t="s">
        <v>514</v>
      </c>
      <c r="L544" s="68"/>
    </row>
    <row r="545" spans="1:12" ht="16.2" x14ac:dyDescent="0.4">
      <c r="A545" s="15" t="str">
        <f t="shared" si="8"/>
        <v>lt002_insrmntn.a.</v>
      </c>
      <c r="B545" s="54" t="s">
        <v>5</v>
      </c>
      <c r="C545" s="50" t="s">
        <v>5</v>
      </c>
      <c r="D545" s="46" t="s">
        <v>430</v>
      </c>
      <c r="E545" s="49" t="s">
        <v>308</v>
      </c>
      <c r="F545" s="49" t="s">
        <v>7</v>
      </c>
      <c r="G545" s="48" t="s">
        <v>429</v>
      </c>
      <c r="H545" s="48" t="s">
        <v>429</v>
      </c>
      <c r="I545" s="56"/>
      <c r="J545" s="68" t="s">
        <v>514</v>
      </c>
      <c r="K545" s="68" t="s">
        <v>514</v>
      </c>
      <c r="L545" s="68"/>
    </row>
    <row r="546" spans="1:12" ht="16.2" x14ac:dyDescent="0.4">
      <c r="A546" s="15" t="str">
        <f t="shared" si="8"/>
        <v>lt002_insrmntsstnbl_ctgry</v>
      </c>
      <c r="B546" s="54" t="s">
        <v>5</v>
      </c>
      <c r="C546" s="50" t="s">
        <v>5</v>
      </c>
      <c r="D546" s="46" t="s">
        <v>431</v>
      </c>
      <c r="E546" s="49" t="s">
        <v>308</v>
      </c>
      <c r="F546" s="49" t="s">
        <v>317</v>
      </c>
      <c r="G546" s="48" t="s">
        <v>462</v>
      </c>
      <c r="H546" s="48" t="s">
        <v>462</v>
      </c>
      <c r="I546" s="56"/>
      <c r="J546" s="68" t="s">
        <v>514</v>
      </c>
      <c r="K546" s="68" t="s">
        <v>514</v>
      </c>
      <c r="L546" s="68"/>
    </row>
    <row r="547" spans="1:12" ht="16.2" x14ac:dyDescent="0.4">
      <c r="A547" s="15" t="str">
        <f t="shared" si="8"/>
        <v>lt002_insrmntdflt_stts_instrmnt</v>
      </c>
      <c r="B547" s="54" t="s">
        <v>5</v>
      </c>
      <c r="C547" s="50" t="s">
        <v>5</v>
      </c>
      <c r="D547" s="46" t="s">
        <v>431</v>
      </c>
      <c r="E547" s="49" t="s">
        <v>308</v>
      </c>
      <c r="F547" s="49" t="s">
        <v>318</v>
      </c>
      <c r="G547" s="48" t="s">
        <v>425</v>
      </c>
      <c r="H547" s="48" t="s">
        <v>425</v>
      </c>
      <c r="I547" s="56"/>
      <c r="J547" s="68" t="s">
        <v>514</v>
      </c>
      <c r="K547" s="68" t="s">
        <v>514</v>
      </c>
      <c r="L547" s="68"/>
    </row>
    <row r="548" spans="1:12" ht="16.2" x14ac:dyDescent="0.4">
      <c r="A548" s="15" t="str">
        <f t="shared" si="8"/>
        <v>lt002_insrmntaccmltd_chngs_fv_cr_instrmnt</v>
      </c>
      <c r="B548" s="54" t="s">
        <v>5</v>
      </c>
      <c r="C548" s="50" t="s">
        <v>5</v>
      </c>
      <c r="D548" s="46" t="s">
        <v>431</v>
      </c>
      <c r="E548" s="49" t="s">
        <v>308</v>
      </c>
      <c r="F548" s="49" t="s">
        <v>319</v>
      </c>
      <c r="G548" s="48" t="s">
        <v>425</v>
      </c>
      <c r="H548" s="48" t="s">
        <v>425</v>
      </c>
      <c r="I548" s="56"/>
      <c r="J548" s="68" t="s">
        <v>514</v>
      </c>
      <c r="K548" s="68" t="s">
        <v>514</v>
      </c>
      <c r="L548" s="68"/>
    </row>
    <row r="549" spans="1:12" ht="16.2" x14ac:dyDescent="0.4">
      <c r="A549" s="15" t="str">
        <f t="shared" si="8"/>
        <v>lt002_insrmntaccmltd_imprmnt_instrmnt</v>
      </c>
      <c r="B549" s="54" t="s">
        <v>5</v>
      </c>
      <c r="C549" s="50" t="s">
        <v>5</v>
      </c>
      <c r="D549" s="46" t="s">
        <v>431</v>
      </c>
      <c r="E549" s="49" t="s">
        <v>308</v>
      </c>
      <c r="F549" s="49" t="s">
        <v>320</v>
      </c>
      <c r="G549" s="48" t="s">
        <v>425</v>
      </c>
      <c r="H549" s="48" t="s">
        <v>425</v>
      </c>
      <c r="I549" s="56"/>
      <c r="J549" s="68" t="s">
        <v>514</v>
      </c>
      <c r="K549" s="68" t="s">
        <v>514</v>
      </c>
      <c r="L549" s="68"/>
    </row>
    <row r="550" spans="1:12" ht="16.2" x14ac:dyDescent="0.4">
      <c r="A550" s="15" t="str">
        <f t="shared" si="8"/>
        <v>lt002_insrmntaccntng_clssfctn</v>
      </c>
      <c r="B550" s="54" t="s">
        <v>5</v>
      </c>
      <c r="C550" s="50" t="s">
        <v>5</v>
      </c>
      <c r="D550" s="46" t="s">
        <v>431</v>
      </c>
      <c r="E550" s="49" t="s">
        <v>308</v>
      </c>
      <c r="F550" s="49" t="s">
        <v>321</v>
      </c>
      <c r="G550" s="48" t="s">
        <v>425</v>
      </c>
      <c r="H550" s="48" t="s">
        <v>425</v>
      </c>
      <c r="I550" s="56"/>
      <c r="J550" s="68" t="s">
        <v>514</v>
      </c>
      <c r="K550" s="68" t="s">
        <v>514</v>
      </c>
      <c r="L550" s="68"/>
    </row>
    <row r="551" spans="1:12" ht="16.2" x14ac:dyDescent="0.4">
      <c r="A551" s="15" t="str">
        <f t="shared" si="8"/>
        <v>lt002_insrmntcod_soc</v>
      </c>
      <c r="B551" s="54" t="s">
        <v>5</v>
      </c>
      <c r="C551" s="50" t="s">
        <v>5</v>
      </c>
      <c r="D551" s="46" t="s">
        <v>431</v>
      </c>
      <c r="E551" s="49" t="s">
        <v>308</v>
      </c>
      <c r="F551" s="49" t="s">
        <v>322</v>
      </c>
      <c r="G551" s="48" t="s">
        <v>425</v>
      </c>
      <c r="H551" s="48" t="s">
        <v>425</v>
      </c>
      <c r="I551" s="56"/>
      <c r="J551" s="68" t="s">
        <v>514</v>
      </c>
      <c r="K551" s="68" t="s">
        <v>514</v>
      </c>
      <c r="L551" s="68"/>
    </row>
    <row r="552" spans="1:12" ht="16.2" x14ac:dyDescent="0.4">
      <c r="A552" s="15" t="str">
        <f t="shared" si="8"/>
        <v>lt002_insrmntdt_rfrnc</v>
      </c>
      <c r="B552" s="54" t="s">
        <v>5</v>
      </c>
      <c r="C552" s="50" t="s">
        <v>5</v>
      </c>
      <c r="D552" s="46" t="s">
        <v>431</v>
      </c>
      <c r="E552" s="49" t="s">
        <v>308</v>
      </c>
      <c r="F552" s="49" t="s">
        <v>323</v>
      </c>
      <c r="G552" s="48" t="s">
        <v>425</v>
      </c>
      <c r="H552" s="48" t="s">
        <v>425</v>
      </c>
      <c r="I552" s="56"/>
      <c r="J552" s="68" t="s">
        <v>514</v>
      </c>
      <c r="K552" s="68" t="s">
        <v>514</v>
      </c>
      <c r="L552" s="68"/>
    </row>
    <row r="553" spans="1:12" ht="16.2" x14ac:dyDescent="0.4">
      <c r="A553" s="15" t="str">
        <f t="shared" si="8"/>
        <v>lt002_insrmntgrss_crryng_amnt_instrmnt</v>
      </c>
      <c r="B553" s="54" t="s">
        <v>5</v>
      </c>
      <c r="C553" s="50" t="s">
        <v>5</v>
      </c>
      <c r="D553" s="46" t="s">
        <v>431</v>
      </c>
      <c r="E553" s="49" t="s">
        <v>308</v>
      </c>
      <c r="F553" s="49" t="s">
        <v>324</v>
      </c>
      <c r="G553" s="48" t="s">
        <v>425</v>
      </c>
      <c r="H553" s="48" t="s">
        <v>425</v>
      </c>
      <c r="I553" s="56"/>
      <c r="J553" s="68" t="s">
        <v>514</v>
      </c>
      <c r="K553" s="68" t="s">
        <v>514</v>
      </c>
      <c r="L553" s="68"/>
    </row>
    <row r="554" spans="1:12" ht="16.2" x14ac:dyDescent="0.4">
      <c r="A554" s="15" t="str">
        <f t="shared" si="8"/>
        <v>lt002_insrmntidcmb</v>
      </c>
      <c r="B554" s="54" t="s">
        <v>5</v>
      </c>
      <c r="C554" s="50" t="s">
        <v>5</v>
      </c>
      <c r="D554" s="46" t="s">
        <v>431</v>
      </c>
      <c r="E554" s="49" t="s">
        <v>308</v>
      </c>
      <c r="F554" s="49" t="s">
        <v>325</v>
      </c>
      <c r="G554" s="48" t="s">
        <v>425</v>
      </c>
      <c r="H554" s="48" t="s">
        <v>425</v>
      </c>
      <c r="I554" s="56"/>
      <c r="J554" s="68" t="s">
        <v>514</v>
      </c>
      <c r="K554" s="68" t="s">
        <v>514</v>
      </c>
      <c r="L554" s="68"/>
    </row>
    <row r="555" spans="1:12" ht="16.2" x14ac:dyDescent="0.4">
      <c r="A555" s="15" t="str">
        <f t="shared" si="8"/>
        <v>lt002_insrmntimprmnt_stts</v>
      </c>
      <c r="B555" s="54" t="s">
        <v>5</v>
      </c>
      <c r="C555" s="50" t="s">
        <v>5</v>
      </c>
      <c r="D555" s="46" t="s">
        <v>431</v>
      </c>
      <c r="E555" s="49" t="s">
        <v>308</v>
      </c>
      <c r="F555" s="49" t="s">
        <v>326</v>
      </c>
      <c r="G555" s="48" t="s">
        <v>425</v>
      </c>
      <c r="H555" s="48" t="s">
        <v>425</v>
      </c>
      <c r="I555" s="56"/>
      <c r="J555" s="68" t="s">
        <v>514</v>
      </c>
      <c r="K555" s="68" t="s">
        <v>514</v>
      </c>
      <c r="L555" s="68"/>
    </row>
    <row r="556" spans="1:12" ht="16.2" x14ac:dyDescent="0.4">
      <c r="A556" s="15" t="str">
        <f t="shared" si="8"/>
        <v>lt002_insrmntinstrmnt_id</v>
      </c>
      <c r="B556" s="54" t="s">
        <v>5</v>
      </c>
      <c r="C556" s="50" t="s">
        <v>5</v>
      </c>
      <c r="D556" s="46" t="s">
        <v>431</v>
      </c>
      <c r="E556" s="49" t="s">
        <v>308</v>
      </c>
      <c r="F556" s="49" t="s">
        <v>327</v>
      </c>
      <c r="G556" s="48" t="s">
        <v>429</v>
      </c>
      <c r="H556" s="48" t="s">
        <v>429</v>
      </c>
      <c r="I556" s="56"/>
      <c r="J556" s="68" t="s">
        <v>514</v>
      </c>
      <c r="K556" s="68" t="s">
        <v>514</v>
      </c>
      <c r="L556" s="68"/>
    </row>
    <row r="557" spans="1:12" ht="16.2" x14ac:dyDescent="0.4">
      <c r="A557" s="15" t="str">
        <f t="shared" si="8"/>
        <v>lt002_insrmntlcl_instmrnt_id</v>
      </c>
      <c r="B557" s="54" t="s">
        <v>5</v>
      </c>
      <c r="C557" s="50" t="s">
        <v>5</v>
      </c>
      <c r="D557" s="46" t="s">
        <v>431</v>
      </c>
      <c r="E557" s="49" t="s">
        <v>308</v>
      </c>
      <c r="F557" s="49" t="s">
        <v>328</v>
      </c>
      <c r="G557" s="48" t="s">
        <v>425</v>
      </c>
      <c r="H557" s="48" t="s">
        <v>425</v>
      </c>
      <c r="I557" s="56"/>
      <c r="J557" s="68" t="s">
        <v>514</v>
      </c>
      <c r="K557" s="68" t="s">
        <v>514</v>
      </c>
      <c r="L557" s="68"/>
    </row>
    <row r="558" spans="1:12" ht="16.2" x14ac:dyDescent="0.4">
      <c r="A558" s="15" t="str">
        <f t="shared" si="8"/>
        <v>lt002_insrmntoff_blnc_sht_amnt_instrmnt</v>
      </c>
      <c r="B558" s="54" t="s">
        <v>5</v>
      </c>
      <c r="C558" s="50" t="s">
        <v>5</v>
      </c>
      <c r="D558" s="46" t="s">
        <v>431</v>
      </c>
      <c r="E558" s="49" t="s">
        <v>308</v>
      </c>
      <c r="F558" s="49" t="s">
        <v>329</v>
      </c>
      <c r="G558" s="48" t="s">
        <v>425</v>
      </c>
      <c r="H558" s="48" t="s">
        <v>425</v>
      </c>
      <c r="I558" s="56"/>
      <c r="J558" s="68" t="s">
        <v>514</v>
      </c>
      <c r="K558" s="68" t="s">
        <v>514</v>
      </c>
      <c r="L558" s="68"/>
    </row>
    <row r="559" spans="1:12" ht="16.2" x14ac:dyDescent="0.4">
      <c r="A559" s="15" t="str">
        <f t="shared" si="8"/>
        <v>lt002_insrmntprfrmng_stts</v>
      </c>
      <c r="B559" s="54" t="s">
        <v>5</v>
      </c>
      <c r="C559" s="50" t="s">
        <v>5</v>
      </c>
      <c r="D559" s="46" t="s">
        <v>431</v>
      </c>
      <c r="E559" s="49" t="s">
        <v>308</v>
      </c>
      <c r="F559" s="49" t="s">
        <v>330</v>
      </c>
      <c r="G559" s="48" t="s">
        <v>425</v>
      </c>
      <c r="H559" s="48" t="s">
        <v>425</v>
      </c>
      <c r="I559" s="56"/>
      <c r="J559" s="68" t="s">
        <v>514</v>
      </c>
      <c r="K559" s="68" t="s">
        <v>514</v>
      </c>
      <c r="L559" s="68"/>
    </row>
    <row r="560" spans="1:12" ht="16.2" x14ac:dyDescent="0.4">
      <c r="A560" s="15" t="str">
        <f t="shared" si="8"/>
        <v>lt002_insrmntprvsns_off_blnc_sht</v>
      </c>
      <c r="B560" s="54" t="s">
        <v>5</v>
      </c>
      <c r="C560" s="50" t="s">
        <v>5</v>
      </c>
      <c r="D560" s="46" t="s">
        <v>431</v>
      </c>
      <c r="E560" s="49" t="s">
        <v>308</v>
      </c>
      <c r="F560" s="49" t="s">
        <v>331</v>
      </c>
      <c r="G560" s="48" t="s">
        <v>425</v>
      </c>
      <c r="H560" s="48" t="s">
        <v>425</v>
      </c>
      <c r="I560" s="56"/>
      <c r="J560" s="68" t="s">
        <v>514</v>
      </c>
      <c r="K560" s="68" t="s">
        <v>514</v>
      </c>
      <c r="L560" s="68"/>
    </row>
    <row r="561" spans="1:12" ht="16.2" x14ac:dyDescent="0.4">
      <c r="A561" s="15" t="str">
        <f t="shared" si="8"/>
        <v>lt002_insrmntsubportfolio_id</v>
      </c>
      <c r="B561" s="54" t="s">
        <v>5</v>
      </c>
      <c r="C561" s="50" t="s">
        <v>5</v>
      </c>
      <c r="D561" s="46" t="s">
        <v>431</v>
      </c>
      <c r="E561" s="49" t="s">
        <v>308</v>
      </c>
      <c r="F561" s="49" t="s">
        <v>332</v>
      </c>
      <c r="G561" s="48" t="s">
        <v>425</v>
      </c>
      <c r="H561" s="48" t="s">
        <v>425</v>
      </c>
      <c r="I561" s="56"/>
      <c r="J561" s="68" t="s">
        <v>514</v>
      </c>
      <c r="K561" s="68" t="s">
        <v>514</v>
      </c>
      <c r="L561" s="68"/>
    </row>
    <row r="562" spans="1:12" ht="16.2" x14ac:dyDescent="0.4">
      <c r="A562" s="15" t="str">
        <f t="shared" si="8"/>
        <v>lt002_insrmnttyp_instrmnt</v>
      </c>
      <c r="B562" s="54" t="s">
        <v>5</v>
      </c>
      <c r="C562" s="50" t="s">
        <v>5</v>
      </c>
      <c r="D562" s="46" t="s">
        <v>431</v>
      </c>
      <c r="E562" s="49" t="s">
        <v>308</v>
      </c>
      <c r="F562" s="49" t="s">
        <v>333</v>
      </c>
      <c r="G562" s="48" t="s">
        <v>425</v>
      </c>
      <c r="H562" s="48" t="s">
        <v>425</v>
      </c>
      <c r="I562" s="56"/>
      <c r="J562" s="68" t="s">
        <v>514</v>
      </c>
      <c r="K562" s="68" t="s">
        <v>514</v>
      </c>
      <c r="L562" s="68"/>
    </row>
    <row r="563" spans="1:12" ht="16.2" x14ac:dyDescent="0.4">
      <c r="A563" s="15" t="str">
        <f t="shared" si="8"/>
        <v>lt002_insrmntrwa</v>
      </c>
      <c r="B563" s="54" t="s">
        <v>5</v>
      </c>
      <c r="C563" s="50" t="s">
        <v>5</v>
      </c>
      <c r="D563" s="46" t="s">
        <v>431</v>
      </c>
      <c r="E563" s="49" t="s">
        <v>308</v>
      </c>
      <c r="F563" s="49" t="s">
        <v>334</v>
      </c>
      <c r="G563" s="48" t="s">
        <v>425</v>
      </c>
      <c r="H563" s="48" t="s">
        <v>425</v>
      </c>
      <c r="I563" s="56"/>
      <c r="J563" s="68" t="s">
        <v>514</v>
      </c>
      <c r="K563" s="68" t="s">
        <v>514</v>
      </c>
      <c r="L563" s="68"/>
    </row>
    <row r="564" spans="1:12" ht="16.2" x14ac:dyDescent="0.4">
      <c r="A564" s="15" t="str">
        <f t="shared" si="8"/>
        <v>lt002_insrmntcod_soc_intrgrp</v>
      </c>
      <c r="B564" s="54" t="s">
        <v>5</v>
      </c>
      <c r="C564" s="50" t="s">
        <v>5</v>
      </c>
      <c r="D564" s="46" t="s">
        <v>431</v>
      </c>
      <c r="E564" s="49" t="s">
        <v>308</v>
      </c>
      <c r="F564" s="49" t="s">
        <v>335</v>
      </c>
      <c r="G564" s="48" t="s">
        <v>425</v>
      </c>
      <c r="H564" s="48" t="s">
        <v>425</v>
      </c>
      <c r="I564" s="56"/>
      <c r="J564" s="68" t="s">
        <v>514</v>
      </c>
      <c r="K564" s="68" t="s">
        <v>514</v>
      </c>
      <c r="L564" s="68"/>
    </row>
    <row r="565" spans="1:12" ht="16.2" x14ac:dyDescent="0.4">
      <c r="A565" s="15" t="str">
        <f t="shared" si="8"/>
        <v>lt002_insrmntbsnss_area_dstntn</v>
      </c>
      <c r="B565" s="54" t="s">
        <v>5</v>
      </c>
      <c r="C565" s="50" t="s">
        <v>5</v>
      </c>
      <c r="D565" s="46" t="s">
        <v>431</v>
      </c>
      <c r="E565" s="49" t="s">
        <v>308</v>
      </c>
      <c r="F565" s="49" t="s">
        <v>336</v>
      </c>
      <c r="G565" s="48" t="s">
        <v>425</v>
      </c>
      <c r="H565" s="48" t="s">
        <v>425</v>
      </c>
      <c r="I565" s="56"/>
      <c r="J565" s="68" t="s">
        <v>514</v>
      </c>
      <c r="K565" s="68" t="s">
        <v>514</v>
      </c>
      <c r="L565" s="68"/>
    </row>
    <row r="566" spans="1:12" ht="16.2" x14ac:dyDescent="0.4">
      <c r="A566" s="15" t="str">
        <f t="shared" si="8"/>
        <v>lt002_insrmntflg_intrbsnss</v>
      </c>
      <c r="B566" s="54" t="s">
        <v>5</v>
      </c>
      <c r="C566" s="50" t="s">
        <v>5</v>
      </c>
      <c r="D566" s="46" t="s">
        <v>431</v>
      </c>
      <c r="E566" s="49" t="s">
        <v>308</v>
      </c>
      <c r="F566" s="49" t="s">
        <v>337</v>
      </c>
      <c r="G566" s="48" t="s">
        <v>425</v>
      </c>
      <c r="H566" s="48" t="s">
        <v>425</v>
      </c>
      <c r="I566" s="56"/>
      <c r="J566" s="68" t="s">
        <v>514</v>
      </c>
      <c r="K566" s="68" t="s">
        <v>514</v>
      </c>
      <c r="L566" s="68"/>
    </row>
    <row r="567" spans="1:12" ht="16.2" x14ac:dyDescent="0.4">
      <c r="A567" s="15" t="str">
        <f t="shared" si="8"/>
        <v>lt002_insrmntintrbsnss_adj_cod</v>
      </c>
      <c r="B567" s="54" t="s">
        <v>5</v>
      </c>
      <c r="C567" s="50" t="s">
        <v>5</v>
      </c>
      <c r="D567" s="46" t="s">
        <v>431</v>
      </c>
      <c r="E567" s="49" t="s">
        <v>308</v>
      </c>
      <c r="F567" s="49" t="s">
        <v>338</v>
      </c>
      <c r="G567" s="48" t="s">
        <v>425</v>
      </c>
      <c r="H567" s="48" t="s">
        <v>425</v>
      </c>
      <c r="I567" s="56"/>
      <c r="J567" s="68" t="s">
        <v>514</v>
      </c>
      <c r="K567" s="68" t="s">
        <v>514</v>
      </c>
      <c r="L567" s="68"/>
    </row>
    <row r="568" spans="1:12" ht="16.2" x14ac:dyDescent="0.4">
      <c r="A568" s="15" t="str">
        <f t="shared" si="8"/>
        <v>lt002_insrmntcod_soc_dstntn</v>
      </c>
      <c r="B568" s="54" t="s">
        <v>5</v>
      </c>
      <c r="C568" s="50" t="s">
        <v>5</v>
      </c>
      <c r="D568" s="46" t="s">
        <v>431</v>
      </c>
      <c r="E568" s="49" t="s">
        <v>308</v>
      </c>
      <c r="F568" s="49" t="s">
        <v>339</v>
      </c>
      <c r="G568" s="48" t="s">
        <v>425</v>
      </c>
      <c r="H568" s="48" t="s">
        <v>425</v>
      </c>
      <c r="I568" s="56"/>
      <c r="J568" s="68" t="s">
        <v>514</v>
      </c>
      <c r="K568" s="68" t="s">
        <v>514</v>
      </c>
      <c r="L568" s="68"/>
    </row>
    <row r="569" spans="1:12" ht="16.2" x14ac:dyDescent="0.4">
      <c r="A569" s="15" t="str">
        <f t="shared" si="8"/>
        <v>lt002_insrmntrwa_off_blnc</v>
      </c>
      <c r="B569" s="54" t="s">
        <v>5</v>
      </c>
      <c r="C569" s="50" t="s">
        <v>5</v>
      </c>
      <c r="D569" s="46" t="s">
        <v>431</v>
      </c>
      <c r="E569" s="49" t="s">
        <v>308</v>
      </c>
      <c r="F569" s="49" t="s">
        <v>340</v>
      </c>
      <c r="G569" s="48" t="s">
        <v>425</v>
      </c>
      <c r="H569" s="48" t="s">
        <v>425</v>
      </c>
      <c r="I569" s="56"/>
      <c r="J569" s="68" t="s">
        <v>514</v>
      </c>
      <c r="K569" s="68" t="s">
        <v>514</v>
      </c>
      <c r="L569" s="68"/>
    </row>
    <row r="570" spans="1:12" ht="16.2" x14ac:dyDescent="0.4">
      <c r="A570" s="15" t="str">
        <f t="shared" si="8"/>
        <v>lt002_insrmntintrnl_trnsfr_rt_off_blnc</v>
      </c>
      <c r="B570" s="54" t="s">
        <v>5</v>
      </c>
      <c r="C570" s="50" t="s">
        <v>5</v>
      </c>
      <c r="D570" s="46" t="s">
        <v>431</v>
      </c>
      <c r="E570" s="49" t="s">
        <v>308</v>
      </c>
      <c r="F570" s="49" t="s">
        <v>341</v>
      </c>
      <c r="G570" s="48" t="s">
        <v>425</v>
      </c>
      <c r="H570" s="48" t="s">
        <v>425</v>
      </c>
      <c r="I570" s="56"/>
      <c r="J570" s="68" t="s">
        <v>514</v>
      </c>
      <c r="K570" s="68" t="s">
        <v>514</v>
      </c>
      <c r="L570" s="68"/>
    </row>
    <row r="571" spans="1:12" ht="16.2" x14ac:dyDescent="0.4">
      <c r="A571" s="15" t="str">
        <f t="shared" si="8"/>
        <v>lt002_insrmntbsnss_area</v>
      </c>
      <c r="B571" s="54" t="s">
        <v>5</v>
      </c>
      <c r="C571" s="50" t="s">
        <v>5</v>
      </c>
      <c r="D571" s="46" t="s">
        <v>431</v>
      </c>
      <c r="E571" s="49" t="s">
        <v>308</v>
      </c>
      <c r="F571" s="49" t="s">
        <v>342</v>
      </c>
      <c r="G571" s="48" t="s">
        <v>429</v>
      </c>
      <c r="H571" s="48" t="s">
        <v>429</v>
      </c>
      <c r="I571" s="56"/>
      <c r="J571" s="68" t="s">
        <v>514</v>
      </c>
      <c r="K571" s="68" t="s">
        <v>514</v>
      </c>
      <c r="L571" s="68"/>
    </row>
    <row r="572" spans="1:12" ht="16.2" x14ac:dyDescent="0.4">
      <c r="A572" s="15" t="str">
        <f t="shared" si="8"/>
        <v>lt002_insrmntavrg_blnc</v>
      </c>
      <c r="B572" s="54" t="s">
        <v>5</v>
      </c>
      <c r="C572" s="50" t="s">
        <v>5</v>
      </c>
      <c r="D572" s="46" t="s">
        <v>431</v>
      </c>
      <c r="E572" s="49" t="s">
        <v>308</v>
      </c>
      <c r="F572" s="49" t="s">
        <v>343</v>
      </c>
      <c r="G572" s="48" t="s">
        <v>429</v>
      </c>
      <c r="H572" s="48" t="s">
        <v>429</v>
      </c>
      <c r="I572" s="56"/>
      <c r="J572" s="68" t="s">
        <v>514</v>
      </c>
      <c r="K572" s="68" t="s">
        <v>514</v>
      </c>
      <c r="L572" s="68"/>
    </row>
    <row r="573" spans="1:12" ht="16.2" x14ac:dyDescent="0.4">
      <c r="A573" s="15" t="str">
        <f t="shared" si="8"/>
        <v>lt002_insrmntnt_ln_lss_prvsn</v>
      </c>
      <c r="B573" s="54" t="s">
        <v>5</v>
      </c>
      <c r="C573" s="50" t="s">
        <v>5</v>
      </c>
      <c r="D573" s="46" t="s">
        <v>431</v>
      </c>
      <c r="E573" s="49" t="s">
        <v>308</v>
      </c>
      <c r="F573" s="49" t="s">
        <v>344</v>
      </c>
      <c r="G573" s="48" t="s">
        <v>429</v>
      </c>
      <c r="H573" s="48" t="s">
        <v>429</v>
      </c>
      <c r="I573" s="56"/>
      <c r="J573" s="68" t="s">
        <v>514</v>
      </c>
      <c r="K573" s="68" t="s">
        <v>514</v>
      </c>
      <c r="L573" s="68"/>
    </row>
    <row r="574" spans="1:12" ht="16.2" x14ac:dyDescent="0.4">
      <c r="A574" s="15" t="str">
        <f t="shared" si="8"/>
        <v>lt002_insrmntmngmnt_prdct</v>
      </c>
      <c r="B574" s="54" t="s">
        <v>5</v>
      </c>
      <c r="C574" s="50" t="s">
        <v>5</v>
      </c>
      <c r="D574" s="46" t="s">
        <v>431</v>
      </c>
      <c r="E574" s="49" t="s">
        <v>308</v>
      </c>
      <c r="F574" s="49" t="s">
        <v>345</v>
      </c>
      <c r="G574" s="48" t="s">
        <v>429</v>
      </c>
      <c r="H574" s="48" t="s">
        <v>429</v>
      </c>
      <c r="I574" s="56"/>
      <c r="J574" s="68" t="s">
        <v>514</v>
      </c>
      <c r="K574" s="68" t="s">
        <v>514</v>
      </c>
      <c r="L574" s="68"/>
    </row>
    <row r="575" spans="1:12" ht="16.2" x14ac:dyDescent="0.4">
      <c r="A575" s="15" t="str">
        <f t="shared" si="8"/>
        <v>lt002_insrmntnw_bsnss</v>
      </c>
      <c r="B575" s="54" t="s">
        <v>5</v>
      </c>
      <c r="C575" s="50" t="s">
        <v>5</v>
      </c>
      <c r="D575" s="46" t="s">
        <v>431</v>
      </c>
      <c r="E575" s="49" t="s">
        <v>308</v>
      </c>
      <c r="F575" s="49" t="s">
        <v>346</v>
      </c>
      <c r="G575" s="48" t="s">
        <v>429</v>
      </c>
      <c r="H575" s="48" t="s">
        <v>429</v>
      </c>
      <c r="I575" s="56"/>
      <c r="J575" s="68" t="s">
        <v>514</v>
      </c>
      <c r="K575" s="68" t="s">
        <v>514</v>
      </c>
      <c r="L575" s="68"/>
    </row>
    <row r="576" spans="1:12" ht="16.2" x14ac:dyDescent="0.4">
      <c r="A576" s="15" t="str">
        <f t="shared" si="8"/>
        <v>lt002_insrmntgrss_intrst_incm_ccrr</v>
      </c>
      <c r="B576" s="54" t="s">
        <v>5</v>
      </c>
      <c r="C576" s="50" t="s">
        <v>5</v>
      </c>
      <c r="D576" s="46" t="s">
        <v>431</v>
      </c>
      <c r="E576" s="49" t="s">
        <v>308</v>
      </c>
      <c r="F576" s="49" t="s">
        <v>347</v>
      </c>
      <c r="G576" s="48" t="s">
        <v>429</v>
      </c>
      <c r="H576" s="48" t="s">
        <v>429</v>
      </c>
      <c r="I576" s="56"/>
      <c r="J576" s="68" t="s">
        <v>514</v>
      </c>
      <c r="K576" s="68" t="s">
        <v>514</v>
      </c>
      <c r="L576" s="68"/>
    </row>
    <row r="577" spans="1:12" ht="16.2" x14ac:dyDescent="0.4">
      <c r="A577" s="15" t="str">
        <f t="shared" si="8"/>
        <v>lt002_insrmntnt_ln_lss_prvsn_off_blnc</v>
      </c>
      <c r="B577" s="54" t="s">
        <v>5</v>
      </c>
      <c r="C577" s="50" t="s">
        <v>5</v>
      </c>
      <c r="D577" s="46" t="s">
        <v>431</v>
      </c>
      <c r="E577" s="49" t="s">
        <v>308</v>
      </c>
      <c r="F577" s="49" t="s">
        <v>348</v>
      </c>
      <c r="G577" s="48" t="s">
        <v>429</v>
      </c>
      <c r="H577" s="48" t="s">
        <v>429</v>
      </c>
      <c r="I577" s="56"/>
      <c r="J577" s="68" t="s">
        <v>514</v>
      </c>
      <c r="K577" s="68" t="s">
        <v>514</v>
      </c>
      <c r="L577" s="68"/>
    </row>
    <row r="578" spans="1:12" ht="16.2" x14ac:dyDescent="0.4">
      <c r="A578" s="15" t="str">
        <f t="shared" si="8"/>
        <v>lt002_insrmntavrg_blnc_off_blnc</v>
      </c>
      <c r="B578" s="54" t="s">
        <v>5</v>
      </c>
      <c r="C578" s="50" t="s">
        <v>5</v>
      </c>
      <c r="D578" s="46" t="s">
        <v>431</v>
      </c>
      <c r="E578" s="49" t="s">
        <v>308</v>
      </c>
      <c r="F578" s="49" t="s">
        <v>349</v>
      </c>
      <c r="G578" s="48" t="s">
        <v>429</v>
      </c>
      <c r="H578" s="48" t="s">
        <v>429</v>
      </c>
      <c r="I578" s="56"/>
      <c r="J578" s="68" t="s">
        <v>514</v>
      </c>
      <c r="K578" s="68" t="s">
        <v>514</v>
      </c>
      <c r="L578" s="68"/>
    </row>
    <row r="579" spans="1:12" ht="16.2" x14ac:dyDescent="0.4">
      <c r="A579" s="15" t="str">
        <f t="shared" si="8"/>
        <v>lt002_insrmntbsnss_area_ccrr</v>
      </c>
      <c r="B579" s="54" t="s">
        <v>5</v>
      </c>
      <c r="C579" s="50" t="s">
        <v>5</v>
      </c>
      <c r="D579" s="46" t="s">
        <v>431</v>
      </c>
      <c r="E579" s="49" t="s">
        <v>308</v>
      </c>
      <c r="F579" s="49" t="s">
        <v>350</v>
      </c>
      <c r="G579" s="48" t="s">
        <v>429</v>
      </c>
      <c r="H579" s="48" t="s">
        <v>429</v>
      </c>
      <c r="I579" s="56"/>
      <c r="J579" s="68" t="s">
        <v>514</v>
      </c>
      <c r="K579" s="68" t="s">
        <v>514</v>
      </c>
      <c r="L579" s="68"/>
    </row>
    <row r="580" spans="1:12" ht="16.2" x14ac:dyDescent="0.4">
      <c r="A580" s="15" t="str">
        <f t="shared" si="8"/>
        <v>lt002_insrmntgrss_cmmssn_incm_off_blnc</v>
      </c>
      <c r="B580" s="54" t="s">
        <v>5</v>
      </c>
      <c r="C580" s="50" t="s">
        <v>5</v>
      </c>
      <c r="D580" s="46" t="s">
        <v>431</v>
      </c>
      <c r="E580" s="49" t="s">
        <v>308</v>
      </c>
      <c r="F580" s="49" t="s">
        <v>351</v>
      </c>
      <c r="G580" s="48" t="s">
        <v>429</v>
      </c>
      <c r="H580" s="48" t="s">
        <v>429</v>
      </c>
      <c r="I580" s="56"/>
      <c r="J580" s="68" t="s">
        <v>514</v>
      </c>
      <c r="K580" s="68" t="s">
        <v>514</v>
      </c>
      <c r="L580" s="68"/>
    </row>
    <row r="581" spans="1:12" ht="16.2" x14ac:dyDescent="0.4">
      <c r="A581" s="15" t="str">
        <f t="shared" si="8"/>
        <v>lt002_insrmntgrss_cmmssn_expns_off_blnc_ccrr</v>
      </c>
      <c r="B581" s="54" t="s">
        <v>5</v>
      </c>
      <c r="C581" s="50" t="s">
        <v>5</v>
      </c>
      <c r="D581" s="46" t="s">
        <v>431</v>
      </c>
      <c r="E581" s="49" t="s">
        <v>308</v>
      </c>
      <c r="F581" s="49" t="s">
        <v>352</v>
      </c>
      <c r="G581" s="48" t="s">
        <v>429</v>
      </c>
      <c r="H581" s="48" t="s">
        <v>429</v>
      </c>
      <c r="I581" s="56"/>
      <c r="J581" s="68" t="s">
        <v>514</v>
      </c>
      <c r="K581" s="68" t="s">
        <v>514</v>
      </c>
      <c r="L581" s="68"/>
    </row>
    <row r="582" spans="1:12" ht="16.2" x14ac:dyDescent="0.4">
      <c r="A582" s="15" t="str">
        <f t="shared" si="8"/>
        <v>lt002_insrmntgrss_cmmssn_expns_off_blnc</v>
      </c>
      <c r="B582" s="54" t="s">
        <v>5</v>
      </c>
      <c r="C582" s="50" t="s">
        <v>5</v>
      </c>
      <c r="D582" s="46" t="s">
        <v>431</v>
      </c>
      <c r="E582" s="49" t="s">
        <v>308</v>
      </c>
      <c r="F582" s="49" t="s">
        <v>353</v>
      </c>
      <c r="G582" s="48" t="s">
        <v>429</v>
      </c>
      <c r="H582" s="48" t="s">
        <v>429</v>
      </c>
      <c r="I582" s="56"/>
      <c r="J582" s="68" t="s">
        <v>514</v>
      </c>
      <c r="K582" s="68" t="s">
        <v>514</v>
      </c>
      <c r="L582" s="68"/>
    </row>
    <row r="583" spans="1:12" ht="16.2" x14ac:dyDescent="0.4">
      <c r="A583" s="15" t="str">
        <f t="shared" si="8"/>
        <v>lt002_insrmntgrss_cmmssn_incm_off_blnc_ccrr</v>
      </c>
      <c r="B583" s="54" t="s">
        <v>5</v>
      </c>
      <c r="C583" s="50" t="s">
        <v>5</v>
      </c>
      <c r="D583" s="46" t="s">
        <v>431</v>
      </c>
      <c r="E583" s="49" t="s">
        <v>308</v>
      </c>
      <c r="F583" s="49" t="s">
        <v>354</v>
      </c>
      <c r="G583" s="48" t="s">
        <v>429</v>
      </c>
      <c r="H583" s="48" t="s">
        <v>429</v>
      </c>
      <c r="I583" s="56"/>
      <c r="J583" s="68" t="s">
        <v>514</v>
      </c>
      <c r="K583" s="68" t="s">
        <v>514</v>
      </c>
      <c r="L583" s="68"/>
    </row>
    <row r="584" spans="1:12" ht="16.2" x14ac:dyDescent="0.4">
      <c r="A584" s="15" t="str">
        <f t="shared" ref="A584:A605" si="9">E584&amp;F584</f>
        <v>lt002_insrmntgrss_intrst_incm</v>
      </c>
      <c r="B584" s="54" t="s">
        <v>5</v>
      </c>
      <c r="C584" s="50" t="s">
        <v>5</v>
      </c>
      <c r="D584" s="46" t="s">
        <v>431</v>
      </c>
      <c r="E584" s="49" t="s">
        <v>308</v>
      </c>
      <c r="F584" s="49" t="s">
        <v>355</v>
      </c>
      <c r="G584" s="48" t="s">
        <v>429</v>
      </c>
      <c r="H584" s="48" t="s">
        <v>429</v>
      </c>
      <c r="I584" s="56"/>
      <c r="J584" s="68" t="s">
        <v>514</v>
      </c>
      <c r="K584" s="68" t="s">
        <v>514</v>
      </c>
      <c r="L584" s="68"/>
    </row>
    <row r="585" spans="1:12" ht="16.2" x14ac:dyDescent="0.4">
      <c r="A585" s="15" t="str">
        <f t="shared" si="9"/>
        <v>lt002_insrmntgrss_cmmssn_incm</v>
      </c>
      <c r="B585" s="54" t="s">
        <v>5</v>
      </c>
      <c r="C585" s="50" t="s">
        <v>5</v>
      </c>
      <c r="D585" s="46" t="s">
        <v>431</v>
      </c>
      <c r="E585" s="49" t="s">
        <v>308</v>
      </c>
      <c r="F585" s="49" t="s">
        <v>356</v>
      </c>
      <c r="G585" s="48" t="s">
        <v>429</v>
      </c>
      <c r="H585" s="48" t="s">
        <v>429</v>
      </c>
      <c r="I585" s="56"/>
      <c r="J585" s="68" t="s">
        <v>514</v>
      </c>
      <c r="K585" s="68" t="s">
        <v>514</v>
      </c>
      <c r="L585" s="68"/>
    </row>
    <row r="586" spans="1:12" ht="16.2" x14ac:dyDescent="0.4">
      <c r="A586" s="15" t="str">
        <f t="shared" si="9"/>
        <v>lt002_insrmntgrss_cmmssn_incm_ccrr</v>
      </c>
      <c r="B586" s="54" t="s">
        <v>5</v>
      </c>
      <c r="C586" s="50" t="s">
        <v>5</v>
      </c>
      <c r="D586" s="46" t="s">
        <v>431</v>
      </c>
      <c r="E586" s="49" t="s">
        <v>308</v>
      </c>
      <c r="F586" s="49" t="s">
        <v>357</v>
      </c>
      <c r="G586" s="48" t="s">
        <v>429</v>
      </c>
      <c r="H586" s="48" t="s">
        <v>429</v>
      </c>
      <c r="I586" s="56"/>
      <c r="J586" s="68" t="s">
        <v>514</v>
      </c>
      <c r="K586" s="68" t="s">
        <v>514</v>
      </c>
      <c r="L586" s="68"/>
    </row>
    <row r="587" spans="1:12" ht="16.2" x14ac:dyDescent="0.4">
      <c r="A587" s="15" t="str">
        <f t="shared" si="9"/>
        <v>lt002_insrmntintrnl_trnsfr_rt</v>
      </c>
      <c r="B587" s="54" t="s">
        <v>5</v>
      </c>
      <c r="C587" s="50" t="s">
        <v>5</v>
      </c>
      <c r="D587" s="46" t="s">
        <v>431</v>
      </c>
      <c r="E587" s="49" t="s">
        <v>308</v>
      </c>
      <c r="F587" s="49" t="s">
        <v>358</v>
      </c>
      <c r="G587" s="48" t="s">
        <v>429</v>
      </c>
      <c r="H587" s="48" t="s">
        <v>429</v>
      </c>
      <c r="I587" s="56"/>
      <c r="J587" s="68" t="s">
        <v>514</v>
      </c>
      <c r="K587" s="68" t="s">
        <v>514</v>
      </c>
      <c r="L587" s="68"/>
    </row>
    <row r="588" spans="1:12" ht="16.2" x14ac:dyDescent="0.4">
      <c r="A588" s="15" t="str">
        <f t="shared" si="9"/>
        <v>lt002_insrmntgrss_cmmssn_expns</v>
      </c>
      <c r="B588" s="54" t="s">
        <v>5</v>
      </c>
      <c r="C588" s="50" t="s">
        <v>5</v>
      </c>
      <c r="D588" s="46" t="s">
        <v>431</v>
      </c>
      <c r="E588" s="49" t="s">
        <v>308</v>
      </c>
      <c r="F588" s="49" t="s">
        <v>359</v>
      </c>
      <c r="G588" s="48" t="s">
        <v>429</v>
      </c>
      <c r="H588" s="48" t="s">
        <v>429</v>
      </c>
      <c r="I588" s="56"/>
      <c r="J588" s="68" t="s">
        <v>514</v>
      </c>
      <c r="K588" s="68" t="s">
        <v>514</v>
      </c>
      <c r="L588" s="68"/>
    </row>
    <row r="589" spans="1:12" ht="16.2" x14ac:dyDescent="0.4">
      <c r="A589" s="15" t="str">
        <f t="shared" si="9"/>
        <v>lt002_insrmntgrss_cmmssn_expns_ccrr</v>
      </c>
      <c r="B589" s="54" t="s">
        <v>5</v>
      </c>
      <c r="C589" s="50" t="s">
        <v>5</v>
      </c>
      <c r="D589" s="46" t="s">
        <v>431</v>
      </c>
      <c r="E589" s="49" t="s">
        <v>308</v>
      </c>
      <c r="F589" s="49" t="s">
        <v>360</v>
      </c>
      <c r="G589" s="48" t="s">
        <v>429</v>
      </c>
      <c r="H589" s="48" t="s">
        <v>429</v>
      </c>
      <c r="I589" s="56"/>
      <c r="J589" s="68" t="s">
        <v>514</v>
      </c>
      <c r="K589" s="68" t="s">
        <v>514</v>
      </c>
      <c r="L589" s="68"/>
    </row>
    <row r="590" spans="1:12" ht="16.2" x14ac:dyDescent="0.4">
      <c r="A590" s="15" t="str">
        <f t="shared" si="9"/>
        <v>lt002_insrmntgrss_intrst_expns</v>
      </c>
      <c r="B590" s="54" t="s">
        <v>5</v>
      </c>
      <c r="C590" s="50" t="s">
        <v>5</v>
      </c>
      <c r="D590" s="46" t="s">
        <v>431</v>
      </c>
      <c r="E590" s="49" t="s">
        <v>308</v>
      </c>
      <c r="F590" s="49" t="s">
        <v>361</v>
      </c>
      <c r="G590" s="48" t="s">
        <v>429</v>
      </c>
      <c r="H590" s="48" t="s">
        <v>429</v>
      </c>
      <c r="I590" s="56"/>
      <c r="J590" s="68" t="s">
        <v>514</v>
      </c>
      <c r="K590" s="68" t="s">
        <v>514</v>
      </c>
      <c r="L590" s="68"/>
    </row>
    <row r="591" spans="1:12" ht="16.2" x14ac:dyDescent="0.4">
      <c r="A591" s="15" t="str">
        <f t="shared" si="9"/>
        <v>lt002_insrmntgrss_intrst_expns_ccrr</v>
      </c>
      <c r="B591" s="54" t="s">
        <v>5</v>
      </c>
      <c r="C591" s="50" t="s">
        <v>5</v>
      </c>
      <c r="D591" s="46" t="s">
        <v>431</v>
      </c>
      <c r="E591" s="49" t="s">
        <v>308</v>
      </c>
      <c r="F591" s="49" t="s">
        <v>362</v>
      </c>
      <c r="G591" s="48" t="s">
        <v>429</v>
      </c>
      <c r="H591" s="48" t="s">
        <v>429</v>
      </c>
      <c r="I591" s="56"/>
      <c r="J591" s="68" t="s">
        <v>514</v>
      </c>
      <c r="K591" s="68" t="s">
        <v>514</v>
      </c>
      <c r="L591" s="68"/>
    </row>
    <row r="592" spans="1:12" ht="16.2" x14ac:dyDescent="0.4">
      <c r="A592" s="15" t="str">
        <f t="shared" si="9"/>
        <v>lt002_insrmntgns_fnncl_trnsctn_exchng_dffrncs</v>
      </c>
      <c r="B592" s="54" t="s">
        <v>5</v>
      </c>
      <c r="C592" s="50" t="s">
        <v>5</v>
      </c>
      <c r="D592" s="46" t="s">
        <v>431</v>
      </c>
      <c r="E592" s="49" t="s">
        <v>308</v>
      </c>
      <c r="F592" s="49" t="s">
        <v>363</v>
      </c>
      <c r="G592" s="48" t="s">
        <v>429</v>
      </c>
      <c r="H592" s="48" t="s">
        <v>429</v>
      </c>
      <c r="I592" s="56"/>
      <c r="J592" s="68" t="s">
        <v>514</v>
      </c>
      <c r="K592" s="68" t="s">
        <v>514</v>
      </c>
      <c r="L592" s="68"/>
    </row>
    <row r="593" spans="1:4095 4102:5117 5124:6139 6146:11263 11270:12285 12292:13307 13314:16383" ht="16.2" x14ac:dyDescent="0.4">
      <c r="A593" s="15" t="str">
        <f t="shared" si="9"/>
        <v>lt002_insrmntgns_fnncl_trnsctn_exchng_ccrr</v>
      </c>
      <c r="B593" s="54" t="s">
        <v>5</v>
      </c>
      <c r="C593" s="50" t="s">
        <v>5</v>
      </c>
      <c r="D593" s="46" t="s">
        <v>431</v>
      </c>
      <c r="E593" s="49" t="s">
        <v>308</v>
      </c>
      <c r="F593" s="49" t="s">
        <v>364</v>
      </c>
      <c r="G593" s="48" t="s">
        <v>429</v>
      </c>
      <c r="H593" s="48" t="s">
        <v>429</v>
      </c>
      <c r="I593" s="56"/>
      <c r="J593" s="68" t="s">
        <v>514</v>
      </c>
      <c r="K593" s="68" t="s">
        <v>514</v>
      </c>
      <c r="L593" s="68"/>
    </row>
    <row r="594" spans="1:4095 4102:5117 5124:6139 6146:11263 11270:12285 12292:13307 13314:16383" ht="16.2" x14ac:dyDescent="0.4">
      <c r="A594" s="15" t="str">
        <f t="shared" si="9"/>
        <v>lt002_insrmntcnclld_instrmnt_stts</v>
      </c>
      <c r="B594" s="54" t="s">
        <v>5</v>
      </c>
      <c r="C594" s="50" t="s">
        <v>5</v>
      </c>
      <c r="D594" s="46" t="s">
        <v>431</v>
      </c>
      <c r="E594" s="49" t="s">
        <v>308</v>
      </c>
      <c r="F594" s="49" t="s">
        <v>365</v>
      </c>
      <c r="G594" s="48" t="s">
        <v>429</v>
      </c>
      <c r="H594" s="48" t="s">
        <v>427</v>
      </c>
      <c r="I594" s="56" t="s">
        <v>515</v>
      </c>
      <c r="J594" s="68">
        <v>45471</v>
      </c>
      <c r="K594" s="68">
        <v>45481</v>
      </c>
      <c r="L594" s="68">
        <v>45481</v>
      </c>
    </row>
    <row r="595" spans="1:4095 4102:5117 5124:6139 6146:11263 11270:12285 12292:13307 13314:16383" ht="16.2" x14ac:dyDescent="0.4">
      <c r="A595" s="15" t="str">
        <f t="shared" si="9"/>
        <v>lt002_insrmntsstnbl_indctr</v>
      </c>
      <c r="B595" s="54" t="s">
        <v>5</v>
      </c>
      <c r="C595" s="50" t="s">
        <v>5</v>
      </c>
      <c r="D595" s="46" t="s">
        <v>431</v>
      </c>
      <c r="E595" s="49" t="s">
        <v>308</v>
      </c>
      <c r="F595" s="49" t="s">
        <v>366</v>
      </c>
      <c r="G595" s="48" t="s">
        <v>429</v>
      </c>
      <c r="H595" s="48" t="s">
        <v>427</v>
      </c>
      <c r="I595" s="56" t="s">
        <v>515</v>
      </c>
      <c r="J595" s="68">
        <v>45471</v>
      </c>
      <c r="K595" s="68">
        <v>45481</v>
      </c>
      <c r="L595" s="68">
        <v>45481</v>
      </c>
    </row>
    <row r="596" spans="1:4095 4102:5117 5124:6139 6146:11263 11270:12285 12292:13307 13314:16383" ht="16.2" x14ac:dyDescent="0.4">
      <c r="A596" s="15" t="str">
        <f t="shared" si="9"/>
        <v>modesg_inp_emss_nacenome_pais</v>
      </c>
      <c r="B596" s="54" t="s">
        <v>27</v>
      </c>
      <c r="C596" s="50" t="s">
        <v>29</v>
      </c>
      <c r="D596" s="46" t="s">
        <v>431</v>
      </c>
      <c r="E596" s="47" t="s">
        <v>42</v>
      </c>
      <c r="F596" s="46" t="s">
        <v>46</v>
      </c>
      <c r="G596" s="48" t="s">
        <v>426</v>
      </c>
      <c r="H596" s="48" t="s">
        <v>426</v>
      </c>
      <c r="I596" s="56" t="s">
        <v>482</v>
      </c>
      <c r="J596" s="68" t="s">
        <v>514</v>
      </c>
      <c r="K596" s="68" t="s">
        <v>514</v>
      </c>
      <c r="L596" s="68"/>
      <c r="N596" s="15"/>
      <c r="O596" s="50"/>
      <c r="P596" s="50"/>
      <c r="Q596" s="46"/>
      <c r="R596" s="47"/>
      <c r="S596" s="46"/>
      <c r="T596" s="48"/>
      <c r="U596" s="53"/>
      <c r="AB596" s="15"/>
      <c r="AC596" s="50"/>
      <c r="AD596" s="50"/>
      <c r="AE596" s="46"/>
      <c r="AF596" s="47"/>
      <c r="AG596" s="46"/>
      <c r="AH596" s="48"/>
      <c r="AI596" s="53"/>
      <c r="AP596" s="15"/>
      <c r="AQ596" s="50"/>
      <c r="AR596" s="50"/>
      <c r="AS596" s="46"/>
      <c r="AT596" s="47"/>
      <c r="AU596" s="46"/>
      <c r="AV596" s="48"/>
      <c r="AW596" s="53"/>
      <c r="BD596" s="15"/>
      <c r="BE596" s="50"/>
      <c r="BF596" s="50"/>
      <c r="BG596" s="46"/>
      <c r="BH596" s="47"/>
      <c r="BI596" s="46"/>
      <c r="BJ596" s="48"/>
      <c r="BK596" s="53"/>
      <c r="BR596" s="15"/>
      <c r="BS596" s="50"/>
      <c r="BT596" s="50"/>
      <c r="BU596" s="46"/>
      <c r="BV596" s="47"/>
      <c r="BW596" s="46"/>
      <c r="BX596" s="48"/>
      <c r="BY596" s="53"/>
      <c r="CF596" s="15"/>
      <c r="CG596" s="50"/>
      <c r="CH596" s="50"/>
      <c r="CI596" s="46"/>
      <c r="CJ596" s="47"/>
      <c r="CK596" s="46"/>
      <c r="CL596" s="48"/>
      <c r="CM596" s="53"/>
      <c r="CT596" s="15"/>
      <c r="CU596" s="50"/>
      <c r="CV596" s="50"/>
      <c r="CW596" s="46"/>
      <c r="CX596" s="47"/>
      <c r="CY596" s="46"/>
      <c r="CZ596" s="48"/>
      <c r="DA596" s="53"/>
      <c r="DH596" s="15"/>
      <c r="DI596" s="50"/>
      <c r="DJ596" s="50"/>
      <c r="DK596" s="46"/>
      <c r="DL596" s="47"/>
      <c r="DM596" s="46"/>
      <c r="DN596" s="48"/>
      <c r="DO596" s="53"/>
      <c r="DV596" s="15"/>
      <c r="DW596" s="50"/>
      <c r="DX596" s="50"/>
      <c r="DY596" s="46"/>
      <c r="DZ596" s="47"/>
      <c r="EA596" s="46"/>
      <c r="EB596" s="48"/>
      <c r="EC596" s="53"/>
      <c r="EJ596" s="15"/>
      <c r="EK596" s="50"/>
      <c r="EL596" s="50"/>
      <c r="EM596" s="46"/>
      <c r="EN596" s="47"/>
      <c r="EO596" s="46"/>
      <c r="EP596" s="48"/>
      <c r="EQ596" s="53"/>
      <c r="EX596" s="15"/>
      <c r="EY596" s="50"/>
      <c r="EZ596" s="50"/>
      <c r="FA596" s="46"/>
      <c r="FB596" s="47"/>
      <c r="FC596" s="46"/>
      <c r="FD596" s="48"/>
      <c r="FE596" s="53"/>
      <c r="FL596" s="15"/>
      <c r="FM596" s="50"/>
      <c r="FN596" s="50"/>
      <c r="FO596" s="46"/>
      <c r="FP596" s="47"/>
      <c r="FQ596" s="46"/>
      <c r="FR596" s="48"/>
      <c r="FS596" s="53"/>
      <c r="FZ596" s="15"/>
      <c r="GA596" s="50"/>
      <c r="GB596" s="50"/>
      <c r="GC596" s="46"/>
      <c r="GD596" s="47"/>
      <c r="GE596" s="46"/>
      <c r="GF596" s="48"/>
      <c r="GG596" s="53"/>
      <c r="GN596" s="15"/>
      <c r="GO596" s="50"/>
      <c r="GP596" s="50"/>
      <c r="GQ596" s="46"/>
      <c r="GR596" s="47"/>
      <c r="GS596" s="46"/>
      <c r="GT596" s="48"/>
      <c r="GU596" s="53"/>
      <c r="HB596" s="15"/>
      <c r="HC596" s="50"/>
      <c r="HD596" s="50"/>
      <c r="HE596" s="46"/>
      <c r="HF596" s="47"/>
      <c r="HG596" s="46"/>
      <c r="HH596" s="48"/>
      <c r="HI596" s="53"/>
      <c r="HP596" s="15"/>
      <c r="HQ596" s="50"/>
      <c r="HR596" s="50"/>
      <c r="HS596" s="46"/>
      <c r="HT596" s="47"/>
      <c r="HU596" s="46"/>
      <c r="HV596" s="48"/>
      <c r="HW596" s="53"/>
      <c r="ID596" s="15"/>
      <c r="IE596" s="50"/>
      <c r="IF596" s="50"/>
      <c r="IG596" s="46"/>
      <c r="IH596" s="47"/>
      <c r="II596" s="46"/>
      <c r="IJ596" s="48"/>
      <c r="IK596" s="53"/>
      <c r="IR596" s="15"/>
      <c r="IS596" s="50"/>
      <c r="IT596" s="50"/>
      <c r="IU596" s="46"/>
      <c r="IV596" s="47"/>
      <c r="IW596" s="46"/>
      <c r="IX596" s="48"/>
      <c r="IY596" s="53"/>
      <c r="JF596" s="15"/>
      <c r="JG596" s="50"/>
      <c r="JH596" s="50"/>
      <c r="JI596" s="46"/>
      <c r="JJ596" s="47"/>
      <c r="JK596" s="46"/>
      <c r="JL596" s="48"/>
      <c r="JM596" s="53"/>
      <c r="JT596" s="15"/>
      <c r="JU596" s="50"/>
      <c r="JV596" s="50"/>
      <c r="JW596" s="46"/>
      <c r="JX596" s="47"/>
      <c r="JY596" s="46"/>
      <c r="JZ596" s="48"/>
      <c r="KA596" s="53"/>
      <c r="KH596" s="15"/>
      <c r="KI596" s="50"/>
      <c r="KJ596" s="50"/>
      <c r="KK596" s="46"/>
      <c r="KL596" s="47"/>
      <c r="KM596" s="46"/>
      <c r="KN596" s="48"/>
      <c r="KO596" s="53"/>
      <c r="KV596" s="15"/>
      <c r="KW596" s="50"/>
      <c r="KX596" s="50"/>
      <c r="KY596" s="46"/>
      <c r="KZ596" s="47"/>
      <c r="LA596" s="46"/>
      <c r="LB596" s="48"/>
      <c r="LC596" s="53"/>
      <c r="LJ596" s="15"/>
      <c r="LK596" s="50"/>
      <c r="LL596" s="50"/>
      <c r="LM596" s="46"/>
      <c r="LN596" s="47"/>
      <c r="LO596" s="46"/>
      <c r="LP596" s="48"/>
      <c r="LQ596" s="53"/>
      <c r="LX596" s="15"/>
      <c r="LY596" s="50"/>
      <c r="LZ596" s="50"/>
      <c r="MA596" s="46"/>
      <c r="MB596" s="47"/>
      <c r="MC596" s="46"/>
      <c r="MD596" s="48"/>
      <c r="ME596" s="53"/>
      <c r="ML596" s="15"/>
      <c r="MM596" s="50"/>
      <c r="MN596" s="50"/>
      <c r="MO596" s="46"/>
      <c r="MP596" s="47"/>
      <c r="MQ596" s="46"/>
      <c r="MR596" s="48"/>
      <c r="MS596" s="53"/>
      <c r="MZ596" s="15"/>
      <c r="NA596" s="50"/>
      <c r="NB596" s="50"/>
      <c r="NC596" s="46"/>
      <c r="ND596" s="47"/>
      <c r="NE596" s="46"/>
      <c r="NF596" s="48"/>
      <c r="NG596" s="53"/>
      <c r="NN596" s="15"/>
      <c r="NO596" s="50"/>
      <c r="NP596" s="50"/>
      <c r="NQ596" s="46"/>
      <c r="NR596" s="47"/>
      <c r="NS596" s="46"/>
      <c r="NT596" s="48"/>
      <c r="NU596" s="53"/>
      <c r="OB596" s="15"/>
      <c r="OC596" s="50"/>
      <c r="OD596" s="50"/>
      <c r="OE596" s="46"/>
      <c r="OF596" s="47"/>
      <c r="OG596" s="46"/>
      <c r="OH596" s="48"/>
      <c r="OI596" s="53"/>
      <c r="OP596" s="15"/>
      <c r="OQ596" s="50"/>
      <c r="OR596" s="50"/>
      <c r="OS596" s="46"/>
      <c r="OT596" s="47"/>
      <c r="OU596" s="46"/>
      <c r="OV596" s="48"/>
      <c r="OW596" s="53"/>
      <c r="PD596" s="15"/>
      <c r="PE596" s="50"/>
      <c r="PF596" s="50"/>
      <c r="PG596" s="46"/>
      <c r="PH596" s="47"/>
      <c r="PI596" s="46"/>
      <c r="PJ596" s="48"/>
      <c r="PK596" s="53"/>
      <c r="PR596" s="15"/>
      <c r="PS596" s="50"/>
      <c r="PT596" s="50"/>
      <c r="PU596" s="46"/>
      <c r="PV596" s="47"/>
      <c r="PW596" s="46"/>
      <c r="PX596" s="48"/>
      <c r="PY596" s="53"/>
      <c r="QF596" s="15"/>
      <c r="QG596" s="50"/>
      <c r="QH596" s="50"/>
      <c r="QI596" s="46"/>
      <c r="QJ596" s="47"/>
      <c r="QK596" s="46"/>
      <c r="QL596" s="48"/>
      <c r="QM596" s="53"/>
      <c r="QT596" s="15"/>
      <c r="QU596" s="50"/>
      <c r="QV596" s="50"/>
      <c r="QW596" s="46"/>
      <c r="QX596" s="47"/>
      <c r="QY596" s="46"/>
      <c r="QZ596" s="48"/>
      <c r="RA596" s="53"/>
      <c r="RH596" s="15"/>
      <c r="RI596" s="50"/>
      <c r="RJ596" s="50"/>
      <c r="RK596" s="46"/>
      <c r="RL596" s="47"/>
      <c r="RM596" s="46"/>
      <c r="RN596" s="48"/>
      <c r="RO596" s="53"/>
      <c r="RV596" s="15"/>
      <c r="RW596" s="50"/>
      <c r="RX596" s="50"/>
      <c r="RY596" s="46"/>
      <c r="RZ596" s="47"/>
      <c r="SA596" s="46"/>
      <c r="SB596" s="48"/>
      <c r="SC596" s="53"/>
      <c r="SJ596" s="15"/>
      <c r="SK596" s="50"/>
      <c r="SL596" s="50"/>
      <c r="SM596" s="46"/>
      <c r="SN596" s="47"/>
      <c r="SO596" s="46"/>
      <c r="SP596" s="48"/>
      <c r="SQ596" s="53"/>
      <c r="SX596" s="15"/>
      <c r="SY596" s="50"/>
      <c r="SZ596" s="50"/>
      <c r="TA596" s="46"/>
      <c r="TB596" s="47"/>
      <c r="TC596" s="46"/>
      <c r="TD596" s="48"/>
      <c r="TE596" s="53"/>
      <c r="TL596" s="15"/>
      <c r="TM596" s="50"/>
      <c r="TN596" s="50"/>
      <c r="TO596" s="46"/>
      <c r="TP596" s="47"/>
      <c r="TQ596" s="46"/>
      <c r="TR596" s="48"/>
      <c r="TS596" s="53"/>
      <c r="TZ596" s="15"/>
      <c r="UA596" s="50"/>
      <c r="UB596" s="50"/>
      <c r="UC596" s="46"/>
      <c r="UD596" s="47"/>
      <c r="UE596" s="46"/>
      <c r="UF596" s="48"/>
      <c r="UG596" s="53"/>
      <c r="UN596" s="15"/>
      <c r="UO596" s="50"/>
      <c r="UP596" s="50"/>
      <c r="UQ596" s="46"/>
      <c r="UR596" s="47"/>
      <c r="US596" s="46"/>
      <c r="UT596" s="48"/>
      <c r="UU596" s="53"/>
      <c r="VB596" s="15"/>
      <c r="VC596" s="50"/>
      <c r="VD596" s="50"/>
      <c r="VE596" s="46"/>
      <c r="VF596" s="47"/>
      <c r="VG596" s="46"/>
      <c r="VH596" s="48"/>
      <c r="VI596" s="53"/>
      <c r="VP596" s="15"/>
      <c r="VQ596" s="50"/>
      <c r="VR596" s="50"/>
      <c r="VS596" s="46"/>
      <c r="VT596" s="47"/>
      <c r="VU596" s="46"/>
      <c r="VV596" s="48"/>
      <c r="VW596" s="53"/>
      <c r="WD596" s="15"/>
      <c r="WE596" s="50"/>
      <c r="WF596" s="50"/>
      <c r="WG596" s="46"/>
      <c r="WH596" s="47"/>
      <c r="WI596" s="46"/>
      <c r="WJ596" s="48"/>
      <c r="WK596" s="53"/>
      <c r="WR596" s="15"/>
      <c r="WS596" s="50"/>
      <c r="WT596" s="50"/>
      <c r="WU596" s="46"/>
      <c r="WV596" s="47"/>
      <c r="WW596" s="46"/>
      <c r="WX596" s="48"/>
      <c r="WY596" s="53"/>
      <c r="XF596" s="15"/>
      <c r="XG596" s="50"/>
      <c r="XH596" s="50"/>
      <c r="XI596" s="46"/>
      <c r="XJ596" s="47"/>
      <c r="XK596" s="46"/>
      <c r="XL596" s="48"/>
      <c r="XM596" s="53"/>
      <c r="XT596" s="15"/>
      <c r="XU596" s="50"/>
      <c r="XV596" s="50"/>
      <c r="XW596" s="46"/>
      <c r="XX596" s="47"/>
      <c r="XY596" s="46"/>
      <c r="XZ596" s="48"/>
      <c r="YA596" s="53"/>
      <c r="YH596" s="15"/>
      <c r="YI596" s="50"/>
      <c r="YJ596" s="50"/>
      <c r="YK596" s="46"/>
      <c r="YL596" s="47"/>
      <c r="YM596" s="46"/>
      <c r="YN596" s="48"/>
      <c r="YO596" s="53"/>
      <c r="YV596" s="15"/>
      <c r="YW596" s="50"/>
      <c r="YX596" s="50"/>
      <c r="YY596" s="46"/>
      <c r="YZ596" s="47"/>
      <c r="ZA596" s="46"/>
      <c r="ZB596" s="48"/>
      <c r="ZC596" s="53"/>
      <c r="ZJ596" s="15"/>
      <c r="ZK596" s="50"/>
      <c r="ZL596" s="50"/>
      <c r="ZM596" s="46"/>
      <c r="ZN596" s="47"/>
      <c r="ZO596" s="46"/>
      <c r="ZP596" s="48"/>
      <c r="ZQ596" s="53"/>
      <c r="ZX596" s="15"/>
      <c r="ZY596" s="50"/>
      <c r="ZZ596" s="50"/>
      <c r="AAA596" s="46"/>
      <c r="AAB596" s="47"/>
      <c r="AAC596" s="46"/>
      <c r="AAD596" s="48"/>
      <c r="AAE596" s="53"/>
      <c r="AAL596" s="15"/>
      <c r="AAM596" s="50"/>
      <c r="AAN596" s="50"/>
      <c r="AAO596" s="46"/>
      <c r="AAP596" s="47"/>
      <c r="AAQ596" s="46"/>
      <c r="AAR596" s="48"/>
      <c r="AAS596" s="53"/>
      <c r="AAZ596" s="15"/>
      <c r="ABA596" s="50"/>
      <c r="ABB596" s="50"/>
      <c r="ABC596" s="46"/>
      <c r="ABD596" s="47"/>
      <c r="ABE596" s="46"/>
      <c r="ABF596" s="48"/>
      <c r="ABG596" s="53"/>
      <c r="ABN596" s="15"/>
      <c r="ABO596" s="50"/>
      <c r="ABP596" s="50"/>
      <c r="ABQ596" s="46"/>
      <c r="ABR596" s="47"/>
      <c r="ABS596" s="46"/>
      <c r="ABT596" s="48"/>
      <c r="ABU596" s="53"/>
      <c r="ACB596" s="15"/>
      <c r="ACC596" s="50"/>
      <c r="ACD596" s="50"/>
      <c r="ACE596" s="46"/>
      <c r="ACF596" s="47"/>
      <c r="ACG596" s="46"/>
      <c r="ACH596" s="48"/>
      <c r="ACI596" s="53"/>
      <c r="ACP596" s="15"/>
      <c r="ACQ596" s="50"/>
      <c r="ACR596" s="50"/>
      <c r="ACS596" s="46"/>
      <c r="ACT596" s="47"/>
      <c r="ACU596" s="46"/>
      <c r="ACV596" s="48"/>
      <c r="ACW596" s="53"/>
      <c r="ADD596" s="15"/>
      <c r="ADE596" s="50"/>
      <c r="ADF596" s="50"/>
      <c r="ADG596" s="46"/>
      <c r="ADH596" s="47"/>
      <c r="ADI596" s="46"/>
      <c r="ADJ596" s="48"/>
      <c r="ADK596" s="53"/>
      <c r="ADR596" s="15"/>
      <c r="ADS596" s="50"/>
      <c r="ADT596" s="50"/>
      <c r="ADU596" s="46"/>
      <c r="ADV596" s="47"/>
      <c r="ADW596" s="46"/>
      <c r="ADX596" s="48"/>
      <c r="ADY596" s="53"/>
      <c r="AEF596" s="15"/>
      <c r="AEG596" s="50"/>
      <c r="AEH596" s="50"/>
      <c r="AEI596" s="46"/>
      <c r="AEJ596" s="47"/>
      <c r="AEK596" s="46"/>
      <c r="AEL596" s="48"/>
      <c r="AEM596" s="53"/>
      <c r="AET596" s="15"/>
      <c r="AEU596" s="50"/>
      <c r="AEV596" s="50"/>
      <c r="AEW596" s="46"/>
      <c r="AEX596" s="47"/>
      <c r="AEY596" s="46"/>
      <c r="AEZ596" s="48"/>
      <c r="AFA596" s="53"/>
      <c r="AFH596" s="15"/>
      <c r="AFI596" s="50"/>
      <c r="AFJ596" s="50"/>
      <c r="AFK596" s="46"/>
      <c r="AFL596" s="47"/>
      <c r="AFM596" s="46"/>
      <c r="AFN596" s="48"/>
      <c r="AFO596" s="53"/>
      <c r="AFV596" s="15"/>
      <c r="AFW596" s="50"/>
      <c r="AFX596" s="50"/>
      <c r="AFY596" s="46"/>
      <c r="AFZ596" s="47"/>
      <c r="AGA596" s="46"/>
      <c r="AGB596" s="48"/>
      <c r="AGC596" s="53"/>
      <c r="AGJ596" s="15"/>
      <c r="AGK596" s="50"/>
      <c r="AGL596" s="50"/>
      <c r="AGM596" s="46"/>
      <c r="AGN596" s="47"/>
      <c r="AGO596" s="46"/>
      <c r="AGP596" s="48"/>
      <c r="AGQ596" s="53"/>
      <c r="AGX596" s="15"/>
      <c r="AGY596" s="50"/>
      <c r="AGZ596" s="50"/>
      <c r="AHA596" s="46"/>
      <c r="AHB596" s="47"/>
      <c r="AHC596" s="46"/>
      <c r="AHD596" s="48"/>
      <c r="AHE596" s="53"/>
      <c r="AHL596" s="15"/>
      <c r="AHM596" s="50"/>
      <c r="AHN596" s="50"/>
      <c r="AHO596" s="46"/>
      <c r="AHP596" s="47"/>
      <c r="AHQ596" s="46"/>
      <c r="AHR596" s="48"/>
      <c r="AHS596" s="53"/>
      <c r="AHZ596" s="15"/>
      <c r="AIA596" s="50"/>
      <c r="AIB596" s="50"/>
      <c r="AIC596" s="46"/>
      <c r="AID596" s="47"/>
      <c r="AIE596" s="46"/>
      <c r="AIF596" s="48"/>
      <c r="AIG596" s="53"/>
      <c r="AIN596" s="15"/>
      <c r="AIO596" s="50"/>
      <c r="AIP596" s="50"/>
      <c r="AIQ596" s="46"/>
      <c r="AIR596" s="47"/>
      <c r="AIS596" s="46"/>
      <c r="AIT596" s="48"/>
      <c r="AIU596" s="53"/>
      <c r="AJB596" s="15"/>
      <c r="AJC596" s="50"/>
      <c r="AJD596" s="50"/>
      <c r="AJE596" s="46"/>
      <c r="AJF596" s="47"/>
      <c r="AJG596" s="46"/>
      <c r="AJH596" s="48"/>
      <c r="AJI596" s="53"/>
      <c r="AJP596" s="15"/>
      <c r="AJQ596" s="50"/>
      <c r="AJR596" s="50"/>
      <c r="AJS596" s="46"/>
      <c r="AJT596" s="47"/>
      <c r="AJU596" s="46"/>
      <c r="AJV596" s="48"/>
      <c r="AJW596" s="53"/>
      <c r="AKD596" s="15"/>
      <c r="AKE596" s="50"/>
      <c r="AKF596" s="50"/>
      <c r="AKG596" s="46"/>
      <c r="AKH596" s="47"/>
      <c r="AKI596" s="46"/>
      <c r="AKJ596" s="48"/>
      <c r="AKK596" s="53"/>
      <c r="AKR596" s="15"/>
      <c r="AKS596" s="50"/>
      <c r="AKT596" s="50"/>
      <c r="AKU596" s="46"/>
      <c r="AKV596" s="47"/>
      <c r="AKW596" s="46"/>
      <c r="AKX596" s="48"/>
      <c r="AKY596" s="53"/>
      <c r="ALF596" s="15"/>
      <c r="ALG596" s="50"/>
      <c r="ALH596" s="50"/>
      <c r="ALI596" s="46"/>
      <c r="ALJ596" s="47"/>
      <c r="ALK596" s="46"/>
      <c r="ALL596" s="48"/>
      <c r="ALM596" s="53"/>
      <c r="ALT596" s="15"/>
      <c r="ALU596" s="50"/>
      <c r="ALV596" s="50"/>
      <c r="ALW596" s="46"/>
      <c r="ALX596" s="47"/>
      <c r="ALY596" s="46"/>
      <c r="ALZ596" s="48"/>
      <c r="AMA596" s="53"/>
      <c r="AMH596" s="15"/>
      <c r="AMI596" s="50"/>
      <c r="AMJ596" s="50"/>
      <c r="AMK596" s="46"/>
      <c r="AML596" s="47"/>
      <c r="AMM596" s="46"/>
      <c r="AMN596" s="48"/>
      <c r="AMO596" s="53"/>
      <c r="AMV596" s="15"/>
      <c r="AMW596" s="50"/>
      <c r="AMX596" s="50"/>
      <c r="AMY596" s="46"/>
      <c r="AMZ596" s="47"/>
      <c r="ANA596" s="46"/>
      <c r="ANB596" s="48"/>
      <c r="ANC596" s="53"/>
      <c r="ANJ596" s="15"/>
      <c r="ANK596" s="50"/>
      <c r="ANL596" s="50"/>
      <c r="ANM596" s="46"/>
      <c r="ANN596" s="47"/>
      <c r="ANO596" s="46"/>
      <c r="ANP596" s="48"/>
      <c r="ANQ596" s="53"/>
      <c r="ANX596" s="15"/>
      <c r="ANY596" s="50"/>
      <c r="ANZ596" s="50"/>
      <c r="AOA596" s="46"/>
      <c r="AOB596" s="47"/>
      <c r="AOC596" s="46"/>
      <c r="AOD596" s="48"/>
      <c r="AOE596" s="53"/>
      <c r="AOL596" s="15"/>
      <c r="AOM596" s="50"/>
      <c r="AON596" s="50"/>
      <c r="AOO596" s="46"/>
      <c r="AOP596" s="47"/>
      <c r="AOQ596" s="46"/>
      <c r="AOR596" s="48"/>
      <c r="AOS596" s="53"/>
      <c r="AOZ596" s="15"/>
      <c r="APA596" s="50"/>
      <c r="APB596" s="50"/>
      <c r="APC596" s="46"/>
      <c r="APD596" s="47"/>
      <c r="APE596" s="46"/>
      <c r="APF596" s="48"/>
      <c r="APG596" s="53"/>
      <c r="APN596" s="15"/>
      <c r="APO596" s="50"/>
      <c r="APP596" s="50"/>
      <c r="APQ596" s="46"/>
      <c r="APR596" s="47"/>
      <c r="APS596" s="46"/>
      <c r="APT596" s="48"/>
      <c r="APU596" s="53"/>
      <c r="AQB596" s="15"/>
      <c r="AQC596" s="50"/>
      <c r="AQD596" s="50"/>
      <c r="AQE596" s="46"/>
      <c r="AQF596" s="47"/>
      <c r="AQG596" s="46"/>
      <c r="AQH596" s="48"/>
      <c r="AQI596" s="53"/>
      <c r="AQP596" s="15"/>
      <c r="AQQ596" s="50"/>
      <c r="AQR596" s="50"/>
      <c r="AQS596" s="46"/>
      <c r="AQT596" s="47"/>
      <c r="AQU596" s="46"/>
      <c r="AQV596" s="48"/>
      <c r="AQW596" s="53"/>
      <c r="ARD596" s="15"/>
      <c r="ARE596" s="50"/>
      <c r="ARF596" s="50"/>
      <c r="ARG596" s="46"/>
      <c r="ARH596" s="47"/>
      <c r="ARI596" s="46"/>
      <c r="ARJ596" s="48"/>
      <c r="ARK596" s="53"/>
      <c r="ARR596" s="15"/>
      <c r="ARS596" s="50"/>
      <c r="ART596" s="50"/>
      <c r="ARU596" s="46"/>
      <c r="ARV596" s="47"/>
      <c r="ARW596" s="46"/>
      <c r="ARX596" s="48"/>
      <c r="ARY596" s="53"/>
      <c r="ASF596" s="15"/>
      <c r="ASG596" s="50"/>
      <c r="ASH596" s="50"/>
      <c r="ASI596" s="46"/>
      <c r="ASJ596" s="47"/>
      <c r="ASK596" s="46"/>
      <c r="ASL596" s="48"/>
      <c r="ASM596" s="53"/>
      <c r="AST596" s="15"/>
      <c r="ASU596" s="50"/>
      <c r="ASV596" s="50"/>
      <c r="ASW596" s="46"/>
      <c r="ASX596" s="47"/>
      <c r="ASY596" s="46"/>
      <c r="ASZ596" s="48"/>
      <c r="ATA596" s="53"/>
      <c r="ATH596" s="15"/>
      <c r="ATI596" s="50"/>
      <c r="ATJ596" s="50"/>
      <c r="ATK596" s="46"/>
      <c r="ATL596" s="47"/>
      <c r="ATM596" s="46"/>
      <c r="ATN596" s="48"/>
      <c r="ATO596" s="53"/>
      <c r="ATV596" s="15"/>
      <c r="ATW596" s="50"/>
      <c r="ATX596" s="50"/>
      <c r="ATY596" s="46"/>
      <c r="ATZ596" s="47"/>
      <c r="AUA596" s="46"/>
      <c r="AUB596" s="48"/>
      <c r="AUC596" s="53"/>
      <c r="AUJ596" s="15"/>
      <c r="AUK596" s="50"/>
      <c r="AUL596" s="50"/>
      <c r="AUM596" s="46"/>
      <c r="AUN596" s="47"/>
      <c r="AUO596" s="46"/>
      <c r="AUP596" s="48"/>
      <c r="AUQ596" s="53"/>
      <c r="AUX596" s="15"/>
      <c r="AUY596" s="50"/>
      <c r="AUZ596" s="50"/>
      <c r="AVA596" s="46"/>
      <c r="AVB596" s="47"/>
      <c r="AVC596" s="46"/>
      <c r="AVD596" s="48"/>
      <c r="AVE596" s="53"/>
      <c r="AVL596" s="15"/>
      <c r="AVM596" s="50"/>
      <c r="AVN596" s="50"/>
      <c r="AVO596" s="46"/>
      <c r="AVP596" s="47"/>
      <c r="AVQ596" s="46"/>
      <c r="AVR596" s="48"/>
      <c r="AVS596" s="53"/>
      <c r="AVZ596" s="15"/>
      <c r="AWA596" s="50"/>
      <c r="AWB596" s="50"/>
      <c r="AWC596" s="46"/>
      <c r="AWD596" s="47"/>
      <c r="AWE596" s="46"/>
      <c r="AWF596" s="48"/>
      <c r="AWG596" s="53"/>
      <c r="AWN596" s="15"/>
      <c r="AWO596" s="50"/>
      <c r="AWP596" s="50"/>
      <c r="AWQ596" s="46"/>
      <c r="AWR596" s="47"/>
      <c r="AWS596" s="46"/>
      <c r="AWT596" s="48"/>
      <c r="AWU596" s="53"/>
      <c r="AXB596" s="15"/>
      <c r="AXC596" s="50"/>
      <c r="AXD596" s="50"/>
      <c r="AXE596" s="46"/>
      <c r="AXF596" s="47"/>
      <c r="AXG596" s="46"/>
      <c r="AXH596" s="48"/>
      <c r="AXI596" s="53"/>
      <c r="AXP596" s="15"/>
      <c r="AXQ596" s="50"/>
      <c r="AXR596" s="50"/>
      <c r="AXS596" s="46"/>
      <c r="AXT596" s="47"/>
      <c r="AXU596" s="46"/>
      <c r="AXV596" s="48"/>
      <c r="AXW596" s="53"/>
      <c r="AYD596" s="15"/>
      <c r="AYE596" s="50"/>
      <c r="AYF596" s="50"/>
      <c r="AYG596" s="46"/>
      <c r="AYH596" s="47"/>
      <c r="AYI596" s="46"/>
      <c r="AYJ596" s="48"/>
      <c r="AYK596" s="53"/>
      <c r="AYR596" s="15"/>
      <c r="AYS596" s="50"/>
      <c r="AYT596" s="50"/>
      <c r="AYU596" s="46"/>
      <c r="AYV596" s="47"/>
      <c r="AYW596" s="46"/>
      <c r="AYX596" s="48"/>
      <c r="AYY596" s="53"/>
      <c r="AZF596" s="15"/>
      <c r="AZG596" s="50"/>
      <c r="AZH596" s="50"/>
      <c r="AZI596" s="46"/>
      <c r="AZJ596" s="47"/>
      <c r="AZK596" s="46"/>
      <c r="AZL596" s="48"/>
      <c r="AZM596" s="53"/>
      <c r="AZT596" s="15"/>
      <c r="AZU596" s="50"/>
      <c r="AZV596" s="50"/>
      <c r="AZW596" s="46"/>
      <c r="AZX596" s="47"/>
      <c r="AZY596" s="46"/>
      <c r="AZZ596" s="48"/>
      <c r="BAA596" s="53"/>
      <c r="BAH596" s="15"/>
      <c r="BAI596" s="50"/>
      <c r="BAJ596" s="50"/>
      <c r="BAK596" s="46"/>
      <c r="BAL596" s="47"/>
      <c r="BAM596" s="46"/>
      <c r="BAN596" s="48"/>
      <c r="BAO596" s="53"/>
      <c r="BAV596" s="15"/>
      <c r="BAW596" s="50"/>
      <c r="BAX596" s="50"/>
      <c r="BAY596" s="46"/>
      <c r="BAZ596" s="47"/>
      <c r="BBA596" s="46"/>
      <c r="BBB596" s="48"/>
      <c r="BBC596" s="53"/>
      <c r="BBJ596" s="15"/>
      <c r="BBK596" s="50"/>
      <c r="BBL596" s="50"/>
      <c r="BBM596" s="46"/>
      <c r="BBN596" s="47"/>
      <c r="BBO596" s="46"/>
      <c r="BBP596" s="48"/>
      <c r="BBQ596" s="53"/>
      <c r="BBX596" s="15"/>
      <c r="BBY596" s="50"/>
      <c r="BBZ596" s="50"/>
      <c r="BCA596" s="46"/>
      <c r="BCB596" s="47"/>
      <c r="BCC596" s="46"/>
      <c r="BCD596" s="48"/>
      <c r="BCE596" s="53"/>
      <c r="BCL596" s="15"/>
      <c r="BCM596" s="50"/>
      <c r="BCN596" s="50"/>
      <c r="BCO596" s="46"/>
      <c r="BCP596" s="47"/>
      <c r="BCQ596" s="46"/>
      <c r="BCR596" s="48"/>
      <c r="BCS596" s="53"/>
      <c r="BCZ596" s="15"/>
      <c r="BDA596" s="50"/>
      <c r="BDB596" s="50"/>
      <c r="BDC596" s="46"/>
      <c r="BDD596" s="47"/>
      <c r="BDE596" s="46"/>
      <c r="BDF596" s="48"/>
      <c r="BDG596" s="53"/>
      <c r="BDN596" s="15"/>
      <c r="BDO596" s="50"/>
      <c r="BDP596" s="50"/>
      <c r="BDQ596" s="46"/>
      <c r="BDR596" s="47"/>
      <c r="BDS596" s="46"/>
      <c r="BDT596" s="48"/>
      <c r="BDU596" s="53"/>
      <c r="BEB596" s="15"/>
      <c r="BEC596" s="50"/>
      <c r="BED596" s="50"/>
      <c r="BEE596" s="46"/>
      <c r="BEF596" s="47"/>
      <c r="BEG596" s="46"/>
      <c r="BEH596" s="48"/>
      <c r="BEI596" s="53"/>
      <c r="BEP596" s="15"/>
      <c r="BEQ596" s="50"/>
      <c r="BER596" s="50"/>
      <c r="BES596" s="46"/>
      <c r="BET596" s="47"/>
      <c r="BEU596" s="46"/>
      <c r="BEV596" s="48"/>
      <c r="BEW596" s="53"/>
      <c r="BFD596" s="15"/>
      <c r="BFE596" s="50"/>
      <c r="BFF596" s="50"/>
      <c r="BFG596" s="46"/>
      <c r="BFH596" s="47"/>
      <c r="BFI596" s="46"/>
      <c r="BFJ596" s="48"/>
      <c r="BFK596" s="53"/>
      <c r="BFR596" s="15"/>
      <c r="BFS596" s="50"/>
      <c r="BFT596" s="50"/>
      <c r="BFU596" s="46"/>
      <c r="BFV596" s="47"/>
      <c r="BFW596" s="46"/>
      <c r="BFX596" s="48"/>
      <c r="BFY596" s="53"/>
      <c r="BGF596" s="15"/>
      <c r="BGG596" s="50"/>
      <c r="BGH596" s="50"/>
      <c r="BGI596" s="46"/>
      <c r="BGJ596" s="47"/>
      <c r="BGK596" s="46"/>
      <c r="BGL596" s="48"/>
      <c r="BGM596" s="53"/>
      <c r="BGT596" s="15"/>
      <c r="BGU596" s="50"/>
      <c r="BGV596" s="50"/>
      <c r="BGW596" s="46"/>
      <c r="BGX596" s="47"/>
      <c r="BGY596" s="46"/>
      <c r="BGZ596" s="48"/>
      <c r="BHA596" s="53"/>
      <c r="BHH596" s="15"/>
      <c r="BHI596" s="50"/>
      <c r="BHJ596" s="50"/>
      <c r="BHK596" s="46"/>
      <c r="BHL596" s="47"/>
      <c r="BHM596" s="46"/>
      <c r="BHN596" s="48"/>
      <c r="BHO596" s="53"/>
      <c r="BHV596" s="15"/>
      <c r="BHW596" s="50"/>
      <c r="BHX596" s="50"/>
      <c r="BHY596" s="46"/>
      <c r="BHZ596" s="47"/>
      <c r="BIA596" s="46"/>
      <c r="BIB596" s="48"/>
      <c r="BIC596" s="53"/>
      <c r="BIJ596" s="15"/>
      <c r="BIK596" s="50"/>
      <c r="BIL596" s="50"/>
      <c r="BIM596" s="46"/>
      <c r="BIN596" s="47"/>
      <c r="BIO596" s="46"/>
      <c r="BIP596" s="48"/>
      <c r="BIQ596" s="53"/>
      <c r="BIX596" s="15"/>
      <c r="BIY596" s="50"/>
      <c r="BIZ596" s="50"/>
      <c r="BJA596" s="46"/>
      <c r="BJB596" s="47"/>
      <c r="BJC596" s="46"/>
      <c r="BJD596" s="48"/>
      <c r="BJE596" s="53"/>
      <c r="BJL596" s="15"/>
      <c r="BJM596" s="50"/>
      <c r="BJN596" s="50"/>
      <c r="BJO596" s="46"/>
      <c r="BJP596" s="47"/>
      <c r="BJQ596" s="46"/>
      <c r="BJR596" s="48"/>
      <c r="BJS596" s="53"/>
      <c r="BJZ596" s="15"/>
      <c r="BKA596" s="50"/>
      <c r="BKB596" s="50"/>
      <c r="BKC596" s="46"/>
      <c r="BKD596" s="47"/>
      <c r="BKE596" s="46"/>
      <c r="BKF596" s="48"/>
      <c r="BKG596" s="53"/>
      <c r="BKN596" s="15"/>
      <c r="BKO596" s="50"/>
      <c r="BKP596" s="50"/>
      <c r="BKQ596" s="46"/>
      <c r="BKR596" s="47"/>
      <c r="BKS596" s="46"/>
      <c r="BKT596" s="48"/>
      <c r="BKU596" s="53"/>
      <c r="BLB596" s="15"/>
      <c r="BLC596" s="50"/>
      <c r="BLD596" s="50"/>
      <c r="BLE596" s="46"/>
      <c r="BLF596" s="47"/>
      <c r="BLG596" s="46"/>
      <c r="BLH596" s="48"/>
      <c r="BLI596" s="53"/>
      <c r="BLP596" s="15"/>
      <c r="BLQ596" s="50"/>
      <c r="BLR596" s="50"/>
      <c r="BLS596" s="46"/>
      <c r="BLT596" s="47"/>
      <c r="BLU596" s="46"/>
      <c r="BLV596" s="48"/>
      <c r="BLW596" s="53"/>
      <c r="BMD596" s="15"/>
      <c r="BME596" s="50"/>
      <c r="BMF596" s="50"/>
      <c r="BMG596" s="46"/>
      <c r="BMH596" s="47"/>
      <c r="BMI596" s="46"/>
      <c r="BMJ596" s="48"/>
      <c r="BMK596" s="53"/>
      <c r="BMR596" s="15"/>
      <c r="BMS596" s="50"/>
      <c r="BMT596" s="50"/>
      <c r="BMU596" s="46"/>
      <c r="BMV596" s="47"/>
      <c r="BMW596" s="46"/>
      <c r="BMX596" s="48"/>
      <c r="BMY596" s="53"/>
      <c r="BNF596" s="15"/>
      <c r="BNG596" s="50"/>
      <c r="BNH596" s="50"/>
      <c r="BNI596" s="46"/>
      <c r="BNJ596" s="47"/>
      <c r="BNK596" s="46"/>
      <c r="BNL596" s="48"/>
      <c r="BNM596" s="53"/>
      <c r="BNT596" s="15"/>
      <c r="BNU596" s="50"/>
      <c r="BNV596" s="50"/>
      <c r="BNW596" s="46"/>
      <c r="BNX596" s="47"/>
      <c r="BNY596" s="46"/>
      <c r="BNZ596" s="48"/>
      <c r="BOA596" s="53"/>
      <c r="BOH596" s="15"/>
      <c r="BOI596" s="50"/>
      <c r="BOJ596" s="50"/>
      <c r="BOK596" s="46"/>
      <c r="BOL596" s="47"/>
      <c r="BOM596" s="46"/>
      <c r="BON596" s="48"/>
      <c r="BOO596" s="53"/>
      <c r="BOV596" s="15"/>
      <c r="BOW596" s="50"/>
      <c r="BOX596" s="50"/>
      <c r="BOY596" s="46"/>
      <c r="BOZ596" s="47"/>
      <c r="BPA596" s="46"/>
      <c r="BPB596" s="48"/>
      <c r="BPC596" s="53"/>
      <c r="BPJ596" s="15"/>
      <c r="BPK596" s="50"/>
      <c r="BPL596" s="50"/>
      <c r="BPM596" s="46"/>
      <c r="BPN596" s="47"/>
      <c r="BPO596" s="46"/>
      <c r="BPP596" s="48"/>
      <c r="BPQ596" s="53"/>
      <c r="BPX596" s="15"/>
      <c r="BPY596" s="50"/>
      <c r="BPZ596" s="50"/>
      <c r="BQA596" s="46"/>
      <c r="BQB596" s="47"/>
      <c r="BQC596" s="46"/>
      <c r="BQD596" s="48"/>
      <c r="BQE596" s="53"/>
      <c r="BQL596" s="15"/>
      <c r="BQM596" s="50"/>
      <c r="BQN596" s="50"/>
      <c r="BQO596" s="46"/>
      <c r="BQP596" s="47"/>
      <c r="BQQ596" s="46"/>
      <c r="BQR596" s="48"/>
      <c r="BQS596" s="53"/>
      <c r="BQZ596" s="15"/>
      <c r="BRA596" s="50"/>
      <c r="BRB596" s="50"/>
      <c r="BRC596" s="46"/>
      <c r="BRD596" s="47"/>
      <c r="BRE596" s="46"/>
      <c r="BRF596" s="48"/>
      <c r="BRG596" s="53"/>
      <c r="BRN596" s="15"/>
      <c r="BRO596" s="50"/>
      <c r="BRP596" s="50"/>
      <c r="BRQ596" s="46"/>
      <c r="BRR596" s="47"/>
      <c r="BRS596" s="46"/>
      <c r="BRT596" s="48"/>
      <c r="BRU596" s="53"/>
      <c r="BSB596" s="15"/>
      <c r="BSC596" s="50"/>
      <c r="BSD596" s="50"/>
      <c r="BSE596" s="46"/>
      <c r="BSF596" s="47"/>
      <c r="BSG596" s="46"/>
      <c r="BSH596" s="48"/>
      <c r="BSI596" s="53"/>
      <c r="BSP596" s="15"/>
      <c r="BSQ596" s="50"/>
      <c r="BSR596" s="50"/>
      <c r="BSS596" s="46"/>
      <c r="BST596" s="47"/>
      <c r="BSU596" s="46"/>
      <c r="BSV596" s="48"/>
      <c r="BSW596" s="53"/>
      <c r="BTD596" s="15"/>
      <c r="BTE596" s="50"/>
      <c r="BTF596" s="50"/>
      <c r="BTG596" s="46"/>
      <c r="BTH596" s="47"/>
      <c r="BTI596" s="46"/>
      <c r="BTJ596" s="48"/>
      <c r="BTK596" s="53"/>
      <c r="BTR596" s="15"/>
      <c r="BTS596" s="50"/>
      <c r="BTT596" s="50"/>
      <c r="BTU596" s="46"/>
      <c r="BTV596" s="47"/>
      <c r="BTW596" s="46"/>
      <c r="BTX596" s="48"/>
      <c r="BTY596" s="53"/>
      <c r="BUF596" s="15"/>
      <c r="BUG596" s="50"/>
      <c r="BUH596" s="50"/>
      <c r="BUI596" s="46"/>
      <c r="BUJ596" s="47"/>
      <c r="BUK596" s="46"/>
      <c r="BUL596" s="48"/>
      <c r="BUM596" s="53"/>
      <c r="BUT596" s="15"/>
      <c r="BUU596" s="50"/>
      <c r="BUV596" s="50"/>
      <c r="BUW596" s="46"/>
      <c r="BUX596" s="47"/>
      <c r="BUY596" s="46"/>
      <c r="BUZ596" s="48"/>
      <c r="BVA596" s="53"/>
      <c r="BVH596" s="15"/>
      <c r="BVI596" s="50"/>
      <c r="BVJ596" s="50"/>
      <c r="BVK596" s="46"/>
      <c r="BVL596" s="47"/>
      <c r="BVM596" s="46"/>
      <c r="BVN596" s="48"/>
      <c r="BVO596" s="53"/>
      <c r="BVV596" s="15"/>
      <c r="BVW596" s="50"/>
      <c r="BVX596" s="50"/>
      <c r="BVY596" s="46"/>
      <c r="BVZ596" s="47"/>
      <c r="BWA596" s="46"/>
      <c r="BWB596" s="48"/>
      <c r="BWC596" s="53"/>
      <c r="BWJ596" s="15"/>
      <c r="BWK596" s="50"/>
      <c r="BWL596" s="50"/>
      <c r="BWM596" s="46"/>
      <c r="BWN596" s="47"/>
      <c r="BWO596" s="46"/>
      <c r="BWP596" s="48"/>
      <c r="BWQ596" s="53"/>
      <c r="BWX596" s="15"/>
      <c r="BWY596" s="50"/>
      <c r="BWZ596" s="50"/>
      <c r="BXA596" s="46"/>
      <c r="BXB596" s="47"/>
      <c r="BXC596" s="46"/>
      <c r="BXD596" s="48"/>
      <c r="BXE596" s="53"/>
      <c r="BXL596" s="15"/>
      <c r="BXM596" s="50"/>
      <c r="BXN596" s="50"/>
      <c r="BXO596" s="46"/>
      <c r="BXP596" s="47"/>
      <c r="BXQ596" s="46"/>
      <c r="BXR596" s="48"/>
      <c r="BXS596" s="53"/>
      <c r="BXZ596" s="15"/>
      <c r="BYA596" s="50"/>
      <c r="BYB596" s="50"/>
      <c r="BYC596" s="46"/>
      <c r="BYD596" s="47"/>
      <c r="BYE596" s="46"/>
      <c r="BYF596" s="48"/>
      <c r="BYG596" s="53"/>
      <c r="BYN596" s="15"/>
      <c r="BYO596" s="50"/>
      <c r="BYP596" s="50"/>
      <c r="BYQ596" s="46"/>
      <c r="BYR596" s="47"/>
      <c r="BYS596" s="46"/>
      <c r="BYT596" s="48"/>
      <c r="BYU596" s="53"/>
      <c r="BZB596" s="15"/>
      <c r="BZC596" s="50"/>
      <c r="BZD596" s="50"/>
      <c r="BZE596" s="46"/>
      <c r="BZF596" s="47"/>
      <c r="BZG596" s="46"/>
      <c r="BZH596" s="48"/>
      <c r="BZI596" s="53"/>
      <c r="BZP596" s="15"/>
      <c r="BZQ596" s="50"/>
      <c r="BZR596" s="50"/>
      <c r="BZS596" s="46"/>
      <c r="BZT596" s="47"/>
      <c r="BZU596" s="46"/>
      <c r="BZV596" s="48"/>
      <c r="BZW596" s="53"/>
      <c r="CAD596" s="15"/>
      <c r="CAE596" s="50"/>
      <c r="CAF596" s="50"/>
      <c r="CAG596" s="46"/>
      <c r="CAH596" s="47"/>
      <c r="CAI596" s="46"/>
      <c r="CAJ596" s="48"/>
      <c r="CAK596" s="53"/>
      <c r="CAR596" s="15"/>
      <c r="CAS596" s="50"/>
      <c r="CAT596" s="50"/>
      <c r="CAU596" s="46"/>
      <c r="CAV596" s="47"/>
      <c r="CAW596" s="46"/>
      <c r="CAX596" s="48"/>
      <c r="CAY596" s="53"/>
      <c r="CBF596" s="15"/>
      <c r="CBG596" s="50"/>
      <c r="CBH596" s="50"/>
      <c r="CBI596" s="46"/>
      <c r="CBJ596" s="47"/>
      <c r="CBK596" s="46"/>
      <c r="CBL596" s="48"/>
      <c r="CBM596" s="53"/>
      <c r="CBT596" s="15"/>
      <c r="CBU596" s="50"/>
      <c r="CBV596" s="50"/>
      <c r="CBW596" s="46"/>
      <c r="CBX596" s="47"/>
      <c r="CBY596" s="46"/>
      <c r="CBZ596" s="48"/>
      <c r="CCA596" s="53"/>
      <c r="CCH596" s="15"/>
      <c r="CCI596" s="50"/>
      <c r="CCJ596" s="50"/>
      <c r="CCK596" s="46"/>
      <c r="CCL596" s="47"/>
      <c r="CCM596" s="46"/>
      <c r="CCN596" s="48"/>
      <c r="CCO596" s="53"/>
      <c r="CCV596" s="15"/>
      <c r="CCW596" s="50"/>
      <c r="CCX596" s="50"/>
      <c r="CCY596" s="46"/>
      <c r="CCZ596" s="47"/>
      <c r="CDA596" s="46"/>
      <c r="CDB596" s="48"/>
      <c r="CDC596" s="53"/>
      <c r="CDJ596" s="15"/>
      <c r="CDK596" s="50"/>
      <c r="CDL596" s="50"/>
      <c r="CDM596" s="46"/>
      <c r="CDN596" s="47"/>
      <c r="CDO596" s="46"/>
      <c r="CDP596" s="48"/>
      <c r="CDQ596" s="53"/>
      <c r="CDX596" s="15"/>
      <c r="CDY596" s="50"/>
      <c r="CDZ596" s="50"/>
      <c r="CEA596" s="46"/>
      <c r="CEB596" s="47"/>
      <c r="CEC596" s="46"/>
      <c r="CED596" s="48"/>
      <c r="CEE596" s="53"/>
      <c r="CEL596" s="15"/>
      <c r="CEM596" s="50"/>
      <c r="CEN596" s="50"/>
      <c r="CEO596" s="46"/>
      <c r="CEP596" s="47"/>
      <c r="CEQ596" s="46"/>
      <c r="CER596" s="48"/>
      <c r="CES596" s="53"/>
      <c r="CEZ596" s="15"/>
      <c r="CFA596" s="50"/>
      <c r="CFB596" s="50"/>
      <c r="CFC596" s="46"/>
      <c r="CFD596" s="47"/>
      <c r="CFE596" s="46"/>
      <c r="CFF596" s="48"/>
      <c r="CFG596" s="53"/>
      <c r="CFN596" s="15"/>
      <c r="CFO596" s="50"/>
      <c r="CFP596" s="50"/>
      <c r="CFQ596" s="46"/>
      <c r="CFR596" s="47"/>
      <c r="CFS596" s="46"/>
      <c r="CFT596" s="48"/>
      <c r="CFU596" s="53"/>
      <c r="CGB596" s="15"/>
      <c r="CGC596" s="50"/>
      <c r="CGD596" s="50"/>
      <c r="CGE596" s="46"/>
      <c r="CGF596" s="47"/>
      <c r="CGG596" s="46"/>
      <c r="CGH596" s="48"/>
      <c r="CGI596" s="53"/>
      <c r="CGP596" s="15"/>
      <c r="CGQ596" s="50"/>
      <c r="CGR596" s="50"/>
      <c r="CGS596" s="46"/>
      <c r="CGT596" s="47"/>
      <c r="CGU596" s="46"/>
      <c r="CGV596" s="48"/>
      <c r="CGW596" s="53"/>
      <c r="CHD596" s="15"/>
      <c r="CHE596" s="50"/>
      <c r="CHF596" s="50"/>
      <c r="CHG596" s="46"/>
      <c r="CHH596" s="47"/>
      <c r="CHI596" s="46"/>
      <c r="CHJ596" s="48"/>
      <c r="CHK596" s="53"/>
      <c r="CHR596" s="15"/>
      <c r="CHS596" s="50"/>
      <c r="CHT596" s="50"/>
      <c r="CHU596" s="46"/>
      <c r="CHV596" s="47"/>
      <c r="CHW596" s="46"/>
      <c r="CHX596" s="48"/>
      <c r="CHY596" s="53"/>
      <c r="CIF596" s="15"/>
      <c r="CIG596" s="50"/>
      <c r="CIH596" s="50"/>
      <c r="CII596" s="46"/>
      <c r="CIJ596" s="47"/>
      <c r="CIK596" s="46"/>
      <c r="CIL596" s="48"/>
      <c r="CIM596" s="53"/>
      <c r="CIT596" s="15"/>
      <c r="CIU596" s="50"/>
      <c r="CIV596" s="50"/>
      <c r="CIW596" s="46"/>
      <c r="CIX596" s="47"/>
      <c r="CIY596" s="46"/>
      <c r="CIZ596" s="48"/>
      <c r="CJA596" s="53"/>
      <c r="CJH596" s="15"/>
      <c r="CJI596" s="50"/>
      <c r="CJJ596" s="50"/>
      <c r="CJK596" s="46"/>
      <c r="CJL596" s="47"/>
      <c r="CJM596" s="46"/>
      <c r="CJN596" s="48"/>
      <c r="CJO596" s="53"/>
      <c r="CJV596" s="15"/>
      <c r="CJW596" s="50"/>
      <c r="CJX596" s="50"/>
      <c r="CJY596" s="46"/>
      <c r="CJZ596" s="47"/>
      <c r="CKA596" s="46"/>
      <c r="CKB596" s="48"/>
      <c r="CKC596" s="53"/>
      <c r="CKJ596" s="15"/>
      <c r="CKK596" s="50"/>
      <c r="CKL596" s="50"/>
      <c r="CKM596" s="46"/>
      <c r="CKN596" s="47"/>
      <c r="CKO596" s="46"/>
      <c r="CKP596" s="48"/>
      <c r="CKQ596" s="53"/>
      <c r="CKX596" s="15"/>
      <c r="CKY596" s="50"/>
      <c r="CKZ596" s="50"/>
      <c r="CLA596" s="46"/>
      <c r="CLB596" s="47"/>
      <c r="CLC596" s="46"/>
      <c r="CLD596" s="48"/>
      <c r="CLE596" s="53"/>
      <c r="CLL596" s="15"/>
      <c r="CLM596" s="50"/>
      <c r="CLN596" s="50"/>
      <c r="CLO596" s="46"/>
      <c r="CLP596" s="47"/>
      <c r="CLQ596" s="46"/>
      <c r="CLR596" s="48"/>
      <c r="CLS596" s="53"/>
      <c r="CLZ596" s="15"/>
      <c r="CMA596" s="50"/>
      <c r="CMB596" s="50"/>
      <c r="CMC596" s="46"/>
      <c r="CMD596" s="47"/>
      <c r="CME596" s="46"/>
      <c r="CMF596" s="48"/>
      <c r="CMG596" s="53"/>
      <c r="CMN596" s="15"/>
      <c r="CMO596" s="50"/>
      <c r="CMP596" s="50"/>
      <c r="CMQ596" s="46"/>
      <c r="CMR596" s="47"/>
      <c r="CMS596" s="46"/>
      <c r="CMT596" s="48"/>
      <c r="CMU596" s="53"/>
      <c r="CNB596" s="15"/>
      <c r="CNC596" s="50"/>
      <c r="CND596" s="50"/>
      <c r="CNE596" s="46"/>
      <c r="CNF596" s="47"/>
      <c r="CNG596" s="46"/>
      <c r="CNH596" s="48"/>
      <c r="CNI596" s="53"/>
      <c r="CNP596" s="15"/>
      <c r="CNQ596" s="50"/>
      <c r="CNR596" s="50"/>
      <c r="CNS596" s="46"/>
      <c r="CNT596" s="47"/>
      <c r="CNU596" s="46"/>
      <c r="CNV596" s="48"/>
      <c r="CNW596" s="53"/>
      <c r="COD596" s="15"/>
      <c r="COE596" s="50"/>
      <c r="COF596" s="50"/>
      <c r="COG596" s="46"/>
      <c r="COH596" s="47"/>
      <c r="COI596" s="46"/>
      <c r="COJ596" s="48"/>
      <c r="COK596" s="53"/>
      <c r="COR596" s="15"/>
      <c r="COS596" s="50"/>
      <c r="COT596" s="50"/>
      <c r="COU596" s="46"/>
      <c r="COV596" s="47"/>
      <c r="COW596" s="46"/>
      <c r="COX596" s="48"/>
      <c r="COY596" s="53"/>
      <c r="CPF596" s="15"/>
      <c r="CPG596" s="50"/>
      <c r="CPH596" s="50"/>
      <c r="CPI596" s="46"/>
      <c r="CPJ596" s="47"/>
      <c r="CPK596" s="46"/>
      <c r="CPL596" s="48"/>
      <c r="CPM596" s="53"/>
      <c r="CPT596" s="15"/>
      <c r="CPU596" s="50"/>
      <c r="CPV596" s="50"/>
      <c r="CPW596" s="46"/>
      <c r="CPX596" s="47"/>
      <c r="CPY596" s="46"/>
      <c r="CPZ596" s="48"/>
      <c r="CQA596" s="53"/>
      <c r="CQH596" s="15"/>
      <c r="CQI596" s="50"/>
      <c r="CQJ596" s="50"/>
      <c r="CQK596" s="46"/>
      <c r="CQL596" s="47"/>
      <c r="CQM596" s="46"/>
      <c r="CQN596" s="48"/>
      <c r="CQO596" s="53"/>
      <c r="CQV596" s="15"/>
      <c r="CQW596" s="50"/>
      <c r="CQX596" s="50"/>
      <c r="CQY596" s="46"/>
      <c r="CQZ596" s="47"/>
      <c r="CRA596" s="46"/>
      <c r="CRB596" s="48"/>
      <c r="CRC596" s="53"/>
      <c r="CRJ596" s="15"/>
      <c r="CRK596" s="50"/>
      <c r="CRL596" s="50"/>
      <c r="CRM596" s="46"/>
      <c r="CRN596" s="47"/>
      <c r="CRO596" s="46"/>
      <c r="CRP596" s="48"/>
      <c r="CRQ596" s="53"/>
      <c r="CRX596" s="15"/>
      <c r="CRY596" s="50"/>
      <c r="CRZ596" s="50"/>
      <c r="CSA596" s="46"/>
      <c r="CSB596" s="47"/>
      <c r="CSC596" s="46"/>
      <c r="CSD596" s="48"/>
      <c r="CSE596" s="53"/>
      <c r="CSL596" s="15"/>
      <c r="CSM596" s="50"/>
      <c r="CSN596" s="50"/>
      <c r="CSO596" s="46"/>
      <c r="CSP596" s="47"/>
      <c r="CSQ596" s="46"/>
      <c r="CSR596" s="48"/>
      <c r="CSS596" s="53"/>
      <c r="CSZ596" s="15"/>
      <c r="CTA596" s="50"/>
      <c r="CTB596" s="50"/>
      <c r="CTC596" s="46"/>
      <c r="CTD596" s="47"/>
      <c r="CTE596" s="46"/>
      <c r="CTF596" s="48"/>
      <c r="CTG596" s="53"/>
      <c r="CTN596" s="15"/>
      <c r="CTO596" s="50"/>
      <c r="CTP596" s="50"/>
      <c r="CTQ596" s="46"/>
      <c r="CTR596" s="47"/>
      <c r="CTS596" s="46"/>
      <c r="CTT596" s="48"/>
      <c r="CTU596" s="53"/>
      <c r="CUB596" s="15"/>
      <c r="CUC596" s="50"/>
      <c r="CUD596" s="50"/>
      <c r="CUE596" s="46"/>
      <c r="CUF596" s="47"/>
      <c r="CUG596" s="46"/>
      <c r="CUH596" s="48"/>
      <c r="CUI596" s="53"/>
      <c r="CUP596" s="15"/>
      <c r="CUQ596" s="50"/>
      <c r="CUR596" s="50"/>
      <c r="CUS596" s="46"/>
      <c r="CUT596" s="47"/>
      <c r="CUU596" s="46"/>
      <c r="CUV596" s="48"/>
      <c r="CUW596" s="53"/>
      <c r="CVD596" s="15"/>
      <c r="CVE596" s="50"/>
      <c r="CVF596" s="50"/>
      <c r="CVG596" s="46"/>
      <c r="CVH596" s="47"/>
      <c r="CVI596" s="46"/>
      <c r="CVJ596" s="48"/>
      <c r="CVK596" s="53"/>
      <c r="CVR596" s="15"/>
      <c r="CVS596" s="50"/>
      <c r="CVT596" s="50"/>
      <c r="CVU596" s="46"/>
      <c r="CVV596" s="47"/>
      <c r="CVW596" s="46"/>
      <c r="CVX596" s="48"/>
      <c r="CVY596" s="53"/>
      <c r="CWF596" s="15"/>
      <c r="CWG596" s="50"/>
      <c r="CWH596" s="50"/>
      <c r="CWI596" s="46"/>
      <c r="CWJ596" s="47"/>
      <c r="CWK596" s="46"/>
      <c r="CWL596" s="48"/>
      <c r="CWM596" s="53"/>
      <c r="CWT596" s="15"/>
      <c r="CWU596" s="50"/>
      <c r="CWV596" s="50"/>
      <c r="CWW596" s="46"/>
      <c r="CWX596" s="47"/>
      <c r="CWY596" s="46"/>
      <c r="CWZ596" s="48"/>
      <c r="CXA596" s="53"/>
      <c r="CXH596" s="15"/>
      <c r="CXI596" s="50"/>
      <c r="CXJ596" s="50"/>
      <c r="CXK596" s="46"/>
      <c r="CXL596" s="47"/>
      <c r="CXM596" s="46"/>
      <c r="CXN596" s="48"/>
      <c r="CXO596" s="53"/>
      <c r="CXV596" s="15"/>
      <c r="CXW596" s="50"/>
      <c r="CXX596" s="50"/>
      <c r="CXY596" s="46"/>
      <c r="CXZ596" s="47"/>
      <c r="CYA596" s="46"/>
      <c r="CYB596" s="48"/>
      <c r="CYC596" s="53"/>
      <c r="CYJ596" s="15"/>
      <c r="CYK596" s="50"/>
      <c r="CYL596" s="50"/>
      <c r="CYM596" s="46"/>
      <c r="CYN596" s="47"/>
      <c r="CYO596" s="46"/>
      <c r="CYP596" s="48"/>
      <c r="CYQ596" s="53"/>
      <c r="CYX596" s="15"/>
      <c r="CYY596" s="50"/>
      <c r="CYZ596" s="50"/>
      <c r="CZA596" s="46"/>
      <c r="CZB596" s="47"/>
      <c r="CZC596" s="46"/>
      <c r="CZD596" s="48"/>
      <c r="CZE596" s="53"/>
      <c r="CZL596" s="15"/>
      <c r="CZM596" s="50"/>
      <c r="CZN596" s="50"/>
      <c r="CZO596" s="46"/>
      <c r="CZP596" s="47"/>
      <c r="CZQ596" s="46"/>
      <c r="CZR596" s="48"/>
      <c r="CZS596" s="53"/>
      <c r="CZZ596" s="15"/>
      <c r="DAA596" s="50"/>
      <c r="DAB596" s="50"/>
      <c r="DAC596" s="46"/>
      <c r="DAD596" s="47"/>
      <c r="DAE596" s="46"/>
      <c r="DAF596" s="48"/>
      <c r="DAG596" s="53"/>
      <c r="DAN596" s="15"/>
      <c r="DAO596" s="50"/>
      <c r="DAP596" s="50"/>
      <c r="DAQ596" s="46"/>
      <c r="DAR596" s="47"/>
      <c r="DAS596" s="46"/>
      <c r="DAT596" s="48"/>
      <c r="DAU596" s="53"/>
      <c r="DBB596" s="15"/>
      <c r="DBC596" s="50"/>
      <c r="DBD596" s="50"/>
      <c r="DBE596" s="46"/>
      <c r="DBF596" s="47"/>
      <c r="DBG596" s="46"/>
      <c r="DBH596" s="48"/>
      <c r="DBI596" s="53"/>
      <c r="DBP596" s="15"/>
      <c r="DBQ596" s="50"/>
      <c r="DBR596" s="50"/>
      <c r="DBS596" s="46"/>
      <c r="DBT596" s="47"/>
      <c r="DBU596" s="46"/>
      <c r="DBV596" s="48"/>
      <c r="DBW596" s="53"/>
      <c r="DCD596" s="15"/>
      <c r="DCE596" s="50"/>
      <c r="DCF596" s="50"/>
      <c r="DCG596" s="46"/>
      <c r="DCH596" s="47"/>
      <c r="DCI596" s="46"/>
      <c r="DCJ596" s="48"/>
      <c r="DCK596" s="53"/>
      <c r="DCR596" s="15"/>
      <c r="DCS596" s="50"/>
      <c r="DCT596" s="50"/>
      <c r="DCU596" s="46"/>
      <c r="DCV596" s="47"/>
      <c r="DCW596" s="46"/>
      <c r="DCX596" s="48"/>
      <c r="DCY596" s="53"/>
      <c r="DDF596" s="15"/>
      <c r="DDG596" s="50"/>
      <c r="DDH596" s="50"/>
      <c r="DDI596" s="46"/>
      <c r="DDJ596" s="47"/>
      <c r="DDK596" s="46"/>
      <c r="DDL596" s="48"/>
      <c r="DDM596" s="53"/>
      <c r="DDT596" s="15"/>
      <c r="DDU596" s="50"/>
      <c r="DDV596" s="50"/>
      <c r="DDW596" s="46"/>
      <c r="DDX596" s="47"/>
      <c r="DDY596" s="46"/>
      <c r="DDZ596" s="48"/>
      <c r="DEA596" s="53"/>
      <c r="DEH596" s="15"/>
      <c r="DEI596" s="50"/>
      <c r="DEJ596" s="50"/>
      <c r="DEK596" s="46"/>
      <c r="DEL596" s="47"/>
      <c r="DEM596" s="46"/>
      <c r="DEN596" s="48"/>
      <c r="DEO596" s="53"/>
      <c r="DEV596" s="15"/>
      <c r="DEW596" s="50"/>
      <c r="DEX596" s="50"/>
      <c r="DEY596" s="46"/>
      <c r="DEZ596" s="47"/>
      <c r="DFA596" s="46"/>
      <c r="DFB596" s="48"/>
      <c r="DFC596" s="53"/>
      <c r="DFJ596" s="15"/>
      <c r="DFK596" s="50"/>
      <c r="DFL596" s="50"/>
      <c r="DFM596" s="46"/>
      <c r="DFN596" s="47"/>
      <c r="DFO596" s="46"/>
      <c r="DFP596" s="48"/>
      <c r="DFQ596" s="53"/>
      <c r="DFX596" s="15"/>
      <c r="DFY596" s="50"/>
      <c r="DFZ596" s="50"/>
      <c r="DGA596" s="46"/>
      <c r="DGB596" s="47"/>
      <c r="DGC596" s="46"/>
      <c r="DGD596" s="48"/>
      <c r="DGE596" s="53"/>
      <c r="DGL596" s="15"/>
      <c r="DGM596" s="50"/>
      <c r="DGN596" s="50"/>
      <c r="DGO596" s="46"/>
      <c r="DGP596" s="47"/>
      <c r="DGQ596" s="46"/>
      <c r="DGR596" s="48"/>
      <c r="DGS596" s="53"/>
      <c r="DGZ596" s="15"/>
      <c r="DHA596" s="50"/>
      <c r="DHB596" s="50"/>
      <c r="DHC596" s="46"/>
      <c r="DHD596" s="47"/>
      <c r="DHE596" s="46"/>
      <c r="DHF596" s="48"/>
      <c r="DHG596" s="53"/>
      <c r="DHN596" s="15"/>
      <c r="DHO596" s="50"/>
      <c r="DHP596" s="50"/>
      <c r="DHQ596" s="46"/>
      <c r="DHR596" s="47"/>
      <c r="DHS596" s="46"/>
      <c r="DHT596" s="48"/>
      <c r="DHU596" s="53"/>
      <c r="DIB596" s="15"/>
      <c r="DIC596" s="50"/>
      <c r="DID596" s="50"/>
      <c r="DIE596" s="46"/>
      <c r="DIF596" s="47"/>
      <c r="DIG596" s="46"/>
      <c r="DIH596" s="48"/>
      <c r="DII596" s="53"/>
      <c r="DIP596" s="15"/>
      <c r="DIQ596" s="50"/>
      <c r="DIR596" s="50"/>
      <c r="DIS596" s="46"/>
      <c r="DIT596" s="47"/>
      <c r="DIU596" s="46"/>
      <c r="DIV596" s="48"/>
      <c r="DIW596" s="53"/>
      <c r="DJD596" s="15"/>
      <c r="DJE596" s="50"/>
      <c r="DJF596" s="50"/>
      <c r="DJG596" s="46"/>
      <c r="DJH596" s="47"/>
      <c r="DJI596" s="46"/>
      <c r="DJJ596" s="48"/>
      <c r="DJK596" s="53"/>
      <c r="DJR596" s="15"/>
      <c r="DJS596" s="50"/>
      <c r="DJT596" s="50"/>
      <c r="DJU596" s="46"/>
      <c r="DJV596" s="47"/>
      <c r="DJW596" s="46"/>
      <c r="DJX596" s="48"/>
      <c r="DJY596" s="53"/>
      <c r="DKF596" s="15"/>
      <c r="DKG596" s="50"/>
      <c r="DKH596" s="50"/>
      <c r="DKI596" s="46"/>
      <c r="DKJ596" s="47"/>
      <c r="DKK596" s="46"/>
      <c r="DKL596" s="48"/>
      <c r="DKM596" s="53"/>
      <c r="DKT596" s="15"/>
      <c r="DKU596" s="50"/>
      <c r="DKV596" s="50"/>
      <c r="DKW596" s="46"/>
      <c r="DKX596" s="47"/>
      <c r="DKY596" s="46"/>
      <c r="DKZ596" s="48"/>
      <c r="DLA596" s="53"/>
      <c r="DLH596" s="15"/>
      <c r="DLI596" s="50"/>
      <c r="DLJ596" s="50"/>
      <c r="DLK596" s="46"/>
      <c r="DLL596" s="47"/>
      <c r="DLM596" s="46"/>
      <c r="DLN596" s="48"/>
      <c r="DLO596" s="53"/>
      <c r="DLV596" s="15"/>
      <c r="DLW596" s="50"/>
      <c r="DLX596" s="50"/>
      <c r="DLY596" s="46"/>
      <c r="DLZ596" s="47"/>
      <c r="DMA596" s="46"/>
      <c r="DMB596" s="48"/>
      <c r="DMC596" s="53"/>
      <c r="DMJ596" s="15"/>
      <c r="DMK596" s="50"/>
      <c r="DML596" s="50"/>
      <c r="DMM596" s="46"/>
      <c r="DMN596" s="47"/>
      <c r="DMO596" s="46"/>
      <c r="DMP596" s="48"/>
      <c r="DMQ596" s="53"/>
      <c r="DMX596" s="15"/>
      <c r="DMY596" s="50"/>
      <c r="DMZ596" s="50"/>
      <c r="DNA596" s="46"/>
      <c r="DNB596" s="47"/>
      <c r="DNC596" s="46"/>
      <c r="DND596" s="48"/>
      <c r="DNE596" s="53"/>
      <c r="DNL596" s="15"/>
      <c r="DNM596" s="50"/>
      <c r="DNN596" s="50"/>
      <c r="DNO596" s="46"/>
      <c r="DNP596" s="47"/>
      <c r="DNQ596" s="46"/>
      <c r="DNR596" s="48"/>
      <c r="DNS596" s="53"/>
      <c r="DNZ596" s="15"/>
      <c r="DOA596" s="50"/>
      <c r="DOB596" s="50"/>
      <c r="DOC596" s="46"/>
      <c r="DOD596" s="47"/>
      <c r="DOE596" s="46"/>
      <c r="DOF596" s="48"/>
      <c r="DOG596" s="53"/>
      <c r="DON596" s="15"/>
      <c r="DOO596" s="50"/>
      <c r="DOP596" s="50"/>
      <c r="DOQ596" s="46"/>
      <c r="DOR596" s="47"/>
      <c r="DOS596" s="46"/>
      <c r="DOT596" s="48"/>
      <c r="DOU596" s="53"/>
      <c r="DPB596" s="15"/>
      <c r="DPC596" s="50"/>
      <c r="DPD596" s="50"/>
      <c r="DPE596" s="46"/>
      <c r="DPF596" s="47"/>
      <c r="DPG596" s="46"/>
      <c r="DPH596" s="48"/>
      <c r="DPI596" s="53"/>
      <c r="DPP596" s="15"/>
      <c r="DPQ596" s="50"/>
      <c r="DPR596" s="50"/>
      <c r="DPS596" s="46"/>
      <c r="DPT596" s="47"/>
      <c r="DPU596" s="46"/>
      <c r="DPV596" s="48"/>
      <c r="DPW596" s="53"/>
      <c r="DQD596" s="15"/>
      <c r="DQE596" s="50"/>
      <c r="DQF596" s="50"/>
      <c r="DQG596" s="46"/>
      <c r="DQH596" s="47"/>
      <c r="DQI596" s="46"/>
      <c r="DQJ596" s="48"/>
      <c r="DQK596" s="53"/>
      <c r="DQR596" s="15"/>
      <c r="DQS596" s="50"/>
      <c r="DQT596" s="50"/>
      <c r="DQU596" s="46"/>
      <c r="DQV596" s="47"/>
      <c r="DQW596" s="46"/>
      <c r="DQX596" s="48"/>
      <c r="DQY596" s="53"/>
      <c r="DRF596" s="15"/>
      <c r="DRG596" s="50"/>
      <c r="DRH596" s="50"/>
      <c r="DRI596" s="46"/>
      <c r="DRJ596" s="47"/>
      <c r="DRK596" s="46"/>
      <c r="DRL596" s="48"/>
      <c r="DRM596" s="53"/>
      <c r="DRT596" s="15"/>
      <c r="DRU596" s="50"/>
      <c r="DRV596" s="50"/>
      <c r="DRW596" s="46"/>
      <c r="DRX596" s="47"/>
      <c r="DRY596" s="46"/>
      <c r="DRZ596" s="48"/>
      <c r="DSA596" s="53"/>
      <c r="DSH596" s="15"/>
      <c r="DSI596" s="50"/>
      <c r="DSJ596" s="50"/>
      <c r="DSK596" s="46"/>
      <c r="DSL596" s="47"/>
      <c r="DSM596" s="46"/>
      <c r="DSN596" s="48"/>
      <c r="DSO596" s="53"/>
      <c r="DSV596" s="15"/>
      <c r="DSW596" s="50"/>
      <c r="DSX596" s="50"/>
      <c r="DSY596" s="46"/>
      <c r="DSZ596" s="47"/>
      <c r="DTA596" s="46"/>
      <c r="DTB596" s="48"/>
      <c r="DTC596" s="53"/>
      <c r="DTJ596" s="15"/>
      <c r="DTK596" s="50"/>
      <c r="DTL596" s="50"/>
      <c r="DTM596" s="46"/>
      <c r="DTN596" s="47"/>
      <c r="DTO596" s="46"/>
      <c r="DTP596" s="48"/>
      <c r="DTQ596" s="53"/>
      <c r="DTX596" s="15"/>
      <c r="DTY596" s="50"/>
      <c r="DTZ596" s="50"/>
      <c r="DUA596" s="46"/>
      <c r="DUB596" s="47"/>
      <c r="DUC596" s="46"/>
      <c r="DUD596" s="48"/>
      <c r="DUE596" s="53"/>
      <c r="DUL596" s="15"/>
      <c r="DUM596" s="50"/>
      <c r="DUN596" s="50"/>
      <c r="DUO596" s="46"/>
      <c r="DUP596" s="47"/>
      <c r="DUQ596" s="46"/>
      <c r="DUR596" s="48"/>
      <c r="DUS596" s="53"/>
      <c r="DUZ596" s="15"/>
      <c r="DVA596" s="50"/>
      <c r="DVB596" s="50"/>
      <c r="DVC596" s="46"/>
      <c r="DVD596" s="47"/>
      <c r="DVE596" s="46"/>
      <c r="DVF596" s="48"/>
      <c r="DVG596" s="53"/>
      <c r="DVN596" s="15"/>
      <c r="DVO596" s="50"/>
      <c r="DVP596" s="50"/>
      <c r="DVQ596" s="46"/>
      <c r="DVR596" s="47"/>
      <c r="DVS596" s="46"/>
      <c r="DVT596" s="48"/>
      <c r="DVU596" s="53"/>
      <c r="DWB596" s="15"/>
      <c r="DWC596" s="50"/>
      <c r="DWD596" s="50"/>
      <c r="DWE596" s="46"/>
      <c r="DWF596" s="47"/>
      <c r="DWG596" s="46"/>
      <c r="DWH596" s="48"/>
      <c r="DWI596" s="53"/>
      <c r="DWP596" s="15"/>
      <c r="DWQ596" s="50"/>
      <c r="DWR596" s="50"/>
      <c r="DWS596" s="46"/>
      <c r="DWT596" s="47"/>
      <c r="DWU596" s="46"/>
      <c r="DWV596" s="48"/>
      <c r="DWW596" s="53"/>
      <c r="DXD596" s="15"/>
      <c r="DXE596" s="50"/>
      <c r="DXF596" s="50"/>
      <c r="DXG596" s="46"/>
      <c r="DXH596" s="47"/>
      <c r="DXI596" s="46"/>
      <c r="DXJ596" s="48"/>
      <c r="DXK596" s="53"/>
      <c r="DXR596" s="15"/>
      <c r="DXS596" s="50"/>
      <c r="DXT596" s="50"/>
      <c r="DXU596" s="46"/>
      <c r="DXV596" s="47"/>
      <c r="DXW596" s="46"/>
      <c r="DXX596" s="48"/>
      <c r="DXY596" s="53"/>
      <c r="DYF596" s="15"/>
      <c r="DYG596" s="50"/>
      <c r="DYH596" s="50"/>
      <c r="DYI596" s="46"/>
      <c r="DYJ596" s="47"/>
      <c r="DYK596" s="46"/>
      <c r="DYL596" s="48"/>
      <c r="DYM596" s="53"/>
      <c r="DYT596" s="15"/>
      <c r="DYU596" s="50"/>
      <c r="DYV596" s="50"/>
      <c r="DYW596" s="46"/>
      <c r="DYX596" s="47"/>
      <c r="DYY596" s="46"/>
      <c r="DYZ596" s="48"/>
      <c r="DZA596" s="53"/>
      <c r="DZH596" s="15"/>
      <c r="DZI596" s="50"/>
      <c r="DZJ596" s="50"/>
      <c r="DZK596" s="46"/>
      <c r="DZL596" s="47"/>
      <c r="DZM596" s="46"/>
      <c r="DZN596" s="48"/>
      <c r="DZO596" s="53"/>
      <c r="DZV596" s="15"/>
      <c r="DZW596" s="50"/>
      <c r="DZX596" s="50"/>
      <c r="DZY596" s="46"/>
      <c r="DZZ596" s="47"/>
      <c r="EAA596" s="46"/>
      <c r="EAB596" s="48"/>
      <c r="EAC596" s="53"/>
      <c r="EAJ596" s="15"/>
      <c r="EAK596" s="50"/>
      <c r="EAL596" s="50"/>
      <c r="EAM596" s="46"/>
      <c r="EAN596" s="47"/>
      <c r="EAO596" s="46"/>
      <c r="EAP596" s="48"/>
      <c r="EAQ596" s="53"/>
      <c r="EAX596" s="15"/>
      <c r="EAY596" s="50"/>
      <c r="EAZ596" s="50"/>
      <c r="EBA596" s="46"/>
      <c r="EBB596" s="47"/>
      <c r="EBC596" s="46"/>
      <c r="EBD596" s="48"/>
      <c r="EBE596" s="53"/>
      <c r="EBL596" s="15"/>
      <c r="EBM596" s="50"/>
      <c r="EBN596" s="50"/>
      <c r="EBO596" s="46"/>
      <c r="EBP596" s="47"/>
      <c r="EBQ596" s="46"/>
      <c r="EBR596" s="48"/>
      <c r="EBS596" s="53"/>
      <c r="EBZ596" s="15"/>
      <c r="ECA596" s="50"/>
      <c r="ECB596" s="50"/>
      <c r="ECC596" s="46"/>
      <c r="ECD596" s="47"/>
      <c r="ECE596" s="46"/>
      <c r="ECF596" s="48"/>
      <c r="ECG596" s="53"/>
      <c r="ECN596" s="15"/>
      <c r="ECO596" s="50"/>
      <c r="ECP596" s="50"/>
      <c r="ECQ596" s="46"/>
      <c r="ECR596" s="47"/>
      <c r="ECS596" s="46"/>
      <c r="ECT596" s="48"/>
      <c r="ECU596" s="53"/>
      <c r="EDB596" s="15"/>
      <c r="EDC596" s="50"/>
      <c r="EDD596" s="50"/>
      <c r="EDE596" s="46"/>
      <c r="EDF596" s="47"/>
      <c r="EDG596" s="46"/>
      <c r="EDH596" s="48"/>
      <c r="EDI596" s="53"/>
      <c r="EDP596" s="15"/>
      <c r="EDQ596" s="50"/>
      <c r="EDR596" s="50"/>
      <c r="EDS596" s="46"/>
      <c r="EDT596" s="47"/>
      <c r="EDU596" s="46"/>
      <c r="EDV596" s="48"/>
      <c r="EDW596" s="53"/>
      <c r="EED596" s="15"/>
      <c r="EEE596" s="50"/>
      <c r="EEF596" s="50"/>
      <c r="EEG596" s="46"/>
      <c r="EEH596" s="47"/>
      <c r="EEI596" s="46"/>
      <c r="EEJ596" s="48"/>
      <c r="EEK596" s="53"/>
      <c r="EER596" s="15"/>
      <c r="EES596" s="50"/>
      <c r="EET596" s="50"/>
      <c r="EEU596" s="46"/>
      <c r="EEV596" s="47"/>
      <c r="EEW596" s="46"/>
      <c r="EEX596" s="48"/>
      <c r="EEY596" s="53"/>
      <c r="EFF596" s="15"/>
      <c r="EFG596" s="50"/>
      <c r="EFH596" s="50"/>
      <c r="EFI596" s="46"/>
      <c r="EFJ596" s="47"/>
      <c r="EFK596" s="46"/>
      <c r="EFL596" s="48"/>
      <c r="EFM596" s="53"/>
      <c r="EFT596" s="15"/>
      <c r="EFU596" s="50"/>
      <c r="EFV596" s="50"/>
      <c r="EFW596" s="46"/>
      <c r="EFX596" s="47"/>
      <c r="EFY596" s="46"/>
      <c r="EFZ596" s="48"/>
      <c r="EGA596" s="53"/>
      <c r="EGH596" s="15"/>
      <c r="EGI596" s="50"/>
      <c r="EGJ596" s="50"/>
      <c r="EGK596" s="46"/>
      <c r="EGL596" s="47"/>
      <c r="EGM596" s="46"/>
      <c r="EGN596" s="48"/>
      <c r="EGO596" s="53"/>
      <c r="EGV596" s="15"/>
      <c r="EGW596" s="50"/>
      <c r="EGX596" s="50"/>
      <c r="EGY596" s="46"/>
      <c r="EGZ596" s="47"/>
      <c r="EHA596" s="46"/>
      <c r="EHB596" s="48"/>
      <c r="EHC596" s="53"/>
      <c r="EHJ596" s="15"/>
      <c r="EHK596" s="50"/>
      <c r="EHL596" s="50"/>
      <c r="EHM596" s="46"/>
      <c r="EHN596" s="47"/>
      <c r="EHO596" s="46"/>
      <c r="EHP596" s="48"/>
      <c r="EHQ596" s="53"/>
      <c r="EHX596" s="15"/>
      <c r="EHY596" s="50"/>
      <c r="EHZ596" s="50"/>
      <c r="EIA596" s="46"/>
      <c r="EIB596" s="47"/>
      <c r="EIC596" s="46"/>
      <c r="EID596" s="48"/>
      <c r="EIE596" s="53"/>
      <c r="EIL596" s="15"/>
      <c r="EIM596" s="50"/>
      <c r="EIN596" s="50"/>
      <c r="EIO596" s="46"/>
      <c r="EIP596" s="47"/>
      <c r="EIQ596" s="46"/>
      <c r="EIR596" s="48"/>
      <c r="EIS596" s="53"/>
      <c r="EIZ596" s="15"/>
      <c r="EJA596" s="50"/>
      <c r="EJB596" s="50"/>
      <c r="EJC596" s="46"/>
      <c r="EJD596" s="47"/>
      <c r="EJE596" s="46"/>
      <c r="EJF596" s="48"/>
      <c r="EJG596" s="53"/>
      <c r="EJN596" s="15"/>
      <c r="EJO596" s="50"/>
      <c r="EJP596" s="50"/>
      <c r="EJQ596" s="46"/>
      <c r="EJR596" s="47"/>
      <c r="EJS596" s="46"/>
      <c r="EJT596" s="48"/>
      <c r="EJU596" s="53"/>
      <c r="EKB596" s="15"/>
      <c r="EKC596" s="50"/>
      <c r="EKD596" s="50"/>
      <c r="EKE596" s="46"/>
      <c r="EKF596" s="47"/>
      <c r="EKG596" s="46"/>
      <c r="EKH596" s="48"/>
      <c r="EKI596" s="53"/>
      <c r="EKP596" s="15"/>
      <c r="EKQ596" s="50"/>
      <c r="EKR596" s="50"/>
      <c r="EKS596" s="46"/>
      <c r="EKT596" s="47"/>
      <c r="EKU596" s="46"/>
      <c r="EKV596" s="48"/>
      <c r="EKW596" s="53"/>
      <c r="ELD596" s="15"/>
      <c r="ELE596" s="50"/>
      <c r="ELF596" s="50"/>
      <c r="ELG596" s="46"/>
      <c r="ELH596" s="47"/>
      <c r="ELI596" s="46"/>
      <c r="ELJ596" s="48"/>
      <c r="ELK596" s="53"/>
      <c r="ELR596" s="15"/>
      <c r="ELS596" s="50"/>
      <c r="ELT596" s="50"/>
      <c r="ELU596" s="46"/>
      <c r="ELV596" s="47"/>
      <c r="ELW596" s="46"/>
      <c r="ELX596" s="48"/>
      <c r="ELY596" s="53"/>
      <c r="EMF596" s="15"/>
      <c r="EMG596" s="50"/>
      <c r="EMH596" s="50"/>
      <c r="EMI596" s="46"/>
      <c r="EMJ596" s="47"/>
      <c r="EMK596" s="46"/>
      <c r="EML596" s="48"/>
      <c r="EMM596" s="53"/>
      <c r="EMT596" s="15"/>
      <c r="EMU596" s="50"/>
      <c r="EMV596" s="50"/>
      <c r="EMW596" s="46"/>
      <c r="EMX596" s="47"/>
      <c r="EMY596" s="46"/>
      <c r="EMZ596" s="48"/>
      <c r="ENA596" s="53"/>
      <c r="ENH596" s="15"/>
      <c r="ENI596" s="50"/>
      <c r="ENJ596" s="50"/>
      <c r="ENK596" s="46"/>
      <c r="ENL596" s="47"/>
      <c r="ENM596" s="46"/>
      <c r="ENN596" s="48"/>
      <c r="ENO596" s="53"/>
      <c r="ENV596" s="15"/>
      <c r="ENW596" s="50"/>
      <c r="ENX596" s="50"/>
      <c r="ENY596" s="46"/>
      <c r="ENZ596" s="47"/>
      <c r="EOA596" s="46"/>
      <c r="EOB596" s="48"/>
      <c r="EOC596" s="53"/>
      <c r="EOJ596" s="15"/>
      <c r="EOK596" s="50"/>
      <c r="EOL596" s="50"/>
      <c r="EOM596" s="46"/>
      <c r="EON596" s="47"/>
      <c r="EOO596" s="46"/>
      <c r="EOP596" s="48"/>
      <c r="EOQ596" s="53"/>
      <c r="EOX596" s="15"/>
      <c r="EOY596" s="50"/>
      <c r="EOZ596" s="50"/>
      <c r="EPA596" s="46"/>
      <c r="EPB596" s="47"/>
      <c r="EPC596" s="46"/>
      <c r="EPD596" s="48"/>
      <c r="EPE596" s="53"/>
      <c r="EPL596" s="15"/>
      <c r="EPM596" s="50"/>
      <c r="EPN596" s="50"/>
      <c r="EPO596" s="46"/>
      <c r="EPP596" s="47"/>
      <c r="EPQ596" s="46"/>
      <c r="EPR596" s="48"/>
      <c r="EPS596" s="53"/>
      <c r="EPZ596" s="15"/>
      <c r="EQA596" s="50"/>
      <c r="EQB596" s="50"/>
      <c r="EQC596" s="46"/>
      <c r="EQD596" s="47"/>
      <c r="EQE596" s="46"/>
      <c r="EQF596" s="48"/>
      <c r="EQG596" s="53"/>
      <c r="EQN596" s="15"/>
      <c r="EQO596" s="50"/>
      <c r="EQP596" s="50"/>
      <c r="EQQ596" s="46"/>
      <c r="EQR596" s="47"/>
      <c r="EQS596" s="46"/>
      <c r="EQT596" s="48"/>
      <c r="EQU596" s="53"/>
      <c r="ERB596" s="15"/>
      <c r="ERC596" s="50"/>
      <c r="ERD596" s="50"/>
      <c r="ERE596" s="46"/>
      <c r="ERF596" s="47"/>
      <c r="ERG596" s="46"/>
      <c r="ERH596" s="48"/>
      <c r="ERI596" s="53"/>
      <c r="ERP596" s="15"/>
      <c r="ERQ596" s="50"/>
      <c r="ERR596" s="50"/>
      <c r="ERS596" s="46"/>
      <c r="ERT596" s="47"/>
      <c r="ERU596" s="46"/>
      <c r="ERV596" s="48"/>
      <c r="ERW596" s="53"/>
      <c r="ESD596" s="15"/>
      <c r="ESE596" s="50"/>
      <c r="ESF596" s="50"/>
      <c r="ESG596" s="46"/>
      <c r="ESH596" s="47"/>
      <c r="ESI596" s="46"/>
      <c r="ESJ596" s="48"/>
      <c r="ESK596" s="53"/>
      <c r="ESR596" s="15"/>
      <c r="ESS596" s="50"/>
      <c r="EST596" s="50"/>
      <c r="ESU596" s="46"/>
      <c r="ESV596" s="47"/>
      <c r="ESW596" s="46"/>
      <c r="ESX596" s="48"/>
      <c r="ESY596" s="53"/>
      <c r="ETF596" s="15"/>
      <c r="ETG596" s="50"/>
      <c r="ETH596" s="50"/>
      <c r="ETI596" s="46"/>
      <c r="ETJ596" s="47"/>
      <c r="ETK596" s="46"/>
      <c r="ETL596" s="48"/>
      <c r="ETM596" s="53"/>
      <c r="ETT596" s="15"/>
      <c r="ETU596" s="50"/>
      <c r="ETV596" s="50"/>
      <c r="ETW596" s="46"/>
      <c r="ETX596" s="47"/>
      <c r="ETY596" s="46"/>
      <c r="ETZ596" s="48"/>
      <c r="EUA596" s="53"/>
      <c r="EUH596" s="15"/>
      <c r="EUI596" s="50"/>
      <c r="EUJ596" s="50"/>
      <c r="EUK596" s="46"/>
      <c r="EUL596" s="47"/>
      <c r="EUM596" s="46"/>
      <c r="EUN596" s="48"/>
      <c r="EUO596" s="53"/>
      <c r="EUV596" s="15"/>
      <c r="EUW596" s="50"/>
      <c r="EUX596" s="50"/>
      <c r="EUY596" s="46"/>
      <c r="EUZ596" s="47"/>
      <c r="EVA596" s="46"/>
      <c r="EVB596" s="48"/>
      <c r="EVC596" s="53"/>
      <c r="EVJ596" s="15"/>
      <c r="EVK596" s="50"/>
      <c r="EVL596" s="50"/>
      <c r="EVM596" s="46"/>
      <c r="EVN596" s="47"/>
      <c r="EVO596" s="46"/>
      <c r="EVP596" s="48"/>
      <c r="EVQ596" s="53"/>
      <c r="EVX596" s="15"/>
      <c r="EVY596" s="50"/>
      <c r="EVZ596" s="50"/>
      <c r="EWA596" s="46"/>
      <c r="EWB596" s="47"/>
      <c r="EWC596" s="46"/>
      <c r="EWD596" s="48"/>
      <c r="EWE596" s="53"/>
      <c r="EWL596" s="15"/>
      <c r="EWM596" s="50"/>
      <c r="EWN596" s="50"/>
      <c r="EWO596" s="46"/>
      <c r="EWP596" s="47"/>
      <c r="EWQ596" s="46"/>
      <c r="EWR596" s="48"/>
      <c r="EWS596" s="53"/>
      <c r="EWZ596" s="15"/>
      <c r="EXA596" s="50"/>
      <c r="EXB596" s="50"/>
      <c r="EXC596" s="46"/>
      <c r="EXD596" s="47"/>
      <c r="EXE596" s="46"/>
      <c r="EXF596" s="48"/>
      <c r="EXG596" s="53"/>
      <c r="EXN596" s="15"/>
      <c r="EXO596" s="50"/>
      <c r="EXP596" s="50"/>
      <c r="EXQ596" s="46"/>
      <c r="EXR596" s="47"/>
      <c r="EXS596" s="46"/>
      <c r="EXT596" s="48"/>
      <c r="EXU596" s="53"/>
      <c r="EYB596" s="15"/>
      <c r="EYC596" s="50"/>
      <c r="EYD596" s="50"/>
      <c r="EYE596" s="46"/>
      <c r="EYF596" s="47"/>
      <c r="EYG596" s="46"/>
      <c r="EYH596" s="48"/>
      <c r="EYI596" s="53"/>
      <c r="EYP596" s="15"/>
      <c r="EYQ596" s="50"/>
      <c r="EYR596" s="50"/>
      <c r="EYS596" s="46"/>
      <c r="EYT596" s="47"/>
      <c r="EYU596" s="46"/>
      <c r="EYV596" s="48"/>
      <c r="EYW596" s="53"/>
      <c r="EZD596" s="15"/>
      <c r="EZE596" s="50"/>
      <c r="EZF596" s="50"/>
      <c r="EZG596" s="46"/>
      <c r="EZH596" s="47"/>
      <c r="EZI596" s="46"/>
      <c r="EZJ596" s="48"/>
      <c r="EZK596" s="53"/>
      <c r="EZR596" s="15"/>
      <c r="EZS596" s="50"/>
      <c r="EZT596" s="50"/>
      <c r="EZU596" s="46"/>
      <c r="EZV596" s="47"/>
      <c r="EZW596" s="46"/>
      <c r="EZX596" s="48"/>
      <c r="EZY596" s="53"/>
      <c r="FAF596" s="15"/>
      <c r="FAG596" s="50"/>
      <c r="FAH596" s="50"/>
      <c r="FAI596" s="46"/>
      <c r="FAJ596" s="47"/>
      <c r="FAK596" s="46"/>
      <c r="FAL596" s="48"/>
      <c r="FAM596" s="53"/>
      <c r="FAT596" s="15"/>
      <c r="FAU596" s="50"/>
      <c r="FAV596" s="50"/>
      <c r="FAW596" s="46"/>
      <c r="FAX596" s="47"/>
      <c r="FAY596" s="46"/>
      <c r="FAZ596" s="48"/>
      <c r="FBA596" s="53"/>
      <c r="FBH596" s="15"/>
      <c r="FBI596" s="50"/>
      <c r="FBJ596" s="50"/>
      <c r="FBK596" s="46"/>
      <c r="FBL596" s="47"/>
      <c r="FBM596" s="46"/>
      <c r="FBN596" s="48"/>
      <c r="FBO596" s="53"/>
      <c r="FBV596" s="15"/>
      <c r="FBW596" s="50"/>
      <c r="FBX596" s="50"/>
      <c r="FBY596" s="46"/>
      <c r="FBZ596" s="47"/>
      <c r="FCA596" s="46"/>
      <c r="FCB596" s="48"/>
      <c r="FCC596" s="53"/>
      <c r="FCJ596" s="15"/>
      <c r="FCK596" s="50"/>
      <c r="FCL596" s="50"/>
      <c r="FCM596" s="46"/>
      <c r="FCN596" s="47"/>
      <c r="FCO596" s="46"/>
      <c r="FCP596" s="48"/>
      <c r="FCQ596" s="53"/>
      <c r="FCX596" s="15"/>
      <c r="FCY596" s="50"/>
      <c r="FCZ596" s="50"/>
      <c r="FDA596" s="46"/>
      <c r="FDB596" s="47"/>
      <c r="FDC596" s="46"/>
      <c r="FDD596" s="48"/>
      <c r="FDE596" s="53"/>
      <c r="FDL596" s="15"/>
      <c r="FDM596" s="50"/>
      <c r="FDN596" s="50"/>
      <c r="FDO596" s="46"/>
      <c r="FDP596" s="47"/>
      <c r="FDQ596" s="46"/>
      <c r="FDR596" s="48"/>
      <c r="FDS596" s="53"/>
      <c r="FDZ596" s="15"/>
      <c r="FEA596" s="50"/>
      <c r="FEB596" s="50"/>
      <c r="FEC596" s="46"/>
      <c r="FED596" s="47"/>
      <c r="FEE596" s="46"/>
      <c r="FEF596" s="48"/>
      <c r="FEG596" s="53"/>
      <c r="FEN596" s="15"/>
      <c r="FEO596" s="50"/>
      <c r="FEP596" s="50"/>
      <c r="FEQ596" s="46"/>
      <c r="FER596" s="47"/>
      <c r="FES596" s="46"/>
      <c r="FET596" s="48"/>
      <c r="FEU596" s="53"/>
      <c r="FFB596" s="15"/>
      <c r="FFC596" s="50"/>
      <c r="FFD596" s="50"/>
      <c r="FFE596" s="46"/>
      <c r="FFF596" s="47"/>
      <c r="FFG596" s="46"/>
      <c r="FFH596" s="48"/>
      <c r="FFI596" s="53"/>
      <c r="FFP596" s="15"/>
      <c r="FFQ596" s="50"/>
      <c r="FFR596" s="50"/>
      <c r="FFS596" s="46"/>
      <c r="FFT596" s="47"/>
      <c r="FFU596" s="46"/>
      <c r="FFV596" s="48"/>
      <c r="FFW596" s="53"/>
      <c r="FGD596" s="15"/>
      <c r="FGE596" s="50"/>
      <c r="FGF596" s="50"/>
      <c r="FGG596" s="46"/>
      <c r="FGH596" s="47"/>
      <c r="FGI596" s="46"/>
      <c r="FGJ596" s="48"/>
      <c r="FGK596" s="53"/>
      <c r="FGR596" s="15"/>
      <c r="FGS596" s="50"/>
      <c r="FGT596" s="50"/>
      <c r="FGU596" s="46"/>
      <c r="FGV596" s="47"/>
      <c r="FGW596" s="46"/>
      <c r="FGX596" s="48"/>
      <c r="FGY596" s="53"/>
      <c r="FHF596" s="15"/>
      <c r="FHG596" s="50"/>
      <c r="FHH596" s="50"/>
      <c r="FHI596" s="46"/>
      <c r="FHJ596" s="47"/>
      <c r="FHK596" s="46"/>
      <c r="FHL596" s="48"/>
      <c r="FHM596" s="53"/>
      <c r="FHT596" s="15"/>
      <c r="FHU596" s="50"/>
      <c r="FHV596" s="50"/>
      <c r="FHW596" s="46"/>
      <c r="FHX596" s="47"/>
      <c r="FHY596" s="46"/>
      <c r="FHZ596" s="48"/>
      <c r="FIA596" s="53"/>
      <c r="FIH596" s="15"/>
      <c r="FII596" s="50"/>
      <c r="FIJ596" s="50"/>
      <c r="FIK596" s="46"/>
      <c r="FIL596" s="47"/>
      <c r="FIM596" s="46"/>
      <c r="FIN596" s="48"/>
      <c r="FIO596" s="53"/>
      <c r="FIV596" s="15"/>
      <c r="FIW596" s="50"/>
      <c r="FIX596" s="50"/>
      <c r="FIY596" s="46"/>
      <c r="FIZ596" s="47"/>
      <c r="FJA596" s="46"/>
      <c r="FJB596" s="48"/>
      <c r="FJC596" s="53"/>
      <c r="FJJ596" s="15"/>
      <c r="FJK596" s="50"/>
      <c r="FJL596" s="50"/>
      <c r="FJM596" s="46"/>
      <c r="FJN596" s="47"/>
      <c r="FJO596" s="46"/>
      <c r="FJP596" s="48"/>
      <c r="FJQ596" s="53"/>
      <c r="FJX596" s="15"/>
      <c r="FJY596" s="50"/>
      <c r="FJZ596" s="50"/>
      <c r="FKA596" s="46"/>
      <c r="FKB596" s="47"/>
      <c r="FKC596" s="46"/>
      <c r="FKD596" s="48"/>
      <c r="FKE596" s="53"/>
      <c r="FKL596" s="15"/>
      <c r="FKM596" s="50"/>
      <c r="FKN596" s="50"/>
      <c r="FKO596" s="46"/>
      <c r="FKP596" s="47"/>
      <c r="FKQ596" s="46"/>
      <c r="FKR596" s="48"/>
      <c r="FKS596" s="53"/>
      <c r="FKZ596" s="15"/>
      <c r="FLA596" s="50"/>
      <c r="FLB596" s="50"/>
      <c r="FLC596" s="46"/>
      <c r="FLD596" s="47"/>
      <c r="FLE596" s="46"/>
      <c r="FLF596" s="48"/>
      <c r="FLG596" s="53"/>
      <c r="FLN596" s="15"/>
      <c r="FLO596" s="50"/>
      <c r="FLP596" s="50"/>
      <c r="FLQ596" s="46"/>
      <c r="FLR596" s="47"/>
      <c r="FLS596" s="46"/>
      <c r="FLT596" s="48"/>
      <c r="FLU596" s="53"/>
      <c r="FMB596" s="15"/>
      <c r="FMC596" s="50"/>
      <c r="FMD596" s="50"/>
      <c r="FME596" s="46"/>
      <c r="FMF596" s="47"/>
      <c r="FMG596" s="46"/>
      <c r="FMH596" s="48"/>
      <c r="FMI596" s="53"/>
      <c r="FMP596" s="15"/>
      <c r="FMQ596" s="50"/>
      <c r="FMR596" s="50"/>
      <c r="FMS596" s="46"/>
      <c r="FMT596" s="47"/>
      <c r="FMU596" s="46"/>
      <c r="FMV596" s="48"/>
      <c r="FMW596" s="53"/>
      <c r="FND596" s="15"/>
      <c r="FNE596" s="50"/>
      <c r="FNF596" s="50"/>
      <c r="FNG596" s="46"/>
      <c r="FNH596" s="47"/>
      <c r="FNI596" s="46"/>
      <c r="FNJ596" s="48"/>
      <c r="FNK596" s="53"/>
      <c r="FNR596" s="15"/>
      <c r="FNS596" s="50"/>
      <c r="FNT596" s="50"/>
      <c r="FNU596" s="46"/>
      <c r="FNV596" s="47"/>
      <c r="FNW596" s="46"/>
      <c r="FNX596" s="48"/>
      <c r="FNY596" s="53"/>
      <c r="FOF596" s="15"/>
      <c r="FOG596" s="50"/>
      <c r="FOH596" s="50"/>
      <c r="FOI596" s="46"/>
      <c r="FOJ596" s="47"/>
      <c r="FOK596" s="46"/>
      <c r="FOL596" s="48"/>
      <c r="FOM596" s="53"/>
      <c r="FOT596" s="15"/>
      <c r="FOU596" s="50"/>
      <c r="FOV596" s="50"/>
      <c r="FOW596" s="46"/>
      <c r="FOX596" s="47"/>
      <c r="FOY596" s="46"/>
      <c r="FOZ596" s="48"/>
      <c r="FPA596" s="53"/>
      <c r="FPH596" s="15"/>
      <c r="FPI596" s="50"/>
      <c r="FPJ596" s="50"/>
      <c r="FPK596" s="46"/>
      <c r="FPL596" s="47"/>
      <c r="FPM596" s="46"/>
      <c r="FPN596" s="48"/>
      <c r="FPO596" s="53"/>
      <c r="FPV596" s="15"/>
      <c r="FPW596" s="50"/>
      <c r="FPX596" s="50"/>
      <c r="FPY596" s="46"/>
      <c r="FPZ596" s="47"/>
      <c r="FQA596" s="46"/>
      <c r="FQB596" s="48"/>
      <c r="FQC596" s="53"/>
      <c r="FQJ596" s="15"/>
      <c r="FQK596" s="50"/>
      <c r="FQL596" s="50"/>
      <c r="FQM596" s="46"/>
      <c r="FQN596" s="47"/>
      <c r="FQO596" s="46"/>
      <c r="FQP596" s="48"/>
      <c r="FQQ596" s="53"/>
      <c r="FQX596" s="15"/>
      <c r="FQY596" s="50"/>
      <c r="FQZ596" s="50"/>
      <c r="FRA596" s="46"/>
      <c r="FRB596" s="47"/>
      <c r="FRC596" s="46"/>
      <c r="FRD596" s="48"/>
      <c r="FRE596" s="53"/>
      <c r="FRL596" s="15"/>
      <c r="FRM596" s="50"/>
      <c r="FRN596" s="50"/>
      <c r="FRO596" s="46"/>
      <c r="FRP596" s="47"/>
      <c r="FRQ596" s="46"/>
      <c r="FRR596" s="48"/>
      <c r="FRS596" s="53"/>
      <c r="FRZ596" s="15"/>
      <c r="FSA596" s="50"/>
      <c r="FSB596" s="50"/>
      <c r="FSC596" s="46"/>
      <c r="FSD596" s="47"/>
      <c r="FSE596" s="46"/>
      <c r="FSF596" s="48"/>
      <c r="FSG596" s="53"/>
      <c r="FSN596" s="15"/>
      <c r="FSO596" s="50"/>
      <c r="FSP596" s="50"/>
      <c r="FSQ596" s="46"/>
      <c r="FSR596" s="47"/>
      <c r="FSS596" s="46"/>
      <c r="FST596" s="48"/>
      <c r="FSU596" s="53"/>
      <c r="FTB596" s="15"/>
      <c r="FTC596" s="50"/>
      <c r="FTD596" s="50"/>
      <c r="FTE596" s="46"/>
      <c r="FTF596" s="47"/>
      <c r="FTG596" s="46"/>
      <c r="FTH596" s="48"/>
      <c r="FTI596" s="53"/>
      <c r="FTP596" s="15"/>
      <c r="FTQ596" s="50"/>
      <c r="FTR596" s="50"/>
      <c r="FTS596" s="46"/>
      <c r="FTT596" s="47"/>
      <c r="FTU596" s="46"/>
      <c r="FTV596" s="48"/>
      <c r="FTW596" s="53"/>
      <c r="FUD596" s="15"/>
      <c r="FUE596" s="50"/>
      <c r="FUF596" s="50"/>
      <c r="FUG596" s="46"/>
      <c r="FUH596" s="47"/>
      <c r="FUI596" s="46"/>
      <c r="FUJ596" s="48"/>
      <c r="FUK596" s="53"/>
      <c r="FUR596" s="15"/>
      <c r="FUS596" s="50"/>
      <c r="FUT596" s="50"/>
      <c r="FUU596" s="46"/>
      <c r="FUV596" s="47"/>
      <c r="FUW596" s="46"/>
      <c r="FUX596" s="48"/>
      <c r="FUY596" s="53"/>
      <c r="FVF596" s="15"/>
      <c r="FVG596" s="50"/>
      <c r="FVH596" s="50"/>
      <c r="FVI596" s="46"/>
      <c r="FVJ596" s="47"/>
      <c r="FVK596" s="46"/>
      <c r="FVL596" s="48"/>
      <c r="FVM596" s="53"/>
      <c r="FVT596" s="15"/>
      <c r="FVU596" s="50"/>
      <c r="FVV596" s="50"/>
      <c r="FVW596" s="46"/>
      <c r="FVX596" s="47"/>
      <c r="FVY596" s="46"/>
      <c r="FVZ596" s="48"/>
      <c r="FWA596" s="53"/>
      <c r="FWH596" s="15"/>
      <c r="FWI596" s="50"/>
      <c r="FWJ596" s="50"/>
      <c r="FWK596" s="46"/>
      <c r="FWL596" s="47"/>
      <c r="FWM596" s="46"/>
      <c r="FWN596" s="48"/>
      <c r="FWO596" s="53"/>
      <c r="FWV596" s="15"/>
      <c r="FWW596" s="50"/>
      <c r="FWX596" s="50"/>
      <c r="FWY596" s="46"/>
      <c r="FWZ596" s="47"/>
      <c r="FXA596" s="46"/>
      <c r="FXB596" s="48"/>
      <c r="FXC596" s="53"/>
      <c r="FXJ596" s="15"/>
      <c r="FXK596" s="50"/>
      <c r="FXL596" s="50"/>
      <c r="FXM596" s="46"/>
      <c r="FXN596" s="47"/>
      <c r="FXO596" s="46"/>
      <c r="FXP596" s="48"/>
      <c r="FXQ596" s="53"/>
      <c r="FXX596" s="15"/>
      <c r="FXY596" s="50"/>
      <c r="FXZ596" s="50"/>
      <c r="FYA596" s="46"/>
      <c r="FYB596" s="47"/>
      <c r="FYC596" s="46"/>
      <c r="FYD596" s="48"/>
      <c r="FYE596" s="53"/>
      <c r="FYL596" s="15"/>
      <c r="FYM596" s="50"/>
      <c r="FYN596" s="50"/>
      <c r="FYO596" s="46"/>
      <c r="FYP596" s="47"/>
      <c r="FYQ596" s="46"/>
      <c r="FYR596" s="48"/>
      <c r="FYS596" s="53"/>
      <c r="FYZ596" s="15"/>
      <c r="FZA596" s="50"/>
      <c r="FZB596" s="50"/>
      <c r="FZC596" s="46"/>
      <c r="FZD596" s="47"/>
      <c r="FZE596" s="46"/>
      <c r="FZF596" s="48"/>
      <c r="FZG596" s="53"/>
      <c r="FZN596" s="15"/>
      <c r="FZO596" s="50"/>
      <c r="FZP596" s="50"/>
      <c r="FZQ596" s="46"/>
      <c r="FZR596" s="47"/>
      <c r="FZS596" s="46"/>
      <c r="FZT596" s="48"/>
      <c r="FZU596" s="53"/>
      <c r="GAB596" s="15"/>
      <c r="GAC596" s="50"/>
      <c r="GAD596" s="50"/>
      <c r="GAE596" s="46"/>
      <c r="GAF596" s="47"/>
      <c r="GAG596" s="46"/>
      <c r="GAH596" s="48"/>
      <c r="GAI596" s="53"/>
      <c r="GAP596" s="15"/>
      <c r="GAQ596" s="50"/>
      <c r="GAR596" s="50"/>
      <c r="GAS596" s="46"/>
      <c r="GAT596" s="47"/>
      <c r="GAU596" s="46"/>
      <c r="GAV596" s="48"/>
      <c r="GAW596" s="53"/>
      <c r="GBD596" s="15"/>
      <c r="GBE596" s="50"/>
      <c r="GBF596" s="50"/>
      <c r="GBG596" s="46"/>
      <c r="GBH596" s="47"/>
      <c r="GBI596" s="46"/>
      <c r="GBJ596" s="48"/>
      <c r="GBK596" s="53"/>
      <c r="GBR596" s="15"/>
      <c r="GBS596" s="50"/>
      <c r="GBT596" s="50"/>
      <c r="GBU596" s="46"/>
      <c r="GBV596" s="47"/>
      <c r="GBW596" s="46"/>
      <c r="GBX596" s="48"/>
      <c r="GBY596" s="53"/>
      <c r="GCF596" s="15"/>
      <c r="GCG596" s="50"/>
      <c r="GCH596" s="50"/>
      <c r="GCI596" s="46"/>
      <c r="GCJ596" s="47"/>
      <c r="GCK596" s="46"/>
      <c r="GCL596" s="48"/>
      <c r="GCM596" s="53"/>
      <c r="GCT596" s="15"/>
      <c r="GCU596" s="50"/>
      <c r="GCV596" s="50"/>
      <c r="GCW596" s="46"/>
      <c r="GCX596" s="47"/>
      <c r="GCY596" s="46"/>
      <c r="GCZ596" s="48"/>
      <c r="GDA596" s="53"/>
      <c r="GDH596" s="15"/>
      <c r="GDI596" s="50"/>
      <c r="GDJ596" s="50"/>
      <c r="GDK596" s="46"/>
      <c r="GDL596" s="47"/>
      <c r="GDM596" s="46"/>
      <c r="GDN596" s="48"/>
      <c r="GDO596" s="53"/>
      <c r="GDV596" s="15"/>
      <c r="GDW596" s="50"/>
      <c r="GDX596" s="50"/>
      <c r="GDY596" s="46"/>
      <c r="GDZ596" s="47"/>
      <c r="GEA596" s="46"/>
      <c r="GEB596" s="48"/>
      <c r="GEC596" s="53"/>
      <c r="GEJ596" s="15"/>
      <c r="GEK596" s="50"/>
      <c r="GEL596" s="50"/>
      <c r="GEM596" s="46"/>
      <c r="GEN596" s="47"/>
      <c r="GEO596" s="46"/>
      <c r="GEP596" s="48"/>
      <c r="GEQ596" s="53"/>
      <c r="GEX596" s="15"/>
      <c r="GEY596" s="50"/>
      <c r="GEZ596" s="50"/>
      <c r="GFA596" s="46"/>
      <c r="GFB596" s="47"/>
      <c r="GFC596" s="46"/>
      <c r="GFD596" s="48"/>
      <c r="GFE596" s="53"/>
      <c r="GFL596" s="15"/>
      <c r="GFM596" s="50"/>
      <c r="GFN596" s="50"/>
      <c r="GFO596" s="46"/>
      <c r="GFP596" s="47"/>
      <c r="GFQ596" s="46"/>
      <c r="GFR596" s="48"/>
      <c r="GFS596" s="53"/>
      <c r="GFZ596" s="15"/>
      <c r="GGA596" s="50"/>
      <c r="GGB596" s="50"/>
      <c r="GGC596" s="46"/>
      <c r="GGD596" s="47"/>
      <c r="GGE596" s="46"/>
      <c r="GGF596" s="48"/>
      <c r="GGG596" s="53"/>
      <c r="GGN596" s="15"/>
      <c r="GGO596" s="50"/>
      <c r="GGP596" s="50"/>
      <c r="GGQ596" s="46"/>
      <c r="GGR596" s="47"/>
      <c r="GGS596" s="46"/>
      <c r="GGT596" s="48"/>
      <c r="GGU596" s="53"/>
      <c r="GHB596" s="15"/>
      <c r="GHC596" s="50"/>
      <c r="GHD596" s="50"/>
      <c r="GHE596" s="46"/>
      <c r="GHF596" s="47"/>
      <c r="GHG596" s="46"/>
      <c r="GHH596" s="48"/>
      <c r="GHI596" s="53"/>
      <c r="GHP596" s="15"/>
      <c r="GHQ596" s="50"/>
      <c r="GHR596" s="50"/>
      <c r="GHS596" s="46"/>
      <c r="GHT596" s="47"/>
      <c r="GHU596" s="46"/>
      <c r="GHV596" s="48"/>
      <c r="GHW596" s="53"/>
      <c r="GID596" s="15"/>
      <c r="GIE596" s="50"/>
      <c r="GIF596" s="50"/>
      <c r="GIG596" s="46"/>
      <c r="GIH596" s="47"/>
      <c r="GII596" s="46"/>
      <c r="GIJ596" s="48"/>
      <c r="GIK596" s="53"/>
      <c r="GIR596" s="15"/>
      <c r="GIS596" s="50"/>
      <c r="GIT596" s="50"/>
      <c r="GIU596" s="46"/>
      <c r="GIV596" s="47"/>
      <c r="GIW596" s="46"/>
      <c r="GIX596" s="48"/>
      <c r="GIY596" s="53"/>
      <c r="GJF596" s="15"/>
      <c r="GJG596" s="50"/>
      <c r="GJH596" s="50"/>
      <c r="GJI596" s="46"/>
      <c r="GJJ596" s="47"/>
      <c r="GJK596" s="46"/>
      <c r="GJL596" s="48"/>
      <c r="GJM596" s="53"/>
      <c r="GJT596" s="15"/>
      <c r="GJU596" s="50"/>
      <c r="GJV596" s="50"/>
      <c r="GJW596" s="46"/>
      <c r="GJX596" s="47"/>
      <c r="GJY596" s="46"/>
      <c r="GJZ596" s="48"/>
      <c r="GKA596" s="53"/>
      <c r="GKH596" s="15"/>
      <c r="GKI596" s="50"/>
      <c r="GKJ596" s="50"/>
      <c r="GKK596" s="46"/>
      <c r="GKL596" s="47"/>
      <c r="GKM596" s="46"/>
      <c r="GKN596" s="48"/>
      <c r="GKO596" s="53"/>
      <c r="GKV596" s="15"/>
      <c r="GKW596" s="50"/>
      <c r="GKX596" s="50"/>
      <c r="GKY596" s="46"/>
      <c r="GKZ596" s="47"/>
      <c r="GLA596" s="46"/>
      <c r="GLB596" s="48"/>
      <c r="GLC596" s="53"/>
      <c r="GLJ596" s="15"/>
      <c r="GLK596" s="50"/>
      <c r="GLL596" s="50"/>
      <c r="GLM596" s="46"/>
      <c r="GLN596" s="47"/>
      <c r="GLO596" s="46"/>
      <c r="GLP596" s="48"/>
      <c r="GLQ596" s="53"/>
      <c r="GLX596" s="15"/>
      <c r="GLY596" s="50"/>
      <c r="GLZ596" s="50"/>
      <c r="GMA596" s="46"/>
      <c r="GMB596" s="47"/>
      <c r="GMC596" s="46"/>
      <c r="GMD596" s="48"/>
      <c r="GME596" s="53"/>
      <c r="GML596" s="15"/>
      <c r="GMM596" s="50"/>
      <c r="GMN596" s="50"/>
      <c r="GMO596" s="46"/>
      <c r="GMP596" s="47"/>
      <c r="GMQ596" s="46"/>
      <c r="GMR596" s="48"/>
      <c r="GMS596" s="53"/>
      <c r="GMZ596" s="15"/>
      <c r="GNA596" s="50"/>
      <c r="GNB596" s="50"/>
      <c r="GNC596" s="46"/>
      <c r="GND596" s="47"/>
      <c r="GNE596" s="46"/>
      <c r="GNF596" s="48"/>
      <c r="GNG596" s="53"/>
      <c r="GNN596" s="15"/>
      <c r="GNO596" s="50"/>
      <c r="GNP596" s="50"/>
      <c r="GNQ596" s="46"/>
      <c r="GNR596" s="47"/>
      <c r="GNS596" s="46"/>
      <c r="GNT596" s="48"/>
      <c r="GNU596" s="53"/>
      <c r="GOB596" s="15"/>
      <c r="GOC596" s="50"/>
      <c r="GOD596" s="50"/>
      <c r="GOE596" s="46"/>
      <c r="GOF596" s="47"/>
      <c r="GOG596" s="46"/>
      <c r="GOH596" s="48"/>
      <c r="GOI596" s="53"/>
      <c r="GOP596" s="15"/>
      <c r="GOQ596" s="50"/>
      <c r="GOR596" s="50"/>
      <c r="GOS596" s="46"/>
      <c r="GOT596" s="47"/>
      <c r="GOU596" s="46"/>
      <c r="GOV596" s="48"/>
      <c r="GOW596" s="53"/>
      <c r="GPD596" s="15"/>
      <c r="GPE596" s="50"/>
      <c r="GPF596" s="50"/>
      <c r="GPG596" s="46"/>
      <c r="GPH596" s="47"/>
      <c r="GPI596" s="46"/>
      <c r="GPJ596" s="48"/>
      <c r="GPK596" s="53"/>
      <c r="GPR596" s="15"/>
      <c r="GPS596" s="50"/>
      <c r="GPT596" s="50"/>
      <c r="GPU596" s="46"/>
      <c r="GPV596" s="47"/>
      <c r="GPW596" s="46"/>
      <c r="GPX596" s="48"/>
      <c r="GPY596" s="53"/>
      <c r="GQF596" s="15"/>
      <c r="GQG596" s="50"/>
      <c r="GQH596" s="50"/>
      <c r="GQI596" s="46"/>
      <c r="GQJ596" s="47"/>
      <c r="GQK596" s="46"/>
      <c r="GQL596" s="48"/>
      <c r="GQM596" s="53"/>
      <c r="GQT596" s="15"/>
      <c r="GQU596" s="50"/>
      <c r="GQV596" s="50"/>
      <c r="GQW596" s="46"/>
      <c r="GQX596" s="47"/>
      <c r="GQY596" s="46"/>
      <c r="GQZ596" s="48"/>
      <c r="GRA596" s="53"/>
      <c r="GRH596" s="15"/>
      <c r="GRI596" s="50"/>
      <c r="GRJ596" s="50"/>
      <c r="GRK596" s="46"/>
      <c r="GRL596" s="47"/>
      <c r="GRM596" s="46"/>
      <c r="GRN596" s="48"/>
      <c r="GRO596" s="53"/>
      <c r="GRV596" s="15"/>
      <c r="GRW596" s="50"/>
      <c r="GRX596" s="50"/>
      <c r="GRY596" s="46"/>
      <c r="GRZ596" s="47"/>
      <c r="GSA596" s="46"/>
      <c r="GSB596" s="48"/>
      <c r="GSC596" s="53"/>
      <c r="GSJ596" s="15"/>
      <c r="GSK596" s="50"/>
      <c r="GSL596" s="50"/>
      <c r="GSM596" s="46"/>
      <c r="GSN596" s="47"/>
      <c r="GSO596" s="46"/>
      <c r="GSP596" s="48"/>
      <c r="GSQ596" s="53"/>
      <c r="GSX596" s="15"/>
      <c r="GSY596" s="50"/>
      <c r="GSZ596" s="50"/>
      <c r="GTA596" s="46"/>
      <c r="GTB596" s="47"/>
      <c r="GTC596" s="46"/>
      <c r="GTD596" s="48"/>
      <c r="GTE596" s="53"/>
      <c r="GTL596" s="15"/>
      <c r="GTM596" s="50"/>
      <c r="GTN596" s="50"/>
      <c r="GTO596" s="46"/>
      <c r="GTP596" s="47"/>
      <c r="GTQ596" s="46"/>
      <c r="GTR596" s="48"/>
      <c r="GTS596" s="53"/>
      <c r="GTZ596" s="15"/>
      <c r="GUA596" s="50"/>
      <c r="GUB596" s="50"/>
      <c r="GUC596" s="46"/>
      <c r="GUD596" s="47"/>
      <c r="GUE596" s="46"/>
      <c r="GUF596" s="48"/>
      <c r="GUG596" s="53"/>
      <c r="GUN596" s="15"/>
      <c r="GUO596" s="50"/>
      <c r="GUP596" s="50"/>
      <c r="GUQ596" s="46"/>
      <c r="GUR596" s="47"/>
      <c r="GUS596" s="46"/>
      <c r="GUT596" s="48"/>
      <c r="GUU596" s="53"/>
      <c r="GVB596" s="15"/>
      <c r="GVC596" s="50"/>
      <c r="GVD596" s="50"/>
      <c r="GVE596" s="46"/>
      <c r="GVF596" s="47"/>
      <c r="GVG596" s="46"/>
      <c r="GVH596" s="48"/>
      <c r="GVI596" s="53"/>
      <c r="GVP596" s="15"/>
      <c r="GVQ596" s="50"/>
      <c r="GVR596" s="50"/>
      <c r="GVS596" s="46"/>
      <c r="GVT596" s="47"/>
      <c r="GVU596" s="46"/>
      <c r="GVV596" s="48"/>
      <c r="GVW596" s="53"/>
      <c r="GWD596" s="15"/>
      <c r="GWE596" s="50"/>
      <c r="GWF596" s="50"/>
      <c r="GWG596" s="46"/>
      <c r="GWH596" s="47"/>
      <c r="GWI596" s="46"/>
      <c r="GWJ596" s="48"/>
      <c r="GWK596" s="53"/>
      <c r="GWR596" s="15"/>
      <c r="GWS596" s="50"/>
      <c r="GWT596" s="50"/>
      <c r="GWU596" s="46"/>
      <c r="GWV596" s="47"/>
      <c r="GWW596" s="46"/>
      <c r="GWX596" s="48"/>
      <c r="GWY596" s="53"/>
      <c r="GXF596" s="15"/>
      <c r="GXG596" s="50"/>
      <c r="GXH596" s="50"/>
      <c r="GXI596" s="46"/>
      <c r="GXJ596" s="47"/>
      <c r="GXK596" s="46"/>
      <c r="GXL596" s="48"/>
      <c r="GXM596" s="53"/>
      <c r="GXT596" s="15"/>
      <c r="GXU596" s="50"/>
      <c r="GXV596" s="50"/>
      <c r="GXW596" s="46"/>
      <c r="GXX596" s="47"/>
      <c r="GXY596" s="46"/>
      <c r="GXZ596" s="48"/>
      <c r="GYA596" s="53"/>
      <c r="GYH596" s="15"/>
      <c r="GYI596" s="50"/>
      <c r="GYJ596" s="50"/>
      <c r="GYK596" s="46"/>
      <c r="GYL596" s="47"/>
      <c r="GYM596" s="46"/>
      <c r="GYN596" s="48"/>
      <c r="GYO596" s="53"/>
      <c r="GYV596" s="15"/>
      <c r="GYW596" s="50"/>
      <c r="GYX596" s="50"/>
      <c r="GYY596" s="46"/>
      <c r="GYZ596" s="47"/>
      <c r="GZA596" s="46"/>
      <c r="GZB596" s="48"/>
      <c r="GZC596" s="53"/>
      <c r="GZJ596" s="15"/>
      <c r="GZK596" s="50"/>
      <c r="GZL596" s="50"/>
      <c r="GZM596" s="46"/>
      <c r="GZN596" s="47"/>
      <c r="GZO596" s="46"/>
      <c r="GZP596" s="48"/>
      <c r="GZQ596" s="53"/>
      <c r="GZX596" s="15"/>
      <c r="GZY596" s="50"/>
      <c r="GZZ596" s="50"/>
      <c r="HAA596" s="46"/>
      <c r="HAB596" s="47"/>
      <c r="HAC596" s="46"/>
      <c r="HAD596" s="48"/>
      <c r="HAE596" s="53"/>
      <c r="HAL596" s="15"/>
      <c r="HAM596" s="50"/>
      <c r="HAN596" s="50"/>
      <c r="HAO596" s="46"/>
      <c r="HAP596" s="47"/>
      <c r="HAQ596" s="46"/>
      <c r="HAR596" s="48"/>
      <c r="HAS596" s="53"/>
      <c r="HAZ596" s="15"/>
      <c r="HBA596" s="50"/>
      <c r="HBB596" s="50"/>
      <c r="HBC596" s="46"/>
      <c r="HBD596" s="47"/>
      <c r="HBE596" s="46"/>
      <c r="HBF596" s="48"/>
      <c r="HBG596" s="53"/>
      <c r="HBN596" s="15"/>
      <c r="HBO596" s="50"/>
      <c r="HBP596" s="50"/>
      <c r="HBQ596" s="46"/>
      <c r="HBR596" s="47"/>
      <c r="HBS596" s="46"/>
      <c r="HBT596" s="48"/>
      <c r="HBU596" s="53"/>
      <c r="HCB596" s="15"/>
      <c r="HCC596" s="50"/>
      <c r="HCD596" s="50"/>
      <c r="HCE596" s="46"/>
      <c r="HCF596" s="47"/>
      <c r="HCG596" s="46"/>
      <c r="HCH596" s="48"/>
      <c r="HCI596" s="53"/>
      <c r="HCP596" s="15"/>
      <c r="HCQ596" s="50"/>
      <c r="HCR596" s="50"/>
      <c r="HCS596" s="46"/>
      <c r="HCT596" s="47"/>
      <c r="HCU596" s="46"/>
      <c r="HCV596" s="48"/>
      <c r="HCW596" s="53"/>
      <c r="HDD596" s="15"/>
      <c r="HDE596" s="50"/>
      <c r="HDF596" s="50"/>
      <c r="HDG596" s="46"/>
      <c r="HDH596" s="47"/>
      <c r="HDI596" s="46"/>
      <c r="HDJ596" s="48"/>
      <c r="HDK596" s="53"/>
      <c r="HDR596" s="15"/>
      <c r="HDS596" s="50"/>
      <c r="HDT596" s="50"/>
      <c r="HDU596" s="46"/>
      <c r="HDV596" s="47"/>
      <c r="HDW596" s="46"/>
      <c r="HDX596" s="48"/>
      <c r="HDY596" s="53"/>
      <c r="HEF596" s="15"/>
      <c r="HEG596" s="50"/>
      <c r="HEH596" s="50"/>
      <c r="HEI596" s="46"/>
      <c r="HEJ596" s="47"/>
      <c r="HEK596" s="46"/>
      <c r="HEL596" s="48"/>
      <c r="HEM596" s="53"/>
      <c r="HET596" s="15"/>
      <c r="HEU596" s="50"/>
      <c r="HEV596" s="50"/>
      <c r="HEW596" s="46"/>
      <c r="HEX596" s="47"/>
      <c r="HEY596" s="46"/>
      <c r="HEZ596" s="48"/>
      <c r="HFA596" s="53"/>
      <c r="HFH596" s="15"/>
      <c r="HFI596" s="50"/>
      <c r="HFJ596" s="50"/>
      <c r="HFK596" s="46"/>
      <c r="HFL596" s="47"/>
      <c r="HFM596" s="46"/>
      <c r="HFN596" s="48"/>
      <c r="HFO596" s="53"/>
      <c r="HFV596" s="15"/>
      <c r="HFW596" s="50"/>
      <c r="HFX596" s="50"/>
      <c r="HFY596" s="46"/>
      <c r="HFZ596" s="47"/>
      <c r="HGA596" s="46"/>
      <c r="HGB596" s="48"/>
      <c r="HGC596" s="53"/>
      <c r="HGJ596" s="15"/>
      <c r="HGK596" s="50"/>
      <c r="HGL596" s="50"/>
      <c r="HGM596" s="46"/>
      <c r="HGN596" s="47"/>
      <c r="HGO596" s="46"/>
      <c r="HGP596" s="48"/>
      <c r="HGQ596" s="53"/>
      <c r="HGX596" s="15"/>
      <c r="HGY596" s="50"/>
      <c r="HGZ596" s="50"/>
      <c r="HHA596" s="46"/>
      <c r="HHB596" s="47"/>
      <c r="HHC596" s="46"/>
      <c r="HHD596" s="48"/>
      <c r="HHE596" s="53"/>
      <c r="HHL596" s="15"/>
      <c r="HHM596" s="50"/>
      <c r="HHN596" s="50"/>
      <c r="HHO596" s="46"/>
      <c r="HHP596" s="47"/>
      <c r="HHQ596" s="46"/>
      <c r="HHR596" s="48"/>
      <c r="HHS596" s="53"/>
      <c r="HHZ596" s="15"/>
      <c r="HIA596" s="50"/>
      <c r="HIB596" s="50"/>
      <c r="HIC596" s="46"/>
      <c r="HID596" s="47"/>
      <c r="HIE596" s="46"/>
      <c r="HIF596" s="48"/>
      <c r="HIG596" s="53"/>
      <c r="HIN596" s="15"/>
      <c r="HIO596" s="50"/>
      <c r="HIP596" s="50"/>
      <c r="HIQ596" s="46"/>
      <c r="HIR596" s="47"/>
      <c r="HIS596" s="46"/>
      <c r="HIT596" s="48"/>
      <c r="HIU596" s="53"/>
      <c r="HJB596" s="15"/>
      <c r="HJC596" s="50"/>
      <c r="HJD596" s="50"/>
      <c r="HJE596" s="46"/>
      <c r="HJF596" s="47"/>
      <c r="HJG596" s="46"/>
      <c r="HJH596" s="48"/>
      <c r="HJI596" s="53"/>
      <c r="HJP596" s="15"/>
      <c r="HJQ596" s="50"/>
      <c r="HJR596" s="50"/>
      <c r="HJS596" s="46"/>
      <c r="HJT596" s="47"/>
      <c r="HJU596" s="46"/>
      <c r="HJV596" s="48"/>
      <c r="HJW596" s="53"/>
      <c r="HKD596" s="15"/>
      <c r="HKE596" s="50"/>
      <c r="HKF596" s="50"/>
      <c r="HKG596" s="46"/>
      <c r="HKH596" s="47"/>
      <c r="HKI596" s="46"/>
      <c r="HKJ596" s="48"/>
      <c r="HKK596" s="53"/>
      <c r="HKR596" s="15"/>
      <c r="HKS596" s="50"/>
      <c r="HKT596" s="50"/>
      <c r="HKU596" s="46"/>
      <c r="HKV596" s="47"/>
      <c r="HKW596" s="46"/>
      <c r="HKX596" s="48"/>
      <c r="HKY596" s="53"/>
      <c r="HLF596" s="15"/>
      <c r="HLG596" s="50"/>
      <c r="HLH596" s="50"/>
      <c r="HLI596" s="46"/>
      <c r="HLJ596" s="47"/>
      <c r="HLK596" s="46"/>
      <c r="HLL596" s="48"/>
      <c r="HLM596" s="53"/>
      <c r="HLT596" s="15"/>
      <c r="HLU596" s="50"/>
      <c r="HLV596" s="50"/>
      <c r="HLW596" s="46"/>
      <c r="HLX596" s="47"/>
      <c r="HLY596" s="46"/>
      <c r="HLZ596" s="48"/>
      <c r="HMA596" s="53"/>
      <c r="HMH596" s="15"/>
      <c r="HMI596" s="50"/>
      <c r="HMJ596" s="50"/>
      <c r="HMK596" s="46"/>
      <c r="HML596" s="47"/>
      <c r="HMM596" s="46"/>
      <c r="HMN596" s="48"/>
      <c r="HMO596" s="53"/>
      <c r="HMV596" s="15"/>
      <c r="HMW596" s="50"/>
      <c r="HMX596" s="50"/>
      <c r="HMY596" s="46"/>
      <c r="HMZ596" s="47"/>
      <c r="HNA596" s="46"/>
      <c r="HNB596" s="48"/>
      <c r="HNC596" s="53"/>
      <c r="HNJ596" s="15"/>
      <c r="HNK596" s="50"/>
      <c r="HNL596" s="50"/>
      <c r="HNM596" s="46"/>
      <c r="HNN596" s="47"/>
      <c r="HNO596" s="46"/>
      <c r="HNP596" s="48"/>
      <c r="HNQ596" s="53"/>
      <c r="HNX596" s="15"/>
      <c r="HNY596" s="50"/>
      <c r="HNZ596" s="50"/>
      <c r="HOA596" s="46"/>
      <c r="HOB596" s="47"/>
      <c r="HOC596" s="46"/>
      <c r="HOD596" s="48"/>
      <c r="HOE596" s="53"/>
      <c r="HOL596" s="15"/>
      <c r="HOM596" s="50"/>
      <c r="HON596" s="50"/>
      <c r="HOO596" s="46"/>
      <c r="HOP596" s="47"/>
      <c r="HOQ596" s="46"/>
      <c r="HOR596" s="48"/>
      <c r="HOS596" s="53"/>
      <c r="HOZ596" s="15"/>
      <c r="HPA596" s="50"/>
      <c r="HPB596" s="50"/>
      <c r="HPC596" s="46"/>
      <c r="HPD596" s="47"/>
      <c r="HPE596" s="46"/>
      <c r="HPF596" s="48"/>
      <c r="HPG596" s="53"/>
      <c r="HPN596" s="15"/>
      <c r="HPO596" s="50"/>
      <c r="HPP596" s="50"/>
      <c r="HPQ596" s="46"/>
      <c r="HPR596" s="47"/>
      <c r="HPS596" s="46"/>
      <c r="HPT596" s="48"/>
      <c r="HPU596" s="53"/>
      <c r="HQB596" s="15"/>
      <c r="HQC596" s="50"/>
      <c r="HQD596" s="50"/>
      <c r="HQE596" s="46"/>
      <c r="HQF596" s="47"/>
      <c r="HQG596" s="46"/>
      <c r="HQH596" s="48"/>
      <c r="HQI596" s="53"/>
      <c r="HQP596" s="15"/>
      <c r="HQQ596" s="50"/>
      <c r="HQR596" s="50"/>
      <c r="HQS596" s="46"/>
      <c r="HQT596" s="47"/>
      <c r="HQU596" s="46"/>
      <c r="HQV596" s="48"/>
      <c r="HQW596" s="53"/>
      <c r="HRD596" s="15"/>
      <c r="HRE596" s="50"/>
      <c r="HRF596" s="50"/>
      <c r="HRG596" s="46"/>
      <c r="HRH596" s="47"/>
      <c r="HRI596" s="46"/>
      <c r="HRJ596" s="48"/>
      <c r="HRK596" s="53"/>
      <c r="HRR596" s="15"/>
      <c r="HRS596" s="50"/>
      <c r="HRT596" s="50"/>
      <c r="HRU596" s="46"/>
      <c r="HRV596" s="47"/>
      <c r="HRW596" s="46"/>
      <c r="HRX596" s="48"/>
      <c r="HRY596" s="53"/>
      <c r="HSF596" s="15"/>
      <c r="HSG596" s="50"/>
      <c r="HSH596" s="50"/>
      <c r="HSI596" s="46"/>
      <c r="HSJ596" s="47"/>
      <c r="HSK596" s="46"/>
      <c r="HSL596" s="48"/>
      <c r="HSM596" s="53"/>
      <c r="HST596" s="15"/>
      <c r="HSU596" s="50"/>
      <c r="HSV596" s="50"/>
      <c r="HSW596" s="46"/>
      <c r="HSX596" s="47"/>
      <c r="HSY596" s="46"/>
      <c r="HSZ596" s="48"/>
      <c r="HTA596" s="53"/>
      <c r="HTH596" s="15"/>
      <c r="HTI596" s="50"/>
      <c r="HTJ596" s="50"/>
      <c r="HTK596" s="46"/>
      <c r="HTL596" s="47"/>
      <c r="HTM596" s="46"/>
      <c r="HTN596" s="48"/>
      <c r="HTO596" s="53"/>
      <c r="HTV596" s="15"/>
      <c r="HTW596" s="50"/>
      <c r="HTX596" s="50"/>
      <c r="HTY596" s="46"/>
      <c r="HTZ596" s="47"/>
      <c r="HUA596" s="46"/>
      <c r="HUB596" s="48"/>
      <c r="HUC596" s="53"/>
      <c r="HUJ596" s="15"/>
      <c r="HUK596" s="50"/>
      <c r="HUL596" s="50"/>
      <c r="HUM596" s="46"/>
      <c r="HUN596" s="47"/>
      <c r="HUO596" s="46"/>
      <c r="HUP596" s="48"/>
      <c r="HUQ596" s="53"/>
      <c r="HUX596" s="15"/>
      <c r="HUY596" s="50"/>
      <c r="HUZ596" s="50"/>
      <c r="HVA596" s="46"/>
      <c r="HVB596" s="47"/>
      <c r="HVC596" s="46"/>
      <c r="HVD596" s="48"/>
      <c r="HVE596" s="53"/>
      <c r="HVL596" s="15"/>
      <c r="HVM596" s="50"/>
      <c r="HVN596" s="50"/>
      <c r="HVO596" s="46"/>
      <c r="HVP596" s="47"/>
      <c r="HVQ596" s="46"/>
      <c r="HVR596" s="48"/>
      <c r="HVS596" s="53"/>
      <c r="HVZ596" s="15"/>
      <c r="HWA596" s="50"/>
      <c r="HWB596" s="50"/>
      <c r="HWC596" s="46"/>
      <c r="HWD596" s="47"/>
      <c r="HWE596" s="46"/>
      <c r="HWF596" s="48"/>
      <c r="HWG596" s="53"/>
      <c r="HWN596" s="15"/>
      <c r="HWO596" s="50"/>
      <c r="HWP596" s="50"/>
      <c r="HWQ596" s="46"/>
      <c r="HWR596" s="47"/>
      <c r="HWS596" s="46"/>
      <c r="HWT596" s="48"/>
      <c r="HWU596" s="53"/>
      <c r="HXB596" s="15"/>
      <c r="HXC596" s="50"/>
      <c r="HXD596" s="50"/>
      <c r="HXE596" s="46"/>
      <c r="HXF596" s="47"/>
      <c r="HXG596" s="46"/>
      <c r="HXH596" s="48"/>
      <c r="HXI596" s="53"/>
      <c r="HXP596" s="15"/>
      <c r="HXQ596" s="50"/>
      <c r="HXR596" s="50"/>
      <c r="HXS596" s="46"/>
      <c r="HXT596" s="47"/>
      <c r="HXU596" s="46"/>
      <c r="HXV596" s="48"/>
      <c r="HXW596" s="53"/>
      <c r="HYD596" s="15"/>
      <c r="HYE596" s="50"/>
      <c r="HYF596" s="50"/>
      <c r="HYG596" s="46"/>
      <c r="HYH596" s="47"/>
      <c r="HYI596" s="46"/>
      <c r="HYJ596" s="48"/>
      <c r="HYK596" s="53"/>
      <c r="HYR596" s="15"/>
      <c r="HYS596" s="50"/>
      <c r="HYT596" s="50"/>
      <c r="HYU596" s="46"/>
      <c r="HYV596" s="47"/>
      <c r="HYW596" s="46"/>
      <c r="HYX596" s="48"/>
      <c r="HYY596" s="53"/>
      <c r="HZF596" s="15"/>
      <c r="HZG596" s="50"/>
      <c r="HZH596" s="50"/>
      <c r="HZI596" s="46"/>
      <c r="HZJ596" s="47"/>
      <c r="HZK596" s="46"/>
      <c r="HZL596" s="48"/>
      <c r="HZM596" s="53"/>
      <c r="HZT596" s="15"/>
      <c r="HZU596" s="50"/>
      <c r="HZV596" s="50"/>
      <c r="HZW596" s="46"/>
      <c r="HZX596" s="47"/>
      <c r="HZY596" s="46"/>
      <c r="HZZ596" s="48"/>
      <c r="IAA596" s="53"/>
      <c r="IAH596" s="15"/>
      <c r="IAI596" s="50"/>
      <c r="IAJ596" s="50"/>
      <c r="IAK596" s="46"/>
      <c r="IAL596" s="47"/>
      <c r="IAM596" s="46"/>
      <c r="IAN596" s="48"/>
      <c r="IAO596" s="53"/>
      <c r="IAV596" s="15"/>
      <c r="IAW596" s="50"/>
      <c r="IAX596" s="50"/>
      <c r="IAY596" s="46"/>
      <c r="IAZ596" s="47"/>
      <c r="IBA596" s="46"/>
      <c r="IBB596" s="48"/>
      <c r="IBC596" s="53"/>
      <c r="IBJ596" s="15"/>
      <c r="IBK596" s="50"/>
      <c r="IBL596" s="50"/>
      <c r="IBM596" s="46"/>
      <c r="IBN596" s="47"/>
      <c r="IBO596" s="46"/>
      <c r="IBP596" s="48"/>
      <c r="IBQ596" s="53"/>
      <c r="IBX596" s="15"/>
      <c r="IBY596" s="50"/>
      <c r="IBZ596" s="50"/>
      <c r="ICA596" s="46"/>
      <c r="ICB596" s="47"/>
      <c r="ICC596" s="46"/>
      <c r="ICD596" s="48"/>
      <c r="ICE596" s="53"/>
      <c r="ICL596" s="15"/>
      <c r="ICM596" s="50"/>
      <c r="ICN596" s="50"/>
      <c r="ICO596" s="46"/>
      <c r="ICP596" s="47"/>
      <c r="ICQ596" s="46"/>
      <c r="ICR596" s="48"/>
      <c r="ICS596" s="53"/>
      <c r="ICZ596" s="15"/>
      <c r="IDA596" s="50"/>
      <c r="IDB596" s="50"/>
      <c r="IDC596" s="46"/>
      <c r="IDD596" s="47"/>
      <c r="IDE596" s="46"/>
      <c r="IDF596" s="48"/>
      <c r="IDG596" s="53"/>
      <c r="IDN596" s="15"/>
      <c r="IDO596" s="50"/>
      <c r="IDP596" s="50"/>
      <c r="IDQ596" s="46"/>
      <c r="IDR596" s="47"/>
      <c r="IDS596" s="46"/>
      <c r="IDT596" s="48"/>
      <c r="IDU596" s="53"/>
      <c r="IEB596" s="15"/>
      <c r="IEC596" s="50"/>
      <c r="IED596" s="50"/>
      <c r="IEE596" s="46"/>
      <c r="IEF596" s="47"/>
      <c r="IEG596" s="46"/>
      <c r="IEH596" s="48"/>
      <c r="IEI596" s="53"/>
      <c r="IEP596" s="15"/>
      <c r="IEQ596" s="50"/>
      <c r="IER596" s="50"/>
      <c r="IES596" s="46"/>
      <c r="IET596" s="47"/>
      <c r="IEU596" s="46"/>
      <c r="IEV596" s="48"/>
      <c r="IEW596" s="53"/>
      <c r="IFD596" s="15"/>
      <c r="IFE596" s="50"/>
      <c r="IFF596" s="50"/>
      <c r="IFG596" s="46"/>
      <c r="IFH596" s="47"/>
      <c r="IFI596" s="46"/>
      <c r="IFJ596" s="48"/>
      <c r="IFK596" s="53"/>
      <c r="IFR596" s="15"/>
      <c r="IFS596" s="50"/>
      <c r="IFT596" s="50"/>
      <c r="IFU596" s="46"/>
      <c r="IFV596" s="47"/>
      <c r="IFW596" s="46"/>
      <c r="IFX596" s="48"/>
      <c r="IFY596" s="53"/>
      <c r="IGF596" s="15"/>
      <c r="IGG596" s="50"/>
      <c r="IGH596" s="50"/>
      <c r="IGI596" s="46"/>
      <c r="IGJ596" s="47"/>
      <c r="IGK596" s="46"/>
      <c r="IGL596" s="48"/>
      <c r="IGM596" s="53"/>
      <c r="IGT596" s="15"/>
      <c r="IGU596" s="50"/>
      <c r="IGV596" s="50"/>
      <c r="IGW596" s="46"/>
      <c r="IGX596" s="47"/>
      <c r="IGY596" s="46"/>
      <c r="IGZ596" s="48"/>
      <c r="IHA596" s="53"/>
      <c r="IHH596" s="15"/>
      <c r="IHI596" s="50"/>
      <c r="IHJ596" s="50"/>
      <c r="IHK596" s="46"/>
      <c r="IHL596" s="47"/>
      <c r="IHM596" s="46"/>
      <c r="IHN596" s="48"/>
      <c r="IHO596" s="53"/>
      <c r="IHV596" s="15"/>
      <c r="IHW596" s="50"/>
      <c r="IHX596" s="50"/>
      <c r="IHY596" s="46"/>
      <c r="IHZ596" s="47"/>
      <c r="IIA596" s="46"/>
      <c r="IIB596" s="48"/>
      <c r="IIC596" s="53"/>
      <c r="IIJ596" s="15"/>
      <c r="IIK596" s="50"/>
      <c r="IIL596" s="50"/>
      <c r="IIM596" s="46"/>
      <c r="IIN596" s="47"/>
      <c r="IIO596" s="46"/>
      <c r="IIP596" s="48"/>
      <c r="IIQ596" s="53"/>
      <c r="IIX596" s="15"/>
      <c r="IIY596" s="50"/>
      <c r="IIZ596" s="50"/>
      <c r="IJA596" s="46"/>
      <c r="IJB596" s="47"/>
      <c r="IJC596" s="46"/>
      <c r="IJD596" s="48"/>
      <c r="IJE596" s="53"/>
      <c r="IJL596" s="15"/>
      <c r="IJM596" s="50"/>
      <c r="IJN596" s="50"/>
      <c r="IJO596" s="46"/>
      <c r="IJP596" s="47"/>
      <c r="IJQ596" s="46"/>
      <c r="IJR596" s="48"/>
      <c r="IJS596" s="53"/>
      <c r="IJZ596" s="15"/>
      <c r="IKA596" s="50"/>
      <c r="IKB596" s="50"/>
      <c r="IKC596" s="46"/>
      <c r="IKD596" s="47"/>
      <c r="IKE596" s="46"/>
      <c r="IKF596" s="48"/>
      <c r="IKG596" s="53"/>
      <c r="IKN596" s="15"/>
      <c r="IKO596" s="50"/>
      <c r="IKP596" s="50"/>
      <c r="IKQ596" s="46"/>
      <c r="IKR596" s="47"/>
      <c r="IKS596" s="46"/>
      <c r="IKT596" s="48"/>
      <c r="IKU596" s="53"/>
      <c r="ILB596" s="15"/>
      <c r="ILC596" s="50"/>
      <c r="ILD596" s="50"/>
      <c r="ILE596" s="46"/>
      <c r="ILF596" s="47"/>
      <c r="ILG596" s="46"/>
      <c r="ILH596" s="48"/>
      <c r="ILI596" s="53"/>
      <c r="ILP596" s="15"/>
      <c r="ILQ596" s="50"/>
      <c r="ILR596" s="50"/>
      <c r="ILS596" s="46"/>
      <c r="ILT596" s="47"/>
      <c r="ILU596" s="46"/>
      <c r="ILV596" s="48"/>
      <c r="ILW596" s="53"/>
      <c r="IMD596" s="15"/>
      <c r="IME596" s="50"/>
      <c r="IMF596" s="50"/>
      <c r="IMG596" s="46"/>
      <c r="IMH596" s="47"/>
      <c r="IMI596" s="46"/>
      <c r="IMJ596" s="48"/>
      <c r="IMK596" s="53"/>
      <c r="IMR596" s="15"/>
      <c r="IMS596" s="50"/>
      <c r="IMT596" s="50"/>
      <c r="IMU596" s="46"/>
      <c r="IMV596" s="47"/>
      <c r="IMW596" s="46"/>
      <c r="IMX596" s="48"/>
      <c r="IMY596" s="53"/>
      <c r="INF596" s="15"/>
      <c r="ING596" s="50"/>
      <c r="INH596" s="50"/>
      <c r="INI596" s="46"/>
      <c r="INJ596" s="47"/>
      <c r="INK596" s="46"/>
      <c r="INL596" s="48"/>
      <c r="INM596" s="53"/>
      <c r="INT596" s="15"/>
      <c r="INU596" s="50"/>
      <c r="INV596" s="50"/>
      <c r="INW596" s="46"/>
      <c r="INX596" s="47"/>
      <c r="INY596" s="46"/>
      <c r="INZ596" s="48"/>
      <c r="IOA596" s="53"/>
      <c r="IOH596" s="15"/>
      <c r="IOI596" s="50"/>
      <c r="IOJ596" s="50"/>
      <c r="IOK596" s="46"/>
      <c r="IOL596" s="47"/>
      <c r="IOM596" s="46"/>
      <c r="ION596" s="48"/>
      <c r="IOO596" s="53"/>
      <c r="IOV596" s="15"/>
      <c r="IOW596" s="50"/>
      <c r="IOX596" s="50"/>
      <c r="IOY596" s="46"/>
      <c r="IOZ596" s="47"/>
      <c r="IPA596" s="46"/>
      <c r="IPB596" s="48"/>
      <c r="IPC596" s="53"/>
      <c r="IPJ596" s="15"/>
      <c r="IPK596" s="50"/>
      <c r="IPL596" s="50"/>
      <c r="IPM596" s="46"/>
      <c r="IPN596" s="47"/>
      <c r="IPO596" s="46"/>
      <c r="IPP596" s="48"/>
      <c r="IPQ596" s="53"/>
      <c r="IPX596" s="15"/>
      <c r="IPY596" s="50"/>
      <c r="IPZ596" s="50"/>
      <c r="IQA596" s="46"/>
      <c r="IQB596" s="47"/>
      <c r="IQC596" s="46"/>
      <c r="IQD596" s="48"/>
      <c r="IQE596" s="53"/>
      <c r="IQL596" s="15"/>
      <c r="IQM596" s="50"/>
      <c r="IQN596" s="50"/>
      <c r="IQO596" s="46"/>
      <c r="IQP596" s="47"/>
      <c r="IQQ596" s="46"/>
      <c r="IQR596" s="48"/>
      <c r="IQS596" s="53"/>
      <c r="IQZ596" s="15"/>
      <c r="IRA596" s="50"/>
      <c r="IRB596" s="50"/>
      <c r="IRC596" s="46"/>
      <c r="IRD596" s="47"/>
      <c r="IRE596" s="46"/>
      <c r="IRF596" s="48"/>
      <c r="IRG596" s="53"/>
      <c r="IRN596" s="15"/>
      <c r="IRO596" s="50"/>
      <c r="IRP596" s="50"/>
      <c r="IRQ596" s="46"/>
      <c r="IRR596" s="47"/>
      <c r="IRS596" s="46"/>
      <c r="IRT596" s="48"/>
      <c r="IRU596" s="53"/>
      <c r="ISB596" s="15"/>
      <c r="ISC596" s="50"/>
      <c r="ISD596" s="50"/>
      <c r="ISE596" s="46"/>
      <c r="ISF596" s="47"/>
      <c r="ISG596" s="46"/>
      <c r="ISH596" s="48"/>
      <c r="ISI596" s="53"/>
      <c r="ISP596" s="15"/>
      <c r="ISQ596" s="50"/>
      <c r="ISR596" s="50"/>
      <c r="ISS596" s="46"/>
      <c r="IST596" s="47"/>
      <c r="ISU596" s="46"/>
      <c r="ISV596" s="48"/>
      <c r="ISW596" s="53"/>
      <c r="ITD596" s="15"/>
      <c r="ITE596" s="50"/>
      <c r="ITF596" s="50"/>
      <c r="ITG596" s="46"/>
      <c r="ITH596" s="47"/>
      <c r="ITI596" s="46"/>
      <c r="ITJ596" s="48"/>
      <c r="ITK596" s="53"/>
      <c r="ITR596" s="15"/>
      <c r="ITS596" s="50"/>
      <c r="ITT596" s="50"/>
      <c r="ITU596" s="46"/>
      <c r="ITV596" s="47"/>
      <c r="ITW596" s="46"/>
      <c r="ITX596" s="48"/>
      <c r="ITY596" s="53"/>
      <c r="IUF596" s="15"/>
      <c r="IUG596" s="50"/>
      <c r="IUH596" s="50"/>
      <c r="IUI596" s="46"/>
      <c r="IUJ596" s="47"/>
      <c r="IUK596" s="46"/>
      <c r="IUL596" s="48"/>
      <c r="IUM596" s="53"/>
      <c r="IUT596" s="15"/>
      <c r="IUU596" s="50"/>
      <c r="IUV596" s="50"/>
      <c r="IUW596" s="46"/>
      <c r="IUX596" s="47"/>
      <c r="IUY596" s="46"/>
      <c r="IUZ596" s="48"/>
      <c r="IVA596" s="53"/>
      <c r="IVH596" s="15"/>
      <c r="IVI596" s="50"/>
      <c r="IVJ596" s="50"/>
      <c r="IVK596" s="46"/>
      <c r="IVL596" s="47"/>
      <c r="IVM596" s="46"/>
      <c r="IVN596" s="48"/>
      <c r="IVO596" s="53"/>
      <c r="IVV596" s="15"/>
      <c r="IVW596" s="50"/>
      <c r="IVX596" s="50"/>
      <c r="IVY596" s="46"/>
      <c r="IVZ596" s="47"/>
      <c r="IWA596" s="46"/>
      <c r="IWB596" s="48"/>
      <c r="IWC596" s="53"/>
      <c r="IWJ596" s="15"/>
      <c r="IWK596" s="50"/>
      <c r="IWL596" s="50"/>
      <c r="IWM596" s="46"/>
      <c r="IWN596" s="47"/>
      <c r="IWO596" s="46"/>
      <c r="IWP596" s="48"/>
      <c r="IWQ596" s="53"/>
      <c r="IWX596" s="15"/>
      <c r="IWY596" s="50"/>
      <c r="IWZ596" s="50"/>
      <c r="IXA596" s="46"/>
      <c r="IXB596" s="47"/>
      <c r="IXC596" s="46"/>
      <c r="IXD596" s="48"/>
      <c r="IXE596" s="53"/>
      <c r="IXL596" s="15"/>
      <c r="IXM596" s="50"/>
      <c r="IXN596" s="50"/>
      <c r="IXO596" s="46"/>
      <c r="IXP596" s="47"/>
      <c r="IXQ596" s="46"/>
      <c r="IXR596" s="48"/>
      <c r="IXS596" s="53"/>
      <c r="IXZ596" s="15"/>
      <c r="IYA596" s="50"/>
      <c r="IYB596" s="50"/>
      <c r="IYC596" s="46"/>
      <c r="IYD596" s="47"/>
      <c r="IYE596" s="46"/>
      <c r="IYF596" s="48"/>
      <c r="IYG596" s="53"/>
      <c r="IYN596" s="15"/>
      <c r="IYO596" s="50"/>
      <c r="IYP596" s="50"/>
      <c r="IYQ596" s="46"/>
      <c r="IYR596" s="47"/>
      <c r="IYS596" s="46"/>
      <c r="IYT596" s="48"/>
      <c r="IYU596" s="53"/>
      <c r="IZB596" s="15"/>
      <c r="IZC596" s="50"/>
      <c r="IZD596" s="50"/>
      <c r="IZE596" s="46"/>
      <c r="IZF596" s="47"/>
      <c r="IZG596" s="46"/>
      <c r="IZH596" s="48"/>
      <c r="IZI596" s="53"/>
      <c r="IZP596" s="15"/>
      <c r="IZQ596" s="50"/>
      <c r="IZR596" s="50"/>
      <c r="IZS596" s="46"/>
      <c r="IZT596" s="47"/>
      <c r="IZU596" s="46"/>
      <c r="IZV596" s="48"/>
      <c r="IZW596" s="53"/>
      <c r="JAD596" s="15"/>
      <c r="JAE596" s="50"/>
      <c r="JAF596" s="50"/>
      <c r="JAG596" s="46"/>
      <c r="JAH596" s="47"/>
      <c r="JAI596" s="46"/>
      <c r="JAJ596" s="48"/>
      <c r="JAK596" s="53"/>
      <c r="JAR596" s="15"/>
      <c r="JAS596" s="50"/>
      <c r="JAT596" s="50"/>
      <c r="JAU596" s="46"/>
      <c r="JAV596" s="47"/>
      <c r="JAW596" s="46"/>
      <c r="JAX596" s="48"/>
      <c r="JAY596" s="53"/>
      <c r="JBF596" s="15"/>
      <c r="JBG596" s="50"/>
      <c r="JBH596" s="50"/>
      <c r="JBI596" s="46"/>
      <c r="JBJ596" s="47"/>
      <c r="JBK596" s="46"/>
      <c r="JBL596" s="48"/>
      <c r="JBM596" s="53"/>
      <c r="JBT596" s="15"/>
      <c r="JBU596" s="50"/>
      <c r="JBV596" s="50"/>
      <c r="JBW596" s="46"/>
      <c r="JBX596" s="47"/>
      <c r="JBY596" s="46"/>
      <c r="JBZ596" s="48"/>
      <c r="JCA596" s="53"/>
      <c r="JCH596" s="15"/>
      <c r="JCI596" s="50"/>
      <c r="JCJ596" s="50"/>
      <c r="JCK596" s="46"/>
      <c r="JCL596" s="47"/>
      <c r="JCM596" s="46"/>
      <c r="JCN596" s="48"/>
      <c r="JCO596" s="53"/>
      <c r="JCV596" s="15"/>
      <c r="JCW596" s="50"/>
      <c r="JCX596" s="50"/>
      <c r="JCY596" s="46"/>
      <c r="JCZ596" s="47"/>
      <c r="JDA596" s="46"/>
      <c r="JDB596" s="48"/>
      <c r="JDC596" s="53"/>
      <c r="JDJ596" s="15"/>
      <c r="JDK596" s="50"/>
      <c r="JDL596" s="50"/>
      <c r="JDM596" s="46"/>
      <c r="JDN596" s="47"/>
      <c r="JDO596" s="46"/>
      <c r="JDP596" s="48"/>
      <c r="JDQ596" s="53"/>
      <c r="JDX596" s="15"/>
      <c r="JDY596" s="50"/>
      <c r="JDZ596" s="50"/>
      <c r="JEA596" s="46"/>
      <c r="JEB596" s="47"/>
      <c r="JEC596" s="46"/>
      <c r="JED596" s="48"/>
      <c r="JEE596" s="53"/>
      <c r="JEL596" s="15"/>
      <c r="JEM596" s="50"/>
      <c r="JEN596" s="50"/>
      <c r="JEO596" s="46"/>
      <c r="JEP596" s="47"/>
      <c r="JEQ596" s="46"/>
      <c r="JER596" s="48"/>
      <c r="JES596" s="53"/>
      <c r="JEZ596" s="15"/>
      <c r="JFA596" s="50"/>
      <c r="JFB596" s="50"/>
      <c r="JFC596" s="46"/>
      <c r="JFD596" s="47"/>
      <c r="JFE596" s="46"/>
      <c r="JFF596" s="48"/>
      <c r="JFG596" s="53"/>
      <c r="JFN596" s="15"/>
      <c r="JFO596" s="50"/>
      <c r="JFP596" s="50"/>
      <c r="JFQ596" s="46"/>
      <c r="JFR596" s="47"/>
      <c r="JFS596" s="46"/>
      <c r="JFT596" s="48"/>
      <c r="JFU596" s="53"/>
      <c r="JGB596" s="15"/>
      <c r="JGC596" s="50"/>
      <c r="JGD596" s="50"/>
      <c r="JGE596" s="46"/>
      <c r="JGF596" s="47"/>
      <c r="JGG596" s="46"/>
      <c r="JGH596" s="48"/>
      <c r="JGI596" s="53"/>
      <c r="JGP596" s="15"/>
      <c r="JGQ596" s="50"/>
      <c r="JGR596" s="50"/>
      <c r="JGS596" s="46"/>
      <c r="JGT596" s="47"/>
      <c r="JGU596" s="46"/>
      <c r="JGV596" s="48"/>
      <c r="JGW596" s="53"/>
      <c r="JHD596" s="15"/>
      <c r="JHE596" s="50"/>
      <c r="JHF596" s="50"/>
      <c r="JHG596" s="46"/>
      <c r="JHH596" s="47"/>
      <c r="JHI596" s="46"/>
      <c r="JHJ596" s="48"/>
      <c r="JHK596" s="53"/>
      <c r="JHR596" s="15"/>
      <c r="JHS596" s="50"/>
      <c r="JHT596" s="50"/>
      <c r="JHU596" s="46"/>
      <c r="JHV596" s="47"/>
      <c r="JHW596" s="46"/>
      <c r="JHX596" s="48"/>
      <c r="JHY596" s="53"/>
      <c r="JIF596" s="15"/>
      <c r="JIG596" s="50"/>
      <c r="JIH596" s="50"/>
      <c r="JII596" s="46"/>
      <c r="JIJ596" s="47"/>
      <c r="JIK596" s="46"/>
      <c r="JIL596" s="48"/>
      <c r="JIM596" s="53"/>
      <c r="JIT596" s="15"/>
      <c r="JIU596" s="50"/>
      <c r="JIV596" s="50"/>
      <c r="JIW596" s="46"/>
      <c r="JIX596" s="47"/>
      <c r="JIY596" s="46"/>
      <c r="JIZ596" s="48"/>
      <c r="JJA596" s="53"/>
      <c r="JJH596" s="15"/>
      <c r="JJI596" s="50"/>
      <c r="JJJ596" s="50"/>
      <c r="JJK596" s="46"/>
      <c r="JJL596" s="47"/>
      <c r="JJM596" s="46"/>
      <c r="JJN596" s="48"/>
      <c r="JJO596" s="53"/>
      <c r="JJV596" s="15"/>
      <c r="JJW596" s="50"/>
      <c r="JJX596" s="50"/>
      <c r="JJY596" s="46"/>
      <c r="JJZ596" s="47"/>
      <c r="JKA596" s="46"/>
      <c r="JKB596" s="48"/>
      <c r="JKC596" s="53"/>
      <c r="JKJ596" s="15"/>
      <c r="JKK596" s="50"/>
      <c r="JKL596" s="50"/>
      <c r="JKM596" s="46"/>
      <c r="JKN596" s="47"/>
      <c r="JKO596" s="46"/>
      <c r="JKP596" s="48"/>
      <c r="JKQ596" s="53"/>
      <c r="JKX596" s="15"/>
      <c r="JKY596" s="50"/>
      <c r="JKZ596" s="50"/>
      <c r="JLA596" s="46"/>
      <c r="JLB596" s="47"/>
      <c r="JLC596" s="46"/>
      <c r="JLD596" s="48"/>
      <c r="JLE596" s="53"/>
      <c r="JLL596" s="15"/>
      <c r="JLM596" s="50"/>
      <c r="JLN596" s="50"/>
      <c r="JLO596" s="46"/>
      <c r="JLP596" s="47"/>
      <c r="JLQ596" s="46"/>
      <c r="JLR596" s="48"/>
      <c r="JLS596" s="53"/>
      <c r="JLZ596" s="15"/>
      <c r="JMA596" s="50"/>
      <c r="JMB596" s="50"/>
      <c r="JMC596" s="46"/>
      <c r="JMD596" s="47"/>
      <c r="JME596" s="46"/>
      <c r="JMF596" s="48"/>
      <c r="JMG596" s="53"/>
      <c r="JMN596" s="15"/>
      <c r="JMO596" s="50"/>
      <c r="JMP596" s="50"/>
      <c r="JMQ596" s="46"/>
      <c r="JMR596" s="47"/>
      <c r="JMS596" s="46"/>
      <c r="JMT596" s="48"/>
      <c r="JMU596" s="53"/>
      <c r="JNB596" s="15"/>
      <c r="JNC596" s="50"/>
      <c r="JND596" s="50"/>
      <c r="JNE596" s="46"/>
      <c r="JNF596" s="47"/>
      <c r="JNG596" s="46"/>
      <c r="JNH596" s="48"/>
      <c r="JNI596" s="53"/>
      <c r="JNP596" s="15"/>
      <c r="JNQ596" s="50"/>
      <c r="JNR596" s="50"/>
      <c r="JNS596" s="46"/>
      <c r="JNT596" s="47"/>
      <c r="JNU596" s="46"/>
      <c r="JNV596" s="48"/>
      <c r="JNW596" s="53"/>
      <c r="JOD596" s="15"/>
      <c r="JOE596" s="50"/>
      <c r="JOF596" s="50"/>
      <c r="JOG596" s="46"/>
      <c r="JOH596" s="47"/>
      <c r="JOI596" s="46"/>
      <c r="JOJ596" s="48"/>
      <c r="JOK596" s="53"/>
      <c r="JOR596" s="15"/>
      <c r="JOS596" s="50"/>
      <c r="JOT596" s="50"/>
      <c r="JOU596" s="46"/>
      <c r="JOV596" s="47"/>
      <c r="JOW596" s="46"/>
      <c r="JOX596" s="48"/>
      <c r="JOY596" s="53"/>
      <c r="JPF596" s="15"/>
      <c r="JPG596" s="50"/>
      <c r="JPH596" s="50"/>
      <c r="JPI596" s="46"/>
      <c r="JPJ596" s="47"/>
      <c r="JPK596" s="46"/>
      <c r="JPL596" s="48"/>
      <c r="JPM596" s="53"/>
      <c r="JPT596" s="15"/>
      <c r="JPU596" s="50"/>
      <c r="JPV596" s="50"/>
      <c r="JPW596" s="46"/>
      <c r="JPX596" s="47"/>
      <c r="JPY596" s="46"/>
      <c r="JPZ596" s="48"/>
      <c r="JQA596" s="53"/>
      <c r="JQH596" s="15"/>
      <c r="JQI596" s="50"/>
      <c r="JQJ596" s="50"/>
      <c r="JQK596" s="46"/>
      <c r="JQL596" s="47"/>
      <c r="JQM596" s="46"/>
      <c r="JQN596" s="48"/>
      <c r="JQO596" s="53"/>
      <c r="JQV596" s="15"/>
      <c r="JQW596" s="50"/>
      <c r="JQX596" s="50"/>
      <c r="JQY596" s="46"/>
      <c r="JQZ596" s="47"/>
      <c r="JRA596" s="46"/>
      <c r="JRB596" s="48"/>
      <c r="JRC596" s="53"/>
      <c r="JRJ596" s="15"/>
      <c r="JRK596" s="50"/>
      <c r="JRL596" s="50"/>
      <c r="JRM596" s="46"/>
      <c r="JRN596" s="47"/>
      <c r="JRO596" s="46"/>
      <c r="JRP596" s="48"/>
      <c r="JRQ596" s="53"/>
      <c r="JRX596" s="15"/>
      <c r="JRY596" s="50"/>
      <c r="JRZ596" s="50"/>
      <c r="JSA596" s="46"/>
      <c r="JSB596" s="47"/>
      <c r="JSC596" s="46"/>
      <c r="JSD596" s="48"/>
      <c r="JSE596" s="53"/>
      <c r="JSL596" s="15"/>
      <c r="JSM596" s="50"/>
      <c r="JSN596" s="50"/>
      <c r="JSO596" s="46"/>
      <c r="JSP596" s="47"/>
      <c r="JSQ596" s="46"/>
      <c r="JSR596" s="48"/>
      <c r="JSS596" s="53"/>
      <c r="JSZ596" s="15"/>
      <c r="JTA596" s="50"/>
      <c r="JTB596" s="50"/>
      <c r="JTC596" s="46"/>
      <c r="JTD596" s="47"/>
      <c r="JTE596" s="46"/>
      <c r="JTF596" s="48"/>
      <c r="JTG596" s="53"/>
      <c r="JTN596" s="15"/>
      <c r="JTO596" s="50"/>
      <c r="JTP596" s="50"/>
      <c r="JTQ596" s="46"/>
      <c r="JTR596" s="47"/>
      <c r="JTS596" s="46"/>
      <c r="JTT596" s="48"/>
      <c r="JTU596" s="53"/>
      <c r="JUB596" s="15"/>
      <c r="JUC596" s="50"/>
      <c r="JUD596" s="50"/>
      <c r="JUE596" s="46"/>
      <c r="JUF596" s="47"/>
      <c r="JUG596" s="46"/>
      <c r="JUH596" s="48"/>
      <c r="JUI596" s="53"/>
      <c r="JUP596" s="15"/>
      <c r="JUQ596" s="50"/>
      <c r="JUR596" s="50"/>
      <c r="JUS596" s="46"/>
      <c r="JUT596" s="47"/>
      <c r="JUU596" s="46"/>
      <c r="JUV596" s="48"/>
      <c r="JUW596" s="53"/>
      <c r="JVD596" s="15"/>
      <c r="JVE596" s="50"/>
      <c r="JVF596" s="50"/>
      <c r="JVG596" s="46"/>
      <c r="JVH596" s="47"/>
      <c r="JVI596" s="46"/>
      <c r="JVJ596" s="48"/>
      <c r="JVK596" s="53"/>
      <c r="JVR596" s="15"/>
      <c r="JVS596" s="50"/>
      <c r="JVT596" s="50"/>
      <c r="JVU596" s="46"/>
      <c r="JVV596" s="47"/>
      <c r="JVW596" s="46"/>
      <c r="JVX596" s="48"/>
      <c r="JVY596" s="53"/>
      <c r="JWF596" s="15"/>
      <c r="JWG596" s="50"/>
      <c r="JWH596" s="50"/>
      <c r="JWI596" s="46"/>
      <c r="JWJ596" s="47"/>
      <c r="JWK596" s="46"/>
      <c r="JWL596" s="48"/>
      <c r="JWM596" s="53"/>
      <c r="JWT596" s="15"/>
      <c r="JWU596" s="50"/>
      <c r="JWV596" s="50"/>
      <c r="JWW596" s="46"/>
      <c r="JWX596" s="47"/>
      <c r="JWY596" s="46"/>
      <c r="JWZ596" s="48"/>
      <c r="JXA596" s="53"/>
      <c r="JXH596" s="15"/>
      <c r="JXI596" s="50"/>
      <c r="JXJ596" s="50"/>
      <c r="JXK596" s="46"/>
      <c r="JXL596" s="47"/>
      <c r="JXM596" s="46"/>
      <c r="JXN596" s="48"/>
      <c r="JXO596" s="53"/>
      <c r="JXV596" s="15"/>
      <c r="JXW596" s="50"/>
      <c r="JXX596" s="50"/>
      <c r="JXY596" s="46"/>
      <c r="JXZ596" s="47"/>
      <c r="JYA596" s="46"/>
      <c r="JYB596" s="48"/>
      <c r="JYC596" s="53"/>
      <c r="JYJ596" s="15"/>
      <c r="JYK596" s="50"/>
      <c r="JYL596" s="50"/>
      <c r="JYM596" s="46"/>
      <c r="JYN596" s="47"/>
      <c r="JYO596" s="46"/>
      <c r="JYP596" s="48"/>
      <c r="JYQ596" s="53"/>
      <c r="JYX596" s="15"/>
      <c r="JYY596" s="50"/>
      <c r="JYZ596" s="50"/>
      <c r="JZA596" s="46"/>
      <c r="JZB596" s="47"/>
      <c r="JZC596" s="46"/>
      <c r="JZD596" s="48"/>
      <c r="JZE596" s="53"/>
      <c r="JZL596" s="15"/>
      <c r="JZM596" s="50"/>
      <c r="JZN596" s="50"/>
      <c r="JZO596" s="46"/>
      <c r="JZP596" s="47"/>
      <c r="JZQ596" s="46"/>
      <c r="JZR596" s="48"/>
      <c r="JZS596" s="53"/>
      <c r="JZZ596" s="15"/>
      <c r="KAA596" s="50"/>
      <c r="KAB596" s="50"/>
      <c r="KAC596" s="46"/>
      <c r="KAD596" s="47"/>
      <c r="KAE596" s="46"/>
      <c r="KAF596" s="48"/>
      <c r="KAG596" s="53"/>
      <c r="KAN596" s="15"/>
      <c r="KAO596" s="50"/>
      <c r="KAP596" s="50"/>
      <c r="KAQ596" s="46"/>
      <c r="KAR596" s="47"/>
      <c r="KAS596" s="46"/>
      <c r="KAT596" s="48"/>
      <c r="KAU596" s="53"/>
      <c r="KBB596" s="15"/>
      <c r="KBC596" s="50"/>
      <c r="KBD596" s="50"/>
      <c r="KBE596" s="46"/>
      <c r="KBF596" s="47"/>
      <c r="KBG596" s="46"/>
      <c r="KBH596" s="48"/>
      <c r="KBI596" s="53"/>
      <c r="KBP596" s="15"/>
      <c r="KBQ596" s="50"/>
      <c r="KBR596" s="50"/>
      <c r="KBS596" s="46"/>
      <c r="KBT596" s="47"/>
      <c r="KBU596" s="46"/>
      <c r="KBV596" s="48"/>
      <c r="KBW596" s="53"/>
      <c r="KCD596" s="15"/>
      <c r="KCE596" s="50"/>
      <c r="KCF596" s="50"/>
      <c r="KCG596" s="46"/>
      <c r="KCH596" s="47"/>
      <c r="KCI596" s="46"/>
      <c r="KCJ596" s="48"/>
      <c r="KCK596" s="53"/>
      <c r="KCR596" s="15"/>
      <c r="KCS596" s="50"/>
      <c r="KCT596" s="50"/>
      <c r="KCU596" s="46"/>
      <c r="KCV596" s="47"/>
      <c r="KCW596" s="46"/>
      <c r="KCX596" s="48"/>
      <c r="KCY596" s="53"/>
      <c r="KDF596" s="15"/>
      <c r="KDG596" s="50"/>
      <c r="KDH596" s="50"/>
      <c r="KDI596" s="46"/>
      <c r="KDJ596" s="47"/>
      <c r="KDK596" s="46"/>
      <c r="KDL596" s="48"/>
      <c r="KDM596" s="53"/>
      <c r="KDT596" s="15"/>
      <c r="KDU596" s="50"/>
      <c r="KDV596" s="50"/>
      <c r="KDW596" s="46"/>
      <c r="KDX596" s="47"/>
      <c r="KDY596" s="46"/>
      <c r="KDZ596" s="48"/>
      <c r="KEA596" s="53"/>
      <c r="KEH596" s="15"/>
      <c r="KEI596" s="50"/>
      <c r="KEJ596" s="50"/>
      <c r="KEK596" s="46"/>
      <c r="KEL596" s="47"/>
      <c r="KEM596" s="46"/>
      <c r="KEN596" s="48"/>
      <c r="KEO596" s="53"/>
      <c r="KEV596" s="15"/>
      <c r="KEW596" s="50"/>
      <c r="KEX596" s="50"/>
      <c r="KEY596" s="46"/>
      <c r="KEZ596" s="47"/>
      <c r="KFA596" s="46"/>
      <c r="KFB596" s="48"/>
      <c r="KFC596" s="53"/>
      <c r="KFJ596" s="15"/>
      <c r="KFK596" s="50"/>
      <c r="KFL596" s="50"/>
      <c r="KFM596" s="46"/>
      <c r="KFN596" s="47"/>
      <c r="KFO596" s="46"/>
      <c r="KFP596" s="48"/>
      <c r="KFQ596" s="53"/>
      <c r="KFX596" s="15"/>
      <c r="KFY596" s="50"/>
      <c r="KFZ596" s="50"/>
      <c r="KGA596" s="46"/>
      <c r="KGB596" s="47"/>
      <c r="KGC596" s="46"/>
      <c r="KGD596" s="48"/>
      <c r="KGE596" s="53"/>
      <c r="KGL596" s="15"/>
      <c r="KGM596" s="50"/>
      <c r="KGN596" s="50"/>
      <c r="KGO596" s="46"/>
      <c r="KGP596" s="47"/>
      <c r="KGQ596" s="46"/>
      <c r="KGR596" s="48"/>
      <c r="KGS596" s="53"/>
      <c r="KGZ596" s="15"/>
      <c r="KHA596" s="50"/>
      <c r="KHB596" s="50"/>
      <c r="KHC596" s="46"/>
      <c r="KHD596" s="47"/>
      <c r="KHE596" s="46"/>
      <c r="KHF596" s="48"/>
      <c r="KHG596" s="53"/>
      <c r="KHN596" s="15"/>
      <c r="KHO596" s="50"/>
      <c r="KHP596" s="50"/>
      <c r="KHQ596" s="46"/>
      <c r="KHR596" s="47"/>
      <c r="KHS596" s="46"/>
      <c r="KHT596" s="48"/>
      <c r="KHU596" s="53"/>
      <c r="KIB596" s="15"/>
      <c r="KIC596" s="50"/>
      <c r="KID596" s="50"/>
      <c r="KIE596" s="46"/>
      <c r="KIF596" s="47"/>
      <c r="KIG596" s="46"/>
      <c r="KIH596" s="48"/>
      <c r="KII596" s="53"/>
      <c r="KIP596" s="15"/>
      <c r="KIQ596" s="50"/>
      <c r="KIR596" s="50"/>
      <c r="KIS596" s="46"/>
      <c r="KIT596" s="47"/>
      <c r="KIU596" s="46"/>
      <c r="KIV596" s="48"/>
      <c r="KIW596" s="53"/>
      <c r="KJD596" s="15"/>
      <c r="KJE596" s="50"/>
      <c r="KJF596" s="50"/>
      <c r="KJG596" s="46"/>
      <c r="KJH596" s="47"/>
      <c r="KJI596" s="46"/>
      <c r="KJJ596" s="48"/>
      <c r="KJK596" s="53"/>
      <c r="KJR596" s="15"/>
      <c r="KJS596" s="50"/>
      <c r="KJT596" s="50"/>
      <c r="KJU596" s="46"/>
      <c r="KJV596" s="47"/>
      <c r="KJW596" s="46"/>
      <c r="KJX596" s="48"/>
      <c r="KJY596" s="53"/>
      <c r="KKF596" s="15"/>
      <c r="KKG596" s="50"/>
      <c r="KKH596" s="50"/>
      <c r="KKI596" s="46"/>
      <c r="KKJ596" s="47"/>
      <c r="KKK596" s="46"/>
      <c r="KKL596" s="48"/>
      <c r="KKM596" s="53"/>
      <c r="KKT596" s="15"/>
      <c r="KKU596" s="50"/>
      <c r="KKV596" s="50"/>
      <c r="KKW596" s="46"/>
      <c r="KKX596" s="47"/>
      <c r="KKY596" s="46"/>
      <c r="KKZ596" s="48"/>
      <c r="KLA596" s="53"/>
      <c r="KLH596" s="15"/>
      <c r="KLI596" s="50"/>
      <c r="KLJ596" s="50"/>
      <c r="KLK596" s="46"/>
      <c r="KLL596" s="47"/>
      <c r="KLM596" s="46"/>
      <c r="KLN596" s="48"/>
      <c r="KLO596" s="53"/>
      <c r="KLV596" s="15"/>
      <c r="KLW596" s="50"/>
      <c r="KLX596" s="50"/>
      <c r="KLY596" s="46"/>
      <c r="KLZ596" s="47"/>
      <c r="KMA596" s="46"/>
      <c r="KMB596" s="48"/>
      <c r="KMC596" s="53"/>
      <c r="KMJ596" s="15"/>
      <c r="KMK596" s="50"/>
      <c r="KML596" s="50"/>
      <c r="KMM596" s="46"/>
      <c r="KMN596" s="47"/>
      <c r="KMO596" s="46"/>
      <c r="KMP596" s="48"/>
      <c r="KMQ596" s="53"/>
      <c r="KMX596" s="15"/>
      <c r="KMY596" s="50"/>
      <c r="KMZ596" s="50"/>
      <c r="KNA596" s="46"/>
      <c r="KNB596" s="47"/>
      <c r="KNC596" s="46"/>
      <c r="KND596" s="48"/>
      <c r="KNE596" s="53"/>
      <c r="KNL596" s="15"/>
      <c r="KNM596" s="50"/>
      <c r="KNN596" s="50"/>
      <c r="KNO596" s="46"/>
      <c r="KNP596" s="47"/>
      <c r="KNQ596" s="46"/>
      <c r="KNR596" s="48"/>
      <c r="KNS596" s="53"/>
      <c r="KNZ596" s="15"/>
      <c r="KOA596" s="50"/>
      <c r="KOB596" s="50"/>
      <c r="KOC596" s="46"/>
      <c r="KOD596" s="47"/>
      <c r="KOE596" s="46"/>
      <c r="KOF596" s="48"/>
      <c r="KOG596" s="53"/>
      <c r="KON596" s="15"/>
      <c r="KOO596" s="50"/>
      <c r="KOP596" s="50"/>
      <c r="KOQ596" s="46"/>
      <c r="KOR596" s="47"/>
      <c r="KOS596" s="46"/>
      <c r="KOT596" s="48"/>
      <c r="KOU596" s="53"/>
      <c r="KPB596" s="15"/>
      <c r="KPC596" s="50"/>
      <c r="KPD596" s="50"/>
      <c r="KPE596" s="46"/>
      <c r="KPF596" s="47"/>
      <c r="KPG596" s="46"/>
      <c r="KPH596" s="48"/>
      <c r="KPI596" s="53"/>
      <c r="KPP596" s="15"/>
      <c r="KPQ596" s="50"/>
      <c r="KPR596" s="50"/>
      <c r="KPS596" s="46"/>
      <c r="KPT596" s="47"/>
      <c r="KPU596" s="46"/>
      <c r="KPV596" s="48"/>
      <c r="KPW596" s="53"/>
      <c r="KQD596" s="15"/>
      <c r="KQE596" s="50"/>
      <c r="KQF596" s="50"/>
      <c r="KQG596" s="46"/>
      <c r="KQH596" s="47"/>
      <c r="KQI596" s="46"/>
      <c r="KQJ596" s="48"/>
      <c r="KQK596" s="53"/>
      <c r="KQR596" s="15"/>
      <c r="KQS596" s="50"/>
      <c r="KQT596" s="50"/>
      <c r="KQU596" s="46"/>
      <c r="KQV596" s="47"/>
      <c r="KQW596" s="46"/>
      <c r="KQX596" s="48"/>
      <c r="KQY596" s="53"/>
      <c r="KRF596" s="15"/>
      <c r="KRG596" s="50"/>
      <c r="KRH596" s="50"/>
      <c r="KRI596" s="46"/>
      <c r="KRJ596" s="47"/>
      <c r="KRK596" s="46"/>
      <c r="KRL596" s="48"/>
      <c r="KRM596" s="53"/>
      <c r="KRT596" s="15"/>
      <c r="KRU596" s="50"/>
      <c r="KRV596" s="50"/>
      <c r="KRW596" s="46"/>
      <c r="KRX596" s="47"/>
      <c r="KRY596" s="46"/>
      <c r="KRZ596" s="48"/>
      <c r="KSA596" s="53"/>
      <c r="KSH596" s="15"/>
      <c r="KSI596" s="50"/>
      <c r="KSJ596" s="50"/>
      <c r="KSK596" s="46"/>
      <c r="KSL596" s="47"/>
      <c r="KSM596" s="46"/>
      <c r="KSN596" s="48"/>
      <c r="KSO596" s="53"/>
      <c r="KSV596" s="15"/>
      <c r="KSW596" s="50"/>
      <c r="KSX596" s="50"/>
      <c r="KSY596" s="46"/>
      <c r="KSZ596" s="47"/>
      <c r="KTA596" s="46"/>
      <c r="KTB596" s="48"/>
      <c r="KTC596" s="53"/>
      <c r="KTJ596" s="15"/>
      <c r="KTK596" s="50"/>
      <c r="KTL596" s="50"/>
      <c r="KTM596" s="46"/>
      <c r="KTN596" s="47"/>
      <c r="KTO596" s="46"/>
      <c r="KTP596" s="48"/>
      <c r="KTQ596" s="53"/>
      <c r="KTX596" s="15"/>
      <c r="KTY596" s="50"/>
      <c r="KTZ596" s="50"/>
      <c r="KUA596" s="46"/>
      <c r="KUB596" s="47"/>
      <c r="KUC596" s="46"/>
      <c r="KUD596" s="48"/>
      <c r="KUE596" s="53"/>
      <c r="KUL596" s="15"/>
      <c r="KUM596" s="50"/>
      <c r="KUN596" s="50"/>
      <c r="KUO596" s="46"/>
      <c r="KUP596" s="47"/>
      <c r="KUQ596" s="46"/>
      <c r="KUR596" s="48"/>
      <c r="KUS596" s="53"/>
      <c r="KUZ596" s="15"/>
      <c r="KVA596" s="50"/>
      <c r="KVB596" s="50"/>
      <c r="KVC596" s="46"/>
      <c r="KVD596" s="47"/>
      <c r="KVE596" s="46"/>
      <c r="KVF596" s="48"/>
      <c r="KVG596" s="53"/>
      <c r="KVN596" s="15"/>
      <c r="KVO596" s="50"/>
      <c r="KVP596" s="50"/>
      <c r="KVQ596" s="46"/>
      <c r="KVR596" s="47"/>
      <c r="KVS596" s="46"/>
      <c r="KVT596" s="48"/>
      <c r="KVU596" s="53"/>
      <c r="KWB596" s="15"/>
      <c r="KWC596" s="50"/>
      <c r="KWD596" s="50"/>
      <c r="KWE596" s="46"/>
      <c r="KWF596" s="47"/>
      <c r="KWG596" s="46"/>
      <c r="KWH596" s="48"/>
      <c r="KWI596" s="53"/>
      <c r="KWP596" s="15"/>
      <c r="KWQ596" s="50"/>
      <c r="KWR596" s="50"/>
      <c r="KWS596" s="46"/>
      <c r="KWT596" s="47"/>
      <c r="KWU596" s="46"/>
      <c r="KWV596" s="48"/>
      <c r="KWW596" s="53"/>
      <c r="KXD596" s="15"/>
      <c r="KXE596" s="50"/>
      <c r="KXF596" s="50"/>
      <c r="KXG596" s="46"/>
      <c r="KXH596" s="47"/>
      <c r="KXI596" s="46"/>
      <c r="KXJ596" s="48"/>
      <c r="KXK596" s="53"/>
      <c r="KXR596" s="15"/>
      <c r="KXS596" s="50"/>
      <c r="KXT596" s="50"/>
      <c r="KXU596" s="46"/>
      <c r="KXV596" s="47"/>
      <c r="KXW596" s="46"/>
      <c r="KXX596" s="48"/>
      <c r="KXY596" s="53"/>
      <c r="KYF596" s="15"/>
      <c r="KYG596" s="50"/>
      <c r="KYH596" s="50"/>
      <c r="KYI596" s="46"/>
      <c r="KYJ596" s="47"/>
      <c r="KYK596" s="46"/>
      <c r="KYL596" s="48"/>
      <c r="KYM596" s="53"/>
      <c r="KYT596" s="15"/>
      <c r="KYU596" s="50"/>
      <c r="KYV596" s="50"/>
      <c r="KYW596" s="46"/>
      <c r="KYX596" s="47"/>
      <c r="KYY596" s="46"/>
      <c r="KYZ596" s="48"/>
      <c r="KZA596" s="53"/>
      <c r="KZH596" s="15"/>
      <c r="KZI596" s="50"/>
      <c r="KZJ596" s="50"/>
      <c r="KZK596" s="46"/>
      <c r="KZL596" s="47"/>
      <c r="KZM596" s="46"/>
      <c r="KZN596" s="48"/>
      <c r="KZO596" s="53"/>
      <c r="KZV596" s="15"/>
      <c r="KZW596" s="50"/>
      <c r="KZX596" s="50"/>
      <c r="KZY596" s="46"/>
      <c r="KZZ596" s="47"/>
      <c r="LAA596" s="46"/>
      <c r="LAB596" s="48"/>
      <c r="LAC596" s="53"/>
      <c r="LAJ596" s="15"/>
      <c r="LAK596" s="50"/>
      <c r="LAL596" s="50"/>
      <c r="LAM596" s="46"/>
      <c r="LAN596" s="47"/>
      <c r="LAO596" s="46"/>
      <c r="LAP596" s="48"/>
      <c r="LAQ596" s="53"/>
      <c r="LAX596" s="15"/>
      <c r="LAY596" s="50"/>
      <c r="LAZ596" s="50"/>
      <c r="LBA596" s="46"/>
      <c r="LBB596" s="47"/>
      <c r="LBC596" s="46"/>
      <c r="LBD596" s="48"/>
      <c r="LBE596" s="53"/>
      <c r="LBL596" s="15"/>
      <c r="LBM596" s="50"/>
      <c r="LBN596" s="50"/>
      <c r="LBO596" s="46"/>
      <c r="LBP596" s="47"/>
      <c r="LBQ596" s="46"/>
      <c r="LBR596" s="48"/>
      <c r="LBS596" s="53"/>
      <c r="LBZ596" s="15"/>
      <c r="LCA596" s="50"/>
      <c r="LCB596" s="50"/>
      <c r="LCC596" s="46"/>
      <c r="LCD596" s="47"/>
      <c r="LCE596" s="46"/>
      <c r="LCF596" s="48"/>
      <c r="LCG596" s="53"/>
      <c r="LCN596" s="15"/>
      <c r="LCO596" s="50"/>
      <c r="LCP596" s="50"/>
      <c r="LCQ596" s="46"/>
      <c r="LCR596" s="47"/>
      <c r="LCS596" s="46"/>
      <c r="LCT596" s="48"/>
      <c r="LCU596" s="53"/>
      <c r="LDB596" s="15"/>
      <c r="LDC596" s="50"/>
      <c r="LDD596" s="50"/>
      <c r="LDE596" s="46"/>
      <c r="LDF596" s="47"/>
      <c r="LDG596" s="46"/>
      <c r="LDH596" s="48"/>
      <c r="LDI596" s="53"/>
      <c r="LDP596" s="15"/>
      <c r="LDQ596" s="50"/>
      <c r="LDR596" s="50"/>
      <c r="LDS596" s="46"/>
      <c r="LDT596" s="47"/>
      <c r="LDU596" s="46"/>
      <c r="LDV596" s="48"/>
      <c r="LDW596" s="53"/>
      <c r="LED596" s="15"/>
      <c r="LEE596" s="50"/>
      <c r="LEF596" s="50"/>
      <c r="LEG596" s="46"/>
      <c r="LEH596" s="47"/>
      <c r="LEI596" s="46"/>
      <c r="LEJ596" s="48"/>
      <c r="LEK596" s="53"/>
      <c r="LER596" s="15"/>
      <c r="LES596" s="50"/>
      <c r="LET596" s="50"/>
      <c r="LEU596" s="46"/>
      <c r="LEV596" s="47"/>
      <c r="LEW596" s="46"/>
      <c r="LEX596" s="48"/>
      <c r="LEY596" s="53"/>
      <c r="LFF596" s="15"/>
      <c r="LFG596" s="50"/>
      <c r="LFH596" s="50"/>
      <c r="LFI596" s="46"/>
      <c r="LFJ596" s="47"/>
      <c r="LFK596" s="46"/>
      <c r="LFL596" s="48"/>
      <c r="LFM596" s="53"/>
      <c r="LFT596" s="15"/>
      <c r="LFU596" s="50"/>
      <c r="LFV596" s="50"/>
      <c r="LFW596" s="46"/>
      <c r="LFX596" s="47"/>
      <c r="LFY596" s="46"/>
      <c r="LFZ596" s="48"/>
      <c r="LGA596" s="53"/>
      <c r="LGH596" s="15"/>
      <c r="LGI596" s="50"/>
      <c r="LGJ596" s="50"/>
      <c r="LGK596" s="46"/>
      <c r="LGL596" s="47"/>
      <c r="LGM596" s="46"/>
      <c r="LGN596" s="48"/>
      <c r="LGO596" s="53"/>
      <c r="LGV596" s="15"/>
      <c r="LGW596" s="50"/>
      <c r="LGX596" s="50"/>
      <c r="LGY596" s="46"/>
      <c r="LGZ596" s="47"/>
      <c r="LHA596" s="46"/>
      <c r="LHB596" s="48"/>
      <c r="LHC596" s="53"/>
      <c r="LHJ596" s="15"/>
      <c r="LHK596" s="50"/>
      <c r="LHL596" s="50"/>
      <c r="LHM596" s="46"/>
      <c r="LHN596" s="47"/>
      <c r="LHO596" s="46"/>
      <c r="LHP596" s="48"/>
      <c r="LHQ596" s="53"/>
      <c r="LHX596" s="15"/>
      <c r="LHY596" s="50"/>
      <c r="LHZ596" s="50"/>
      <c r="LIA596" s="46"/>
      <c r="LIB596" s="47"/>
      <c r="LIC596" s="46"/>
      <c r="LID596" s="48"/>
      <c r="LIE596" s="53"/>
      <c r="LIL596" s="15"/>
      <c r="LIM596" s="50"/>
      <c r="LIN596" s="50"/>
      <c r="LIO596" s="46"/>
      <c r="LIP596" s="47"/>
      <c r="LIQ596" s="46"/>
      <c r="LIR596" s="48"/>
      <c r="LIS596" s="53"/>
      <c r="LIZ596" s="15"/>
      <c r="LJA596" s="50"/>
      <c r="LJB596" s="50"/>
      <c r="LJC596" s="46"/>
      <c r="LJD596" s="47"/>
      <c r="LJE596" s="46"/>
      <c r="LJF596" s="48"/>
      <c r="LJG596" s="53"/>
      <c r="LJN596" s="15"/>
      <c r="LJO596" s="50"/>
      <c r="LJP596" s="50"/>
      <c r="LJQ596" s="46"/>
      <c r="LJR596" s="47"/>
      <c r="LJS596" s="46"/>
      <c r="LJT596" s="48"/>
      <c r="LJU596" s="53"/>
      <c r="LKB596" s="15"/>
      <c r="LKC596" s="50"/>
      <c r="LKD596" s="50"/>
      <c r="LKE596" s="46"/>
      <c r="LKF596" s="47"/>
      <c r="LKG596" s="46"/>
      <c r="LKH596" s="48"/>
      <c r="LKI596" s="53"/>
      <c r="LKP596" s="15"/>
      <c r="LKQ596" s="50"/>
      <c r="LKR596" s="50"/>
      <c r="LKS596" s="46"/>
      <c r="LKT596" s="47"/>
      <c r="LKU596" s="46"/>
      <c r="LKV596" s="48"/>
      <c r="LKW596" s="53"/>
      <c r="LLD596" s="15"/>
      <c r="LLE596" s="50"/>
      <c r="LLF596" s="50"/>
      <c r="LLG596" s="46"/>
      <c r="LLH596" s="47"/>
      <c r="LLI596" s="46"/>
      <c r="LLJ596" s="48"/>
      <c r="LLK596" s="53"/>
      <c r="LLR596" s="15"/>
      <c r="LLS596" s="50"/>
      <c r="LLT596" s="50"/>
      <c r="LLU596" s="46"/>
      <c r="LLV596" s="47"/>
      <c r="LLW596" s="46"/>
      <c r="LLX596" s="48"/>
      <c r="LLY596" s="53"/>
      <c r="LMF596" s="15"/>
      <c r="LMG596" s="50"/>
      <c r="LMH596" s="50"/>
      <c r="LMI596" s="46"/>
      <c r="LMJ596" s="47"/>
      <c r="LMK596" s="46"/>
      <c r="LML596" s="48"/>
      <c r="LMM596" s="53"/>
      <c r="LMT596" s="15"/>
      <c r="LMU596" s="50"/>
      <c r="LMV596" s="50"/>
      <c r="LMW596" s="46"/>
      <c r="LMX596" s="47"/>
      <c r="LMY596" s="46"/>
      <c r="LMZ596" s="48"/>
      <c r="LNA596" s="53"/>
      <c r="LNH596" s="15"/>
      <c r="LNI596" s="50"/>
      <c r="LNJ596" s="50"/>
      <c r="LNK596" s="46"/>
      <c r="LNL596" s="47"/>
      <c r="LNM596" s="46"/>
      <c r="LNN596" s="48"/>
      <c r="LNO596" s="53"/>
      <c r="LNV596" s="15"/>
      <c r="LNW596" s="50"/>
      <c r="LNX596" s="50"/>
      <c r="LNY596" s="46"/>
      <c r="LNZ596" s="47"/>
      <c r="LOA596" s="46"/>
      <c r="LOB596" s="48"/>
      <c r="LOC596" s="53"/>
      <c r="LOJ596" s="15"/>
      <c r="LOK596" s="50"/>
      <c r="LOL596" s="50"/>
      <c r="LOM596" s="46"/>
      <c r="LON596" s="47"/>
      <c r="LOO596" s="46"/>
      <c r="LOP596" s="48"/>
      <c r="LOQ596" s="53"/>
      <c r="LOX596" s="15"/>
      <c r="LOY596" s="50"/>
      <c r="LOZ596" s="50"/>
      <c r="LPA596" s="46"/>
      <c r="LPB596" s="47"/>
      <c r="LPC596" s="46"/>
      <c r="LPD596" s="48"/>
      <c r="LPE596" s="53"/>
      <c r="LPL596" s="15"/>
      <c r="LPM596" s="50"/>
      <c r="LPN596" s="50"/>
      <c r="LPO596" s="46"/>
      <c r="LPP596" s="47"/>
      <c r="LPQ596" s="46"/>
      <c r="LPR596" s="48"/>
      <c r="LPS596" s="53"/>
      <c r="LPZ596" s="15"/>
      <c r="LQA596" s="50"/>
      <c r="LQB596" s="50"/>
      <c r="LQC596" s="46"/>
      <c r="LQD596" s="47"/>
      <c r="LQE596" s="46"/>
      <c r="LQF596" s="48"/>
      <c r="LQG596" s="53"/>
      <c r="LQN596" s="15"/>
      <c r="LQO596" s="50"/>
      <c r="LQP596" s="50"/>
      <c r="LQQ596" s="46"/>
      <c r="LQR596" s="47"/>
      <c r="LQS596" s="46"/>
      <c r="LQT596" s="48"/>
      <c r="LQU596" s="53"/>
      <c r="LRB596" s="15"/>
      <c r="LRC596" s="50"/>
      <c r="LRD596" s="50"/>
      <c r="LRE596" s="46"/>
      <c r="LRF596" s="47"/>
      <c r="LRG596" s="46"/>
      <c r="LRH596" s="48"/>
      <c r="LRI596" s="53"/>
      <c r="LRP596" s="15"/>
      <c r="LRQ596" s="50"/>
      <c r="LRR596" s="50"/>
      <c r="LRS596" s="46"/>
      <c r="LRT596" s="47"/>
      <c r="LRU596" s="46"/>
      <c r="LRV596" s="48"/>
      <c r="LRW596" s="53"/>
      <c r="LSD596" s="15"/>
      <c r="LSE596" s="50"/>
      <c r="LSF596" s="50"/>
      <c r="LSG596" s="46"/>
      <c r="LSH596" s="47"/>
      <c r="LSI596" s="46"/>
      <c r="LSJ596" s="48"/>
      <c r="LSK596" s="53"/>
      <c r="LSR596" s="15"/>
      <c r="LSS596" s="50"/>
      <c r="LST596" s="50"/>
      <c r="LSU596" s="46"/>
      <c r="LSV596" s="47"/>
      <c r="LSW596" s="46"/>
      <c r="LSX596" s="48"/>
      <c r="LSY596" s="53"/>
      <c r="LTF596" s="15"/>
      <c r="LTG596" s="50"/>
      <c r="LTH596" s="50"/>
      <c r="LTI596" s="46"/>
      <c r="LTJ596" s="47"/>
      <c r="LTK596" s="46"/>
      <c r="LTL596" s="48"/>
      <c r="LTM596" s="53"/>
      <c r="LTT596" s="15"/>
      <c r="LTU596" s="50"/>
      <c r="LTV596" s="50"/>
      <c r="LTW596" s="46"/>
      <c r="LTX596" s="47"/>
      <c r="LTY596" s="46"/>
      <c r="LTZ596" s="48"/>
      <c r="LUA596" s="53"/>
      <c r="LUH596" s="15"/>
      <c r="LUI596" s="50"/>
      <c r="LUJ596" s="50"/>
      <c r="LUK596" s="46"/>
      <c r="LUL596" s="47"/>
      <c r="LUM596" s="46"/>
      <c r="LUN596" s="48"/>
      <c r="LUO596" s="53"/>
      <c r="LUV596" s="15"/>
      <c r="LUW596" s="50"/>
      <c r="LUX596" s="50"/>
      <c r="LUY596" s="46"/>
      <c r="LUZ596" s="47"/>
      <c r="LVA596" s="46"/>
      <c r="LVB596" s="48"/>
      <c r="LVC596" s="53"/>
      <c r="LVJ596" s="15"/>
      <c r="LVK596" s="50"/>
      <c r="LVL596" s="50"/>
      <c r="LVM596" s="46"/>
      <c r="LVN596" s="47"/>
      <c r="LVO596" s="46"/>
      <c r="LVP596" s="48"/>
      <c r="LVQ596" s="53"/>
      <c r="LVX596" s="15"/>
      <c r="LVY596" s="50"/>
      <c r="LVZ596" s="50"/>
      <c r="LWA596" s="46"/>
      <c r="LWB596" s="47"/>
      <c r="LWC596" s="46"/>
      <c r="LWD596" s="48"/>
      <c r="LWE596" s="53"/>
      <c r="LWL596" s="15"/>
      <c r="LWM596" s="50"/>
      <c r="LWN596" s="50"/>
      <c r="LWO596" s="46"/>
      <c r="LWP596" s="47"/>
      <c r="LWQ596" s="46"/>
      <c r="LWR596" s="48"/>
      <c r="LWS596" s="53"/>
      <c r="LWZ596" s="15"/>
      <c r="LXA596" s="50"/>
      <c r="LXB596" s="50"/>
      <c r="LXC596" s="46"/>
      <c r="LXD596" s="47"/>
      <c r="LXE596" s="46"/>
      <c r="LXF596" s="48"/>
      <c r="LXG596" s="53"/>
      <c r="LXN596" s="15"/>
      <c r="LXO596" s="50"/>
      <c r="LXP596" s="50"/>
      <c r="LXQ596" s="46"/>
      <c r="LXR596" s="47"/>
      <c r="LXS596" s="46"/>
      <c r="LXT596" s="48"/>
      <c r="LXU596" s="53"/>
      <c r="LYB596" s="15"/>
      <c r="LYC596" s="50"/>
      <c r="LYD596" s="50"/>
      <c r="LYE596" s="46"/>
      <c r="LYF596" s="47"/>
      <c r="LYG596" s="46"/>
      <c r="LYH596" s="48"/>
      <c r="LYI596" s="53"/>
      <c r="LYP596" s="15"/>
      <c r="LYQ596" s="50"/>
      <c r="LYR596" s="50"/>
      <c r="LYS596" s="46"/>
      <c r="LYT596" s="47"/>
      <c r="LYU596" s="46"/>
      <c r="LYV596" s="48"/>
      <c r="LYW596" s="53"/>
      <c r="LZD596" s="15"/>
      <c r="LZE596" s="50"/>
      <c r="LZF596" s="50"/>
      <c r="LZG596" s="46"/>
      <c r="LZH596" s="47"/>
      <c r="LZI596" s="46"/>
      <c r="LZJ596" s="48"/>
      <c r="LZK596" s="53"/>
      <c r="LZR596" s="15"/>
      <c r="LZS596" s="50"/>
      <c r="LZT596" s="50"/>
      <c r="LZU596" s="46"/>
      <c r="LZV596" s="47"/>
      <c r="LZW596" s="46"/>
      <c r="LZX596" s="48"/>
      <c r="LZY596" s="53"/>
      <c r="MAF596" s="15"/>
      <c r="MAG596" s="50"/>
      <c r="MAH596" s="50"/>
      <c r="MAI596" s="46"/>
      <c r="MAJ596" s="47"/>
      <c r="MAK596" s="46"/>
      <c r="MAL596" s="48"/>
      <c r="MAM596" s="53"/>
      <c r="MAT596" s="15"/>
      <c r="MAU596" s="50"/>
      <c r="MAV596" s="50"/>
      <c r="MAW596" s="46"/>
      <c r="MAX596" s="47"/>
      <c r="MAY596" s="46"/>
      <c r="MAZ596" s="48"/>
      <c r="MBA596" s="53"/>
      <c r="MBH596" s="15"/>
      <c r="MBI596" s="50"/>
      <c r="MBJ596" s="50"/>
      <c r="MBK596" s="46"/>
      <c r="MBL596" s="47"/>
      <c r="MBM596" s="46"/>
      <c r="MBN596" s="48"/>
      <c r="MBO596" s="53"/>
      <c r="MBV596" s="15"/>
      <c r="MBW596" s="50"/>
      <c r="MBX596" s="50"/>
      <c r="MBY596" s="46"/>
      <c r="MBZ596" s="47"/>
      <c r="MCA596" s="46"/>
      <c r="MCB596" s="48"/>
      <c r="MCC596" s="53"/>
      <c r="MCJ596" s="15"/>
      <c r="MCK596" s="50"/>
      <c r="MCL596" s="50"/>
      <c r="MCM596" s="46"/>
      <c r="MCN596" s="47"/>
      <c r="MCO596" s="46"/>
      <c r="MCP596" s="48"/>
      <c r="MCQ596" s="53"/>
      <c r="MCX596" s="15"/>
      <c r="MCY596" s="50"/>
      <c r="MCZ596" s="50"/>
      <c r="MDA596" s="46"/>
      <c r="MDB596" s="47"/>
      <c r="MDC596" s="46"/>
      <c r="MDD596" s="48"/>
      <c r="MDE596" s="53"/>
      <c r="MDL596" s="15"/>
      <c r="MDM596" s="50"/>
      <c r="MDN596" s="50"/>
      <c r="MDO596" s="46"/>
      <c r="MDP596" s="47"/>
      <c r="MDQ596" s="46"/>
      <c r="MDR596" s="48"/>
      <c r="MDS596" s="53"/>
      <c r="MDZ596" s="15"/>
      <c r="MEA596" s="50"/>
      <c r="MEB596" s="50"/>
      <c r="MEC596" s="46"/>
      <c r="MED596" s="47"/>
      <c r="MEE596" s="46"/>
      <c r="MEF596" s="48"/>
      <c r="MEG596" s="53"/>
      <c r="MEN596" s="15"/>
      <c r="MEO596" s="50"/>
      <c r="MEP596" s="50"/>
      <c r="MEQ596" s="46"/>
      <c r="MER596" s="47"/>
      <c r="MES596" s="46"/>
      <c r="MET596" s="48"/>
      <c r="MEU596" s="53"/>
      <c r="MFB596" s="15"/>
      <c r="MFC596" s="50"/>
      <c r="MFD596" s="50"/>
      <c r="MFE596" s="46"/>
      <c r="MFF596" s="47"/>
      <c r="MFG596" s="46"/>
      <c r="MFH596" s="48"/>
      <c r="MFI596" s="53"/>
      <c r="MFP596" s="15"/>
      <c r="MFQ596" s="50"/>
      <c r="MFR596" s="50"/>
      <c r="MFS596" s="46"/>
      <c r="MFT596" s="47"/>
      <c r="MFU596" s="46"/>
      <c r="MFV596" s="48"/>
      <c r="MFW596" s="53"/>
      <c r="MGD596" s="15"/>
      <c r="MGE596" s="50"/>
      <c r="MGF596" s="50"/>
      <c r="MGG596" s="46"/>
      <c r="MGH596" s="47"/>
      <c r="MGI596" s="46"/>
      <c r="MGJ596" s="48"/>
      <c r="MGK596" s="53"/>
      <c r="MGR596" s="15"/>
      <c r="MGS596" s="50"/>
      <c r="MGT596" s="50"/>
      <c r="MGU596" s="46"/>
      <c r="MGV596" s="47"/>
      <c r="MGW596" s="46"/>
      <c r="MGX596" s="48"/>
      <c r="MGY596" s="53"/>
      <c r="MHF596" s="15"/>
      <c r="MHG596" s="50"/>
      <c r="MHH596" s="50"/>
      <c r="MHI596" s="46"/>
      <c r="MHJ596" s="47"/>
      <c r="MHK596" s="46"/>
      <c r="MHL596" s="48"/>
      <c r="MHM596" s="53"/>
      <c r="MHT596" s="15"/>
      <c r="MHU596" s="50"/>
      <c r="MHV596" s="50"/>
      <c r="MHW596" s="46"/>
      <c r="MHX596" s="47"/>
      <c r="MHY596" s="46"/>
      <c r="MHZ596" s="48"/>
      <c r="MIA596" s="53"/>
      <c r="MIH596" s="15"/>
      <c r="MII596" s="50"/>
      <c r="MIJ596" s="50"/>
      <c r="MIK596" s="46"/>
      <c r="MIL596" s="47"/>
      <c r="MIM596" s="46"/>
      <c r="MIN596" s="48"/>
      <c r="MIO596" s="53"/>
      <c r="MIV596" s="15"/>
      <c r="MIW596" s="50"/>
      <c r="MIX596" s="50"/>
      <c r="MIY596" s="46"/>
      <c r="MIZ596" s="47"/>
      <c r="MJA596" s="46"/>
      <c r="MJB596" s="48"/>
      <c r="MJC596" s="53"/>
      <c r="MJJ596" s="15"/>
      <c r="MJK596" s="50"/>
      <c r="MJL596" s="50"/>
      <c r="MJM596" s="46"/>
      <c r="MJN596" s="47"/>
      <c r="MJO596" s="46"/>
      <c r="MJP596" s="48"/>
      <c r="MJQ596" s="53"/>
      <c r="MJX596" s="15"/>
      <c r="MJY596" s="50"/>
      <c r="MJZ596" s="50"/>
      <c r="MKA596" s="46"/>
      <c r="MKB596" s="47"/>
      <c r="MKC596" s="46"/>
      <c r="MKD596" s="48"/>
      <c r="MKE596" s="53"/>
      <c r="MKL596" s="15"/>
      <c r="MKM596" s="50"/>
      <c r="MKN596" s="50"/>
      <c r="MKO596" s="46"/>
      <c r="MKP596" s="47"/>
      <c r="MKQ596" s="46"/>
      <c r="MKR596" s="48"/>
      <c r="MKS596" s="53"/>
      <c r="MKZ596" s="15"/>
      <c r="MLA596" s="50"/>
      <c r="MLB596" s="50"/>
      <c r="MLC596" s="46"/>
      <c r="MLD596" s="47"/>
      <c r="MLE596" s="46"/>
      <c r="MLF596" s="48"/>
      <c r="MLG596" s="53"/>
      <c r="MLN596" s="15"/>
      <c r="MLO596" s="50"/>
      <c r="MLP596" s="50"/>
      <c r="MLQ596" s="46"/>
      <c r="MLR596" s="47"/>
      <c r="MLS596" s="46"/>
      <c r="MLT596" s="48"/>
      <c r="MLU596" s="53"/>
      <c r="MMB596" s="15"/>
      <c r="MMC596" s="50"/>
      <c r="MMD596" s="50"/>
      <c r="MME596" s="46"/>
      <c r="MMF596" s="47"/>
      <c r="MMG596" s="46"/>
      <c r="MMH596" s="48"/>
      <c r="MMI596" s="53"/>
      <c r="MMP596" s="15"/>
      <c r="MMQ596" s="50"/>
      <c r="MMR596" s="50"/>
      <c r="MMS596" s="46"/>
      <c r="MMT596" s="47"/>
      <c r="MMU596" s="46"/>
      <c r="MMV596" s="48"/>
      <c r="MMW596" s="53"/>
      <c r="MND596" s="15"/>
      <c r="MNE596" s="50"/>
      <c r="MNF596" s="50"/>
      <c r="MNG596" s="46"/>
      <c r="MNH596" s="47"/>
      <c r="MNI596" s="46"/>
      <c r="MNJ596" s="48"/>
      <c r="MNK596" s="53"/>
      <c r="MNR596" s="15"/>
      <c r="MNS596" s="50"/>
      <c r="MNT596" s="50"/>
      <c r="MNU596" s="46"/>
      <c r="MNV596" s="47"/>
      <c r="MNW596" s="46"/>
      <c r="MNX596" s="48"/>
      <c r="MNY596" s="53"/>
      <c r="MOF596" s="15"/>
      <c r="MOG596" s="50"/>
      <c r="MOH596" s="50"/>
      <c r="MOI596" s="46"/>
      <c r="MOJ596" s="47"/>
      <c r="MOK596" s="46"/>
      <c r="MOL596" s="48"/>
      <c r="MOM596" s="53"/>
      <c r="MOT596" s="15"/>
      <c r="MOU596" s="50"/>
      <c r="MOV596" s="50"/>
      <c r="MOW596" s="46"/>
      <c r="MOX596" s="47"/>
      <c r="MOY596" s="46"/>
      <c r="MOZ596" s="48"/>
      <c r="MPA596" s="53"/>
      <c r="MPH596" s="15"/>
      <c r="MPI596" s="50"/>
      <c r="MPJ596" s="50"/>
      <c r="MPK596" s="46"/>
      <c r="MPL596" s="47"/>
      <c r="MPM596" s="46"/>
      <c r="MPN596" s="48"/>
      <c r="MPO596" s="53"/>
      <c r="MPV596" s="15"/>
      <c r="MPW596" s="50"/>
      <c r="MPX596" s="50"/>
      <c r="MPY596" s="46"/>
      <c r="MPZ596" s="47"/>
      <c r="MQA596" s="46"/>
      <c r="MQB596" s="48"/>
      <c r="MQC596" s="53"/>
      <c r="MQJ596" s="15"/>
      <c r="MQK596" s="50"/>
      <c r="MQL596" s="50"/>
      <c r="MQM596" s="46"/>
      <c r="MQN596" s="47"/>
      <c r="MQO596" s="46"/>
      <c r="MQP596" s="48"/>
      <c r="MQQ596" s="53"/>
      <c r="MQX596" s="15"/>
      <c r="MQY596" s="50"/>
      <c r="MQZ596" s="50"/>
      <c r="MRA596" s="46"/>
      <c r="MRB596" s="47"/>
      <c r="MRC596" s="46"/>
      <c r="MRD596" s="48"/>
      <c r="MRE596" s="53"/>
      <c r="MRL596" s="15"/>
      <c r="MRM596" s="50"/>
      <c r="MRN596" s="50"/>
      <c r="MRO596" s="46"/>
      <c r="MRP596" s="47"/>
      <c r="MRQ596" s="46"/>
      <c r="MRR596" s="48"/>
      <c r="MRS596" s="53"/>
      <c r="MRZ596" s="15"/>
      <c r="MSA596" s="50"/>
      <c r="MSB596" s="50"/>
      <c r="MSC596" s="46"/>
      <c r="MSD596" s="47"/>
      <c r="MSE596" s="46"/>
      <c r="MSF596" s="48"/>
      <c r="MSG596" s="53"/>
      <c r="MSN596" s="15"/>
      <c r="MSO596" s="50"/>
      <c r="MSP596" s="50"/>
      <c r="MSQ596" s="46"/>
      <c r="MSR596" s="47"/>
      <c r="MSS596" s="46"/>
      <c r="MST596" s="48"/>
      <c r="MSU596" s="53"/>
      <c r="MTB596" s="15"/>
      <c r="MTC596" s="50"/>
      <c r="MTD596" s="50"/>
      <c r="MTE596" s="46"/>
      <c r="MTF596" s="47"/>
      <c r="MTG596" s="46"/>
      <c r="MTH596" s="48"/>
      <c r="MTI596" s="53"/>
      <c r="MTP596" s="15"/>
      <c r="MTQ596" s="50"/>
      <c r="MTR596" s="50"/>
      <c r="MTS596" s="46"/>
      <c r="MTT596" s="47"/>
      <c r="MTU596" s="46"/>
      <c r="MTV596" s="48"/>
      <c r="MTW596" s="53"/>
      <c r="MUD596" s="15"/>
      <c r="MUE596" s="50"/>
      <c r="MUF596" s="50"/>
      <c r="MUG596" s="46"/>
      <c r="MUH596" s="47"/>
      <c r="MUI596" s="46"/>
      <c r="MUJ596" s="48"/>
      <c r="MUK596" s="53"/>
      <c r="MUR596" s="15"/>
      <c r="MUS596" s="50"/>
      <c r="MUT596" s="50"/>
      <c r="MUU596" s="46"/>
      <c r="MUV596" s="47"/>
      <c r="MUW596" s="46"/>
      <c r="MUX596" s="48"/>
      <c r="MUY596" s="53"/>
      <c r="MVF596" s="15"/>
      <c r="MVG596" s="50"/>
      <c r="MVH596" s="50"/>
      <c r="MVI596" s="46"/>
      <c r="MVJ596" s="47"/>
      <c r="MVK596" s="46"/>
      <c r="MVL596" s="48"/>
      <c r="MVM596" s="53"/>
      <c r="MVT596" s="15"/>
      <c r="MVU596" s="50"/>
      <c r="MVV596" s="50"/>
      <c r="MVW596" s="46"/>
      <c r="MVX596" s="47"/>
      <c r="MVY596" s="46"/>
      <c r="MVZ596" s="48"/>
      <c r="MWA596" s="53"/>
      <c r="MWH596" s="15"/>
      <c r="MWI596" s="50"/>
      <c r="MWJ596" s="50"/>
      <c r="MWK596" s="46"/>
      <c r="MWL596" s="47"/>
      <c r="MWM596" s="46"/>
      <c r="MWN596" s="48"/>
      <c r="MWO596" s="53"/>
      <c r="MWV596" s="15"/>
      <c r="MWW596" s="50"/>
      <c r="MWX596" s="50"/>
      <c r="MWY596" s="46"/>
      <c r="MWZ596" s="47"/>
      <c r="MXA596" s="46"/>
      <c r="MXB596" s="48"/>
      <c r="MXC596" s="53"/>
      <c r="MXJ596" s="15"/>
      <c r="MXK596" s="50"/>
      <c r="MXL596" s="50"/>
      <c r="MXM596" s="46"/>
      <c r="MXN596" s="47"/>
      <c r="MXO596" s="46"/>
      <c r="MXP596" s="48"/>
      <c r="MXQ596" s="53"/>
      <c r="MXX596" s="15"/>
      <c r="MXY596" s="50"/>
      <c r="MXZ596" s="50"/>
      <c r="MYA596" s="46"/>
      <c r="MYB596" s="47"/>
      <c r="MYC596" s="46"/>
      <c r="MYD596" s="48"/>
      <c r="MYE596" s="53"/>
      <c r="MYL596" s="15"/>
      <c r="MYM596" s="50"/>
      <c r="MYN596" s="50"/>
      <c r="MYO596" s="46"/>
      <c r="MYP596" s="47"/>
      <c r="MYQ596" s="46"/>
      <c r="MYR596" s="48"/>
      <c r="MYS596" s="53"/>
      <c r="MYZ596" s="15"/>
      <c r="MZA596" s="50"/>
      <c r="MZB596" s="50"/>
      <c r="MZC596" s="46"/>
      <c r="MZD596" s="47"/>
      <c r="MZE596" s="46"/>
      <c r="MZF596" s="48"/>
      <c r="MZG596" s="53"/>
      <c r="MZN596" s="15"/>
      <c r="MZO596" s="50"/>
      <c r="MZP596" s="50"/>
      <c r="MZQ596" s="46"/>
      <c r="MZR596" s="47"/>
      <c r="MZS596" s="46"/>
      <c r="MZT596" s="48"/>
      <c r="MZU596" s="53"/>
      <c r="NAB596" s="15"/>
      <c r="NAC596" s="50"/>
      <c r="NAD596" s="50"/>
      <c r="NAE596" s="46"/>
      <c r="NAF596" s="47"/>
      <c r="NAG596" s="46"/>
      <c r="NAH596" s="48"/>
      <c r="NAI596" s="53"/>
      <c r="NAP596" s="15"/>
      <c r="NAQ596" s="50"/>
      <c r="NAR596" s="50"/>
      <c r="NAS596" s="46"/>
      <c r="NAT596" s="47"/>
      <c r="NAU596" s="46"/>
      <c r="NAV596" s="48"/>
      <c r="NAW596" s="53"/>
      <c r="NBD596" s="15"/>
      <c r="NBE596" s="50"/>
      <c r="NBF596" s="50"/>
      <c r="NBG596" s="46"/>
      <c r="NBH596" s="47"/>
      <c r="NBI596" s="46"/>
      <c r="NBJ596" s="48"/>
      <c r="NBK596" s="53"/>
      <c r="NBR596" s="15"/>
      <c r="NBS596" s="50"/>
      <c r="NBT596" s="50"/>
      <c r="NBU596" s="46"/>
      <c r="NBV596" s="47"/>
      <c r="NBW596" s="46"/>
      <c r="NBX596" s="48"/>
      <c r="NBY596" s="53"/>
      <c r="NCF596" s="15"/>
      <c r="NCG596" s="50"/>
      <c r="NCH596" s="50"/>
      <c r="NCI596" s="46"/>
      <c r="NCJ596" s="47"/>
      <c r="NCK596" s="46"/>
      <c r="NCL596" s="48"/>
      <c r="NCM596" s="53"/>
      <c r="NCT596" s="15"/>
      <c r="NCU596" s="50"/>
      <c r="NCV596" s="50"/>
      <c r="NCW596" s="46"/>
      <c r="NCX596" s="47"/>
      <c r="NCY596" s="46"/>
      <c r="NCZ596" s="48"/>
      <c r="NDA596" s="53"/>
      <c r="NDH596" s="15"/>
      <c r="NDI596" s="50"/>
      <c r="NDJ596" s="50"/>
      <c r="NDK596" s="46"/>
      <c r="NDL596" s="47"/>
      <c r="NDM596" s="46"/>
      <c r="NDN596" s="48"/>
      <c r="NDO596" s="53"/>
      <c r="NDV596" s="15"/>
      <c r="NDW596" s="50"/>
      <c r="NDX596" s="50"/>
      <c r="NDY596" s="46"/>
      <c r="NDZ596" s="47"/>
      <c r="NEA596" s="46"/>
      <c r="NEB596" s="48"/>
      <c r="NEC596" s="53"/>
      <c r="NEJ596" s="15"/>
      <c r="NEK596" s="50"/>
      <c r="NEL596" s="50"/>
      <c r="NEM596" s="46"/>
      <c r="NEN596" s="47"/>
      <c r="NEO596" s="46"/>
      <c r="NEP596" s="48"/>
      <c r="NEQ596" s="53"/>
      <c r="NEX596" s="15"/>
      <c r="NEY596" s="50"/>
      <c r="NEZ596" s="50"/>
      <c r="NFA596" s="46"/>
      <c r="NFB596" s="47"/>
      <c r="NFC596" s="46"/>
      <c r="NFD596" s="48"/>
      <c r="NFE596" s="53"/>
      <c r="NFL596" s="15"/>
      <c r="NFM596" s="50"/>
      <c r="NFN596" s="50"/>
      <c r="NFO596" s="46"/>
      <c r="NFP596" s="47"/>
      <c r="NFQ596" s="46"/>
      <c r="NFR596" s="48"/>
      <c r="NFS596" s="53"/>
      <c r="NFZ596" s="15"/>
      <c r="NGA596" s="50"/>
      <c r="NGB596" s="50"/>
      <c r="NGC596" s="46"/>
      <c r="NGD596" s="47"/>
      <c r="NGE596" s="46"/>
      <c r="NGF596" s="48"/>
      <c r="NGG596" s="53"/>
      <c r="NGN596" s="15"/>
      <c r="NGO596" s="50"/>
      <c r="NGP596" s="50"/>
      <c r="NGQ596" s="46"/>
      <c r="NGR596" s="47"/>
      <c r="NGS596" s="46"/>
      <c r="NGT596" s="48"/>
      <c r="NGU596" s="53"/>
      <c r="NHB596" s="15"/>
      <c r="NHC596" s="50"/>
      <c r="NHD596" s="50"/>
      <c r="NHE596" s="46"/>
      <c r="NHF596" s="47"/>
      <c r="NHG596" s="46"/>
      <c r="NHH596" s="48"/>
      <c r="NHI596" s="53"/>
      <c r="NHP596" s="15"/>
      <c r="NHQ596" s="50"/>
      <c r="NHR596" s="50"/>
      <c r="NHS596" s="46"/>
      <c r="NHT596" s="47"/>
      <c r="NHU596" s="46"/>
      <c r="NHV596" s="48"/>
      <c r="NHW596" s="53"/>
      <c r="NID596" s="15"/>
      <c r="NIE596" s="50"/>
      <c r="NIF596" s="50"/>
      <c r="NIG596" s="46"/>
      <c r="NIH596" s="47"/>
      <c r="NII596" s="46"/>
      <c r="NIJ596" s="48"/>
      <c r="NIK596" s="53"/>
      <c r="NIR596" s="15"/>
      <c r="NIS596" s="50"/>
      <c r="NIT596" s="50"/>
      <c r="NIU596" s="46"/>
      <c r="NIV596" s="47"/>
      <c r="NIW596" s="46"/>
      <c r="NIX596" s="48"/>
      <c r="NIY596" s="53"/>
      <c r="NJF596" s="15"/>
      <c r="NJG596" s="50"/>
      <c r="NJH596" s="50"/>
      <c r="NJI596" s="46"/>
      <c r="NJJ596" s="47"/>
      <c r="NJK596" s="46"/>
      <c r="NJL596" s="48"/>
      <c r="NJM596" s="53"/>
      <c r="NJT596" s="15"/>
      <c r="NJU596" s="50"/>
      <c r="NJV596" s="50"/>
      <c r="NJW596" s="46"/>
      <c r="NJX596" s="47"/>
      <c r="NJY596" s="46"/>
      <c r="NJZ596" s="48"/>
      <c r="NKA596" s="53"/>
      <c r="NKH596" s="15"/>
      <c r="NKI596" s="50"/>
      <c r="NKJ596" s="50"/>
      <c r="NKK596" s="46"/>
      <c r="NKL596" s="47"/>
      <c r="NKM596" s="46"/>
      <c r="NKN596" s="48"/>
      <c r="NKO596" s="53"/>
      <c r="NKV596" s="15"/>
      <c r="NKW596" s="50"/>
      <c r="NKX596" s="50"/>
      <c r="NKY596" s="46"/>
      <c r="NKZ596" s="47"/>
      <c r="NLA596" s="46"/>
      <c r="NLB596" s="48"/>
      <c r="NLC596" s="53"/>
      <c r="NLJ596" s="15"/>
      <c r="NLK596" s="50"/>
      <c r="NLL596" s="50"/>
      <c r="NLM596" s="46"/>
      <c r="NLN596" s="47"/>
      <c r="NLO596" s="46"/>
      <c r="NLP596" s="48"/>
      <c r="NLQ596" s="53"/>
      <c r="NLX596" s="15"/>
      <c r="NLY596" s="50"/>
      <c r="NLZ596" s="50"/>
      <c r="NMA596" s="46"/>
      <c r="NMB596" s="47"/>
      <c r="NMC596" s="46"/>
      <c r="NMD596" s="48"/>
      <c r="NME596" s="53"/>
      <c r="NML596" s="15"/>
      <c r="NMM596" s="50"/>
      <c r="NMN596" s="50"/>
      <c r="NMO596" s="46"/>
      <c r="NMP596" s="47"/>
      <c r="NMQ596" s="46"/>
      <c r="NMR596" s="48"/>
      <c r="NMS596" s="53"/>
      <c r="NMZ596" s="15"/>
      <c r="NNA596" s="50"/>
      <c r="NNB596" s="50"/>
      <c r="NNC596" s="46"/>
      <c r="NND596" s="47"/>
      <c r="NNE596" s="46"/>
      <c r="NNF596" s="48"/>
      <c r="NNG596" s="53"/>
      <c r="NNN596" s="15"/>
      <c r="NNO596" s="50"/>
      <c r="NNP596" s="50"/>
      <c r="NNQ596" s="46"/>
      <c r="NNR596" s="47"/>
      <c r="NNS596" s="46"/>
      <c r="NNT596" s="48"/>
      <c r="NNU596" s="53"/>
      <c r="NOB596" s="15"/>
      <c r="NOC596" s="50"/>
      <c r="NOD596" s="50"/>
      <c r="NOE596" s="46"/>
      <c r="NOF596" s="47"/>
      <c r="NOG596" s="46"/>
      <c r="NOH596" s="48"/>
      <c r="NOI596" s="53"/>
      <c r="NOP596" s="15"/>
      <c r="NOQ596" s="50"/>
      <c r="NOR596" s="50"/>
      <c r="NOS596" s="46"/>
      <c r="NOT596" s="47"/>
      <c r="NOU596" s="46"/>
      <c r="NOV596" s="48"/>
      <c r="NOW596" s="53"/>
      <c r="NPD596" s="15"/>
      <c r="NPE596" s="50"/>
      <c r="NPF596" s="50"/>
      <c r="NPG596" s="46"/>
      <c r="NPH596" s="47"/>
      <c r="NPI596" s="46"/>
      <c r="NPJ596" s="48"/>
      <c r="NPK596" s="53"/>
      <c r="NPR596" s="15"/>
      <c r="NPS596" s="50"/>
      <c r="NPT596" s="50"/>
      <c r="NPU596" s="46"/>
      <c r="NPV596" s="47"/>
      <c r="NPW596" s="46"/>
      <c r="NPX596" s="48"/>
      <c r="NPY596" s="53"/>
      <c r="NQF596" s="15"/>
      <c r="NQG596" s="50"/>
      <c r="NQH596" s="50"/>
      <c r="NQI596" s="46"/>
      <c r="NQJ596" s="47"/>
      <c r="NQK596" s="46"/>
      <c r="NQL596" s="48"/>
      <c r="NQM596" s="53"/>
      <c r="NQT596" s="15"/>
      <c r="NQU596" s="50"/>
      <c r="NQV596" s="50"/>
      <c r="NQW596" s="46"/>
      <c r="NQX596" s="47"/>
      <c r="NQY596" s="46"/>
      <c r="NQZ596" s="48"/>
      <c r="NRA596" s="53"/>
      <c r="NRH596" s="15"/>
      <c r="NRI596" s="50"/>
      <c r="NRJ596" s="50"/>
      <c r="NRK596" s="46"/>
      <c r="NRL596" s="47"/>
      <c r="NRM596" s="46"/>
      <c r="NRN596" s="48"/>
      <c r="NRO596" s="53"/>
      <c r="NRV596" s="15"/>
      <c r="NRW596" s="50"/>
      <c r="NRX596" s="50"/>
      <c r="NRY596" s="46"/>
      <c r="NRZ596" s="47"/>
      <c r="NSA596" s="46"/>
      <c r="NSB596" s="48"/>
      <c r="NSC596" s="53"/>
      <c r="NSJ596" s="15"/>
      <c r="NSK596" s="50"/>
      <c r="NSL596" s="50"/>
      <c r="NSM596" s="46"/>
      <c r="NSN596" s="47"/>
      <c r="NSO596" s="46"/>
      <c r="NSP596" s="48"/>
      <c r="NSQ596" s="53"/>
      <c r="NSX596" s="15"/>
      <c r="NSY596" s="50"/>
      <c r="NSZ596" s="50"/>
      <c r="NTA596" s="46"/>
      <c r="NTB596" s="47"/>
      <c r="NTC596" s="46"/>
      <c r="NTD596" s="48"/>
      <c r="NTE596" s="53"/>
      <c r="NTL596" s="15"/>
      <c r="NTM596" s="50"/>
      <c r="NTN596" s="50"/>
      <c r="NTO596" s="46"/>
      <c r="NTP596" s="47"/>
      <c r="NTQ596" s="46"/>
      <c r="NTR596" s="48"/>
      <c r="NTS596" s="53"/>
      <c r="NTZ596" s="15"/>
      <c r="NUA596" s="50"/>
      <c r="NUB596" s="50"/>
      <c r="NUC596" s="46"/>
      <c r="NUD596" s="47"/>
      <c r="NUE596" s="46"/>
      <c r="NUF596" s="48"/>
      <c r="NUG596" s="53"/>
      <c r="NUN596" s="15"/>
      <c r="NUO596" s="50"/>
      <c r="NUP596" s="50"/>
      <c r="NUQ596" s="46"/>
      <c r="NUR596" s="47"/>
      <c r="NUS596" s="46"/>
      <c r="NUT596" s="48"/>
      <c r="NUU596" s="53"/>
      <c r="NVB596" s="15"/>
      <c r="NVC596" s="50"/>
      <c r="NVD596" s="50"/>
      <c r="NVE596" s="46"/>
      <c r="NVF596" s="47"/>
      <c r="NVG596" s="46"/>
      <c r="NVH596" s="48"/>
      <c r="NVI596" s="53"/>
      <c r="NVP596" s="15"/>
      <c r="NVQ596" s="50"/>
      <c r="NVR596" s="50"/>
      <c r="NVS596" s="46"/>
      <c r="NVT596" s="47"/>
      <c r="NVU596" s="46"/>
      <c r="NVV596" s="48"/>
      <c r="NVW596" s="53"/>
      <c r="NWD596" s="15"/>
      <c r="NWE596" s="50"/>
      <c r="NWF596" s="50"/>
      <c r="NWG596" s="46"/>
      <c r="NWH596" s="47"/>
      <c r="NWI596" s="46"/>
      <c r="NWJ596" s="48"/>
      <c r="NWK596" s="53"/>
      <c r="NWR596" s="15"/>
      <c r="NWS596" s="50"/>
      <c r="NWT596" s="50"/>
      <c r="NWU596" s="46"/>
      <c r="NWV596" s="47"/>
      <c r="NWW596" s="46"/>
      <c r="NWX596" s="48"/>
      <c r="NWY596" s="53"/>
      <c r="NXF596" s="15"/>
      <c r="NXG596" s="50"/>
      <c r="NXH596" s="50"/>
      <c r="NXI596" s="46"/>
      <c r="NXJ596" s="47"/>
      <c r="NXK596" s="46"/>
      <c r="NXL596" s="48"/>
      <c r="NXM596" s="53"/>
      <c r="NXT596" s="15"/>
      <c r="NXU596" s="50"/>
      <c r="NXV596" s="50"/>
      <c r="NXW596" s="46"/>
      <c r="NXX596" s="47"/>
      <c r="NXY596" s="46"/>
      <c r="NXZ596" s="48"/>
      <c r="NYA596" s="53"/>
      <c r="NYH596" s="15"/>
      <c r="NYI596" s="50"/>
      <c r="NYJ596" s="50"/>
      <c r="NYK596" s="46"/>
      <c r="NYL596" s="47"/>
      <c r="NYM596" s="46"/>
      <c r="NYN596" s="48"/>
      <c r="NYO596" s="53"/>
      <c r="NYV596" s="15"/>
      <c r="NYW596" s="50"/>
      <c r="NYX596" s="50"/>
      <c r="NYY596" s="46"/>
      <c r="NYZ596" s="47"/>
      <c r="NZA596" s="46"/>
      <c r="NZB596" s="48"/>
      <c r="NZC596" s="53"/>
      <c r="NZJ596" s="15"/>
      <c r="NZK596" s="50"/>
      <c r="NZL596" s="50"/>
      <c r="NZM596" s="46"/>
      <c r="NZN596" s="47"/>
      <c r="NZO596" s="46"/>
      <c r="NZP596" s="48"/>
      <c r="NZQ596" s="53"/>
      <c r="NZX596" s="15"/>
      <c r="NZY596" s="50"/>
      <c r="NZZ596" s="50"/>
      <c r="OAA596" s="46"/>
      <c r="OAB596" s="47"/>
      <c r="OAC596" s="46"/>
      <c r="OAD596" s="48"/>
      <c r="OAE596" s="53"/>
      <c r="OAL596" s="15"/>
      <c r="OAM596" s="50"/>
      <c r="OAN596" s="50"/>
      <c r="OAO596" s="46"/>
      <c r="OAP596" s="47"/>
      <c r="OAQ596" s="46"/>
      <c r="OAR596" s="48"/>
      <c r="OAS596" s="53"/>
      <c r="OAZ596" s="15"/>
      <c r="OBA596" s="50"/>
      <c r="OBB596" s="50"/>
      <c r="OBC596" s="46"/>
      <c r="OBD596" s="47"/>
      <c r="OBE596" s="46"/>
      <c r="OBF596" s="48"/>
      <c r="OBG596" s="53"/>
      <c r="OBN596" s="15"/>
      <c r="OBO596" s="50"/>
      <c r="OBP596" s="50"/>
      <c r="OBQ596" s="46"/>
      <c r="OBR596" s="47"/>
      <c r="OBS596" s="46"/>
      <c r="OBT596" s="48"/>
      <c r="OBU596" s="53"/>
      <c r="OCB596" s="15"/>
      <c r="OCC596" s="50"/>
      <c r="OCD596" s="50"/>
      <c r="OCE596" s="46"/>
      <c r="OCF596" s="47"/>
      <c r="OCG596" s="46"/>
      <c r="OCH596" s="48"/>
      <c r="OCI596" s="53"/>
      <c r="OCP596" s="15"/>
      <c r="OCQ596" s="50"/>
      <c r="OCR596" s="50"/>
      <c r="OCS596" s="46"/>
      <c r="OCT596" s="47"/>
      <c r="OCU596" s="46"/>
      <c r="OCV596" s="48"/>
      <c r="OCW596" s="53"/>
      <c r="ODD596" s="15"/>
      <c r="ODE596" s="50"/>
      <c r="ODF596" s="50"/>
      <c r="ODG596" s="46"/>
      <c r="ODH596" s="47"/>
      <c r="ODI596" s="46"/>
      <c r="ODJ596" s="48"/>
      <c r="ODK596" s="53"/>
      <c r="ODR596" s="15"/>
      <c r="ODS596" s="50"/>
      <c r="ODT596" s="50"/>
      <c r="ODU596" s="46"/>
      <c r="ODV596" s="47"/>
      <c r="ODW596" s="46"/>
      <c r="ODX596" s="48"/>
      <c r="ODY596" s="53"/>
      <c r="OEF596" s="15"/>
      <c r="OEG596" s="50"/>
      <c r="OEH596" s="50"/>
      <c r="OEI596" s="46"/>
      <c r="OEJ596" s="47"/>
      <c r="OEK596" s="46"/>
      <c r="OEL596" s="48"/>
      <c r="OEM596" s="53"/>
      <c r="OET596" s="15"/>
      <c r="OEU596" s="50"/>
      <c r="OEV596" s="50"/>
      <c r="OEW596" s="46"/>
      <c r="OEX596" s="47"/>
      <c r="OEY596" s="46"/>
      <c r="OEZ596" s="48"/>
      <c r="OFA596" s="53"/>
      <c r="OFH596" s="15"/>
      <c r="OFI596" s="50"/>
      <c r="OFJ596" s="50"/>
      <c r="OFK596" s="46"/>
      <c r="OFL596" s="47"/>
      <c r="OFM596" s="46"/>
      <c r="OFN596" s="48"/>
      <c r="OFO596" s="53"/>
      <c r="OFV596" s="15"/>
      <c r="OFW596" s="50"/>
      <c r="OFX596" s="50"/>
      <c r="OFY596" s="46"/>
      <c r="OFZ596" s="47"/>
      <c r="OGA596" s="46"/>
      <c r="OGB596" s="48"/>
      <c r="OGC596" s="53"/>
      <c r="OGJ596" s="15"/>
      <c r="OGK596" s="50"/>
      <c r="OGL596" s="50"/>
      <c r="OGM596" s="46"/>
      <c r="OGN596" s="47"/>
      <c r="OGO596" s="46"/>
      <c r="OGP596" s="48"/>
      <c r="OGQ596" s="53"/>
      <c r="OGX596" s="15"/>
      <c r="OGY596" s="50"/>
      <c r="OGZ596" s="50"/>
      <c r="OHA596" s="46"/>
      <c r="OHB596" s="47"/>
      <c r="OHC596" s="46"/>
      <c r="OHD596" s="48"/>
      <c r="OHE596" s="53"/>
      <c r="OHL596" s="15"/>
      <c r="OHM596" s="50"/>
      <c r="OHN596" s="50"/>
      <c r="OHO596" s="46"/>
      <c r="OHP596" s="47"/>
      <c r="OHQ596" s="46"/>
      <c r="OHR596" s="48"/>
      <c r="OHS596" s="53"/>
      <c r="OHZ596" s="15"/>
      <c r="OIA596" s="50"/>
      <c r="OIB596" s="50"/>
      <c r="OIC596" s="46"/>
      <c r="OID596" s="47"/>
      <c r="OIE596" s="46"/>
      <c r="OIF596" s="48"/>
      <c r="OIG596" s="53"/>
      <c r="OIN596" s="15"/>
      <c r="OIO596" s="50"/>
      <c r="OIP596" s="50"/>
      <c r="OIQ596" s="46"/>
      <c r="OIR596" s="47"/>
      <c r="OIS596" s="46"/>
      <c r="OIT596" s="48"/>
      <c r="OIU596" s="53"/>
      <c r="OJB596" s="15"/>
      <c r="OJC596" s="50"/>
      <c r="OJD596" s="50"/>
      <c r="OJE596" s="46"/>
      <c r="OJF596" s="47"/>
      <c r="OJG596" s="46"/>
      <c r="OJH596" s="48"/>
      <c r="OJI596" s="53"/>
      <c r="OJP596" s="15"/>
      <c r="OJQ596" s="50"/>
      <c r="OJR596" s="50"/>
      <c r="OJS596" s="46"/>
      <c r="OJT596" s="47"/>
      <c r="OJU596" s="46"/>
      <c r="OJV596" s="48"/>
      <c r="OJW596" s="53"/>
      <c r="OKD596" s="15"/>
      <c r="OKE596" s="50"/>
      <c r="OKF596" s="50"/>
      <c r="OKG596" s="46"/>
      <c r="OKH596" s="47"/>
      <c r="OKI596" s="46"/>
      <c r="OKJ596" s="48"/>
      <c r="OKK596" s="53"/>
      <c r="OKR596" s="15"/>
      <c r="OKS596" s="50"/>
      <c r="OKT596" s="50"/>
      <c r="OKU596" s="46"/>
      <c r="OKV596" s="47"/>
      <c r="OKW596" s="46"/>
      <c r="OKX596" s="48"/>
      <c r="OKY596" s="53"/>
      <c r="OLF596" s="15"/>
      <c r="OLG596" s="50"/>
      <c r="OLH596" s="50"/>
      <c r="OLI596" s="46"/>
      <c r="OLJ596" s="47"/>
      <c r="OLK596" s="46"/>
      <c r="OLL596" s="48"/>
      <c r="OLM596" s="53"/>
      <c r="OLT596" s="15"/>
      <c r="OLU596" s="50"/>
      <c r="OLV596" s="50"/>
      <c r="OLW596" s="46"/>
      <c r="OLX596" s="47"/>
      <c r="OLY596" s="46"/>
      <c r="OLZ596" s="48"/>
      <c r="OMA596" s="53"/>
      <c r="OMH596" s="15"/>
      <c r="OMI596" s="50"/>
      <c r="OMJ596" s="50"/>
      <c r="OMK596" s="46"/>
      <c r="OML596" s="47"/>
      <c r="OMM596" s="46"/>
      <c r="OMN596" s="48"/>
      <c r="OMO596" s="53"/>
      <c r="OMV596" s="15"/>
      <c r="OMW596" s="50"/>
      <c r="OMX596" s="50"/>
      <c r="OMY596" s="46"/>
      <c r="OMZ596" s="47"/>
      <c r="ONA596" s="46"/>
      <c r="ONB596" s="48"/>
      <c r="ONC596" s="53"/>
      <c r="ONJ596" s="15"/>
      <c r="ONK596" s="50"/>
      <c r="ONL596" s="50"/>
      <c r="ONM596" s="46"/>
      <c r="ONN596" s="47"/>
      <c r="ONO596" s="46"/>
      <c r="ONP596" s="48"/>
      <c r="ONQ596" s="53"/>
      <c r="ONX596" s="15"/>
      <c r="ONY596" s="50"/>
      <c r="ONZ596" s="50"/>
      <c r="OOA596" s="46"/>
      <c r="OOB596" s="47"/>
      <c r="OOC596" s="46"/>
      <c r="OOD596" s="48"/>
      <c r="OOE596" s="53"/>
      <c r="OOL596" s="15"/>
      <c r="OOM596" s="50"/>
      <c r="OON596" s="50"/>
      <c r="OOO596" s="46"/>
      <c r="OOP596" s="47"/>
      <c r="OOQ596" s="46"/>
      <c r="OOR596" s="48"/>
      <c r="OOS596" s="53"/>
      <c r="OOZ596" s="15"/>
      <c r="OPA596" s="50"/>
      <c r="OPB596" s="50"/>
      <c r="OPC596" s="46"/>
      <c r="OPD596" s="47"/>
      <c r="OPE596" s="46"/>
      <c r="OPF596" s="48"/>
      <c r="OPG596" s="53"/>
      <c r="OPN596" s="15"/>
      <c r="OPO596" s="50"/>
      <c r="OPP596" s="50"/>
      <c r="OPQ596" s="46"/>
      <c r="OPR596" s="47"/>
      <c r="OPS596" s="46"/>
      <c r="OPT596" s="48"/>
      <c r="OPU596" s="53"/>
      <c r="OQB596" s="15"/>
      <c r="OQC596" s="50"/>
      <c r="OQD596" s="50"/>
      <c r="OQE596" s="46"/>
      <c r="OQF596" s="47"/>
      <c r="OQG596" s="46"/>
      <c r="OQH596" s="48"/>
      <c r="OQI596" s="53"/>
      <c r="OQP596" s="15"/>
      <c r="OQQ596" s="50"/>
      <c r="OQR596" s="50"/>
      <c r="OQS596" s="46"/>
      <c r="OQT596" s="47"/>
      <c r="OQU596" s="46"/>
      <c r="OQV596" s="48"/>
      <c r="OQW596" s="53"/>
      <c r="ORD596" s="15"/>
      <c r="ORE596" s="50"/>
      <c r="ORF596" s="50"/>
      <c r="ORG596" s="46"/>
      <c r="ORH596" s="47"/>
      <c r="ORI596" s="46"/>
      <c r="ORJ596" s="48"/>
      <c r="ORK596" s="53"/>
      <c r="ORR596" s="15"/>
      <c r="ORS596" s="50"/>
      <c r="ORT596" s="50"/>
      <c r="ORU596" s="46"/>
      <c r="ORV596" s="47"/>
      <c r="ORW596" s="46"/>
      <c r="ORX596" s="48"/>
      <c r="ORY596" s="53"/>
      <c r="OSF596" s="15"/>
      <c r="OSG596" s="50"/>
      <c r="OSH596" s="50"/>
      <c r="OSI596" s="46"/>
      <c r="OSJ596" s="47"/>
      <c r="OSK596" s="46"/>
      <c r="OSL596" s="48"/>
      <c r="OSM596" s="53"/>
      <c r="OST596" s="15"/>
      <c r="OSU596" s="50"/>
      <c r="OSV596" s="50"/>
      <c r="OSW596" s="46"/>
      <c r="OSX596" s="47"/>
      <c r="OSY596" s="46"/>
      <c r="OSZ596" s="48"/>
      <c r="OTA596" s="53"/>
      <c r="OTH596" s="15"/>
      <c r="OTI596" s="50"/>
      <c r="OTJ596" s="50"/>
      <c r="OTK596" s="46"/>
      <c r="OTL596" s="47"/>
      <c r="OTM596" s="46"/>
      <c r="OTN596" s="48"/>
      <c r="OTO596" s="53"/>
      <c r="OTV596" s="15"/>
      <c r="OTW596" s="50"/>
      <c r="OTX596" s="50"/>
      <c r="OTY596" s="46"/>
      <c r="OTZ596" s="47"/>
      <c r="OUA596" s="46"/>
      <c r="OUB596" s="48"/>
      <c r="OUC596" s="53"/>
      <c r="OUJ596" s="15"/>
      <c r="OUK596" s="50"/>
      <c r="OUL596" s="50"/>
      <c r="OUM596" s="46"/>
      <c r="OUN596" s="47"/>
      <c r="OUO596" s="46"/>
      <c r="OUP596" s="48"/>
      <c r="OUQ596" s="53"/>
      <c r="OUX596" s="15"/>
      <c r="OUY596" s="50"/>
      <c r="OUZ596" s="50"/>
      <c r="OVA596" s="46"/>
      <c r="OVB596" s="47"/>
      <c r="OVC596" s="46"/>
      <c r="OVD596" s="48"/>
      <c r="OVE596" s="53"/>
      <c r="OVL596" s="15"/>
      <c r="OVM596" s="50"/>
      <c r="OVN596" s="50"/>
      <c r="OVO596" s="46"/>
      <c r="OVP596" s="47"/>
      <c r="OVQ596" s="46"/>
      <c r="OVR596" s="48"/>
      <c r="OVS596" s="53"/>
      <c r="OVZ596" s="15"/>
      <c r="OWA596" s="50"/>
      <c r="OWB596" s="50"/>
      <c r="OWC596" s="46"/>
      <c r="OWD596" s="47"/>
      <c r="OWE596" s="46"/>
      <c r="OWF596" s="48"/>
      <c r="OWG596" s="53"/>
      <c r="OWN596" s="15"/>
      <c r="OWO596" s="50"/>
      <c r="OWP596" s="50"/>
      <c r="OWQ596" s="46"/>
      <c r="OWR596" s="47"/>
      <c r="OWS596" s="46"/>
      <c r="OWT596" s="48"/>
      <c r="OWU596" s="53"/>
      <c r="OXB596" s="15"/>
      <c r="OXC596" s="50"/>
      <c r="OXD596" s="50"/>
      <c r="OXE596" s="46"/>
      <c r="OXF596" s="47"/>
      <c r="OXG596" s="46"/>
      <c r="OXH596" s="48"/>
      <c r="OXI596" s="53"/>
      <c r="OXP596" s="15"/>
      <c r="OXQ596" s="50"/>
      <c r="OXR596" s="50"/>
      <c r="OXS596" s="46"/>
      <c r="OXT596" s="47"/>
      <c r="OXU596" s="46"/>
      <c r="OXV596" s="48"/>
      <c r="OXW596" s="53"/>
      <c r="OYD596" s="15"/>
      <c r="OYE596" s="50"/>
      <c r="OYF596" s="50"/>
      <c r="OYG596" s="46"/>
      <c r="OYH596" s="47"/>
      <c r="OYI596" s="46"/>
      <c r="OYJ596" s="48"/>
      <c r="OYK596" s="53"/>
      <c r="OYR596" s="15"/>
      <c r="OYS596" s="50"/>
      <c r="OYT596" s="50"/>
      <c r="OYU596" s="46"/>
      <c r="OYV596" s="47"/>
      <c r="OYW596" s="46"/>
      <c r="OYX596" s="48"/>
      <c r="OYY596" s="53"/>
      <c r="OZF596" s="15"/>
      <c r="OZG596" s="50"/>
      <c r="OZH596" s="50"/>
      <c r="OZI596" s="46"/>
      <c r="OZJ596" s="47"/>
      <c r="OZK596" s="46"/>
      <c r="OZL596" s="48"/>
      <c r="OZM596" s="53"/>
      <c r="OZT596" s="15"/>
      <c r="OZU596" s="50"/>
      <c r="OZV596" s="50"/>
      <c r="OZW596" s="46"/>
      <c r="OZX596" s="47"/>
      <c r="OZY596" s="46"/>
      <c r="OZZ596" s="48"/>
      <c r="PAA596" s="53"/>
      <c r="PAH596" s="15"/>
      <c r="PAI596" s="50"/>
      <c r="PAJ596" s="50"/>
      <c r="PAK596" s="46"/>
      <c r="PAL596" s="47"/>
      <c r="PAM596" s="46"/>
      <c r="PAN596" s="48"/>
      <c r="PAO596" s="53"/>
      <c r="PAV596" s="15"/>
      <c r="PAW596" s="50"/>
      <c r="PAX596" s="50"/>
      <c r="PAY596" s="46"/>
      <c r="PAZ596" s="47"/>
      <c r="PBA596" s="46"/>
      <c r="PBB596" s="48"/>
      <c r="PBC596" s="53"/>
      <c r="PBJ596" s="15"/>
      <c r="PBK596" s="50"/>
      <c r="PBL596" s="50"/>
      <c r="PBM596" s="46"/>
      <c r="PBN596" s="47"/>
      <c r="PBO596" s="46"/>
      <c r="PBP596" s="48"/>
      <c r="PBQ596" s="53"/>
      <c r="PBX596" s="15"/>
      <c r="PBY596" s="50"/>
      <c r="PBZ596" s="50"/>
      <c r="PCA596" s="46"/>
      <c r="PCB596" s="47"/>
      <c r="PCC596" s="46"/>
      <c r="PCD596" s="48"/>
      <c r="PCE596" s="53"/>
      <c r="PCL596" s="15"/>
      <c r="PCM596" s="50"/>
      <c r="PCN596" s="50"/>
      <c r="PCO596" s="46"/>
      <c r="PCP596" s="47"/>
      <c r="PCQ596" s="46"/>
      <c r="PCR596" s="48"/>
      <c r="PCS596" s="53"/>
      <c r="PCZ596" s="15"/>
      <c r="PDA596" s="50"/>
      <c r="PDB596" s="50"/>
      <c r="PDC596" s="46"/>
      <c r="PDD596" s="47"/>
      <c r="PDE596" s="46"/>
      <c r="PDF596" s="48"/>
      <c r="PDG596" s="53"/>
      <c r="PDN596" s="15"/>
      <c r="PDO596" s="50"/>
      <c r="PDP596" s="50"/>
      <c r="PDQ596" s="46"/>
      <c r="PDR596" s="47"/>
      <c r="PDS596" s="46"/>
      <c r="PDT596" s="48"/>
      <c r="PDU596" s="53"/>
      <c r="PEB596" s="15"/>
      <c r="PEC596" s="50"/>
      <c r="PED596" s="50"/>
      <c r="PEE596" s="46"/>
      <c r="PEF596" s="47"/>
      <c r="PEG596" s="46"/>
      <c r="PEH596" s="48"/>
      <c r="PEI596" s="53"/>
      <c r="PEP596" s="15"/>
      <c r="PEQ596" s="50"/>
      <c r="PER596" s="50"/>
      <c r="PES596" s="46"/>
      <c r="PET596" s="47"/>
      <c r="PEU596" s="46"/>
      <c r="PEV596" s="48"/>
      <c r="PEW596" s="53"/>
      <c r="PFD596" s="15"/>
      <c r="PFE596" s="50"/>
      <c r="PFF596" s="50"/>
      <c r="PFG596" s="46"/>
      <c r="PFH596" s="47"/>
      <c r="PFI596" s="46"/>
      <c r="PFJ596" s="48"/>
      <c r="PFK596" s="53"/>
      <c r="PFR596" s="15"/>
      <c r="PFS596" s="50"/>
      <c r="PFT596" s="50"/>
      <c r="PFU596" s="46"/>
      <c r="PFV596" s="47"/>
      <c r="PFW596" s="46"/>
      <c r="PFX596" s="48"/>
      <c r="PFY596" s="53"/>
      <c r="PGF596" s="15"/>
      <c r="PGG596" s="50"/>
      <c r="PGH596" s="50"/>
      <c r="PGI596" s="46"/>
      <c r="PGJ596" s="47"/>
      <c r="PGK596" s="46"/>
      <c r="PGL596" s="48"/>
      <c r="PGM596" s="53"/>
      <c r="PGT596" s="15"/>
      <c r="PGU596" s="50"/>
      <c r="PGV596" s="50"/>
      <c r="PGW596" s="46"/>
      <c r="PGX596" s="47"/>
      <c r="PGY596" s="46"/>
      <c r="PGZ596" s="48"/>
      <c r="PHA596" s="53"/>
      <c r="PHH596" s="15"/>
      <c r="PHI596" s="50"/>
      <c r="PHJ596" s="50"/>
      <c r="PHK596" s="46"/>
      <c r="PHL596" s="47"/>
      <c r="PHM596" s="46"/>
      <c r="PHN596" s="48"/>
      <c r="PHO596" s="53"/>
      <c r="PHV596" s="15"/>
      <c r="PHW596" s="50"/>
      <c r="PHX596" s="50"/>
      <c r="PHY596" s="46"/>
      <c r="PHZ596" s="47"/>
      <c r="PIA596" s="46"/>
      <c r="PIB596" s="48"/>
      <c r="PIC596" s="53"/>
      <c r="PIJ596" s="15"/>
      <c r="PIK596" s="50"/>
      <c r="PIL596" s="50"/>
      <c r="PIM596" s="46"/>
      <c r="PIN596" s="47"/>
      <c r="PIO596" s="46"/>
      <c r="PIP596" s="48"/>
      <c r="PIQ596" s="53"/>
      <c r="PIX596" s="15"/>
      <c r="PIY596" s="50"/>
      <c r="PIZ596" s="50"/>
      <c r="PJA596" s="46"/>
      <c r="PJB596" s="47"/>
      <c r="PJC596" s="46"/>
      <c r="PJD596" s="48"/>
      <c r="PJE596" s="53"/>
      <c r="PJL596" s="15"/>
      <c r="PJM596" s="50"/>
      <c r="PJN596" s="50"/>
      <c r="PJO596" s="46"/>
      <c r="PJP596" s="47"/>
      <c r="PJQ596" s="46"/>
      <c r="PJR596" s="48"/>
      <c r="PJS596" s="53"/>
      <c r="PJZ596" s="15"/>
      <c r="PKA596" s="50"/>
      <c r="PKB596" s="50"/>
      <c r="PKC596" s="46"/>
      <c r="PKD596" s="47"/>
      <c r="PKE596" s="46"/>
      <c r="PKF596" s="48"/>
      <c r="PKG596" s="53"/>
      <c r="PKN596" s="15"/>
      <c r="PKO596" s="50"/>
      <c r="PKP596" s="50"/>
      <c r="PKQ596" s="46"/>
      <c r="PKR596" s="47"/>
      <c r="PKS596" s="46"/>
      <c r="PKT596" s="48"/>
      <c r="PKU596" s="53"/>
      <c r="PLB596" s="15"/>
      <c r="PLC596" s="50"/>
      <c r="PLD596" s="50"/>
      <c r="PLE596" s="46"/>
      <c r="PLF596" s="47"/>
      <c r="PLG596" s="46"/>
      <c r="PLH596" s="48"/>
      <c r="PLI596" s="53"/>
      <c r="PLP596" s="15"/>
      <c r="PLQ596" s="50"/>
      <c r="PLR596" s="50"/>
      <c r="PLS596" s="46"/>
      <c r="PLT596" s="47"/>
      <c r="PLU596" s="46"/>
      <c r="PLV596" s="48"/>
      <c r="PLW596" s="53"/>
      <c r="PMD596" s="15"/>
      <c r="PME596" s="50"/>
      <c r="PMF596" s="50"/>
      <c r="PMG596" s="46"/>
      <c r="PMH596" s="47"/>
      <c r="PMI596" s="46"/>
      <c r="PMJ596" s="48"/>
      <c r="PMK596" s="53"/>
      <c r="PMR596" s="15"/>
      <c r="PMS596" s="50"/>
      <c r="PMT596" s="50"/>
      <c r="PMU596" s="46"/>
      <c r="PMV596" s="47"/>
      <c r="PMW596" s="46"/>
      <c r="PMX596" s="48"/>
      <c r="PMY596" s="53"/>
      <c r="PNF596" s="15"/>
      <c r="PNG596" s="50"/>
      <c r="PNH596" s="50"/>
      <c r="PNI596" s="46"/>
      <c r="PNJ596" s="47"/>
      <c r="PNK596" s="46"/>
      <c r="PNL596" s="48"/>
      <c r="PNM596" s="53"/>
      <c r="PNT596" s="15"/>
      <c r="PNU596" s="50"/>
      <c r="PNV596" s="50"/>
      <c r="PNW596" s="46"/>
      <c r="PNX596" s="47"/>
      <c r="PNY596" s="46"/>
      <c r="PNZ596" s="48"/>
      <c r="POA596" s="53"/>
      <c r="POH596" s="15"/>
      <c r="POI596" s="50"/>
      <c r="POJ596" s="50"/>
      <c r="POK596" s="46"/>
      <c r="POL596" s="47"/>
      <c r="POM596" s="46"/>
      <c r="PON596" s="48"/>
      <c r="POO596" s="53"/>
      <c r="POV596" s="15"/>
      <c r="POW596" s="50"/>
      <c r="POX596" s="50"/>
      <c r="POY596" s="46"/>
      <c r="POZ596" s="47"/>
      <c r="PPA596" s="46"/>
      <c r="PPB596" s="48"/>
      <c r="PPC596" s="53"/>
      <c r="PPJ596" s="15"/>
      <c r="PPK596" s="50"/>
      <c r="PPL596" s="50"/>
      <c r="PPM596" s="46"/>
      <c r="PPN596" s="47"/>
      <c r="PPO596" s="46"/>
      <c r="PPP596" s="48"/>
      <c r="PPQ596" s="53"/>
      <c r="PPX596" s="15"/>
      <c r="PPY596" s="50"/>
      <c r="PPZ596" s="50"/>
      <c r="PQA596" s="46"/>
      <c r="PQB596" s="47"/>
      <c r="PQC596" s="46"/>
      <c r="PQD596" s="48"/>
      <c r="PQE596" s="53"/>
      <c r="PQL596" s="15"/>
      <c r="PQM596" s="50"/>
      <c r="PQN596" s="50"/>
      <c r="PQO596" s="46"/>
      <c r="PQP596" s="47"/>
      <c r="PQQ596" s="46"/>
      <c r="PQR596" s="48"/>
      <c r="PQS596" s="53"/>
      <c r="PQZ596" s="15"/>
      <c r="PRA596" s="50"/>
      <c r="PRB596" s="50"/>
      <c r="PRC596" s="46"/>
      <c r="PRD596" s="47"/>
      <c r="PRE596" s="46"/>
      <c r="PRF596" s="48"/>
      <c r="PRG596" s="53"/>
      <c r="PRN596" s="15"/>
      <c r="PRO596" s="50"/>
      <c r="PRP596" s="50"/>
      <c r="PRQ596" s="46"/>
      <c r="PRR596" s="47"/>
      <c r="PRS596" s="46"/>
      <c r="PRT596" s="48"/>
      <c r="PRU596" s="53"/>
      <c r="PSB596" s="15"/>
      <c r="PSC596" s="50"/>
      <c r="PSD596" s="50"/>
      <c r="PSE596" s="46"/>
      <c r="PSF596" s="47"/>
      <c r="PSG596" s="46"/>
      <c r="PSH596" s="48"/>
      <c r="PSI596" s="53"/>
      <c r="PSP596" s="15"/>
      <c r="PSQ596" s="50"/>
      <c r="PSR596" s="50"/>
      <c r="PSS596" s="46"/>
      <c r="PST596" s="47"/>
      <c r="PSU596" s="46"/>
      <c r="PSV596" s="48"/>
      <c r="PSW596" s="53"/>
      <c r="PTD596" s="15"/>
      <c r="PTE596" s="50"/>
      <c r="PTF596" s="50"/>
      <c r="PTG596" s="46"/>
      <c r="PTH596" s="47"/>
      <c r="PTI596" s="46"/>
      <c r="PTJ596" s="48"/>
      <c r="PTK596" s="53"/>
      <c r="PTR596" s="15"/>
      <c r="PTS596" s="50"/>
      <c r="PTT596" s="50"/>
      <c r="PTU596" s="46"/>
      <c r="PTV596" s="47"/>
      <c r="PTW596" s="46"/>
      <c r="PTX596" s="48"/>
      <c r="PTY596" s="53"/>
      <c r="PUF596" s="15"/>
      <c r="PUG596" s="50"/>
      <c r="PUH596" s="50"/>
      <c r="PUI596" s="46"/>
      <c r="PUJ596" s="47"/>
      <c r="PUK596" s="46"/>
      <c r="PUL596" s="48"/>
      <c r="PUM596" s="53"/>
      <c r="PUT596" s="15"/>
      <c r="PUU596" s="50"/>
      <c r="PUV596" s="50"/>
      <c r="PUW596" s="46"/>
      <c r="PUX596" s="47"/>
      <c r="PUY596" s="46"/>
      <c r="PUZ596" s="48"/>
      <c r="PVA596" s="53"/>
      <c r="PVH596" s="15"/>
      <c r="PVI596" s="50"/>
      <c r="PVJ596" s="50"/>
      <c r="PVK596" s="46"/>
      <c r="PVL596" s="47"/>
      <c r="PVM596" s="46"/>
      <c r="PVN596" s="48"/>
      <c r="PVO596" s="53"/>
      <c r="PVV596" s="15"/>
      <c r="PVW596" s="50"/>
      <c r="PVX596" s="50"/>
      <c r="PVY596" s="46"/>
      <c r="PVZ596" s="47"/>
      <c r="PWA596" s="46"/>
      <c r="PWB596" s="48"/>
      <c r="PWC596" s="53"/>
      <c r="PWJ596" s="15"/>
      <c r="PWK596" s="50"/>
      <c r="PWL596" s="50"/>
      <c r="PWM596" s="46"/>
      <c r="PWN596" s="47"/>
      <c r="PWO596" s="46"/>
      <c r="PWP596" s="48"/>
      <c r="PWQ596" s="53"/>
      <c r="PWX596" s="15"/>
      <c r="PWY596" s="50"/>
      <c r="PWZ596" s="50"/>
      <c r="PXA596" s="46"/>
      <c r="PXB596" s="47"/>
      <c r="PXC596" s="46"/>
      <c r="PXD596" s="48"/>
      <c r="PXE596" s="53"/>
      <c r="PXL596" s="15"/>
      <c r="PXM596" s="50"/>
      <c r="PXN596" s="50"/>
      <c r="PXO596" s="46"/>
      <c r="PXP596" s="47"/>
      <c r="PXQ596" s="46"/>
      <c r="PXR596" s="48"/>
      <c r="PXS596" s="53"/>
      <c r="PXZ596" s="15"/>
      <c r="PYA596" s="50"/>
      <c r="PYB596" s="50"/>
      <c r="PYC596" s="46"/>
      <c r="PYD596" s="47"/>
      <c r="PYE596" s="46"/>
      <c r="PYF596" s="48"/>
      <c r="PYG596" s="53"/>
      <c r="PYN596" s="15"/>
      <c r="PYO596" s="50"/>
      <c r="PYP596" s="50"/>
      <c r="PYQ596" s="46"/>
      <c r="PYR596" s="47"/>
      <c r="PYS596" s="46"/>
      <c r="PYT596" s="48"/>
      <c r="PYU596" s="53"/>
      <c r="PZB596" s="15"/>
      <c r="PZC596" s="50"/>
      <c r="PZD596" s="50"/>
      <c r="PZE596" s="46"/>
      <c r="PZF596" s="47"/>
      <c r="PZG596" s="46"/>
      <c r="PZH596" s="48"/>
      <c r="PZI596" s="53"/>
      <c r="PZP596" s="15"/>
      <c r="PZQ596" s="50"/>
      <c r="PZR596" s="50"/>
      <c r="PZS596" s="46"/>
      <c r="PZT596" s="47"/>
      <c r="PZU596" s="46"/>
      <c r="PZV596" s="48"/>
      <c r="PZW596" s="53"/>
      <c r="QAD596" s="15"/>
      <c r="QAE596" s="50"/>
      <c r="QAF596" s="50"/>
      <c r="QAG596" s="46"/>
      <c r="QAH596" s="47"/>
      <c r="QAI596" s="46"/>
      <c r="QAJ596" s="48"/>
      <c r="QAK596" s="53"/>
      <c r="QAR596" s="15"/>
      <c r="QAS596" s="50"/>
      <c r="QAT596" s="50"/>
      <c r="QAU596" s="46"/>
      <c r="QAV596" s="47"/>
      <c r="QAW596" s="46"/>
      <c r="QAX596" s="48"/>
      <c r="QAY596" s="53"/>
      <c r="QBF596" s="15"/>
      <c r="QBG596" s="50"/>
      <c r="QBH596" s="50"/>
      <c r="QBI596" s="46"/>
      <c r="QBJ596" s="47"/>
      <c r="QBK596" s="46"/>
      <c r="QBL596" s="48"/>
      <c r="QBM596" s="53"/>
      <c r="QBT596" s="15"/>
      <c r="QBU596" s="50"/>
      <c r="QBV596" s="50"/>
      <c r="QBW596" s="46"/>
      <c r="QBX596" s="47"/>
      <c r="QBY596" s="46"/>
      <c r="QBZ596" s="48"/>
      <c r="QCA596" s="53"/>
      <c r="QCH596" s="15"/>
      <c r="QCI596" s="50"/>
      <c r="QCJ596" s="50"/>
      <c r="QCK596" s="46"/>
      <c r="QCL596" s="47"/>
      <c r="QCM596" s="46"/>
      <c r="QCN596" s="48"/>
      <c r="QCO596" s="53"/>
      <c r="QCV596" s="15"/>
      <c r="QCW596" s="50"/>
      <c r="QCX596" s="50"/>
      <c r="QCY596" s="46"/>
      <c r="QCZ596" s="47"/>
      <c r="QDA596" s="46"/>
      <c r="QDB596" s="48"/>
      <c r="QDC596" s="53"/>
      <c r="QDJ596" s="15"/>
      <c r="QDK596" s="50"/>
      <c r="QDL596" s="50"/>
      <c r="QDM596" s="46"/>
      <c r="QDN596" s="47"/>
      <c r="QDO596" s="46"/>
      <c r="QDP596" s="48"/>
      <c r="QDQ596" s="53"/>
      <c r="QDX596" s="15"/>
      <c r="QDY596" s="50"/>
      <c r="QDZ596" s="50"/>
      <c r="QEA596" s="46"/>
      <c r="QEB596" s="47"/>
      <c r="QEC596" s="46"/>
      <c r="QED596" s="48"/>
      <c r="QEE596" s="53"/>
      <c r="QEL596" s="15"/>
      <c r="QEM596" s="50"/>
      <c r="QEN596" s="50"/>
      <c r="QEO596" s="46"/>
      <c r="QEP596" s="47"/>
      <c r="QEQ596" s="46"/>
      <c r="QER596" s="48"/>
      <c r="QES596" s="53"/>
      <c r="QEZ596" s="15"/>
      <c r="QFA596" s="50"/>
      <c r="QFB596" s="50"/>
      <c r="QFC596" s="46"/>
      <c r="QFD596" s="47"/>
      <c r="QFE596" s="46"/>
      <c r="QFF596" s="48"/>
      <c r="QFG596" s="53"/>
      <c r="QFN596" s="15"/>
      <c r="QFO596" s="50"/>
      <c r="QFP596" s="50"/>
      <c r="QFQ596" s="46"/>
      <c r="QFR596" s="47"/>
      <c r="QFS596" s="46"/>
      <c r="QFT596" s="48"/>
      <c r="QFU596" s="53"/>
      <c r="QGB596" s="15"/>
      <c r="QGC596" s="50"/>
      <c r="QGD596" s="50"/>
      <c r="QGE596" s="46"/>
      <c r="QGF596" s="47"/>
      <c r="QGG596" s="46"/>
      <c r="QGH596" s="48"/>
      <c r="QGI596" s="53"/>
      <c r="QGP596" s="15"/>
      <c r="QGQ596" s="50"/>
      <c r="QGR596" s="50"/>
      <c r="QGS596" s="46"/>
      <c r="QGT596" s="47"/>
      <c r="QGU596" s="46"/>
      <c r="QGV596" s="48"/>
      <c r="QGW596" s="53"/>
      <c r="QHD596" s="15"/>
      <c r="QHE596" s="50"/>
      <c r="QHF596" s="50"/>
      <c r="QHG596" s="46"/>
      <c r="QHH596" s="47"/>
      <c r="QHI596" s="46"/>
      <c r="QHJ596" s="48"/>
      <c r="QHK596" s="53"/>
      <c r="QHR596" s="15"/>
      <c r="QHS596" s="50"/>
      <c r="QHT596" s="50"/>
      <c r="QHU596" s="46"/>
      <c r="QHV596" s="47"/>
      <c r="QHW596" s="46"/>
      <c r="QHX596" s="48"/>
      <c r="QHY596" s="53"/>
      <c r="QIF596" s="15"/>
      <c r="QIG596" s="50"/>
      <c r="QIH596" s="50"/>
      <c r="QII596" s="46"/>
      <c r="QIJ596" s="47"/>
      <c r="QIK596" s="46"/>
      <c r="QIL596" s="48"/>
      <c r="QIM596" s="53"/>
      <c r="QIT596" s="15"/>
      <c r="QIU596" s="50"/>
      <c r="QIV596" s="50"/>
      <c r="QIW596" s="46"/>
      <c r="QIX596" s="47"/>
      <c r="QIY596" s="46"/>
      <c r="QIZ596" s="48"/>
      <c r="QJA596" s="53"/>
      <c r="QJH596" s="15"/>
      <c r="QJI596" s="50"/>
      <c r="QJJ596" s="50"/>
      <c r="QJK596" s="46"/>
      <c r="QJL596" s="47"/>
      <c r="QJM596" s="46"/>
      <c r="QJN596" s="48"/>
      <c r="QJO596" s="53"/>
      <c r="QJV596" s="15"/>
      <c r="QJW596" s="50"/>
      <c r="QJX596" s="50"/>
      <c r="QJY596" s="46"/>
      <c r="QJZ596" s="47"/>
      <c r="QKA596" s="46"/>
      <c r="QKB596" s="48"/>
      <c r="QKC596" s="53"/>
      <c r="QKJ596" s="15"/>
      <c r="QKK596" s="50"/>
      <c r="QKL596" s="50"/>
      <c r="QKM596" s="46"/>
      <c r="QKN596" s="47"/>
      <c r="QKO596" s="46"/>
      <c r="QKP596" s="48"/>
      <c r="QKQ596" s="53"/>
      <c r="QKX596" s="15"/>
      <c r="QKY596" s="50"/>
      <c r="QKZ596" s="50"/>
      <c r="QLA596" s="46"/>
      <c r="QLB596" s="47"/>
      <c r="QLC596" s="46"/>
      <c r="QLD596" s="48"/>
      <c r="QLE596" s="53"/>
      <c r="QLL596" s="15"/>
      <c r="QLM596" s="50"/>
      <c r="QLN596" s="50"/>
      <c r="QLO596" s="46"/>
      <c r="QLP596" s="47"/>
      <c r="QLQ596" s="46"/>
      <c r="QLR596" s="48"/>
      <c r="QLS596" s="53"/>
      <c r="QLZ596" s="15"/>
      <c r="QMA596" s="50"/>
      <c r="QMB596" s="50"/>
      <c r="QMC596" s="46"/>
      <c r="QMD596" s="47"/>
      <c r="QME596" s="46"/>
      <c r="QMF596" s="48"/>
      <c r="QMG596" s="53"/>
      <c r="QMN596" s="15"/>
      <c r="QMO596" s="50"/>
      <c r="QMP596" s="50"/>
      <c r="QMQ596" s="46"/>
      <c r="QMR596" s="47"/>
      <c r="QMS596" s="46"/>
      <c r="QMT596" s="48"/>
      <c r="QMU596" s="53"/>
      <c r="QNB596" s="15"/>
      <c r="QNC596" s="50"/>
      <c r="QND596" s="50"/>
      <c r="QNE596" s="46"/>
      <c r="QNF596" s="47"/>
      <c r="QNG596" s="46"/>
      <c r="QNH596" s="48"/>
      <c r="QNI596" s="53"/>
      <c r="QNP596" s="15"/>
      <c r="QNQ596" s="50"/>
      <c r="QNR596" s="50"/>
      <c r="QNS596" s="46"/>
      <c r="QNT596" s="47"/>
      <c r="QNU596" s="46"/>
      <c r="QNV596" s="48"/>
      <c r="QNW596" s="53"/>
      <c r="QOD596" s="15"/>
      <c r="QOE596" s="50"/>
      <c r="QOF596" s="50"/>
      <c r="QOG596" s="46"/>
      <c r="QOH596" s="47"/>
      <c r="QOI596" s="46"/>
      <c r="QOJ596" s="48"/>
      <c r="QOK596" s="53"/>
      <c r="QOR596" s="15"/>
      <c r="QOS596" s="50"/>
      <c r="QOT596" s="50"/>
      <c r="QOU596" s="46"/>
      <c r="QOV596" s="47"/>
      <c r="QOW596" s="46"/>
      <c r="QOX596" s="48"/>
      <c r="QOY596" s="53"/>
      <c r="QPF596" s="15"/>
      <c r="QPG596" s="50"/>
      <c r="QPH596" s="50"/>
      <c r="QPI596" s="46"/>
      <c r="QPJ596" s="47"/>
      <c r="QPK596" s="46"/>
      <c r="QPL596" s="48"/>
      <c r="QPM596" s="53"/>
      <c r="QPT596" s="15"/>
      <c r="QPU596" s="50"/>
      <c r="QPV596" s="50"/>
      <c r="QPW596" s="46"/>
      <c r="QPX596" s="47"/>
      <c r="QPY596" s="46"/>
      <c r="QPZ596" s="48"/>
      <c r="QQA596" s="53"/>
      <c r="QQH596" s="15"/>
      <c r="QQI596" s="50"/>
      <c r="QQJ596" s="50"/>
      <c r="QQK596" s="46"/>
      <c r="QQL596" s="47"/>
      <c r="QQM596" s="46"/>
      <c r="QQN596" s="48"/>
      <c r="QQO596" s="53"/>
      <c r="QQV596" s="15"/>
      <c r="QQW596" s="50"/>
      <c r="QQX596" s="50"/>
      <c r="QQY596" s="46"/>
      <c r="QQZ596" s="47"/>
      <c r="QRA596" s="46"/>
      <c r="QRB596" s="48"/>
      <c r="QRC596" s="53"/>
      <c r="QRJ596" s="15"/>
      <c r="QRK596" s="50"/>
      <c r="QRL596" s="50"/>
      <c r="QRM596" s="46"/>
      <c r="QRN596" s="47"/>
      <c r="QRO596" s="46"/>
      <c r="QRP596" s="48"/>
      <c r="QRQ596" s="53"/>
      <c r="QRX596" s="15"/>
      <c r="QRY596" s="50"/>
      <c r="QRZ596" s="50"/>
      <c r="QSA596" s="46"/>
      <c r="QSB596" s="47"/>
      <c r="QSC596" s="46"/>
      <c r="QSD596" s="48"/>
      <c r="QSE596" s="53"/>
      <c r="QSL596" s="15"/>
      <c r="QSM596" s="50"/>
      <c r="QSN596" s="50"/>
      <c r="QSO596" s="46"/>
      <c r="QSP596" s="47"/>
      <c r="QSQ596" s="46"/>
      <c r="QSR596" s="48"/>
      <c r="QSS596" s="53"/>
      <c r="QSZ596" s="15"/>
      <c r="QTA596" s="50"/>
      <c r="QTB596" s="50"/>
      <c r="QTC596" s="46"/>
      <c r="QTD596" s="47"/>
      <c r="QTE596" s="46"/>
      <c r="QTF596" s="48"/>
      <c r="QTG596" s="53"/>
      <c r="QTN596" s="15"/>
      <c r="QTO596" s="50"/>
      <c r="QTP596" s="50"/>
      <c r="QTQ596" s="46"/>
      <c r="QTR596" s="47"/>
      <c r="QTS596" s="46"/>
      <c r="QTT596" s="48"/>
      <c r="QTU596" s="53"/>
      <c r="QUB596" s="15"/>
      <c r="QUC596" s="50"/>
      <c r="QUD596" s="50"/>
      <c r="QUE596" s="46"/>
      <c r="QUF596" s="47"/>
      <c r="QUG596" s="46"/>
      <c r="QUH596" s="48"/>
      <c r="QUI596" s="53"/>
      <c r="QUP596" s="15"/>
      <c r="QUQ596" s="50"/>
      <c r="QUR596" s="50"/>
      <c r="QUS596" s="46"/>
      <c r="QUT596" s="47"/>
      <c r="QUU596" s="46"/>
      <c r="QUV596" s="48"/>
      <c r="QUW596" s="53"/>
      <c r="QVD596" s="15"/>
      <c r="QVE596" s="50"/>
      <c r="QVF596" s="50"/>
      <c r="QVG596" s="46"/>
      <c r="QVH596" s="47"/>
      <c r="QVI596" s="46"/>
      <c r="QVJ596" s="48"/>
      <c r="QVK596" s="53"/>
      <c r="QVR596" s="15"/>
      <c r="QVS596" s="50"/>
      <c r="QVT596" s="50"/>
      <c r="QVU596" s="46"/>
      <c r="QVV596" s="47"/>
      <c r="QVW596" s="46"/>
      <c r="QVX596" s="48"/>
      <c r="QVY596" s="53"/>
      <c r="QWF596" s="15"/>
      <c r="QWG596" s="50"/>
      <c r="QWH596" s="50"/>
      <c r="QWI596" s="46"/>
      <c r="QWJ596" s="47"/>
      <c r="QWK596" s="46"/>
      <c r="QWL596" s="48"/>
      <c r="QWM596" s="53"/>
      <c r="QWT596" s="15"/>
      <c r="QWU596" s="50"/>
      <c r="QWV596" s="50"/>
      <c r="QWW596" s="46"/>
      <c r="QWX596" s="47"/>
      <c r="QWY596" s="46"/>
      <c r="QWZ596" s="48"/>
      <c r="QXA596" s="53"/>
      <c r="QXH596" s="15"/>
      <c r="QXI596" s="50"/>
      <c r="QXJ596" s="50"/>
      <c r="QXK596" s="46"/>
      <c r="QXL596" s="47"/>
      <c r="QXM596" s="46"/>
      <c r="QXN596" s="48"/>
      <c r="QXO596" s="53"/>
      <c r="QXV596" s="15"/>
      <c r="QXW596" s="50"/>
      <c r="QXX596" s="50"/>
      <c r="QXY596" s="46"/>
      <c r="QXZ596" s="47"/>
      <c r="QYA596" s="46"/>
      <c r="QYB596" s="48"/>
      <c r="QYC596" s="53"/>
      <c r="QYJ596" s="15"/>
      <c r="QYK596" s="50"/>
      <c r="QYL596" s="50"/>
      <c r="QYM596" s="46"/>
      <c r="QYN596" s="47"/>
      <c r="QYO596" s="46"/>
      <c r="QYP596" s="48"/>
      <c r="QYQ596" s="53"/>
      <c r="QYX596" s="15"/>
      <c r="QYY596" s="50"/>
      <c r="QYZ596" s="50"/>
      <c r="QZA596" s="46"/>
      <c r="QZB596" s="47"/>
      <c r="QZC596" s="46"/>
      <c r="QZD596" s="48"/>
      <c r="QZE596" s="53"/>
      <c r="QZL596" s="15"/>
      <c r="QZM596" s="50"/>
      <c r="QZN596" s="50"/>
      <c r="QZO596" s="46"/>
      <c r="QZP596" s="47"/>
      <c r="QZQ596" s="46"/>
      <c r="QZR596" s="48"/>
      <c r="QZS596" s="53"/>
      <c r="QZZ596" s="15"/>
      <c r="RAA596" s="50"/>
      <c r="RAB596" s="50"/>
      <c r="RAC596" s="46"/>
      <c r="RAD596" s="47"/>
      <c r="RAE596" s="46"/>
      <c r="RAF596" s="48"/>
      <c r="RAG596" s="53"/>
      <c r="RAN596" s="15"/>
      <c r="RAO596" s="50"/>
      <c r="RAP596" s="50"/>
      <c r="RAQ596" s="46"/>
      <c r="RAR596" s="47"/>
      <c r="RAS596" s="46"/>
      <c r="RAT596" s="48"/>
      <c r="RAU596" s="53"/>
      <c r="RBB596" s="15"/>
      <c r="RBC596" s="50"/>
      <c r="RBD596" s="50"/>
      <c r="RBE596" s="46"/>
      <c r="RBF596" s="47"/>
      <c r="RBG596" s="46"/>
      <c r="RBH596" s="48"/>
      <c r="RBI596" s="53"/>
      <c r="RBP596" s="15"/>
      <c r="RBQ596" s="50"/>
      <c r="RBR596" s="50"/>
      <c r="RBS596" s="46"/>
      <c r="RBT596" s="47"/>
      <c r="RBU596" s="46"/>
      <c r="RBV596" s="48"/>
      <c r="RBW596" s="53"/>
      <c r="RCD596" s="15"/>
      <c r="RCE596" s="50"/>
      <c r="RCF596" s="50"/>
      <c r="RCG596" s="46"/>
      <c r="RCH596" s="47"/>
      <c r="RCI596" s="46"/>
      <c r="RCJ596" s="48"/>
      <c r="RCK596" s="53"/>
      <c r="RCR596" s="15"/>
      <c r="RCS596" s="50"/>
      <c r="RCT596" s="50"/>
      <c r="RCU596" s="46"/>
      <c r="RCV596" s="47"/>
      <c r="RCW596" s="46"/>
      <c r="RCX596" s="48"/>
      <c r="RCY596" s="53"/>
      <c r="RDF596" s="15"/>
      <c r="RDG596" s="50"/>
      <c r="RDH596" s="50"/>
      <c r="RDI596" s="46"/>
      <c r="RDJ596" s="47"/>
      <c r="RDK596" s="46"/>
      <c r="RDL596" s="48"/>
      <c r="RDM596" s="53"/>
      <c r="RDT596" s="15"/>
      <c r="RDU596" s="50"/>
      <c r="RDV596" s="50"/>
      <c r="RDW596" s="46"/>
      <c r="RDX596" s="47"/>
      <c r="RDY596" s="46"/>
      <c r="RDZ596" s="48"/>
      <c r="REA596" s="53"/>
      <c r="REH596" s="15"/>
      <c r="REI596" s="50"/>
      <c r="REJ596" s="50"/>
      <c r="REK596" s="46"/>
      <c r="REL596" s="47"/>
      <c r="REM596" s="46"/>
      <c r="REN596" s="48"/>
      <c r="REO596" s="53"/>
      <c r="REV596" s="15"/>
      <c r="REW596" s="50"/>
      <c r="REX596" s="50"/>
      <c r="REY596" s="46"/>
      <c r="REZ596" s="47"/>
      <c r="RFA596" s="46"/>
      <c r="RFB596" s="48"/>
      <c r="RFC596" s="53"/>
      <c r="RFJ596" s="15"/>
      <c r="RFK596" s="50"/>
      <c r="RFL596" s="50"/>
      <c r="RFM596" s="46"/>
      <c r="RFN596" s="47"/>
      <c r="RFO596" s="46"/>
      <c r="RFP596" s="48"/>
      <c r="RFQ596" s="53"/>
      <c r="RFX596" s="15"/>
      <c r="RFY596" s="50"/>
      <c r="RFZ596" s="50"/>
      <c r="RGA596" s="46"/>
      <c r="RGB596" s="47"/>
      <c r="RGC596" s="46"/>
      <c r="RGD596" s="48"/>
      <c r="RGE596" s="53"/>
      <c r="RGL596" s="15"/>
      <c r="RGM596" s="50"/>
      <c r="RGN596" s="50"/>
      <c r="RGO596" s="46"/>
      <c r="RGP596" s="47"/>
      <c r="RGQ596" s="46"/>
      <c r="RGR596" s="48"/>
      <c r="RGS596" s="53"/>
      <c r="RGZ596" s="15"/>
      <c r="RHA596" s="50"/>
      <c r="RHB596" s="50"/>
      <c r="RHC596" s="46"/>
      <c r="RHD596" s="47"/>
      <c r="RHE596" s="46"/>
      <c r="RHF596" s="48"/>
      <c r="RHG596" s="53"/>
      <c r="RHN596" s="15"/>
      <c r="RHO596" s="50"/>
      <c r="RHP596" s="50"/>
      <c r="RHQ596" s="46"/>
      <c r="RHR596" s="47"/>
      <c r="RHS596" s="46"/>
      <c r="RHT596" s="48"/>
      <c r="RHU596" s="53"/>
      <c r="RIB596" s="15"/>
      <c r="RIC596" s="50"/>
      <c r="RID596" s="50"/>
      <c r="RIE596" s="46"/>
      <c r="RIF596" s="47"/>
      <c r="RIG596" s="46"/>
      <c r="RIH596" s="48"/>
      <c r="RII596" s="53"/>
      <c r="RIP596" s="15"/>
      <c r="RIQ596" s="50"/>
      <c r="RIR596" s="50"/>
      <c r="RIS596" s="46"/>
      <c r="RIT596" s="47"/>
      <c r="RIU596" s="46"/>
      <c r="RIV596" s="48"/>
      <c r="RIW596" s="53"/>
      <c r="RJD596" s="15"/>
      <c r="RJE596" s="50"/>
      <c r="RJF596" s="50"/>
      <c r="RJG596" s="46"/>
      <c r="RJH596" s="47"/>
      <c r="RJI596" s="46"/>
      <c r="RJJ596" s="48"/>
      <c r="RJK596" s="53"/>
      <c r="RJR596" s="15"/>
      <c r="RJS596" s="50"/>
      <c r="RJT596" s="50"/>
      <c r="RJU596" s="46"/>
      <c r="RJV596" s="47"/>
      <c r="RJW596" s="46"/>
      <c r="RJX596" s="48"/>
      <c r="RJY596" s="53"/>
      <c r="RKF596" s="15"/>
      <c r="RKG596" s="50"/>
      <c r="RKH596" s="50"/>
      <c r="RKI596" s="46"/>
      <c r="RKJ596" s="47"/>
      <c r="RKK596" s="46"/>
      <c r="RKL596" s="48"/>
      <c r="RKM596" s="53"/>
      <c r="RKT596" s="15"/>
      <c r="RKU596" s="50"/>
      <c r="RKV596" s="50"/>
      <c r="RKW596" s="46"/>
      <c r="RKX596" s="47"/>
      <c r="RKY596" s="46"/>
      <c r="RKZ596" s="48"/>
      <c r="RLA596" s="53"/>
      <c r="RLH596" s="15"/>
      <c r="RLI596" s="50"/>
      <c r="RLJ596" s="50"/>
      <c r="RLK596" s="46"/>
      <c r="RLL596" s="47"/>
      <c r="RLM596" s="46"/>
      <c r="RLN596" s="48"/>
      <c r="RLO596" s="53"/>
      <c r="RLV596" s="15"/>
      <c r="RLW596" s="50"/>
      <c r="RLX596" s="50"/>
      <c r="RLY596" s="46"/>
      <c r="RLZ596" s="47"/>
      <c r="RMA596" s="46"/>
      <c r="RMB596" s="48"/>
      <c r="RMC596" s="53"/>
      <c r="RMJ596" s="15"/>
      <c r="RMK596" s="50"/>
      <c r="RML596" s="50"/>
      <c r="RMM596" s="46"/>
      <c r="RMN596" s="47"/>
      <c r="RMO596" s="46"/>
      <c r="RMP596" s="48"/>
      <c r="RMQ596" s="53"/>
      <c r="RMX596" s="15"/>
      <c r="RMY596" s="50"/>
      <c r="RMZ596" s="50"/>
      <c r="RNA596" s="46"/>
      <c r="RNB596" s="47"/>
      <c r="RNC596" s="46"/>
      <c r="RND596" s="48"/>
      <c r="RNE596" s="53"/>
      <c r="RNL596" s="15"/>
      <c r="RNM596" s="50"/>
      <c r="RNN596" s="50"/>
      <c r="RNO596" s="46"/>
      <c r="RNP596" s="47"/>
      <c r="RNQ596" s="46"/>
      <c r="RNR596" s="48"/>
      <c r="RNS596" s="53"/>
      <c r="RNZ596" s="15"/>
      <c r="ROA596" s="50"/>
      <c r="ROB596" s="50"/>
      <c r="ROC596" s="46"/>
      <c r="ROD596" s="47"/>
      <c r="ROE596" s="46"/>
      <c r="ROF596" s="48"/>
      <c r="ROG596" s="53"/>
      <c r="RON596" s="15"/>
      <c r="ROO596" s="50"/>
      <c r="ROP596" s="50"/>
      <c r="ROQ596" s="46"/>
      <c r="ROR596" s="47"/>
      <c r="ROS596" s="46"/>
      <c r="ROT596" s="48"/>
      <c r="ROU596" s="53"/>
      <c r="RPB596" s="15"/>
      <c r="RPC596" s="50"/>
      <c r="RPD596" s="50"/>
      <c r="RPE596" s="46"/>
      <c r="RPF596" s="47"/>
      <c r="RPG596" s="46"/>
      <c r="RPH596" s="48"/>
      <c r="RPI596" s="53"/>
      <c r="RPP596" s="15"/>
      <c r="RPQ596" s="50"/>
      <c r="RPR596" s="50"/>
      <c r="RPS596" s="46"/>
      <c r="RPT596" s="47"/>
      <c r="RPU596" s="46"/>
      <c r="RPV596" s="48"/>
      <c r="RPW596" s="53"/>
      <c r="RQD596" s="15"/>
      <c r="RQE596" s="50"/>
      <c r="RQF596" s="50"/>
      <c r="RQG596" s="46"/>
      <c r="RQH596" s="47"/>
      <c r="RQI596" s="46"/>
      <c r="RQJ596" s="48"/>
      <c r="RQK596" s="53"/>
      <c r="RQR596" s="15"/>
      <c r="RQS596" s="50"/>
      <c r="RQT596" s="50"/>
      <c r="RQU596" s="46"/>
      <c r="RQV596" s="47"/>
      <c r="RQW596" s="46"/>
      <c r="RQX596" s="48"/>
      <c r="RQY596" s="53"/>
      <c r="RRF596" s="15"/>
      <c r="RRG596" s="50"/>
      <c r="RRH596" s="50"/>
      <c r="RRI596" s="46"/>
      <c r="RRJ596" s="47"/>
      <c r="RRK596" s="46"/>
      <c r="RRL596" s="48"/>
      <c r="RRM596" s="53"/>
      <c r="RRT596" s="15"/>
      <c r="RRU596" s="50"/>
      <c r="RRV596" s="50"/>
      <c r="RRW596" s="46"/>
      <c r="RRX596" s="47"/>
      <c r="RRY596" s="46"/>
      <c r="RRZ596" s="48"/>
      <c r="RSA596" s="53"/>
      <c r="RSH596" s="15"/>
      <c r="RSI596" s="50"/>
      <c r="RSJ596" s="50"/>
      <c r="RSK596" s="46"/>
      <c r="RSL596" s="47"/>
      <c r="RSM596" s="46"/>
      <c r="RSN596" s="48"/>
      <c r="RSO596" s="53"/>
      <c r="RSV596" s="15"/>
      <c r="RSW596" s="50"/>
      <c r="RSX596" s="50"/>
      <c r="RSY596" s="46"/>
      <c r="RSZ596" s="47"/>
      <c r="RTA596" s="46"/>
      <c r="RTB596" s="48"/>
      <c r="RTC596" s="53"/>
      <c r="RTJ596" s="15"/>
      <c r="RTK596" s="50"/>
      <c r="RTL596" s="50"/>
      <c r="RTM596" s="46"/>
      <c r="RTN596" s="47"/>
      <c r="RTO596" s="46"/>
      <c r="RTP596" s="48"/>
      <c r="RTQ596" s="53"/>
      <c r="RTX596" s="15"/>
      <c r="RTY596" s="50"/>
      <c r="RTZ596" s="50"/>
      <c r="RUA596" s="46"/>
      <c r="RUB596" s="47"/>
      <c r="RUC596" s="46"/>
      <c r="RUD596" s="48"/>
      <c r="RUE596" s="53"/>
      <c r="RUL596" s="15"/>
      <c r="RUM596" s="50"/>
      <c r="RUN596" s="50"/>
      <c r="RUO596" s="46"/>
      <c r="RUP596" s="47"/>
      <c r="RUQ596" s="46"/>
      <c r="RUR596" s="48"/>
      <c r="RUS596" s="53"/>
      <c r="RUZ596" s="15"/>
      <c r="RVA596" s="50"/>
      <c r="RVB596" s="50"/>
      <c r="RVC596" s="46"/>
      <c r="RVD596" s="47"/>
      <c r="RVE596" s="46"/>
      <c r="RVF596" s="48"/>
      <c r="RVG596" s="53"/>
      <c r="RVN596" s="15"/>
      <c r="RVO596" s="50"/>
      <c r="RVP596" s="50"/>
      <c r="RVQ596" s="46"/>
      <c r="RVR596" s="47"/>
      <c r="RVS596" s="46"/>
      <c r="RVT596" s="48"/>
      <c r="RVU596" s="53"/>
      <c r="RWB596" s="15"/>
      <c r="RWC596" s="50"/>
      <c r="RWD596" s="50"/>
      <c r="RWE596" s="46"/>
      <c r="RWF596" s="47"/>
      <c r="RWG596" s="46"/>
      <c r="RWH596" s="48"/>
      <c r="RWI596" s="53"/>
      <c r="RWP596" s="15"/>
      <c r="RWQ596" s="50"/>
      <c r="RWR596" s="50"/>
      <c r="RWS596" s="46"/>
      <c r="RWT596" s="47"/>
      <c r="RWU596" s="46"/>
      <c r="RWV596" s="48"/>
      <c r="RWW596" s="53"/>
      <c r="RXD596" s="15"/>
      <c r="RXE596" s="50"/>
      <c r="RXF596" s="50"/>
      <c r="RXG596" s="46"/>
      <c r="RXH596" s="47"/>
      <c r="RXI596" s="46"/>
      <c r="RXJ596" s="48"/>
      <c r="RXK596" s="53"/>
      <c r="RXR596" s="15"/>
      <c r="RXS596" s="50"/>
      <c r="RXT596" s="50"/>
      <c r="RXU596" s="46"/>
      <c r="RXV596" s="47"/>
      <c r="RXW596" s="46"/>
      <c r="RXX596" s="48"/>
      <c r="RXY596" s="53"/>
      <c r="RYF596" s="15"/>
      <c r="RYG596" s="50"/>
      <c r="RYH596" s="50"/>
      <c r="RYI596" s="46"/>
      <c r="RYJ596" s="47"/>
      <c r="RYK596" s="46"/>
      <c r="RYL596" s="48"/>
      <c r="RYM596" s="53"/>
      <c r="RYT596" s="15"/>
      <c r="RYU596" s="50"/>
      <c r="RYV596" s="50"/>
      <c r="RYW596" s="46"/>
      <c r="RYX596" s="47"/>
      <c r="RYY596" s="46"/>
      <c r="RYZ596" s="48"/>
      <c r="RZA596" s="53"/>
      <c r="RZH596" s="15"/>
      <c r="RZI596" s="50"/>
      <c r="RZJ596" s="50"/>
      <c r="RZK596" s="46"/>
      <c r="RZL596" s="47"/>
      <c r="RZM596" s="46"/>
      <c r="RZN596" s="48"/>
      <c r="RZO596" s="53"/>
      <c r="RZV596" s="15"/>
      <c r="RZW596" s="50"/>
      <c r="RZX596" s="50"/>
      <c r="RZY596" s="46"/>
      <c r="RZZ596" s="47"/>
      <c r="SAA596" s="46"/>
      <c r="SAB596" s="48"/>
      <c r="SAC596" s="53"/>
      <c r="SAJ596" s="15"/>
      <c r="SAK596" s="50"/>
      <c r="SAL596" s="50"/>
      <c r="SAM596" s="46"/>
      <c r="SAN596" s="47"/>
      <c r="SAO596" s="46"/>
      <c r="SAP596" s="48"/>
      <c r="SAQ596" s="53"/>
      <c r="SAX596" s="15"/>
      <c r="SAY596" s="50"/>
      <c r="SAZ596" s="50"/>
      <c r="SBA596" s="46"/>
      <c r="SBB596" s="47"/>
      <c r="SBC596" s="46"/>
      <c r="SBD596" s="48"/>
      <c r="SBE596" s="53"/>
      <c r="SBL596" s="15"/>
      <c r="SBM596" s="50"/>
      <c r="SBN596" s="50"/>
      <c r="SBO596" s="46"/>
      <c r="SBP596" s="47"/>
      <c r="SBQ596" s="46"/>
      <c r="SBR596" s="48"/>
      <c r="SBS596" s="53"/>
      <c r="SBZ596" s="15"/>
      <c r="SCA596" s="50"/>
      <c r="SCB596" s="50"/>
      <c r="SCC596" s="46"/>
      <c r="SCD596" s="47"/>
      <c r="SCE596" s="46"/>
      <c r="SCF596" s="48"/>
      <c r="SCG596" s="53"/>
      <c r="SCN596" s="15"/>
      <c r="SCO596" s="50"/>
      <c r="SCP596" s="50"/>
      <c r="SCQ596" s="46"/>
      <c r="SCR596" s="47"/>
      <c r="SCS596" s="46"/>
      <c r="SCT596" s="48"/>
      <c r="SCU596" s="53"/>
      <c r="SDB596" s="15"/>
      <c r="SDC596" s="50"/>
      <c r="SDD596" s="50"/>
      <c r="SDE596" s="46"/>
      <c r="SDF596" s="47"/>
      <c r="SDG596" s="46"/>
      <c r="SDH596" s="48"/>
      <c r="SDI596" s="53"/>
      <c r="SDP596" s="15"/>
      <c r="SDQ596" s="50"/>
      <c r="SDR596" s="50"/>
      <c r="SDS596" s="46"/>
      <c r="SDT596" s="47"/>
      <c r="SDU596" s="46"/>
      <c r="SDV596" s="48"/>
      <c r="SDW596" s="53"/>
      <c r="SED596" s="15"/>
      <c r="SEE596" s="50"/>
      <c r="SEF596" s="50"/>
      <c r="SEG596" s="46"/>
      <c r="SEH596" s="47"/>
      <c r="SEI596" s="46"/>
      <c r="SEJ596" s="48"/>
      <c r="SEK596" s="53"/>
      <c r="SER596" s="15"/>
      <c r="SES596" s="50"/>
      <c r="SET596" s="50"/>
      <c r="SEU596" s="46"/>
      <c r="SEV596" s="47"/>
      <c r="SEW596" s="46"/>
      <c r="SEX596" s="48"/>
      <c r="SEY596" s="53"/>
      <c r="SFF596" s="15"/>
      <c r="SFG596" s="50"/>
      <c r="SFH596" s="50"/>
      <c r="SFI596" s="46"/>
      <c r="SFJ596" s="47"/>
      <c r="SFK596" s="46"/>
      <c r="SFL596" s="48"/>
      <c r="SFM596" s="53"/>
      <c r="SFT596" s="15"/>
      <c r="SFU596" s="50"/>
      <c r="SFV596" s="50"/>
      <c r="SFW596" s="46"/>
      <c r="SFX596" s="47"/>
      <c r="SFY596" s="46"/>
      <c r="SFZ596" s="48"/>
      <c r="SGA596" s="53"/>
      <c r="SGH596" s="15"/>
      <c r="SGI596" s="50"/>
      <c r="SGJ596" s="50"/>
      <c r="SGK596" s="46"/>
      <c r="SGL596" s="47"/>
      <c r="SGM596" s="46"/>
      <c r="SGN596" s="48"/>
      <c r="SGO596" s="53"/>
      <c r="SGV596" s="15"/>
      <c r="SGW596" s="50"/>
      <c r="SGX596" s="50"/>
      <c r="SGY596" s="46"/>
      <c r="SGZ596" s="47"/>
      <c r="SHA596" s="46"/>
      <c r="SHB596" s="48"/>
      <c r="SHC596" s="53"/>
      <c r="SHJ596" s="15"/>
      <c r="SHK596" s="50"/>
      <c r="SHL596" s="50"/>
      <c r="SHM596" s="46"/>
      <c r="SHN596" s="47"/>
      <c r="SHO596" s="46"/>
      <c r="SHP596" s="48"/>
      <c r="SHQ596" s="53"/>
      <c r="SHX596" s="15"/>
      <c r="SHY596" s="50"/>
      <c r="SHZ596" s="50"/>
      <c r="SIA596" s="46"/>
      <c r="SIB596" s="47"/>
      <c r="SIC596" s="46"/>
      <c r="SID596" s="48"/>
      <c r="SIE596" s="53"/>
      <c r="SIL596" s="15"/>
      <c r="SIM596" s="50"/>
      <c r="SIN596" s="50"/>
      <c r="SIO596" s="46"/>
      <c r="SIP596" s="47"/>
      <c r="SIQ596" s="46"/>
      <c r="SIR596" s="48"/>
      <c r="SIS596" s="53"/>
      <c r="SIZ596" s="15"/>
      <c r="SJA596" s="50"/>
      <c r="SJB596" s="50"/>
      <c r="SJC596" s="46"/>
      <c r="SJD596" s="47"/>
      <c r="SJE596" s="46"/>
      <c r="SJF596" s="48"/>
      <c r="SJG596" s="53"/>
      <c r="SJN596" s="15"/>
      <c r="SJO596" s="50"/>
      <c r="SJP596" s="50"/>
      <c r="SJQ596" s="46"/>
      <c r="SJR596" s="47"/>
      <c r="SJS596" s="46"/>
      <c r="SJT596" s="48"/>
      <c r="SJU596" s="53"/>
      <c r="SKB596" s="15"/>
      <c r="SKC596" s="50"/>
      <c r="SKD596" s="50"/>
      <c r="SKE596" s="46"/>
      <c r="SKF596" s="47"/>
      <c r="SKG596" s="46"/>
      <c r="SKH596" s="48"/>
      <c r="SKI596" s="53"/>
      <c r="SKP596" s="15"/>
      <c r="SKQ596" s="50"/>
      <c r="SKR596" s="50"/>
      <c r="SKS596" s="46"/>
      <c r="SKT596" s="47"/>
      <c r="SKU596" s="46"/>
      <c r="SKV596" s="48"/>
      <c r="SKW596" s="53"/>
      <c r="SLD596" s="15"/>
      <c r="SLE596" s="50"/>
      <c r="SLF596" s="50"/>
      <c r="SLG596" s="46"/>
      <c r="SLH596" s="47"/>
      <c r="SLI596" s="46"/>
      <c r="SLJ596" s="48"/>
      <c r="SLK596" s="53"/>
      <c r="SLR596" s="15"/>
      <c r="SLS596" s="50"/>
      <c r="SLT596" s="50"/>
      <c r="SLU596" s="46"/>
      <c r="SLV596" s="47"/>
      <c r="SLW596" s="46"/>
      <c r="SLX596" s="48"/>
      <c r="SLY596" s="53"/>
      <c r="SMF596" s="15"/>
      <c r="SMG596" s="50"/>
      <c r="SMH596" s="50"/>
      <c r="SMI596" s="46"/>
      <c r="SMJ596" s="47"/>
      <c r="SMK596" s="46"/>
      <c r="SML596" s="48"/>
      <c r="SMM596" s="53"/>
      <c r="SMT596" s="15"/>
      <c r="SMU596" s="50"/>
      <c r="SMV596" s="50"/>
      <c r="SMW596" s="46"/>
      <c r="SMX596" s="47"/>
      <c r="SMY596" s="46"/>
      <c r="SMZ596" s="48"/>
      <c r="SNA596" s="53"/>
      <c r="SNH596" s="15"/>
      <c r="SNI596" s="50"/>
      <c r="SNJ596" s="50"/>
      <c r="SNK596" s="46"/>
      <c r="SNL596" s="47"/>
      <c r="SNM596" s="46"/>
      <c r="SNN596" s="48"/>
      <c r="SNO596" s="53"/>
      <c r="SNV596" s="15"/>
      <c r="SNW596" s="50"/>
      <c r="SNX596" s="50"/>
      <c r="SNY596" s="46"/>
      <c r="SNZ596" s="47"/>
      <c r="SOA596" s="46"/>
      <c r="SOB596" s="48"/>
      <c r="SOC596" s="53"/>
      <c r="SOJ596" s="15"/>
      <c r="SOK596" s="50"/>
      <c r="SOL596" s="50"/>
      <c r="SOM596" s="46"/>
      <c r="SON596" s="47"/>
      <c r="SOO596" s="46"/>
      <c r="SOP596" s="48"/>
      <c r="SOQ596" s="53"/>
      <c r="SOX596" s="15"/>
      <c r="SOY596" s="50"/>
      <c r="SOZ596" s="50"/>
      <c r="SPA596" s="46"/>
      <c r="SPB596" s="47"/>
      <c r="SPC596" s="46"/>
      <c r="SPD596" s="48"/>
      <c r="SPE596" s="53"/>
      <c r="SPL596" s="15"/>
      <c r="SPM596" s="50"/>
      <c r="SPN596" s="50"/>
      <c r="SPO596" s="46"/>
      <c r="SPP596" s="47"/>
      <c r="SPQ596" s="46"/>
      <c r="SPR596" s="48"/>
      <c r="SPS596" s="53"/>
      <c r="SPZ596" s="15"/>
      <c r="SQA596" s="50"/>
      <c r="SQB596" s="50"/>
      <c r="SQC596" s="46"/>
      <c r="SQD596" s="47"/>
      <c r="SQE596" s="46"/>
      <c r="SQF596" s="48"/>
      <c r="SQG596" s="53"/>
      <c r="SQN596" s="15"/>
      <c r="SQO596" s="50"/>
      <c r="SQP596" s="50"/>
      <c r="SQQ596" s="46"/>
      <c r="SQR596" s="47"/>
      <c r="SQS596" s="46"/>
      <c r="SQT596" s="48"/>
      <c r="SQU596" s="53"/>
      <c r="SRB596" s="15"/>
      <c r="SRC596" s="50"/>
      <c r="SRD596" s="50"/>
      <c r="SRE596" s="46"/>
      <c r="SRF596" s="47"/>
      <c r="SRG596" s="46"/>
      <c r="SRH596" s="48"/>
      <c r="SRI596" s="53"/>
      <c r="SRP596" s="15"/>
      <c r="SRQ596" s="50"/>
      <c r="SRR596" s="50"/>
      <c r="SRS596" s="46"/>
      <c r="SRT596" s="47"/>
      <c r="SRU596" s="46"/>
      <c r="SRV596" s="48"/>
      <c r="SRW596" s="53"/>
      <c r="SSD596" s="15"/>
      <c r="SSE596" s="50"/>
      <c r="SSF596" s="50"/>
      <c r="SSG596" s="46"/>
      <c r="SSH596" s="47"/>
      <c r="SSI596" s="46"/>
      <c r="SSJ596" s="48"/>
      <c r="SSK596" s="53"/>
      <c r="SSR596" s="15"/>
      <c r="SSS596" s="50"/>
      <c r="SST596" s="50"/>
      <c r="SSU596" s="46"/>
      <c r="SSV596" s="47"/>
      <c r="SSW596" s="46"/>
      <c r="SSX596" s="48"/>
      <c r="SSY596" s="53"/>
      <c r="STF596" s="15"/>
      <c r="STG596" s="50"/>
      <c r="STH596" s="50"/>
      <c r="STI596" s="46"/>
      <c r="STJ596" s="47"/>
      <c r="STK596" s="46"/>
      <c r="STL596" s="48"/>
      <c r="STM596" s="53"/>
      <c r="STT596" s="15"/>
      <c r="STU596" s="50"/>
      <c r="STV596" s="50"/>
      <c r="STW596" s="46"/>
      <c r="STX596" s="47"/>
      <c r="STY596" s="46"/>
      <c r="STZ596" s="48"/>
      <c r="SUA596" s="53"/>
      <c r="SUH596" s="15"/>
      <c r="SUI596" s="50"/>
      <c r="SUJ596" s="50"/>
      <c r="SUK596" s="46"/>
      <c r="SUL596" s="47"/>
      <c r="SUM596" s="46"/>
      <c r="SUN596" s="48"/>
      <c r="SUO596" s="53"/>
      <c r="SUV596" s="15"/>
      <c r="SUW596" s="50"/>
      <c r="SUX596" s="50"/>
      <c r="SUY596" s="46"/>
      <c r="SUZ596" s="47"/>
      <c r="SVA596" s="46"/>
      <c r="SVB596" s="48"/>
      <c r="SVC596" s="53"/>
      <c r="SVJ596" s="15"/>
      <c r="SVK596" s="50"/>
      <c r="SVL596" s="50"/>
      <c r="SVM596" s="46"/>
      <c r="SVN596" s="47"/>
      <c r="SVO596" s="46"/>
      <c r="SVP596" s="48"/>
      <c r="SVQ596" s="53"/>
      <c r="SVX596" s="15"/>
      <c r="SVY596" s="50"/>
      <c r="SVZ596" s="50"/>
      <c r="SWA596" s="46"/>
      <c r="SWB596" s="47"/>
      <c r="SWC596" s="46"/>
      <c r="SWD596" s="48"/>
      <c r="SWE596" s="53"/>
      <c r="SWL596" s="15"/>
      <c r="SWM596" s="50"/>
      <c r="SWN596" s="50"/>
      <c r="SWO596" s="46"/>
      <c r="SWP596" s="47"/>
      <c r="SWQ596" s="46"/>
      <c r="SWR596" s="48"/>
      <c r="SWS596" s="53"/>
      <c r="SWZ596" s="15"/>
      <c r="SXA596" s="50"/>
      <c r="SXB596" s="50"/>
      <c r="SXC596" s="46"/>
      <c r="SXD596" s="47"/>
      <c r="SXE596" s="46"/>
      <c r="SXF596" s="48"/>
      <c r="SXG596" s="53"/>
      <c r="SXN596" s="15"/>
      <c r="SXO596" s="50"/>
      <c r="SXP596" s="50"/>
      <c r="SXQ596" s="46"/>
      <c r="SXR596" s="47"/>
      <c r="SXS596" s="46"/>
      <c r="SXT596" s="48"/>
      <c r="SXU596" s="53"/>
      <c r="SYB596" s="15"/>
      <c r="SYC596" s="50"/>
      <c r="SYD596" s="50"/>
      <c r="SYE596" s="46"/>
      <c r="SYF596" s="47"/>
      <c r="SYG596" s="46"/>
      <c r="SYH596" s="48"/>
      <c r="SYI596" s="53"/>
      <c r="SYP596" s="15"/>
      <c r="SYQ596" s="50"/>
      <c r="SYR596" s="50"/>
      <c r="SYS596" s="46"/>
      <c r="SYT596" s="47"/>
      <c r="SYU596" s="46"/>
      <c r="SYV596" s="48"/>
      <c r="SYW596" s="53"/>
      <c r="SZD596" s="15"/>
      <c r="SZE596" s="50"/>
      <c r="SZF596" s="50"/>
      <c r="SZG596" s="46"/>
      <c r="SZH596" s="47"/>
      <c r="SZI596" s="46"/>
      <c r="SZJ596" s="48"/>
      <c r="SZK596" s="53"/>
      <c r="SZR596" s="15"/>
      <c r="SZS596" s="50"/>
      <c r="SZT596" s="50"/>
      <c r="SZU596" s="46"/>
      <c r="SZV596" s="47"/>
      <c r="SZW596" s="46"/>
      <c r="SZX596" s="48"/>
      <c r="SZY596" s="53"/>
      <c r="TAF596" s="15"/>
      <c r="TAG596" s="50"/>
      <c r="TAH596" s="50"/>
      <c r="TAI596" s="46"/>
      <c r="TAJ596" s="47"/>
      <c r="TAK596" s="46"/>
      <c r="TAL596" s="48"/>
      <c r="TAM596" s="53"/>
      <c r="TAT596" s="15"/>
      <c r="TAU596" s="50"/>
      <c r="TAV596" s="50"/>
      <c r="TAW596" s="46"/>
      <c r="TAX596" s="47"/>
      <c r="TAY596" s="46"/>
      <c r="TAZ596" s="48"/>
      <c r="TBA596" s="53"/>
      <c r="TBH596" s="15"/>
      <c r="TBI596" s="50"/>
      <c r="TBJ596" s="50"/>
      <c r="TBK596" s="46"/>
      <c r="TBL596" s="47"/>
      <c r="TBM596" s="46"/>
      <c r="TBN596" s="48"/>
      <c r="TBO596" s="53"/>
      <c r="TBV596" s="15"/>
      <c r="TBW596" s="50"/>
      <c r="TBX596" s="50"/>
      <c r="TBY596" s="46"/>
      <c r="TBZ596" s="47"/>
      <c r="TCA596" s="46"/>
      <c r="TCB596" s="48"/>
      <c r="TCC596" s="53"/>
      <c r="TCJ596" s="15"/>
      <c r="TCK596" s="50"/>
      <c r="TCL596" s="50"/>
      <c r="TCM596" s="46"/>
      <c r="TCN596" s="47"/>
      <c r="TCO596" s="46"/>
      <c r="TCP596" s="48"/>
      <c r="TCQ596" s="53"/>
      <c r="TCX596" s="15"/>
      <c r="TCY596" s="50"/>
      <c r="TCZ596" s="50"/>
      <c r="TDA596" s="46"/>
      <c r="TDB596" s="47"/>
      <c r="TDC596" s="46"/>
      <c r="TDD596" s="48"/>
      <c r="TDE596" s="53"/>
      <c r="TDL596" s="15"/>
      <c r="TDM596" s="50"/>
      <c r="TDN596" s="50"/>
      <c r="TDO596" s="46"/>
      <c r="TDP596" s="47"/>
      <c r="TDQ596" s="46"/>
      <c r="TDR596" s="48"/>
      <c r="TDS596" s="53"/>
      <c r="TDZ596" s="15"/>
      <c r="TEA596" s="50"/>
      <c r="TEB596" s="50"/>
      <c r="TEC596" s="46"/>
      <c r="TED596" s="47"/>
      <c r="TEE596" s="46"/>
      <c r="TEF596" s="48"/>
      <c r="TEG596" s="53"/>
      <c r="TEN596" s="15"/>
      <c r="TEO596" s="50"/>
      <c r="TEP596" s="50"/>
      <c r="TEQ596" s="46"/>
      <c r="TER596" s="47"/>
      <c r="TES596" s="46"/>
      <c r="TET596" s="48"/>
      <c r="TEU596" s="53"/>
      <c r="TFB596" s="15"/>
      <c r="TFC596" s="50"/>
      <c r="TFD596" s="50"/>
      <c r="TFE596" s="46"/>
      <c r="TFF596" s="47"/>
      <c r="TFG596" s="46"/>
      <c r="TFH596" s="48"/>
      <c r="TFI596" s="53"/>
      <c r="TFP596" s="15"/>
      <c r="TFQ596" s="50"/>
      <c r="TFR596" s="50"/>
      <c r="TFS596" s="46"/>
      <c r="TFT596" s="47"/>
      <c r="TFU596" s="46"/>
      <c r="TFV596" s="48"/>
      <c r="TFW596" s="53"/>
      <c r="TGD596" s="15"/>
      <c r="TGE596" s="50"/>
      <c r="TGF596" s="50"/>
      <c r="TGG596" s="46"/>
      <c r="TGH596" s="47"/>
      <c r="TGI596" s="46"/>
      <c r="TGJ596" s="48"/>
      <c r="TGK596" s="53"/>
      <c r="TGR596" s="15"/>
      <c r="TGS596" s="50"/>
      <c r="TGT596" s="50"/>
      <c r="TGU596" s="46"/>
      <c r="TGV596" s="47"/>
      <c r="TGW596" s="46"/>
      <c r="TGX596" s="48"/>
      <c r="TGY596" s="53"/>
      <c r="THF596" s="15"/>
      <c r="THG596" s="50"/>
      <c r="THH596" s="50"/>
      <c r="THI596" s="46"/>
      <c r="THJ596" s="47"/>
      <c r="THK596" s="46"/>
      <c r="THL596" s="48"/>
      <c r="THM596" s="53"/>
      <c r="THT596" s="15"/>
      <c r="THU596" s="50"/>
      <c r="THV596" s="50"/>
      <c r="THW596" s="46"/>
      <c r="THX596" s="47"/>
      <c r="THY596" s="46"/>
      <c r="THZ596" s="48"/>
      <c r="TIA596" s="53"/>
      <c r="TIH596" s="15"/>
      <c r="TII596" s="50"/>
      <c r="TIJ596" s="50"/>
      <c r="TIK596" s="46"/>
      <c r="TIL596" s="47"/>
      <c r="TIM596" s="46"/>
      <c r="TIN596" s="48"/>
      <c r="TIO596" s="53"/>
      <c r="TIV596" s="15"/>
      <c r="TIW596" s="50"/>
      <c r="TIX596" s="50"/>
      <c r="TIY596" s="46"/>
      <c r="TIZ596" s="47"/>
      <c r="TJA596" s="46"/>
      <c r="TJB596" s="48"/>
      <c r="TJC596" s="53"/>
      <c r="TJJ596" s="15"/>
      <c r="TJK596" s="50"/>
      <c r="TJL596" s="50"/>
      <c r="TJM596" s="46"/>
      <c r="TJN596" s="47"/>
      <c r="TJO596" s="46"/>
      <c r="TJP596" s="48"/>
      <c r="TJQ596" s="53"/>
      <c r="TJX596" s="15"/>
      <c r="TJY596" s="50"/>
      <c r="TJZ596" s="50"/>
      <c r="TKA596" s="46"/>
      <c r="TKB596" s="47"/>
      <c r="TKC596" s="46"/>
      <c r="TKD596" s="48"/>
      <c r="TKE596" s="53"/>
      <c r="TKL596" s="15"/>
      <c r="TKM596" s="50"/>
      <c r="TKN596" s="50"/>
      <c r="TKO596" s="46"/>
      <c r="TKP596" s="47"/>
      <c r="TKQ596" s="46"/>
      <c r="TKR596" s="48"/>
      <c r="TKS596" s="53"/>
      <c r="TKZ596" s="15"/>
      <c r="TLA596" s="50"/>
      <c r="TLB596" s="50"/>
      <c r="TLC596" s="46"/>
      <c r="TLD596" s="47"/>
      <c r="TLE596" s="46"/>
      <c r="TLF596" s="48"/>
      <c r="TLG596" s="53"/>
      <c r="TLN596" s="15"/>
      <c r="TLO596" s="50"/>
      <c r="TLP596" s="50"/>
      <c r="TLQ596" s="46"/>
      <c r="TLR596" s="47"/>
      <c r="TLS596" s="46"/>
      <c r="TLT596" s="48"/>
      <c r="TLU596" s="53"/>
      <c r="TMB596" s="15"/>
      <c r="TMC596" s="50"/>
      <c r="TMD596" s="50"/>
      <c r="TME596" s="46"/>
      <c r="TMF596" s="47"/>
      <c r="TMG596" s="46"/>
      <c r="TMH596" s="48"/>
      <c r="TMI596" s="53"/>
      <c r="TMP596" s="15"/>
      <c r="TMQ596" s="50"/>
      <c r="TMR596" s="50"/>
      <c r="TMS596" s="46"/>
      <c r="TMT596" s="47"/>
      <c r="TMU596" s="46"/>
      <c r="TMV596" s="48"/>
      <c r="TMW596" s="53"/>
      <c r="TND596" s="15"/>
      <c r="TNE596" s="50"/>
      <c r="TNF596" s="50"/>
      <c r="TNG596" s="46"/>
      <c r="TNH596" s="47"/>
      <c r="TNI596" s="46"/>
      <c r="TNJ596" s="48"/>
      <c r="TNK596" s="53"/>
      <c r="TNR596" s="15"/>
      <c r="TNS596" s="50"/>
      <c r="TNT596" s="50"/>
      <c r="TNU596" s="46"/>
      <c r="TNV596" s="47"/>
      <c r="TNW596" s="46"/>
      <c r="TNX596" s="48"/>
      <c r="TNY596" s="53"/>
      <c r="TOF596" s="15"/>
      <c r="TOG596" s="50"/>
      <c r="TOH596" s="50"/>
      <c r="TOI596" s="46"/>
      <c r="TOJ596" s="47"/>
      <c r="TOK596" s="46"/>
      <c r="TOL596" s="48"/>
      <c r="TOM596" s="53"/>
      <c r="TOT596" s="15"/>
      <c r="TOU596" s="50"/>
      <c r="TOV596" s="50"/>
      <c r="TOW596" s="46"/>
      <c r="TOX596" s="47"/>
      <c r="TOY596" s="46"/>
      <c r="TOZ596" s="48"/>
      <c r="TPA596" s="53"/>
      <c r="TPH596" s="15"/>
      <c r="TPI596" s="50"/>
      <c r="TPJ596" s="50"/>
      <c r="TPK596" s="46"/>
      <c r="TPL596" s="47"/>
      <c r="TPM596" s="46"/>
      <c r="TPN596" s="48"/>
      <c r="TPO596" s="53"/>
      <c r="TPV596" s="15"/>
      <c r="TPW596" s="50"/>
      <c r="TPX596" s="50"/>
      <c r="TPY596" s="46"/>
      <c r="TPZ596" s="47"/>
      <c r="TQA596" s="46"/>
      <c r="TQB596" s="48"/>
      <c r="TQC596" s="53"/>
      <c r="TQJ596" s="15"/>
      <c r="TQK596" s="50"/>
      <c r="TQL596" s="50"/>
      <c r="TQM596" s="46"/>
      <c r="TQN596" s="47"/>
      <c r="TQO596" s="46"/>
      <c r="TQP596" s="48"/>
      <c r="TQQ596" s="53"/>
      <c r="TQX596" s="15"/>
      <c r="TQY596" s="50"/>
      <c r="TQZ596" s="50"/>
      <c r="TRA596" s="46"/>
      <c r="TRB596" s="47"/>
      <c r="TRC596" s="46"/>
      <c r="TRD596" s="48"/>
      <c r="TRE596" s="53"/>
      <c r="TRL596" s="15"/>
      <c r="TRM596" s="50"/>
      <c r="TRN596" s="50"/>
      <c r="TRO596" s="46"/>
      <c r="TRP596" s="47"/>
      <c r="TRQ596" s="46"/>
      <c r="TRR596" s="48"/>
      <c r="TRS596" s="53"/>
      <c r="TRZ596" s="15"/>
      <c r="TSA596" s="50"/>
      <c r="TSB596" s="50"/>
      <c r="TSC596" s="46"/>
      <c r="TSD596" s="47"/>
      <c r="TSE596" s="46"/>
      <c r="TSF596" s="48"/>
      <c r="TSG596" s="53"/>
      <c r="TSN596" s="15"/>
      <c r="TSO596" s="50"/>
      <c r="TSP596" s="50"/>
      <c r="TSQ596" s="46"/>
      <c r="TSR596" s="47"/>
      <c r="TSS596" s="46"/>
      <c r="TST596" s="48"/>
      <c r="TSU596" s="53"/>
      <c r="TTB596" s="15"/>
      <c r="TTC596" s="50"/>
      <c r="TTD596" s="50"/>
      <c r="TTE596" s="46"/>
      <c r="TTF596" s="47"/>
      <c r="TTG596" s="46"/>
      <c r="TTH596" s="48"/>
      <c r="TTI596" s="53"/>
      <c r="TTP596" s="15"/>
      <c r="TTQ596" s="50"/>
      <c r="TTR596" s="50"/>
      <c r="TTS596" s="46"/>
      <c r="TTT596" s="47"/>
      <c r="TTU596" s="46"/>
      <c r="TTV596" s="48"/>
      <c r="TTW596" s="53"/>
      <c r="TUD596" s="15"/>
      <c r="TUE596" s="50"/>
      <c r="TUF596" s="50"/>
      <c r="TUG596" s="46"/>
      <c r="TUH596" s="47"/>
      <c r="TUI596" s="46"/>
      <c r="TUJ596" s="48"/>
      <c r="TUK596" s="53"/>
      <c r="TUR596" s="15"/>
      <c r="TUS596" s="50"/>
      <c r="TUT596" s="50"/>
      <c r="TUU596" s="46"/>
      <c r="TUV596" s="47"/>
      <c r="TUW596" s="46"/>
      <c r="TUX596" s="48"/>
      <c r="TUY596" s="53"/>
      <c r="TVF596" s="15"/>
      <c r="TVG596" s="50"/>
      <c r="TVH596" s="50"/>
      <c r="TVI596" s="46"/>
      <c r="TVJ596" s="47"/>
      <c r="TVK596" s="46"/>
      <c r="TVL596" s="48"/>
      <c r="TVM596" s="53"/>
      <c r="TVT596" s="15"/>
      <c r="TVU596" s="50"/>
      <c r="TVV596" s="50"/>
      <c r="TVW596" s="46"/>
      <c r="TVX596" s="47"/>
      <c r="TVY596" s="46"/>
      <c r="TVZ596" s="48"/>
      <c r="TWA596" s="53"/>
      <c r="TWH596" s="15"/>
      <c r="TWI596" s="50"/>
      <c r="TWJ596" s="50"/>
      <c r="TWK596" s="46"/>
      <c r="TWL596" s="47"/>
      <c r="TWM596" s="46"/>
      <c r="TWN596" s="48"/>
      <c r="TWO596" s="53"/>
      <c r="TWV596" s="15"/>
      <c r="TWW596" s="50"/>
      <c r="TWX596" s="50"/>
      <c r="TWY596" s="46"/>
      <c r="TWZ596" s="47"/>
      <c r="TXA596" s="46"/>
      <c r="TXB596" s="48"/>
      <c r="TXC596" s="53"/>
      <c r="TXJ596" s="15"/>
      <c r="TXK596" s="50"/>
      <c r="TXL596" s="50"/>
      <c r="TXM596" s="46"/>
      <c r="TXN596" s="47"/>
      <c r="TXO596" s="46"/>
      <c r="TXP596" s="48"/>
      <c r="TXQ596" s="53"/>
      <c r="TXX596" s="15"/>
      <c r="TXY596" s="50"/>
      <c r="TXZ596" s="50"/>
      <c r="TYA596" s="46"/>
      <c r="TYB596" s="47"/>
      <c r="TYC596" s="46"/>
      <c r="TYD596" s="48"/>
      <c r="TYE596" s="53"/>
      <c r="TYL596" s="15"/>
      <c r="TYM596" s="50"/>
      <c r="TYN596" s="50"/>
      <c r="TYO596" s="46"/>
      <c r="TYP596" s="47"/>
      <c r="TYQ596" s="46"/>
      <c r="TYR596" s="48"/>
      <c r="TYS596" s="53"/>
      <c r="TYZ596" s="15"/>
      <c r="TZA596" s="50"/>
      <c r="TZB596" s="50"/>
      <c r="TZC596" s="46"/>
      <c r="TZD596" s="47"/>
      <c r="TZE596" s="46"/>
      <c r="TZF596" s="48"/>
      <c r="TZG596" s="53"/>
      <c r="TZN596" s="15"/>
      <c r="TZO596" s="50"/>
      <c r="TZP596" s="50"/>
      <c r="TZQ596" s="46"/>
      <c r="TZR596" s="47"/>
      <c r="TZS596" s="46"/>
      <c r="TZT596" s="48"/>
      <c r="TZU596" s="53"/>
      <c r="UAB596" s="15"/>
      <c r="UAC596" s="50"/>
      <c r="UAD596" s="50"/>
      <c r="UAE596" s="46"/>
      <c r="UAF596" s="47"/>
      <c r="UAG596" s="46"/>
      <c r="UAH596" s="48"/>
      <c r="UAI596" s="53"/>
      <c r="UAP596" s="15"/>
      <c r="UAQ596" s="50"/>
      <c r="UAR596" s="50"/>
      <c r="UAS596" s="46"/>
      <c r="UAT596" s="47"/>
      <c r="UAU596" s="46"/>
      <c r="UAV596" s="48"/>
      <c r="UAW596" s="53"/>
      <c r="UBD596" s="15"/>
      <c r="UBE596" s="50"/>
      <c r="UBF596" s="50"/>
      <c r="UBG596" s="46"/>
      <c r="UBH596" s="47"/>
      <c r="UBI596" s="46"/>
      <c r="UBJ596" s="48"/>
      <c r="UBK596" s="53"/>
      <c r="UBR596" s="15"/>
      <c r="UBS596" s="50"/>
      <c r="UBT596" s="50"/>
      <c r="UBU596" s="46"/>
      <c r="UBV596" s="47"/>
      <c r="UBW596" s="46"/>
      <c r="UBX596" s="48"/>
      <c r="UBY596" s="53"/>
      <c r="UCF596" s="15"/>
      <c r="UCG596" s="50"/>
      <c r="UCH596" s="50"/>
      <c r="UCI596" s="46"/>
      <c r="UCJ596" s="47"/>
      <c r="UCK596" s="46"/>
      <c r="UCL596" s="48"/>
      <c r="UCM596" s="53"/>
      <c r="UCT596" s="15"/>
      <c r="UCU596" s="50"/>
      <c r="UCV596" s="50"/>
      <c r="UCW596" s="46"/>
      <c r="UCX596" s="47"/>
      <c r="UCY596" s="46"/>
      <c r="UCZ596" s="48"/>
      <c r="UDA596" s="53"/>
      <c r="UDH596" s="15"/>
      <c r="UDI596" s="50"/>
      <c r="UDJ596" s="50"/>
      <c r="UDK596" s="46"/>
      <c r="UDL596" s="47"/>
      <c r="UDM596" s="46"/>
      <c r="UDN596" s="48"/>
      <c r="UDO596" s="53"/>
      <c r="UDV596" s="15"/>
      <c r="UDW596" s="50"/>
      <c r="UDX596" s="50"/>
      <c r="UDY596" s="46"/>
      <c r="UDZ596" s="47"/>
      <c r="UEA596" s="46"/>
      <c r="UEB596" s="48"/>
      <c r="UEC596" s="53"/>
      <c r="UEJ596" s="15"/>
      <c r="UEK596" s="50"/>
      <c r="UEL596" s="50"/>
      <c r="UEM596" s="46"/>
      <c r="UEN596" s="47"/>
      <c r="UEO596" s="46"/>
      <c r="UEP596" s="48"/>
      <c r="UEQ596" s="53"/>
      <c r="UEX596" s="15"/>
      <c r="UEY596" s="50"/>
      <c r="UEZ596" s="50"/>
      <c r="UFA596" s="46"/>
      <c r="UFB596" s="47"/>
      <c r="UFC596" s="46"/>
      <c r="UFD596" s="48"/>
      <c r="UFE596" s="53"/>
      <c r="UFL596" s="15"/>
      <c r="UFM596" s="50"/>
      <c r="UFN596" s="50"/>
      <c r="UFO596" s="46"/>
      <c r="UFP596" s="47"/>
      <c r="UFQ596" s="46"/>
      <c r="UFR596" s="48"/>
      <c r="UFS596" s="53"/>
      <c r="UFZ596" s="15"/>
      <c r="UGA596" s="50"/>
      <c r="UGB596" s="50"/>
      <c r="UGC596" s="46"/>
      <c r="UGD596" s="47"/>
      <c r="UGE596" s="46"/>
      <c r="UGF596" s="48"/>
      <c r="UGG596" s="53"/>
      <c r="UGN596" s="15"/>
      <c r="UGO596" s="50"/>
      <c r="UGP596" s="50"/>
      <c r="UGQ596" s="46"/>
      <c r="UGR596" s="47"/>
      <c r="UGS596" s="46"/>
      <c r="UGT596" s="48"/>
      <c r="UGU596" s="53"/>
      <c r="UHB596" s="15"/>
      <c r="UHC596" s="50"/>
      <c r="UHD596" s="50"/>
      <c r="UHE596" s="46"/>
      <c r="UHF596" s="47"/>
      <c r="UHG596" s="46"/>
      <c r="UHH596" s="48"/>
      <c r="UHI596" s="53"/>
      <c r="UHP596" s="15"/>
      <c r="UHQ596" s="50"/>
      <c r="UHR596" s="50"/>
      <c r="UHS596" s="46"/>
      <c r="UHT596" s="47"/>
      <c r="UHU596" s="46"/>
      <c r="UHV596" s="48"/>
      <c r="UHW596" s="53"/>
      <c r="UID596" s="15"/>
      <c r="UIE596" s="50"/>
      <c r="UIF596" s="50"/>
      <c r="UIG596" s="46"/>
      <c r="UIH596" s="47"/>
      <c r="UII596" s="46"/>
      <c r="UIJ596" s="48"/>
      <c r="UIK596" s="53"/>
      <c r="UIR596" s="15"/>
      <c r="UIS596" s="50"/>
      <c r="UIT596" s="50"/>
      <c r="UIU596" s="46"/>
      <c r="UIV596" s="47"/>
      <c r="UIW596" s="46"/>
      <c r="UIX596" s="48"/>
      <c r="UIY596" s="53"/>
      <c r="UJF596" s="15"/>
      <c r="UJG596" s="50"/>
      <c r="UJH596" s="50"/>
      <c r="UJI596" s="46"/>
      <c r="UJJ596" s="47"/>
      <c r="UJK596" s="46"/>
      <c r="UJL596" s="48"/>
      <c r="UJM596" s="53"/>
      <c r="UJT596" s="15"/>
      <c r="UJU596" s="50"/>
      <c r="UJV596" s="50"/>
      <c r="UJW596" s="46"/>
      <c r="UJX596" s="47"/>
      <c r="UJY596" s="46"/>
      <c r="UJZ596" s="48"/>
      <c r="UKA596" s="53"/>
      <c r="UKH596" s="15"/>
      <c r="UKI596" s="50"/>
      <c r="UKJ596" s="50"/>
      <c r="UKK596" s="46"/>
      <c r="UKL596" s="47"/>
      <c r="UKM596" s="46"/>
      <c r="UKN596" s="48"/>
      <c r="UKO596" s="53"/>
      <c r="UKV596" s="15"/>
      <c r="UKW596" s="50"/>
      <c r="UKX596" s="50"/>
      <c r="UKY596" s="46"/>
      <c r="UKZ596" s="47"/>
      <c r="ULA596" s="46"/>
      <c r="ULB596" s="48"/>
      <c r="ULC596" s="53"/>
      <c r="ULJ596" s="15"/>
      <c r="ULK596" s="50"/>
      <c r="ULL596" s="50"/>
      <c r="ULM596" s="46"/>
      <c r="ULN596" s="47"/>
      <c r="ULO596" s="46"/>
      <c r="ULP596" s="48"/>
      <c r="ULQ596" s="53"/>
      <c r="ULX596" s="15"/>
      <c r="ULY596" s="50"/>
      <c r="ULZ596" s="50"/>
      <c r="UMA596" s="46"/>
      <c r="UMB596" s="47"/>
      <c r="UMC596" s="46"/>
      <c r="UMD596" s="48"/>
      <c r="UME596" s="53"/>
      <c r="UML596" s="15"/>
      <c r="UMM596" s="50"/>
      <c r="UMN596" s="50"/>
      <c r="UMO596" s="46"/>
      <c r="UMP596" s="47"/>
      <c r="UMQ596" s="46"/>
      <c r="UMR596" s="48"/>
      <c r="UMS596" s="53"/>
      <c r="UMZ596" s="15"/>
      <c r="UNA596" s="50"/>
      <c r="UNB596" s="50"/>
      <c r="UNC596" s="46"/>
      <c r="UND596" s="47"/>
      <c r="UNE596" s="46"/>
      <c r="UNF596" s="48"/>
      <c r="UNG596" s="53"/>
      <c r="UNN596" s="15"/>
      <c r="UNO596" s="50"/>
      <c r="UNP596" s="50"/>
      <c r="UNQ596" s="46"/>
      <c r="UNR596" s="47"/>
      <c r="UNS596" s="46"/>
      <c r="UNT596" s="48"/>
      <c r="UNU596" s="53"/>
      <c r="UOB596" s="15"/>
      <c r="UOC596" s="50"/>
      <c r="UOD596" s="50"/>
      <c r="UOE596" s="46"/>
      <c r="UOF596" s="47"/>
      <c r="UOG596" s="46"/>
      <c r="UOH596" s="48"/>
      <c r="UOI596" s="53"/>
      <c r="UOP596" s="15"/>
      <c r="UOQ596" s="50"/>
      <c r="UOR596" s="50"/>
      <c r="UOS596" s="46"/>
      <c r="UOT596" s="47"/>
      <c r="UOU596" s="46"/>
      <c r="UOV596" s="48"/>
      <c r="UOW596" s="53"/>
      <c r="UPD596" s="15"/>
      <c r="UPE596" s="50"/>
      <c r="UPF596" s="50"/>
      <c r="UPG596" s="46"/>
      <c r="UPH596" s="47"/>
      <c r="UPI596" s="46"/>
      <c r="UPJ596" s="48"/>
      <c r="UPK596" s="53"/>
      <c r="UPR596" s="15"/>
      <c r="UPS596" s="50"/>
      <c r="UPT596" s="50"/>
      <c r="UPU596" s="46"/>
      <c r="UPV596" s="47"/>
      <c r="UPW596" s="46"/>
      <c r="UPX596" s="48"/>
      <c r="UPY596" s="53"/>
      <c r="UQF596" s="15"/>
      <c r="UQG596" s="50"/>
      <c r="UQH596" s="50"/>
      <c r="UQI596" s="46"/>
      <c r="UQJ596" s="47"/>
      <c r="UQK596" s="46"/>
      <c r="UQL596" s="48"/>
      <c r="UQM596" s="53"/>
      <c r="UQT596" s="15"/>
      <c r="UQU596" s="50"/>
      <c r="UQV596" s="50"/>
      <c r="UQW596" s="46"/>
      <c r="UQX596" s="47"/>
      <c r="UQY596" s="46"/>
      <c r="UQZ596" s="48"/>
      <c r="URA596" s="53"/>
      <c r="URH596" s="15"/>
      <c r="URI596" s="50"/>
      <c r="URJ596" s="50"/>
      <c r="URK596" s="46"/>
      <c r="URL596" s="47"/>
      <c r="URM596" s="46"/>
      <c r="URN596" s="48"/>
      <c r="URO596" s="53"/>
      <c r="URV596" s="15"/>
      <c r="URW596" s="50"/>
      <c r="URX596" s="50"/>
      <c r="URY596" s="46"/>
      <c r="URZ596" s="47"/>
      <c r="USA596" s="46"/>
      <c r="USB596" s="48"/>
      <c r="USC596" s="53"/>
      <c r="USJ596" s="15"/>
      <c r="USK596" s="50"/>
      <c r="USL596" s="50"/>
      <c r="USM596" s="46"/>
      <c r="USN596" s="47"/>
      <c r="USO596" s="46"/>
      <c r="USP596" s="48"/>
      <c r="USQ596" s="53"/>
      <c r="USX596" s="15"/>
      <c r="USY596" s="50"/>
      <c r="USZ596" s="50"/>
      <c r="UTA596" s="46"/>
      <c r="UTB596" s="47"/>
      <c r="UTC596" s="46"/>
      <c r="UTD596" s="48"/>
      <c r="UTE596" s="53"/>
      <c r="UTL596" s="15"/>
      <c r="UTM596" s="50"/>
      <c r="UTN596" s="50"/>
      <c r="UTO596" s="46"/>
      <c r="UTP596" s="47"/>
      <c r="UTQ596" s="46"/>
      <c r="UTR596" s="48"/>
      <c r="UTS596" s="53"/>
      <c r="UTZ596" s="15"/>
      <c r="UUA596" s="50"/>
      <c r="UUB596" s="50"/>
      <c r="UUC596" s="46"/>
      <c r="UUD596" s="47"/>
      <c r="UUE596" s="46"/>
      <c r="UUF596" s="48"/>
      <c r="UUG596" s="53"/>
      <c r="UUN596" s="15"/>
      <c r="UUO596" s="50"/>
      <c r="UUP596" s="50"/>
      <c r="UUQ596" s="46"/>
      <c r="UUR596" s="47"/>
      <c r="UUS596" s="46"/>
      <c r="UUT596" s="48"/>
      <c r="UUU596" s="53"/>
      <c r="UVB596" s="15"/>
      <c r="UVC596" s="50"/>
      <c r="UVD596" s="50"/>
      <c r="UVE596" s="46"/>
      <c r="UVF596" s="47"/>
      <c r="UVG596" s="46"/>
      <c r="UVH596" s="48"/>
      <c r="UVI596" s="53"/>
      <c r="UVP596" s="15"/>
      <c r="UVQ596" s="50"/>
      <c r="UVR596" s="50"/>
      <c r="UVS596" s="46"/>
      <c r="UVT596" s="47"/>
      <c r="UVU596" s="46"/>
      <c r="UVV596" s="48"/>
      <c r="UVW596" s="53"/>
      <c r="UWD596" s="15"/>
      <c r="UWE596" s="50"/>
      <c r="UWF596" s="50"/>
      <c r="UWG596" s="46"/>
      <c r="UWH596" s="47"/>
      <c r="UWI596" s="46"/>
      <c r="UWJ596" s="48"/>
      <c r="UWK596" s="53"/>
      <c r="UWR596" s="15"/>
      <c r="UWS596" s="50"/>
      <c r="UWT596" s="50"/>
      <c r="UWU596" s="46"/>
      <c r="UWV596" s="47"/>
      <c r="UWW596" s="46"/>
      <c r="UWX596" s="48"/>
      <c r="UWY596" s="53"/>
      <c r="UXF596" s="15"/>
      <c r="UXG596" s="50"/>
      <c r="UXH596" s="50"/>
      <c r="UXI596" s="46"/>
      <c r="UXJ596" s="47"/>
      <c r="UXK596" s="46"/>
      <c r="UXL596" s="48"/>
      <c r="UXM596" s="53"/>
      <c r="UXT596" s="15"/>
      <c r="UXU596" s="50"/>
      <c r="UXV596" s="50"/>
      <c r="UXW596" s="46"/>
      <c r="UXX596" s="47"/>
      <c r="UXY596" s="46"/>
      <c r="UXZ596" s="48"/>
      <c r="UYA596" s="53"/>
      <c r="UYH596" s="15"/>
      <c r="UYI596" s="50"/>
      <c r="UYJ596" s="50"/>
      <c r="UYK596" s="46"/>
      <c r="UYL596" s="47"/>
      <c r="UYM596" s="46"/>
      <c r="UYN596" s="48"/>
      <c r="UYO596" s="53"/>
      <c r="UYV596" s="15"/>
      <c r="UYW596" s="50"/>
      <c r="UYX596" s="50"/>
      <c r="UYY596" s="46"/>
      <c r="UYZ596" s="47"/>
      <c r="UZA596" s="46"/>
      <c r="UZB596" s="48"/>
      <c r="UZC596" s="53"/>
      <c r="UZJ596" s="15"/>
      <c r="UZK596" s="50"/>
      <c r="UZL596" s="50"/>
      <c r="UZM596" s="46"/>
      <c r="UZN596" s="47"/>
      <c r="UZO596" s="46"/>
      <c r="UZP596" s="48"/>
      <c r="UZQ596" s="53"/>
      <c r="UZX596" s="15"/>
      <c r="UZY596" s="50"/>
      <c r="UZZ596" s="50"/>
      <c r="VAA596" s="46"/>
      <c r="VAB596" s="47"/>
      <c r="VAC596" s="46"/>
      <c r="VAD596" s="48"/>
      <c r="VAE596" s="53"/>
      <c r="VAL596" s="15"/>
      <c r="VAM596" s="50"/>
      <c r="VAN596" s="50"/>
      <c r="VAO596" s="46"/>
      <c r="VAP596" s="47"/>
      <c r="VAQ596" s="46"/>
      <c r="VAR596" s="48"/>
      <c r="VAS596" s="53"/>
      <c r="VAZ596" s="15"/>
      <c r="VBA596" s="50"/>
      <c r="VBB596" s="50"/>
      <c r="VBC596" s="46"/>
      <c r="VBD596" s="47"/>
      <c r="VBE596" s="46"/>
      <c r="VBF596" s="48"/>
      <c r="VBG596" s="53"/>
      <c r="VBN596" s="15"/>
      <c r="VBO596" s="50"/>
      <c r="VBP596" s="50"/>
      <c r="VBQ596" s="46"/>
      <c r="VBR596" s="47"/>
      <c r="VBS596" s="46"/>
      <c r="VBT596" s="48"/>
      <c r="VBU596" s="53"/>
      <c r="VCB596" s="15"/>
      <c r="VCC596" s="50"/>
      <c r="VCD596" s="50"/>
      <c r="VCE596" s="46"/>
      <c r="VCF596" s="47"/>
      <c r="VCG596" s="46"/>
      <c r="VCH596" s="48"/>
      <c r="VCI596" s="53"/>
      <c r="VCP596" s="15"/>
      <c r="VCQ596" s="50"/>
      <c r="VCR596" s="50"/>
      <c r="VCS596" s="46"/>
      <c r="VCT596" s="47"/>
      <c r="VCU596" s="46"/>
      <c r="VCV596" s="48"/>
      <c r="VCW596" s="53"/>
      <c r="VDD596" s="15"/>
      <c r="VDE596" s="50"/>
      <c r="VDF596" s="50"/>
      <c r="VDG596" s="46"/>
      <c r="VDH596" s="47"/>
      <c r="VDI596" s="46"/>
      <c r="VDJ596" s="48"/>
      <c r="VDK596" s="53"/>
      <c r="VDR596" s="15"/>
      <c r="VDS596" s="50"/>
      <c r="VDT596" s="50"/>
      <c r="VDU596" s="46"/>
      <c r="VDV596" s="47"/>
      <c r="VDW596" s="46"/>
      <c r="VDX596" s="48"/>
      <c r="VDY596" s="53"/>
      <c r="VEF596" s="15"/>
      <c r="VEG596" s="50"/>
      <c r="VEH596" s="50"/>
      <c r="VEI596" s="46"/>
      <c r="VEJ596" s="47"/>
      <c r="VEK596" s="46"/>
      <c r="VEL596" s="48"/>
      <c r="VEM596" s="53"/>
      <c r="VET596" s="15"/>
      <c r="VEU596" s="50"/>
      <c r="VEV596" s="50"/>
      <c r="VEW596" s="46"/>
      <c r="VEX596" s="47"/>
      <c r="VEY596" s="46"/>
      <c r="VEZ596" s="48"/>
      <c r="VFA596" s="53"/>
      <c r="VFH596" s="15"/>
      <c r="VFI596" s="50"/>
      <c r="VFJ596" s="50"/>
      <c r="VFK596" s="46"/>
      <c r="VFL596" s="47"/>
      <c r="VFM596" s="46"/>
      <c r="VFN596" s="48"/>
      <c r="VFO596" s="53"/>
      <c r="VFV596" s="15"/>
      <c r="VFW596" s="50"/>
      <c r="VFX596" s="50"/>
      <c r="VFY596" s="46"/>
      <c r="VFZ596" s="47"/>
      <c r="VGA596" s="46"/>
      <c r="VGB596" s="48"/>
      <c r="VGC596" s="53"/>
      <c r="VGJ596" s="15"/>
      <c r="VGK596" s="50"/>
      <c r="VGL596" s="50"/>
      <c r="VGM596" s="46"/>
      <c r="VGN596" s="47"/>
      <c r="VGO596" s="46"/>
      <c r="VGP596" s="48"/>
      <c r="VGQ596" s="53"/>
      <c r="VGX596" s="15"/>
      <c r="VGY596" s="50"/>
      <c r="VGZ596" s="50"/>
      <c r="VHA596" s="46"/>
      <c r="VHB596" s="47"/>
      <c r="VHC596" s="46"/>
      <c r="VHD596" s="48"/>
      <c r="VHE596" s="53"/>
      <c r="VHL596" s="15"/>
      <c r="VHM596" s="50"/>
      <c r="VHN596" s="50"/>
      <c r="VHO596" s="46"/>
      <c r="VHP596" s="47"/>
      <c r="VHQ596" s="46"/>
      <c r="VHR596" s="48"/>
      <c r="VHS596" s="53"/>
      <c r="VHZ596" s="15"/>
      <c r="VIA596" s="50"/>
      <c r="VIB596" s="50"/>
      <c r="VIC596" s="46"/>
      <c r="VID596" s="47"/>
      <c r="VIE596" s="46"/>
      <c r="VIF596" s="48"/>
      <c r="VIG596" s="53"/>
      <c r="VIN596" s="15"/>
      <c r="VIO596" s="50"/>
      <c r="VIP596" s="50"/>
      <c r="VIQ596" s="46"/>
      <c r="VIR596" s="47"/>
      <c r="VIS596" s="46"/>
      <c r="VIT596" s="48"/>
      <c r="VIU596" s="53"/>
      <c r="VJB596" s="15"/>
      <c r="VJC596" s="50"/>
      <c r="VJD596" s="50"/>
      <c r="VJE596" s="46"/>
      <c r="VJF596" s="47"/>
      <c r="VJG596" s="46"/>
      <c r="VJH596" s="48"/>
      <c r="VJI596" s="53"/>
      <c r="VJP596" s="15"/>
      <c r="VJQ596" s="50"/>
      <c r="VJR596" s="50"/>
      <c r="VJS596" s="46"/>
      <c r="VJT596" s="47"/>
      <c r="VJU596" s="46"/>
      <c r="VJV596" s="48"/>
      <c r="VJW596" s="53"/>
      <c r="VKD596" s="15"/>
      <c r="VKE596" s="50"/>
      <c r="VKF596" s="50"/>
      <c r="VKG596" s="46"/>
      <c r="VKH596" s="47"/>
      <c r="VKI596" s="46"/>
      <c r="VKJ596" s="48"/>
      <c r="VKK596" s="53"/>
      <c r="VKR596" s="15"/>
      <c r="VKS596" s="50"/>
      <c r="VKT596" s="50"/>
      <c r="VKU596" s="46"/>
      <c r="VKV596" s="47"/>
      <c r="VKW596" s="46"/>
      <c r="VKX596" s="48"/>
      <c r="VKY596" s="53"/>
      <c r="VLF596" s="15"/>
      <c r="VLG596" s="50"/>
      <c r="VLH596" s="50"/>
      <c r="VLI596" s="46"/>
      <c r="VLJ596" s="47"/>
      <c r="VLK596" s="46"/>
      <c r="VLL596" s="48"/>
      <c r="VLM596" s="53"/>
      <c r="VLT596" s="15"/>
      <c r="VLU596" s="50"/>
      <c r="VLV596" s="50"/>
      <c r="VLW596" s="46"/>
      <c r="VLX596" s="47"/>
      <c r="VLY596" s="46"/>
      <c r="VLZ596" s="48"/>
      <c r="VMA596" s="53"/>
      <c r="VMH596" s="15"/>
      <c r="VMI596" s="50"/>
      <c r="VMJ596" s="50"/>
      <c r="VMK596" s="46"/>
      <c r="VML596" s="47"/>
      <c r="VMM596" s="46"/>
      <c r="VMN596" s="48"/>
      <c r="VMO596" s="53"/>
      <c r="VMV596" s="15"/>
      <c r="VMW596" s="50"/>
      <c r="VMX596" s="50"/>
      <c r="VMY596" s="46"/>
      <c r="VMZ596" s="47"/>
      <c r="VNA596" s="46"/>
      <c r="VNB596" s="48"/>
      <c r="VNC596" s="53"/>
      <c r="VNJ596" s="15"/>
      <c r="VNK596" s="50"/>
      <c r="VNL596" s="50"/>
      <c r="VNM596" s="46"/>
      <c r="VNN596" s="47"/>
      <c r="VNO596" s="46"/>
      <c r="VNP596" s="48"/>
      <c r="VNQ596" s="53"/>
      <c r="VNX596" s="15"/>
      <c r="VNY596" s="50"/>
      <c r="VNZ596" s="50"/>
      <c r="VOA596" s="46"/>
      <c r="VOB596" s="47"/>
      <c r="VOC596" s="46"/>
      <c r="VOD596" s="48"/>
      <c r="VOE596" s="53"/>
      <c r="VOL596" s="15"/>
      <c r="VOM596" s="50"/>
      <c r="VON596" s="50"/>
      <c r="VOO596" s="46"/>
      <c r="VOP596" s="47"/>
      <c r="VOQ596" s="46"/>
      <c r="VOR596" s="48"/>
      <c r="VOS596" s="53"/>
      <c r="VOZ596" s="15"/>
      <c r="VPA596" s="50"/>
      <c r="VPB596" s="50"/>
      <c r="VPC596" s="46"/>
      <c r="VPD596" s="47"/>
      <c r="VPE596" s="46"/>
      <c r="VPF596" s="48"/>
      <c r="VPG596" s="53"/>
      <c r="VPN596" s="15"/>
      <c r="VPO596" s="50"/>
      <c r="VPP596" s="50"/>
      <c r="VPQ596" s="46"/>
      <c r="VPR596" s="47"/>
      <c r="VPS596" s="46"/>
      <c r="VPT596" s="48"/>
      <c r="VPU596" s="53"/>
      <c r="VQB596" s="15"/>
      <c r="VQC596" s="50"/>
      <c r="VQD596" s="50"/>
      <c r="VQE596" s="46"/>
      <c r="VQF596" s="47"/>
      <c r="VQG596" s="46"/>
      <c r="VQH596" s="48"/>
      <c r="VQI596" s="53"/>
      <c r="VQP596" s="15"/>
      <c r="VQQ596" s="50"/>
      <c r="VQR596" s="50"/>
      <c r="VQS596" s="46"/>
      <c r="VQT596" s="47"/>
      <c r="VQU596" s="46"/>
      <c r="VQV596" s="48"/>
      <c r="VQW596" s="53"/>
      <c r="VRD596" s="15"/>
      <c r="VRE596" s="50"/>
      <c r="VRF596" s="50"/>
      <c r="VRG596" s="46"/>
      <c r="VRH596" s="47"/>
      <c r="VRI596" s="46"/>
      <c r="VRJ596" s="48"/>
      <c r="VRK596" s="53"/>
      <c r="VRR596" s="15"/>
      <c r="VRS596" s="50"/>
      <c r="VRT596" s="50"/>
      <c r="VRU596" s="46"/>
      <c r="VRV596" s="47"/>
      <c r="VRW596" s="46"/>
      <c r="VRX596" s="48"/>
      <c r="VRY596" s="53"/>
      <c r="VSF596" s="15"/>
      <c r="VSG596" s="50"/>
      <c r="VSH596" s="50"/>
      <c r="VSI596" s="46"/>
      <c r="VSJ596" s="47"/>
      <c r="VSK596" s="46"/>
      <c r="VSL596" s="48"/>
      <c r="VSM596" s="53"/>
      <c r="VST596" s="15"/>
      <c r="VSU596" s="50"/>
      <c r="VSV596" s="50"/>
      <c r="VSW596" s="46"/>
      <c r="VSX596" s="47"/>
      <c r="VSY596" s="46"/>
      <c r="VSZ596" s="48"/>
      <c r="VTA596" s="53"/>
      <c r="VTH596" s="15"/>
      <c r="VTI596" s="50"/>
      <c r="VTJ596" s="50"/>
      <c r="VTK596" s="46"/>
      <c r="VTL596" s="47"/>
      <c r="VTM596" s="46"/>
      <c r="VTN596" s="48"/>
      <c r="VTO596" s="53"/>
      <c r="VTV596" s="15"/>
      <c r="VTW596" s="50"/>
      <c r="VTX596" s="50"/>
      <c r="VTY596" s="46"/>
      <c r="VTZ596" s="47"/>
      <c r="VUA596" s="46"/>
      <c r="VUB596" s="48"/>
      <c r="VUC596" s="53"/>
      <c r="VUJ596" s="15"/>
      <c r="VUK596" s="50"/>
      <c r="VUL596" s="50"/>
      <c r="VUM596" s="46"/>
      <c r="VUN596" s="47"/>
      <c r="VUO596" s="46"/>
      <c r="VUP596" s="48"/>
      <c r="VUQ596" s="53"/>
      <c r="VUX596" s="15"/>
      <c r="VUY596" s="50"/>
      <c r="VUZ596" s="50"/>
      <c r="VVA596" s="46"/>
      <c r="VVB596" s="47"/>
      <c r="VVC596" s="46"/>
      <c r="VVD596" s="48"/>
      <c r="VVE596" s="53"/>
      <c r="VVL596" s="15"/>
      <c r="VVM596" s="50"/>
      <c r="VVN596" s="50"/>
      <c r="VVO596" s="46"/>
      <c r="VVP596" s="47"/>
      <c r="VVQ596" s="46"/>
      <c r="VVR596" s="48"/>
      <c r="VVS596" s="53"/>
      <c r="VVZ596" s="15"/>
      <c r="VWA596" s="50"/>
      <c r="VWB596" s="50"/>
      <c r="VWC596" s="46"/>
      <c r="VWD596" s="47"/>
      <c r="VWE596" s="46"/>
      <c r="VWF596" s="48"/>
      <c r="VWG596" s="53"/>
      <c r="VWN596" s="15"/>
      <c r="VWO596" s="50"/>
      <c r="VWP596" s="50"/>
      <c r="VWQ596" s="46"/>
      <c r="VWR596" s="47"/>
      <c r="VWS596" s="46"/>
      <c r="VWT596" s="48"/>
      <c r="VWU596" s="53"/>
      <c r="VXB596" s="15"/>
      <c r="VXC596" s="50"/>
      <c r="VXD596" s="50"/>
      <c r="VXE596" s="46"/>
      <c r="VXF596" s="47"/>
      <c r="VXG596" s="46"/>
      <c r="VXH596" s="48"/>
      <c r="VXI596" s="53"/>
      <c r="VXP596" s="15"/>
      <c r="VXQ596" s="50"/>
      <c r="VXR596" s="50"/>
      <c r="VXS596" s="46"/>
      <c r="VXT596" s="47"/>
      <c r="VXU596" s="46"/>
      <c r="VXV596" s="48"/>
      <c r="VXW596" s="53"/>
      <c r="VYD596" s="15"/>
      <c r="VYE596" s="50"/>
      <c r="VYF596" s="50"/>
      <c r="VYG596" s="46"/>
      <c r="VYH596" s="47"/>
      <c r="VYI596" s="46"/>
      <c r="VYJ596" s="48"/>
      <c r="VYK596" s="53"/>
      <c r="VYR596" s="15"/>
      <c r="VYS596" s="50"/>
      <c r="VYT596" s="50"/>
      <c r="VYU596" s="46"/>
      <c r="VYV596" s="47"/>
      <c r="VYW596" s="46"/>
      <c r="VYX596" s="48"/>
      <c r="VYY596" s="53"/>
      <c r="VZF596" s="15"/>
      <c r="VZG596" s="50"/>
      <c r="VZH596" s="50"/>
      <c r="VZI596" s="46"/>
      <c r="VZJ596" s="47"/>
      <c r="VZK596" s="46"/>
      <c r="VZL596" s="48"/>
      <c r="VZM596" s="53"/>
      <c r="VZT596" s="15"/>
      <c r="VZU596" s="50"/>
      <c r="VZV596" s="50"/>
      <c r="VZW596" s="46"/>
      <c r="VZX596" s="47"/>
      <c r="VZY596" s="46"/>
      <c r="VZZ596" s="48"/>
      <c r="WAA596" s="53"/>
      <c r="WAH596" s="15"/>
      <c r="WAI596" s="50"/>
      <c r="WAJ596" s="50"/>
      <c r="WAK596" s="46"/>
      <c r="WAL596" s="47"/>
      <c r="WAM596" s="46"/>
      <c r="WAN596" s="48"/>
      <c r="WAO596" s="53"/>
      <c r="WAV596" s="15"/>
      <c r="WAW596" s="50"/>
      <c r="WAX596" s="50"/>
      <c r="WAY596" s="46"/>
      <c r="WAZ596" s="47"/>
      <c r="WBA596" s="46"/>
      <c r="WBB596" s="48"/>
      <c r="WBC596" s="53"/>
      <c r="WBJ596" s="15"/>
      <c r="WBK596" s="50"/>
      <c r="WBL596" s="50"/>
      <c r="WBM596" s="46"/>
      <c r="WBN596" s="47"/>
      <c r="WBO596" s="46"/>
      <c r="WBP596" s="48"/>
      <c r="WBQ596" s="53"/>
      <c r="WBX596" s="15"/>
      <c r="WBY596" s="50"/>
      <c r="WBZ596" s="50"/>
      <c r="WCA596" s="46"/>
      <c r="WCB596" s="47"/>
      <c r="WCC596" s="46"/>
      <c r="WCD596" s="48"/>
      <c r="WCE596" s="53"/>
      <c r="WCL596" s="15"/>
      <c r="WCM596" s="50"/>
      <c r="WCN596" s="50"/>
      <c r="WCO596" s="46"/>
      <c r="WCP596" s="47"/>
      <c r="WCQ596" s="46"/>
      <c r="WCR596" s="48"/>
      <c r="WCS596" s="53"/>
      <c r="WCZ596" s="15"/>
      <c r="WDA596" s="50"/>
      <c r="WDB596" s="50"/>
      <c r="WDC596" s="46"/>
      <c r="WDD596" s="47"/>
      <c r="WDE596" s="46"/>
      <c r="WDF596" s="48"/>
      <c r="WDG596" s="53"/>
      <c r="WDN596" s="15"/>
      <c r="WDO596" s="50"/>
      <c r="WDP596" s="50"/>
      <c r="WDQ596" s="46"/>
      <c r="WDR596" s="47"/>
      <c r="WDS596" s="46"/>
      <c r="WDT596" s="48"/>
      <c r="WDU596" s="53"/>
      <c r="WEB596" s="15"/>
      <c r="WEC596" s="50"/>
      <c r="WED596" s="50"/>
      <c r="WEE596" s="46"/>
      <c r="WEF596" s="47"/>
      <c r="WEG596" s="46"/>
      <c r="WEH596" s="48"/>
      <c r="WEI596" s="53"/>
      <c r="WEP596" s="15"/>
      <c r="WEQ596" s="50"/>
      <c r="WER596" s="50"/>
      <c r="WES596" s="46"/>
      <c r="WET596" s="47"/>
      <c r="WEU596" s="46"/>
      <c r="WEV596" s="48"/>
      <c r="WEW596" s="53"/>
      <c r="WFD596" s="15"/>
      <c r="WFE596" s="50"/>
      <c r="WFF596" s="50"/>
      <c r="WFG596" s="46"/>
      <c r="WFH596" s="47"/>
      <c r="WFI596" s="46"/>
      <c r="WFJ596" s="48"/>
      <c r="WFK596" s="53"/>
      <c r="WFR596" s="15"/>
      <c r="WFS596" s="50"/>
      <c r="WFT596" s="50"/>
      <c r="WFU596" s="46"/>
      <c r="WFV596" s="47"/>
      <c r="WFW596" s="46"/>
      <c r="WFX596" s="48"/>
      <c r="WFY596" s="53"/>
      <c r="WGF596" s="15"/>
      <c r="WGG596" s="50"/>
      <c r="WGH596" s="50"/>
      <c r="WGI596" s="46"/>
      <c r="WGJ596" s="47"/>
      <c r="WGK596" s="46"/>
      <c r="WGL596" s="48"/>
      <c r="WGM596" s="53"/>
      <c r="WGT596" s="15"/>
      <c r="WGU596" s="50"/>
      <c r="WGV596" s="50"/>
      <c r="WGW596" s="46"/>
      <c r="WGX596" s="47"/>
      <c r="WGY596" s="46"/>
      <c r="WGZ596" s="48"/>
      <c r="WHA596" s="53"/>
      <c r="WHH596" s="15"/>
      <c r="WHI596" s="50"/>
      <c r="WHJ596" s="50"/>
      <c r="WHK596" s="46"/>
      <c r="WHL596" s="47"/>
      <c r="WHM596" s="46"/>
      <c r="WHN596" s="48"/>
      <c r="WHO596" s="53"/>
      <c r="WHV596" s="15"/>
      <c r="WHW596" s="50"/>
      <c r="WHX596" s="50"/>
      <c r="WHY596" s="46"/>
      <c r="WHZ596" s="47"/>
      <c r="WIA596" s="46"/>
      <c r="WIB596" s="48"/>
      <c r="WIC596" s="53"/>
      <c r="WIJ596" s="15"/>
      <c r="WIK596" s="50"/>
      <c r="WIL596" s="50"/>
      <c r="WIM596" s="46"/>
      <c r="WIN596" s="47"/>
      <c r="WIO596" s="46"/>
      <c r="WIP596" s="48"/>
      <c r="WIQ596" s="53"/>
      <c r="WIX596" s="15"/>
      <c r="WIY596" s="50"/>
      <c r="WIZ596" s="50"/>
      <c r="WJA596" s="46"/>
      <c r="WJB596" s="47"/>
      <c r="WJC596" s="46"/>
      <c r="WJD596" s="48"/>
      <c r="WJE596" s="53"/>
      <c r="WJL596" s="15"/>
      <c r="WJM596" s="50"/>
      <c r="WJN596" s="50"/>
      <c r="WJO596" s="46"/>
      <c r="WJP596" s="47"/>
      <c r="WJQ596" s="46"/>
      <c r="WJR596" s="48"/>
      <c r="WJS596" s="53"/>
      <c r="WJZ596" s="15"/>
      <c r="WKA596" s="50"/>
      <c r="WKB596" s="50"/>
      <c r="WKC596" s="46"/>
      <c r="WKD596" s="47"/>
      <c r="WKE596" s="46"/>
      <c r="WKF596" s="48"/>
      <c r="WKG596" s="53"/>
      <c r="WKN596" s="15"/>
      <c r="WKO596" s="50"/>
      <c r="WKP596" s="50"/>
      <c r="WKQ596" s="46"/>
      <c r="WKR596" s="47"/>
      <c r="WKS596" s="46"/>
      <c r="WKT596" s="48"/>
      <c r="WKU596" s="53"/>
      <c r="WLB596" s="15"/>
      <c r="WLC596" s="50"/>
      <c r="WLD596" s="50"/>
      <c r="WLE596" s="46"/>
      <c r="WLF596" s="47"/>
      <c r="WLG596" s="46"/>
      <c r="WLH596" s="48"/>
      <c r="WLI596" s="53"/>
      <c r="WLP596" s="15"/>
      <c r="WLQ596" s="50"/>
      <c r="WLR596" s="50"/>
      <c r="WLS596" s="46"/>
      <c r="WLT596" s="47"/>
      <c r="WLU596" s="46"/>
      <c r="WLV596" s="48"/>
      <c r="WLW596" s="53"/>
      <c r="WMD596" s="15"/>
      <c r="WME596" s="50"/>
      <c r="WMF596" s="50"/>
      <c r="WMG596" s="46"/>
      <c r="WMH596" s="47"/>
      <c r="WMI596" s="46"/>
      <c r="WMJ596" s="48"/>
      <c r="WMK596" s="53"/>
      <c r="WMR596" s="15"/>
      <c r="WMS596" s="50"/>
      <c r="WMT596" s="50"/>
      <c r="WMU596" s="46"/>
      <c r="WMV596" s="47"/>
      <c r="WMW596" s="46"/>
      <c r="WMX596" s="48"/>
      <c r="WMY596" s="53"/>
      <c r="WNF596" s="15"/>
      <c r="WNG596" s="50"/>
      <c r="WNH596" s="50"/>
      <c r="WNI596" s="46"/>
      <c r="WNJ596" s="47"/>
      <c r="WNK596" s="46"/>
      <c r="WNL596" s="48"/>
      <c r="WNM596" s="53"/>
      <c r="WNT596" s="15"/>
      <c r="WNU596" s="50"/>
      <c r="WNV596" s="50"/>
      <c r="WNW596" s="46"/>
      <c r="WNX596" s="47"/>
      <c r="WNY596" s="46"/>
      <c r="WNZ596" s="48"/>
      <c r="WOA596" s="53"/>
      <c r="WOH596" s="15"/>
      <c r="WOI596" s="50"/>
      <c r="WOJ596" s="50"/>
      <c r="WOK596" s="46"/>
      <c r="WOL596" s="47"/>
      <c r="WOM596" s="46"/>
      <c r="WON596" s="48"/>
      <c r="WOO596" s="53"/>
      <c r="WOV596" s="15"/>
      <c r="WOW596" s="50"/>
      <c r="WOX596" s="50"/>
      <c r="WOY596" s="46"/>
      <c r="WOZ596" s="47"/>
      <c r="WPA596" s="46"/>
      <c r="WPB596" s="48"/>
      <c r="WPC596" s="53"/>
      <c r="WPJ596" s="15"/>
      <c r="WPK596" s="50"/>
      <c r="WPL596" s="50"/>
      <c r="WPM596" s="46"/>
      <c r="WPN596" s="47"/>
      <c r="WPO596" s="46"/>
      <c r="WPP596" s="48"/>
      <c r="WPQ596" s="53"/>
      <c r="WPX596" s="15"/>
      <c r="WPY596" s="50"/>
      <c r="WPZ596" s="50"/>
      <c r="WQA596" s="46"/>
      <c r="WQB596" s="47"/>
      <c r="WQC596" s="46"/>
      <c r="WQD596" s="48"/>
      <c r="WQE596" s="53"/>
      <c r="WQL596" s="15"/>
      <c r="WQM596" s="50"/>
      <c r="WQN596" s="50"/>
      <c r="WQO596" s="46"/>
      <c r="WQP596" s="47"/>
      <c r="WQQ596" s="46"/>
      <c r="WQR596" s="48"/>
      <c r="WQS596" s="53"/>
      <c r="WQZ596" s="15"/>
      <c r="WRA596" s="50"/>
      <c r="WRB596" s="50"/>
      <c r="WRC596" s="46"/>
      <c r="WRD596" s="47"/>
      <c r="WRE596" s="46"/>
      <c r="WRF596" s="48"/>
      <c r="WRG596" s="53"/>
      <c r="WRN596" s="15"/>
      <c r="WRO596" s="50"/>
      <c r="WRP596" s="50"/>
      <c r="WRQ596" s="46"/>
      <c r="WRR596" s="47"/>
      <c r="WRS596" s="46"/>
      <c r="WRT596" s="48"/>
      <c r="WRU596" s="53"/>
      <c r="WSB596" s="15"/>
      <c r="WSC596" s="50"/>
      <c r="WSD596" s="50"/>
      <c r="WSE596" s="46"/>
      <c r="WSF596" s="47"/>
      <c r="WSG596" s="46"/>
      <c r="WSH596" s="48"/>
      <c r="WSI596" s="53"/>
      <c r="WSP596" s="15"/>
      <c r="WSQ596" s="50"/>
      <c r="WSR596" s="50"/>
      <c r="WSS596" s="46"/>
      <c r="WST596" s="47"/>
      <c r="WSU596" s="46"/>
      <c r="WSV596" s="48"/>
      <c r="WSW596" s="53"/>
      <c r="WTD596" s="15"/>
      <c r="WTE596" s="50"/>
      <c r="WTF596" s="50"/>
      <c r="WTG596" s="46"/>
      <c r="WTH596" s="47"/>
      <c r="WTI596" s="46"/>
      <c r="WTJ596" s="48"/>
      <c r="WTK596" s="53"/>
      <c r="WTR596" s="15"/>
      <c r="WTS596" s="50"/>
      <c r="WTT596" s="50"/>
      <c r="WTU596" s="46"/>
      <c r="WTV596" s="47"/>
      <c r="WTW596" s="46"/>
      <c r="WTX596" s="48"/>
      <c r="WTY596" s="53"/>
      <c r="WUF596" s="15"/>
      <c r="WUG596" s="50"/>
      <c r="WUH596" s="50"/>
      <c r="WUI596" s="46"/>
      <c r="WUJ596" s="47"/>
      <c r="WUK596" s="46"/>
      <c r="WUL596" s="48"/>
      <c r="WUM596" s="53"/>
      <c r="WUT596" s="15"/>
      <c r="WUU596" s="50"/>
      <c r="WUV596" s="50"/>
      <c r="WUW596" s="46"/>
      <c r="WUX596" s="47"/>
      <c r="WUY596" s="46"/>
      <c r="WUZ596" s="48"/>
      <c r="WVA596" s="53"/>
      <c r="WVH596" s="15"/>
      <c r="WVI596" s="50"/>
      <c r="WVJ596" s="50"/>
      <c r="WVK596" s="46"/>
      <c r="WVL596" s="47"/>
      <c r="WVM596" s="46"/>
      <c r="WVN596" s="48"/>
      <c r="WVO596" s="53"/>
      <c r="WVV596" s="15"/>
      <c r="WVW596" s="50"/>
      <c r="WVX596" s="50"/>
      <c r="WVY596" s="46"/>
      <c r="WVZ596" s="47"/>
      <c r="WWA596" s="46"/>
      <c r="WWB596" s="48"/>
      <c r="WWC596" s="53"/>
      <c r="WWJ596" s="15"/>
      <c r="WWK596" s="50"/>
      <c r="WWL596" s="50"/>
      <c r="WWM596" s="46"/>
      <c r="WWN596" s="47"/>
      <c r="WWO596" s="46"/>
      <c r="WWP596" s="48"/>
      <c r="WWQ596" s="53"/>
      <c r="WWX596" s="15"/>
      <c r="WWY596" s="50"/>
      <c r="WWZ596" s="50"/>
      <c r="WXA596" s="46"/>
      <c r="WXB596" s="47"/>
      <c r="WXC596" s="46"/>
      <c r="WXD596" s="48"/>
      <c r="WXE596" s="53"/>
      <c r="WXL596" s="15"/>
      <c r="WXM596" s="50"/>
      <c r="WXN596" s="50"/>
      <c r="WXO596" s="46"/>
      <c r="WXP596" s="47"/>
      <c r="WXQ596" s="46"/>
      <c r="WXR596" s="48"/>
      <c r="WXS596" s="53"/>
      <c r="WXZ596" s="15"/>
      <c r="WYA596" s="50"/>
      <c r="WYB596" s="50"/>
      <c r="WYC596" s="46"/>
      <c r="WYD596" s="47"/>
      <c r="WYE596" s="46"/>
      <c r="WYF596" s="48"/>
      <c r="WYG596" s="53"/>
      <c r="WYN596" s="15"/>
      <c r="WYO596" s="50"/>
      <c r="WYP596" s="50"/>
      <c r="WYQ596" s="46"/>
      <c r="WYR596" s="47"/>
      <c r="WYS596" s="46"/>
      <c r="WYT596" s="48"/>
      <c r="WYU596" s="53"/>
      <c r="WZB596" s="15"/>
      <c r="WZC596" s="50"/>
      <c r="WZD596" s="50"/>
      <c r="WZE596" s="46"/>
      <c r="WZF596" s="47"/>
      <c r="WZG596" s="46"/>
      <c r="WZH596" s="48"/>
      <c r="WZI596" s="53"/>
      <c r="WZP596" s="15"/>
      <c r="WZQ596" s="50"/>
      <c r="WZR596" s="50"/>
      <c r="WZS596" s="46"/>
      <c r="WZT596" s="47"/>
      <c r="WZU596" s="46"/>
      <c r="WZV596" s="48"/>
      <c r="WZW596" s="53"/>
      <c r="XAD596" s="15"/>
      <c r="XAE596" s="50"/>
      <c r="XAF596" s="50"/>
      <c r="XAG596" s="46"/>
      <c r="XAH596" s="47"/>
      <c r="XAI596" s="46"/>
      <c r="XAJ596" s="48"/>
      <c r="XAK596" s="53"/>
      <c r="XAR596" s="15"/>
      <c r="XAS596" s="50"/>
      <c r="XAT596" s="50"/>
      <c r="XAU596" s="46"/>
      <c r="XAV596" s="47"/>
      <c r="XAW596" s="46"/>
      <c r="XAX596" s="48"/>
      <c r="XAY596" s="53"/>
      <c r="XBF596" s="15"/>
      <c r="XBG596" s="50"/>
      <c r="XBH596" s="50"/>
      <c r="XBI596" s="46"/>
      <c r="XBJ596" s="47"/>
      <c r="XBK596" s="46"/>
      <c r="XBL596" s="48"/>
      <c r="XBM596" s="53"/>
      <c r="XBT596" s="15"/>
      <c r="XBU596" s="50"/>
      <c r="XBV596" s="50"/>
      <c r="XBW596" s="46"/>
      <c r="XBX596" s="47"/>
      <c r="XBY596" s="46"/>
      <c r="XBZ596" s="48"/>
      <c r="XCA596" s="53"/>
      <c r="XCH596" s="15"/>
      <c r="XCI596" s="50"/>
      <c r="XCJ596" s="50"/>
      <c r="XCK596" s="46"/>
      <c r="XCL596" s="47"/>
      <c r="XCM596" s="46"/>
      <c r="XCN596" s="48"/>
      <c r="XCO596" s="53"/>
      <c r="XCV596" s="15"/>
      <c r="XCW596" s="50"/>
      <c r="XCX596" s="50"/>
      <c r="XCY596" s="46"/>
      <c r="XCZ596" s="47"/>
      <c r="XDA596" s="46"/>
      <c r="XDB596" s="48"/>
      <c r="XDC596" s="53"/>
      <c r="XDJ596" s="15"/>
      <c r="XDK596" s="50"/>
      <c r="XDL596" s="50"/>
      <c r="XDM596" s="46"/>
      <c r="XDN596" s="47"/>
      <c r="XDO596" s="46"/>
      <c r="XDP596" s="48"/>
      <c r="XDQ596" s="53"/>
      <c r="XDX596" s="15"/>
      <c r="XDY596" s="50"/>
      <c r="XDZ596" s="50"/>
      <c r="XEA596" s="46"/>
      <c r="XEB596" s="47"/>
      <c r="XEC596" s="46"/>
      <c r="XED596" s="48"/>
      <c r="XEE596" s="53"/>
      <c r="XEL596" s="15"/>
      <c r="XEM596" s="50"/>
      <c r="XEN596" s="50"/>
      <c r="XEO596" s="46"/>
      <c r="XEP596" s="47"/>
      <c r="XEQ596" s="46"/>
      <c r="XER596" s="48"/>
      <c r="XES596" s="53"/>
      <c r="XEZ596" s="15"/>
      <c r="XFA596" s="50"/>
      <c r="XFB596" s="50"/>
      <c r="XFC596" s="46"/>
    </row>
    <row r="597" spans="1:4095 4102:5117 5124:6139 6146:11263 11270:12285 12292:13307 13314:16383" ht="16.2" x14ac:dyDescent="0.4">
      <c r="A597" s="15" t="str">
        <f t="shared" si="9"/>
        <v>modesg_inp_emss_nacearea_atividade</v>
      </c>
      <c r="B597" s="54" t="s">
        <v>27</v>
      </c>
      <c r="C597" s="50" t="s">
        <v>29</v>
      </c>
      <c r="D597" s="46" t="s">
        <v>431</v>
      </c>
      <c r="E597" s="47" t="s">
        <v>42</v>
      </c>
      <c r="F597" s="46" t="s">
        <v>487</v>
      </c>
      <c r="G597" s="48" t="s">
        <v>426</v>
      </c>
      <c r="H597" s="48" t="s">
        <v>426</v>
      </c>
      <c r="I597" s="56" t="s">
        <v>482</v>
      </c>
      <c r="J597" s="68" t="s">
        <v>514</v>
      </c>
      <c r="K597" s="68" t="s">
        <v>514</v>
      </c>
      <c r="L597" s="68"/>
      <c r="N597" s="15"/>
      <c r="O597" s="50"/>
      <c r="P597" s="50"/>
      <c r="Q597" s="46"/>
      <c r="R597" s="47"/>
      <c r="S597" s="46"/>
      <c r="T597" s="48"/>
      <c r="U597" s="53"/>
      <c r="AB597" s="15"/>
      <c r="AC597" s="50"/>
      <c r="AD597" s="50"/>
      <c r="AE597" s="46"/>
      <c r="AF597" s="47"/>
      <c r="AG597" s="46"/>
      <c r="AH597" s="48"/>
      <c r="AI597" s="53"/>
      <c r="AP597" s="15"/>
      <c r="AQ597" s="50"/>
      <c r="AR597" s="50"/>
      <c r="AS597" s="46"/>
      <c r="AT597" s="47"/>
      <c r="AU597" s="46"/>
      <c r="AV597" s="48"/>
      <c r="AW597" s="53"/>
      <c r="BD597" s="15"/>
      <c r="BE597" s="50"/>
      <c r="BF597" s="50"/>
      <c r="BG597" s="46"/>
      <c r="BH597" s="47"/>
      <c r="BI597" s="46"/>
      <c r="BJ597" s="48"/>
      <c r="BK597" s="53"/>
      <c r="BR597" s="15"/>
      <c r="BS597" s="50"/>
      <c r="BT597" s="50"/>
      <c r="BU597" s="46"/>
      <c r="BV597" s="47"/>
      <c r="BW597" s="46"/>
      <c r="BX597" s="48"/>
      <c r="BY597" s="53"/>
      <c r="CF597" s="15"/>
      <c r="CG597" s="50"/>
      <c r="CH597" s="50"/>
      <c r="CI597" s="46"/>
      <c r="CJ597" s="47"/>
      <c r="CK597" s="46"/>
      <c r="CL597" s="48"/>
      <c r="CM597" s="53"/>
      <c r="CT597" s="15"/>
      <c r="CU597" s="50"/>
      <c r="CV597" s="50"/>
      <c r="CW597" s="46"/>
      <c r="CX597" s="47"/>
      <c r="CY597" s="46"/>
      <c r="CZ597" s="48"/>
      <c r="DA597" s="53"/>
      <c r="DH597" s="15"/>
      <c r="DI597" s="50"/>
      <c r="DJ597" s="50"/>
      <c r="DK597" s="46"/>
      <c r="DL597" s="47"/>
      <c r="DM597" s="46"/>
      <c r="DN597" s="48"/>
      <c r="DO597" s="53"/>
      <c r="DV597" s="15"/>
      <c r="DW597" s="50"/>
      <c r="DX597" s="50"/>
      <c r="DY597" s="46"/>
      <c r="DZ597" s="47"/>
      <c r="EA597" s="46"/>
      <c r="EB597" s="48"/>
      <c r="EC597" s="53"/>
      <c r="EJ597" s="15"/>
      <c r="EK597" s="50"/>
      <c r="EL597" s="50"/>
      <c r="EM597" s="46"/>
      <c r="EN597" s="47"/>
      <c r="EO597" s="46"/>
      <c r="EP597" s="48"/>
      <c r="EQ597" s="53"/>
      <c r="EX597" s="15"/>
      <c r="EY597" s="50"/>
      <c r="EZ597" s="50"/>
      <c r="FA597" s="46"/>
      <c r="FB597" s="47"/>
      <c r="FC597" s="46"/>
      <c r="FD597" s="48"/>
      <c r="FE597" s="53"/>
      <c r="FL597" s="15"/>
      <c r="FM597" s="50"/>
      <c r="FN597" s="50"/>
      <c r="FO597" s="46"/>
      <c r="FP597" s="47"/>
      <c r="FQ597" s="46"/>
      <c r="FR597" s="48"/>
      <c r="FS597" s="53"/>
      <c r="FZ597" s="15"/>
      <c r="GA597" s="50"/>
      <c r="GB597" s="50"/>
      <c r="GC597" s="46"/>
      <c r="GD597" s="47"/>
      <c r="GE597" s="46"/>
      <c r="GF597" s="48"/>
      <c r="GG597" s="53"/>
      <c r="GN597" s="15"/>
      <c r="GO597" s="50"/>
      <c r="GP597" s="50"/>
      <c r="GQ597" s="46"/>
      <c r="GR597" s="47"/>
      <c r="GS597" s="46"/>
      <c r="GT597" s="48"/>
      <c r="GU597" s="53"/>
      <c r="HB597" s="15"/>
      <c r="HC597" s="50"/>
      <c r="HD597" s="50"/>
      <c r="HE597" s="46"/>
      <c r="HF597" s="47"/>
      <c r="HG597" s="46"/>
      <c r="HH597" s="48"/>
      <c r="HI597" s="53"/>
      <c r="HP597" s="15"/>
      <c r="HQ597" s="50"/>
      <c r="HR597" s="50"/>
      <c r="HS597" s="46"/>
      <c r="HT597" s="47"/>
      <c r="HU597" s="46"/>
      <c r="HV597" s="48"/>
      <c r="HW597" s="53"/>
      <c r="ID597" s="15"/>
      <c r="IE597" s="50"/>
      <c r="IF597" s="50"/>
      <c r="IG597" s="46"/>
      <c r="IH597" s="47"/>
      <c r="II597" s="46"/>
      <c r="IJ597" s="48"/>
      <c r="IK597" s="53"/>
      <c r="IR597" s="15"/>
      <c r="IS597" s="50"/>
      <c r="IT597" s="50"/>
      <c r="IU597" s="46"/>
      <c r="IV597" s="47"/>
      <c r="IW597" s="46"/>
      <c r="IX597" s="48"/>
      <c r="IY597" s="53"/>
      <c r="JF597" s="15"/>
      <c r="JG597" s="50"/>
      <c r="JH597" s="50"/>
      <c r="JI597" s="46"/>
      <c r="JJ597" s="47"/>
      <c r="JK597" s="46"/>
      <c r="JL597" s="48"/>
      <c r="JM597" s="53"/>
      <c r="JT597" s="15"/>
      <c r="JU597" s="50"/>
      <c r="JV597" s="50"/>
      <c r="JW597" s="46"/>
      <c r="JX597" s="47"/>
      <c r="JY597" s="46"/>
      <c r="JZ597" s="48"/>
      <c r="KA597" s="53"/>
      <c r="KH597" s="15"/>
      <c r="KI597" s="50"/>
      <c r="KJ597" s="50"/>
      <c r="KK597" s="46"/>
      <c r="KL597" s="47"/>
      <c r="KM597" s="46"/>
      <c r="KN597" s="48"/>
      <c r="KO597" s="53"/>
      <c r="KV597" s="15"/>
      <c r="KW597" s="50"/>
      <c r="KX597" s="50"/>
      <c r="KY597" s="46"/>
      <c r="KZ597" s="47"/>
      <c r="LA597" s="46"/>
      <c r="LB597" s="48"/>
      <c r="LC597" s="53"/>
      <c r="LJ597" s="15"/>
      <c r="LK597" s="50"/>
      <c r="LL597" s="50"/>
      <c r="LM597" s="46"/>
      <c r="LN597" s="47"/>
      <c r="LO597" s="46"/>
      <c r="LP597" s="48"/>
      <c r="LQ597" s="53"/>
      <c r="LX597" s="15"/>
      <c r="LY597" s="50"/>
      <c r="LZ597" s="50"/>
      <c r="MA597" s="46"/>
      <c r="MB597" s="47"/>
      <c r="MC597" s="46"/>
      <c r="MD597" s="48"/>
      <c r="ME597" s="53"/>
      <c r="ML597" s="15"/>
      <c r="MM597" s="50"/>
      <c r="MN597" s="50"/>
      <c r="MO597" s="46"/>
      <c r="MP597" s="47"/>
      <c r="MQ597" s="46"/>
      <c r="MR597" s="48"/>
      <c r="MS597" s="53"/>
      <c r="MZ597" s="15"/>
      <c r="NA597" s="50"/>
      <c r="NB597" s="50"/>
      <c r="NC597" s="46"/>
      <c r="ND597" s="47"/>
      <c r="NE597" s="46"/>
      <c r="NF597" s="48"/>
      <c r="NG597" s="53"/>
      <c r="NN597" s="15"/>
      <c r="NO597" s="50"/>
      <c r="NP597" s="50"/>
      <c r="NQ597" s="46"/>
      <c r="NR597" s="47"/>
      <c r="NS597" s="46"/>
      <c r="NT597" s="48"/>
      <c r="NU597" s="53"/>
      <c r="OB597" s="15"/>
      <c r="OC597" s="50"/>
      <c r="OD597" s="50"/>
      <c r="OE597" s="46"/>
      <c r="OF597" s="47"/>
      <c r="OG597" s="46"/>
      <c r="OH597" s="48"/>
      <c r="OI597" s="53"/>
      <c r="OP597" s="15"/>
      <c r="OQ597" s="50"/>
      <c r="OR597" s="50"/>
      <c r="OS597" s="46"/>
      <c r="OT597" s="47"/>
      <c r="OU597" s="46"/>
      <c r="OV597" s="48"/>
      <c r="OW597" s="53"/>
      <c r="PD597" s="15"/>
      <c r="PE597" s="50"/>
      <c r="PF597" s="50"/>
      <c r="PG597" s="46"/>
      <c r="PH597" s="47"/>
      <c r="PI597" s="46"/>
      <c r="PJ597" s="48"/>
      <c r="PK597" s="53"/>
      <c r="PR597" s="15"/>
      <c r="PS597" s="50"/>
      <c r="PT597" s="50"/>
      <c r="PU597" s="46"/>
      <c r="PV597" s="47"/>
      <c r="PW597" s="46"/>
      <c r="PX597" s="48"/>
      <c r="PY597" s="53"/>
      <c r="QF597" s="15"/>
      <c r="QG597" s="50"/>
      <c r="QH597" s="50"/>
      <c r="QI597" s="46"/>
      <c r="QJ597" s="47"/>
      <c r="QK597" s="46"/>
      <c r="QL597" s="48"/>
      <c r="QM597" s="53"/>
      <c r="QT597" s="15"/>
      <c r="QU597" s="50"/>
      <c r="QV597" s="50"/>
      <c r="QW597" s="46"/>
      <c r="QX597" s="47"/>
      <c r="QY597" s="46"/>
      <c r="QZ597" s="48"/>
      <c r="RA597" s="53"/>
      <c r="RH597" s="15"/>
      <c r="RI597" s="50"/>
      <c r="RJ597" s="50"/>
      <c r="RK597" s="46"/>
      <c r="RL597" s="47"/>
      <c r="RM597" s="46"/>
      <c r="RN597" s="48"/>
      <c r="RO597" s="53"/>
      <c r="RV597" s="15"/>
      <c r="RW597" s="50"/>
      <c r="RX597" s="50"/>
      <c r="RY597" s="46"/>
      <c r="RZ597" s="47"/>
      <c r="SA597" s="46"/>
      <c r="SB597" s="48"/>
      <c r="SC597" s="53"/>
      <c r="SJ597" s="15"/>
      <c r="SK597" s="50"/>
      <c r="SL597" s="50"/>
      <c r="SM597" s="46"/>
      <c r="SN597" s="47"/>
      <c r="SO597" s="46"/>
      <c r="SP597" s="48"/>
      <c r="SQ597" s="53"/>
      <c r="SX597" s="15"/>
      <c r="SY597" s="50"/>
      <c r="SZ597" s="50"/>
      <c r="TA597" s="46"/>
      <c r="TB597" s="47"/>
      <c r="TC597" s="46"/>
      <c r="TD597" s="48"/>
      <c r="TE597" s="53"/>
      <c r="TL597" s="15"/>
      <c r="TM597" s="50"/>
      <c r="TN597" s="50"/>
      <c r="TO597" s="46"/>
      <c r="TP597" s="47"/>
      <c r="TQ597" s="46"/>
      <c r="TR597" s="48"/>
      <c r="TS597" s="53"/>
      <c r="TZ597" s="15"/>
      <c r="UA597" s="50"/>
      <c r="UB597" s="50"/>
      <c r="UC597" s="46"/>
      <c r="UD597" s="47"/>
      <c r="UE597" s="46"/>
      <c r="UF597" s="48"/>
      <c r="UG597" s="53"/>
      <c r="UN597" s="15"/>
      <c r="UO597" s="50"/>
      <c r="UP597" s="50"/>
      <c r="UQ597" s="46"/>
      <c r="UR597" s="47"/>
      <c r="US597" s="46"/>
      <c r="UT597" s="48"/>
      <c r="UU597" s="53"/>
      <c r="VB597" s="15"/>
      <c r="VC597" s="50"/>
      <c r="VD597" s="50"/>
      <c r="VE597" s="46"/>
      <c r="VF597" s="47"/>
      <c r="VG597" s="46"/>
      <c r="VH597" s="48"/>
      <c r="VI597" s="53"/>
      <c r="VP597" s="15"/>
      <c r="VQ597" s="50"/>
      <c r="VR597" s="50"/>
      <c r="VS597" s="46"/>
      <c r="VT597" s="47"/>
      <c r="VU597" s="46"/>
      <c r="VV597" s="48"/>
      <c r="VW597" s="53"/>
      <c r="WD597" s="15"/>
      <c r="WE597" s="50"/>
      <c r="WF597" s="50"/>
      <c r="WG597" s="46"/>
      <c r="WH597" s="47"/>
      <c r="WI597" s="46"/>
      <c r="WJ597" s="48"/>
      <c r="WK597" s="53"/>
      <c r="WR597" s="15"/>
      <c r="WS597" s="50"/>
      <c r="WT597" s="50"/>
      <c r="WU597" s="46"/>
      <c r="WV597" s="47"/>
      <c r="WW597" s="46"/>
      <c r="WX597" s="48"/>
      <c r="WY597" s="53"/>
      <c r="XF597" s="15"/>
      <c r="XG597" s="50"/>
      <c r="XH597" s="50"/>
      <c r="XI597" s="46"/>
      <c r="XJ597" s="47"/>
      <c r="XK597" s="46"/>
      <c r="XL597" s="48"/>
      <c r="XM597" s="53"/>
      <c r="XT597" s="15"/>
      <c r="XU597" s="50"/>
      <c r="XV597" s="50"/>
      <c r="XW597" s="46"/>
      <c r="XX597" s="47"/>
      <c r="XY597" s="46"/>
      <c r="XZ597" s="48"/>
      <c r="YA597" s="53"/>
      <c r="YH597" s="15"/>
      <c r="YI597" s="50"/>
      <c r="YJ597" s="50"/>
      <c r="YK597" s="46"/>
      <c r="YL597" s="47"/>
      <c r="YM597" s="46"/>
      <c r="YN597" s="48"/>
      <c r="YO597" s="53"/>
      <c r="YV597" s="15"/>
      <c r="YW597" s="50"/>
      <c r="YX597" s="50"/>
      <c r="YY597" s="46"/>
      <c r="YZ597" s="47"/>
      <c r="ZA597" s="46"/>
      <c r="ZB597" s="48"/>
      <c r="ZC597" s="53"/>
      <c r="ZJ597" s="15"/>
      <c r="ZK597" s="50"/>
      <c r="ZL597" s="50"/>
      <c r="ZM597" s="46"/>
      <c r="ZN597" s="47"/>
      <c r="ZO597" s="46"/>
      <c r="ZP597" s="48"/>
      <c r="ZQ597" s="53"/>
      <c r="ZX597" s="15"/>
      <c r="ZY597" s="50"/>
      <c r="ZZ597" s="50"/>
      <c r="AAA597" s="46"/>
      <c r="AAB597" s="47"/>
      <c r="AAC597" s="46"/>
      <c r="AAD597" s="48"/>
      <c r="AAE597" s="53"/>
      <c r="AAL597" s="15"/>
      <c r="AAM597" s="50"/>
      <c r="AAN597" s="50"/>
      <c r="AAO597" s="46"/>
      <c r="AAP597" s="47"/>
      <c r="AAQ597" s="46"/>
      <c r="AAR597" s="48"/>
      <c r="AAS597" s="53"/>
      <c r="AAZ597" s="15"/>
      <c r="ABA597" s="50"/>
      <c r="ABB597" s="50"/>
      <c r="ABC597" s="46"/>
      <c r="ABD597" s="47"/>
      <c r="ABE597" s="46"/>
      <c r="ABF597" s="48"/>
      <c r="ABG597" s="53"/>
      <c r="ABN597" s="15"/>
      <c r="ABO597" s="50"/>
      <c r="ABP597" s="50"/>
      <c r="ABQ597" s="46"/>
      <c r="ABR597" s="47"/>
      <c r="ABS597" s="46"/>
      <c r="ABT597" s="48"/>
      <c r="ABU597" s="53"/>
      <c r="ACB597" s="15"/>
      <c r="ACC597" s="50"/>
      <c r="ACD597" s="50"/>
      <c r="ACE597" s="46"/>
      <c r="ACF597" s="47"/>
      <c r="ACG597" s="46"/>
      <c r="ACH597" s="48"/>
      <c r="ACI597" s="53"/>
      <c r="ACP597" s="15"/>
      <c r="ACQ597" s="50"/>
      <c r="ACR597" s="50"/>
      <c r="ACS597" s="46"/>
      <c r="ACT597" s="47"/>
      <c r="ACU597" s="46"/>
      <c r="ACV597" s="48"/>
      <c r="ACW597" s="53"/>
      <c r="ADD597" s="15"/>
      <c r="ADE597" s="50"/>
      <c r="ADF597" s="50"/>
      <c r="ADG597" s="46"/>
      <c r="ADH597" s="47"/>
      <c r="ADI597" s="46"/>
      <c r="ADJ597" s="48"/>
      <c r="ADK597" s="53"/>
      <c r="ADR597" s="15"/>
      <c r="ADS597" s="50"/>
      <c r="ADT597" s="50"/>
      <c r="ADU597" s="46"/>
      <c r="ADV597" s="47"/>
      <c r="ADW597" s="46"/>
      <c r="ADX597" s="48"/>
      <c r="ADY597" s="53"/>
      <c r="AEF597" s="15"/>
      <c r="AEG597" s="50"/>
      <c r="AEH597" s="50"/>
      <c r="AEI597" s="46"/>
      <c r="AEJ597" s="47"/>
      <c r="AEK597" s="46"/>
      <c r="AEL597" s="48"/>
      <c r="AEM597" s="53"/>
      <c r="AET597" s="15"/>
      <c r="AEU597" s="50"/>
      <c r="AEV597" s="50"/>
      <c r="AEW597" s="46"/>
      <c r="AEX597" s="47"/>
      <c r="AEY597" s="46"/>
      <c r="AEZ597" s="48"/>
      <c r="AFA597" s="53"/>
      <c r="AFH597" s="15"/>
      <c r="AFI597" s="50"/>
      <c r="AFJ597" s="50"/>
      <c r="AFK597" s="46"/>
      <c r="AFL597" s="47"/>
      <c r="AFM597" s="46"/>
      <c r="AFN597" s="48"/>
      <c r="AFO597" s="53"/>
      <c r="AFV597" s="15"/>
      <c r="AFW597" s="50"/>
      <c r="AFX597" s="50"/>
      <c r="AFY597" s="46"/>
      <c r="AFZ597" s="47"/>
      <c r="AGA597" s="46"/>
      <c r="AGB597" s="48"/>
      <c r="AGC597" s="53"/>
      <c r="AGJ597" s="15"/>
      <c r="AGK597" s="50"/>
      <c r="AGL597" s="50"/>
      <c r="AGM597" s="46"/>
      <c r="AGN597" s="47"/>
      <c r="AGO597" s="46"/>
      <c r="AGP597" s="48"/>
      <c r="AGQ597" s="53"/>
      <c r="AGX597" s="15"/>
      <c r="AGY597" s="50"/>
      <c r="AGZ597" s="50"/>
      <c r="AHA597" s="46"/>
      <c r="AHB597" s="47"/>
      <c r="AHC597" s="46"/>
      <c r="AHD597" s="48"/>
      <c r="AHE597" s="53"/>
      <c r="AHL597" s="15"/>
      <c r="AHM597" s="50"/>
      <c r="AHN597" s="50"/>
      <c r="AHO597" s="46"/>
      <c r="AHP597" s="47"/>
      <c r="AHQ597" s="46"/>
      <c r="AHR597" s="48"/>
      <c r="AHS597" s="53"/>
      <c r="AHZ597" s="15"/>
      <c r="AIA597" s="50"/>
      <c r="AIB597" s="50"/>
      <c r="AIC597" s="46"/>
      <c r="AID597" s="47"/>
      <c r="AIE597" s="46"/>
      <c r="AIF597" s="48"/>
      <c r="AIG597" s="53"/>
      <c r="AIN597" s="15"/>
      <c r="AIO597" s="50"/>
      <c r="AIP597" s="50"/>
      <c r="AIQ597" s="46"/>
      <c r="AIR597" s="47"/>
      <c r="AIS597" s="46"/>
      <c r="AIT597" s="48"/>
      <c r="AIU597" s="53"/>
      <c r="AJB597" s="15"/>
      <c r="AJC597" s="50"/>
      <c r="AJD597" s="50"/>
      <c r="AJE597" s="46"/>
      <c r="AJF597" s="47"/>
      <c r="AJG597" s="46"/>
      <c r="AJH597" s="48"/>
      <c r="AJI597" s="53"/>
      <c r="AJP597" s="15"/>
      <c r="AJQ597" s="50"/>
      <c r="AJR597" s="50"/>
      <c r="AJS597" s="46"/>
      <c r="AJT597" s="47"/>
      <c r="AJU597" s="46"/>
      <c r="AJV597" s="48"/>
      <c r="AJW597" s="53"/>
      <c r="AKD597" s="15"/>
      <c r="AKE597" s="50"/>
      <c r="AKF597" s="50"/>
      <c r="AKG597" s="46"/>
      <c r="AKH597" s="47"/>
      <c r="AKI597" s="46"/>
      <c r="AKJ597" s="48"/>
      <c r="AKK597" s="53"/>
      <c r="AKR597" s="15"/>
      <c r="AKS597" s="50"/>
      <c r="AKT597" s="50"/>
      <c r="AKU597" s="46"/>
      <c r="AKV597" s="47"/>
      <c r="AKW597" s="46"/>
      <c r="AKX597" s="48"/>
      <c r="AKY597" s="53"/>
      <c r="ALF597" s="15"/>
      <c r="ALG597" s="50"/>
      <c r="ALH597" s="50"/>
      <c r="ALI597" s="46"/>
      <c r="ALJ597" s="47"/>
      <c r="ALK597" s="46"/>
      <c r="ALL597" s="48"/>
      <c r="ALM597" s="53"/>
      <c r="ALT597" s="15"/>
      <c r="ALU597" s="50"/>
      <c r="ALV597" s="50"/>
      <c r="ALW597" s="46"/>
      <c r="ALX597" s="47"/>
      <c r="ALY597" s="46"/>
      <c r="ALZ597" s="48"/>
      <c r="AMA597" s="53"/>
      <c r="AMH597" s="15"/>
      <c r="AMI597" s="50"/>
      <c r="AMJ597" s="50"/>
      <c r="AMK597" s="46"/>
      <c r="AML597" s="47"/>
      <c r="AMM597" s="46"/>
      <c r="AMN597" s="48"/>
      <c r="AMO597" s="53"/>
      <c r="AMV597" s="15"/>
      <c r="AMW597" s="50"/>
      <c r="AMX597" s="50"/>
      <c r="AMY597" s="46"/>
      <c r="AMZ597" s="47"/>
      <c r="ANA597" s="46"/>
      <c r="ANB597" s="48"/>
      <c r="ANC597" s="53"/>
      <c r="ANJ597" s="15"/>
      <c r="ANK597" s="50"/>
      <c r="ANL597" s="50"/>
      <c r="ANM597" s="46"/>
      <c r="ANN597" s="47"/>
      <c r="ANO597" s="46"/>
      <c r="ANP597" s="48"/>
      <c r="ANQ597" s="53"/>
      <c r="ANX597" s="15"/>
      <c r="ANY597" s="50"/>
      <c r="ANZ597" s="50"/>
      <c r="AOA597" s="46"/>
      <c r="AOB597" s="47"/>
      <c r="AOC597" s="46"/>
      <c r="AOD597" s="48"/>
      <c r="AOE597" s="53"/>
      <c r="AOL597" s="15"/>
      <c r="AOM597" s="50"/>
      <c r="AON597" s="50"/>
      <c r="AOO597" s="46"/>
      <c r="AOP597" s="47"/>
      <c r="AOQ597" s="46"/>
      <c r="AOR597" s="48"/>
      <c r="AOS597" s="53"/>
      <c r="AOZ597" s="15"/>
      <c r="APA597" s="50"/>
      <c r="APB597" s="50"/>
      <c r="APC597" s="46"/>
      <c r="APD597" s="47"/>
      <c r="APE597" s="46"/>
      <c r="APF597" s="48"/>
      <c r="APG597" s="53"/>
      <c r="APN597" s="15"/>
      <c r="APO597" s="50"/>
      <c r="APP597" s="50"/>
      <c r="APQ597" s="46"/>
      <c r="APR597" s="47"/>
      <c r="APS597" s="46"/>
      <c r="APT597" s="48"/>
      <c r="APU597" s="53"/>
      <c r="AQB597" s="15"/>
      <c r="AQC597" s="50"/>
      <c r="AQD597" s="50"/>
      <c r="AQE597" s="46"/>
      <c r="AQF597" s="47"/>
      <c r="AQG597" s="46"/>
      <c r="AQH597" s="48"/>
      <c r="AQI597" s="53"/>
      <c r="AQP597" s="15"/>
      <c r="AQQ597" s="50"/>
      <c r="AQR597" s="50"/>
      <c r="AQS597" s="46"/>
      <c r="AQT597" s="47"/>
      <c r="AQU597" s="46"/>
      <c r="AQV597" s="48"/>
      <c r="AQW597" s="53"/>
      <c r="ARD597" s="15"/>
      <c r="ARE597" s="50"/>
      <c r="ARF597" s="50"/>
      <c r="ARG597" s="46"/>
      <c r="ARH597" s="47"/>
      <c r="ARI597" s="46"/>
      <c r="ARJ597" s="48"/>
      <c r="ARK597" s="53"/>
      <c r="ARR597" s="15"/>
      <c r="ARS597" s="50"/>
      <c r="ART597" s="50"/>
      <c r="ARU597" s="46"/>
      <c r="ARV597" s="47"/>
      <c r="ARW597" s="46"/>
      <c r="ARX597" s="48"/>
      <c r="ARY597" s="53"/>
      <c r="ASF597" s="15"/>
      <c r="ASG597" s="50"/>
      <c r="ASH597" s="50"/>
      <c r="ASI597" s="46"/>
      <c r="ASJ597" s="47"/>
      <c r="ASK597" s="46"/>
      <c r="ASL597" s="48"/>
      <c r="ASM597" s="53"/>
      <c r="AST597" s="15"/>
      <c r="ASU597" s="50"/>
      <c r="ASV597" s="50"/>
      <c r="ASW597" s="46"/>
      <c r="ASX597" s="47"/>
      <c r="ASY597" s="46"/>
      <c r="ASZ597" s="48"/>
      <c r="ATA597" s="53"/>
      <c r="ATH597" s="15"/>
      <c r="ATI597" s="50"/>
      <c r="ATJ597" s="50"/>
      <c r="ATK597" s="46"/>
      <c r="ATL597" s="47"/>
      <c r="ATM597" s="46"/>
      <c r="ATN597" s="48"/>
      <c r="ATO597" s="53"/>
      <c r="ATV597" s="15"/>
      <c r="ATW597" s="50"/>
      <c r="ATX597" s="50"/>
      <c r="ATY597" s="46"/>
      <c r="ATZ597" s="47"/>
      <c r="AUA597" s="46"/>
      <c r="AUB597" s="48"/>
      <c r="AUC597" s="53"/>
      <c r="AUJ597" s="15"/>
      <c r="AUK597" s="50"/>
      <c r="AUL597" s="50"/>
      <c r="AUM597" s="46"/>
      <c r="AUN597" s="47"/>
      <c r="AUO597" s="46"/>
      <c r="AUP597" s="48"/>
      <c r="AUQ597" s="53"/>
      <c r="AUX597" s="15"/>
      <c r="AUY597" s="50"/>
      <c r="AUZ597" s="50"/>
      <c r="AVA597" s="46"/>
      <c r="AVB597" s="47"/>
      <c r="AVC597" s="46"/>
      <c r="AVD597" s="48"/>
      <c r="AVE597" s="53"/>
      <c r="AVL597" s="15"/>
      <c r="AVM597" s="50"/>
      <c r="AVN597" s="50"/>
      <c r="AVO597" s="46"/>
      <c r="AVP597" s="47"/>
      <c r="AVQ597" s="46"/>
      <c r="AVR597" s="48"/>
      <c r="AVS597" s="53"/>
      <c r="AVZ597" s="15"/>
      <c r="AWA597" s="50"/>
      <c r="AWB597" s="50"/>
      <c r="AWC597" s="46"/>
      <c r="AWD597" s="47"/>
      <c r="AWE597" s="46"/>
      <c r="AWF597" s="48"/>
      <c r="AWG597" s="53"/>
      <c r="AWN597" s="15"/>
      <c r="AWO597" s="50"/>
      <c r="AWP597" s="50"/>
      <c r="AWQ597" s="46"/>
      <c r="AWR597" s="47"/>
      <c r="AWS597" s="46"/>
      <c r="AWT597" s="48"/>
      <c r="AWU597" s="53"/>
      <c r="AXB597" s="15"/>
      <c r="AXC597" s="50"/>
      <c r="AXD597" s="50"/>
      <c r="AXE597" s="46"/>
      <c r="AXF597" s="47"/>
      <c r="AXG597" s="46"/>
      <c r="AXH597" s="48"/>
      <c r="AXI597" s="53"/>
      <c r="AXP597" s="15"/>
      <c r="AXQ597" s="50"/>
      <c r="AXR597" s="50"/>
      <c r="AXS597" s="46"/>
      <c r="AXT597" s="47"/>
      <c r="AXU597" s="46"/>
      <c r="AXV597" s="48"/>
      <c r="AXW597" s="53"/>
      <c r="AYD597" s="15"/>
      <c r="AYE597" s="50"/>
      <c r="AYF597" s="50"/>
      <c r="AYG597" s="46"/>
      <c r="AYH597" s="47"/>
      <c r="AYI597" s="46"/>
      <c r="AYJ597" s="48"/>
      <c r="AYK597" s="53"/>
      <c r="AYR597" s="15"/>
      <c r="AYS597" s="50"/>
      <c r="AYT597" s="50"/>
      <c r="AYU597" s="46"/>
      <c r="AYV597" s="47"/>
      <c r="AYW597" s="46"/>
      <c r="AYX597" s="48"/>
      <c r="AYY597" s="53"/>
      <c r="AZF597" s="15"/>
      <c r="AZG597" s="50"/>
      <c r="AZH597" s="50"/>
      <c r="AZI597" s="46"/>
      <c r="AZJ597" s="47"/>
      <c r="AZK597" s="46"/>
      <c r="AZL597" s="48"/>
      <c r="AZM597" s="53"/>
      <c r="AZT597" s="15"/>
      <c r="AZU597" s="50"/>
      <c r="AZV597" s="50"/>
      <c r="AZW597" s="46"/>
      <c r="AZX597" s="47"/>
      <c r="AZY597" s="46"/>
      <c r="AZZ597" s="48"/>
      <c r="BAA597" s="53"/>
      <c r="BAH597" s="15"/>
      <c r="BAI597" s="50"/>
      <c r="BAJ597" s="50"/>
      <c r="BAK597" s="46"/>
      <c r="BAL597" s="47"/>
      <c r="BAM597" s="46"/>
      <c r="BAN597" s="48"/>
      <c r="BAO597" s="53"/>
      <c r="BAV597" s="15"/>
      <c r="BAW597" s="50"/>
      <c r="BAX597" s="50"/>
      <c r="BAY597" s="46"/>
      <c r="BAZ597" s="47"/>
      <c r="BBA597" s="46"/>
      <c r="BBB597" s="48"/>
      <c r="BBC597" s="53"/>
      <c r="BBJ597" s="15"/>
      <c r="BBK597" s="50"/>
      <c r="BBL597" s="50"/>
      <c r="BBM597" s="46"/>
      <c r="BBN597" s="47"/>
      <c r="BBO597" s="46"/>
      <c r="BBP597" s="48"/>
      <c r="BBQ597" s="53"/>
      <c r="BBX597" s="15"/>
      <c r="BBY597" s="50"/>
      <c r="BBZ597" s="50"/>
      <c r="BCA597" s="46"/>
      <c r="BCB597" s="47"/>
      <c r="BCC597" s="46"/>
      <c r="BCD597" s="48"/>
      <c r="BCE597" s="53"/>
      <c r="BCL597" s="15"/>
      <c r="BCM597" s="50"/>
      <c r="BCN597" s="50"/>
      <c r="BCO597" s="46"/>
      <c r="BCP597" s="47"/>
      <c r="BCQ597" s="46"/>
      <c r="BCR597" s="48"/>
      <c r="BCS597" s="53"/>
      <c r="BCZ597" s="15"/>
      <c r="BDA597" s="50"/>
      <c r="BDB597" s="50"/>
      <c r="BDC597" s="46"/>
      <c r="BDD597" s="47"/>
      <c r="BDE597" s="46"/>
      <c r="BDF597" s="48"/>
      <c r="BDG597" s="53"/>
      <c r="BDN597" s="15"/>
      <c r="BDO597" s="50"/>
      <c r="BDP597" s="50"/>
      <c r="BDQ597" s="46"/>
      <c r="BDR597" s="47"/>
      <c r="BDS597" s="46"/>
      <c r="BDT597" s="48"/>
      <c r="BDU597" s="53"/>
      <c r="BEB597" s="15"/>
      <c r="BEC597" s="50"/>
      <c r="BED597" s="50"/>
      <c r="BEE597" s="46"/>
      <c r="BEF597" s="47"/>
      <c r="BEG597" s="46"/>
      <c r="BEH597" s="48"/>
      <c r="BEI597" s="53"/>
      <c r="BEP597" s="15"/>
      <c r="BEQ597" s="50"/>
      <c r="BER597" s="50"/>
      <c r="BES597" s="46"/>
      <c r="BET597" s="47"/>
      <c r="BEU597" s="46"/>
      <c r="BEV597" s="48"/>
      <c r="BEW597" s="53"/>
      <c r="BFD597" s="15"/>
      <c r="BFE597" s="50"/>
      <c r="BFF597" s="50"/>
      <c r="BFG597" s="46"/>
      <c r="BFH597" s="47"/>
      <c r="BFI597" s="46"/>
      <c r="BFJ597" s="48"/>
      <c r="BFK597" s="53"/>
      <c r="BFR597" s="15"/>
      <c r="BFS597" s="50"/>
      <c r="BFT597" s="50"/>
      <c r="BFU597" s="46"/>
      <c r="BFV597" s="47"/>
      <c r="BFW597" s="46"/>
      <c r="BFX597" s="48"/>
      <c r="BFY597" s="53"/>
      <c r="BGF597" s="15"/>
      <c r="BGG597" s="50"/>
      <c r="BGH597" s="50"/>
      <c r="BGI597" s="46"/>
      <c r="BGJ597" s="47"/>
      <c r="BGK597" s="46"/>
      <c r="BGL597" s="48"/>
      <c r="BGM597" s="53"/>
      <c r="BGT597" s="15"/>
      <c r="BGU597" s="50"/>
      <c r="BGV597" s="50"/>
      <c r="BGW597" s="46"/>
      <c r="BGX597" s="47"/>
      <c r="BGY597" s="46"/>
      <c r="BGZ597" s="48"/>
      <c r="BHA597" s="53"/>
      <c r="BHH597" s="15"/>
      <c r="BHI597" s="50"/>
      <c r="BHJ597" s="50"/>
      <c r="BHK597" s="46"/>
      <c r="BHL597" s="47"/>
      <c r="BHM597" s="46"/>
      <c r="BHN597" s="48"/>
      <c r="BHO597" s="53"/>
      <c r="BHV597" s="15"/>
      <c r="BHW597" s="50"/>
      <c r="BHX597" s="50"/>
      <c r="BHY597" s="46"/>
      <c r="BHZ597" s="47"/>
      <c r="BIA597" s="46"/>
      <c r="BIB597" s="48"/>
      <c r="BIC597" s="53"/>
      <c r="BIJ597" s="15"/>
      <c r="BIK597" s="50"/>
      <c r="BIL597" s="50"/>
      <c r="BIM597" s="46"/>
      <c r="BIN597" s="47"/>
      <c r="BIO597" s="46"/>
      <c r="BIP597" s="48"/>
      <c r="BIQ597" s="53"/>
      <c r="BIX597" s="15"/>
      <c r="BIY597" s="50"/>
      <c r="BIZ597" s="50"/>
      <c r="BJA597" s="46"/>
      <c r="BJB597" s="47"/>
      <c r="BJC597" s="46"/>
      <c r="BJD597" s="48"/>
      <c r="BJE597" s="53"/>
      <c r="BJL597" s="15"/>
      <c r="BJM597" s="50"/>
      <c r="BJN597" s="50"/>
      <c r="BJO597" s="46"/>
      <c r="BJP597" s="47"/>
      <c r="BJQ597" s="46"/>
      <c r="BJR597" s="48"/>
      <c r="BJS597" s="53"/>
      <c r="BJZ597" s="15"/>
      <c r="BKA597" s="50"/>
      <c r="BKB597" s="50"/>
      <c r="BKC597" s="46"/>
      <c r="BKD597" s="47"/>
      <c r="BKE597" s="46"/>
      <c r="BKF597" s="48"/>
      <c r="BKG597" s="53"/>
      <c r="BKN597" s="15"/>
      <c r="BKO597" s="50"/>
      <c r="BKP597" s="50"/>
      <c r="BKQ597" s="46"/>
      <c r="BKR597" s="47"/>
      <c r="BKS597" s="46"/>
      <c r="BKT597" s="48"/>
      <c r="BKU597" s="53"/>
      <c r="BLB597" s="15"/>
      <c r="BLC597" s="50"/>
      <c r="BLD597" s="50"/>
      <c r="BLE597" s="46"/>
      <c r="BLF597" s="47"/>
      <c r="BLG597" s="46"/>
      <c r="BLH597" s="48"/>
      <c r="BLI597" s="53"/>
      <c r="BLP597" s="15"/>
      <c r="BLQ597" s="50"/>
      <c r="BLR597" s="50"/>
      <c r="BLS597" s="46"/>
      <c r="BLT597" s="47"/>
      <c r="BLU597" s="46"/>
      <c r="BLV597" s="48"/>
      <c r="BLW597" s="53"/>
      <c r="BMD597" s="15"/>
      <c r="BME597" s="50"/>
      <c r="BMF597" s="50"/>
      <c r="BMG597" s="46"/>
      <c r="BMH597" s="47"/>
      <c r="BMI597" s="46"/>
      <c r="BMJ597" s="48"/>
      <c r="BMK597" s="53"/>
      <c r="BMR597" s="15"/>
      <c r="BMS597" s="50"/>
      <c r="BMT597" s="50"/>
      <c r="BMU597" s="46"/>
      <c r="BMV597" s="47"/>
      <c r="BMW597" s="46"/>
      <c r="BMX597" s="48"/>
      <c r="BMY597" s="53"/>
      <c r="BNF597" s="15"/>
      <c r="BNG597" s="50"/>
      <c r="BNH597" s="50"/>
      <c r="BNI597" s="46"/>
      <c r="BNJ597" s="47"/>
      <c r="BNK597" s="46"/>
      <c r="BNL597" s="48"/>
      <c r="BNM597" s="53"/>
      <c r="BNT597" s="15"/>
      <c r="BNU597" s="50"/>
      <c r="BNV597" s="50"/>
      <c r="BNW597" s="46"/>
      <c r="BNX597" s="47"/>
      <c r="BNY597" s="46"/>
      <c r="BNZ597" s="48"/>
      <c r="BOA597" s="53"/>
      <c r="BOH597" s="15"/>
      <c r="BOI597" s="50"/>
      <c r="BOJ597" s="50"/>
      <c r="BOK597" s="46"/>
      <c r="BOL597" s="47"/>
      <c r="BOM597" s="46"/>
      <c r="BON597" s="48"/>
      <c r="BOO597" s="53"/>
      <c r="BOV597" s="15"/>
      <c r="BOW597" s="50"/>
      <c r="BOX597" s="50"/>
      <c r="BOY597" s="46"/>
      <c r="BOZ597" s="47"/>
      <c r="BPA597" s="46"/>
      <c r="BPB597" s="48"/>
      <c r="BPC597" s="53"/>
      <c r="BPJ597" s="15"/>
      <c r="BPK597" s="50"/>
      <c r="BPL597" s="50"/>
      <c r="BPM597" s="46"/>
      <c r="BPN597" s="47"/>
      <c r="BPO597" s="46"/>
      <c r="BPP597" s="48"/>
      <c r="BPQ597" s="53"/>
      <c r="BPX597" s="15"/>
      <c r="BPY597" s="50"/>
      <c r="BPZ597" s="50"/>
      <c r="BQA597" s="46"/>
      <c r="BQB597" s="47"/>
      <c r="BQC597" s="46"/>
      <c r="BQD597" s="48"/>
      <c r="BQE597" s="53"/>
      <c r="BQL597" s="15"/>
      <c r="BQM597" s="50"/>
      <c r="BQN597" s="50"/>
      <c r="BQO597" s="46"/>
      <c r="BQP597" s="47"/>
      <c r="BQQ597" s="46"/>
      <c r="BQR597" s="48"/>
      <c r="BQS597" s="53"/>
      <c r="BQZ597" s="15"/>
      <c r="BRA597" s="50"/>
      <c r="BRB597" s="50"/>
      <c r="BRC597" s="46"/>
      <c r="BRD597" s="47"/>
      <c r="BRE597" s="46"/>
      <c r="BRF597" s="48"/>
      <c r="BRG597" s="53"/>
      <c r="BRN597" s="15"/>
      <c r="BRO597" s="50"/>
      <c r="BRP597" s="50"/>
      <c r="BRQ597" s="46"/>
      <c r="BRR597" s="47"/>
      <c r="BRS597" s="46"/>
      <c r="BRT597" s="48"/>
      <c r="BRU597" s="53"/>
      <c r="BSB597" s="15"/>
      <c r="BSC597" s="50"/>
      <c r="BSD597" s="50"/>
      <c r="BSE597" s="46"/>
      <c r="BSF597" s="47"/>
      <c r="BSG597" s="46"/>
      <c r="BSH597" s="48"/>
      <c r="BSI597" s="53"/>
      <c r="BSP597" s="15"/>
      <c r="BSQ597" s="50"/>
      <c r="BSR597" s="50"/>
      <c r="BSS597" s="46"/>
      <c r="BST597" s="47"/>
      <c r="BSU597" s="46"/>
      <c r="BSV597" s="48"/>
      <c r="BSW597" s="53"/>
      <c r="BTD597" s="15"/>
      <c r="BTE597" s="50"/>
      <c r="BTF597" s="50"/>
      <c r="BTG597" s="46"/>
      <c r="BTH597" s="47"/>
      <c r="BTI597" s="46"/>
      <c r="BTJ597" s="48"/>
      <c r="BTK597" s="53"/>
      <c r="BTR597" s="15"/>
      <c r="BTS597" s="50"/>
      <c r="BTT597" s="50"/>
      <c r="BTU597" s="46"/>
      <c r="BTV597" s="47"/>
      <c r="BTW597" s="46"/>
      <c r="BTX597" s="48"/>
      <c r="BTY597" s="53"/>
      <c r="BUF597" s="15"/>
      <c r="BUG597" s="50"/>
      <c r="BUH597" s="50"/>
      <c r="BUI597" s="46"/>
      <c r="BUJ597" s="47"/>
      <c r="BUK597" s="46"/>
      <c r="BUL597" s="48"/>
      <c r="BUM597" s="53"/>
      <c r="BUT597" s="15"/>
      <c r="BUU597" s="50"/>
      <c r="BUV597" s="50"/>
      <c r="BUW597" s="46"/>
      <c r="BUX597" s="47"/>
      <c r="BUY597" s="46"/>
      <c r="BUZ597" s="48"/>
      <c r="BVA597" s="53"/>
      <c r="BVH597" s="15"/>
      <c r="BVI597" s="50"/>
      <c r="BVJ597" s="50"/>
      <c r="BVK597" s="46"/>
      <c r="BVL597" s="47"/>
      <c r="BVM597" s="46"/>
      <c r="BVN597" s="48"/>
      <c r="BVO597" s="53"/>
      <c r="BVV597" s="15"/>
      <c r="BVW597" s="50"/>
      <c r="BVX597" s="50"/>
      <c r="BVY597" s="46"/>
      <c r="BVZ597" s="47"/>
      <c r="BWA597" s="46"/>
      <c r="BWB597" s="48"/>
      <c r="BWC597" s="53"/>
      <c r="BWJ597" s="15"/>
      <c r="BWK597" s="50"/>
      <c r="BWL597" s="50"/>
      <c r="BWM597" s="46"/>
      <c r="BWN597" s="47"/>
      <c r="BWO597" s="46"/>
      <c r="BWP597" s="48"/>
      <c r="BWQ597" s="53"/>
      <c r="BWX597" s="15"/>
      <c r="BWY597" s="50"/>
      <c r="BWZ597" s="50"/>
      <c r="BXA597" s="46"/>
      <c r="BXB597" s="47"/>
      <c r="BXC597" s="46"/>
      <c r="BXD597" s="48"/>
      <c r="BXE597" s="53"/>
      <c r="BXL597" s="15"/>
      <c r="BXM597" s="50"/>
      <c r="BXN597" s="50"/>
      <c r="BXO597" s="46"/>
      <c r="BXP597" s="47"/>
      <c r="BXQ597" s="46"/>
      <c r="BXR597" s="48"/>
      <c r="BXS597" s="53"/>
      <c r="BXZ597" s="15"/>
      <c r="BYA597" s="50"/>
      <c r="BYB597" s="50"/>
      <c r="BYC597" s="46"/>
      <c r="BYD597" s="47"/>
      <c r="BYE597" s="46"/>
      <c r="BYF597" s="48"/>
      <c r="BYG597" s="53"/>
      <c r="BYN597" s="15"/>
      <c r="BYO597" s="50"/>
      <c r="BYP597" s="50"/>
      <c r="BYQ597" s="46"/>
      <c r="BYR597" s="47"/>
      <c r="BYS597" s="46"/>
      <c r="BYT597" s="48"/>
      <c r="BYU597" s="53"/>
      <c r="BZB597" s="15"/>
      <c r="BZC597" s="50"/>
      <c r="BZD597" s="50"/>
      <c r="BZE597" s="46"/>
      <c r="BZF597" s="47"/>
      <c r="BZG597" s="46"/>
      <c r="BZH597" s="48"/>
      <c r="BZI597" s="53"/>
      <c r="BZP597" s="15"/>
      <c r="BZQ597" s="50"/>
      <c r="BZR597" s="50"/>
      <c r="BZS597" s="46"/>
      <c r="BZT597" s="47"/>
      <c r="BZU597" s="46"/>
      <c r="BZV597" s="48"/>
      <c r="BZW597" s="53"/>
      <c r="CAD597" s="15"/>
      <c r="CAE597" s="50"/>
      <c r="CAF597" s="50"/>
      <c r="CAG597" s="46"/>
      <c r="CAH597" s="47"/>
      <c r="CAI597" s="46"/>
      <c r="CAJ597" s="48"/>
      <c r="CAK597" s="53"/>
      <c r="CAR597" s="15"/>
      <c r="CAS597" s="50"/>
      <c r="CAT597" s="50"/>
      <c r="CAU597" s="46"/>
      <c r="CAV597" s="47"/>
      <c r="CAW597" s="46"/>
      <c r="CAX597" s="48"/>
      <c r="CAY597" s="53"/>
      <c r="CBF597" s="15"/>
      <c r="CBG597" s="50"/>
      <c r="CBH597" s="50"/>
      <c r="CBI597" s="46"/>
      <c r="CBJ597" s="47"/>
      <c r="CBK597" s="46"/>
      <c r="CBL597" s="48"/>
      <c r="CBM597" s="53"/>
      <c r="CBT597" s="15"/>
      <c r="CBU597" s="50"/>
      <c r="CBV597" s="50"/>
      <c r="CBW597" s="46"/>
      <c r="CBX597" s="47"/>
      <c r="CBY597" s="46"/>
      <c r="CBZ597" s="48"/>
      <c r="CCA597" s="53"/>
      <c r="CCH597" s="15"/>
      <c r="CCI597" s="50"/>
      <c r="CCJ597" s="50"/>
      <c r="CCK597" s="46"/>
      <c r="CCL597" s="47"/>
      <c r="CCM597" s="46"/>
      <c r="CCN597" s="48"/>
      <c r="CCO597" s="53"/>
      <c r="CCV597" s="15"/>
      <c r="CCW597" s="50"/>
      <c r="CCX597" s="50"/>
      <c r="CCY597" s="46"/>
      <c r="CCZ597" s="47"/>
      <c r="CDA597" s="46"/>
      <c r="CDB597" s="48"/>
      <c r="CDC597" s="53"/>
      <c r="CDJ597" s="15"/>
      <c r="CDK597" s="50"/>
      <c r="CDL597" s="50"/>
      <c r="CDM597" s="46"/>
      <c r="CDN597" s="47"/>
      <c r="CDO597" s="46"/>
      <c r="CDP597" s="48"/>
      <c r="CDQ597" s="53"/>
      <c r="CDX597" s="15"/>
      <c r="CDY597" s="50"/>
      <c r="CDZ597" s="50"/>
      <c r="CEA597" s="46"/>
      <c r="CEB597" s="47"/>
      <c r="CEC597" s="46"/>
      <c r="CED597" s="48"/>
      <c r="CEE597" s="53"/>
      <c r="CEL597" s="15"/>
      <c r="CEM597" s="50"/>
      <c r="CEN597" s="50"/>
      <c r="CEO597" s="46"/>
      <c r="CEP597" s="47"/>
      <c r="CEQ597" s="46"/>
      <c r="CER597" s="48"/>
      <c r="CES597" s="53"/>
      <c r="CEZ597" s="15"/>
      <c r="CFA597" s="50"/>
      <c r="CFB597" s="50"/>
      <c r="CFC597" s="46"/>
      <c r="CFD597" s="47"/>
      <c r="CFE597" s="46"/>
      <c r="CFF597" s="48"/>
      <c r="CFG597" s="53"/>
      <c r="CFN597" s="15"/>
      <c r="CFO597" s="50"/>
      <c r="CFP597" s="50"/>
      <c r="CFQ597" s="46"/>
      <c r="CFR597" s="47"/>
      <c r="CFS597" s="46"/>
      <c r="CFT597" s="48"/>
      <c r="CFU597" s="53"/>
      <c r="CGB597" s="15"/>
      <c r="CGC597" s="50"/>
      <c r="CGD597" s="50"/>
      <c r="CGE597" s="46"/>
      <c r="CGF597" s="47"/>
      <c r="CGG597" s="46"/>
      <c r="CGH597" s="48"/>
      <c r="CGI597" s="53"/>
      <c r="CGP597" s="15"/>
      <c r="CGQ597" s="50"/>
      <c r="CGR597" s="50"/>
      <c r="CGS597" s="46"/>
      <c r="CGT597" s="47"/>
      <c r="CGU597" s="46"/>
      <c r="CGV597" s="48"/>
      <c r="CGW597" s="53"/>
      <c r="CHD597" s="15"/>
      <c r="CHE597" s="50"/>
      <c r="CHF597" s="50"/>
      <c r="CHG597" s="46"/>
      <c r="CHH597" s="47"/>
      <c r="CHI597" s="46"/>
      <c r="CHJ597" s="48"/>
      <c r="CHK597" s="53"/>
      <c r="CHR597" s="15"/>
      <c r="CHS597" s="50"/>
      <c r="CHT597" s="50"/>
      <c r="CHU597" s="46"/>
      <c r="CHV597" s="47"/>
      <c r="CHW597" s="46"/>
      <c r="CHX597" s="48"/>
      <c r="CHY597" s="53"/>
      <c r="CIF597" s="15"/>
      <c r="CIG597" s="50"/>
      <c r="CIH597" s="50"/>
      <c r="CII597" s="46"/>
      <c r="CIJ597" s="47"/>
      <c r="CIK597" s="46"/>
      <c r="CIL597" s="48"/>
      <c r="CIM597" s="53"/>
      <c r="CIT597" s="15"/>
      <c r="CIU597" s="50"/>
      <c r="CIV597" s="50"/>
      <c r="CIW597" s="46"/>
      <c r="CIX597" s="47"/>
      <c r="CIY597" s="46"/>
      <c r="CIZ597" s="48"/>
      <c r="CJA597" s="53"/>
      <c r="CJH597" s="15"/>
      <c r="CJI597" s="50"/>
      <c r="CJJ597" s="50"/>
      <c r="CJK597" s="46"/>
      <c r="CJL597" s="47"/>
      <c r="CJM597" s="46"/>
      <c r="CJN597" s="48"/>
      <c r="CJO597" s="53"/>
      <c r="CJV597" s="15"/>
      <c r="CJW597" s="50"/>
      <c r="CJX597" s="50"/>
      <c r="CJY597" s="46"/>
      <c r="CJZ597" s="47"/>
      <c r="CKA597" s="46"/>
      <c r="CKB597" s="48"/>
      <c r="CKC597" s="53"/>
      <c r="CKJ597" s="15"/>
      <c r="CKK597" s="50"/>
      <c r="CKL597" s="50"/>
      <c r="CKM597" s="46"/>
      <c r="CKN597" s="47"/>
      <c r="CKO597" s="46"/>
      <c r="CKP597" s="48"/>
      <c r="CKQ597" s="53"/>
      <c r="CKX597" s="15"/>
      <c r="CKY597" s="50"/>
      <c r="CKZ597" s="50"/>
      <c r="CLA597" s="46"/>
      <c r="CLB597" s="47"/>
      <c r="CLC597" s="46"/>
      <c r="CLD597" s="48"/>
      <c r="CLE597" s="53"/>
      <c r="CLL597" s="15"/>
      <c r="CLM597" s="50"/>
      <c r="CLN597" s="50"/>
      <c r="CLO597" s="46"/>
      <c r="CLP597" s="47"/>
      <c r="CLQ597" s="46"/>
      <c r="CLR597" s="48"/>
      <c r="CLS597" s="53"/>
      <c r="CLZ597" s="15"/>
      <c r="CMA597" s="50"/>
      <c r="CMB597" s="50"/>
      <c r="CMC597" s="46"/>
      <c r="CMD597" s="47"/>
      <c r="CME597" s="46"/>
      <c r="CMF597" s="48"/>
      <c r="CMG597" s="53"/>
      <c r="CMN597" s="15"/>
      <c r="CMO597" s="50"/>
      <c r="CMP597" s="50"/>
      <c r="CMQ597" s="46"/>
      <c r="CMR597" s="47"/>
      <c r="CMS597" s="46"/>
      <c r="CMT597" s="48"/>
      <c r="CMU597" s="53"/>
      <c r="CNB597" s="15"/>
      <c r="CNC597" s="50"/>
      <c r="CND597" s="50"/>
      <c r="CNE597" s="46"/>
      <c r="CNF597" s="47"/>
      <c r="CNG597" s="46"/>
      <c r="CNH597" s="48"/>
      <c r="CNI597" s="53"/>
      <c r="CNP597" s="15"/>
      <c r="CNQ597" s="50"/>
      <c r="CNR597" s="50"/>
      <c r="CNS597" s="46"/>
      <c r="CNT597" s="47"/>
      <c r="CNU597" s="46"/>
      <c r="CNV597" s="48"/>
      <c r="CNW597" s="53"/>
      <c r="COD597" s="15"/>
      <c r="COE597" s="50"/>
      <c r="COF597" s="50"/>
      <c r="COG597" s="46"/>
      <c r="COH597" s="47"/>
      <c r="COI597" s="46"/>
      <c r="COJ597" s="48"/>
      <c r="COK597" s="53"/>
      <c r="COR597" s="15"/>
      <c r="COS597" s="50"/>
      <c r="COT597" s="50"/>
      <c r="COU597" s="46"/>
      <c r="COV597" s="47"/>
      <c r="COW597" s="46"/>
      <c r="COX597" s="48"/>
      <c r="COY597" s="53"/>
      <c r="CPF597" s="15"/>
      <c r="CPG597" s="50"/>
      <c r="CPH597" s="50"/>
      <c r="CPI597" s="46"/>
      <c r="CPJ597" s="47"/>
      <c r="CPK597" s="46"/>
      <c r="CPL597" s="48"/>
      <c r="CPM597" s="53"/>
      <c r="CPT597" s="15"/>
      <c r="CPU597" s="50"/>
      <c r="CPV597" s="50"/>
      <c r="CPW597" s="46"/>
      <c r="CPX597" s="47"/>
      <c r="CPY597" s="46"/>
      <c r="CPZ597" s="48"/>
      <c r="CQA597" s="53"/>
      <c r="CQH597" s="15"/>
      <c r="CQI597" s="50"/>
      <c r="CQJ597" s="50"/>
      <c r="CQK597" s="46"/>
      <c r="CQL597" s="47"/>
      <c r="CQM597" s="46"/>
      <c r="CQN597" s="48"/>
      <c r="CQO597" s="53"/>
      <c r="CQV597" s="15"/>
      <c r="CQW597" s="50"/>
      <c r="CQX597" s="50"/>
      <c r="CQY597" s="46"/>
      <c r="CQZ597" s="47"/>
      <c r="CRA597" s="46"/>
      <c r="CRB597" s="48"/>
      <c r="CRC597" s="53"/>
      <c r="CRJ597" s="15"/>
      <c r="CRK597" s="50"/>
      <c r="CRL597" s="50"/>
      <c r="CRM597" s="46"/>
      <c r="CRN597" s="47"/>
      <c r="CRO597" s="46"/>
      <c r="CRP597" s="48"/>
      <c r="CRQ597" s="53"/>
      <c r="CRX597" s="15"/>
      <c r="CRY597" s="50"/>
      <c r="CRZ597" s="50"/>
      <c r="CSA597" s="46"/>
      <c r="CSB597" s="47"/>
      <c r="CSC597" s="46"/>
      <c r="CSD597" s="48"/>
      <c r="CSE597" s="53"/>
      <c r="CSL597" s="15"/>
      <c r="CSM597" s="50"/>
      <c r="CSN597" s="50"/>
      <c r="CSO597" s="46"/>
      <c r="CSP597" s="47"/>
      <c r="CSQ597" s="46"/>
      <c r="CSR597" s="48"/>
      <c r="CSS597" s="53"/>
      <c r="CSZ597" s="15"/>
      <c r="CTA597" s="50"/>
      <c r="CTB597" s="50"/>
      <c r="CTC597" s="46"/>
      <c r="CTD597" s="47"/>
      <c r="CTE597" s="46"/>
      <c r="CTF597" s="48"/>
      <c r="CTG597" s="53"/>
      <c r="CTN597" s="15"/>
      <c r="CTO597" s="50"/>
      <c r="CTP597" s="50"/>
      <c r="CTQ597" s="46"/>
      <c r="CTR597" s="47"/>
      <c r="CTS597" s="46"/>
      <c r="CTT597" s="48"/>
      <c r="CTU597" s="53"/>
      <c r="CUB597" s="15"/>
      <c r="CUC597" s="50"/>
      <c r="CUD597" s="50"/>
      <c r="CUE597" s="46"/>
      <c r="CUF597" s="47"/>
      <c r="CUG597" s="46"/>
      <c r="CUH597" s="48"/>
      <c r="CUI597" s="53"/>
      <c r="CUP597" s="15"/>
      <c r="CUQ597" s="50"/>
      <c r="CUR597" s="50"/>
      <c r="CUS597" s="46"/>
      <c r="CUT597" s="47"/>
      <c r="CUU597" s="46"/>
      <c r="CUV597" s="48"/>
      <c r="CUW597" s="53"/>
      <c r="CVD597" s="15"/>
      <c r="CVE597" s="50"/>
      <c r="CVF597" s="50"/>
      <c r="CVG597" s="46"/>
      <c r="CVH597" s="47"/>
      <c r="CVI597" s="46"/>
      <c r="CVJ597" s="48"/>
      <c r="CVK597" s="53"/>
      <c r="CVR597" s="15"/>
      <c r="CVS597" s="50"/>
      <c r="CVT597" s="50"/>
      <c r="CVU597" s="46"/>
      <c r="CVV597" s="47"/>
      <c r="CVW597" s="46"/>
      <c r="CVX597" s="48"/>
      <c r="CVY597" s="53"/>
      <c r="CWF597" s="15"/>
      <c r="CWG597" s="50"/>
      <c r="CWH597" s="50"/>
      <c r="CWI597" s="46"/>
      <c r="CWJ597" s="47"/>
      <c r="CWK597" s="46"/>
      <c r="CWL597" s="48"/>
      <c r="CWM597" s="53"/>
      <c r="CWT597" s="15"/>
      <c r="CWU597" s="50"/>
      <c r="CWV597" s="50"/>
      <c r="CWW597" s="46"/>
      <c r="CWX597" s="47"/>
      <c r="CWY597" s="46"/>
      <c r="CWZ597" s="48"/>
      <c r="CXA597" s="53"/>
      <c r="CXH597" s="15"/>
      <c r="CXI597" s="50"/>
      <c r="CXJ597" s="50"/>
      <c r="CXK597" s="46"/>
      <c r="CXL597" s="47"/>
      <c r="CXM597" s="46"/>
      <c r="CXN597" s="48"/>
      <c r="CXO597" s="53"/>
      <c r="CXV597" s="15"/>
      <c r="CXW597" s="50"/>
      <c r="CXX597" s="50"/>
      <c r="CXY597" s="46"/>
      <c r="CXZ597" s="47"/>
      <c r="CYA597" s="46"/>
      <c r="CYB597" s="48"/>
      <c r="CYC597" s="53"/>
      <c r="CYJ597" s="15"/>
      <c r="CYK597" s="50"/>
      <c r="CYL597" s="50"/>
      <c r="CYM597" s="46"/>
      <c r="CYN597" s="47"/>
      <c r="CYO597" s="46"/>
      <c r="CYP597" s="48"/>
      <c r="CYQ597" s="53"/>
      <c r="CYX597" s="15"/>
      <c r="CYY597" s="50"/>
      <c r="CYZ597" s="50"/>
      <c r="CZA597" s="46"/>
      <c r="CZB597" s="47"/>
      <c r="CZC597" s="46"/>
      <c r="CZD597" s="48"/>
      <c r="CZE597" s="53"/>
      <c r="CZL597" s="15"/>
      <c r="CZM597" s="50"/>
      <c r="CZN597" s="50"/>
      <c r="CZO597" s="46"/>
      <c r="CZP597" s="47"/>
      <c r="CZQ597" s="46"/>
      <c r="CZR597" s="48"/>
      <c r="CZS597" s="53"/>
      <c r="CZZ597" s="15"/>
      <c r="DAA597" s="50"/>
      <c r="DAB597" s="50"/>
      <c r="DAC597" s="46"/>
      <c r="DAD597" s="47"/>
      <c r="DAE597" s="46"/>
      <c r="DAF597" s="48"/>
      <c r="DAG597" s="53"/>
      <c r="DAN597" s="15"/>
      <c r="DAO597" s="50"/>
      <c r="DAP597" s="50"/>
      <c r="DAQ597" s="46"/>
      <c r="DAR597" s="47"/>
      <c r="DAS597" s="46"/>
      <c r="DAT597" s="48"/>
      <c r="DAU597" s="53"/>
      <c r="DBB597" s="15"/>
      <c r="DBC597" s="50"/>
      <c r="DBD597" s="50"/>
      <c r="DBE597" s="46"/>
      <c r="DBF597" s="47"/>
      <c r="DBG597" s="46"/>
      <c r="DBH597" s="48"/>
      <c r="DBI597" s="53"/>
      <c r="DBP597" s="15"/>
      <c r="DBQ597" s="50"/>
      <c r="DBR597" s="50"/>
      <c r="DBS597" s="46"/>
      <c r="DBT597" s="47"/>
      <c r="DBU597" s="46"/>
      <c r="DBV597" s="48"/>
      <c r="DBW597" s="53"/>
      <c r="DCD597" s="15"/>
      <c r="DCE597" s="50"/>
      <c r="DCF597" s="50"/>
      <c r="DCG597" s="46"/>
      <c r="DCH597" s="47"/>
      <c r="DCI597" s="46"/>
      <c r="DCJ597" s="48"/>
      <c r="DCK597" s="53"/>
      <c r="DCR597" s="15"/>
      <c r="DCS597" s="50"/>
      <c r="DCT597" s="50"/>
      <c r="DCU597" s="46"/>
      <c r="DCV597" s="47"/>
      <c r="DCW597" s="46"/>
      <c r="DCX597" s="48"/>
      <c r="DCY597" s="53"/>
      <c r="DDF597" s="15"/>
      <c r="DDG597" s="50"/>
      <c r="DDH597" s="50"/>
      <c r="DDI597" s="46"/>
      <c r="DDJ597" s="47"/>
      <c r="DDK597" s="46"/>
      <c r="DDL597" s="48"/>
      <c r="DDM597" s="53"/>
      <c r="DDT597" s="15"/>
      <c r="DDU597" s="50"/>
      <c r="DDV597" s="50"/>
      <c r="DDW597" s="46"/>
      <c r="DDX597" s="47"/>
      <c r="DDY597" s="46"/>
      <c r="DDZ597" s="48"/>
      <c r="DEA597" s="53"/>
      <c r="DEH597" s="15"/>
      <c r="DEI597" s="50"/>
      <c r="DEJ597" s="50"/>
      <c r="DEK597" s="46"/>
      <c r="DEL597" s="47"/>
      <c r="DEM597" s="46"/>
      <c r="DEN597" s="48"/>
      <c r="DEO597" s="53"/>
      <c r="DEV597" s="15"/>
      <c r="DEW597" s="50"/>
      <c r="DEX597" s="50"/>
      <c r="DEY597" s="46"/>
      <c r="DEZ597" s="47"/>
      <c r="DFA597" s="46"/>
      <c r="DFB597" s="48"/>
      <c r="DFC597" s="53"/>
      <c r="DFJ597" s="15"/>
      <c r="DFK597" s="50"/>
      <c r="DFL597" s="50"/>
      <c r="DFM597" s="46"/>
      <c r="DFN597" s="47"/>
      <c r="DFO597" s="46"/>
      <c r="DFP597" s="48"/>
      <c r="DFQ597" s="53"/>
      <c r="DFX597" s="15"/>
      <c r="DFY597" s="50"/>
      <c r="DFZ597" s="50"/>
      <c r="DGA597" s="46"/>
      <c r="DGB597" s="47"/>
      <c r="DGC597" s="46"/>
      <c r="DGD597" s="48"/>
      <c r="DGE597" s="53"/>
      <c r="DGL597" s="15"/>
      <c r="DGM597" s="50"/>
      <c r="DGN597" s="50"/>
      <c r="DGO597" s="46"/>
      <c r="DGP597" s="47"/>
      <c r="DGQ597" s="46"/>
      <c r="DGR597" s="48"/>
      <c r="DGS597" s="53"/>
      <c r="DGZ597" s="15"/>
      <c r="DHA597" s="50"/>
      <c r="DHB597" s="50"/>
      <c r="DHC597" s="46"/>
      <c r="DHD597" s="47"/>
      <c r="DHE597" s="46"/>
      <c r="DHF597" s="48"/>
      <c r="DHG597" s="53"/>
      <c r="DHN597" s="15"/>
      <c r="DHO597" s="50"/>
      <c r="DHP597" s="50"/>
      <c r="DHQ597" s="46"/>
      <c r="DHR597" s="47"/>
      <c r="DHS597" s="46"/>
      <c r="DHT597" s="48"/>
      <c r="DHU597" s="53"/>
      <c r="DIB597" s="15"/>
      <c r="DIC597" s="50"/>
      <c r="DID597" s="50"/>
      <c r="DIE597" s="46"/>
      <c r="DIF597" s="47"/>
      <c r="DIG597" s="46"/>
      <c r="DIH597" s="48"/>
      <c r="DII597" s="53"/>
      <c r="DIP597" s="15"/>
      <c r="DIQ597" s="50"/>
      <c r="DIR597" s="50"/>
      <c r="DIS597" s="46"/>
      <c r="DIT597" s="47"/>
      <c r="DIU597" s="46"/>
      <c r="DIV597" s="48"/>
      <c r="DIW597" s="53"/>
      <c r="DJD597" s="15"/>
      <c r="DJE597" s="50"/>
      <c r="DJF597" s="50"/>
      <c r="DJG597" s="46"/>
      <c r="DJH597" s="47"/>
      <c r="DJI597" s="46"/>
      <c r="DJJ597" s="48"/>
      <c r="DJK597" s="53"/>
      <c r="DJR597" s="15"/>
      <c r="DJS597" s="50"/>
      <c r="DJT597" s="50"/>
      <c r="DJU597" s="46"/>
      <c r="DJV597" s="47"/>
      <c r="DJW597" s="46"/>
      <c r="DJX597" s="48"/>
      <c r="DJY597" s="53"/>
      <c r="DKF597" s="15"/>
      <c r="DKG597" s="50"/>
      <c r="DKH597" s="50"/>
      <c r="DKI597" s="46"/>
      <c r="DKJ597" s="47"/>
      <c r="DKK597" s="46"/>
      <c r="DKL597" s="48"/>
      <c r="DKM597" s="53"/>
      <c r="DKT597" s="15"/>
      <c r="DKU597" s="50"/>
      <c r="DKV597" s="50"/>
      <c r="DKW597" s="46"/>
      <c r="DKX597" s="47"/>
      <c r="DKY597" s="46"/>
      <c r="DKZ597" s="48"/>
      <c r="DLA597" s="53"/>
      <c r="DLH597" s="15"/>
      <c r="DLI597" s="50"/>
      <c r="DLJ597" s="50"/>
      <c r="DLK597" s="46"/>
      <c r="DLL597" s="47"/>
      <c r="DLM597" s="46"/>
      <c r="DLN597" s="48"/>
      <c r="DLO597" s="53"/>
      <c r="DLV597" s="15"/>
      <c r="DLW597" s="50"/>
      <c r="DLX597" s="50"/>
      <c r="DLY597" s="46"/>
      <c r="DLZ597" s="47"/>
      <c r="DMA597" s="46"/>
      <c r="DMB597" s="48"/>
      <c r="DMC597" s="53"/>
      <c r="DMJ597" s="15"/>
      <c r="DMK597" s="50"/>
      <c r="DML597" s="50"/>
      <c r="DMM597" s="46"/>
      <c r="DMN597" s="47"/>
      <c r="DMO597" s="46"/>
      <c r="DMP597" s="48"/>
      <c r="DMQ597" s="53"/>
      <c r="DMX597" s="15"/>
      <c r="DMY597" s="50"/>
      <c r="DMZ597" s="50"/>
      <c r="DNA597" s="46"/>
      <c r="DNB597" s="47"/>
      <c r="DNC597" s="46"/>
      <c r="DND597" s="48"/>
      <c r="DNE597" s="53"/>
      <c r="DNL597" s="15"/>
      <c r="DNM597" s="50"/>
      <c r="DNN597" s="50"/>
      <c r="DNO597" s="46"/>
      <c r="DNP597" s="47"/>
      <c r="DNQ597" s="46"/>
      <c r="DNR597" s="48"/>
      <c r="DNS597" s="53"/>
      <c r="DNZ597" s="15"/>
      <c r="DOA597" s="50"/>
      <c r="DOB597" s="50"/>
      <c r="DOC597" s="46"/>
      <c r="DOD597" s="47"/>
      <c r="DOE597" s="46"/>
      <c r="DOF597" s="48"/>
      <c r="DOG597" s="53"/>
      <c r="DON597" s="15"/>
      <c r="DOO597" s="50"/>
      <c r="DOP597" s="50"/>
      <c r="DOQ597" s="46"/>
      <c r="DOR597" s="47"/>
      <c r="DOS597" s="46"/>
      <c r="DOT597" s="48"/>
      <c r="DOU597" s="53"/>
      <c r="DPB597" s="15"/>
      <c r="DPC597" s="50"/>
      <c r="DPD597" s="50"/>
      <c r="DPE597" s="46"/>
      <c r="DPF597" s="47"/>
      <c r="DPG597" s="46"/>
      <c r="DPH597" s="48"/>
      <c r="DPI597" s="53"/>
      <c r="DPP597" s="15"/>
      <c r="DPQ597" s="50"/>
      <c r="DPR597" s="50"/>
      <c r="DPS597" s="46"/>
      <c r="DPT597" s="47"/>
      <c r="DPU597" s="46"/>
      <c r="DPV597" s="48"/>
      <c r="DPW597" s="53"/>
      <c r="DQD597" s="15"/>
      <c r="DQE597" s="50"/>
      <c r="DQF597" s="50"/>
      <c r="DQG597" s="46"/>
      <c r="DQH597" s="47"/>
      <c r="DQI597" s="46"/>
      <c r="DQJ597" s="48"/>
      <c r="DQK597" s="53"/>
      <c r="DQR597" s="15"/>
      <c r="DQS597" s="50"/>
      <c r="DQT597" s="50"/>
      <c r="DQU597" s="46"/>
      <c r="DQV597" s="47"/>
      <c r="DQW597" s="46"/>
      <c r="DQX597" s="48"/>
      <c r="DQY597" s="53"/>
      <c r="DRF597" s="15"/>
      <c r="DRG597" s="50"/>
      <c r="DRH597" s="50"/>
      <c r="DRI597" s="46"/>
      <c r="DRJ597" s="47"/>
      <c r="DRK597" s="46"/>
      <c r="DRL597" s="48"/>
      <c r="DRM597" s="53"/>
      <c r="DRT597" s="15"/>
      <c r="DRU597" s="50"/>
      <c r="DRV597" s="50"/>
      <c r="DRW597" s="46"/>
      <c r="DRX597" s="47"/>
      <c r="DRY597" s="46"/>
      <c r="DRZ597" s="48"/>
      <c r="DSA597" s="53"/>
      <c r="DSH597" s="15"/>
      <c r="DSI597" s="50"/>
      <c r="DSJ597" s="50"/>
      <c r="DSK597" s="46"/>
      <c r="DSL597" s="47"/>
      <c r="DSM597" s="46"/>
      <c r="DSN597" s="48"/>
      <c r="DSO597" s="53"/>
      <c r="DSV597" s="15"/>
      <c r="DSW597" s="50"/>
      <c r="DSX597" s="50"/>
      <c r="DSY597" s="46"/>
      <c r="DSZ597" s="47"/>
      <c r="DTA597" s="46"/>
      <c r="DTB597" s="48"/>
      <c r="DTC597" s="53"/>
      <c r="DTJ597" s="15"/>
      <c r="DTK597" s="50"/>
      <c r="DTL597" s="50"/>
      <c r="DTM597" s="46"/>
      <c r="DTN597" s="47"/>
      <c r="DTO597" s="46"/>
      <c r="DTP597" s="48"/>
      <c r="DTQ597" s="53"/>
      <c r="DTX597" s="15"/>
      <c r="DTY597" s="50"/>
      <c r="DTZ597" s="50"/>
      <c r="DUA597" s="46"/>
      <c r="DUB597" s="47"/>
      <c r="DUC597" s="46"/>
      <c r="DUD597" s="48"/>
      <c r="DUE597" s="53"/>
      <c r="DUL597" s="15"/>
      <c r="DUM597" s="50"/>
      <c r="DUN597" s="50"/>
      <c r="DUO597" s="46"/>
      <c r="DUP597" s="47"/>
      <c r="DUQ597" s="46"/>
      <c r="DUR597" s="48"/>
      <c r="DUS597" s="53"/>
      <c r="DUZ597" s="15"/>
      <c r="DVA597" s="50"/>
      <c r="DVB597" s="50"/>
      <c r="DVC597" s="46"/>
      <c r="DVD597" s="47"/>
      <c r="DVE597" s="46"/>
      <c r="DVF597" s="48"/>
      <c r="DVG597" s="53"/>
      <c r="DVN597" s="15"/>
      <c r="DVO597" s="50"/>
      <c r="DVP597" s="50"/>
      <c r="DVQ597" s="46"/>
      <c r="DVR597" s="47"/>
      <c r="DVS597" s="46"/>
      <c r="DVT597" s="48"/>
      <c r="DVU597" s="53"/>
      <c r="DWB597" s="15"/>
      <c r="DWC597" s="50"/>
      <c r="DWD597" s="50"/>
      <c r="DWE597" s="46"/>
      <c r="DWF597" s="47"/>
      <c r="DWG597" s="46"/>
      <c r="DWH597" s="48"/>
      <c r="DWI597" s="53"/>
      <c r="DWP597" s="15"/>
      <c r="DWQ597" s="50"/>
      <c r="DWR597" s="50"/>
      <c r="DWS597" s="46"/>
      <c r="DWT597" s="47"/>
      <c r="DWU597" s="46"/>
      <c r="DWV597" s="48"/>
      <c r="DWW597" s="53"/>
      <c r="DXD597" s="15"/>
      <c r="DXE597" s="50"/>
      <c r="DXF597" s="50"/>
      <c r="DXG597" s="46"/>
      <c r="DXH597" s="47"/>
      <c r="DXI597" s="46"/>
      <c r="DXJ597" s="48"/>
      <c r="DXK597" s="53"/>
      <c r="DXR597" s="15"/>
      <c r="DXS597" s="50"/>
      <c r="DXT597" s="50"/>
      <c r="DXU597" s="46"/>
      <c r="DXV597" s="47"/>
      <c r="DXW597" s="46"/>
      <c r="DXX597" s="48"/>
      <c r="DXY597" s="53"/>
      <c r="DYF597" s="15"/>
      <c r="DYG597" s="50"/>
      <c r="DYH597" s="50"/>
      <c r="DYI597" s="46"/>
      <c r="DYJ597" s="47"/>
      <c r="DYK597" s="46"/>
      <c r="DYL597" s="48"/>
      <c r="DYM597" s="53"/>
      <c r="DYT597" s="15"/>
      <c r="DYU597" s="50"/>
      <c r="DYV597" s="50"/>
      <c r="DYW597" s="46"/>
      <c r="DYX597" s="47"/>
      <c r="DYY597" s="46"/>
      <c r="DYZ597" s="48"/>
      <c r="DZA597" s="53"/>
      <c r="DZH597" s="15"/>
      <c r="DZI597" s="50"/>
      <c r="DZJ597" s="50"/>
      <c r="DZK597" s="46"/>
      <c r="DZL597" s="47"/>
      <c r="DZM597" s="46"/>
      <c r="DZN597" s="48"/>
      <c r="DZO597" s="53"/>
      <c r="DZV597" s="15"/>
      <c r="DZW597" s="50"/>
      <c r="DZX597" s="50"/>
      <c r="DZY597" s="46"/>
      <c r="DZZ597" s="47"/>
      <c r="EAA597" s="46"/>
      <c r="EAB597" s="48"/>
      <c r="EAC597" s="53"/>
      <c r="EAJ597" s="15"/>
      <c r="EAK597" s="50"/>
      <c r="EAL597" s="50"/>
      <c r="EAM597" s="46"/>
      <c r="EAN597" s="47"/>
      <c r="EAO597" s="46"/>
      <c r="EAP597" s="48"/>
      <c r="EAQ597" s="53"/>
      <c r="EAX597" s="15"/>
      <c r="EAY597" s="50"/>
      <c r="EAZ597" s="50"/>
      <c r="EBA597" s="46"/>
      <c r="EBB597" s="47"/>
      <c r="EBC597" s="46"/>
      <c r="EBD597" s="48"/>
      <c r="EBE597" s="53"/>
      <c r="EBL597" s="15"/>
      <c r="EBM597" s="50"/>
      <c r="EBN597" s="50"/>
      <c r="EBO597" s="46"/>
      <c r="EBP597" s="47"/>
      <c r="EBQ597" s="46"/>
      <c r="EBR597" s="48"/>
      <c r="EBS597" s="53"/>
      <c r="EBZ597" s="15"/>
      <c r="ECA597" s="50"/>
      <c r="ECB597" s="50"/>
      <c r="ECC597" s="46"/>
      <c r="ECD597" s="47"/>
      <c r="ECE597" s="46"/>
      <c r="ECF597" s="48"/>
      <c r="ECG597" s="53"/>
      <c r="ECN597" s="15"/>
      <c r="ECO597" s="50"/>
      <c r="ECP597" s="50"/>
      <c r="ECQ597" s="46"/>
      <c r="ECR597" s="47"/>
      <c r="ECS597" s="46"/>
      <c r="ECT597" s="48"/>
      <c r="ECU597" s="53"/>
      <c r="EDB597" s="15"/>
      <c r="EDC597" s="50"/>
      <c r="EDD597" s="50"/>
      <c r="EDE597" s="46"/>
      <c r="EDF597" s="47"/>
      <c r="EDG597" s="46"/>
      <c r="EDH597" s="48"/>
      <c r="EDI597" s="53"/>
      <c r="EDP597" s="15"/>
      <c r="EDQ597" s="50"/>
      <c r="EDR597" s="50"/>
      <c r="EDS597" s="46"/>
      <c r="EDT597" s="47"/>
      <c r="EDU597" s="46"/>
      <c r="EDV597" s="48"/>
      <c r="EDW597" s="53"/>
      <c r="EED597" s="15"/>
      <c r="EEE597" s="50"/>
      <c r="EEF597" s="50"/>
      <c r="EEG597" s="46"/>
      <c r="EEH597" s="47"/>
      <c r="EEI597" s="46"/>
      <c r="EEJ597" s="48"/>
      <c r="EEK597" s="53"/>
      <c r="EER597" s="15"/>
      <c r="EES597" s="50"/>
      <c r="EET597" s="50"/>
      <c r="EEU597" s="46"/>
      <c r="EEV597" s="47"/>
      <c r="EEW597" s="46"/>
      <c r="EEX597" s="48"/>
      <c r="EEY597" s="53"/>
      <c r="EFF597" s="15"/>
      <c r="EFG597" s="50"/>
      <c r="EFH597" s="50"/>
      <c r="EFI597" s="46"/>
      <c r="EFJ597" s="47"/>
      <c r="EFK597" s="46"/>
      <c r="EFL597" s="48"/>
      <c r="EFM597" s="53"/>
      <c r="EFT597" s="15"/>
      <c r="EFU597" s="50"/>
      <c r="EFV597" s="50"/>
      <c r="EFW597" s="46"/>
      <c r="EFX597" s="47"/>
      <c r="EFY597" s="46"/>
      <c r="EFZ597" s="48"/>
      <c r="EGA597" s="53"/>
      <c r="EGH597" s="15"/>
      <c r="EGI597" s="50"/>
      <c r="EGJ597" s="50"/>
      <c r="EGK597" s="46"/>
      <c r="EGL597" s="47"/>
      <c r="EGM597" s="46"/>
      <c r="EGN597" s="48"/>
      <c r="EGO597" s="53"/>
      <c r="EGV597" s="15"/>
      <c r="EGW597" s="50"/>
      <c r="EGX597" s="50"/>
      <c r="EGY597" s="46"/>
      <c r="EGZ597" s="47"/>
      <c r="EHA597" s="46"/>
      <c r="EHB597" s="48"/>
      <c r="EHC597" s="53"/>
      <c r="EHJ597" s="15"/>
      <c r="EHK597" s="50"/>
      <c r="EHL597" s="50"/>
      <c r="EHM597" s="46"/>
      <c r="EHN597" s="47"/>
      <c r="EHO597" s="46"/>
      <c r="EHP597" s="48"/>
      <c r="EHQ597" s="53"/>
      <c r="EHX597" s="15"/>
      <c r="EHY597" s="50"/>
      <c r="EHZ597" s="50"/>
      <c r="EIA597" s="46"/>
      <c r="EIB597" s="47"/>
      <c r="EIC597" s="46"/>
      <c r="EID597" s="48"/>
      <c r="EIE597" s="53"/>
      <c r="EIL597" s="15"/>
      <c r="EIM597" s="50"/>
      <c r="EIN597" s="50"/>
      <c r="EIO597" s="46"/>
      <c r="EIP597" s="47"/>
      <c r="EIQ597" s="46"/>
      <c r="EIR597" s="48"/>
      <c r="EIS597" s="53"/>
      <c r="EIZ597" s="15"/>
      <c r="EJA597" s="50"/>
      <c r="EJB597" s="50"/>
      <c r="EJC597" s="46"/>
      <c r="EJD597" s="47"/>
      <c r="EJE597" s="46"/>
      <c r="EJF597" s="48"/>
      <c r="EJG597" s="53"/>
      <c r="EJN597" s="15"/>
      <c r="EJO597" s="50"/>
      <c r="EJP597" s="50"/>
      <c r="EJQ597" s="46"/>
      <c r="EJR597" s="47"/>
      <c r="EJS597" s="46"/>
      <c r="EJT597" s="48"/>
      <c r="EJU597" s="53"/>
      <c r="EKB597" s="15"/>
      <c r="EKC597" s="50"/>
      <c r="EKD597" s="50"/>
      <c r="EKE597" s="46"/>
      <c r="EKF597" s="47"/>
      <c r="EKG597" s="46"/>
      <c r="EKH597" s="48"/>
      <c r="EKI597" s="53"/>
      <c r="EKP597" s="15"/>
      <c r="EKQ597" s="50"/>
      <c r="EKR597" s="50"/>
      <c r="EKS597" s="46"/>
      <c r="EKT597" s="47"/>
      <c r="EKU597" s="46"/>
      <c r="EKV597" s="48"/>
      <c r="EKW597" s="53"/>
      <c r="ELD597" s="15"/>
      <c r="ELE597" s="50"/>
      <c r="ELF597" s="50"/>
      <c r="ELG597" s="46"/>
      <c r="ELH597" s="47"/>
      <c r="ELI597" s="46"/>
      <c r="ELJ597" s="48"/>
      <c r="ELK597" s="53"/>
      <c r="ELR597" s="15"/>
      <c r="ELS597" s="50"/>
      <c r="ELT597" s="50"/>
      <c r="ELU597" s="46"/>
      <c r="ELV597" s="47"/>
      <c r="ELW597" s="46"/>
      <c r="ELX597" s="48"/>
      <c r="ELY597" s="53"/>
      <c r="EMF597" s="15"/>
      <c r="EMG597" s="50"/>
      <c r="EMH597" s="50"/>
      <c r="EMI597" s="46"/>
      <c r="EMJ597" s="47"/>
      <c r="EMK597" s="46"/>
      <c r="EML597" s="48"/>
      <c r="EMM597" s="53"/>
      <c r="EMT597" s="15"/>
      <c r="EMU597" s="50"/>
      <c r="EMV597" s="50"/>
      <c r="EMW597" s="46"/>
      <c r="EMX597" s="47"/>
      <c r="EMY597" s="46"/>
      <c r="EMZ597" s="48"/>
      <c r="ENA597" s="53"/>
      <c r="ENH597" s="15"/>
      <c r="ENI597" s="50"/>
      <c r="ENJ597" s="50"/>
      <c r="ENK597" s="46"/>
      <c r="ENL597" s="47"/>
      <c r="ENM597" s="46"/>
      <c r="ENN597" s="48"/>
      <c r="ENO597" s="53"/>
      <c r="ENV597" s="15"/>
      <c r="ENW597" s="50"/>
      <c r="ENX597" s="50"/>
      <c r="ENY597" s="46"/>
      <c r="ENZ597" s="47"/>
      <c r="EOA597" s="46"/>
      <c r="EOB597" s="48"/>
      <c r="EOC597" s="53"/>
      <c r="EOJ597" s="15"/>
      <c r="EOK597" s="50"/>
      <c r="EOL597" s="50"/>
      <c r="EOM597" s="46"/>
      <c r="EON597" s="47"/>
      <c r="EOO597" s="46"/>
      <c r="EOP597" s="48"/>
      <c r="EOQ597" s="53"/>
      <c r="EOX597" s="15"/>
      <c r="EOY597" s="50"/>
      <c r="EOZ597" s="50"/>
      <c r="EPA597" s="46"/>
      <c r="EPB597" s="47"/>
      <c r="EPC597" s="46"/>
      <c r="EPD597" s="48"/>
      <c r="EPE597" s="53"/>
      <c r="EPL597" s="15"/>
      <c r="EPM597" s="50"/>
      <c r="EPN597" s="50"/>
      <c r="EPO597" s="46"/>
      <c r="EPP597" s="47"/>
      <c r="EPQ597" s="46"/>
      <c r="EPR597" s="48"/>
      <c r="EPS597" s="53"/>
      <c r="EPZ597" s="15"/>
      <c r="EQA597" s="50"/>
      <c r="EQB597" s="50"/>
      <c r="EQC597" s="46"/>
      <c r="EQD597" s="47"/>
      <c r="EQE597" s="46"/>
      <c r="EQF597" s="48"/>
      <c r="EQG597" s="53"/>
      <c r="EQN597" s="15"/>
      <c r="EQO597" s="50"/>
      <c r="EQP597" s="50"/>
      <c r="EQQ597" s="46"/>
      <c r="EQR597" s="47"/>
      <c r="EQS597" s="46"/>
      <c r="EQT597" s="48"/>
      <c r="EQU597" s="53"/>
      <c r="ERB597" s="15"/>
      <c r="ERC597" s="50"/>
      <c r="ERD597" s="50"/>
      <c r="ERE597" s="46"/>
      <c r="ERF597" s="47"/>
      <c r="ERG597" s="46"/>
      <c r="ERH597" s="48"/>
      <c r="ERI597" s="53"/>
      <c r="ERP597" s="15"/>
      <c r="ERQ597" s="50"/>
      <c r="ERR597" s="50"/>
      <c r="ERS597" s="46"/>
      <c r="ERT597" s="47"/>
      <c r="ERU597" s="46"/>
      <c r="ERV597" s="48"/>
      <c r="ERW597" s="53"/>
      <c r="ESD597" s="15"/>
      <c r="ESE597" s="50"/>
      <c r="ESF597" s="50"/>
      <c r="ESG597" s="46"/>
      <c r="ESH597" s="47"/>
      <c r="ESI597" s="46"/>
      <c r="ESJ597" s="48"/>
      <c r="ESK597" s="53"/>
      <c r="ESR597" s="15"/>
      <c r="ESS597" s="50"/>
      <c r="EST597" s="50"/>
      <c r="ESU597" s="46"/>
      <c r="ESV597" s="47"/>
      <c r="ESW597" s="46"/>
      <c r="ESX597" s="48"/>
      <c r="ESY597" s="53"/>
      <c r="ETF597" s="15"/>
      <c r="ETG597" s="50"/>
      <c r="ETH597" s="50"/>
      <c r="ETI597" s="46"/>
      <c r="ETJ597" s="47"/>
      <c r="ETK597" s="46"/>
      <c r="ETL597" s="48"/>
      <c r="ETM597" s="53"/>
      <c r="ETT597" s="15"/>
      <c r="ETU597" s="50"/>
      <c r="ETV597" s="50"/>
      <c r="ETW597" s="46"/>
      <c r="ETX597" s="47"/>
      <c r="ETY597" s="46"/>
      <c r="ETZ597" s="48"/>
      <c r="EUA597" s="53"/>
      <c r="EUH597" s="15"/>
      <c r="EUI597" s="50"/>
      <c r="EUJ597" s="50"/>
      <c r="EUK597" s="46"/>
      <c r="EUL597" s="47"/>
      <c r="EUM597" s="46"/>
      <c r="EUN597" s="48"/>
      <c r="EUO597" s="53"/>
      <c r="EUV597" s="15"/>
      <c r="EUW597" s="50"/>
      <c r="EUX597" s="50"/>
      <c r="EUY597" s="46"/>
      <c r="EUZ597" s="47"/>
      <c r="EVA597" s="46"/>
      <c r="EVB597" s="48"/>
      <c r="EVC597" s="53"/>
      <c r="EVJ597" s="15"/>
      <c r="EVK597" s="50"/>
      <c r="EVL597" s="50"/>
      <c r="EVM597" s="46"/>
      <c r="EVN597" s="47"/>
      <c r="EVO597" s="46"/>
      <c r="EVP597" s="48"/>
      <c r="EVQ597" s="53"/>
      <c r="EVX597" s="15"/>
      <c r="EVY597" s="50"/>
      <c r="EVZ597" s="50"/>
      <c r="EWA597" s="46"/>
      <c r="EWB597" s="47"/>
      <c r="EWC597" s="46"/>
      <c r="EWD597" s="48"/>
      <c r="EWE597" s="53"/>
      <c r="EWL597" s="15"/>
      <c r="EWM597" s="50"/>
      <c r="EWN597" s="50"/>
      <c r="EWO597" s="46"/>
      <c r="EWP597" s="47"/>
      <c r="EWQ597" s="46"/>
      <c r="EWR597" s="48"/>
      <c r="EWS597" s="53"/>
      <c r="EWZ597" s="15"/>
      <c r="EXA597" s="50"/>
      <c r="EXB597" s="50"/>
      <c r="EXC597" s="46"/>
      <c r="EXD597" s="47"/>
      <c r="EXE597" s="46"/>
      <c r="EXF597" s="48"/>
      <c r="EXG597" s="53"/>
      <c r="EXN597" s="15"/>
      <c r="EXO597" s="50"/>
      <c r="EXP597" s="50"/>
      <c r="EXQ597" s="46"/>
      <c r="EXR597" s="47"/>
      <c r="EXS597" s="46"/>
      <c r="EXT597" s="48"/>
      <c r="EXU597" s="53"/>
      <c r="EYB597" s="15"/>
      <c r="EYC597" s="50"/>
      <c r="EYD597" s="50"/>
      <c r="EYE597" s="46"/>
      <c r="EYF597" s="47"/>
      <c r="EYG597" s="46"/>
      <c r="EYH597" s="48"/>
      <c r="EYI597" s="53"/>
      <c r="EYP597" s="15"/>
      <c r="EYQ597" s="50"/>
      <c r="EYR597" s="50"/>
      <c r="EYS597" s="46"/>
      <c r="EYT597" s="47"/>
      <c r="EYU597" s="46"/>
      <c r="EYV597" s="48"/>
      <c r="EYW597" s="53"/>
      <c r="EZD597" s="15"/>
      <c r="EZE597" s="50"/>
      <c r="EZF597" s="50"/>
      <c r="EZG597" s="46"/>
      <c r="EZH597" s="47"/>
      <c r="EZI597" s="46"/>
      <c r="EZJ597" s="48"/>
      <c r="EZK597" s="53"/>
      <c r="EZR597" s="15"/>
      <c r="EZS597" s="50"/>
      <c r="EZT597" s="50"/>
      <c r="EZU597" s="46"/>
      <c r="EZV597" s="47"/>
      <c r="EZW597" s="46"/>
      <c r="EZX597" s="48"/>
      <c r="EZY597" s="53"/>
      <c r="FAF597" s="15"/>
      <c r="FAG597" s="50"/>
      <c r="FAH597" s="50"/>
      <c r="FAI597" s="46"/>
      <c r="FAJ597" s="47"/>
      <c r="FAK597" s="46"/>
      <c r="FAL597" s="48"/>
      <c r="FAM597" s="53"/>
      <c r="FAT597" s="15"/>
      <c r="FAU597" s="50"/>
      <c r="FAV597" s="50"/>
      <c r="FAW597" s="46"/>
      <c r="FAX597" s="47"/>
      <c r="FAY597" s="46"/>
      <c r="FAZ597" s="48"/>
      <c r="FBA597" s="53"/>
      <c r="FBH597" s="15"/>
      <c r="FBI597" s="50"/>
      <c r="FBJ597" s="50"/>
      <c r="FBK597" s="46"/>
      <c r="FBL597" s="47"/>
      <c r="FBM597" s="46"/>
      <c r="FBN597" s="48"/>
      <c r="FBO597" s="53"/>
      <c r="FBV597" s="15"/>
      <c r="FBW597" s="50"/>
      <c r="FBX597" s="50"/>
      <c r="FBY597" s="46"/>
      <c r="FBZ597" s="47"/>
      <c r="FCA597" s="46"/>
      <c r="FCB597" s="48"/>
      <c r="FCC597" s="53"/>
      <c r="FCJ597" s="15"/>
      <c r="FCK597" s="50"/>
      <c r="FCL597" s="50"/>
      <c r="FCM597" s="46"/>
      <c r="FCN597" s="47"/>
      <c r="FCO597" s="46"/>
      <c r="FCP597" s="48"/>
      <c r="FCQ597" s="53"/>
      <c r="FCX597" s="15"/>
      <c r="FCY597" s="50"/>
      <c r="FCZ597" s="50"/>
      <c r="FDA597" s="46"/>
      <c r="FDB597" s="47"/>
      <c r="FDC597" s="46"/>
      <c r="FDD597" s="48"/>
      <c r="FDE597" s="53"/>
      <c r="FDL597" s="15"/>
      <c r="FDM597" s="50"/>
      <c r="FDN597" s="50"/>
      <c r="FDO597" s="46"/>
      <c r="FDP597" s="47"/>
      <c r="FDQ597" s="46"/>
      <c r="FDR597" s="48"/>
      <c r="FDS597" s="53"/>
      <c r="FDZ597" s="15"/>
      <c r="FEA597" s="50"/>
      <c r="FEB597" s="50"/>
      <c r="FEC597" s="46"/>
      <c r="FED597" s="47"/>
      <c r="FEE597" s="46"/>
      <c r="FEF597" s="48"/>
      <c r="FEG597" s="53"/>
      <c r="FEN597" s="15"/>
      <c r="FEO597" s="50"/>
      <c r="FEP597" s="50"/>
      <c r="FEQ597" s="46"/>
      <c r="FER597" s="47"/>
      <c r="FES597" s="46"/>
      <c r="FET597" s="48"/>
      <c r="FEU597" s="53"/>
      <c r="FFB597" s="15"/>
      <c r="FFC597" s="50"/>
      <c r="FFD597" s="50"/>
      <c r="FFE597" s="46"/>
      <c r="FFF597" s="47"/>
      <c r="FFG597" s="46"/>
      <c r="FFH597" s="48"/>
      <c r="FFI597" s="53"/>
      <c r="FFP597" s="15"/>
      <c r="FFQ597" s="50"/>
      <c r="FFR597" s="50"/>
      <c r="FFS597" s="46"/>
      <c r="FFT597" s="47"/>
      <c r="FFU597" s="46"/>
      <c r="FFV597" s="48"/>
      <c r="FFW597" s="53"/>
      <c r="FGD597" s="15"/>
      <c r="FGE597" s="50"/>
      <c r="FGF597" s="50"/>
      <c r="FGG597" s="46"/>
      <c r="FGH597" s="47"/>
      <c r="FGI597" s="46"/>
      <c r="FGJ597" s="48"/>
      <c r="FGK597" s="53"/>
      <c r="FGR597" s="15"/>
      <c r="FGS597" s="50"/>
      <c r="FGT597" s="50"/>
      <c r="FGU597" s="46"/>
      <c r="FGV597" s="47"/>
      <c r="FGW597" s="46"/>
      <c r="FGX597" s="48"/>
      <c r="FGY597" s="53"/>
      <c r="FHF597" s="15"/>
      <c r="FHG597" s="50"/>
      <c r="FHH597" s="50"/>
      <c r="FHI597" s="46"/>
      <c r="FHJ597" s="47"/>
      <c r="FHK597" s="46"/>
      <c r="FHL597" s="48"/>
      <c r="FHM597" s="53"/>
      <c r="FHT597" s="15"/>
      <c r="FHU597" s="50"/>
      <c r="FHV597" s="50"/>
      <c r="FHW597" s="46"/>
      <c r="FHX597" s="47"/>
      <c r="FHY597" s="46"/>
      <c r="FHZ597" s="48"/>
      <c r="FIA597" s="53"/>
      <c r="FIH597" s="15"/>
      <c r="FII597" s="50"/>
      <c r="FIJ597" s="50"/>
      <c r="FIK597" s="46"/>
      <c r="FIL597" s="47"/>
      <c r="FIM597" s="46"/>
      <c r="FIN597" s="48"/>
      <c r="FIO597" s="53"/>
      <c r="FIV597" s="15"/>
      <c r="FIW597" s="50"/>
      <c r="FIX597" s="50"/>
      <c r="FIY597" s="46"/>
      <c r="FIZ597" s="47"/>
      <c r="FJA597" s="46"/>
      <c r="FJB597" s="48"/>
      <c r="FJC597" s="53"/>
      <c r="FJJ597" s="15"/>
      <c r="FJK597" s="50"/>
      <c r="FJL597" s="50"/>
      <c r="FJM597" s="46"/>
      <c r="FJN597" s="47"/>
      <c r="FJO597" s="46"/>
      <c r="FJP597" s="48"/>
      <c r="FJQ597" s="53"/>
      <c r="FJX597" s="15"/>
      <c r="FJY597" s="50"/>
      <c r="FJZ597" s="50"/>
      <c r="FKA597" s="46"/>
      <c r="FKB597" s="47"/>
      <c r="FKC597" s="46"/>
      <c r="FKD597" s="48"/>
      <c r="FKE597" s="53"/>
      <c r="FKL597" s="15"/>
      <c r="FKM597" s="50"/>
      <c r="FKN597" s="50"/>
      <c r="FKO597" s="46"/>
      <c r="FKP597" s="47"/>
      <c r="FKQ597" s="46"/>
      <c r="FKR597" s="48"/>
      <c r="FKS597" s="53"/>
      <c r="FKZ597" s="15"/>
      <c r="FLA597" s="50"/>
      <c r="FLB597" s="50"/>
      <c r="FLC597" s="46"/>
      <c r="FLD597" s="47"/>
      <c r="FLE597" s="46"/>
      <c r="FLF597" s="48"/>
      <c r="FLG597" s="53"/>
      <c r="FLN597" s="15"/>
      <c r="FLO597" s="50"/>
      <c r="FLP597" s="50"/>
      <c r="FLQ597" s="46"/>
      <c r="FLR597" s="47"/>
      <c r="FLS597" s="46"/>
      <c r="FLT597" s="48"/>
      <c r="FLU597" s="53"/>
      <c r="FMB597" s="15"/>
      <c r="FMC597" s="50"/>
      <c r="FMD597" s="50"/>
      <c r="FME597" s="46"/>
      <c r="FMF597" s="47"/>
      <c r="FMG597" s="46"/>
      <c r="FMH597" s="48"/>
      <c r="FMI597" s="53"/>
      <c r="FMP597" s="15"/>
      <c r="FMQ597" s="50"/>
      <c r="FMR597" s="50"/>
      <c r="FMS597" s="46"/>
      <c r="FMT597" s="47"/>
      <c r="FMU597" s="46"/>
      <c r="FMV597" s="48"/>
      <c r="FMW597" s="53"/>
      <c r="FND597" s="15"/>
      <c r="FNE597" s="50"/>
      <c r="FNF597" s="50"/>
      <c r="FNG597" s="46"/>
      <c r="FNH597" s="47"/>
      <c r="FNI597" s="46"/>
      <c r="FNJ597" s="48"/>
      <c r="FNK597" s="53"/>
      <c r="FNR597" s="15"/>
      <c r="FNS597" s="50"/>
      <c r="FNT597" s="50"/>
      <c r="FNU597" s="46"/>
      <c r="FNV597" s="47"/>
      <c r="FNW597" s="46"/>
      <c r="FNX597" s="48"/>
      <c r="FNY597" s="53"/>
      <c r="FOF597" s="15"/>
      <c r="FOG597" s="50"/>
      <c r="FOH597" s="50"/>
      <c r="FOI597" s="46"/>
      <c r="FOJ597" s="47"/>
      <c r="FOK597" s="46"/>
      <c r="FOL597" s="48"/>
      <c r="FOM597" s="53"/>
      <c r="FOT597" s="15"/>
      <c r="FOU597" s="50"/>
      <c r="FOV597" s="50"/>
      <c r="FOW597" s="46"/>
      <c r="FOX597" s="47"/>
      <c r="FOY597" s="46"/>
      <c r="FOZ597" s="48"/>
      <c r="FPA597" s="53"/>
      <c r="FPH597" s="15"/>
      <c r="FPI597" s="50"/>
      <c r="FPJ597" s="50"/>
      <c r="FPK597" s="46"/>
      <c r="FPL597" s="47"/>
      <c r="FPM597" s="46"/>
      <c r="FPN597" s="48"/>
      <c r="FPO597" s="53"/>
      <c r="FPV597" s="15"/>
      <c r="FPW597" s="50"/>
      <c r="FPX597" s="50"/>
      <c r="FPY597" s="46"/>
      <c r="FPZ597" s="47"/>
      <c r="FQA597" s="46"/>
      <c r="FQB597" s="48"/>
      <c r="FQC597" s="53"/>
      <c r="FQJ597" s="15"/>
      <c r="FQK597" s="50"/>
      <c r="FQL597" s="50"/>
      <c r="FQM597" s="46"/>
      <c r="FQN597" s="47"/>
      <c r="FQO597" s="46"/>
      <c r="FQP597" s="48"/>
      <c r="FQQ597" s="53"/>
      <c r="FQX597" s="15"/>
      <c r="FQY597" s="50"/>
      <c r="FQZ597" s="50"/>
      <c r="FRA597" s="46"/>
      <c r="FRB597" s="47"/>
      <c r="FRC597" s="46"/>
      <c r="FRD597" s="48"/>
      <c r="FRE597" s="53"/>
      <c r="FRL597" s="15"/>
      <c r="FRM597" s="50"/>
      <c r="FRN597" s="50"/>
      <c r="FRO597" s="46"/>
      <c r="FRP597" s="47"/>
      <c r="FRQ597" s="46"/>
      <c r="FRR597" s="48"/>
      <c r="FRS597" s="53"/>
      <c r="FRZ597" s="15"/>
      <c r="FSA597" s="50"/>
      <c r="FSB597" s="50"/>
      <c r="FSC597" s="46"/>
      <c r="FSD597" s="47"/>
      <c r="FSE597" s="46"/>
      <c r="FSF597" s="48"/>
      <c r="FSG597" s="53"/>
      <c r="FSN597" s="15"/>
      <c r="FSO597" s="50"/>
      <c r="FSP597" s="50"/>
      <c r="FSQ597" s="46"/>
      <c r="FSR597" s="47"/>
      <c r="FSS597" s="46"/>
      <c r="FST597" s="48"/>
      <c r="FSU597" s="53"/>
      <c r="FTB597" s="15"/>
      <c r="FTC597" s="50"/>
      <c r="FTD597" s="50"/>
      <c r="FTE597" s="46"/>
      <c r="FTF597" s="47"/>
      <c r="FTG597" s="46"/>
      <c r="FTH597" s="48"/>
      <c r="FTI597" s="53"/>
      <c r="FTP597" s="15"/>
      <c r="FTQ597" s="50"/>
      <c r="FTR597" s="50"/>
      <c r="FTS597" s="46"/>
      <c r="FTT597" s="47"/>
      <c r="FTU597" s="46"/>
      <c r="FTV597" s="48"/>
      <c r="FTW597" s="53"/>
      <c r="FUD597" s="15"/>
      <c r="FUE597" s="50"/>
      <c r="FUF597" s="50"/>
      <c r="FUG597" s="46"/>
      <c r="FUH597" s="47"/>
      <c r="FUI597" s="46"/>
      <c r="FUJ597" s="48"/>
      <c r="FUK597" s="53"/>
      <c r="FUR597" s="15"/>
      <c r="FUS597" s="50"/>
      <c r="FUT597" s="50"/>
      <c r="FUU597" s="46"/>
      <c r="FUV597" s="47"/>
      <c r="FUW597" s="46"/>
      <c r="FUX597" s="48"/>
      <c r="FUY597" s="53"/>
      <c r="FVF597" s="15"/>
      <c r="FVG597" s="50"/>
      <c r="FVH597" s="50"/>
      <c r="FVI597" s="46"/>
      <c r="FVJ597" s="47"/>
      <c r="FVK597" s="46"/>
      <c r="FVL597" s="48"/>
      <c r="FVM597" s="53"/>
      <c r="FVT597" s="15"/>
      <c r="FVU597" s="50"/>
      <c r="FVV597" s="50"/>
      <c r="FVW597" s="46"/>
      <c r="FVX597" s="47"/>
      <c r="FVY597" s="46"/>
      <c r="FVZ597" s="48"/>
      <c r="FWA597" s="53"/>
      <c r="FWH597" s="15"/>
      <c r="FWI597" s="50"/>
      <c r="FWJ597" s="50"/>
      <c r="FWK597" s="46"/>
      <c r="FWL597" s="47"/>
      <c r="FWM597" s="46"/>
      <c r="FWN597" s="48"/>
      <c r="FWO597" s="53"/>
      <c r="FWV597" s="15"/>
      <c r="FWW597" s="50"/>
      <c r="FWX597" s="50"/>
      <c r="FWY597" s="46"/>
      <c r="FWZ597" s="47"/>
      <c r="FXA597" s="46"/>
      <c r="FXB597" s="48"/>
      <c r="FXC597" s="53"/>
      <c r="FXJ597" s="15"/>
      <c r="FXK597" s="50"/>
      <c r="FXL597" s="50"/>
      <c r="FXM597" s="46"/>
      <c r="FXN597" s="47"/>
      <c r="FXO597" s="46"/>
      <c r="FXP597" s="48"/>
      <c r="FXQ597" s="53"/>
      <c r="FXX597" s="15"/>
      <c r="FXY597" s="50"/>
      <c r="FXZ597" s="50"/>
      <c r="FYA597" s="46"/>
      <c r="FYB597" s="47"/>
      <c r="FYC597" s="46"/>
      <c r="FYD597" s="48"/>
      <c r="FYE597" s="53"/>
      <c r="FYL597" s="15"/>
      <c r="FYM597" s="50"/>
      <c r="FYN597" s="50"/>
      <c r="FYO597" s="46"/>
      <c r="FYP597" s="47"/>
      <c r="FYQ597" s="46"/>
      <c r="FYR597" s="48"/>
      <c r="FYS597" s="53"/>
      <c r="FYZ597" s="15"/>
      <c r="FZA597" s="50"/>
      <c r="FZB597" s="50"/>
      <c r="FZC597" s="46"/>
      <c r="FZD597" s="47"/>
      <c r="FZE597" s="46"/>
      <c r="FZF597" s="48"/>
      <c r="FZG597" s="53"/>
      <c r="FZN597" s="15"/>
      <c r="FZO597" s="50"/>
      <c r="FZP597" s="50"/>
      <c r="FZQ597" s="46"/>
      <c r="FZR597" s="47"/>
      <c r="FZS597" s="46"/>
      <c r="FZT597" s="48"/>
      <c r="FZU597" s="53"/>
      <c r="GAB597" s="15"/>
      <c r="GAC597" s="50"/>
      <c r="GAD597" s="50"/>
      <c r="GAE597" s="46"/>
      <c r="GAF597" s="47"/>
      <c r="GAG597" s="46"/>
      <c r="GAH597" s="48"/>
      <c r="GAI597" s="53"/>
      <c r="GAP597" s="15"/>
      <c r="GAQ597" s="50"/>
      <c r="GAR597" s="50"/>
      <c r="GAS597" s="46"/>
      <c r="GAT597" s="47"/>
      <c r="GAU597" s="46"/>
      <c r="GAV597" s="48"/>
      <c r="GAW597" s="53"/>
      <c r="GBD597" s="15"/>
      <c r="GBE597" s="50"/>
      <c r="GBF597" s="50"/>
      <c r="GBG597" s="46"/>
      <c r="GBH597" s="47"/>
      <c r="GBI597" s="46"/>
      <c r="GBJ597" s="48"/>
      <c r="GBK597" s="53"/>
      <c r="GBR597" s="15"/>
      <c r="GBS597" s="50"/>
      <c r="GBT597" s="50"/>
      <c r="GBU597" s="46"/>
      <c r="GBV597" s="47"/>
      <c r="GBW597" s="46"/>
      <c r="GBX597" s="48"/>
      <c r="GBY597" s="53"/>
      <c r="GCF597" s="15"/>
      <c r="GCG597" s="50"/>
      <c r="GCH597" s="50"/>
      <c r="GCI597" s="46"/>
      <c r="GCJ597" s="47"/>
      <c r="GCK597" s="46"/>
      <c r="GCL597" s="48"/>
      <c r="GCM597" s="53"/>
      <c r="GCT597" s="15"/>
      <c r="GCU597" s="50"/>
      <c r="GCV597" s="50"/>
      <c r="GCW597" s="46"/>
      <c r="GCX597" s="47"/>
      <c r="GCY597" s="46"/>
      <c r="GCZ597" s="48"/>
      <c r="GDA597" s="53"/>
      <c r="GDH597" s="15"/>
      <c r="GDI597" s="50"/>
      <c r="GDJ597" s="50"/>
      <c r="GDK597" s="46"/>
      <c r="GDL597" s="47"/>
      <c r="GDM597" s="46"/>
      <c r="GDN597" s="48"/>
      <c r="GDO597" s="53"/>
      <c r="GDV597" s="15"/>
      <c r="GDW597" s="50"/>
      <c r="GDX597" s="50"/>
      <c r="GDY597" s="46"/>
      <c r="GDZ597" s="47"/>
      <c r="GEA597" s="46"/>
      <c r="GEB597" s="48"/>
      <c r="GEC597" s="53"/>
      <c r="GEJ597" s="15"/>
      <c r="GEK597" s="50"/>
      <c r="GEL597" s="50"/>
      <c r="GEM597" s="46"/>
      <c r="GEN597" s="47"/>
      <c r="GEO597" s="46"/>
      <c r="GEP597" s="48"/>
      <c r="GEQ597" s="53"/>
      <c r="GEX597" s="15"/>
      <c r="GEY597" s="50"/>
      <c r="GEZ597" s="50"/>
      <c r="GFA597" s="46"/>
      <c r="GFB597" s="47"/>
      <c r="GFC597" s="46"/>
      <c r="GFD597" s="48"/>
      <c r="GFE597" s="53"/>
      <c r="GFL597" s="15"/>
      <c r="GFM597" s="50"/>
      <c r="GFN597" s="50"/>
      <c r="GFO597" s="46"/>
      <c r="GFP597" s="47"/>
      <c r="GFQ597" s="46"/>
      <c r="GFR597" s="48"/>
      <c r="GFS597" s="53"/>
      <c r="GFZ597" s="15"/>
      <c r="GGA597" s="50"/>
      <c r="GGB597" s="50"/>
      <c r="GGC597" s="46"/>
      <c r="GGD597" s="47"/>
      <c r="GGE597" s="46"/>
      <c r="GGF597" s="48"/>
      <c r="GGG597" s="53"/>
      <c r="GGN597" s="15"/>
      <c r="GGO597" s="50"/>
      <c r="GGP597" s="50"/>
      <c r="GGQ597" s="46"/>
      <c r="GGR597" s="47"/>
      <c r="GGS597" s="46"/>
      <c r="GGT597" s="48"/>
      <c r="GGU597" s="53"/>
      <c r="GHB597" s="15"/>
      <c r="GHC597" s="50"/>
      <c r="GHD597" s="50"/>
      <c r="GHE597" s="46"/>
      <c r="GHF597" s="47"/>
      <c r="GHG597" s="46"/>
      <c r="GHH597" s="48"/>
      <c r="GHI597" s="53"/>
      <c r="GHP597" s="15"/>
      <c r="GHQ597" s="50"/>
      <c r="GHR597" s="50"/>
      <c r="GHS597" s="46"/>
      <c r="GHT597" s="47"/>
      <c r="GHU597" s="46"/>
      <c r="GHV597" s="48"/>
      <c r="GHW597" s="53"/>
      <c r="GID597" s="15"/>
      <c r="GIE597" s="50"/>
      <c r="GIF597" s="50"/>
      <c r="GIG597" s="46"/>
      <c r="GIH597" s="47"/>
      <c r="GII597" s="46"/>
      <c r="GIJ597" s="48"/>
      <c r="GIK597" s="53"/>
      <c r="GIR597" s="15"/>
      <c r="GIS597" s="50"/>
      <c r="GIT597" s="50"/>
      <c r="GIU597" s="46"/>
      <c r="GIV597" s="47"/>
      <c r="GIW597" s="46"/>
      <c r="GIX597" s="48"/>
      <c r="GIY597" s="53"/>
      <c r="GJF597" s="15"/>
      <c r="GJG597" s="50"/>
      <c r="GJH597" s="50"/>
      <c r="GJI597" s="46"/>
      <c r="GJJ597" s="47"/>
      <c r="GJK597" s="46"/>
      <c r="GJL597" s="48"/>
      <c r="GJM597" s="53"/>
      <c r="GJT597" s="15"/>
      <c r="GJU597" s="50"/>
      <c r="GJV597" s="50"/>
      <c r="GJW597" s="46"/>
      <c r="GJX597" s="47"/>
      <c r="GJY597" s="46"/>
      <c r="GJZ597" s="48"/>
      <c r="GKA597" s="53"/>
      <c r="GKH597" s="15"/>
      <c r="GKI597" s="50"/>
      <c r="GKJ597" s="50"/>
      <c r="GKK597" s="46"/>
      <c r="GKL597" s="47"/>
      <c r="GKM597" s="46"/>
      <c r="GKN597" s="48"/>
      <c r="GKO597" s="53"/>
      <c r="GKV597" s="15"/>
      <c r="GKW597" s="50"/>
      <c r="GKX597" s="50"/>
      <c r="GKY597" s="46"/>
      <c r="GKZ597" s="47"/>
      <c r="GLA597" s="46"/>
      <c r="GLB597" s="48"/>
      <c r="GLC597" s="53"/>
      <c r="GLJ597" s="15"/>
      <c r="GLK597" s="50"/>
      <c r="GLL597" s="50"/>
      <c r="GLM597" s="46"/>
      <c r="GLN597" s="47"/>
      <c r="GLO597" s="46"/>
      <c r="GLP597" s="48"/>
      <c r="GLQ597" s="53"/>
      <c r="GLX597" s="15"/>
      <c r="GLY597" s="50"/>
      <c r="GLZ597" s="50"/>
      <c r="GMA597" s="46"/>
      <c r="GMB597" s="47"/>
      <c r="GMC597" s="46"/>
      <c r="GMD597" s="48"/>
      <c r="GME597" s="53"/>
      <c r="GML597" s="15"/>
      <c r="GMM597" s="50"/>
      <c r="GMN597" s="50"/>
      <c r="GMO597" s="46"/>
      <c r="GMP597" s="47"/>
      <c r="GMQ597" s="46"/>
      <c r="GMR597" s="48"/>
      <c r="GMS597" s="53"/>
      <c r="GMZ597" s="15"/>
      <c r="GNA597" s="50"/>
      <c r="GNB597" s="50"/>
      <c r="GNC597" s="46"/>
      <c r="GND597" s="47"/>
      <c r="GNE597" s="46"/>
      <c r="GNF597" s="48"/>
      <c r="GNG597" s="53"/>
      <c r="GNN597" s="15"/>
      <c r="GNO597" s="50"/>
      <c r="GNP597" s="50"/>
      <c r="GNQ597" s="46"/>
      <c r="GNR597" s="47"/>
      <c r="GNS597" s="46"/>
      <c r="GNT597" s="48"/>
      <c r="GNU597" s="53"/>
      <c r="GOB597" s="15"/>
      <c r="GOC597" s="50"/>
      <c r="GOD597" s="50"/>
      <c r="GOE597" s="46"/>
      <c r="GOF597" s="47"/>
      <c r="GOG597" s="46"/>
      <c r="GOH597" s="48"/>
      <c r="GOI597" s="53"/>
      <c r="GOP597" s="15"/>
      <c r="GOQ597" s="50"/>
      <c r="GOR597" s="50"/>
      <c r="GOS597" s="46"/>
      <c r="GOT597" s="47"/>
      <c r="GOU597" s="46"/>
      <c r="GOV597" s="48"/>
      <c r="GOW597" s="53"/>
      <c r="GPD597" s="15"/>
      <c r="GPE597" s="50"/>
      <c r="GPF597" s="50"/>
      <c r="GPG597" s="46"/>
      <c r="GPH597" s="47"/>
      <c r="GPI597" s="46"/>
      <c r="GPJ597" s="48"/>
      <c r="GPK597" s="53"/>
      <c r="GPR597" s="15"/>
      <c r="GPS597" s="50"/>
      <c r="GPT597" s="50"/>
      <c r="GPU597" s="46"/>
      <c r="GPV597" s="47"/>
      <c r="GPW597" s="46"/>
      <c r="GPX597" s="48"/>
      <c r="GPY597" s="53"/>
      <c r="GQF597" s="15"/>
      <c r="GQG597" s="50"/>
      <c r="GQH597" s="50"/>
      <c r="GQI597" s="46"/>
      <c r="GQJ597" s="47"/>
      <c r="GQK597" s="46"/>
      <c r="GQL597" s="48"/>
      <c r="GQM597" s="53"/>
      <c r="GQT597" s="15"/>
      <c r="GQU597" s="50"/>
      <c r="GQV597" s="50"/>
      <c r="GQW597" s="46"/>
      <c r="GQX597" s="47"/>
      <c r="GQY597" s="46"/>
      <c r="GQZ597" s="48"/>
      <c r="GRA597" s="53"/>
      <c r="GRH597" s="15"/>
      <c r="GRI597" s="50"/>
      <c r="GRJ597" s="50"/>
      <c r="GRK597" s="46"/>
      <c r="GRL597" s="47"/>
      <c r="GRM597" s="46"/>
      <c r="GRN597" s="48"/>
      <c r="GRO597" s="53"/>
      <c r="GRV597" s="15"/>
      <c r="GRW597" s="50"/>
      <c r="GRX597" s="50"/>
      <c r="GRY597" s="46"/>
      <c r="GRZ597" s="47"/>
      <c r="GSA597" s="46"/>
      <c r="GSB597" s="48"/>
      <c r="GSC597" s="53"/>
      <c r="GSJ597" s="15"/>
      <c r="GSK597" s="50"/>
      <c r="GSL597" s="50"/>
      <c r="GSM597" s="46"/>
      <c r="GSN597" s="47"/>
      <c r="GSO597" s="46"/>
      <c r="GSP597" s="48"/>
      <c r="GSQ597" s="53"/>
      <c r="GSX597" s="15"/>
      <c r="GSY597" s="50"/>
      <c r="GSZ597" s="50"/>
      <c r="GTA597" s="46"/>
      <c r="GTB597" s="47"/>
      <c r="GTC597" s="46"/>
      <c r="GTD597" s="48"/>
      <c r="GTE597" s="53"/>
      <c r="GTL597" s="15"/>
      <c r="GTM597" s="50"/>
      <c r="GTN597" s="50"/>
      <c r="GTO597" s="46"/>
      <c r="GTP597" s="47"/>
      <c r="GTQ597" s="46"/>
      <c r="GTR597" s="48"/>
      <c r="GTS597" s="53"/>
      <c r="GTZ597" s="15"/>
      <c r="GUA597" s="50"/>
      <c r="GUB597" s="50"/>
      <c r="GUC597" s="46"/>
      <c r="GUD597" s="47"/>
      <c r="GUE597" s="46"/>
      <c r="GUF597" s="48"/>
      <c r="GUG597" s="53"/>
      <c r="GUN597" s="15"/>
      <c r="GUO597" s="50"/>
      <c r="GUP597" s="50"/>
      <c r="GUQ597" s="46"/>
      <c r="GUR597" s="47"/>
      <c r="GUS597" s="46"/>
      <c r="GUT597" s="48"/>
      <c r="GUU597" s="53"/>
      <c r="GVB597" s="15"/>
      <c r="GVC597" s="50"/>
      <c r="GVD597" s="50"/>
      <c r="GVE597" s="46"/>
      <c r="GVF597" s="47"/>
      <c r="GVG597" s="46"/>
      <c r="GVH597" s="48"/>
      <c r="GVI597" s="53"/>
      <c r="GVP597" s="15"/>
      <c r="GVQ597" s="50"/>
      <c r="GVR597" s="50"/>
      <c r="GVS597" s="46"/>
      <c r="GVT597" s="47"/>
      <c r="GVU597" s="46"/>
      <c r="GVV597" s="48"/>
      <c r="GVW597" s="53"/>
      <c r="GWD597" s="15"/>
      <c r="GWE597" s="50"/>
      <c r="GWF597" s="50"/>
      <c r="GWG597" s="46"/>
      <c r="GWH597" s="47"/>
      <c r="GWI597" s="46"/>
      <c r="GWJ597" s="48"/>
      <c r="GWK597" s="53"/>
      <c r="GWR597" s="15"/>
      <c r="GWS597" s="50"/>
      <c r="GWT597" s="50"/>
      <c r="GWU597" s="46"/>
      <c r="GWV597" s="47"/>
      <c r="GWW597" s="46"/>
      <c r="GWX597" s="48"/>
      <c r="GWY597" s="53"/>
      <c r="GXF597" s="15"/>
      <c r="GXG597" s="50"/>
      <c r="GXH597" s="50"/>
      <c r="GXI597" s="46"/>
      <c r="GXJ597" s="47"/>
      <c r="GXK597" s="46"/>
      <c r="GXL597" s="48"/>
      <c r="GXM597" s="53"/>
      <c r="GXT597" s="15"/>
      <c r="GXU597" s="50"/>
      <c r="GXV597" s="50"/>
      <c r="GXW597" s="46"/>
      <c r="GXX597" s="47"/>
      <c r="GXY597" s="46"/>
      <c r="GXZ597" s="48"/>
      <c r="GYA597" s="53"/>
      <c r="GYH597" s="15"/>
      <c r="GYI597" s="50"/>
      <c r="GYJ597" s="50"/>
      <c r="GYK597" s="46"/>
      <c r="GYL597" s="47"/>
      <c r="GYM597" s="46"/>
      <c r="GYN597" s="48"/>
      <c r="GYO597" s="53"/>
      <c r="GYV597" s="15"/>
      <c r="GYW597" s="50"/>
      <c r="GYX597" s="50"/>
      <c r="GYY597" s="46"/>
      <c r="GYZ597" s="47"/>
      <c r="GZA597" s="46"/>
      <c r="GZB597" s="48"/>
      <c r="GZC597" s="53"/>
      <c r="GZJ597" s="15"/>
      <c r="GZK597" s="50"/>
      <c r="GZL597" s="50"/>
      <c r="GZM597" s="46"/>
      <c r="GZN597" s="47"/>
      <c r="GZO597" s="46"/>
      <c r="GZP597" s="48"/>
      <c r="GZQ597" s="53"/>
      <c r="GZX597" s="15"/>
      <c r="GZY597" s="50"/>
      <c r="GZZ597" s="50"/>
      <c r="HAA597" s="46"/>
      <c r="HAB597" s="47"/>
      <c r="HAC597" s="46"/>
      <c r="HAD597" s="48"/>
      <c r="HAE597" s="53"/>
      <c r="HAL597" s="15"/>
      <c r="HAM597" s="50"/>
      <c r="HAN597" s="50"/>
      <c r="HAO597" s="46"/>
      <c r="HAP597" s="47"/>
      <c r="HAQ597" s="46"/>
      <c r="HAR597" s="48"/>
      <c r="HAS597" s="53"/>
      <c r="HAZ597" s="15"/>
      <c r="HBA597" s="50"/>
      <c r="HBB597" s="50"/>
      <c r="HBC597" s="46"/>
      <c r="HBD597" s="47"/>
      <c r="HBE597" s="46"/>
      <c r="HBF597" s="48"/>
      <c r="HBG597" s="53"/>
      <c r="HBN597" s="15"/>
      <c r="HBO597" s="50"/>
      <c r="HBP597" s="50"/>
      <c r="HBQ597" s="46"/>
      <c r="HBR597" s="47"/>
      <c r="HBS597" s="46"/>
      <c r="HBT597" s="48"/>
      <c r="HBU597" s="53"/>
      <c r="HCB597" s="15"/>
      <c r="HCC597" s="50"/>
      <c r="HCD597" s="50"/>
      <c r="HCE597" s="46"/>
      <c r="HCF597" s="47"/>
      <c r="HCG597" s="46"/>
      <c r="HCH597" s="48"/>
      <c r="HCI597" s="53"/>
      <c r="HCP597" s="15"/>
      <c r="HCQ597" s="50"/>
      <c r="HCR597" s="50"/>
      <c r="HCS597" s="46"/>
      <c r="HCT597" s="47"/>
      <c r="HCU597" s="46"/>
      <c r="HCV597" s="48"/>
      <c r="HCW597" s="53"/>
      <c r="HDD597" s="15"/>
      <c r="HDE597" s="50"/>
      <c r="HDF597" s="50"/>
      <c r="HDG597" s="46"/>
      <c r="HDH597" s="47"/>
      <c r="HDI597" s="46"/>
      <c r="HDJ597" s="48"/>
      <c r="HDK597" s="53"/>
      <c r="HDR597" s="15"/>
      <c r="HDS597" s="50"/>
      <c r="HDT597" s="50"/>
      <c r="HDU597" s="46"/>
      <c r="HDV597" s="47"/>
      <c r="HDW597" s="46"/>
      <c r="HDX597" s="48"/>
      <c r="HDY597" s="53"/>
      <c r="HEF597" s="15"/>
      <c r="HEG597" s="50"/>
      <c r="HEH597" s="50"/>
      <c r="HEI597" s="46"/>
      <c r="HEJ597" s="47"/>
      <c r="HEK597" s="46"/>
      <c r="HEL597" s="48"/>
      <c r="HEM597" s="53"/>
      <c r="HET597" s="15"/>
      <c r="HEU597" s="50"/>
      <c r="HEV597" s="50"/>
      <c r="HEW597" s="46"/>
      <c r="HEX597" s="47"/>
      <c r="HEY597" s="46"/>
      <c r="HEZ597" s="48"/>
      <c r="HFA597" s="53"/>
      <c r="HFH597" s="15"/>
      <c r="HFI597" s="50"/>
      <c r="HFJ597" s="50"/>
      <c r="HFK597" s="46"/>
      <c r="HFL597" s="47"/>
      <c r="HFM597" s="46"/>
      <c r="HFN597" s="48"/>
      <c r="HFO597" s="53"/>
      <c r="HFV597" s="15"/>
      <c r="HFW597" s="50"/>
      <c r="HFX597" s="50"/>
      <c r="HFY597" s="46"/>
      <c r="HFZ597" s="47"/>
      <c r="HGA597" s="46"/>
      <c r="HGB597" s="48"/>
      <c r="HGC597" s="53"/>
      <c r="HGJ597" s="15"/>
      <c r="HGK597" s="50"/>
      <c r="HGL597" s="50"/>
      <c r="HGM597" s="46"/>
      <c r="HGN597" s="47"/>
      <c r="HGO597" s="46"/>
      <c r="HGP597" s="48"/>
      <c r="HGQ597" s="53"/>
      <c r="HGX597" s="15"/>
      <c r="HGY597" s="50"/>
      <c r="HGZ597" s="50"/>
      <c r="HHA597" s="46"/>
      <c r="HHB597" s="47"/>
      <c r="HHC597" s="46"/>
      <c r="HHD597" s="48"/>
      <c r="HHE597" s="53"/>
      <c r="HHL597" s="15"/>
      <c r="HHM597" s="50"/>
      <c r="HHN597" s="50"/>
      <c r="HHO597" s="46"/>
      <c r="HHP597" s="47"/>
      <c r="HHQ597" s="46"/>
      <c r="HHR597" s="48"/>
      <c r="HHS597" s="53"/>
      <c r="HHZ597" s="15"/>
      <c r="HIA597" s="50"/>
      <c r="HIB597" s="50"/>
      <c r="HIC597" s="46"/>
      <c r="HID597" s="47"/>
      <c r="HIE597" s="46"/>
      <c r="HIF597" s="48"/>
      <c r="HIG597" s="53"/>
      <c r="HIN597" s="15"/>
      <c r="HIO597" s="50"/>
      <c r="HIP597" s="50"/>
      <c r="HIQ597" s="46"/>
      <c r="HIR597" s="47"/>
      <c r="HIS597" s="46"/>
      <c r="HIT597" s="48"/>
      <c r="HIU597" s="53"/>
      <c r="HJB597" s="15"/>
      <c r="HJC597" s="50"/>
      <c r="HJD597" s="50"/>
      <c r="HJE597" s="46"/>
      <c r="HJF597" s="47"/>
      <c r="HJG597" s="46"/>
      <c r="HJH597" s="48"/>
      <c r="HJI597" s="53"/>
      <c r="HJP597" s="15"/>
      <c r="HJQ597" s="50"/>
      <c r="HJR597" s="50"/>
      <c r="HJS597" s="46"/>
      <c r="HJT597" s="47"/>
      <c r="HJU597" s="46"/>
      <c r="HJV597" s="48"/>
      <c r="HJW597" s="53"/>
      <c r="HKD597" s="15"/>
      <c r="HKE597" s="50"/>
      <c r="HKF597" s="50"/>
      <c r="HKG597" s="46"/>
      <c r="HKH597" s="47"/>
      <c r="HKI597" s="46"/>
      <c r="HKJ597" s="48"/>
      <c r="HKK597" s="53"/>
      <c r="HKR597" s="15"/>
      <c r="HKS597" s="50"/>
      <c r="HKT597" s="50"/>
      <c r="HKU597" s="46"/>
      <c r="HKV597" s="47"/>
      <c r="HKW597" s="46"/>
      <c r="HKX597" s="48"/>
      <c r="HKY597" s="53"/>
      <c r="HLF597" s="15"/>
      <c r="HLG597" s="50"/>
      <c r="HLH597" s="50"/>
      <c r="HLI597" s="46"/>
      <c r="HLJ597" s="47"/>
      <c r="HLK597" s="46"/>
      <c r="HLL597" s="48"/>
      <c r="HLM597" s="53"/>
      <c r="HLT597" s="15"/>
      <c r="HLU597" s="50"/>
      <c r="HLV597" s="50"/>
      <c r="HLW597" s="46"/>
      <c r="HLX597" s="47"/>
      <c r="HLY597" s="46"/>
      <c r="HLZ597" s="48"/>
      <c r="HMA597" s="53"/>
      <c r="HMH597" s="15"/>
      <c r="HMI597" s="50"/>
      <c r="HMJ597" s="50"/>
      <c r="HMK597" s="46"/>
      <c r="HML597" s="47"/>
      <c r="HMM597" s="46"/>
      <c r="HMN597" s="48"/>
      <c r="HMO597" s="53"/>
      <c r="HMV597" s="15"/>
      <c r="HMW597" s="50"/>
      <c r="HMX597" s="50"/>
      <c r="HMY597" s="46"/>
      <c r="HMZ597" s="47"/>
      <c r="HNA597" s="46"/>
      <c r="HNB597" s="48"/>
      <c r="HNC597" s="53"/>
      <c r="HNJ597" s="15"/>
      <c r="HNK597" s="50"/>
      <c r="HNL597" s="50"/>
      <c r="HNM597" s="46"/>
      <c r="HNN597" s="47"/>
      <c r="HNO597" s="46"/>
      <c r="HNP597" s="48"/>
      <c r="HNQ597" s="53"/>
      <c r="HNX597" s="15"/>
      <c r="HNY597" s="50"/>
      <c r="HNZ597" s="50"/>
      <c r="HOA597" s="46"/>
      <c r="HOB597" s="47"/>
      <c r="HOC597" s="46"/>
      <c r="HOD597" s="48"/>
      <c r="HOE597" s="53"/>
      <c r="HOL597" s="15"/>
      <c r="HOM597" s="50"/>
      <c r="HON597" s="50"/>
      <c r="HOO597" s="46"/>
      <c r="HOP597" s="47"/>
      <c r="HOQ597" s="46"/>
      <c r="HOR597" s="48"/>
      <c r="HOS597" s="53"/>
      <c r="HOZ597" s="15"/>
      <c r="HPA597" s="50"/>
      <c r="HPB597" s="50"/>
      <c r="HPC597" s="46"/>
      <c r="HPD597" s="47"/>
      <c r="HPE597" s="46"/>
      <c r="HPF597" s="48"/>
      <c r="HPG597" s="53"/>
      <c r="HPN597" s="15"/>
      <c r="HPO597" s="50"/>
      <c r="HPP597" s="50"/>
      <c r="HPQ597" s="46"/>
      <c r="HPR597" s="47"/>
      <c r="HPS597" s="46"/>
      <c r="HPT597" s="48"/>
      <c r="HPU597" s="53"/>
      <c r="HQB597" s="15"/>
      <c r="HQC597" s="50"/>
      <c r="HQD597" s="50"/>
      <c r="HQE597" s="46"/>
      <c r="HQF597" s="47"/>
      <c r="HQG597" s="46"/>
      <c r="HQH597" s="48"/>
      <c r="HQI597" s="53"/>
      <c r="HQP597" s="15"/>
      <c r="HQQ597" s="50"/>
      <c r="HQR597" s="50"/>
      <c r="HQS597" s="46"/>
      <c r="HQT597" s="47"/>
      <c r="HQU597" s="46"/>
      <c r="HQV597" s="48"/>
      <c r="HQW597" s="53"/>
      <c r="HRD597" s="15"/>
      <c r="HRE597" s="50"/>
      <c r="HRF597" s="50"/>
      <c r="HRG597" s="46"/>
      <c r="HRH597" s="47"/>
      <c r="HRI597" s="46"/>
      <c r="HRJ597" s="48"/>
      <c r="HRK597" s="53"/>
      <c r="HRR597" s="15"/>
      <c r="HRS597" s="50"/>
      <c r="HRT597" s="50"/>
      <c r="HRU597" s="46"/>
      <c r="HRV597" s="47"/>
      <c r="HRW597" s="46"/>
      <c r="HRX597" s="48"/>
      <c r="HRY597" s="53"/>
      <c r="HSF597" s="15"/>
      <c r="HSG597" s="50"/>
      <c r="HSH597" s="50"/>
      <c r="HSI597" s="46"/>
      <c r="HSJ597" s="47"/>
      <c r="HSK597" s="46"/>
      <c r="HSL597" s="48"/>
      <c r="HSM597" s="53"/>
      <c r="HST597" s="15"/>
      <c r="HSU597" s="50"/>
      <c r="HSV597" s="50"/>
      <c r="HSW597" s="46"/>
      <c r="HSX597" s="47"/>
      <c r="HSY597" s="46"/>
      <c r="HSZ597" s="48"/>
      <c r="HTA597" s="53"/>
      <c r="HTH597" s="15"/>
      <c r="HTI597" s="50"/>
      <c r="HTJ597" s="50"/>
      <c r="HTK597" s="46"/>
      <c r="HTL597" s="47"/>
      <c r="HTM597" s="46"/>
      <c r="HTN597" s="48"/>
      <c r="HTO597" s="53"/>
      <c r="HTV597" s="15"/>
      <c r="HTW597" s="50"/>
      <c r="HTX597" s="50"/>
      <c r="HTY597" s="46"/>
      <c r="HTZ597" s="47"/>
      <c r="HUA597" s="46"/>
      <c r="HUB597" s="48"/>
      <c r="HUC597" s="53"/>
      <c r="HUJ597" s="15"/>
      <c r="HUK597" s="50"/>
      <c r="HUL597" s="50"/>
      <c r="HUM597" s="46"/>
      <c r="HUN597" s="47"/>
      <c r="HUO597" s="46"/>
      <c r="HUP597" s="48"/>
      <c r="HUQ597" s="53"/>
      <c r="HUX597" s="15"/>
      <c r="HUY597" s="50"/>
      <c r="HUZ597" s="50"/>
      <c r="HVA597" s="46"/>
      <c r="HVB597" s="47"/>
      <c r="HVC597" s="46"/>
      <c r="HVD597" s="48"/>
      <c r="HVE597" s="53"/>
      <c r="HVL597" s="15"/>
      <c r="HVM597" s="50"/>
      <c r="HVN597" s="50"/>
      <c r="HVO597" s="46"/>
      <c r="HVP597" s="47"/>
      <c r="HVQ597" s="46"/>
      <c r="HVR597" s="48"/>
      <c r="HVS597" s="53"/>
      <c r="HVZ597" s="15"/>
      <c r="HWA597" s="50"/>
      <c r="HWB597" s="50"/>
      <c r="HWC597" s="46"/>
      <c r="HWD597" s="47"/>
      <c r="HWE597" s="46"/>
      <c r="HWF597" s="48"/>
      <c r="HWG597" s="53"/>
      <c r="HWN597" s="15"/>
      <c r="HWO597" s="50"/>
      <c r="HWP597" s="50"/>
      <c r="HWQ597" s="46"/>
      <c r="HWR597" s="47"/>
      <c r="HWS597" s="46"/>
      <c r="HWT597" s="48"/>
      <c r="HWU597" s="53"/>
      <c r="HXB597" s="15"/>
      <c r="HXC597" s="50"/>
      <c r="HXD597" s="50"/>
      <c r="HXE597" s="46"/>
      <c r="HXF597" s="47"/>
      <c r="HXG597" s="46"/>
      <c r="HXH597" s="48"/>
      <c r="HXI597" s="53"/>
      <c r="HXP597" s="15"/>
      <c r="HXQ597" s="50"/>
      <c r="HXR597" s="50"/>
      <c r="HXS597" s="46"/>
      <c r="HXT597" s="47"/>
      <c r="HXU597" s="46"/>
      <c r="HXV597" s="48"/>
      <c r="HXW597" s="53"/>
      <c r="HYD597" s="15"/>
      <c r="HYE597" s="50"/>
      <c r="HYF597" s="50"/>
      <c r="HYG597" s="46"/>
      <c r="HYH597" s="47"/>
      <c r="HYI597" s="46"/>
      <c r="HYJ597" s="48"/>
      <c r="HYK597" s="53"/>
      <c r="HYR597" s="15"/>
      <c r="HYS597" s="50"/>
      <c r="HYT597" s="50"/>
      <c r="HYU597" s="46"/>
      <c r="HYV597" s="47"/>
      <c r="HYW597" s="46"/>
      <c r="HYX597" s="48"/>
      <c r="HYY597" s="53"/>
      <c r="HZF597" s="15"/>
      <c r="HZG597" s="50"/>
      <c r="HZH597" s="50"/>
      <c r="HZI597" s="46"/>
      <c r="HZJ597" s="47"/>
      <c r="HZK597" s="46"/>
      <c r="HZL597" s="48"/>
      <c r="HZM597" s="53"/>
      <c r="HZT597" s="15"/>
      <c r="HZU597" s="50"/>
      <c r="HZV597" s="50"/>
      <c r="HZW597" s="46"/>
      <c r="HZX597" s="47"/>
      <c r="HZY597" s="46"/>
      <c r="HZZ597" s="48"/>
      <c r="IAA597" s="53"/>
      <c r="IAH597" s="15"/>
      <c r="IAI597" s="50"/>
      <c r="IAJ597" s="50"/>
      <c r="IAK597" s="46"/>
      <c r="IAL597" s="47"/>
      <c r="IAM597" s="46"/>
      <c r="IAN597" s="48"/>
      <c r="IAO597" s="53"/>
      <c r="IAV597" s="15"/>
      <c r="IAW597" s="50"/>
      <c r="IAX597" s="50"/>
      <c r="IAY597" s="46"/>
      <c r="IAZ597" s="47"/>
      <c r="IBA597" s="46"/>
      <c r="IBB597" s="48"/>
      <c r="IBC597" s="53"/>
      <c r="IBJ597" s="15"/>
      <c r="IBK597" s="50"/>
      <c r="IBL597" s="50"/>
      <c r="IBM597" s="46"/>
      <c r="IBN597" s="47"/>
      <c r="IBO597" s="46"/>
      <c r="IBP597" s="48"/>
      <c r="IBQ597" s="53"/>
      <c r="IBX597" s="15"/>
      <c r="IBY597" s="50"/>
      <c r="IBZ597" s="50"/>
      <c r="ICA597" s="46"/>
      <c r="ICB597" s="47"/>
      <c r="ICC597" s="46"/>
      <c r="ICD597" s="48"/>
      <c r="ICE597" s="53"/>
      <c r="ICL597" s="15"/>
      <c r="ICM597" s="50"/>
      <c r="ICN597" s="50"/>
      <c r="ICO597" s="46"/>
      <c r="ICP597" s="47"/>
      <c r="ICQ597" s="46"/>
      <c r="ICR597" s="48"/>
      <c r="ICS597" s="53"/>
      <c r="ICZ597" s="15"/>
      <c r="IDA597" s="50"/>
      <c r="IDB597" s="50"/>
      <c r="IDC597" s="46"/>
      <c r="IDD597" s="47"/>
      <c r="IDE597" s="46"/>
      <c r="IDF597" s="48"/>
      <c r="IDG597" s="53"/>
      <c r="IDN597" s="15"/>
      <c r="IDO597" s="50"/>
      <c r="IDP597" s="50"/>
      <c r="IDQ597" s="46"/>
      <c r="IDR597" s="47"/>
      <c r="IDS597" s="46"/>
      <c r="IDT597" s="48"/>
      <c r="IDU597" s="53"/>
      <c r="IEB597" s="15"/>
      <c r="IEC597" s="50"/>
      <c r="IED597" s="50"/>
      <c r="IEE597" s="46"/>
      <c r="IEF597" s="47"/>
      <c r="IEG597" s="46"/>
      <c r="IEH597" s="48"/>
      <c r="IEI597" s="53"/>
      <c r="IEP597" s="15"/>
      <c r="IEQ597" s="50"/>
      <c r="IER597" s="50"/>
      <c r="IES597" s="46"/>
      <c r="IET597" s="47"/>
      <c r="IEU597" s="46"/>
      <c r="IEV597" s="48"/>
      <c r="IEW597" s="53"/>
      <c r="IFD597" s="15"/>
      <c r="IFE597" s="50"/>
      <c r="IFF597" s="50"/>
      <c r="IFG597" s="46"/>
      <c r="IFH597" s="47"/>
      <c r="IFI597" s="46"/>
      <c r="IFJ597" s="48"/>
      <c r="IFK597" s="53"/>
      <c r="IFR597" s="15"/>
      <c r="IFS597" s="50"/>
      <c r="IFT597" s="50"/>
      <c r="IFU597" s="46"/>
      <c r="IFV597" s="47"/>
      <c r="IFW597" s="46"/>
      <c r="IFX597" s="48"/>
      <c r="IFY597" s="53"/>
      <c r="IGF597" s="15"/>
      <c r="IGG597" s="50"/>
      <c r="IGH597" s="50"/>
      <c r="IGI597" s="46"/>
      <c r="IGJ597" s="47"/>
      <c r="IGK597" s="46"/>
      <c r="IGL597" s="48"/>
      <c r="IGM597" s="53"/>
      <c r="IGT597" s="15"/>
      <c r="IGU597" s="50"/>
      <c r="IGV597" s="50"/>
      <c r="IGW597" s="46"/>
      <c r="IGX597" s="47"/>
      <c r="IGY597" s="46"/>
      <c r="IGZ597" s="48"/>
      <c r="IHA597" s="53"/>
      <c r="IHH597" s="15"/>
      <c r="IHI597" s="50"/>
      <c r="IHJ597" s="50"/>
      <c r="IHK597" s="46"/>
      <c r="IHL597" s="47"/>
      <c r="IHM597" s="46"/>
      <c r="IHN597" s="48"/>
      <c r="IHO597" s="53"/>
      <c r="IHV597" s="15"/>
      <c r="IHW597" s="50"/>
      <c r="IHX597" s="50"/>
      <c r="IHY597" s="46"/>
      <c r="IHZ597" s="47"/>
      <c r="IIA597" s="46"/>
      <c r="IIB597" s="48"/>
      <c r="IIC597" s="53"/>
      <c r="IIJ597" s="15"/>
      <c r="IIK597" s="50"/>
      <c r="IIL597" s="50"/>
      <c r="IIM597" s="46"/>
      <c r="IIN597" s="47"/>
      <c r="IIO597" s="46"/>
      <c r="IIP597" s="48"/>
      <c r="IIQ597" s="53"/>
      <c r="IIX597" s="15"/>
      <c r="IIY597" s="50"/>
      <c r="IIZ597" s="50"/>
      <c r="IJA597" s="46"/>
      <c r="IJB597" s="47"/>
      <c r="IJC597" s="46"/>
      <c r="IJD597" s="48"/>
      <c r="IJE597" s="53"/>
      <c r="IJL597" s="15"/>
      <c r="IJM597" s="50"/>
      <c r="IJN597" s="50"/>
      <c r="IJO597" s="46"/>
      <c r="IJP597" s="47"/>
      <c r="IJQ597" s="46"/>
      <c r="IJR597" s="48"/>
      <c r="IJS597" s="53"/>
      <c r="IJZ597" s="15"/>
      <c r="IKA597" s="50"/>
      <c r="IKB597" s="50"/>
      <c r="IKC597" s="46"/>
      <c r="IKD597" s="47"/>
      <c r="IKE597" s="46"/>
      <c r="IKF597" s="48"/>
      <c r="IKG597" s="53"/>
      <c r="IKN597" s="15"/>
      <c r="IKO597" s="50"/>
      <c r="IKP597" s="50"/>
      <c r="IKQ597" s="46"/>
      <c r="IKR597" s="47"/>
      <c r="IKS597" s="46"/>
      <c r="IKT597" s="48"/>
      <c r="IKU597" s="53"/>
      <c r="ILB597" s="15"/>
      <c r="ILC597" s="50"/>
      <c r="ILD597" s="50"/>
      <c r="ILE597" s="46"/>
      <c r="ILF597" s="47"/>
      <c r="ILG597" s="46"/>
      <c r="ILH597" s="48"/>
      <c r="ILI597" s="53"/>
      <c r="ILP597" s="15"/>
      <c r="ILQ597" s="50"/>
      <c r="ILR597" s="50"/>
      <c r="ILS597" s="46"/>
      <c r="ILT597" s="47"/>
      <c r="ILU597" s="46"/>
      <c r="ILV597" s="48"/>
      <c r="ILW597" s="53"/>
      <c r="IMD597" s="15"/>
      <c r="IME597" s="50"/>
      <c r="IMF597" s="50"/>
      <c r="IMG597" s="46"/>
      <c r="IMH597" s="47"/>
      <c r="IMI597" s="46"/>
      <c r="IMJ597" s="48"/>
      <c r="IMK597" s="53"/>
      <c r="IMR597" s="15"/>
      <c r="IMS597" s="50"/>
      <c r="IMT597" s="50"/>
      <c r="IMU597" s="46"/>
      <c r="IMV597" s="47"/>
      <c r="IMW597" s="46"/>
      <c r="IMX597" s="48"/>
      <c r="IMY597" s="53"/>
      <c r="INF597" s="15"/>
      <c r="ING597" s="50"/>
      <c r="INH597" s="50"/>
      <c r="INI597" s="46"/>
      <c r="INJ597" s="47"/>
      <c r="INK597" s="46"/>
      <c r="INL597" s="48"/>
      <c r="INM597" s="53"/>
      <c r="INT597" s="15"/>
      <c r="INU597" s="50"/>
      <c r="INV597" s="50"/>
      <c r="INW597" s="46"/>
      <c r="INX597" s="47"/>
      <c r="INY597" s="46"/>
      <c r="INZ597" s="48"/>
      <c r="IOA597" s="53"/>
      <c r="IOH597" s="15"/>
      <c r="IOI597" s="50"/>
      <c r="IOJ597" s="50"/>
      <c r="IOK597" s="46"/>
      <c r="IOL597" s="47"/>
      <c r="IOM597" s="46"/>
      <c r="ION597" s="48"/>
      <c r="IOO597" s="53"/>
      <c r="IOV597" s="15"/>
      <c r="IOW597" s="50"/>
      <c r="IOX597" s="50"/>
      <c r="IOY597" s="46"/>
      <c r="IOZ597" s="47"/>
      <c r="IPA597" s="46"/>
      <c r="IPB597" s="48"/>
      <c r="IPC597" s="53"/>
      <c r="IPJ597" s="15"/>
      <c r="IPK597" s="50"/>
      <c r="IPL597" s="50"/>
      <c r="IPM597" s="46"/>
      <c r="IPN597" s="47"/>
      <c r="IPO597" s="46"/>
      <c r="IPP597" s="48"/>
      <c r="IPQ597" s="53"/>
      <c r="IPX597" s="15"/>
      <c r="IPY597" s="50"/>
      <c r="IPZ597" s="50"/>
      <c r="IQA597" s="46"/>
      <c r="IQB597" s="47"/>
      <c r="IQC597" s="46"/>
      <c r="IQD597" s="48"/>
      <c r="IQE597" s="53"/>
      <c r="IQL597" s="15"/>
      <c r="IQM597" s="50"/>
      <c r="IQN597" s="50"/>
      <c r="IQO597" s="46"/>
      <c r="IQP597" s="47"/>
      <c r="IQQ597" s="46"/>
      <c r="IQR597" s="48"/>
      <c r="IQS597" s="53"/>
      <c r="IQZ597" s="15"/>
      <c r="IRA597" s="50"/>
      <c r="IRB597" s="50"/>
      <c r="IRC597" s="46"/>
      <c r="IRD597" s="47"/>
      <c r="IRE597" s="46"/>
      <c r="IRF597" s="48"/>
      <c r="IRG597" s="53"/>
      <c r="IRN597" s="15"/>
      <c r="IRO597" s="50"/>
      <c r="IRP597" s="50"/>
      <c r="IRQ597" s="46"/>
      <c r="IRR597" s="47"/>
      <c r="IRS597" s="46"/>
      <c r="IRT597" s="48"/>
      <c r="IRU597" s="53"/>
      <c r="ISB597" s="15"/>
      <c r="ISC597" s="50"/>
      <c r="ISD597" s="50"/>
      <c r="ISE597" s="46"/>
      <c r="ISF597" s="47"/>
      <c r="ISG597" s="46"/>
      <c r="ISH597" s="48"/>
      <c r="ISI597" s="53"/>
      <c r="ISP597" s="15"/>
      <c r="ISQ597" s="50"/>
      <c r="ISR597" s="50"/>
      <c r="ISS597" s="46"/>
      <c r="IST597" s="47"/>
      <c r="ISU597" s="46"/>
      <c r="ISV597" s="48"/>
      <c r="ISW597" s="53"/>
      <c r="ITD597" s="15"/>
      <c r="ITE597" s="50"/>
      <c r="ITF597" s="50"/>
      <c r="ITG597" s="46"/>
      <c r="ITH597" s="47"/>
      <c r="ITI597" s="46"/>
      <c r="ITJ597" s="48"/>
      <c r="ITK597" s="53"/>
      <c r="ITR597" s="15"/>
      <c r="ITS597" s="50"/>
      <c r="ITT597" s="50"/>
      <c r="ITU597" s="46"/>
      <c r="ITV597" s="47"/>
      <c r="ITW597" s="46"/>
      <c r="ITX597" s="48"/>
      <c r="ITY597" s="53"/>
      <c r="IUF597" s="15"/>
      <c r="IUG597" s="50"/>
      <c r="IUH597" s="50"/>
      <c r="IUI597" s="46"/>
      <c r="IUJ597" s="47"/>
      <c r="IUK597" s="46"/>
      <c r="IUL597" s="48"/>
      <c r="IUM597" s="53"/>
      <c r="IUT597" s="15"/>
      <c r="IUU597" s="50"/>
      <c r="IUV597" s="50"/>
      <c r="IUW597" s="46"/>
      <c r="IUX597" s="47"/>
      <c r="IUY597" s="46"/>
      <c r="IUZ597" s="48"/>
      <c r="IVA597" s="53"/>
      <c r="IVH597" s="15"/>
      <c r="IVI597" s="50"/>
      <c r="IVJ597" s="50"/>
      <c r="IVK597" s="46"/>
      <c r="IVL597" s="47"/>
      <c r="IVM597" s="46"/>
      <c r="IVN597" s="48"/>
      <c r="IVO597" s="53"/>
      <c r="IVV597" s="15"/>
      <c r="IVW597" s="50"/>
      <c r="IVX597" s="50"/>
      <c r="IVY597" s="46"/>
      <c r="IVZ597" s="47"/>
      <c r="IWA597" s="46"/>
      <c r="IWB597" s="48"/>
      <c r="IWC597" s="53"/>
      <c r="IWJ597" s="15"/>
      <c r="IWK597" s="50"/>
      <c r="IWL597" s="50"/>
      <c r="IWM597" s="46"/>
      <c r="IWN597" s="47"/>
      <c r="IWO597" s="46"/>
      <c r="IWP597" s="48"/>
      <c r="IWQ597" s="53"/>
      <c r="IWX597" s="15"/>
      <c r="IWY597" s="50"/>
      <c r="IWZ597" s="50"/>
      <c r="IXA597" s="46"/>
      <c r="IXB597" s="47"/>
      <c r="IXC597" s="46"/>
      <c r="IXD597" s="48"/>
      <c r="IXE597" s="53"/>
      <c r="IXL597" s="15"/>
      <c r="IXM597" s="50"/>
      <c r="IXN597" s="50"/>
      <c r="IXO597" s="46"/>
      <c r="IXP597" s="47"/>
      <c r="IXQ597" s="46"/>
      <c r="IXR597" s="48"/>
      <c r="IXS597" s="53"/>
      <c r="IXZ597" s="15"/>
      <c r="IYA597" s="50"/>
      <c r="IYB597" s="50"/>
      <c r="IYC597" s="46"/>
      <c r="IYD597" s="47"/>
      <c r="IYE597" s="46"/>
      <c r="IYF597" s="48"/>
      <c r="IYG597" s="53"/>
      <c r="IYN597" s="15"/>
      <c r="IYO597" s="50"/>
      <c r="IYP597" s="50"/>
      <c r="IYQ597" s="46"/>
      <c r="IYR597" s="47"/>
      <c r="IYS597" s="46"/>
      <c r="IYT597" s="48"/>
      <c r="IYU597" s="53"/>
      <c r="IZB597" s="15"/>
      <c r="IZC597" s="50"/>
      <c r="IZD597" s="50"/>
      <c r="IZE597" s="46"/>
      <c r="IZF597" s="47"/>
      <c r="IZG597" s="46"/>
      <c r="IZH597" s="48"/>
      <c r="IZI597" s="53"/>
      <c r="IZP597" s="15"/>
      <c r="IZQ597" s="50"/>
      <c r="IZR597" s="50"/>
      <c r="IZS597" s="46"/>
      <c r="IZT597" s="47"/>
      <c r="IZU597" s="46"/>
      <c r="IZV597" s="48"/>
      <c r="IZW597" s="53"/>
      <c r="JAD597" s="15"/>
      <c r="JAE597" s="50"/>
      <c r="JAF597" s="50"/>
      <c r="JAG597" s="46"/>
      <c r="JAH597" s="47"/>
      <c r="JAI597" s="46"/>
      <c r="JAJ597" s="48"/>
      <c r="JAK597" s="53"/>
      <c r="JAR597" s="15"/>
      <c r="JAS597" s="50"/>
      <c r="JAT597" s="50"/>
      <c r="JAU597" s="46"/>
      <c r="JAV597" s="47"/>
      <c r="JAW597" s="46"/>
      <c r="JAX597" s="48"/>
      <c r="JAY597" s="53"/>
      <c r="JBF597" s="15"/>
      <c r="JBG597" s="50"/>
      <c r="JBH597" s="50"/>
      <c r="JBI597" s="46"/>
      <c r="JBJ597" s="47"/>
      <c r="JBK597" s="46"/>
      <c r="JBL597" s="48"/>
      <c r="JBM597" s="53"/>
      <c r="JBT597" s="15"/>
      <c r="JBU597" s="50"/>
      <c r="JBV597" s="50"/>
      <c r="JBW597" s="46"/>
      <c r="JBX597" s="47"/>
      <c r="JBY597" s="46"/>
      <c r="JBZ597" s="48"/>
      <c r="JCA597" s="53"/>
      <c r="JCH597" s="15"/>
      <c r="JCI597" s="50"/>
      <c r="JCJ597" s="50"/>
      <c r="JCK597" s="46"/>
      <c r="JCL597" s="47"/>
      <c r="JCM597" s="46"/>
      <c r="JCN597" s="48"/>
      <c r="JCO597" s="53"/>
      <c r="JCV597" s="15"/>
      <c r="JCW597" s="50"/>
      <c r="JCX597" s="50"/>
      <c r="JCY597" s="46"/>
      <c r="JCZ597" s="47"/>
      <c r="JDA597" s="46"/>
      <c r="JDB597" s="48"/>
      <c r="JDC597" s="53"/>
      <c r="JDJ597" s="15"/>
      <c r="JDK597" s="50"/>
      <c r="JDL597" s="50"/>
      <c r="JDM597" s="46"/>
      <c r="JDN597" s="47"/>
      <c r="JDO597" s="46"/>
      <c r="JDP597" s="48"/>
      <c r="JDQ597" s="53"/>
      <c r="JDX597" s="15"/>
      <c r="JDY597" s="50"/>
      <c r="JDZ597" s="50"/>
      <c r="JEA597" s="46"/>
      <c r="JEB597" s="47"/>
      <c r="JEC597" s="46"/>
      <c r="JED597" s="48"/>
      <c r="JEE597" s="53"/>
      <c r="JEL597" s="15"/>
      <c r="JEM597" s="50"/>
      <c r="JEN597" s="50"/>
      <c r="JEO597" s="46"/>
      <c r="JEP597" s="47"/>
      <c r="JEQ597" s="46"/>
      <c r="JER597" s="48"/>
      <c r="JES597" s="53"/>
      <c r="JEZ597" s="15"/>
      <c r="JFA597" s="50"/>
      <c r="JFB597" s="50"/>
      <c r="JFC597" s="46"/>
      <c r="JFD597" s="47"/>
      <c r="JFE597" s="46"/>
      <c r="JFF597" s="48"/>
      <c r="JFG597" s="53"/>
      <c r="JFN597" s="15"/>
      <c r="JFO597" s="50"/>
      <c r="JFP597" s="50"/>
      <c r="JFQ597" s="46"/>
      <c r="JFR597" s="47"/>
      <c r="JFS597" s="46"/>
      <c r="JFT597" s="48"/>
      <c r="JFU597" s="53"/>
      <c r="JGB597" s="15"/>
      <c r="JGC597" s="50"/>
      <c r="JGD597" s="50"/>
      <c r="JGE597" s="46"/>
      <c r="JGF597" s="47"/>
      <c r="JGG597" s="46"/>
      <c r="JGH597" s="48"/>
      <c r="JGI597" s="53"/>
      <c r="JGP597" s="15"/>
      <c r="JGQ597" s="50"/>
      <c r="JGR597" s="50"/>
      <c r="JGS597" s="46"/>
      <c r="JGT597" s="47"/>
      <c r="JGU597" s="46"/>
      <c r="JGV597" s="48"/>
      <c r="JGW597" s="53"/>
      <c r="JHD597" s="15"/>
      <c r="JHE597" s="50"/>
      <c r="JHF597" s="50"/>
      <c r="JHG597" s="46"/>
      <c r="JHH597" s="47"/>
      <c r="JHI597" s="46"/>
      <c r="JHJ597" s="48"/>
      <c r="JHK597" s="53"/>
      <c r="JHR597" s="15"/>
      <c r="JHS597" s="50"/>
      <c r="JHT597" s="50"/>
      <c r="JHU597" s="46"/>
      <c r="JHV597" s="47"/>
      <c r="JHW597" s="46"/>
      <c r="JHX597" s="48"/>
      <c r="JHY597" s="53"/>
      <c r="JIF597" s="15"/>
      <c r="JIG597" s="50"/>
      <c r="JIH597" s="50"/>
      <c r="JII597" s="46"/>
      <c r="JIJ597" s="47"/>
      <c r="JIK597" s="46"/>
      <c r="JIL597" s="48"/>
      <c r="JIM597" s="53"/>
      <c r="JIT597" s="15"/>
      <c r="JIU597" s="50"/>
      <c r="JIV597" s="50"/>
      <c r="JIW597" s="46"/>
      <c r="JIX597" s="47"/>
      <c r="JIY597" s="46"/>
      <c r="JIZ597" s="48"/>
      <c r="JJA597" s="53"/>
      <c r="JJH597" s="15"/>
      <c r="JJI597" s="50"/>
      <c r="JJJ597" s="50"/>
      <c r="JJK597" s="46"/>
      <c r="JJL597" s="47"/>
      <c r="JJM597" s="46"/>
      <c r="JJN597" s="48"/>
      <c r="JJO597" s="53"/>
      <c r="JJV597" s="15"/>
      <c r="JJW597" s="50"/>
      <c r="JJX597" s="50"/>
      <c r="JJY597" s="46"/>
      <c r="JJZ597" s="47"/>
      <c r="JKA597" s="46"/>
      <c r="JKB597" s="48"/>
      <c r="JKC597" s="53"/>
      <c r="JKJ597" s="15"/>
      <c r="JKK597" s="50"/>
      <c r="JKL597" s="50"/>
      <c r="JKM597" s="46"/>
      <c r="JKN597" s="47"/>
      <c r="JKO597" s="46"/>
      <c r="JKP597" s="48"/>
      <c r="JKQ597" s="53"/>
      <c r="JKX597" s="15"/>
      <c r="JKY597" s="50"/>
      <c r="JKZ597" s="50"/>
      <c r="JLA597" s="46"/>
      <c r="JLB597" s="47"/>
      <c r="JLC597" s="46"/>
      <c r="JLD597" s="48"/>
      <c r="JLE597" s="53"/>
      <c r="JLL597" s="15"/>
      <c r="JLM597" s="50"/>
      <c r="JLN597" s="50"/>
      <c r="JLO597" s="46"/>
      <c r="JLP597" s="47"/>
      <c r="JLQ597" s="46"/>
      <c r="JLR597" s="48"/>
      <c r="JLS597" s="53"/>
      <c r="JLZ597" s="15"/>
      <c r="JMA597" s="50"/>
      <c r="JMB597" s="50"/>
      <c r="JMC597" s="46"/>
      <c r="JMD597" s="47"/>
      <c r="JME597" s="46"/>
      <c r="JMF597" s="48"/>
      <c r="JMG597" s="53"/>
      <c r="JMN597" s="15"/>
      <c r="JMO597" s="50"/>
      <c r="JMP597" s="50"/>
      <c r="JMQ597" s="46"/>
      <c r="JMR597" s="47"/>
      <c r="JMS597" s="46"/>
      <c r="JMT597" s="48"/>
      <c r="JMU597" s="53"/>
      <c r="JNB597" s="15"/>
      <c r="JNC597" s="50"/>
      <c r="JND597" s="50"/>
      <c r="JNE597" s="46"/>
      <c r="JNF597" s="47"/>
      <c r="JNG597" s="46"/>
      <c r="JNH597" s="48"/>
      <c r="JNI597" s="53"/>
      <c r="JNP597" s="15"/>
      <c r="JNQ597" s="50"/>
      <c r="JNR597" s="50"/>
      <c r="JNS597" s="46"/>
      <c r="JNT597" s="47"/>
      <c r="JNU597" s="46"/>
      <c r="JNV597" s="48"/>
      <c r="JNW597" s="53"/>
      <c r="JOD597" s="15"/>
      <c r="JOE597" s="50"/>
      <c r="JOF597" s="50"/>
      <c r="JOG597" s="46"/>
      <c r="JOH597" s="47"/>
      <c r="JOI597" s="46"/>
      <c r="JOJ597" s="48"/>
      <c r="JOK597" s="53"/>
      <c r="JOR597" s="15"/>
      <c r="JOS597" s="50"/>
      <c r="JOT597" s="50"/>
      <c r="JOU597" s="46"/>
      <c r="JOV597" s="47"/>
      <c r="JOW597" s="46"/>
      <c r="JOX597" s="48"/>
      <c r="JOY597" s="53"/>
      <c r="JPF597" s="15"/>
      <c r="JPG597" s="50"/>
      <c r="JPH597" s="50"/>
      <c r="JPI597" s="46"/>
      <c r="JPJ597" s="47"/>
      <c r="JPK597" s="46"/>
      <c r="JPL597" s="48"/>
      <c r="JPM597" s="53"/>
      <c r="JPT597" s="15"/>
      <c r="JPU597" s="50"/>
      <c r="JPV597" s="50"/>
      <c r="JPW597" s="46"/>
      <c r="JPX597" s="47"/>
      <c r="JPY597" s="46"/>
      <c r="JPZ597" s="48"/>
      <c r="JQA597" s="53"/>
      <c r="JQH597" s="15"/>
      <c r="JQI597" s="50"/>
      <c r="JQJ597" s="50"/>
      <c r="JQK597" s="46"/>
      <c r="JQL597" s="47"/>
      <c r="JQM597" s="46"/>
      <c r="JQN597" s="48"/>
      <c r="JQO597" s="53"/>
      <c r="JQV597" s="15"/>
      <c r="JQW597" s="50"/>
      <c r="JQX597" s="50"/>
      <c r="JQY597" s="46"/>
      <c r="JQZ597" s="47"/>
      <c r="JRA597" s="46"/>
      <c r="JRB597" s="48"/>
      <c r="JRC597" s="53"/>
      <c r="JRJ597" s="15"/>
      <c r="JRK597" s="50"/>
      <c r="JRL597" s="50"/>
      <c r="JRM597" s="46"/>
      <c r="JRN597" s="47"/>
      <c r="JRO597" s="46"/>
      <c r="JRP597" s="48"/>
      <c r="JRQ597" s="53"/>
      <c r="JRX597" s="15"/>
      <c r="JRY597" s="50"/>
      <c r="JRZ597" s="50"/>
      <c r="JSA597" s="46"/>
      <c r="JSB597" s="47"/>
      <c r="JSC597" s="46"/>
      <c r="JSD597" s="48"/>
      <c r="JSE597" s="53"/>
      <c r="JSL597" s="15"/>
      <c r="JSM597" s="50"/>
      <c r="JSN597" s="50"/>
      <c r="JSO597" s="46"/>
      <c r="JSP597" s="47"/>
      <c r="JSQ597" s="46"/>
      <c r="JSR597" s="48"/>
      <c r="JSS597" s="53"/>
      <c r="JSZ597" s="15"/>
      <c r="JTA597" s="50"/>
      <c r="JTB597" s="50"/>
      <c r="JTC597" s="46"/>
      <c r="JTD597" s="47"/>
      <c r="JTE597" s="46"/>
      <c r="JTF597" s="48"/>
      <c r="JTG597" s="53"/>
      <c r="JTN597" s="15"/>
      <c r="JTO597" s="50"/>
      <c r="JTP597" s="50"/>
      <c r="JTQ597" s="46"/>
      <c r="JTR597" s="47"/>
      <c r="JTS597" s="46"/>
      <c r="JTT597" s="48"/>
      <c r="JTU597" s="53"/>
      <c r="JUB597" s="15"/>
      <c r="JUC597" s="50"/>
      <c r="JUD597" s="50"/>
      <c r="JUE597" s="46"/>
      <c r="JUF597" s="47"/>
      <c r="JUG597" s="46"/>
      <c r="JUH597" s="48"/>
      <c r="JUI597" s="53"/>
      <c r="JUP597" s="15"/>
      <c r="JUQ597" s="50"/>
      <c r="JUR597" s="50"/>
      <c r="JUS597" s="46"/>
      <c r="JUT597" s="47"/>
      <c r="JUU597" s="46"/>
      <c r="JUV597" s="48"/>
      <c r="JUW597" s="53"/>
      <c r="JVD597" s="15"/>
      <c r="JVE597" s="50"/>
      <c r="JVF597" s="50"/>
      <c r="JVG597" s="46"/>
      <c r="JVH597" s="47"/>
      <c r="JVI597" s="46"/>
      <c r="JVJ597" s="48"/>
      <c r="JVK597" s="53"/>
      <c r="JVR597" s="15"/>
      <c r="JVS597" s="50"/>
      <c r="JVT597" s="50"/>
      <c r="JVU597" s="46"/>
      <c r="JVV597" s="47"/>
      <c r="JVW597" s="46"/>
      <c r="JVX597" s="48"/>
      <c r="JVY597" s="53"/>
      <c r="JWF597" s="15"/>
      <c r="JWG597" s="50"/>
      <c r="JWH597" s="50"/>
      <c r="JWI597" s="46"/>
      <c r="JWJ597" s="47"/>
      <c r="JWK597" s="46"/>
      <c r="JWL597" s="48"/>
      <c r="JWM597" s="53"/>
      <c r="JWT597" s="15"/>
      <c r="JWU597" s="50"/>
      <c r="JWV597" s="50"/>
      <c r="JWW597" s="46"/>
      <c r="JWX597" s="47"/>
      <c r="JWY597" s="46"/>
      <c r="JWZ597" s="48"/>
      <c r="JXA597" s="53"/>
      <c r="JXH597" s="15"/>
      <c r="JXI597" s="50"/>
      <c r="JXJ597" s="50"/>
      <c r="JXK597" s="46"/>
      <c r="JXL597" s="47"/>
      <c r="JXM597" s="46"/>
      <c r="JXN597" s="48"/>
      <c r="JXO597" s="53"/>
      <c r="JXV597" s="15"/>
      <c r="JXW597" s="50"/>
      <c r="JXX597" s="50"/>
      <c r="JXY597" s="46"/>
      <c r="JXZ597" s="47"/>
      <c r="JYA597" s="46"/>
      <c r="JYB597" s="48"/>
      <c r="JYC597" s="53"/>
      <c r="JYJ597" s="15"/>
      <c r="JYK597" s="50"/>
      <c r="JYL597" s="50"/>
      <c r="JYM597" s="46"/>
      <c r="JYN597" s="47"/>
      <c r="JYO597" s="46"/>
      <c r="JYP597" s="48"/>
      <c r="JYQ597" s="53"/>
      <c r="JYX597" s="15"/>
      <c r="JYY597" s="50"/>
      <c r="JYZ597" s="50"/>
      <c r="JZA597" s="46"/>
      <c r="JZB597" s="47"/>
      <c r="JZC597" s="46"/>
      <c r="JZD597" s="48"/>
      <c r="JZE597" s="53"/>
      <c r="JZL597" s="15"/>
      <c r="JZM597" s="50"/>
      <c r="JZN597" s="50"/>
      <c r="JZO597" s="46"/>
      <c r="JZP597" s="47"/>
      <c r="JZQ597" s="46"/>
      <c r="JZR597" s="48"/>
      <c r="JZS597" s="53"/>
      <c r="JZZ597" s="15"/>
      <c r="KAA597" s="50"/>
      <c r="KAB597" s="50"/>
      <c r="KAC597" s="46"/>
      <c r="KAD597" s="47"/>
      <c r="KAE597" s="46"/>
      <c r="KAF597" s="48"/>
      <c r="KAG597" s="53"/>
      <c r="KAN597" s="15"/>
      <c r="KAO597" s="50"/>
      <c r="KAP597" s="50"/>
      <c r="KAQ597" s="46"/>
      <c r="KAR597" s="47"/>
      <c r="KAS597" s="46"/>
      <c r="KAT597" s="48"/>
      <c r="KAU597" s="53"/>
      <c r="KBB597" s="15"/>
      <c r="KBC597" s="50"/>
      <c r="KBD597" s="50"/>
      <c r="KBE597" s="46"/>
      <c r="KBF597" s="47"/>
      <c r="KBG597" s="46"/>
      <c r="KBH597" s="48"/>
      <c r="KBI597" s="53"/>
      <c r="KBP597" s="15"/>
      <c r="KBQ597" s="50"/>
      <c r="KBR597" s="50"/>
      <c r="KBS597" s="46"/>
      <c r="KBT597" s="47"/>
      <c r="KBU597" s="46"/>
      <c r="KBV597" s="48"/>
      <c r="KBW597" s="53"/>
      <c r="KCD597" s="15"/>
      <c r="KCE597" s="50"/>
      <c r="KCF597" s="50"/>
      <c r="KCG597" s="46"/>
      <c r="KCH597" s="47"/>
      <c r="KCI597" s="46"/>
      <c r="KCJ597" s="48"/>
      <c r="KCK597" s="53"/>
      <c r="KCR597" s="15"/>
      <c r="KCS597" s="50"/>
      <c r="KCT597" s="50"/>
      <c r="KCU597" s="46"/>
      <c r="KCV597" s="47"/>
      <c r="KCW597" s="46"/>
      <c r="KCX597" s="48"/>
      <c r="KCY597" s="53"/>
      <c r="KDF597" s="15"/>
      <c r="KDG597" s="50"/>
      <c r="KDH597" s="50"/>
      <c r="KDI597" s="46"/>
      <c r="KDJ597" s="47"/>
      <c r="KDK597" s="46"/>
      <c r="KDL597" s="48"/>
      <c r="KDM597" s="53"/>
      <c r="KDT597" s="15"/>
      <c r="KDU597" s="50"/>
      <c r="KDV597" s="50"/>
      <c r="KDW597" s="46"/>
      <c r="KDX597" s="47"/>
      <c r="KDY597" s="46"/>
      <c r="KDZ597" s="48"/>
      <c r="KEA597" s="53"/>
      <c r="KEH597" s="15"/>
      <c r="KEI597" s="50"/>
      <c r="KEJ597" s="50"/>
      <c r="KEK597" s="46"/>
      <c r="KEL597" s="47"/>
      <c r="KEM597" s="46"/>
      <c r="KEN597" s="48"/>
      <c r="KEO597" s="53"/>
      <c r="KEV597" s="15"/>
      <c r="KEW597" s="50"/>
      <c r="KEX597" s="50"/>
      <c r="KEY597" s="46"/>
      <c r="KEZ597" s="47"/>
      <c r="KFA597" s="46"/>
      <c r="KFB597" s="48"/>
      <c r="KFC597" s="53"/>
      <c r="KFJ597" s="15"/>
      <c r="KFK597" s="50"/>
      <c r="KFL597" s="50"/>
      <c r="KFM597" s="46"/>
      <c r="KFN597" s="47"/>
      <c r="KFO597" s="46"/>
      <c r="KFP597" s="48"/>
      <c r="KFQ597" s="53"/>
      <c r="KFX597" s="15"/>
      <c r="KFY597" s="50"/>
      <c r="KFZ597" s="50"/>
      <c r="KGA597" s="46"/>
      <c r="KGB597" s="47"/>
      <c r="KGC597" s="46"/>
      <c r="KGD597" s="48"/>
      <c r="KGE597" s="53"/>
      <c r="KGL597" s="15"/>
      <c r="KGM597" s="50"/>
      <c r="KGN597" s="50"/>
      <c r="KGO597" s="46"/>
      <c r="KGP597" s="47"/>
      <c r="KGQ597" s="46"/>
      <c r="KGR597" s="48"/>
      <c r="KGS597" s="53"/>
      <c r="KGZ597" s="15"/>
      <c r="KHA597" s="50"/>
      <c r="KHB597" s="50"/>
      <c r="KHC597" s="46"/>
      <c r="KHD597" s="47"/>
      <c r="KHE597" s="46"/>
      <c r="KHF597" s="48"/>
      <c r="KHG597" s="53"/>
      <c r="KHN597" s="15"/>
      <c r="KHO597" s="50"/>
      <c r="KHP597" s="50"/>
      <c r="KHQ597" s="46"/>
      <c r="KHR597" s="47"/>
      <c r="KHS597" s="46"/>
      <c r="KHT597" s="48"/>
      <c r="KHU597" s="53"/>
      <c r="KIB597" s="15"/>
      <c r="KIC597" s="50"/>
      <c r="KID597" s="50"/>
      <c r="KIE597" s="46"/>
      <c r="KIF597" s="47"/>
      <c r="KIG597" s="46"/>
      <c r="KIH597" s="48"/>
      <c r="KII597" s="53"/>
      <c r="KIP597" s="15"/>
      <c r="KIQ597" s="50"/>
      <c r="KIR597" s="50"/>
      <c r="KIS597" s="46"/>
      <c r="KIT597" s="47"/>
      <c r="KIU597" s="46"/>
      <c r="KIV597" s="48"/>
      <c r="KIW597" s="53"/>
      <c r="KJD597" s="15"/>
      <c r="KJE597" s="50"/>
      <c r="KJF597" s="50"/>
      <c r="KJG597" s="46"/>
      <c r="KJH597" s="47"/>
      <c r="KJI597" s="46"/>
      <c r="KJJ597" s="48"/>
      <c r="KJK597" s="53"/>
      <c r="KJR597" s="15"/>
      <c r="KJS597" s="50"/>
      <c r="KJT597" s="50"/>
      <c r="KJU597" s="46"/>
      <c r="KJV597" s="47"/>
      <c r="KJW597" s="46"/>
      <c r="KJX597" s="48"/>
      <c r="KJY597" s="53"/>
      <c r="KKF597" s="15"/>
      <c r="KKG597" s="50"/>
      <c r="KKH597" s="50"/>
      <c r="KKI597" s="46"/>
      <c r="KKJ597" s="47"/>
      <c r="KKK597" s="46"/>
      <c r="KKL597" s="48"/>
      <c r="KKM597" s="53"/>
      <c r="KKT597" s="15"/>
      <c r="KKU597" s="50"/>
      <c r="KKV597" s="50"/>
      <c r="KKW597" s="46"/>
      <c r="KKX597" s="47"/>
      <c r="KKY597" s="46"/>
      <c r="KKZ597" s="48"/>
      <c r="KLA597" s="53"/>
      <c r="KLH597" s="15"/>
      <c r="KLI597" s="50"/>
      <c r="KLJ597" s="50"/>
      <c r="KLK597" s="46"/>
      <c r="KLL597" s="47"/>
      <c r="KLM597" s="46"/>
      <c r="KLN597" s="48"/>
      <c r="KLO597" s="53"/>
      <c r="KLV597" s="15"/>
      <c r="KLW597" s="50"/>
      <c r="KLX597" s="50"/>
      <c r="KLY597" s="46"/>
      <c r="KLZ597" s="47"/>
      <c r="KMA597" s="46"/>
      <c r="KMB597" s="48"/>
      <c r="KMC597" s="53"/>
      <c r="KMJ597" s="15"/>
      <c r="KMK597" s="50"/>
      <c r="KML597" s="50"/>
      <c r="KMM597" s="46"/>
      <c r="KMN597" s="47"/>
      <c r="KMO597" s="46"/>
      <c r="KMP597" s="48"/>
      <c r="KMQ597" s="53"/>
      <c r="KMX597" s="15"/>
      <c r="KMY597" s="50"/>
      <c r="KMZ597" s="50"/>
      <c r="KNA597" s="46"/>
      <c r="KNB597" s="47"/>
      <c r="KNC597" s="46"/>
      <c r="KND597" s="48"/>
      <c r="KNE597" s="53"/>
      <c r="KNL597" s="15"/>
      <c r="KNM597" s="50"/>
      <c r="KNN597" s="50"/>
      <c r="KNO597" s="46"/>
      <c r="KNP597" s="47"/>
      <c r="KNQ597" s="46"/>
      <c r="KNR597" s="48"/>
      <c r="KNS597" s="53"/>
      <c r="KNZ597" s="15"/>
      <c r="KOA597" s="50"/>
      <c r="KOB597" s="50"/>
      <c r="KOC597" s="46"/>
      <c r="KOD597" s="47"/>
      <c r="KOE597" s="46"/>
      <c r="KOF597" s="48"/>
      <c r="KOG597" s="53"/>
      <c r="KON597" s="15"/>
      <c r="KOO597" s="50"/>
      <c r="KOP597" s="50"/>
      <c r="KOQ597" s="46"/>
      <c r="KOR597" s="47"/>
      <c r="KOS597" s="46"/>
      <c r="KOT597" s="48"/>
      <c r="KOU597" s="53"/>
      <c r="KPB597" s="15"/>
      <c r="KPC597" s="50"/>
      <c r="KPD597" s="50"/>
      <c r="KPE597" s="46"/>
      <c r="KPF597" s="47"/>
      <c r="KPG597" s="46"/>
      <c r="KPH597" s="48"/>
      <c r="KPI597" s="53"/>
      <c r="KPP597" s="15"/>
      <c r="KPQ597" s="50"/>
      <c r="KPR597" s="50"/>
      <c r="KPS597" s="46"/>
      <c r="KPT597" s="47"/>
      <c r="KPU597" s="46"/>
      <c r="KPV597" s="48"/>
      <c r="KPW597" s="53"/>
      <c r="KQD597" s="15"/>
      <c r="KQE597" s="50"/>
      <c r="KQF597" s="50"/>
      <c r="KQG597" s="46"/>
      <c r="KQH597" s="47"/>
      <c r="KQI597" s="46"/>
      <c r="KQJ597" s="48"/>
      <c r="KQK597" s="53"/>
      <c r="KQR597" s="15"/>
      <c r="KQS597" s="50"/>
      <c r="KQT597" s="50"/>
      <c r="KQU597" s="46"/>
      <c r="KQV597" s="47"/>
      <c r="KQW597" s="46"/>
      <c r="KQX597" s="48"/>
      <c r="KQY597" s="53"/>
      <c r="KRF597" s="15"/>
      <c r="KRG597" s="50"/>
      <c r="KRH597" s="50"/>
      <c r="KRI597" s="46"/>
      <c r="KRJ597" s="47"/>
      <c r="KRK597" s="46"/>
      <c r="KRL597" s="48"/>
      <c r="KRM597" s="53"/>
      <c r="KRT597" s="15"/>
      <c r="KRU597" s="50"/>
      <c r="KRV597" s="50"/>
      <c r="KRW597" s="46"/>
      <c r="KRX597" s="47"/>
      <c r="KRY597" s="46"/>
      <c r="KRZ597" s="48"/>
      <c r="KSA597" s="53"/>
      <c r="KSH597" s="15"/>
      <c r="KSI597" s="50"/>
      <c r="KSJ597" s="50"/>
      <c r="KSK597" s="46"/>
      <c r="KSL597" s="47"/>
      <c r="KSM597" s="46"/>
      <c r="KSN597" s="48"/>
      <c r="KSO597" s="53"/>
      <c r="KSV597" s="15"/>
      <c r="KSW597" s="50"/>
      <c r="KSX597" s="50"/>
      <c r="KSY597" s="46"/>
      <c r="KSZ597" s="47"/>
      <c r="KTA597" s="46"/>
      <c r="KTB597" s="48"/>
      <c r="KTC597" s="53"/>
      <c r="KTJ597" s="15"/>
      <c r="KTK597" s="50"/>
      <c r="KTL597" s="50"/>
      <c r="KTM597" s="46"/>
      <c r="KTN597" s="47"/>
      <c r="KTO597" s="46"/>
      <c r="KTP597" s="48"/>
      <c r="KTQ597" s="53"/>
      <c r="KTX597" s="15"/>
      <c r="KTY597" s="50"/>
      <c r="KTZ597" s="50"/>
      <c r="KUA597" s="46"/>
      <c r="KUB597" s="47"/>
      <c r="KUC597" s="46"/>
      <c r="KUD597" s="48"/>
      <c r="KUE597" s="53"/>
      <c r="KUL597" s="15"/>
      <c r="KUM597" s="50"/>
      <c r="KUN597" s="50"/>
      <c r="KUO597" s="46"/>
      <c r="KUP597" s="47"/>
      <c r="KUQ597" s="46"/>
      <c r="KUR597" s="48"/>
      <c r="KUS597" s="53"/>
      <c r="KUZ597" s="15"/>
      <c r="KVA597" s="50"/>
      <c r="KVB597" s="50"/>
      <c r="KVC597" s="46"/>
      <c r="KVD597" s="47"/>
      <c r="KVE597" s="46"/>
      <c r="KVF597" s="48"/>
      <c r="KVG597" s="53"/>
      <c r="KVN597" s="15"/>
      <c r="KVO597" s="50"/>
      <c r="KVP597" s="50"/>
      <c r="KVQ597" s="46"/>
      <c r="KVR597" s="47"/>
      <c r="KVS597" s="46"/>
      <c r="KVT597" s="48"/>
      <c r="KVU597" s="53"/>
      <c r="KWB597" s="15"/>
      <c r="KWC597" s="50"/>
      <c r="KWD597" s="50"/>
      <c r="KWE597" s="46"/>
      <c r="KWF597" s="47"/>
      <c r="KWG597" s="46"/>
      <c r="KWH597" s="48"/>
      <c r="KWI597" s="53"/>
      <c r="KWP597" s="15"/>
      <c r="KWQ597" s="50"/>
      <c r="KWR597" s="50"/>
      <c r="KWS597" s="46"/>
      <c r="KWT597" s="47"/>
      <c r="KWU597" s="46"/>
      <c r="KWV597" s="48"/>
      <c r="KWW597" s="53"/>
      <c r="KXD597" s="15"/>
      <c r="KXE597" s="50"/>
      <c r="KXF597" s="50"/>
      <c r="KXG597" s="46"/>
      <c r="KXH597" s="47"/>
      <c r="KXI597" s="46"/>
      <c r="KXJ597" s="48"/>
      <c r="KXK597" s="53"/>
      <c r="KXR597" s="15"/>
      <c r="KXS597" s="50"/>
      <c r="KXT597" s="50"/>
      <c r="KXU597" s="46"/>
      <c r="KXV597" s="47"/>
      <c r="KXW597" s="46"/>
      <c r="KXX597" s="48"/>
      <c r="KXY597" s="53"/>
      <c r="KYF597" s="15"/>
      <c r="KYG597" s="50"/>
      <c r="KYH597" s="50"/>
      <c r="KYI597" s="46"/>
      <c r="KYJ597" s="47"/>
      <c r="KYK597" s="46"/>
      <c r="KYL597" s="48"/>
      <c r="KYM597" s="53"/>
      <c r="KYT597" s="15"/>
      <c r="KYU597" s="50"/>
      <c r="KYV597" s="50"/>
      <c r="KYW597" s="46"/>
      <c r="KYX597" s="47"/>
      <c r="KYY597" s="46"/>
      <c r="KYZ597" s="48"/>
      <c r="KZA597" s="53"/>
      <c r="KZH597" s="15"/>
      <c r="KZI597" s="50"/>
      <c r="KZJ597" s="50"/>
      <c r="KZK597" s="46"/>
      <c r="KZL597" s="47"/>
      <c r="KZM597" s="46"/>
      <c r="KZN597" s="48"/>
      <c r="KZO597" s="53"/>
      <c r="KZV597" s="15"/>
      <c r="KZW597" s="50"/>
      <c r="KZX597" s="50"/>
      <c r="KZY597" s="46"/>
      <c r="KZZ597" s="47"/>
      <c r="LAA597" s="46"/>
      <c r="LAB597" s="48"/>
      <c r="LAC597" s="53"/>
      <c r="LAJ597" s="15"/>
      <c r="LAK597" s="50"/>
      <c r="LAL597" s="50"/>
      <c r="LAM597" s="46"/>
      <c r="LAN597" s="47"/>
      <c r="LAO597" s="46"/>
      <c r="LAP597" s="48"/>
      <c r="LAQ597" s="53"/>
      <c r="LAX597" s="15"/>
      <c r="LAY597" s="50"/>
      <c r="LAZ597" s="50"/>
      <c r="LBA597" s="46"/>
      <c r="LBB597" s="47"/>
      <c r="LBC597" s="46"/>
      <c r="LBD597" s="48"/>
      <c r="LBE597" s="53"/>
      <c r="LBL597" s="15"/>
      <c r="LBM597" s="50"/>
      <c r="LBN597" s="50"/>
      <c r="LBO597" s="46"/>
      <c r="LBP597" s="47"/>
      <c r="LBQ597" s="46"/>
      <c r="LBR597" s="48"/>
      <c r="LBS597" s="53"/>
      <c r="LBZ597" s="15"/>
      <c r="LCA597" s="50"/>
      <c r="LCB597" s="50"/>
      <c r="LCC597" s="46"/>
      <c r="LCD597" s="47"/>
      <c r="LCE597" s="46"/>
      <c r="LCF597" s="48"/>
      <c r="LCG597" s="53"/>
      <c r="LCN597" s="15"/>
      <c r="LCO597" s="50"/>
      <c r="LCP597" s="50"/>
      <c r="LCQ597" s="46"/>
      <c r="LCR597" s="47"/>
      <c r="LCS597" s="46"/>
      <c r="LCT597" s="48"/>
      <c r="LCU597" s="53"/>
      <c r="LDB597" s="15"/>
      <c r="LDC597" s="50"/>
      <c r="LDD597" s="50"/>
      <c r="LDE597" s="46"/>
      <c r="LDF597" s="47"/>
      <c r="LDG597" s="46"/>
      <c r="LDH597" s="48"/>
      <c r="LDI597" s="53"/>
      <c r="LDP597" s="15"/>
      <c r="LDQ597" s="50"/>
      <c r="LDR597" s="50"/>
      <c r="LDS597" s="46"/>
      <c r="LDT597" s="47"/>
      <c r="LDU597" s="46"/>
      <c r="LDV597" s="48"/>
      <c r="LDW597" s="53"/>
      <c r="LED597" s="15"/>
      <c r="LEE597" s="50"/>
      <c r="LEF597" s="50"/>
      <c r="LEG597" s="46"/>
      <c r="LEH597" s="47"/>
      <c r="LEI597" s="46"/>
      <c r="LEJ597" s="48"/>
      <c r="LEK597" s="53"/>
      <c r="LER597" s="15"/>
      <c r="LES597" s="50"/>
      <c r="LET597" s="50"/>
      <c r="LEU597" s="46"/>
      <c r="LEV597" s="47"/>
      <c r="LEW597" s="46"/>
      <c r="LEX597" s="48"/>
      <c r="LEY597" s="53"/>
      <c r="LFF597" s="15"/>
      <c r="LFG597" s="50"/>
      <c r="LFH597" s="50"/>
      <c r="LFI597" s="46"/>
      <c r="LFJ597" s="47"/>
      <c r="LFK597" s="46"/>
      <c r="LFL597" s="48"/>
      <c r="LFM597" s="53"/>
      <c r="LFT597" s="15"/>
      <c r="LFU597" s="50"/>
      <c r="LFV597" s="50"/>
      <c r="LFW597" s="46"/>
      <c r="LFX597" s="47"/>
      <c r="LFY597" s="46"/>
      <c r="LFZ597" s="48"/>
      <c r="LGA597" s="53"/>
      <c r="LGH597" s="15"/>
      <c r="LGI597" s="50"/>
      <c r="LGJ597" s="50"/>
      <c r="LGK597" s="46"/>
      <c r="LGL597" s="47"/>
      <c r="LGM597" s="46"/>
      <c r="LGN597" s="48"/>
      <c r="LGO597" s="53"/>
      <c r="LGV597" s="15"/>
      <c r="LGW597" s="50"/>
      <c r="LGX597" s="50"/>
      <c r="LGY597" s="46"/>
      <c r="LGZ597" s="47"/>
      <c r="LHA597" s="46"/>
      <c r="LHB597" s="48"/>
      <c r="LHC597" s="53"/>
      <c r="LHJ597" s="15"/>
      <c r="LHK597" s="50"/>
      <c r="LHL597" s="50"/>
      <c r="LHM597" s="46"/>
      <c r="LHN597" s="47"/>
      <c r="LHO597" s="46"/>
      <c r="LHP597" s="48"/>
      <c r="LHQ597" s="53"/>
      <c r="LHX597" s="15"/>
      <c r="LHY597" s="50"/>
      <c r="LHZ597" s="50"/>
      <c r="LIA597" s="46"/>
      <c r="LIB597" s="47"/>
      <c r="LIC597" s="46"/>
      <c r="LID597" s="48"/>
      <c r="LIE597" s="53"/>
      <c r="LIL597" s="15"/>
      <c r="LIM597" s="50"/>
      <c r="LIN597" s="50"/>
      <c r="LIO597" s="46"/>
      <c r="LIP597" s="47"/>
      <c r="LIQ597" s="46"/>
      <c r="LIR597" s="48"/>
      <c r="LIS597" s="53"/>
      <c r="LIZ597" s="15"/>
      <c r="LJA597" s="50"/>
      <c r="LJB597" s="50"/>
      <c r="LJC597" s="46"/>
      <c r="LJD597" s="47"/>
      <c r="LJE597" s="46"/>
      <c r="LJF597" s="48"/>
      <c r="LJG597" s="53"/>
      <c r="LJN597" s="15"/>
      <c r="LJO597" s="50"/>
      <c r="LJP597" s="50"/>
      <c r="LJQ597" s="46"/>
      <c r="LJR597" s="47"/>
      <c r="LJS597" s="46"/>
      <c r="LJT597" s="48"/>
      <c r="LJU597" s="53"/>
      <c r="LKB597" s="15"/>
      <c r="LKC597" s="50"/>
      <c r="LKD597" s="50"/>
      <c r="LKE597" s="46"/>
      <c r="LKF597" s="47"/>
      <c r="LKG597" s="46"/>
      <c r="LKH597" s="48"/>
      <c r="LKI597" s="53"/>
      <c r="LKP597" s="15"/>
      <c r="LKQ597" s="50"/>
      <c r="LKR597" s="50"/>
      <c r="LKS597" s="46"/>
      <c r="LKT597" s="47"/>
      <c r="LKU597" s="46"/>
      <c r="LKV597" s="48"/>
      <c r="LKW597" s="53"/>
      <c r="LLD597" s="15"/>
      <c r="LLE597" s="50"/>
      <c r="LLF597" s="50"/>
      <c r="LLG597" s="46"/>
      <c r="LLH597" s="47"/>
      <c r="LLI597" s="46"/>
      <c r="LLJ597" s="48"/>
      <c r="LLK597" s="53"/>
      <c r="LLR597" s="15"/>
      <c r="LLS597" s="50"/>
      <c r="LLT597" s="50"/>
      <c r="LLU597" s="46"/>
      <c r="LLV597" s="47"/>
      <c r="LLW597" s="46"/>
      <c r="LLX597" s="48"/>
      <c r="LLY597" s="53"/>
      <c r="LMF597" s="15"/>
      <c r="LMG597" s="50"/>
      <c r="LMH597" s="50"/>
      <c r="LMI597" s="46"/>
      <c r="LMJ597" s="47"/>
      <c r="LMK597" s="46"/>
      <c r="LML597" s="48"/>
      <c r="LMM597" s="53"/>
      <c r="LMT597" s="15"/>
      <c r="LMU597" s="50"/>
      <c r="LMV597" s="50"/>
      <c r="LMW597" s="46"/>
      <c r="LMX597" s="47"/>
      <c r="LMY597" s="46"/>
      <c r="LMZ597" s="48"/>
      <c r="LNA597" s="53"/>
      <c r="LNH597" s="15"/>
      <c r="LNI597" s="50"/>
      <c r="LNJ597" s="50"/>
      <c r="LNK597" s="46"/>
      <c r="LNL597" s="47"/>
      <c r="LNM597" s="46"/>
      <c r="LNN597" s="48"/>
      <c r="LNO597" s="53"/>
      <c r="LNV597" s="15"/>
      <c r="LNW597" s="50"/>
      <c r="LNX597" s="50"/>
      <c r="LNY597" s="46"/>
      <c r="LNZ597" s="47"/>
      <c r="LOA597" s="46"/>
      <c r="LOB597" s="48"/>
      <c r="LOC597" s="53"/>
      <c r="LOJ597" s="15"/>
      <c r="LOK597" s="50"/>
      <c r="LOL597" s="50"/>
      <c r="LOM597" s="46"/>
      <c r="LON597" s="47"/>
      <c r="LOO597" s="46"/>
      <c r="LOP597" s="48"/>
      <c r="LOQ597" s="53"/>
      <c r="LOX597" s="15"/>
      <c r="LOY597" s="50"/>
      <c r="LOZ597" s="50"/>
      <c r="LPA597" s="46"/>
      <c r="LPB597" s="47"/>
      <c r="LPC597" s="46"/>
      <c r="LPD597" s="48"/>
      <c r="LPE597" s="53"/>
      <c r="LPL597" s="15"/>
      <c r="LPM597" s="50"/>
      <c r="LPN597" s="50"/>
      <c r="LPO597" s="46"/>
      <c r="LPP597" s="47"/>
      <c r="LPQ597" s="46"/>
      <c r="LPR597" s="48"/>
      <c r="LPS597" s="53"/>
      <c r="LPZ597" s="15"/>
      <c r="LQA597" s="50"/>
      <c r="LQB597" s="50"/>
      <c r="LQC597" s="46"/>
      <c r="LQD597" s="47"/>
      <c r="LQE597" s="46"/>
      <c r="LQF597" s="48"/>
      <c r="LQG597" s="53"/>
      <c r="LQN597" s="15"/>
      <c r="LQO597" s="50"/>
      <c r="LQP597" s="50"/>
      <c r="LQQ597" s="46"/>
      <c r="LQR597" s="47"/>
      <c r="LQS597" s="46"/>
      <c r="LQT597" s="48"/>
      <c r="LQU597" s="53"/>
      <c r="LRB597" s="15"/>
      <c r="LRC597" s="50"/>
      <c r="LRD597" s="50"/>
      <c r="LRE597" s="46"/>
      <c r="LRF597" s="47"/>
      <c r="LRG597" s="46"/>
      <c r="LRH597" s="48"/>
      <c r="LRI597" s="53"/>
      <c r="LRP597" s="15"/>
      <c r="LRQ597" s="50"/>
      <c r="LRR597" s="50"/>
      <c r="LRS597" s="46"/>
      <c r="LRT597" s="47"/>
      <c r="LRU597" s="46"/>
      <c r="LRV597" s="48"/>
      <c r="LRW597" s="53"/>
      <c r="LSD597" s="15"/>
      <c r="LSE597" s="50"/>
      <c r="LSF597" s="50"/>
      <c r="LSG597" s="46"/>
      <c r="LSH597" s="47"/>
      <c r="LSI597" s="46"/>
      <c r="LSJ597" s="48"/>
      <c r="LSK597" s="53"/>
      <c r="LSR597" s="15"/>
      <c r="LSS597" s="50"/>
      <c r="LST597" s="50"/>
      <c r="LSU597" s="46"/>
      <c r="LSV597" s="47"/>
      <c r="LSW597" s="46"/>
      <c r="LSX597" s="48"/>
      <c r="LSY597" s="53"/>
      <c r="LTF597" s="15"/>
      <c r="LTG597" s="50"/>
      <c r="LTH597" s="50"/>
      <c r="LTI597" s="46"/>
      <c r="LTJ597" s="47"/>
      <c r="LTK597" s="46"/>
      <c r="LTL597" s="48"/>
      <c r="LTM597" s="53"/>
      <c r="LTT597" s="15"/>
      <c r="LTU597" s="50"/>
      <c r="LTV597" s="50"/>
      <c r="LTW597" s="46"/>
      <c r="LTX597" s="47"/>
      <c r="LTY597" s="46"/>
      <c r="LTZ597" s="48"/>
      <c r="LUA597" s="53"/>
      <c r="LUH597" s="15"/>
      <c r="LUI597" s="50"/>
      <c r="LUJ597" s="50"/>
      <c r="LUK597" s="46"/>
      <c r="LUL597" s="47"/>
      <c r="LUM597" s="46"/>
      <c r="LUN597" s="48"/>
      <c r="LUO597" s="53"/>
      <c r="LUV597" s="15"/>
      <c r="LUW597" s="50"/>
      <c r="LUX597" s="50"/>
      <c r="LUY597" s="46"/>
      <c r="LUZ597" s="47"/>
      <c r="LVA597" s="46"/>
      <c r="LVB597" s="48"/>
      <c r="LVC597" s="53"/>
      <c r="LVJ597" s="15"/>
      <c r="LVK597" s="50"/>
      <c r="LVL597" s="50"/>
      <c r="LVM597" s="46"/>
      <c r="LVN597" s="47"/>
      <c r="LVO597" s="46"/>
      <c r="LVP597" s="48"/>
      <c r="LVQ597" s="53"/>
      <c r="LVX597" s="15"/>
      <c r="LVY597" s="50"/>
      <c r="LVZ597" s="50"/>
      <c r="LWA597" s="46"/>
      <c r="LWB597" s="47"/>
      <c r="LWC597" s="46"/>
      <c r="LWD597" s="48"/>
      <c r="LWE597" s="53"/>
      <c r="LWL597" s="15"/>
      <c r="LWM597" s="50"/>
      <c r="LWN597" s="50"/>
      <c r="LWO597" s="46"/>
      <c r="LWP597" s="47"/>
      <c r="LWQ597" s="46"/>
      <c r="LWR597" s="48"/>
      <c r="LWS597" s="53"/>
      <c r="LWZ597" s="15"/>
      <c r="LXA597" s="50"/>
      <c r="LXB597" s="50"/>
      <c r="LXC597" s="46"/>
      <c r="LXD597" s="47"/>
      <c r="LXE597" s="46"/>
      <c r="LXF597" s="48"/>
      <c r="LXG597" s="53"/>
      <c r="LXN597" s="15"/>
      <c r="LXO597" s="50"/>
      <c r="LXP597" s="50"/>
      <c r="LXQ597" s="46"/>
      <c r="LXR597" s="47"/>
      <c r="LXS597" s="46"/>
      <c r="LXT597" s="48"/>
      <c r="LXU597" s="53"/>
      <c r="LYB597" s="15"/>
      <c r="LYC597" s="50"/>
      <c r="LYD597" s="50"/>
      <c r="LYE597" s="46"/>
      <c r="LYF597" s="47"/>
      <c r="LYG597" s="46"/>
      <c r="LYH597" s="48"/>
      <c r="LYI597" s="53"/>
      <c r="LYP597" s="15"/>
      <c r="LYQ597" s="50"/>
      <c r="LYR597" s="50"/>
      <c r="LYS597" s="46"/>
      <c r="LYT597" s="47"/>
      <c r="LYU597" s="46"/>
      <c r="LYV597" s="48"/>
      <c r="LYW597" s="53"/>
      <c r="LZD597" s="15"/>
      <c r="LZE597" s="50"/>
      <c r="LZF597" s="50"/>
      <c r="LZG597" s="46"/>
      <c r="LZH597" s="47"/>
      <c r="LZI597" s="46"/>
      <c r="LZJ597" s="48"/>
      <c r="LZK597" s="53"/>
      <c r="LZR597" s="15"/>
      <c r="LZS597" s="50"/>
      <c r="LZT597" s="50"/>
      <c r="LZU597" s="46"/>
      <c r="LZV597" s="47"/>
      <c r="LZW597" s="46"/>
      <c r="LZX597" s="48"/>
      <c r="LZY597" s="53"/>
      <c r="MAF597" s="15"/>
      <c r="MAG597" s="50"/>
      <c r="MAH597" s="50"/>
      <c r="MAI597" s="46"/>
      <c r="MAJ597" s="47"/>
      <c r="MAK597" s="46"/>
      <c r="MAL597" s="48"/>
      <c r="MAM597" s="53"/>
      <c r="MAT597" s="15"/>
      <c r="MAU597" s="50"/>
      <c r="MAV597" s="50"/>
      <c r="MAW597" s="46"/>
      <c r="MAX597" s="47"/>
      <c r="MAY597" s="46"/>
      <c r="MAZ597" s="48"/>
      <c r="MBA597" s="53"/>
      <c r="MBH597" s="15"/>
      <c r="MBI597" s="50"/>
      <c r="MBJ597" s="50"/>
      <c r="MBK597" s="46"/>
      <c r="MBL597" s="47"/>
      <c r="MBM597" s="46"/>
      <c r="MBN597" s="48"/>
      <c r="MBO597" s="53"/>
      <c r="MBV597" s="15"/>
      <c r="MBW597" s="50"/>
      <c r="MBX597" s="50"/>
      <c r="MBY597" s="46"/>
      <c r="MBZ597" s="47"/>
      <c r="MCA597" s="46"/>
      <c r="MCB597" s="48"/>
      <c r="MCC597" s="53"/>
      <c r="MCJ597" s="15"/>
      <c r="MCK597" s="50"/>
      <c r="MCL597" s="50"/>
      <c r="MCM597" s="46"/>
      <c r="MCN597" s="47"/>
      <c r="MCO597" s="46"/>
      <c r="MCP597" s="48"/>
      <c r="MCQ597" s="53"/>
      <c r="MCX597" s="15"/>
      <c r="MCY597" s="50"/>
      <c r="MCZ597" s="50"/>
      <c r="MDA597" s="46"/>
      <c r="MDB597" s="47"/>
      <c r="MDC597" s="46"/>
      <c r="MDD597" s="48"/>
      <c r="MDE597" s="53"/>
      <c r="MDL597" s="15"/>
      <c r="MDM597" s="50"/>
      <c r="MDN597" s="50"/>
      <c r="MDO597" s="46"/>
      <c r="MDP597" s="47"/>
      <c r="MDQ597" s="46"/>
      <c r="MDR597" s="48"/>
      <c r="MDS597" s="53"/>
      <c r="MDZ597" s="15"/>
      <c r="MEA597" s="50"/>
      <c r="MEB597" s="50"/>
      <c r="MEC597" s="46"/>
      <c r="MED597" s="47"/>
      <c r="MEE597" s="46"/>
      <c r="MEF597" s="48"/>
      <c r="MEG597" s="53"/>
      <c r="MEN597" s="15"/>
      <c r="MEO597" s="50"/>
      <c r="MEP597" s="50"/>
      <c r="MEQ597" s="46"/>
      <c r="MER597" s="47"/>
      <c r="MES597" s="46"/>
      <c r="MET597" s="48"/>
      <c r="MEU597" s="53"/>
      <c r="MFB597" s="15"/>
      <c r="MFC597" s="50"/>
      <c r="MFD597" s="50"/>
      <c r="MFE597" s="46"/>
      <c r="MFF597" s="47"/>
      <c r="MFG597" s="46"/>
      <c r="MFH597" s="48"/>
      <c r="MFI597" s="53"/>
      <c r="MFP597" s="15"/>
      <c r="MFQ597" s="50"/>
      <c r="MFR597" s="50"/>
      <c r="MFS597" s="46"/>
      <c r="MFT597" s="47"/>
      <c r="MFU597" s="46"/>
      <c r="MFV597" s="48"/>
      <c r="MFW597" s="53"/>
      <c r="MGD597" s="15"/>
      <c r="MGE597" s="50"/>
      <c r="MGF597" s="50"/>
      <c r="MGG597" s="46"/>
      <c r="MGH597" s="47"/>
      <c r="MGI597" s="46"/>
      <c r="MGJ597" s="48"/>
      <c r="MGK597" s="53"/>
      <c r="MGR597" s="15"/>
      <c r="MGS597" s="50"/>
      <c r="MGT597" s="50"/>
      <c r="MGU597" s="46"/>
      <c r="MGV597" s="47"/>
      <c r="MGW597" s="46"/>
      <c r="MGX597" s="48"/>
      <c r="MGY597" s="53"/>
      <c r="MHF597" s="15"/>
      <c r="MHG597" s="50"/>
      <c r="MHH597" s="50"/>
      <c r="MHI597" s="46"/>
      <c r="MHJ597" s="47"/>
      <c r="MHK597" s="46"/>
      <c r="MHL597" s="48"/>
      <c r="MHM597" s="53"/>
      <c r="MHT597" s="15"/>
      <c r="MHU597" s="50"/>
      <c r="MHV597" s="50"/>
      <c r="MHW597" s="46"/>
      <c r="MHX597" s="47"/>
      <c r="MHY597" s="46"/>
      <c r="MHZ597" s="48"/>
      <c r="MIA597" s="53"/>
      <c r="MIH597" s="15"/>
      <c r="MII597" s="50"/>
      <c r="MIJ597" s="50"/>
      <c r="MIK597" s="46"/>
      <c r="MIL597" s="47"/>
      <c r="MIM597" s="46"/>
      <c r="MIN597" s="48"/>
      <c r="MIO597" s="53"/>
      <c r="MIV597" s="15"/>
      <c r="MIW597" s="50"/>
      <c r="MIX597" s="50"/>
      <c r="MIY597" s="46"/>
      <c r="MIZ597" s="47"/>
      <c r="MJA597" s="46"/>
      <c r="MJB597" s="48"/>
      <c r="MJC597" s="53"/>
      <c r="MJJ597" s="15"/>
      <c r="MJK597" s="50"/>
      <c r="MJL597" s="50"/>
      <c r="MJM597" s="46"/>
      <c r="MJN597" s="47"/>
      <c r="MJO597" s="46"/>
      <c r="MJP597" s="48"/>
      <c r="MJQ597" s="53"/>
      <c r="MJX597" s="15"/>
      <c r="MJY597" s="50"/>
      <c r="MJZ597" s="50"/>
      <c r="MKA597" s="46"/>
      <c r="MKB597" s="47"/>
      <c r="MKC597" s="46"/>
      <c r="MKD597" s="48"/>
      <c r="MKE597" s="53"/>
      <c r="MKL597" s="15"/>
      <c r="MKM597" s="50"/>
      <c r="MKN597" s="50"/>
      <c r="MKO597" s="46"/>
      <c r="MKP597" s="47"/>
      <c r="MKQ597" s="46"/>
      <c r="MKR597" s="48"/>
      <c r="MKS597" s="53"/>
      <c r="MKZ597" s="15"/>
      <c r="MLA597" s="50"/>
      <c r="MLB597" s="50"/>
      <c r="MLC597" s="46"/>
      <c r="MLD597" s="47"/>
      <c r="MLE597" s="46"/>
      <c r="MLF597" s="48"/>
      <c r="MLG597" s="53"/>
      <c r="MLN597" s="15"/>
      <c r="MLO597" s="50"/>
      <c r="MLP597" s="50"/>
      <c r="MLQ597" s="46"/>
      <c r="MLR597" s="47"/>
      <c r="MLS597" s="46"/>
      <c r="MLT597" s="48"/>
      <c r="MLU597" s="53"/>
      <c r="MMB597" s="15"/>
      <c r="MMC597" s="50"/>
      <c r="MMD597" s="50"/>
      <c r="MME597" s="46"/>
      <c r="MMF597" s="47"/>
      <c r="MMG597" s="46"/>
      <c r="MMH597" s="48"/>
      <c r="MMI597" s="53"/>
      <c r="MMP597" s="15"/>
      <c r="MMQ597" s="50"/>
      <c r="MMR597" s="50"/>
      <c r="MMS597" s="46"/>
      <c r="MMT597" s="47"/>
      <c r="MMU597" s="46"/>
      <c r="MMV597" s="48"/>
      <c r="MMW597" s="53"/>
      <c r="MND597" s="15"/>
      <c r="MNE597" s="50"/>
      <c r="MNF597" s="50"/>
      <c r="MNG597" s="46"/>
      <c r="MNH597" s="47"/>
      <c r="MNI597" s="46"/>
      <c r="MNJ597" s="48"/>
      <c r="MNK597" s="53"/>
      <c r="MNR597" s="15"/>
      <c r="MNS597" s="50"/>
      <c r="MNT597" s="50"/>
      <c r="MNU597" s="46"/>
      <c r="MNV597" s="47"/>
      <c r="MNW597" s="46"/>
      <c r="MNX597" s="48"/>
      <c r="MNY597" s="53"/>
      <c r="MOF597" s="15"/>
      <c r="MOG597" s="50"/>
      <c r="MOH597" s="50"/>
      <c r="MOI597" s="46"/>
      <c r="MOJ597" s="47"/>
      <c r="MOK597" s="46"/>
      <c r="MOL597" s="48"/>
      <c r="MOM597" s="53"/>
      <c r="MOT597" s="15"/>
      <c r="MOU597" s="50"/>
      <c r="MOV597" s="50"/>
      <c r="MOW597" s="46"/>
      <c r="MOX597" s="47"/>
      <c r="MOY597" s="46"/>
      <c r="MOZ597" s="48"/>
      <c r="MPA597" s="53"/>
      <c r="MPH597" s="15"/>
      <c r="MPI597" s="50"/>
      <c r="MPJ597" s="50"/>
      <c r="MPK597" s="46"/>
      <c r="MPL597" s="47"/>
      <c r="MPM597" s="46"/>
      <c r="MPN597" s="48"/>
      <c r="MPO597" s="53"/>
      <c r="MPV597" s="15"/>
      <c r="MPW597" s="50"/>
      <c r="MPX597" s="50"/>
      <c r="MPY597" s="46"/>
      <c r="MPZ597" s="47"/>
      <c r="MQA597" s="46"/>
      <c r="MQB597" s="48"/>
      <c r="MQC597" s="53"/>
      <c r="MQJ597" s="15"/>
      <c r="MQK597" s="50"/>
      <c r="MQL597" s="50"/>
      <c r="MQM597" s="46"/>
      <c r="MQN597" s="47"/>
      <c r="MQO597" s="46"/>
      <c r="MQP597" s="48"/>
      <c r="MQQ597" s="53"/>
      <c r="MQX597" s="15"/>
      <c r="MQY597" s="50"/>
      <c r="MQZ597" s="50"/>
      <c r="MRA597" s="46"/>
      <c r="MRB597" s="47"/>
      <c r="MRC597" s="46"/>
      <c r="MRD597" s="48"/>
      <c r="MRE597" s="53"/>
      <c r="MRL597" s="15"/>
      <c r="MRM597" s="50"/>
      <c r="MRN597" s="50"/>
      <c r="MRO597" s="46"/>
      <c r="MRP597" s="47"/>
      <c r="MRQ597" s="46"/>
      <c r="MRR597" s="48"/>
      <c r="MRS597" s="53"/>
      <c r="MRZ597" s="15"/>
      <c r="MSA597" s="50"/>
      <c r="MSB597" s="50"/>
      <c r="MSC597" s="46"/>
      <c r="MSD597" s="47"/>
      <c r="MSE597" s="46"/>
      <c r="MSF597" s="48"/>
      <c r="MSG597" s="53"/>
      <c r="MSN597" s="15"/>
      <c r="MSO597" s="50"/>
      <c r="MSP597" s="50"/>
      <c r="MSQ597" s="46"/>
      <c r="MSR597" s="47"/>
      <c r="MSS597" s="46"/>
      <c r="MST597" s="48"/>
      <c r="MSU597" s="53"/>
      <c r="MTB597" s="15"/>
      <c r="MTC597" s="50"/>
      <c r="MTD597" s="50"/>
      <c r="MTE597" s="46"/>
      <c r="MTF597" s="47"/>
      <c r="MTG597" s="46"/>
      <c r="MTH597" s="48"/>
      <c r="MTI597" s="53"/>
      <c r="MTP597" s="15"/>
      <c r="MTQ597" s="50"/>
      <c r="MTR597" s="50"/>
      <c r="MTS597" s="46"/>
      <c r="MTT597" s="47"/>
      <c r="MTU597" s="46"/>
      <c r="MTV597" s="48"/>
      <c r="MTW597" s="53"/>
      <c r="MUD597" s="15"/>
      <c r="MUE597" s="50"/>
      <c r="MUF597" s="50"/>
      <c r="MUG597" s="46"/>
      <c r="MUH597" s="47"/>
      <c r="MUI597" s="46"/>
      <c r="MUJ597" s="48"/>
      <c r="MUK597" s="53"/>
      <c r="MUR597" s="15"/>
      <c r="MUS597" s="50"/>
      <c r="MUT597" s="50"/>
      <c r="MUU597" s="46"/>
      <c r="MUV597" s="47"/>
      <c r="MUW597" s="46"/>
      <c r="MUX597" s="48"/>
      <c r="MUY597" s="53"/>
      <c r="MVF597" s="15"/>
      <c r="MVG597" s="50"/>
      <c r="MVH597" s="50"/>
      <c r="MVI597" s="46"/>
      <c r="MVJ597" s="47"/>
      <c r="MVK597" s="46"/>
      <c r="MVL597" s="48"/>
      <c r="MVM597" s="53"/>
      <c r="MVT597" s="15"/>
      <c r="MVU597" s="50"/>
      <c r="MVV597" s="50"/>
      <c r="MVW597" s="46"/>
      <c r="MVX597" s="47"/>
      <c r="MVY597" s="46"/>
      <c r="MVZ597" s="48"/>
      <c r="MWA597" s="53"/>
      <c r="MWH597" s="15"/>
      <c r="MWI597" s="50"/>
      <c r="MWJ597" s="50"/>
      <c r="MWK597" s="46"/>
      <c r="MWL597" s="47"/>
      <c r="MWM597" s="46"/>
      <c r="MWN597" s="48"/>
      <c r="MWO597" s="53"/>
      <c r="MWV597" s="15"/>
      <c r="MWW597" s="50"/>
      <c r="MWX597" s="50"/>
      <c r="MWY597" s="46"/>
      <c r="MWZ597" s="47"/>
      <c r="MXA597" s="46"/>
      <c r="MXB597" s="48"/>
      <c r="MXC597" s="53"/>
      <c r="MXJ597" s="15"/>
      <c r="MXK597" s="50"/>
      <c r="MXL597" s="50"/>
      <c r="MXM597" s="46"/>
      <c r="MXN597" s="47"/>
      <c r="MXO597" s="46"/>
      <c r="MXP597" s="48"/>
      <c r="MXQ597" s="53"/>
      <c r="MXX597" s="15"/>
      <c r="MXY597" s="50"/>
      <c r="MXZ597" s="50"/>
      <c r="MYA597" s="46"/>
      <c r="MYB597" s="47"/>
      <c r="MYC597" s="46"/>
      <c r="MYD597" s="48"/>
      <c r="MYE597" s="53"/>
      <c r="MYL597" s="15"/>
      <c r="MYM597" s="50"/>
      <c r="MYN597" s="50"/>
      <c r="MYO597" s="46"/>
      <c r="MYP597" s="47"/>
      <c r="MYQ597" s="46"/>
      <c r="MYR597" s="48"/>
      <c r="MYS597" s="53"/>
      <c r="MYZ597" s="15"/>
      <c r="MZA597" s="50"/>
      <c r="MZB597" s="50"/>
      <c r="MZC597" s="46"/>
      <c r="MZD597" s="47"/>
      <c r="MZE597" s="46"/>
      <c r="MZF597" s="48"/>
      <c r="MZG597" s="53"/>
      <c r="MZN597" s="15"/>
      <c r="MZO597" s="50"/>
      <c r="MZP597" s="50"/>
      <c r="MZQ597" s="46"/>
      <c r="MZR597" s="47"/>
      <c r="MZS597" s="46"/>
      <c r="MZT597" s="48"/>
      <c r="MZU597" s="53"/>
      <c r="NAB597" s="15"/>
      <c r="NAC597" s="50"/>
      <c r="NAD597" s="50"/>
      <c r="NAE597" s="46"/>
      <c r="NAF597" s="47"/>
      <c r="NAG597" s="46"/>
      <c r="NAH597" s="48"/>
      <c r="NAI597" s="53"/>
      <c r="NAP597" s="15"/>
      <c r="NAQ597" s="50"/>
      <c r="NAR597" s="50"/>
      <c r="NAS597" s="46"/>
      <c r="NAT597" s="47"/>
      <c r="NAU597" s="46"/>
      <c r="NAV597" s="48"/>
      <c r="NAW597" s="53"/>
      <c r="NBD597" s="15"/>
      <c r="NBE597" s="50"/>
      <c r="NBF597" s="50"/>
      <c r="NBG597" s="46"/>
      <c r="NBH597" s="47"/>
      <c r="NBI597" s="46"/>
      <c r="NBJ597" s="48"/>
      <c r="NBK597" s="53"/>
      <c r="NBR597" s="15"/>
      <c r="NBS597" s="50"/>
      <c r="NBT597" s="50"/>
      <c r="NBU597" s="46"/>
      <c r="NBV597" s="47"/>
      <c r="NBW597" s="46"/>
      <c r="NBX597" s="48"/>
      <c r="NBY597" s="53"/>
      <c r="NCF597" s="15"/>
      <c r="NCG597" s="50"/>
      <c r="NCH597" s="50"/>
      <c r="NCI597" s="46"/>
      <c r="NCJ597" s="47"/>
      <c r="NCK597" s="46"/>
      <c r="NCL597" s="48"/>
      <c r="NCM597" s="53"/>
      <c r="NCT597" s="15"/>
      <c r="NCU597" s="50"/>
      <c r="NCV597" s="50"/>
      <c r="NCW597" s="46"/>
      <c r="NCX597" s="47"/>
      <c r="NCY597" s="46"/>
      <c r="NCZ597" s="48"/>
      <c r="NDA597" s="53"/>
      <c r="NDH597" s="15"/>
      <c r="NDI597" s="50"/>
      <c r="NDJ597" s="50"/>
      <c r="NDK597" s="46"/>
      <c r="NDL597" s="47"/>
      <c r="NDM597" s="46"/>
      <c r="NDN597" s="48"/>
      <c r="NDO597" s="53"/>
      <c r="NDV597" s="15"/>
      <c r="NDW597" s="50"/>
      <c r="NDX597" s="50"/>
      <c r="NDY597" s="46"/>
      <c r="NDZ597" s="47"/>
      <c r="NEA597" s="46"/>
      <c r="NEB597" s="48"/>
      <c r="NEC597" s="53"/>
      <c r="NEJ597" s="15"/>
      <c r="NEK597" s="50"/>
      <c r="NEL597" s="50"/>
      <c r="NEM597" s="46"/>
      <c r="NEN597" s="47"/>
      <c r="NEO597" s="46"/>
      <c r="NEP597" s="48"/>
      <c r="NEQ597" s="53"/>
      <c r="NEX597" s="15"/>
      <c r="NEY597" s="50"/>
      <c r="NEZ597" s="50"/>
      <c r="NFA597" s="46"/>
      <c r="NFB597" s="47"/>
      <c r="NFC597" s="46"/>
      <c r="NFD597" s="48"/>
      <c r="NFE597" s="53"/>
      <c r="NFL597" s="15"/>
      <c r="NFM597" s="50"/>
      <c r="NFN597" s="50"/>
      <c r="NFO597" s="46"/>
      <c r="NFP597" s="47"/>
      <c r="NFQ597" s="46"/>
      <c r="NFR597" s="48"/>
      <c r="NFS597" s="53"/>
      <c r="NFZ597" s="15"/>
      <c r="NGA597" s="50"/>
      <c r="NGB597" s="50"/>
      <c r="NGC597" s="46"/>
      <c r="NGD597" s="47"/>
      <c r="NGE597" s="46"/>
      <c r="NGF597" s="48"/>
      <c r="NGG597" s="53"/>
      <c r="NGN597" s="15"/>
      <c r="NGO597" s="50"/>
      <c r="NGP597" s="50"/>
      <c r="NGQ597" s="46"/>
      <c r="NGR597" s="47"/>
      <c r="NGS597" s="46"/>
      <c r="NGT597" s="48"/>
      <c r="NGU597" s="53"/>
      <c r="NHB597" s="15"/>
      <c r="NHC597" s="50"/>
      <c r="NHD597" s="50"/>
      <c r="NHE597" s="46"/>
      <c r="NHF597" s="47"/>
      <c r="NHG597" s="46"/>
      <c r="NHH597" s="48"/>
      <c r="NHI597" s="53"/>
      <c r="NHP597" s="15"/>
      <c r="NHQ597" s="50"/>
      <c r="NHR597" s="50"/>
      <c r="NHS597" s="46"/>
      <c r="NHT597" s="47"/>
      <c r="NHU597" s="46"/>
      <c r="NHV597" s="48"/>
      <c r="NHW597" s="53"/>
      <c r="NID597" s="15"/>
      <c r="NIE597" s="50"/>
      <c r="NIF597" s="50"/>
      <c r="NIG597" s="46"/>
      <c r="NIH597" s="47"/>
      <c r="NII597" s="46"/>
      <c r="NIJ597" s="48"/>
      <c r="NIK597" s="53"/>
      <c r="NIR597" s="15"/>
      <c r="NIS597" s="50"/>
      <c r="NIT597" s="50"/>
      <c r="NIU597" s="46"/>
      <c r="NIV597" s="47"/>
      <c r="NIW597" s="46"/>
      <c r="NIX597" s="48"/>
      <c r="NIY597" s="53"/>
      <c r="NJF597" s="15"/>
      <c r="NJG597" s="50"/>
      <c r="NJH597" s="50"/>
      <c r="NJI597" s="46"/>
      <c r="NJJ597" s="47"/>
      <c r="NJK597" s="46"/>
      <c r="NJL597" s="48"/>
      <c r="NJM597" s="53"/>
      <c r="NJT597" s="15"/>
      <c r="NJU597" s="50"/>
      <c r="NJV597" s="50"/>
      <c r="NJW597" s="46"/>
      <c r="NJX597" s="47"/>
      <c r="NJY597" s="46"/>
      <c r="NJZ597" s="48"/>
      <c r="NKA597" s="53"/>
      <c r="NKH597" s="15"/>
      <c r="NKI597" s="50"/>
      <c r="NKJ597" s="50"/>
      <c r="NKK597" s="46"/>
      <c r="NKL597" s="47"/>
      <c r="NKM597" s="46"/>
      <c r="NKN597" s="48"/>
      <c r="NKO597" s="53"/>
      <c r="NKV597" s="15"/>
      <c r="NKW597" s="50"/>
      <c r="NKX597" s="50"/>
      <c r="NKY597" s="46"/>
      <c r="NKZ597" s="47"/>
      <c r="NLA597" s="46"/>
      <c r="NLB597" s="48"/>
      <c r="NLC597" s="53"/>
      <c r="NLJ597" s="15"/>
      <c r="NLK597" s="50"/>
      <c r="NLL597" s="50"/>
      <c r="NLM597" s="46"/>
      <c r="NLN597" s="47"/>
      <c r="NLO597" s="46"/>
      <c r="NLP597" s="48"/>
      <c r="NLQ597" s="53"/>
      <c r="NLX597" s="15"/>
      <c r="NLY597" s="50"/>
      <c r="NLZ597" s="50"/>
      <c r="NMA597" s="46"/>
      <c r="NMB597" s="47"/>
      <c r="NMC597" s="46"/>
      <c r="NMD597" s="48"/>
      <c r="NME597" s="53"/>
      <c r="NML597" s="15"/>
      <c r="NMM597" s="50"/>
      <c r="NMN597" s="50"/>
      <c r="NMO597" s="46"/>
      <c r="NMP597" s="47"/>
      <c r="NMQ597" s="46"/>
      <c r="NMR597" s="48"/>
      <c r="NMS597" s="53"/>
      <c r="NMZ597" s="15"/>
      <c r="NNA597" s="50"/>
      <c r="NNB597" s="50"/>
      <c r="NNC597" s="46"/>
      <c r="NND597" s="47"/>
      <c r="NNE597" s="46"/>
      <c r="NNF597" s="48"/>
      <c r="NNG597" s="53"/>
      <c r="NNN597" s="15"/>
      <c r="NNO597" s="50"/>
      <c r="NNP597" s="50"/>
      <c r="NNQ597" s="46"/>
      <c r="NNR597" s="47"/>
      <c r="NNS597" s="46"/>
      <c r="NNT597" s="48"/>
      <c r="NNU597" s="53"/>
      <c r="NOB597" s="15"/>
      <c r="NOC597" s="50"/>
      <c r="NOD597" s="50"/>
      <c r="NOE597" s="46"/>
      <c r="NOF597" s="47"/>
      <c r="NOG597" s="46"/>
      <c r="NOH597" s="48"/>
      <c r="NOI597" s="53"/>
      <c r="NOP597" s="15"/>
      <c r="NOQ597" s="50"/>
      <c r="NOR597" s="50"/>
      <c r="NOS597" s="46"/>
      <c r="NOT597" s="47"/>
      <c r="NOU597" s="46"/>
      <c r="NOV597" s="48"/>
      <c r="NOW597" s="53"/>
      <c r="NPD597" s="15"/>
      <c r="NPE597" s="50"/>
      <c r="NPF597" s="50"/>
      <c r="NPG597" s="46"/>
      <c r="NPH597" s="47"/>
      <c r="NPI597" s="46"/>
      <c r="NPJ597" s="48"/>
      <c r="NPK597" s="53"/>
      <c r="NPR597" s="15"/>
      <c r="NPS597" s="50"/>
      <c r="NPT597" s="50"/>
      <c r="NPU597" s="46"/>
      <c r="NPV597" s="47"/>
      <c r="NPW597" s="46"/>
      <c r="NPX597" s="48"/>
      <c r="NPY597" s="53"/>
      <c r="NQF597" s="15"/>
      <c r="NQG597" s="50"/>
      <c r="NQH597" s="50"/>
      <c r="NQI597" s="46"/>
      <c r="NQJ597" s="47"/>
      <c r="NQK597" s="46"/>
      <c r="NQL597" s="48"/>
      <c r="NQM597" s="53"/>
      <c r="NQT597" s="15"/>
      <c r="NQU597" s="50"/>
      <c r="NQV597" s="50"/>
      <c r="NQW597" s="46"/>
      <c r="NQX597" s="47"/>
      <c r="NQY597" s="46"/>
      <c r="NQZ597" s="48"/>
      <c r="NRA597" s="53"/>
      <c r="NRH597" s="15"/>
      <c r="NRI597" s="50"/>
      <c r="NRJ597" s="50"/>
      <c r="NRK597" s="46"/>
      <c r="NRL597" s="47"/>
      <c r="NRM597" s="46"/>
      <c r="NRN597" s="48"/>
      <c r="NRO597" s="53"/>
      <c r="NRV597" s="15"/>
      <c r="NRW597" s="50"/>
      <c r="NRX597" s="50"/>
      <c r="NRY597" s="46"/>
      <c r="NRZ597" s="47"/>
      <c r="NSA597" s="46"/>
      <c r="NSB597" s="48"/>
      <c r="NSC597" s="53"/>
      <c r="NSJ597" s="15"/>
      <c r="NSK597" s="50"/>
      <c r="NSL597" s="50"/>
      <c r="NSM597" s="46"/>
      <c r="NSN597" s="47"/>
      <c r="NSO597" s="46"/>
      <c r="NSP597" s="48"/>
      <c r="NSQ597" s="53"/>
      <c r="NSX597" s="15"/>
      <c r="NSY597" s="50"/>
      <c r="NSZ597" s="50"/>
      <c r="NTA597" s="46"/>
      <c r="NTB597" s="47"/>
      <c r="NTC597" s="46"/>
      <c r="NTD597" s="48"/>
      <c r="NTE597" s="53"/>
      <c r="NTL597" s="15"/>
      <c r="NTM597" s="50"/>
      <c r="NTN597" s="50"/>
      <c r="NTO597" s="46"/>
      <c r="NTP597" s="47"/>
      <c r="NTQ597" s="46"/>
      <c r="NTR597" s="48"/>
      <c r="NTS597" s="53"/>
      <c r="NTZ597" s="15"/>
      <c r="NUA597" s="50"/>
      <c r="NUB597" s="50"/>
      <c r="NUC597" s="46"/>
      <c r="NUD597" s="47"/>
      <c r="NUE597" s="46"/>
      <c r="NUF597" s="48"/>
      <c r="NUG597" s="53"/>
      <c r="NUN597" s="15"/>
      <c r="NUO597" s="50"/>
      <c r="NUP597" s="50"/>
      <c r="NUQ597" s="46"/>
      <c r="NUR597" s="47"/>
      <c r="NUS597" s="46"/>
      <c r="NUT597" s="48"/>
      <c r="NUU597" s="53"/>
      <c r="NVB597" s="15"/>
      <c r="NVC597" s="50"/>
      <c r="NVD597" s="50"/>
      <c r="NVE597" s="46"/>
      <c r="NVF597" s="47"/>
      <c r="NVG597" s="46"/>
      <c r="NVH597" s="48"/>
      <c r="NVI597" s="53"/>
      <c r="NVP597" s="15"/>
      <c r="NVQ597" s="50"/>
      <c r="NVR597" s="50"/>
      <c r="NVS597" s="46"/>
      <c r="NVT597" s="47"/>
      <c r="NVU597" s="46"/>
      <c r="NVV597" s="48"/>
      <c r="NVW597" s="53"/>
      <c r="NWD597" s="15"/>
      <c r="NWE597" s="50"/>
      <c r="NWF597" s="50"/>
      <c r="NWG597" s="46"/>
      <c r="NWH597" s="47"/>
      <c r="NWI597" s="46"/>
      <c r="NWJ597" s="48"/>
      <c r="NWK597" s="53"/>
      <c r="NWR597" s="15"/>
      <c r="NWS597" s="50"/>
      <c r="NWT597" s="50"/>
      <c r="NWU597" s="46"/>
      <c r="NWV597" s="47"/>
      <c r="NWW597" s="46"/>
      <c r="NWX597" s="48"/>
      <c r="NWY597" s="53"/>
      <c r="NXF597" s="15"/>
      <c r="NXG597" s="50"/>
      <c r="NXH597" s="50"/>
      <c r="NXI597" s="46"/>
      <c r="NXJ597" s="47"/>
      <c r="NXK597" s="46"/>
      <c r="NXL597" s="48"/>
      <c r="NXM597" s="53"/>
      <c r="NXT597" s="15"/>
      <c r="NXU597" s="50"/>
      <c r="NXV597" s="50"/>
      <c r="NXW597" s="46"/>
      <c r="NXX597" s="47"/>
      <c r="NXY597" s="46"/>
      <c r="NXZ597" s="48"/>
      <c r="NYA597" s="53"/>
      <c r="NYH597" s="15"/>
      <c r="NYI597" s="50"/>
      <c r="NYJ597" s="50"/>
      <c r="NYK597" s="46"/>
      <c r="NYL597" s="47"/>
      <c r="NYM597" s="46"/>
      <c r="NYN597" s="48"/>
      <c r="NYO597" s="53"/>
      <c r="NYV597" s="15"/>
      <c r="NYW597" s="50"/>
      <c r="NYX597" s="50"/>
      <c r="NYY597" s="46"/>
      <c r="NYZ597" s="47"/>
      <c r="NZA597" s="46"/>
      <c r="NZB597" s="48"/>
      <c r="NZC597" s="53"/>
      <c r="NZJ597" s="15"/>
      <c r="NZK597" s="50"/>
      <c r="NZL597" s="50"/>
      <c r="NZM597" s="46"/>
      <c r="NZN597" s="47"/>
      <c r="NZO597" s="46"/>
      <c r="NZP597" s="48"/>
      <c r="NZQ597" s="53"/>
      <c r="NZX597" s="15"/>
      <c r="NZY597" s="50"/>
      <c r="NZZ597" s="50"/>
      <c r="OAA597" s="46"/>
      <c r="OAB597" s="47"/>
      <c r="OAC597" s="46"/>
      <c r="OAD597" s="48"/>
      <c r="OAE597" s="53"/>
      <c r="OAL597" s="15"/>
      <c r="OAM597" s="50"/>
      <c r="OAN597" s="50"/>
      <c r="OAO597" s="46"/>
      <c r="OAP597" s="47"/>
      <c r="OAQ597" s="46"/>
      <c r="OAR597" s="48"/>
      <c r="OAS597" s="53"/>
      <c r="OAZ597" s="15"/>
      <c r="OBA597" s="50"/>
      <c r="OBB597" s="50"/>
      <c r="OBC597" s="46"/>
      <c r="OBD597" s="47"/>
      <c r="OBE597" s="46"/>
      <c r="OBF597" s="48"/>
      <c r="OBG597" s="53"/>
      <c r="OBN597" s="15"/>
      <c r="OBO597" s="50"/>
      <c r="OBP597" s="50"/>
      <c r="OBQ597" s="46"/>
      <c r="OBR597" s="47"/>
      <c r="OBS597" s="46"/>
      <c r="OBT597" s="48"/>
      <c r="OBU597" s="53"/>
      <c r="OCB597" s="15"/>
      <c r="OCC597" s="50"/>
      <c r="OCD597" s="50"/>
      <c r="OCE597" s="46"/>
      <c r="OCF597" s="47"/>
      <c r="OCG597" s="46"/>
      <c r="OCH597" s="48"/>
      <c r="OCI597" s="53"/>
      <c r="OCP597" s="15"/>
      <c r="OCQ597" s="50"/>
      <c r="OCR597" s="50"/>
      <c r="OCS597" s="46"/>
      <c r="OCT597" s="47"/>
      <c r="OCU597" s="46"/>
      <c r="OCV597" s="48"/>
      <c r="OCW597" s="53"/>
      <c r="ODD597" s="15"/>
      <c r="ODE597" s="50"/>
      <c r="ODF597" s="50"/>
      <c r="ODG597" s="46"/>
      <c r="ODH597" s="47"/>
      <c r="ODI597" s="46"/>
      <c r="ODJ597" s="48"/>
      <c r="ODK597" s="53"/>
      <c r="ODR597" s="15"/>
      <c r="ODS597" s="50"/>
      <c r="ODT597" s="50"/>
      <c r="ODU597" s="46"/>
      <c r="ODV597" s="47"/>
      <c r="ODW597" s="46"/>
      <c r="ODX597" s="48"/>
      <c r="ODY597" s="53"/>
      <c r="OEF597" s="15"/>
      <c r="OEG597" s="50"/>
      <c r="OEH597" s="50"/>
      <c r="OEI597" s="46"/>
      <c r="OEJ597" s="47"/>
      <c r="OEK597" s="46"/>
      <c r="OEL597" s="48"/>
      <c r="OEM597" s="53"/>
      <c r="OET597" s="15"/>
      <c r="OEU597" s="50"/>
      <c r="OEV597" s="50"/>
      <c r="OEW597" s="46"/>
      <c r="OEX597" s="47"/>
      <c r="OEY597" s="46"/>
      <c r="OEZ597" s="48"/>
      <c r="OFA597" s="53"/>
      <c r="OFH597" s="15"/>
      <c r="OFI597" s="50"/>
      <c r="OFJ597" s="50"/>
      <c r="OFK597" s="46"/>
      <c r="OFL597" s="47"/>
      <c r="OFM597" s="46"/>
      <c r="OFN597" s="48"/>
      <c r="OFO597" s="53"/>
      <c r="OFV597" s="15"/>
      <c r="OFW597" s="50"/>
      <c r="OFX597" s="50"/>
      <c r="OFY597" s="46"/>
      <c r="OFZ597" s="47"/>
      <c r="OGA597" s="46"/>
      <c r="OGB597" s="48"/>
      <c r="OGC597" s="53"/>
      <c r="OGJ597" s="15"/>
      <c r="OGK597" s="50"/>
      <c r="OGL597" s="50"/>
      <c r="OGM597" s="46"/>
      <c r="OGN597" s="47"/>
      <c r="OGO597" s="46"/>
      <c r="OGP597" s="48"/>
      <c r="OGQ597" s="53"/>
      <c r="OGX597" s="15"/>
      <c r="OGY597" s="50"/>
      <c r="OGZ597" s="50"/>
      <c r="OHA597" s="46"/>
      <c r="OHB597" s="47"/>
      <c r="OHC597" s="46"/>
      <c r="OHD597" s="48"/>
      <c r="OHE597" s="53"/>
      <c r="OHL597" s="15"/>
      <c r="OHM597" s="50"/>
      <c r="OHN597" s="50"/>
      <c r="OHO597" s="46"/>
      <c r="OHP597" s="47"/>
      <c r="OHQ597" s="46"/>
      <c r="OHR597" s="48"/>
      <c r="OHS597" s="53"/>
      <c r="OHZ597" s="15"/>
      <c r="OIA597" s="50"/>
      <c r="OIB597" s="50"/>
      <c r="OIC597" s="46"/>
      <c r="OID597" s="47"/>
      <c r="OIE597" s="46"/>
      <c r="OIF597" s="48"/>
      <c r="OIG597" s="53"/>
      <c r="OIN597" s="15"/>
      <c r="OIO597" s="50"/>
      <c r="OIP597" s="50"/>
      <c r="OIQ597" s="46"/>
      <c r="OIR597" s="47"/>
      <c r="OIS597" s="46"/>
      <c r="OIT597" s="48"/>
      <c r="OIU597" s="53"/>
      <c r="OJB597" s="15"/>
      <c r="OJC597" s="50"/>
      <c r="OJD597" s="50"/>
      <c r="OJE597" s="46"/>
      <c r="OJF597" s="47"/>
      <c r="OJG597" s="46"/>
      <c r="OJH597" s="48"/>
      <c r="OJI597" s="53"/>
      <c r="OJP597" s="15"/>
      <c r="OJQ597" s="50"/>
      <c r="OJR597" s="50"/>
      <c r="OJS597" s="46"/>
      <c r="OJT597" s="47"/>
      <c r="OJU597" s="46"/>
      <c r="OJV597" s="48"/>
      <c r="OJW597" s="53"/>
      <c r="OKD597" s="15"/>
      <c r="OKE597" s="50"/>
      <c r="OKF597" s="50"/>
      <c r="OKG597" s="46"/>
      <c r="OKH597" s="47"/>
      <c r="OKI597" s="46"/>
      <c r="OKJ597" s="48"/>
      <c r="OKK597" s="53"/>
      <c r="OKR597" s="15"/>
      <c r="OKS597" s="50"/>
      <c r="OKT597" s="50"/>
      <c r="OKU597" s="46"/>
      <c r="OKV597" s="47"/>
      <c r="OKW597" s="46"/>
      <c r="OKX597" s="48"/>
      <c r="OKY597" s="53"/>
      <c r="OLF597" s="15"/>
      <c r="OLG597" s="50"/>
      <c r="OLH597" s="50"/>
      <c r="OLI597" s="46"/>
      <c r="OLJ597" s="47"/>
      <c r="OLK597" s="46"/>
      <c r="OLL597" s="48"/>
      <c r="OLM597" s="53"/>
      <c r="OLT597" s="15"/>
      <c r="OLU597" s="50"/>
      <c r="OLV597" s="50"/>
      <c r="OLW597" s="46"/>
      <c r="OLX597" s="47"/>
      <c r="OLY597" s="46"/>
      <c r="OLZ597" s="48"/>
      <c r="OMA597" s="53"/>
      <c r="OMH597" s="15"/>
      <c r="OMI597" s="50"/>
      <c r="OMJ597" s="50"/>
      <c r="OMK597" s="46"/>
      <c r="OML597" s="47"/>
      <c r="OMM597" s="46"/>
      <c r="OMN597" s="48"/>
      <c r="OMO597" s="53"/>
      <c r="OMV597" s="15"/>
      <c r="OMW597" s="50"/>
      <c r="OMX597" s="50"/>
      <c r="OMY597" s="46"/>
      <c r="OMZ597" s="47"/>
      <c r="ONA597" s="46"/>
      <c r="ONB597" s="48"/>
      <c r="ONC597" s="53"/>
      <c r="ONJ597" s="15"/>
      <c r="ONK597" s="50"/>
      <c r="ONL597" s="50"/>
      <c r="ONM597" s="46"/>
      <c r="ONN597" s="47"/>
      <c r="ONO597" s="46"/>
      <c r="ONP597" s="48"/>
      <c r="ONQ597" s="53"/>
      <c r="ONX597" s="15"/>
      <c r="ONY597" s="50"/>
      <c r="ONZ597" s="50"/>
      <c r="OOA597" s="46"/>
      <c r="OOB597" s="47"/>
      <c r="OOC597" s="46"/>
      <c r="OOD597" s="48"/>
      <c r="OOE597" s="53"/>
      <c r="OOL597" s="15"/>
      <c r="OOM597" s="50"/>
      <c r="OON597" s="50"/>
      <c r="OOO597" s="46"/>
      <c r="OOP597" s="47"/>
      <c r="OOQ597" s="46"/>
      <c r="OOR597" s="48"/>
      <c r="OOS597" s="53"/>
      <c r="OOZ597" s="15"/>
      <c r="OPA597" s="50"/>
      <c r="OPB597" s="50"/>
      <c r="OPC597" s="46"/>
      <c r="OPD597" s="47"/>
      <c r="OPE597" s="46"/>
      <c r="OPF597" s="48"/>
      <c r="OPG597" s="53"/>
      <c r="OPN597" s="15"/>
      <c r="OPO597" s="50"/>
      <c r="OPP597" s="50"/>
      <c r="OPQ597" s="46"/>
      <c r="OPR597" s="47"/>
      <c r="OPS597" s="46"/>
      <c r="OPT597" s="48"/>
      <c r="OPU597" s="53"/>
      <c r="OQB597" s="15"/>
      <c r="OQC597" s="50"/>
      <c r="OQD597" s="50"/>
      <c r="OQE597" s="46"/>
      <c r="OQF597" s="47"/>
      <c r="OQG597" s="46"/>
      <c r="OQH597" s="48"/>
      <c r="OQI597" s="53"/>
      <c r="OQP597" s="15"/>
      <c r="OQQ597" s="50"/>
      <c r="OQR597" s="50"/>
      <c r="OQS597" s="46"/>
      <c r="OQT597" s="47"/>
      <c r="OQU597" s="46"/>
      <c r="OQV597" s="48"/>
      <c r="OQW597" s="53"/>
      <c r="ORD597" s="15"/>
      <c r="ORE597" s="50"/>
      <c r="ORF597" s="50"/>
      <c r="ORG597" s="46"/>
      <c r="ORH597" s="47"/>
      <c r="ORI597" s="46"/>
      <c r="ORJ597" s="48"/>
      <c r="ORK597" s="53"/>
      <c r="ORR597" s="15"/>
      <c r="ORS597" s="50"/>
      <c r="ORT597" s="50"/>
      <c r="ORU597" s="46"/>
      <c r="ORV597" s="47"/>
      <c r="ORW597" s="46"/>
      <c r="ORX597" s="48"/>
      <c r="ORY597" s="53"/>
      <c r="OSF597" s="15"/>
      <c r="OSG597" s="50"/>
      <c r="OSH597" s="50"/>
      <c r="OSI597" s="46"/>
      <c r="OSJ597" s="47"/>
      <c r="OSK597" s="46"/>
      <c r="OSL597" s="48"/>
      <c r="OSM597" s="53"/>
      <c r="OST597" s="15"/>
      <c r="OSU597" s="50"/>
      <c r="OSV597" s="50"/>
      <c r="OSW597" s="46"/>
      <c r="OSX597" s="47"/>
      <c r="OSY597" s="46"/>
      <c r="OSZ597" s="48"/>
      <c r="OTA597" s="53"/>
      <c r="OTH597" s="15"/>
      <c r="OTI597" s="50"/>
      <c r="OTJ597" s="50"/>
      <c r="OTK597" s="46"/>
      <c r="OTL597" s="47"/>
      <c r="OTM597" s="46"/>
      <c r="OTN597" s="48"/>
      <c r="OTO597" s="53"/>
      <c r="OTV597" s="15"/>
      <c r="OTW597" s="50"/>
      <c r="OTX597" s="50"/>
      <c r="OTY597" s="46"/>
      <c r="OTZ597" s="47"/>
      <c r="OUA597" s="46"/>
      <c r="OUB597" s="48"/>
      <c r="OUC597" s="53"/>
      <c r="OUJ597" s="15"/>
      <c r="OUK597" s="50"/>
      <c r="OUL597" s="50"/>
      <c r="OUM597" s="46"/>
      <c r="OUN597" s="47"/>
      <c r="OUO597" s="46"/>
      <c r="OUP597" s="48"/>
      <c r="OUQ597" s="53"/>
      <c r="OUX597" s="15"/>
      <c r="OUY597" s="50"/>
      <c r="OUZ597" s="50"/>
      <c r="OVA597" s="46"/>
      <c r="OVB597" s="47"/>
      <c r="OVC597" s="46"/>
      <c r="OVD597" s="48"/>
      <c r="OVE597" s="53"/>
      <c r="OVL597" s="15"/>
      <c r="OVM597" s="50"/>
      <c r="OVN597" s="50"/>
      <c r="OVO597" s="46"/>
      <c r="OVP597" s="47"/>
      <c r="OVQ597" s="46"/>
      <c r="OVR597" s="48"/>
      <c r="OVS597" s="53"/>
      <c r="OVZ597" s="15"/>
      <c r="OWA597" s="50"/>
      <c r="OWB597" s="50"/>
      <c r="OWC597" s="46"/>
      <c r="OWD597" s="47"/>
      <c r="OWE597" s="46"/>
      <c r="OWF597" s="48"/>
      <c r="OWG597" s="53"/>
      <c r="OWN597" s="15"/>
      <c r="OWO597" s="50"/>
      <c r="OWP597" s="50"/>
      <c r="OWQ597" s="46"/>
      <c r="OWR597" s="47"/>
      <c r="OWS597" s="46"/>
      <c r="OWT597" s="48"/>
      <c r="OWU597" s="53"/>
      <c r="OXB597" s="15"/>
      <c r="OXC597" s="50"/>
      <c r="OXD597" s="50"/>
      <c r="OXE597" s="46"/>
      <c r="OXF597" s="47"/>
      <c r="OXG597" s="46"/>
      <c r="OXH597" s="48"/>
      <c r="OXI597" s="53"/>
      <c r="OXP597" s="15"/>
      <c r="OXQ597" s="50"/>
      <c r="OXR597" s="50"/>
      <c r="OXS597" s="46"/>
      <c r="OXT597" s="47"/>
      <c r="OXU597" s="46"/>
      <c r="OXV597" s="48"/>
      <c r="OXW597" s="53"/>
      <c r="OYD597" s="15"/>
      <c r="OYE597" s="50"/>
      <c r="OYF597" s="50"/>
      <c r="OYG597" s="46"/>
      <c r="OYH597" s="47"/>
      <c r="OYI597" s="46"/>
      <c r="OYJ597" s="48"/>
      <c r="OYK597" s="53"/>
      <c r="OYR597" s="15"/>
      <c r="OYS597" s="50"/>
      <c r="OYT597" s="50"/>
      <c r="OYU597" s="46"/>
      <c r="OYV597" s="47"/>
      <c r="OYW597" s="46"/>
      <c r="OYX597" s="48"/>
      <c r="OYY597" s="53"/>
      <c r="OZF597" s="15"/>
      <c r="OZG597" s="50"/>
      <c r="OZH597" s="50"/>
      <c r="OZI597" s="46"/>
      <c r="OZJ597" s="47"/>
      <c r="OZK597" s="46"/>
      <c r="OZL597" s="48"/>
      <c r="OZM597" s="53"/>
      <c r="OZT597" s="15"/>
      <c r="OZU597" s="50"/>
      <c r="OZV597" s="50"/>
      <c r="OZW597" s="46"/>
      <c r="OZX597" s="47"/>
      <c r="OZY597" s="46"/>
      <c r="OZZ597" s="48"/>
      <c r="PAA597" s="53"/>
      <c r="PAH597" s="15"/>
      <c r="PAI597" s="50"/>
      <c r="PAJ597" s="50"/>
      <c r="PAK597" s="46"/>
      <c r="PAL597" s="47"/>
      <c r="PAM597" s="46"/>
      <c r="PAN597" s="48"/>
      <c r="PAO597" s="53"/>
      <c r="PAV597" s="15"/>
      <c r="PAW597" s="50"/>
      <c r="PAX597" s="50"/>
      <c r="PAY597" s="46"/>
      <c r="PAZ597" s="47"/>
      <c r="PBA597" s="46"/>
      <c r="PBB597" s="48"/>
      <c r="PBC597" s="53"/>
      <c r="PBJ597" s="15"/>
      <c r="PBK597" s="50"/>
      <c r="PBL597" s="50"/>
      <c r="PBM597" s="46"/>
      <c r="PBN597" s="47"/>
      <c r="PBO597" s="46"/>
      <c r="PBP597" s="48"/>
      <c r="PBQ597" s="53"/>
      <c r="PBX597" s="15"/>
      <c r="PBY597" s="50"/>
      <c r="PBZ597" s="50"/>
      <c r="PCA597" s="46"/>
      <c r="PCB597" s="47"/>
      <c r="PCC597" s="46"/>
      <c r="PCD597" s="48"/>
      <c r="PCE597" s="53"/>
      <c r="PCL597" s="15"/>
      <c r="PCM597" s="50"/>
      <c r="PCN597" s="50"/>
      <c r="PCO597" s="46"/>
      <c r="PCP597" s="47"/>
      <c r="PCQ597" s="46"/>
      <c r="PCR597" s="48"/>
      <c r="PCS597" s="53"/>
      <c r="PCZ597" s="15"/>
      <c r="PDA597" s="50"/>
      <c r="PDB597" s="50"/>
      <c r="PDC597" s="46"/>
      <c r="PDD597" s="47"/>
      <c r="PDE597" s="46"/>
      <c r="PDF597" s="48"/>
      <c r="PDG597" s="53"/>
      <c r="PDN597" s="15"/>
      <c r="PDO597" s="50"/>
      <c r="PDP597" s="50"/>
      <c r="PDQ597" s="46"/>
      <c r="PDR597" s="47"/>
      <c r="PDS597" s="46"/>
      <c r="PDT597" s="48"/>
      <c r="PDU597" s="53"/>
      <c r="PEB597" s="15"/>
      <c r="PEC597" s="50"/>
      <c r="PED597" s="50"/>
      <c r="PEE597" s="46"/>
      <c r="PEF597" s="47"/>
      <c r="PEG597" s="46"/>
      <c r="PEH597" s="48"/>
      <c r="PEI597" s="53"/>
      <c r="PEP597" s="15"/>
      <c r="PEQ597" s="50"/>
      <c r="PER597" s="50"/>
      <c r="PES597" s="46"/>
      <c r="PET597" s="47"/>
      <c r="PEU597" s="46"/>
      <c r="PEV597" s="48"/>
      <c r="PEW597" s="53"/>
      <c r="PFD597" s="15"/>
      <c r="PFE597" s="50"/>
      <c r="PFF597" s="50"/>
      <c r="PFG597" s="46"/>
      <c r="PFH597" s="47"/>
      <c r="PFI597" s="46"/>
      <c r="PFJ597" s="48"/>
      <c r="PFK597" s="53"/>
      <c r="PFR597" s="15"/>
      <c r="PFS597" s="50"/>
      <c r="PFT597" s="50"/>
      <c r="PFU597" s="46"/>
      <c r="PFV597" s="47"/>
      <c r="PFW597" s="46"/>
      <c r="PFX597" s="48"/>
      <c r="PFY597" s="53"/>
      <c r="PGF597" s="15"/>
      <c r="PGG597" s="50"/>
      <c r="PGH597" s="50"/>
      <c r="PGI597" s="46"/>
      <c r="PGJ597" s="47"/>
      <c r="PGK597" s="46"/>
      <c r="PGL597" s="48"/>
      <c r="PGM597" s="53"/>
      <c r="PGT597" s="15"/>
      <c r="PGU597" s="50"/>
      <c r="PGV597" s="50"/>
      <c r="PGW597" s="46"/>
      <c r="PGX597" s="47"/>
      <c r="PGY597" s="46"/>
      <c r="PGZ597" s="48"/>
      <c r="PHA597" s="53"/>
      <c r="PHH597" s="15"/>
      <c r="PHI597" s="50"/>
      <c r="PHJ597" s="50"/>
      <c r="PHK597" s="46"/>
      <c r="PHL597" s="47"/>
      <c r="PHM597" s="46"/>
      <c r="PHN597" s="48"/>
      <c r="PHO597" s="53"/>
      <c r="PHV597" s="15"/>
      <c r="PHW597" s="50"/>
      <c r="PHX597" s="50"/>
      <c r="PHY597" s="46"/>
      <c r="PHZ597" s="47"/>
      <c r="PIA597" s="46"/>
      <c r="PIB597" s="48"/>
      <c r="PIC597" s="53"/>
      <c r="PIJ597" s="15"/>
      <c r="PIK597" s="50"/>
      <c r="PIL597" s="50"/>
      <c r="PIM597" s="46"/>
      <c r="PIN597" s="47"/>
      <c r="PIO597" s="46"/>
      <c r="PIP597" s="48"/>
      <c r="PIQ597" s="53"/>
      <c r="PIX597" s="15"/>
      <c r="PIY597" s="50"/>
      <c r="PIZ597" s="50"/>
      <c r="PJA597" s="46"/>
      <c r="PJB597" s="47"/>
      <c r="PJC597" s="46"/>
      <c r="PJD597" s="48"/>
      <c r="PJE597" s="53"/>
      <c r="PJL597" s="15"/>
      <c r="PJM597" s="50"/>
      <c r="PJN597" s="50"/>
      <c r="PJO597" s="46"/>
      <c r="PJP597" s="47"/>
      <c r="PJQ597" s="46"/>
      <c r="PJR597" s="48"/>
      <c r="PJS597" s="53"/>
      <c r="PJZ597" s="15"/>
      <c r="PKA597" s="50"/>
      <c r="PKB597" s="50"/>
      <c r="PKC597" s="46"/>
      <c r="PKD597" s="47"/>
      <c r="PKE597" s="46"/>
      <c r="PKF597" s="48"/>
      <c r="PKG597" s="53"/>
      <c r="PKN597" s="15"/>
      <c r="PKO597" s="50"/>
      <c r="PKP597" s="50"/>
      <c r="PKQ597" s="46"/>
      <c r="PKR597" s="47"/>
      <c r="PKS597" s="46"/>
      <c r="PKT597" s="48"/>
      <c r="PKU597" s="53"/>
      <c r="PLB597" s="15"/>
      <c r="PLC597" s="50"/>
      <c r="PLD597" s="50"/>
      <c r="PLE597" s="46"/>
      <c r="PLF597" s="47"/>
      <c r="PLG597" s="46"/>
      <c r="PLH597" s="48"/>
      <c r="PLI597" s="53"/>
      <c r="PLP597" s="15"/>
      <c r="PLQ597" s="50"/>
      <c r="PLR597" s="50"/>
      <c r="PLS597" s="46"/>
      <c r="PLT597" s="47"/>
      <c r="PLU597" s="46"/>
      <c r="PLV597" s="48"/>
      <c r="PLW597" s="53"/>
      <c r="PMD597" s="15"/>
      <c r="PME597" s="50"/>
      <c r="PMF597" s="50"/>
      <c r="PMG597" s="46"/>
      <c r="PMH597" s="47"/>
      <c r="PMI597" s="46"/>
      <c r="PMJ597" s="48"/>
      <c r="PMK597" s="53"/>
      <c r="PMR597" s="15"/>
      <c r="PMS597" s="50"/>
      <c r="PMT597" s="50"/>
      <c r="PMU597" s="46"/>
      <c r="PMV597" s="47"/>
      <c r="PMW597" s="46"/>
      <c r="PMX597" s="48"/>
      <c r="PMY597" s="53"/>
      <c r="PNF597" s="15"/>
      <c r="PNG597" s="50"/>
      <c r="PNH597" s="50"/>
      <c r="PNI597" s="46"/>
      <c r="PNJ597" s="47"/>
      <c r="PNK597" s="46"/>
      <c r="PNL597" s="48"/>
      <c r="PNM597" s="53"/>
      <c r="PNT597" s="15"/>
      <c r="PNU597" s="50"/>
      <c r="PNV597" s="50"/>
      <c r="PNW597" s="46"/>
      <c r="PNX597" s="47"/>
      <c r="PNY597" s="46"/>
      <c r="PNZ597" s="48"/>
      <c r="POA597" s="53"/>
      <c r="POH597" s="15"/>
      <c r="POI597" s="50"/>
      <c r="POJ597" s="50"/>
      <c r="POK597" s="46"/>
      <c r="POL597" s="47"/>
      <c r="POM597" s="46"/>
      <c r="PON597" s="48"/>
      <c r="POO597" s="53"/>
      <c r="POV597" s="15"/>
      <c r="POW597" s="50"/>
      <c r="POX597" s="50"/>
      <c r="POY597" s="46"/>
      <c r="POZ597" s="47"/>
      <c r="PPA597" s="46"/>
      <c r="PPB597" s="48"/>
      <c r="PPC597" s="53"/>
      <c r="PPJ597" s="15"/>
      <c r="PPK597" s="50"/>
      <c r="PPL597" s="50"/>
      <c r="PPM597" s="46"/>
      <c r="PPN597" s="47"/>
      <c r="PPO597" s="46"/>
      <c r="PPP597" s="48"/>
      <c r="PPQ597" s="53"/>
      <c r="PPX597" s="15"/>
      <c r="PPY597" s="50"/>
      <c r="PPZ597" s="50"/>
      <c r="PQA597" s="46"/>
      <c r="PQB597" s="47"/>
      <c r="PQC597" s="46"/>
      <c r="PQD597" s="48"/>
      <c r="PQE597" s="53"/>
      <c r="PQL597" s="15"/>
      <c r="PQM597" s="50"/>
      <c r="PQN597" s="50"/>
      <c r="PQO597" s="46"/>
      <c r="PQP597" s="47"/>
      <c r="PQQ597" s="46"/>
      <c r="PQR597" s="48"/>
      <c r="PQS597" s="53"/>
      <c r="PQZ597" s="15"/>
      <c r="PRA597" s="50"/>
      <c r="PRB597" s="50"/>
      <c r="PRC597" s="46"/>
      <c r="PRD597" s="47"/>
      <c r="PRE597" s="46"/>
      <c r="PRF597" s="48"/>
      <c r="PRG597" s="53"/>
      <c r="PRN597" s="15"/>
      <c r="PRO597" s="50"/>
      <c r="PRP597" s="50"/>
      <c r="PRQ597" s="46"/>
      <c r="PRR597" s="47"/>
      <c r="PRS597" s="46"/>
      <c r="PRT597" s="48"/>
      <c r="PRU597" s="53"/>
      <c r="PSB597" s="15"/>
      <c r="PSC597" s="50"/>
      <c r="PSD597" s="50"/>
      <c r="PSE597" s="46"/>
      <c r="PSF597" s="47"/>
      <c r="PSG597" s="46"/>
      <c r="PSH597" s="48"/>
      <c r="PSI597" s="53"/>
      <c r="PSP597" s="15"/>
      <c r="PSQ597" s="50"/>
      <c r="PSR597" s="50"/>
      <c r="PSS597" s="46"/>
      <c r="PST597" s="47"/>
      <c r="PSU597" s="46"/>
      <c r="PSV597" s="48"/>
      <c r="PSW597" s="53"/>
      <c r="PTD597" s="15"/>
      <c r="PTE597" s="50"/>
      <c r="PTF597" s="50"/>
      <c r="PTG597" s="46"/>
      <c r="PTH597" s="47"/>
      <c r="PTI597" s="46"/>
      <c r="PTJ597" s="48"/>
      <c r="PTK597" s="53"/>
      <c r="PTR597" s="15"/>
      <c r="PTS597" s="50"/>
      <c r="PTT597" s="50"/>
      <c r="PTU597" s="46"/>
      <c r="PTV597" s="47"/>
      <c r="PTW597" s="46"/>
      <c r="PTX597" s="48"/>
      <c r="PTY597" s="53"/>
      <c r="PUF597" s="15"/>
      <c r="PUG597" s="50"/>
      <c r="PUH597" s="50"/>
      <c r="PUI597" s="46"/>
      <c r="PUJ597" s="47"/>
      <c r="PUK597" s="46"/>
      <c r="PUL597" s="48"/>
      <c r="PUM597" s="53"/>
      <c r="PUT597" s="15"/>
      <c r="PUU597" s="50"/>
      <c r="PUV597" s="50"/>
      <c r="PUW597" s="46"/>
      <c r="PUX597" s="47"/>
      <c r="PUY597" s="46"/>
      <c r="PUZ597" s="48"/>
      <c r="PVA597" s="53"/>
      <c r="PVH597" s="15"/>
      <c r="PVI597" s="50"/>
      <c r="PVJ597" s="50"/>
      <c r="PVK597" s="46"/>
      <c r="PVL597" s="47"/>
      <c r="PVM597" s="46"/>
      <c r="PVN597" s="48"/>
      <c r="PVO597" s="53"/>
      <c r="PVV597" s="15"/>
      <c r="PVW597" s="50"/>
      <c r="PVX597" s="50"/>
      <c r="PVY597" s="46"/>
      <c r="PVZ597" s="47"/>
      <c r="PWA597" s="46"/>
      <c r="PWB597" s="48"/>
      <c r="PWC597" s="53"/>
      <c r="PWJ597" s="15"/>
      <c r="PWK597" s="50"/>
      <c r="PWL597" s="50"/>
      <c r="PWM597" s="46"/>
      <c r="PWN597" s="47"/>
      <c r="PWO597" s="46"/>
      <c r="PWP597" s="48"/>
      <c r="PWQ597" s="53"/>
      <c r="PWX597" s="15"/>
      <c r="PWY597" s="50"/>
      <c r="PWZ597" s="50"/>
      <c r="PXA597" s="46"/>
      <c r="PXB597" s="47"/>
      <c r="PXC597" s="46"/>
      <c r="PXD597" s="48"/>
      <c r="PXE597" s="53"/>
      <c r="PXL597" s="15"/>
      <c r="PXM597" s="50"/>
      <c r="PXN597" s="50"/>
      <c r="PXO597" s="46"/>
      <c r="PXP597" s="47"/>
      <c r="PXQ597" s="46"/>
      <c r="PXR597" s="48"/>
      <c r="PXS597" s="53"/>
      <c r="PXZ597" s="15"/>
      <c r="PYA597" s="50"/>
      <c r="PYB597" s="50"/>
      <c r="PYC597" s="46"/>
      <c r="PYD597" s="47"/>
      <c r="PYE597" s="46"/>
      <c r="PYF597" s="48"/>
      <c r="PYG597" s="53"/>
      <c r="PYN597" s="15"/>
      <c r="PYO597" s="50"/>
      <c r="PYP597" s="50"/>
      <c r="PYQ597" s="46"/>
      <c r="PYR597" s="47"/>
      <c r="PYS597" s="46"/>
      <c r="PYT597" s="48"/>
      <c r="PYU597" s="53"/>
      <c r="PZB597" s="15"/>
      <c r="PZC597" s="50"/>
      <c r="PZD597" s="50"/>
      <c r="PZE597" s="46"/>
      <c r="PZF597" s="47"/>
      <c r="PZG597" s="46"/>
      <c r="PZH597" s="48"/>
      <c r="PZI597" s="53"/>
      <c r="PZP597" s="15"/>
      <c r="PZQ597" s="50"/>
      <c r="PZR597" s="50"/>
      <c r="PZS597" s="46"/>
      <c r="PZT597" s="47"/>
      <c r="PZU597" s="46"/>
      <c r="PZV597" s="48"/>
      <c r="PZW597" s="53"/>
      <c r="QAD597" s="15"/>
      <c r="QAE597" s="50"/>
      <c r="QAF597" s="50"/>
      <c r="QAG597" s="46"/>
      <c r="QAH597" s="47"/>
      <c r="QAI597" s="46"/>
      <c r="QAJ597" s="48"/>
      <c r="QAK597" s="53"/>
      <c r="QAR597" s="15"/>
      <c r="QAS597" s="50"/>
      <c r="QAT597" s="50"/>
      <c r="QAU597" s="46"/>
      <c r="QAV597" s="47"/>
      <c r="QAW597" s="46"/>
      <c r="QAX597" s="48"/>
      <c r="QAY597" s="53"/>
      <c r="QBF597" s="15"/>
      <c r="QBG597" s="50"/>
      <c r="QBH597" s="50"/>
      <c r="QBI597" s="46"/>
      <c r="QBJ597" s="47"/>
      <c r="QBK597" s="46"/>
      <c r="QBL597" s="48"/>
      <c r="QBM597" s="53"/>
      <c r="QBT597" s="15"/>
      <c r="QBU597" s="50"/>
      <c r="QBV597" s="50"/>
      <c r="QBW597" s="46"/>
      <c r="QBX597" s="47"/>
      <c r="QBY597" s="46"/>
      <c r="QBZ597" s="48"/>
      <c r="QCA597" s="53"/>
      <c r="QCH597" s="15"/>
      <c r="QCI597" s="50"/>
      <c r="QCJ597" s="50"/>
      <c r="QCK597" s="46"/>
      <c r="QCL597" s="47"/>
      <c r="QCM597" s="46"/>
      <c r="QCN597" s="48"/>
      <c r="QCO597" s="53"/>
      <c r="QCV597" s="15"/>
      <c r="QCW597" s="50"/>
      <c r="QCX597" s="50"/>
      <c r="QCY597" s="46"/>
      <c r="QCZ597" s="47"/>
      <c r="QDA597" s="46"/>
      <c r="QDB597" s="48"/>
      <c r="QDC597" s="53"/>
      <c r="QDJ597" s="15"/>
      <c r="QDK597" s="50"/>
      <c r="QDL597" s="50"/>
      <c r="QDM597" s="46"/>
      <c r="QDN597" s="47"/>
      <c r="QDO597" s="46"/>
      <c r="QDP597" s="48"/>
      <c r="QDQ597" s="53"/>
      <c r="QDX597" s="15"/>
      <c r="QDY597" s="50"/>
      <c r="QDZ597" s="50"/>
      <c r="QEA597" s="46"/>
      <c r="QEB597" s="47"/>
      <c r="QEC597" s="46"/>
      <c r="QED597" s="48"/>
      <c r="QEE597" s="53"/>
      <c r="QEL597" s="15"/>
      <c r="QEM597" s="50"/>
      <c r="QEN597" s="50"/>
      <c r="QEO597" s="46"/>
      <c r="QEP597" s="47"/>
      <c r="QEQ597" s="46"/>
      <c r="QER597" s="48"/>
      <c r="QES597" s="53"/>
      <c r="QEZ597" s="15"/>
      <c r="QFA597" s="50"/>
      <c r="QFB597" s="50"/>
      <c r="QFC597" s="46"/>
      <c r="QFD597" s="47"/>
      <c r="QFE597" s="46"/>
      <c r="QFF597" s="48"/>
      <c r="QFG597" s="53"/>
      <c r="QFN597" s="15"/>
      <c r="QFO597" s="50"/>
      <c r="QFP597" s="50"/>
      <c r="QFQ597" s="46"/>
      <c r="QFR597" s="47"/>
      <c r="QFS597" s="46"/>
      <c r="QFT597" s="48"/>
      <c r="QFU597" s="53"/>
      <c r="QGB597" s="15"/>
      <c r="QGC597" s="50"/>
      <c r="QGD597" s="50"/>
      <c r="QGE597" s="46"/>
      <c r="QGF597" s="47"/>
      <c r="QGG597" s="46"/>
      <c r="QGH597" s="48"/>
      <c r="QGI597" s="53"/>
      <c r="QGP597" s="15"/>
      <c r="QGQ597" s="50"/>
      <c r="QGR597" s="50"/>
      <c r="QGS597" s="46"/>
      <c r="QGT597" s="47"/>
      <c r="QGU597" s="46"/>
      <c r="QGV597" s="48"/>
      <c r="QGW597" s="53"/>
      <c r="QHD597" s="15"/>
      <c r="QHE597" s="50"/>
      <c r="QHF597" s="50"/>
      <c r="QHG597" s="46"/>
      <c r="QHH597" s="47"/>
      <c r="QHI597" s="46"/>
      <c r="QHJ597" s="48"/>
      <c r="QHK597" s="53"/>
      <c r="QHR597" s="15"/>
      <c r="QHS597" s="50"/>
      <c r="QHT597" s="50"/>
      <c r="QHU597" s="46"/>
      <c r="QHV597" s="47"/>
      <c r="QHW597" s="46"/>
      <c r="QHX597" s="48"/>
      <c r="QHY597" s="53"/>
      <c r="QIF597" s="15"/>
      <c r="QIG597" s="50"/>
      <c r="QIH597" s="50"/>
      <c r="QII597" s="46"/>
      <c r="QIJ597" s="47"/>
      <c r="QIK597" s="46"/>
      <c r="QIL597" s="48"/>
      <c r="QIM597" s="53"/>
      <c r="QIT597" s="15"/>
      <c r="QIU597" s="50"/>
      <c r="QIV597" s="50"/>
      <c r="QIW597" s="46"/>
      <c r="QIX597" s="47"/>
      <c r="QIY597" s="46"/>
      <c r="QIZ597" s="48"/>
      <c r="QJA597" s="53"/>
      <c r="QJH597" s="15"/>
      <c r="QJI597" s="50"/>
      <c r="QJJ597" s="50"/>
      <c r="QJK597" s="46"/>
      <c r="QJL597" s="47"/>
      <c r="QJM597" s="46"/>
      <c r="QJN597" s="48"/>
      <c r="QJO597" s="53"/>
      <c r="QJV597" s="15"/>
      <c r="QJW597" s="50"/>
      <c r="QJX597" s="50"/>
      <c r="QJY597" s="46"/>
      <c r="QJZ597" s="47"/>
      <c r="QKA597" s="46"/>
      <c r="QKB597" s="48"/>
      <c r="QKC597" s="53"/>
      <c r="QKJ597" s="15"/>
      <c r="QKK597" s="50"/>
      <c r="QKL597" s="50"/>
      <c r="QKM597" s="46"/>
      <c r="QKN597" s="47"/>
      <c r="QKO597" s="46"/>
      <c r="QKP597" s="48"/>
      <c r="QKQ597" s="53"/>
      <c r="QKX597" s="15"/>
      <c r="QKY597" s="50"/>
      <c r="QKZ597" s="50"/>
      <c r="QLA597" s="46"/>
      <c r="QLB597" s="47"/>
      <c r="QLC597" s="46"/>
      <c r="QLD597" s="48"/>
      <c r="QLE597" s="53"/>
      <c r="QLL597" s="15"/>
      <c r="QLM597" s="50"/>
      <c r="QLN597" s="50"/>
      <c r="QLO597" s="46"/>
      <c r="QLP597" s="47"/>
      <c r="QLQ597" s="46"/>
      <c r="QLR597" s="48"/>
      <c r="QLS597" s="53"/>
      <c r="QLZ597" s="15"/>
      <c r="QMA597" s="50"/>
      <c r="QMB597" s="50"/>
      <c r="QMC597" s="46"/>
      <c r="QMD597" s="47"/>
      <c r="QME597" s="46"/>
      <c r="QMF597" s="48"/>
      <c r="QMG597" s="53"/>
      <c r="QMN597" s="15"/>
      <c r="QMO597" s="50"/>
      <c r="QMP597" s="50"/>
      <c r="QMQ597" s="46"/>
      <c r="QMR597" s="47"/>
      <c r="QMS597" s="46"/>
      <c r="QMT597" s="48"/>
      <c r="QMU597" s="53"/>
      <c r="QNB597" s="15"/>
      <c r="QNC597" s="50"/>
      <c r="QND597" s="50"/>
      <c r="QNE597" s="46"/>
      <c r="QNF597" s="47"/>
      <c r="QNG597" s="46"/>
      <c r="QNH597" s="48"/>
      <c r="QNI597" s="53"/>
      <c r="QNP597" s="15"/>
      <c r="QNQ597" s="50"/>
      <c r="QNR597" s="50"/>
      <c r="QNS597" s="46"/>
      <c r="QNT597" s="47"/>
      <c r="QNU597" s="46"/>
      <c r="QNV597" s="48"/>
      <c r="QNW597" s="53"/>
      <c r="QOD597" s="15"/>
      <c r="QOE597" s="50"/>
      <c r="QOF597" s="50"/>
      <c r="QOG597" s="46"/>
      <c r="QOH597" s="47"/>
      <c r="QOI597" s="46"/>
      <c r="QOJ597" s="48"/>
      <c r="QOK597" s="53"/>
      <c r="QOR597" s="15"/>
      <c r="QOS597" s="50"/>
      <c r="QOT597" s="50"/>
      <c r="QOU597" s="46"/>
      <c r="QOV597" s="47"/>
      <c r="QOW597" s="46"/>
      <c r="QOX597" s="48"/>
      <c r="QOY597" s="53"/>
      <c r="QPF597" s="15"/>
      <c r="QPG597" s="50"/>
      <c r="QPH597" s="50"/>
      <c r="QPI597" s="46"/>
      <c r="QPJ597" s="47"/>
      <c r="QPK597" s="46"/>
      <c r="QPL597" s="48"/>
      <c r="QPM597" s="53"/>
      <c r="QPT597" s="15"/>
      <c r="QPU597" s="50"/>
      <c r="QPV597" s="50"/>
      <c r="QPW597" s="46"/>
      <c r="QPX597" s="47"/>
      <c r="QPY597" s="46"/>
      <c r="QPZ597" s="48"/>
      <c r="QQA597" s="53"/>
      <c r="QQH597" s="15"/>
      <c r="QQI597" s="50"/>
      <c r="QQJ597" s="50"/>
      <c r="QQK597" s="46"/>
      <c r="QQL597" s="47"/>
      <c r="QQM597" s="46"/>
      <c r="QQN597" s="48"/>
      <c r="QQO597" s="53"/>
      <c r="QQV597" s="15"/>
      <c r="QQW597" s="50"/>
      <c r="QQX597" s="50"/>
      <c r="QQY597" s="46"/>
      <c r="QQZ597" s="47"/>
      <c r="QRA597" s="46"/>
      <c r="QRB597" s="48"/>
      <c r="QRC597" s="53"/>
      <c r="QRJ597" s="15"/>
      <c r="QRK597" s="50"/>
      <c r="QRL597" s="50"/>
      <c r="QRM597" s="46"/>
      <c r="QRN597" s="47"/>
      <c r="QRO597" s="46"/>
      <c r="QRP597" s="48"/>
      <c r="QRQ597" s="53"/>
      <c r="QRX597" s="15"/>
      <c r="QRY597" s="50"/>
      <c r="QRZ597" s="50"/>
      <c r="QSA597" s="46"/>
      <c r="QSB597" s="47"/>
      <c r="QSC597" s="46"/>
      <c r="QSD597" s="48"/>
      <c r="QSE597" s="53"/>
      <c r="QSL597" s="15"/>
      <c r="QSM597" s="50"/>
      <c r="QSN597" s="50"/>
      <c r="QSO597" s="46"/>
      <c r="QSP597" s="47"/>
      <c r="QSQ597" s="46"/>
      <c r="QSR597" s="48"/>
      <c r="QSS597" s="53"/>
      <c r="QSZ597" s="15"/>
      <c r="QTA597" s="50"/>
      <c r="QTB597" s="50"/>
      <c r="QTC597" s="46"/>
      <c r="QTD597" s="47"/>
      <c r="QTE597" s="46"/>
      <c r="QTF597" s="48"/>
      <c r="QTG597" s="53"/>
      <c r="QTN597" s="15"/>
      <c r="QTO597" s="50"/>
      <c r="QTP597" s="50"/>
      <c r="QTQ597" s="46"/>
      <c r="QTR597" s="47"/>
      <c r="QTS597" s="46"/>
      <c r="QTT597" s="48"/>
      <c r="QTU597" s="53"/>
      <c r="QUB597" s="15"/>
      <c r="QUC597" s="50"/>
      <c r="QUD597" s="50"/>
      <c r="QUE597" s="46"/>
      <c r="QUF597" s="47"/>
      <c r="QUG597" s="46"/>
      <c r="QUH597" s="48"/>
      <c r="QUI597" s="53"/>
      <c r="QUP597" s="15"/>
      <c r="QUQ597" s="50"/>
      <c r="QUR597" s="50"/>
      <c r="QUS597" s="46"/>
      <c r="QUT597" s="47"/>
      <c r="QUU597" s="46"/>
      <c r="QUV597" s="48"/>
      <c r="QUW597" s="53"/>
      <c r="QVD597" s="15"/>
      <c r="QVE597" s="50"/>
      <c r="QVF597" s="50"/>
      <c r="QVG597" s="46"/>
      <c r="QVH597" s="47"/>
      <c r="QVI597" s="46"/>
      <c r="QVJ597" s="48"/>
      <c r="QVK597" s="53"/>
      <c r="QVR597" s="15"/>
      <c r="QVS597" s="50"/>
      <c r="QVT597" s="50"/>
      <c r="QVU597" s="46"/>
      <c r="QVV597" s="47"/>
      <c r="QVW597" s="46"/>
      <c r="QVX597" s="48"/>
      <c r="QVY597" s="53"/>
      <c r="QWF597" s="15"/>
      <c r="QWG597" s="50"/>
      <c r="QWH597" s="50"/>
      <c r="QWI597" s="46"/>
      <c r="QWJ597" s="47"/>
      <c r="QWK597" s="46"/>
      <c r="QWL597" s="48"/>
      <c r="QWM597" s="53"/>
      <c r="QWT597" s="15"/>
      <c r="QWU597" s="50"/>
      <c r="QWV597" s="50"/>
      <c r="QWW597" s="46"/>
      <c r="QWX597" s="47"/>
      <c r="QWY597" s="46"/>
      <c r="QWZ597" s="48"/>
      <c r="QXA597" s="53"/>
      <c r="QXH597" s="15"/>
      <c r="QXI597" s="50"/>
      <c r="QXJ597" s="50"/>
      <c r="QXK597" s="46"/>
      <c r="QXL597" s="47"/>
      <c r="QXM597" s="46"/>
      <c r="QXN597" s="48"/>
      <c r="QXO597" s="53"/>
      <c r="QXV597" s="15"/>
      <c r="QXW597" s="50"/>
      <c r="QXX597" s="50"/>
      <c r="QXY597" s="46"/>
      <c r="QXZ597" s="47"/>
      <c r="QYA597" s="46"/>
      <c r="QYB597" s="48"/>
      <c r="QYC597" s="53"/>
      <c r="QYJ597" s="15"/>
      <c r="QYK597" s="50"/>
      <c r="QYL597" s="50"/>
      <c r="QYM597" s="46"/>
      <c r="QYN597" s="47"/>
      <c r="QYO597" s="46"/>
      <c r="QYP597" s="48"/>
      <c r="QYQ597" s="53"/>
      <c r="QYX597" s="15"/>
      <c r="QYY597" s="50"/>
      <c r="QYZ597" s="50"/>
      <c r="QZA597" s="46"/>
      <c r="QZB597" s="47"/>
      <c r="QZC597" s="46"/>
      <c r="QZD597" s="48"/>
      <c r="QZE597" s="53"/>
      <c r="QZL597" s="15"/>
      <c r="QZM597" s="50"/>
      <c r="QZN597" s="50"/>
      <c r="QZO597" s="46"/>
      <c r="QZP597" s="47"/>
      <c r="QZQ597" s="46"/>
      <c r="QZR597" s="48"/>
      <c r="QZS597" s="53"/>
      <c r="QZZ597" s="15"/>
      <c r="RAA597" s="50"/>
      <c r="RAB597" s="50"/>
      <c r="RAC597" s="46"/>
      <c r="RAD597" s="47"/>
      <c r="RAE597" s="46"/>
      <c r="RAF597" s="48"/>
      <c r="RAG597" s="53"/>
      <c r="RAN597" s="15"/>
      <c r="RAO597" s="50"/>
      <c r="RAP597" s="50"/>
      <c r="RAQ597" s="46"/>
      <c r="RAR597" s="47"/>
      <c r="RAS597" s="46"/>
      <c r="RAT597" s="48"/>
      <c r="RAU597" s="53"/>
      <c r="RBB597" s="15"/>
      <c r="RBC597" s="50"/>
      <c r="RBD597" s="50"/>
      <c r="RBE597" s="46"/>
      <c r="RBF597" s="47"/>
      <c r="RBG597" s="46"/>
      <c r="RBH597" s="48"/>
      <c r="RBI597" s="53"/>
      <c r="RBP597" s="15"/>
      <c r="RBQ597" s="50"/>
      <c r="RBR597" s="50"/>
      <c r="RBS597" s="46"/>
      <c r="RBT597" s="47"/>
      <c r="RBU597" s="46"/>
      <c r="RBV597" s="48"/>
      <c r="RBW597" s="53"/>
      <c r="RCD597" s="15"/>
      <c r="RCE597" s="50"/>
      <c r="RCF597" s="50"/>
      <c r="RCG597" s="46"/>
      <c r="RCH597" s="47"/>
      <c r="RCI597" s="46"/>
      <c r="RCJ597" s="48"/>
      <c r="RCK597" s="53"/>
      <c r="RCR597" s="15"/>
      <c r="RCS597" s="50"/>
      <c r="RCT597" s="50"/>
      <c r="RCU597" s="46"/>
      <c r="RCV597" s="47"/>
      <c r="RCW597" s="46"/>
      <c r="RCX597" s="48"/>
      <c r="RCY597" s="53"/>
      <c r="RDF597" s="15"/>
      <c r="RDG597" s="50"/>
      <c r="RDH597" s="50"/>
      <c r="RDI597" s="46"/>
      <c r="RDJ597" s="47"/>
      <c r="RDK597" s="46"/>
      <c r="RDL597" s="48"/>
      <c r="RDM597" s="53"/>
      <c r="RDT597" s="15"/>
      <c r="RDU597" s="50"/>
      <c r="RDV597" s="50"/>
      <c r="RDW597" s="46"/>
      <c r="RDX597" s="47"/>
      <c r="RDY597" s="46"/>
      <c r="RDZ597" s="48"/>
      <c r="REA597" s="53"/>
      <c r="REH597" s="15"/>
      <c r="REI597" s="50"/>
      <c r="REJ597" s="50"/>
      <c r="REK597" s="46"/>
      <c r="REL597" s="47"/>
      <c r="REM597" s="46"/>
      <c r="REN597" s="48"/>
      <c r="REO597" s="53"/>
      <c r="REV597" s="15"/>
      <c r="REW597" s="50"/>
      <c r="REX597" s="50"/>
      <c r="REY597" s="46"/>
      <c r="REZ597" s="47"/>
      <c r="RFA597" s="46"/>
      <c r="RFB597" s="48"/>
      <c r="RFC597" s="53"/>
      <c r="RFJ597" s="15"/>
      <c r="RFK597" s="50"/>
      <c r="RFL597" s="50"/>
      <c r="RFM597" s="46"/>
      <c r="RFN597" s="47"/>
      <c r="RFO597" s="46"/>
      <c r="RFP597" s="48"/>
      <c r="RFQ597" s="53"/>
      <c r="RFX597" s="15"/>
      <c r="RFY597" s="50"/>
      <c r="RFZ597" s="50"/>
      <c r="RGA597" s="46"/>
      <c r="RGB597" s="47"/>
      <c r="RGC597" s="46"/>
      <c r="RGD597" s="48"/>
      <c r="RGE597" s="53"/>
      <c r="RGL597" s="15"/>
      <c r="RGM597" s="50"/>
      <c r="RGN597" s="50"/>
      <c r="RGO597" s="46"/>
      <c r="RGP597" s="47"/>
      <c r="RGQ597" s="46"/>
      <c r="RGR597" s="48"/>
      <c r="RGS597" s="53"/>
      <c r="RGZ597" s="15"/>
      <c r="RHA597" s="50"/>
      <c r="RHB597" s="50"/>
      <c r="RHC597" s="46"/>
      <c r="RHD597" s="47"/>
      <c r="RHE597" s="46"/>
      <c r="RHF597" s="48"/>
      <c r="RHG597" s="53"/>
      <c r="RHN597" s="15"/>
      <c r="RHO597" s="50"/>
      <c r="RHP597" s="50"/>
      <c r="RHQ597" s="46"/>
      <c r="RHR597" s="47"/>
      <c r="RHS597" s="46"/>
      <c r="RHT597" s="48"/>
      <c r="RHU597" s="53"/>
      <c r="RIB597" s="15"/>
      <c r="RIC597" s="50"/>
      <c r="RID597" s="50"/>
      <c r="RIE597" s="46"/>
      <c r="RIF597" s="47"/>
      <c r="RIG597" s="46"/>
      <c r="RIH597" s="48"/>
      <c r="RII597" s="53"/>
      <c r="RIP597" s="15"/>
      <c r="RIQ597" s="50"/>
      <c r="RIR597" s="50"/>
      <c r="RIS597" s="46"/>
      <c r="RIT597" s="47"/>
      <c r="RIU597" s="46"/>
      <c r="RIV597" s="48"/>
      <c r="RIW597" s="53"/>
      <c r="RJD597" s="15"/>
      <c r="RJE597" s="50"/>
      <c r="RJF597" s="50"/>
      <c r="RJG597" s="46"/>
      <c r="RJH597" s="47"/>
      <c r="RJI597" s="46"/>
      <c r="RJJ597" s="48"/>
      <c r="RJK597" s="53"/>
      <c r="RJR597" s="15"/>
      <c r="RJS597" s="50"/>
      <c r="RJT597" s="50"/>
      <c r="RJU597" s="46"/>
      <c r="RJV597" s="47"/>
      <c r="RJW597" s="46"/>
      <c r="RJX597" s="48"/>
      <c r="RJY597" s="53"/>
      <c r="RKF597" s="15"/>
      <c r="RKG597" s="50"/>
      <c r="RKH597" s="50"/>
      <c r="RKI597" s="46"/>
      <c r="RKJ597" s="47"/>
      <c r="RKK597" s="46"/>
      <c r="RKL597" s="48"/>
      <c r="RKM597" s="53"/>
      <c r="RKT597" s="15"/>
      <c r="RKU597" s="50"/>
      <c r="RKV597" s="50"/>
      <c r="RKW597" s="46"/>
      <c r="RKX597" s="47"/>
      <c r="RKY597" s="46"/>
      <c r="RKZ597" s="48"/>
      <c r="RLA597" s="53"/>
      <c r="RLH597" s="15"/>
      <c r="RLI597" s="50"/>
      <c r="RLJ597" s="50"/>
      <c r="RLK597" s="46"/>
      <c r="RLL597" s="47"/>
      <c r="RLM597" s="46"/>
      <c r="RLN597" s="48"/>
      <c r="RLO597" s="53"/>
      <c r="RLV597" s="15"/>
      <c r="RLW597" s="50"/>
      <c r="RLX597" s="50"/>
      <c r="RLY597" s="46"/>
      <c r="RLZ597" s="47"/>
      <c r="RMA597" s="46"/>
      <c r="RMB597" s="48"/>
      <c r="RMC597" s="53"/>
      <c r="RMJ597" s="15"/>
      <c r="RMK597" s="50"/>
      <c r="RML597" s="50"/>
      <c r="RMM597" s="46"/>
      <c r="RMN597" s="47"/>
      <c r="RMO597" s="46"/>
      <c r="RMP597" s="48"/>
      <c r="RMQ597" s="53"/>
      <c r="RMX597" s="15"/>
      <c r="RMY597" s="50"/>
      <c r="RMZ597" s="50"/>
      <c r="RNA597" s="46"/>
      <c r="RNB597" s="47"/>
      <c r="RNC597" s="46"/>
      <c r="RND597" s="48"/>
      <c r="RNE597" s="53"/>
      <c r="RNL597" s="15"/>
      <c r="RNM597" s="50"/>
      <c r="RNN597" s="50"/>
      <c r="RNO597" s="46"/>
      <c r="RNP597" s="47"/>
      <c r="RNQ597" s="46"/>
      <c r="RNR597" s="48"/>
      <c r="RNS597" s="53"/>
      <c r="RNZ597" s="15"/>
      <c r="ROA597" s="50"/>
      <c r="ROB597" s="50"/>
      <c r="ROC597" s="46"/>
      <c r="ROD597" s="47"/>
      <c r="ROE597" s="46"/>
      <c r="ROF597" s="48"/>
      <c r="ROG597" s="53"/>
      <c r="RON597" s="15"/>
      <c r="ROO597" s="50"/>
      <c r="ROP597" s="50"/>
      <c r="ROQ597" s="46"/>
      <c r="ROR597" s="47"/>
      <c r="ROS597" s="46"/>
      <c r="ROT597" s="48"/>
      <c r="ROU597" s="53"/>
      <c r="RPB597" s="15"/>
      <c r="RPC597" s="50"/>
      <c r="RPD597" s="50"/>
      <c r="RPE597" s="46"/>
      <c r="RPF597" s="47"/>
      <c r="RPG597" s="46"/>
      <c r="RPH597" s="48"/>
      <c r="RPI597" s="53"/>
      <c r="RPP597" s="15"/>
      <c r="RPQ597" s="50"/>
      <c r="RPR597" s="50"/>
      <c r="RPS597" s="46"/>
      <c r="RPT597" s="47"/>
      <c r="RPU597" s="46"/>
      <c r="RPV597" s="48"/>
      <c r="RPW597" s="53"/>
      <c r="RQD597" s="15"/>
      <c r="RQE597" s="50"/>
      <c r="RQF597" s="50"/>
      <c r="RQG597" s="46"/>
      <c r="RQH597" s="47"/>
      <c r="RQI597" s="46"/>
      <c r="RQJ597" s="48"/>
      <c r="RQK597" s="53"/>
      <c r="RQR597" s="15"/>
      <c r="RQS597" s="50"/>
      <c r="RQT597" s="50"/>
      <c r="RQU597" s="46"/>
      <c r="RQV597" s="47"/>
      <c r="RQW597" s="46"/>
      <c r="RQX597" s="48"/>
      <c r="RQY597" s="53"/>
      <c r="RRF597" s="15"/>
      <c r="RRG597" s="50"/>
      <c r="RRH597" s="50"/>
      <c r="RRI597" s="46"/>
      <c r="RRJ597" s="47"/>
      <c r="RRK597" s="46"/>
      <c r="RRL597" s="48"/>
      <c r="RRM597" s="53"/>
      <c r="RRT597" s="15"/>
      <c r="RRU597" s="50"/>
      <c r="RRV597" s="50"/>
      <c r="RRW597" s="46"/>
      <c r="RRX597" s="47"/>
      <c r="RRY597" s="46"/>
      <c r="RRZ597" s="48"/>
      <c r="RSA597" s="53"/>
      <c r="RSH597" s="15"/>
      <c r="RSI597" s="50"/>
      <c r="RSJ597" s="50"/>
      <c r="RSK597" s="46"/>
      <c r="RSL597" s="47"/>
      <c r="RSM597" s="46"/>
      <c r="RSN597" s="48"/>
      <c r="RSO597" s="53"/>
      <c r="RSV597" s="15"/>
      <c r="RSW597" s="50"/>
      <c r="RSX597" s="50"/>
      <c r="RSY597" s="46"/>
      <c r="RSZ597" s="47"/>
      <c r="RTA597" s="46"/>
      <c r="RTB597" s="48"/>
      <c r="RTC597" s="53"/>
      <c r="RTJ597" s="15"/>
      <c r="RTK597" s="50"/>
      <c r="RTL597" s="50"/>
      <c r="RTM597" s="46"/>
      <c r="RTN597" s="47"/>
      <c r="RTO597" s="46"/>
      <c r="RTP597" s="48"/>
      <c r="RTQ597" s="53"/>
      <c r="RTX597" s="15"/>
      <c r="RTY597" s="50"/>
      <c r="RTZ597" s="50"/>
      <c r="RUA597" s="46"/>
      <c r="RUB597" s="47"/>
      <c r="RUC597" s="46"/>
      <c r="RUD597" s="48"/>
      <c r="RUE597" s="53"/>
      <c r="RUL597" s="15"/>
      <c r="RUM597" s="50"/>
      <c r="RUN597" s="50"/>
      <c r="RUO597" s="46"/>
      <c r="RUP597" s="47"/>
      <c r="RUQ597" s="46"/>
      <c r="RUR597" s="48"/>
      <c r="RUS597" s="53"/>
      <c r="RUZ597" s="15"/>
      <c r="RVA597" s="50"/>
      <c r="RVB597" s="50"/>
      <c r="RVC597" s="46"/>
      <c r="RVD597" s="47"/>
      <c r="RVE597" s="46"/>
      <c r="RVF597" s="48"/>
      <c r="RVG597" s="53"/>
      <c r="RVN597" s="15"/>
      <c r="RVO597" s="50"/>
      <c r="RVP597" s="50"/>
      <c r="RVQ597" s="46"/>
      <c r="RVR597" s="47"/>
      <c r="RVS597" s="46"/>
      <c r="RVT597" s="48"/>
      <c r="RVU597" s="53"/>
      <c r="RWB597" s="15"/>
      <c r="RWC597" s="50"/>
      <c r="RWD597" s="50"/>
      <c r="RWE597" s="46"/>
      <c r="RWF597" s="47"/>
      <c r="RWG597" s="46"/>
      <c r="RWH597" s="48"/>
      <c r="RWI597" s="53"/>
      <c r="RWP597" s="15"/>
      <c r="RWQ597" s="50"/>
      <c r="RWR597" s="50"/>
      <c r="RWS597" s="46"/>
      <c r="RWT597" s="47"/>
      <c r="RWU597" s="46"/>
      <c r="RWV597" s="48"/>
      <c r="RWW597" s="53"/>
      <c r="RXD597" s="15"/>
      <c r="RXE597" s="50"/>
      <c r="RXF597" s="50"/>
      <c r="RXG597" s="46"/>
      <c r="RXH597" s="47"/>
      <c r="RXI597" s="46"/>
      <c r="RXJ597" s="48"/>
      <c r="RXK597" s="53"/>
      <c r="RXR597" s="15"/>
      <c r="RXS597" s="50"/>
      <c r="RXT597" s="50"/>
      <c r="RXU597" s="46"/>
      <c r="RXV597" s="47"/>
      <c r="RXW597" s="46"/>
      <c r="RXX597" s="48"/>
      <c r="RXY597" s="53"/>
      <c r="RYF597" s="15"/>
      <c r="RYG597" s="50"/>
      <c r="RYH597" s="50"/>
      <c r="RYI597" s="46"/>
      <c r="RYJ597" s="47"/>
      <c r="RYK597" s="46"/>
      <c r="RYL597" s="48"/>
      <c r="RYM597" s="53"/>
      <c r="RYT597" s="15"/>
      <c r="RYU597" s="50"/>
      <c r="RYV597" s="50"/>
      <c r="RYW597" s="46"/>
      <c r="RYX597" s="47"/>
      <c r="RYY597" s="46"/>
      <c r="RYZ597" s="48"/>
      <c r="RZA597" s="53"/>
      <c r="RZH597" s="15"/>
      <c r="RZI597" s="50"/>
      <c r="RZJ597" s="50"/>
      <c r="RZK597" s="46"/>
      <c r="RZL597" s="47"/>
      <c r="RZM597" s="46"/>
      <c r="RZN597" s="48"/>
      <c r="RZO597" s="53"/>
      <c r="RZV597" s="15"/>
      <c r="RZW597" s="50"/>
      <c r="RZX597" s="50"/>
      <c r="RZY597" s="46"/>
      <c r="RZZ597" s="47"/>
      <c r="SAA597" s="46"/>
      <c r="SAB597" s="48"/>
      <c r="SAC597" s="53"/>
      <c r="SAJ597" s="15"/>
      <c r="SAK597" s="50"/>
      <c r="SAL597" s="50"/>
      <c r="SAM597" s="46"/>
      <c r="SAN597" s="47"/>
      <c r="SAO597" s="46"/>
      <c r="SAP597" s="48"/>
      <c r="SAQ597" s="53"/>
      <c r="SAX597" s="15"/>
      <c r="SAY597" s="50"/>
      <c r="SAZ597" s="50"/>
      <c r="SBA597" s="46"/>
      <c r="SBB597" s="47"/>
      <c r="SBC597" s="46"/>
      <c r="SBD597" s="48"/>
      <c r="SBE597" s="53"/>
      <c r="SBL597" s="15"/>
      <c r="SBM597" s="50"/>
      <c r="SBN597" s="50"/>
      <c r="SBO597" s="46"/>
      <c r="SBP597" s="47"/>
      <c r="SBQ597" s="46"/>
      <c r="SBR597" s="48"/>
      <c r="SBS597" s="53"/>
      <c r="SBZ597" s="15"/>
      <c r="SCA597" s="50"/>
      <c r="SCB597" s="50"/>
      <c r="SCC597" s="46"/>
      <c r="SCD597" s="47"/>
      <c r="SCE597" s="46"/>
      <c r="SCF597" s="48"/>
      <c r="SCG597" s="53"/>
      <c r="SCN597" s="15"/>
      <c r="SCO597" s="50"/>
      <c r="SCP597" s="50"/>
      <c r="SCQ597" s="46"/>
      <c r="SCR597" s="47"/>
      <c r="SCS597" s="46"/>
      <c r="SCT597" s="48"/>
      <c r="SCU597" s="53"/>
      <c r="SDB597" s="15"/>
      <c r="SDC597" s="50"/>
      <c r="SDD597" s="50"/>
      <c r="SDE597" s="46"/>
      <c r="SDF597" s="47"/>
      <c r="SDG597" s="46"/>
      <c r="SDH597" s="48"/>
      <c r="SDI597" s="53"/>
      <c r="SDP597" s="15"/>
      <c r="SDQ597" s="50"/>
      <c r="SDR597" s="50"/>
      <c r="SDS597" s="46"/>
      <c r="SDT597" s="47"/>
      <c r="SDU597" s="46"/>
      <c r="SDV597" s="48"/>
      <c r="SDW597" s="53"/>
      <c r="SED597" s="15"/>
      <c r="SEE597" s="50"/>
      <c r="SEF597" s="50"/>
      <c r="SEG597" s="46"/>
      <c r="SEH597" s="47"/>
      <c r="SEI597" s="46"/>
      <c r="SEJ597" s="48"/>
      <c r="SEK597" s="53"/>
      <c r="SER597" s="15"/>
      <c r="SES597" s="50"/>
      <c r="SET597" s="50"/>
      <c r="SEU597" s="46"/>
      <c r="SEV597" s="47"/>
      <c r="SEW597" s="46"/>
      <c r="SEX597" s="48"/>
      <c r="SEY597" s="53"/>
      <c r="SFF597" s="15"/>
      <c r="SFG597" s="50"/>
      <c r="SFH597" s="50"/>
      <c r="SFI597" s="46"/>
      <c r="SFJ597" s="47"/>
      <c r="SFK597" s="46"/>
      <c r="SFL597" s="48"/>
      <c r="SFM597" s="53"/>
      <c r="SFT597" s="15"/>
      <c r="SFU597" s="50"/>
      <c r="SFV597" s="50"/>
      <c r="SFW597" s="46"/>
      <c r="SFX597" s="47"/>
      <c r="SFY597" s="46"/>
      <c r="SFZ597" s="48"/>
      <c r="SGA597" s="53"/>
      <c r="SGH597" s="15"/>
      <c r="SGI597" s="50"/>
      <c r="SGJ597" s="50"/>
      <c r="SGK597" s="46"/>
      <c r="SGL597" s="47"/>
      <c r="SGM597" s="46"/>
      <c r="SGN597" s="48"/>
      <c r="SGO597" s="53"/>
      <c r="SGV597" s="15"/>
      <c r="SGW597" s="50"/>
      <c r="SGX597" s="50"/>
      <c r="SGY597" s="46"/>
      <c r="SGZ597" s="47"/>
      <c r="SHA597" s="46"/>
      <c r="SHB597" s="48"/>
      <c r="SHC597" s="53"/>
      <c r="SHJ597" s="15"/>
      <c r="SHK597" s="50"/>
      <c r="SHL597" s="50"/>
      <c r="SHM597" s="46"/>
      <c r="SHN597" s="47"/>
      <c r="SHO597" s="46"/>
      <c r="SHP597" s="48"/>
      <c r="SHQ597" s="53"/>
      <c r="SHX597" s="15"/>
      <c r="SHY597" s="50"/>
      <c r="SHZ597" s="50"/>
      <c r="SIA597" s="46"/>
      <c r="SIB597" s="47"/>
      <c r="SIC597" s="46"/>
      <c r="SID597" s="48"/>
      <c r="SIE597" s="53"/>
      <c r="SIL597" s="15"/>
      <c r="SIM597" s="50"/>
      <c r="SIN597" s="50"/>
      <c r="SIO597" s="46"/>
      <c r="SIP597" s="47"/>
      <c r="SIQ597" s="46"/>
      <c r="SIR597" s="48"/>
      <c r="SIS597" s="53"/>
      <c r="SIZ597" s="15"/>
      <c r="SJA597" s="50"/>
      <c r="SJB597" s="50"/>
      <c r="SJC597" s="46"/>
      <c r="SJD597" s="47"/>
      <c r="SJE597" s="46"/>
      <c r="SJF597" s="48"/>
      <c r="SJG597" s="53"/>
      <c r="SJN597" s="15"/>
      <c r="SJO597" s="50"/>
      <c r="SJP597" s="50"/>
      <c r="SJQ597" s="46"/>
      <c r="SJR597" s="47"/>
      <c r="SJS597" s="46"/>
      <c r="SJT597" s="48"/>
      <c r="SJU597" s="53"/>
      <c r="SKB597" s="15"/>
      <c r="SKC597" s="50"/>
      <c r="SKD597" s="50"/>
      <c r="SKE597" s="46"/>
      <c r="SKF597" s="47"/>
      <c r="SKG597" s="46"/>
      <c r="SKH597" s="48"/>
      <c r="SKI597" s="53"/>
      <c r="SKP597" s="15"/>
      <c r="SKQ597" s="50"/>
      <c r="SKR597" s="50"/>
      <c r="SKS597" s="46"/>
      <c r="SKT597" s="47"/>
      <c r="SKU597" s="46"/>
      <c r="SKV597" s="48"/>
      <c r="SKW597" s="53"/>
      <c r="SLD597" s="15"/>
      <c r="SLE597" s="50"/>
      <c r="SLF597" s="50"/>
      <c r="SLG597" s="46"/>
      <c r="SLH597" s="47"/>
      <c r="SLI597" s="46"/>
      <c r="SLJ597" s="48"/>
      <c r="SLK597" s="53"/>
      <c r="SLR597" s="15"/>
      <c r="SLS597" s="50"/>
      <c r="SLT597" s="50"/>
      <c r="SLU597" s="46"/>
      <c r="SLV597" s="47"/>
      <c r="SLW597" s="46"/>
      <c r="SLX597" s="48"/>
      <c r="SLY597" s="53"/>
      <c r="SMF597" s="15"/>
      <c r="SMG597" s="50"/>
      <c r="SMH597" s="50"/>
      <c r="SMI597" s="46"/>
      <c r="SMJ597" s="47"/>
      <c r="SMK597" s="46"/>
      <c r="SML597" s="48"/>
      <c r="SMM597" s="53"/>
      <c r="SMT597" s="15"/>
      <c r="SMU597" s="50"/>
      <c r="SMV597" s="50"/>
      <c r="SMW597" s="46"/>
      <c r="SMX597" s="47"/>
      <c r="SMY597" s="46"/>
      <c r="SMZ597" s="48"/>
      <c r="SNA597" s="53"/>
      <c r="SNH597" s="15"/>
      <c r="SNI597" s="50"/>
      <c r="SNJ597" s="50"/>
      <c r="SNK597" s="46"/>
      <c r="SNL597" s="47"/>
      <c r="SNM597" s="46"/>
      <c r="SNN597" s="48"/>
      <c r="SNO597" s="53"/>
      <c r="SNV597" s="15"/>
      <c r="SNW597" s="50"/>
      <c r="SNX597" s="50"/>
      <c r="SNY597" s="46"/>
      <c r="SNZ597" s="47"/>
      <c r="SOA597" s="46"/>
      <c r="SOB597" s="48"/>
      <c r="SOC597" s="53"/>
      <c r="SOJ597" s="15"/>
      <c r="SOK597" s="50"/>
      <c r="SOL597" s="50"/>
      <c r="SOM597" s="46"/>
      <c r="SON597" s="47"/>
      <c r="SOO597" s="46"/>
      <c r="SOP597" s="48"/>
      <c r="SOQ597" s="53"/>
      <c r="SOX597" s="15"/>
      <c r="SOY597" s="50"/>
      <c r="SOZ597" s="50"/>
      <c r="SPA597" s="46"/>
      <c r="SPB597" s="47"/>
      <c r="SPC597" s="46"/>
      <c r="SPD597" s="48"/>
      <c r="SPE597" s="53"/>
      <c r="SPL597" s="15"/>
      <c r="SPM597" s="50"/>
      <c r="SPN597" s="50"/>
      <c r="SPO597" s="46"/>
      <c r="SPP597" s="47"/>
      <c r="SPQ597" s="46"/>
      <c r="SPR597" s="48"/>
      <c r="SPS597" s="53"/>
      <c r="SPZ597" s="15"/>
      <c r="SQA597" s="50"/>
      <c r="SQB597" s="50"/>
      <c r="SQC597" s="46"/>
      <c r="SQD597" s="47"/>
      <c r="SQE597" s="46"/>
      <c r="SQF597" s="48"/>
      <c r="SQG597" s="53"/>
      <c r="SQN597" s="15"/>
      <c r="SQO597" s="50"/>
      <c r="SQP597" s="50"/>
      <c r="SQQ597" s="46"/>
      <c r="SQR597" s="47"/>
      <c r="SQS597" s="46"/>
      <c r="SQT597" s="48"/>
      <c r="SQU597" s="53"/>
      <c r="SRB597" s="15"/>
      <c r="SRC597" s="50"/>
      <c r="SRD597" s="50"/>
      <c r="SRE597" s="46"/>
      <c r="SRF597" s="47"/>
      <c r="SRG597" s="46"/>
      <c r="SRH597" s="48"/>
      <c r="SRI597" s="53"/>
      <c r="SRP597" s="15"/>
      <c r="SRQ597" s="50"/>
      <c r="SRR597" s="50"/>
      <c r="SRS597" s="46"/>
      <c r="SRT597" s="47"/>
      <c r="SRU597" s="46"/>
      <c r="SRV597" s="48"/>
      <c r="SRW597" s="53"/>
      <c r="SSD597" s="15"/>
      <c r="SSE597" s="50"/>
      <c r="SSF597" s="50"/>
      <c r="SSG597" s="46"/>
      <c r="SSH597" s="47"/>
      <c r="SSI597" s="46"/>
      <c r="SSJ597" s="48"/>
      <c r="SSK597" s="53"/>
      <c r="SSR597" s="15"/>
      <c r="SSS597" s="50"/>
      <c r="SST597" s="50"/>
      <c r="SSU597" s="46"/>
      <c r="SSV597" s="47"/>
      <c r="SSW597" s="46"/>
      <c r="SSX597" s="48"/>
      <c r="SSY597" s="53"/>
      <c r="STF597" s="15"/>
      <c r="STG597" s="50"/>
      <c r="STH597" s="50"/>
      <c r="STI597" s="46"/>
      <c r="STJ597" s="47"/>
      <c r="STK597" s="46"/>
      <c r="STL597" s="48"/>
      <c r="STM597" s="53"/>
      <c r="STT597" s="15"/>
      <c r="STU597" s="50"/>
      <c r="STV597" s="50"/>
      <c r="STW597" s="46"/>
      <c r="STX597" s="47"/>
      <c r="STY597" s="46"/>
      <c r="STZ597" s="48"/>
      <c r="SUA597" s="53"/>
      <c r="SUH597" s="15"/>
      <c r="SUI597" s="50"/>
      <c r="SUJ597" s="50"/>
      <c r="SUK597" s="46"/>
      <c r="SUL597" s="47"/>
      <c r="SUM597" s="46"/>
      <c r="SUN597" s="48"/>
      <c r="SUO597" s="53"/>
      <c r="SUV597" s="15"/>
      <c r="SUW597" s="50"/>
      <c r="SUX597" s="50"/>
      <c r="SUY597" s="46"/>
      <c r="SUZ597" s="47"/>
      <c r="SVA597" s="46"/>
      <c r="SVB597" s="48"/>
      <c r="SVC597" s="53"/>
      <c r="SVJ597" s="15"/>
      <c r="SVK597" s="50"/>
      <c r="SVL597" s="50"/>
      <c r="SVM597" s="46"/>
      <c r="SVN597" s="47"/>
      <c r="SVO597" s="46"/>
      <c r="SVP597" s="48"/>
      <c r="SVQ597" s="53"/>
      <c r="SVX597" s="15"/>
      <c r="SVY597" s="50"/>
      <c r="SVZ597" s="50"/>
      <c r="SWA597" s="46"/>
      <c r="SWB597" s="47"/>
      <c r="SWC597" s="46"/>
      <c r="SWD597" s="48"/>
      <c r="SWE597" s="53"/>
      <c r="SWL597" s="15"/>
      <c r="SWM597" s="50"/>
      <c r="SWN597" s="50"/>
      <c r="SWO597" s="46"/>
      <c r="SWP597" s="47"/>
      <c r="SWQ597" s="46"/>
      <c r="SWR597" s="48"/>
      <c r="SWS597" s="53"/>
      <c r="SWZ597" s="15"/>
      <c r="SXA597" s="50"/>
      <c r="SXB597" s="50"/>
      <c r="SXC597" s="46"/>
      <c r="SXD597" s="47"/>
      <c r="SXE597" s="46"/>
      <c r="SXF597" s="48"/>
      <c r="SXG597" s="53"/>
      <c r="SXN597" s="15"/>
      <c r="SXO597" s="50"/>
      <c r="SXP597" s="50"/>
      <c r="SXQ597" s="46"/>
      <c r="SXR597" s="47"/>
      <c r="SXS597" s="46"/>
      <c r="SXT597" s="48"/>
      <c r="SXU597" s="53"/>
      <c r="SYB597" s="15"/>
      <c r="SYC597" s="50"/>
      <c r="SYD597" s="50"/>
      <c r="SYE597" s="46"/>
      <c r="SYF597" s="47"/>
      <c r="SYG597" s="46"/>
      <c r="SYH597" s="48"/>
      <c r="SYI597" s="53"/>
      <c r="SYP597" s="15"/>
      <c r="SYQ597" s="50"/>
      <c r="SYR597" s="50"/>
      <c r="SYS597" s="46"/>
      <c r="SYT597" s="47"/>
      <c r="SYU597" s="46"/>
      <c r="SYV597" s="48"/>
      <c r="SYW597" s="53"/>
      <c r="SZD597" s="15"/>
      <c r="SZE597" s="50"/>
      <c r="SZF597" s="50"/>
      <c r="SZG597" s="46"/>
      <c r="SZH597" s="47"/>
      <c r="SZI597" s="46"/>
      <c r="SZJ597" s="48"/>
      <c r="SZK597" s="53"/>
      <c r="SZR597" s="15"/>
      <c r="SZS597" s="50"/>
      <c r="SZT597" s="50"/>
      <c r="SZU597" s="46"/>
      <c r="SZV597" s="47"/>
      <c r="SZW597" s="46"/>
      <c r="SZX597" s="48"/>
      <c r="SZY597" s="53"/>
      <c r="TAF597" s="15"/>
      <c r="TAG597" s="50"/>
      <c r="TAH597" s="50"/>
      <c r="TAI597" s="46"/>
      <c r="TAJ597" s="47"/>
      <c r="TAK597" s="46"/>
      <c r="TAL597" s="48"/>
      <c r="TAM597" s="53"/>
      <c r="TAT597" s="15"/>
      <c r="TAU597" s="50"/>
      <c r="TAV597" s="50"/>
      <c r="TAW597" s="46"/>
      <c r="TAX597" s="47"/>
      <c r="TAY597" s="46"/>
      <c r="TAZ597" s="48"/>
      <c r="TBA597" s="53"/>
      <c r="TBH597" s="15"/>
      <c r="TBI597" s="50"/>
      <c r="TBJ597" s="50"/>
      <c r="TBK597" s="46"/>
      <c r="TBL597" s="47"/>
      <c r="TBM597" s="46"/>
      <c r="TBN597" s="48"/>
      <c r="TBO597" s="53"/>
      <c r="TBV597" s="15"/>
      <c r="TBW597" s="50"/>
      <c r="TBX597" s="50"/>
      <c r="TBY597" s="46"/>
      <c r="TBZ597" s="47"/>
      <c r="TCA597" s="46"/>
      <c r="TCB597" s="48"/>
      <c r="TCC597" s="53"/>
      <c r="TCJ597" s="15"/>
      <c r="TCK597" s="50"/>
      <c r="TCL597" s="50"/>
      <c r="TCM597" s="46"/>
      <c r="TCN597" s="47"/>
      <c r="TCO597" s="46"/>
      <c r="TCP597" s="48"/>
      <c r="TCQ597" s="53"/>
      <c r="TCX597" s="15"/>
      <c r="TCY597" s="50"/>
      <c r="TCZ597" s="50"/>
      <c r="TDA597" s="46"/>
      <c r="TDB597" s="47"/>
      <c r="TDC597" s="46"/>
      <c r="TDD597" s="48"/>
      <c r="TDE597" s="53"/>
      <c r="TDL597" s="15"/>
      <c r="TDM597" s="50"/>
      <c r="TDN597" s="50"/>
      <c r="TDO597" s="46"/>
      <c r="TDP597" s="47"/>
      <c r="TDQ597" s="46"/>
      <c r="TDR597" s="48"/>
      <c r="TDS597" s="53"/>
      <c r="TDZ597" s="15"/>
      <c r="TEA597" s="50"/>
      <c r="TEB597" s="50"/>
      <c r="TEC597" s="46"/>
      <c r="TED597" s="47"/>
      <c r="TEE597" s="46"/>
      <c r="TEF597" s="48"/>
      <c r="TEG597" s="53"/>
      <c r="TEN597" s="15"/>
      <c r="TEO597" s="50"/>
      <c r="TEP597" s="50"/>
      <c r="TEQ597" s="46"/>
      <c r="TER597" s="47"/>
      <c r="TES597" s="46"/>
      <c r="TET597" s="48"/>
      <c r="TEU597" s="53"/>
      <c r="TFB597" s="15"/>
      <c r="TFC597" s="50"/>
      <c r="TFD597" s="50"/>
      <c r="TFE597" s="46"/>
      <c r="TFF597" s="47"/>
      <c r="TFG597" s="46"/>
      <c r="TFH597" s="48"/>
      <c r="TFI597" s="53"/>
      <c r="TFP597" s="15"/>
      <c r="TFQ597" s="50"/>
      <c r="TFR597" s="50"/>
      <c r="TFS597" s="46"/>
      <c r="TFT597" s="47"/>
      <c r="TFU597" s="46"/>
      <c r="TFV597" s="48"/>
      <c r="TFW597" s="53"/>
      <c r="TGD597" s="15"/>
      <c r="TGE597" s="50"/>
      <c r="TGF597" s="50"/>
      <c r="TGG597" s="46"/>
      <c r="TGH597" s="47"/>
      <c r="TGI597" s="46"/>
      <c r="TGJ597" s="48"/>
      <c r="TGK597" s="53"/>
      <c r="TGR597" s="15"/>
      <c r="TGS597" s="50"/>
      <c r="TGT597" s="50"/>
      <c r="TGU597" s="46"/>
      <c r="TGV597" s="47"/>
      <c r="TGW597" s="46"/>
      <c r="TGX597" s="48"/>
      <c r="TGY597" s="53"/>
      <c r="THF597" s="15"/>
      <c r="THG597" s="50"/>
      <c r="THH597" s="50"/>
      <c r="THI597" s="46"/>
      <c r="THJ597" s="47"/>
      <c r="THK597" s="46"/>
      <c r="THL597" s="48"/>
      <c r="THM597" s="53"/>
      <c r="THT597" s="15"/>
      <c r="THU597" s="50"/>
      <c r="THV597" s="50"/>
      <c r="THW597" s="46"/>
      <c r="THX597" s="47"/>
      <c r="THY597" s="46"/>
      <c r="THZ597" s="48"/>
      <c r="TIA597" s="53"/>
      <c r="TIH597" s="15"/>
      <c r="TII597" s="50"/>
      <c r="TIJ597" s="50"/>
      <c r="TIK597" s="46"/>
      <c r="TIL597" s="47"/>
      <c r="TIM597" s="46"/>
      <c r="TIN597" s="48"/>
      <c r="TIO597" s="53"/>
      <c r="TIV597" s="15"/>
      <c r="TIW597" s="50"/>
      <c r="TIX597" s="50"/>
      <c r="TIY597" s="46"/>
      <c r="TIZ597" s="47"/>
      <c r="TJA597" s="46"/>
      <c r="TJB597" s="48"/>
      <c r="TJC597" s="53"/>
      <c r="TJJ597" s="15"/>
      <c r="TJK597" s="50"/>
      <c r="TJL597" s="50"/>
      <c r="TJM597" s="46"/>
      <c r="TJN597" s="47"/>
      <c r="TJO597" s="46"/>
      <c r="TJP597" s="48"/>
      <c r="TJQ597" s="53"/>
      <c r="TJX597" s="15"/>
      <c r="TJY597" s="50"/>
      <c r="TJZ597" s="50"/>
      <c r="TKA597" s="46"/>
      <c r="TKB597" s="47"/>
      <c r="TKC597" s="46"/>
      <c r="TKD597" s="48"/>
      <c r="TKE597" s="53"/>
      <c r="TKL597" s="15"/>
      <c r="TKM597" s="50"/>
      <c r="TKN597" s="50"/>
      <c r="TKO597" s="46"/>
      <c r="TKP597" s="47"/>
      <c r="TKQ597" s="46"/>
      <c r="TKR597" s="48"/>
      <c r="TKS597" s="53"/>
      <c r="TKZ597" s="15"/>
      <c r="TLA597" s="50"/>
      <c r="TLB597" s="50"/>
      <c r="TLC597" s="46"/>
      <c r="TLD597" s="47"/>
      <c r="TLE597" s="46"/>
      <c r="TLF597" s="48"/>
      <c r="TLG597" s="53"/>
      <c r="TLN597" s="15"/>
      <c r="TLO597" s="50"/>
      <c r="TLP597" s="50"/>
      <c r="TLQ597" s="46"/>
      <c r="TLR597" s="47"/>
      <c r="TLS597" s="46"/>
      <c r="TLT597" s="48"/>
      <c r="TLU597" s="53"/>
      <c r="TMB597" s="15"/>
      <c r="TMC597" s="50"/>
      <c r="TMD597" s="50"/>
      <c r="TME597" s="46"/>
      <c r="TMF597" s="47"/>
      <c r="TMG597" s="46"/>
      <c r="TMH597" s="48"/>
      <c r="TMI597" s="53"/>
      <c r="TMP597" s="15"/>
      <c r="TMQ597" s="50"/>
      <c r="TMR597" s="50"/>
      <c r="TMS597" s="46"/>
      <c r="TMT597" s="47"/>
      <c r="TMU597" s="46"/>
      <c r="TMV597" s="48"/>
      <c r="TMW597" s="53"/>
      <c r="TND597" s="15"/>
      <c r="TNE597" s="50"/>
      <c r="TNF597" s="50"/>
      <c r="TNG597" s="46"/>
      <c r="TNH597" s="47"/>
      <c r="TNI597" s="46"/>
      <c r="TNJ597" s="48"/>
      <c r="TNK597" s="53"/>
      <c r="TNR597" s="15"/>
      <c r="TNS597" s="50"/>
      <c r="TNT597" s="50"/>
      <c r="TNU597" s="46"/>
      <c r="TNV597" s="47"/>
      <c r="TNW597" s="46"/>
      <c r="TNX597" s="48"/>
      <c r="TNY597" s="53"/>
      <c r="TOF597" s="15"/>
      <c r="TOG597" s="50"/>
      <c r="TOH597" s="50"/>
      <c r="TOI597" s="46"/>
      <c r="TOJ597" s="47"/>
      <c r="TOK597" s="46"/>
      <c r="TOL597" s="48"/>
      <c r="TOM597" s="53"/>
      <c r="TOT597" s="15"/>
      <c r="TOU597" s="50"/>
      <c r="TOV597" s="50"/>
      <c r="TOW597" s="46"/>
      <c r="TOX597" s="47"/>
      <c r="TOY597" s="46"/>
      <c r="TOZ597" s="48"/>
      <c r="TPA597" s="53"/>
      <c r="TPH597" s="15"/>
      <c r="TPI597" s="50"/>
      <c r="TPJ597" s="50"/>
      <c r="TPK597" s="46"/>
      <c r="TPL597" s="47"/>
      <c r="TPM597" s="46"/>
      <c r="TPN597" s="48"/>
      <c r="TPO597" s="53"/>
      <c r="TPV597" s="15"/>
      <c r="TPW597" s="50"/>
      <c r="TPX597" s="50"/>
      <c r="TPY597" s="46"/>
      <c r="TPZ597" s="47"/>
      <c r="TQA597" s="46"/>
      <c r="TQB597" s="48"/>
      <c r="TQC597" s="53"/>
      <c r="TQJ597" s="15"/>
      <c r="TQK597" s="50"/>
      <c r="TQL597" s="50"/>
      <c r="TQM597" s="46"/>
      <c r="TQN597" s="47"/>
      <c r="TQO597" s="46"/>
      <c r="TQP597" s="48"/>
      <c r="TQQ597" s="53"/>
      <c r="TQX597" s="15"/>
      <c r="TQY597" s="50"/>
      <c r="TQZ597" s="50"/>
      <c r="TRA597" s="46"/>
      <c r="TRB597" s="47"/>
      <c r="TRC597" s="46"/>
      <c r="TRD597" s="48"/>
      <c r="TRE597" s="53"/>
      <c r="TRL597" s="15"/>
      <c r="TRM597" s="50"/>
      <c r="TRN597" s="50"/>
      <c r="TRO597" s="46"/>
      <c r="TRP597" s="47"/>
      <c r="TRQ597" s="46"/>
      <c r="TRR597" s="48"/>
      <c r="TRS597" s="53"/>
      <c r="TRZ597" s="15"/>
      <c r="TSA597" s="50"/>
      <c r="TSB597" s="50"/>
      <c r="TSC597" s="46"/>
      <c r="TSD597" s="47"/>
      <c r="TSE597" s="46"/>
      <c r="TSF597" s="48"/>
      <c r="TSG597" s="53"/>
      <c r="TSN597" s="15"/>
      <c r="TSO597" s="50"/>
      <c r="TSP597" s="50"/>
      <c r="TSQ597" s="46"/>
      <c r="TSR597" s="47"/>
      <c r="TSS597" s="46"/>
      <c r="TST597" s="48"/>
      <c r="TSU597" s="53"/>
      <c r="TTB597" s="15"/>
      <c r="TTC597" s="50"/>
      <c r="TTD597" s="50"/>
      <c r="TTE597" s="46"/>
      <c r="TTF597" s="47"/>
      <c r="TTG597" s="46"/>
      <c r="TTH597" s="48"/>
      <c r="TTI597" s="53"/>
      <c r="TTP597" s="15"/>
      <c r="TTQ597" s="50"/>
      <c r="TTR597" s="50"/>
      <c r="TTS597" s="46"/>
      <c r="TTT597" s="47"/>
      <c r="TTU597" s="46"/>
      <c r="TTV597" s="48"/>
      <c r="TTW597" s="53"/>
      <c r="TUD597" s="15"/>
      <c r="TUE597" s="50"/>
      <c r="TUF597" s="50"/>
      <c r="TUG597" s="46"/>
      <c r="TUH597" s="47"/>
      <c r="TUI597" s="46"/>
      <c r="TUJ597" s="48"/>
      <c r="TUK597" s="53"/>
      <c r="TUR597" s="15"/>
      <c r="TUS597" s="50"/>
      <c r="TUT597" s="50"/>
      <c r="TUU597" s="46"/>
      <c r="TUV597" s="47"/>
      <c r="TUW597" s="46"/>
      <c r="TUX597" s="48"/>
      <c r="TUY597" s="53"/>
      <c r="TVF597" s="15"/>
      <c r="TVG597" s="50"/>
      <c r="TVH597" s="50"/>
      <c r="TVI597" s="46"/>
      <c r="TVJ597" s="47"/>
      <c r="TVK597" s="46"/>
      <c r="TVL597" s="48"/>
      <c r="TVM597" s="53"/>
      <c r="TVT597" s="15"/>
      <c r="TVU597" s="50"/>
      <c r="TVV597" s="50"/>
      <c r="TVW597" s="46"/>
      <c r="TVX597" s="47"/>
      <c r="TVY597" s="46"/>
      <c r="TVZ597" s="48"/>
      <c r="TWA597" s="53"/>
      <c r="TWH597" s="15"/>
      <c r="TWI597" s="50"/>
      <c r="TWJ597" s="50"/>
      <c r="TWK597" s="46"/>
      <c r="TWL597" s="47"/>
      <c r="TWM597" s="46"/>
      <c r="TWN597" s="48"/>
      <c r="TWO597" s="53"/>
      <c r="TWV597" s="15"/>
      <c r="TWW597" s="50"/>
      <c r="TWX597" s="50"/>
      <c r="TWY597" s="46"/>
      <c r="TWZ597" s="47"/>
      <c r="TXA597" s="46"/>
      <c r="TXB597" s="48"/>
      <c r="TXC597" s="53"/>
      <c r="TXJ597" s="15"/>
      <c r="TXK597" s="50"/>
      <c r="TXL597" s="50"/>
      <c r="TXM597" s="46"/>
      <c r="TXN597" s="47"/>
      <c r="TXO597" s="46"/>
      <c r="TXP597" s="48"/>
      <c r="TXQ597" s="53"/>
      <c r="TXX597" s="15"/>
      <c r="TXY597" s="50"/>
      <c r="TXZ597" s="50"/>
      <c r="TYA597" s="46"/>
      <c r="TYB597" s="47"/>
      <c r="TYC597" s="46"/>
      <c r="TYD597" s="48"/>
      <c r="TYE597" s="53"/>
      <c r="TYL597" s="15"/>
      <c r="TYM597" s="50"/>
      <c r="TYN597" s="50"/>
      <c r="TYO597" s="46"/>
      <c r="TYP597" s="47"/>
      <c r="TYQ597" s="46"/>
      <c r="TYR597" s="48"/>
      <c r="TYS597" s="53"/>
      <c r="TYZ597" s="15"/>
      <c r="TZA597" s="50"/>
      <c r="TZB597" s="50"/>
      <c r="TZC597" s="46"/>
      <c r="TZD597" s="47"/>
      <c r="TZE597" s="46"/>
      <c r="TZF597" s="48"/>
      <c r="TZG597" s="53"/>
      <c r="TZN597" s="15"/>
      <c r="TZO597" s="50"/>
      <c r="TZP597" s="50"/>
      <c r="TZQ597" s="46"/>
      <c r="TZR597" s="47"/>
      <c r="TZS597" s="46"/>
      <c r="TZT597" s="48"/>
      <c r="TZU597" s="53"/>
      <c r="UAB597" s="15"/>
      <c r="UAC597" s="50"/>
      <c r="UAD597" s="50"/>
      <c r="UAE597" s="46"/>
      <c r="UAF597" s="47"/>
      <c r="UAG597" s="46"/>
      <c r="UAH597" s="48"/>
      <c r="UAI597" s="53"/>
      <c r="UAP597" s="15"/>
      <c r="UAQ597" s="50"/>
      <c r="UAR597" s="50"/>
      <c r="UAS597" s="46"/>
      <c r="UAT597" s="47"/>
      <c r="UAU597" s="46"/>
      <c r="UAV597" s="48"/>
      <c r="UAW597" s="53"/>
      <c r="UBD597" s="15"/>
      <c r="UBE597" s="50"/>
      <c r="UBF597" s="50"/>
      <c r="UBG597" s="46"/>
      <c r="UBH597" s="47"/>
      <c r="UBI597" s="46"/>
      <c r="UBJ597" s="48"/>
      <c r="UBK597" s="53"/>
      <c r="UBR597" s="15"/>
      <c r="UBS597" s="50"/>
      <c r="UBT597" s="50"/>
      <c r="UBU597" s="46"/>
      <c r="UBV597" s="47"/>
      <c r="UBW597" s="46"/>
      <c r="UBX597" s="48"/>
      <c r="UBY597" s="53"/>
      <c r="UCF597" s="15"/>
      <c r="UCG597" s="50"/>
      <c r="UCH597" s="50"/>
      <c r="UCI597" s="46"/>
      <c r="UCJ597" s="47"/>
      <c r="UCK597" s="46"/>
      <c r="UCL597" s="48"/>
      <c r="UCM597" s="53"/>
      <c r="UCT597" s="15"/>
      <c r="UCU597" s="50"/>
      <c r="UCV597" s="50"/>
      <c r="UCW597" s="46"/>
      <c r="UCX597" s="47"/>
      <c r="UCY597" s="46"/>
      <c r="UCZ597" s="48"/>
      <c r="UDA597" s="53"/>
      <c r="UDH597" s="15"/>
      <c r="UDI597" s="50"/>
      <c r="UDJ597" s="50"/>
      <c r="UDK597" s="46"/>
      <c r="UDL597" s="47"/>
      <c r="UDM597" s="46"/>
      <c r="UDN597" s="48"/>
      <c r="UDO597" s="53"/>
      <c r="UDV597" s="15"/>
      <c r="UDW597" s="50"/>
      <c r="UDX597" s="50"/>
      <c r="UDY597" s="46"/>
      <c r="UDZ597" s="47"/>
      <c r="UEA597" s="46"/>
      <c r="UEB597" s="48"/>
      <c r="UEC597" s="53"/>
      <c r="UEJ597" s="15"/>
      <c r="UEK597" s="50"/>
      <c r="UEL597" s="50"/>
      <c r="UEM597" s="46"/>
      <c r="UEN597" s="47"/>
      <c r="UEO597" s="46"/>
      <c r="UEP597" s="48"/>
      <c r="UEQ597" s="53"/>
      <c r="UEX597" s="15"/>
      <c r="UEY597" s="50"/>
      <c r="UEZ597" s="50"/>
      <c r="UFA597" s="46"/>
      <c r="UFB597" s="47"/>
      <c r="UFC597" s="46"/>
      <c r="UFD597" s="48"/>
      <c r="UFE597" s="53"/>
      <c r="UFL597" s="15"/>
      <c r="UFM597" s="50"/>
      <c r="UFN597" s="50"/>
      <c r="UFO597" s="46"/>
      <c r="UFP597" s="47"/>
      <c r="UFQ597" s="46"/>
      <c r="UFR597" s="48"/>
      <c r="UFS597" s="53"/>
      <c r="UFZ597" s="15"/>
      <c r="UGA597" s="50"/>
      <c r="UGB597" s="50"/>
      <c r="UGC597" s="46"/>
      <c r="UGD597" s="47"/>
      <c r="UGE597" s="46"/>
      <c r="UGF597" s="48"/>
      <c r="UGG597" s="53"/>
      <c r="UGN597" s="15"/>
      <c r="UGO597" s="50"/>
      <c r="UGP597" s="50"/>
      <c r="UGQ597" s="46"/>
      <c r="UGR597" s="47"/>
      <c r="UGS597" s="46"/>
      <c r="UGT597" s="48"/>
      <c r="UGU597" s="53"/>
      <c r="UHB597" s="15"/>
      <c r="UHC597" s="50"/>
      <c r="UHD597" s="50"/>
      <c r="UHE597" s="46"/>
      <c r="UHF597" s="47"/>
      <c r="UHG597" s="46"/>
      <c r="UHH597" s="48"/>
      <c r="UHI597" s="53"/>
      <c r="UHP597" s="15"/>
      <c r="UHQ597" s="50"/>
      <c r="UHR597" s="50"/>
      <c r="UHS597" s="46"/>
      <c r="UHT597" s="47"/>
      <c r="UHU597" s="46"/>
      <c r="UHV597" s="48"/>
      <c r="UHW597" s="53"/>
      <c r="UID597" s="15"/>
      <c r="UIE597" s="50"/>
      <c r="UIF597" s="50"/>
      <c r="UIG597" s="46"/>
      <c r="UIH597" s="47"/>
      <c r="UII597" s="46"/>
      <c r="UIJ597" s="48"/>
      <c r="UIK597" s="53"/>
      <c r="UIR597" s="15"/>
      <c r="UIS597" s="50"/>
      <c r="UIT597" s="50"/>
      <c r="UIU597" s="46"/>
      <c r="UIV597" s="47"/>
      <c r="UIW597" s="46"/>
      <c r="UIX597" s="48"/>
      <c r="UIY597" s="53"/>
      <c r="UJF597" s="15"/>
      <c r="UJG597" s="50"/>
      <c r="UJH597" s="50"/>
      <c r="UJI597" s="46"/>
      <c r="UJJ597" s="47"/>
      <c r="UJK597" s="46"/>
      <c r="UJL597" s="48"/>
      <c r="UJM597" s="53"/>
      <c r="UJT597" s="15"/>
      <c r="UJU597" s="50"/>
      <c r="UJV597" s="50"/>
      <c r="UJW597" s="46"/>
      <c r="UJX597" s="47"/>
      <c r="UJY597" s="46"/>
      <c r="UJZ597" s="48"/>
      <c r="UKA597" s="53"/>
      <c r="UKH597" s="15"/>
      <c r="UKI597" s="50"/>
      <c r="UKJ597" s="50"/>
      <c r="UKK597" s="46"/>
      <c r="UKL597" s="47"/>
      <c r="UKM597" s="46"/>
      <c r="UKN597" s="48"/>
      <c r="UKO597" s="53"/>
      <c r="UKV597" s="15"/>
      <c r="UKW597" s="50"/>
      <c r="UKX597" s="50"/>
      <c r="UKY597" s="46"/>
      <c r="UKZ597" s="47"/>
      <c r="ULA597" s="46"/>
      <c r="ULB597" s="48"/>
      <c r="ULC597" s="53"/>
      <c r="ULJ597" s="15"/>
      <c r="ULK597" s="50"/>
      <c r="ULL597" s="50"/>
      <c r="ULM597" s="46"/>
      <c r="ULN597" s="47"/>
      <c r="ULO597" s="46"/>
      <c r="ULP597" s="48"/>
      <c r="ULQ597" s="53"/>
      <c r="ULX597" s="15"/>
      <c r="ULY597" s="50"/>
      <c r="ULZ597" s="50"/>
      <c r="UMA597" s="46"/>
      <c r="UMB597" s="47"/>
      <c r="UMC597" s="46"/>
      <c r="UMD597" s="48"/>
      <c r="UME597" s="53"/>
      <c r="UML597" s="15"/>
      <c r="UMM597" s="50"/>
      <c r="UMN597" s="50"/>
      <c r="UMO597" s="46"/>
      <c r="UMP597" s="47"/>
      <c r="UMQ597" s="46"/>
      <c r="UMR597" s="48"/>
      <c r="UMS597" s="53"/>
      <c r="UMZ597" s="15"/>
      <c r="UNA597" s="50"/>
      <c r="UNB597" s="50"/>
      <c r="UNC597" s="46"/>
      <c r="UND597" s="47"/>
      <c r="UNE597" s="46"/>
      <c r="UNF597" s="48"/>
      <c r="UNG597" s="53"/>
      <c r="UNN597" s="15"/>
      <c r="UNO597" s="50"/>
      <c r="UNP597" s="50"/>
      <c r="UNQ597" s="46"/>
      <c r="UNR597" s="47"/>
      <c r="UNS597" s="46"/>
      <c r="UNT597" s="48"/>
      <c r="UNU597" s="53"/>
      <c r="UOB597" s="15"/>
      <c r="UOC597" s="50"/>
      <c r="UOD597" s="50"/>
      <c r="UOE597" s="46"/>
      <c r="UOF597" s="47"/>
      <c r="UOG597" s="46"/>
      <c r="UOH597" s="48"/>
      <c r="UOI597" s="53"/>
      <c r="UOP597" s="15"/>
      <c r="UOQ597" s="50"/>
      <c r="UOR597" s="50"/>
      <c r="UOS597" s="46"/>
      <c r="UOT597" s="47"/>
      <c r="UOU597" s="46"/>
      <c r="UOV597" s="48"/>
      <c r="UOW597" s="53"/>
      <c r="UPD597" s="15"/>
      <c r="UPE597" s="50"/>
      <c r="UPF597" s="50"/>
      <c r="UPG597" s="46"/>
      <c r="UPH597" s="47"/>
      <c r="UPI597" s="46"/>
      <c r="UPJ597" s="48"/>
      <c r="UPK597" s="53"/>
      <c r="UPR597" s="15"/>
      <c r="UPS597" s="50"/>
      <c r="UPT597" s="50"/>
      <c r="UPU597" s="46"/>
      <c r="UPV597" s="47"/>
      <c r="UPW597" s="46"/>
      <c r="UPX597" s="48"/>
      <c r="UPY597" s="53"/>
      <c r="UQF597" s="15"/>
      <c r="UQG597" s="50"/>
      <c r="UQH597" s="50"/>
      <c r="UQI597" s="46"/>
      <c r="UQJ597" s="47"/>
      <c r="UQK597" s="46"/>
      <c r="UQL597" s="48"/>
      <c r="UQM597" s="53"/>
      <c r="UQT597" s="15"/>
      <c r="UQU597" s="50"/>
      <c r="UQV597" s="50"/>
      <c r="UQW597" s="46"/>
      <c r="UQX597" s="47"/>
      <c r="UQY597" s="46"/>
      <c r="UQZ597" s="48"/>
      <c r="URA597" s="53"/>
      <c r="URH597" s="15"/>
      <c r="URI597" s="50"/>
      <c r="URJ597" s="50"/>
      <c r="URK597" s="46"/>
      <c r="URL597" s="47"/>
      <c r="URM597" s="46"/>
      <c r="URN597" s="48"/>
      <c r="URO597" s="53"/>
      <c r="URV597" s="15"/>
      <c r="URW597" s="50"/>
      <c r="URX597" s="50"/>
      <c r="URY597" s="46"/>
      <c r="URZ597" s="47"/>
      <c r="USA597" s="46"/>
      <c r="USB597" s="48"/>
      <c r="USC597" s="53"/>
      <c r="USJ597" s="15"/>
      <c r="USK597" s="50"/>
      <c r="USL597" s="50"/>
      <c r="USM597" s="46"/>
      <c r="USN597" s="47"/>
      <c r="USO597" s="46"/>
      <c r="USP597" s="48"/>
      <c r="USQ597" s="53"/>
      <c r="USX597" s="15"/>
      <c r="USY597" s="50"/>
      <c r="USZ597" s="50"/>
      <c r="UTA597" s="46"/>
      <c r="UTB597" s="47"/>
      <c r="UTC597" s="46"/>
      <c r="UTD597" s="48"/>
      <c r="UTE597" s="53"/>
      <c r="UTL597" s="15"/>
      <c r="UTM597" s="50"/>
      <c r="UTN597" s="50"/>
      <c r="UTO597" s="46"/>
      <c r="UTP597" s="47"/>
      <c r="UTQ597" s="46"/>
      <c r="UTR597" s="48"/>
      <c r="UTS597" s="53"/>
      <c r="UTZ597" s="15"/>
      <c r="UUA597" s="50"/>
      <c r="UUB597" s="50"/>
      <c r="UUC597" s="46"/>
      <c r="UUD597" s="47"/>
      <c r="UUE597" s="46"/>
      <c r="UUF597" s="48"/>
      <c r="UUG597" s="53"/>
      <c r="UUN597" s="15"/>
      <c r="UUO597" s="50"/>
      <c r="UUP597" s="50"/>
      <c r="UUQ597" s="46"/>
      <c r="UUR597" s="47"/>
      <c r="UUS597" s="46"/>
      <c r="UUT597" s="48"/>
      <c r="UUU597" s="53"/>
      <c r="UVB597" s="15"/>
      <c r="UVC597" s="50"/>
      <c r="UVD597" s="50"/>
      <c r="UVE597" s="46"/>
      <c r="UVF597" s="47"/>
      <c r="UVG597" s="46"/>
      <c r="UVH597" s="48"/>
      <c r="UVI597" s="53"/>
      <c r="UVP597" s="15"/>
      <c r="UVQ597" s="50"/>
      <c r="UVR597" s="50"/>
      <c r="UVS597" s="46"/>
      <c r="UVT597" s="47"/>
      <c r="UVU597" s="46"/>
      <c r="UVV597" s="48"/>
      <c r="UVW597" s="53"/>
      <c r="UWD597" s="15"/>
      <c r="UWE597" s="50"/>
      <c r="UWF597" s="50"/>
      <c r="UWG597" s="46"/>
      <c r="UWH597" s="47"/>
      <c r="UWI597" s="46"/>
      <c r="UWJ597" s="48"/>
      <c r="UWK597" s="53"/>
      <c r="UWR597" s="15"/>
      <c r="UWS597" s="50"/>
      <c r="UWT597" s="50"/>
      <c r="UWU597" s="46"/>
      <c r="UWV597" s="47"/>
      <c r="UWW597" s="46"/>
      <c r="UWX597" s="48"/>
      <c r="UWY597" s="53"/>
      <c r="UXF597" s="15"/>
      <c r="UXG597" s="50"/>
      <c r="UXH597" s="50"/>
      <c r="UXI597" s="46"/>
      <c r="UXJ597" s="47"/>
      <c r="UXK597" s="46"/>
      <c r="UXL597" s="48"/>
      <c r="UXM597" s="53"/>
      <c r="UXT597" s="15"/>
      <c r="UXU597" s="50"/>
      <c r="UXV597" s="50"/>
      <c r="UXW597" s="46"/>
      <c r="UXX597" s="47"/>
      <c r="UXY597" s="46"/>
      <c r="UXZ597" s="48"/>
      <c r="UYA597" s="53"/>
      <c r="UYH597" s="15"/>
      <c r="UYI597" s="50"/>
      <c r="UYJ597" s="50"/>
      <c r="UYK597" s="46"/>
      <c r="UYL597" s="47"/>
      <c r="UYM597" s="46"/>
      <c r="UYN597" s="48"/>
      <c r="UYO597" s="53"/>
      <c r="UYV597" s="15"/>
      <c r="UYW597" s="50"/>
      <c r="UYX597" s="50"/>
      <c r="UYY597" s="46"/>
      <c r="UYZ597" s="47"/>
      <c r="UZA597" s="46"/>
      <c r="UZB597" s="48"/>
      <c r="UZC597" s="53"/>
      <c r="UZJ597" s="15"/>
      <c r="UZK597" s="50"/>
      <c r="UZL597" s="50"/>
      <c r="UZM597" s="46"/>
      <c r="UZN597" s="47"/>
      <c r="UZO597" s="46"/>
      <c r="UZP597" s="48"/>
      <c r="UZQ597" s="53"/>
      <c r="UZX597" s="15"/>
      <c r="UZY597" s="50"/>
      <c r="UZZ597" s="50"/>
      <c r="VAA597" s="46"/>
      <c r="VAB597" s="47"/>
      <c r="VAC597" s="46"/>
      <c r="VAD597" s="48"/>
      <c r="VAE597" s="53"/>
      <c r="VAL597" s="15"/>
      <c r="VAM597" s="50"/>
      <c r="VAN597" s="50"/>
      <c r="VAO597" s="46"/>
      <c r="VAP597" s="47"/>
      <c r="VAQ597" s="46"/>
      <c r="VAR597" s="48"/>
      <c r="VAS597" s="53"/>
      <c r="VAZ597" s="15"/>
      <c r="VBA597" s="50"/>
      <c r="VBB597" s="50"/>
      <c r="VBC597" s="46"/>
      <c r="VBD597" s="47"/>
      <c r="VBE597" s="46"/>
      <c r="VBF597" s="48"/>
      <c r="VBG597" s="53"/>
      <c r="VBN597" s="15"/>
      <c r="VBO597" s="50"/>
      <c r="VBP597" s="50"/>
      <c r="VBQ597" s="46"/>
      <c r="VBR597" s="47"/>
      <c r="VBS597" s="46"/>
      <c r="VBT597" s="48"/>
      <c r="VBU597" s="53"/>
      <c r="VCB597" s="15"/>
      <c r="VCC597" s="50"/>
      <c r="VCD597" s="50"/>
      <c r="VCE597" s="46"/>
      <c r="VCF597" s="47"/>
      <c r="VCG597" s="46"/>
      <c r="VCH597" s="48"/>
      <c r="VCI597" s="53"/>
      <c r="VCP597" s="15"/>
      <c r="VCQ597" s="50"/>
      <c r="VCR597" s="50"/>
      <c r="VCS597" s="46"/>
      <c r="VCT597" s="47"/>
      <c r="VCU597" s="46"/>
      <c r="VCV597" s="48"/>
      <c r="VCW597" s="53"/>
      <c r="VDD597" s="15"/>
      <c r="VDE597" s="50"/>
      <c r="VDF597" s="50"/>
      <c r="VDG597" s="46"/>
      <c r="VDH597" s="47"/>
      <c r="VDI597" s="46"/>
      <c r="VDJ597" s="48"/>
      <c r="VDK597" s="53"/>
      <c r="VDR597" s="15"/>
      <c r="VDS597" s="50"/>
      <c r="VDT597" s="50"/>
      <c r="VDU597" s="46"/>
      <c r="VDV597" s="47"/>
      <c r="VDW597" s="46"/>
      <c r="VDX597" s="48"/>
      <c r="VDY597" s="53"/>
      <c r="VEF597" s="15"/>
      <c r="VEG597" s="50"/>
      <c r="VEH597" s="50"/>
      <c r="VEI597" s="46"/>
      <c r="VEJ597" s="47"/>
      <c r="VEK597" s="46"/>
      <c r="VEL597" s="48"/>
      <c r="VEM597" s="53"/>
      <c r="VET597" s="15"/>
      <c r="VEU597" s="50"/>
      <c r="VEV597" s="50"/>
      <c r="VEW597" s="46"/>
      <c r="VEX597" s="47"/>
      <c r="VEY597" s="46"/>
      <c r="VEZ597" s="48"/>
      <c r="VFA597" s="53"/>
      <c r="VFH597" s="15"/>
      <c r="VFI597" s="50"/>
      <c r="VFJ597" s="50"/>
      <c r="VFK597" s="46"/>
      <c r="VFL597" s="47"/>
      <c r="VFM597" s="46"/>
      <c r="VFN597" s="48"/>
      <c r="VFO597" s="53"/>
      <c r="VFV597" s="15"/>
      <c r="VFW597" s="50"/>
      <c r="VFX597" s="50"/>
      <c r="VFY597" s="46"/>
      <c r="VFZ597" s="47"/>
      <c r="VGA597" s="46"/>
      <c r="VGB597" s="48"/>
      <c r="VGC597" s="53"/>
      <c r="VGJ597" s="15"/>
      <c r="VGK597" s="50"/>
      <c r="VGL597" s="50"/>
      <c r="VGM597" s="46"/>
      <c r="VGN597" s="47"/>
      <c r="VGO597" s="46"/>
      <c r="VGP597" s="48"/>
      <c r="VGQ597" s="53"/>
      <c r="VGX597" s="15"/>
      <c r="VGY597" s="50"/>
      <c r="VGZ597" s="50"/>
      <c r="VHA597" s="46"/>
      <c r="VHB597" s="47"/>
      <c r="VHC597" s="46"/>
      <c r="VHD597" s="48"/>
      <c r="VHE597" s="53"/>
      <c r="VHL597" s="15"/>
      <c r="VHM597" s="50"/>
      <c r="VHN597" s="50"/>
      <c r="VHO597" s="46"/>
      <c r="VHP597" s="47"/>
      <c r="VHQ597" s="46"/>
      <c r="VHR597" s="48"/>
      <c r="VHS597" s="53"/>
      <c r="VHZ597" s="15"/>
      <c r="VIA597" s="50"/>
      <c r="VIB597" s="50"/>
      <c r="VIC597" s="46"/>
      <c r="VID597" s="47"/>
      <c r="VIE597" s="46"/>
      <c r="VIF597" s="48"/>
      <c r="VIG597" s="53"/>
      <c r="VIN597" s="15"/>
      <c r="VIO597" s="50"/>
      <c r="VIP597" s="50"/>
      <c r="VIQ597" s="46"/>
      <c r="VIR597" s="47"/>
      <c r="VIS597" s="46"/>
      <c r="VIT597" s="48"/>
      <c r="VIU597" s="53"/>
      <c r="VJB597" s="15"/>
      <c r="VJC597" s="50"/>
      <c r="VJD597" s="50"/>
      <c r="VJE597" s="46"/>
      <c r="VJF597" s="47"/>
      <c r="VJG597" s="46"/>
      <c r="VJH597" s="48"/>
      <c r="VJI597" s="53"/>
      <c r="VJP597" s="15"/>
      <c r="VJQ597" s="50"/>
      <c r="VJR597" s="50"/>
      <c r="VJS597" s="46"/>
      <c r="VJT597" s="47"/>
      <c r="VJU597" s="46"/>
      <c r="VJV597" s="48"/>
      <c r="VJW597" s="53"/>
      <c r="VKD597" s="15"/>
      <c r="VKE597" s="50"/>
      <c r="VKF597" s="50"/>
      <c r="VKG597" s="46"/>
      <c r="VKH597" s="47"/>
      <c r="VKI597" s="46"/>
      <c r="VKJ597" s="48"/>
      <c r="VKK597" s="53"/>
      <c r="VKR597" s="15"/>
      <c r="VKS597" s="50"/>
      <c r="VKT597" s="50"/>
      <c r="VKU597" s="46"/>
      <c r="VKV597" s="47"/>
      <c r="VKW597" s="46"/>
      <c r="VKX597" s="48"/>
      <c r="VKY597" s="53"/>
      <c r="VLF597" s="15"/>
      <c r="VLG597" s="50"/>
      <c r="VLH597" s="50"/>
      <c r="VLI597" s="46"/>
      <c r="VLJ597" s="47"/>
      <c r="VLK597" s="46"/>
      <c r="VLL597" s="48"/>
      <c r="VLM597" s="53"/>
      <c r="VLT597" s="15"/>
      <c r="VLU597" s="50"/>
      <c r="VLV597" s="50"/>
      <c r="VLW597" s="46"/>
      <c r="VLX597" s="47"/>
      <c r="VLY597" s="46"/>
      <c r="VLZ597" s="48"/>
      <c r="VMA597" s="53"/>
      <c r="VMH597" s="15"/>
      <c r="VMI597" s="50"/>
      <c r="VMJ597" s="50"/>
      <c r="VMK597" s="46"/>
      <c r="VML597" s="47"/>
      <c r="VMM597" s="46"/>
      <c r="VMN597" s="48"/>
      <c r="VMO597" s="53"/>
      <c r="VMV597" s="15"/>
      <c r="VMW597" s="50"/>
      <c r="VMX597" s="50"/>
      <c r="VMY597" s="46"/>
      <c r="VMZ597" s="47"/>
      <c r="VNA597" s="46"/>
      <c r="VNB597" s="48"/>
      <c r="VNC597" s="53"/>
      <c r="VNJ597" s="15"/>
      <c r="VNK597" s="50"/>
      <c r="VNL597" s="50"/>
      <c r="VNM597" s="46"/>
      <c r="VNN597" s="47"/>
      <c r="VNO597" s="46"/>
      <c r="VNP597" s="48"/>
      <c r="VNQ597" s="53"/>
      <c r="VNX597" s="15"/>
      <c r="VNY597" s="50"/>
      <c r="VNZ597" s="50"/>
      <c r="VOA597" s="46"/>
      <c r="VOB597" s="47"/>
      <c r="VOC597" s="46"/>
      <c r="VOD597" s="48"/>
      <c r="VOE597" s="53"/>
      <c r="VOL597" s="15"/>
      <c r="VOM597" s="50"/>
      <c r="VON597" s="50"/>
      <c r="VOO597" s="46"/>
      <c r="VOP597" s="47"/>
      <c r="VOQ597" s="46"/>
      <c r="VOR597" s="48"/>
      <c r="VOS597" s="53"/>
      <c r="VOZ597" s="15"/>
      <c r="VPA597" s="50"/>
      <c r="VPB597" s="50"/>
      <c r="VPC597" s="46"/>
      <c r="VPD597" s="47"/>
      <c r="VPE597" s="46"/>
      <c r="VPF597" s="48"/>
      <c r="VPG597" s="53"/>
      <c r="VPN597" s="15"/>
      <c r="VPO597" s="50"/>
      <c r="VPP597" s="50"/>
      <c r="VPQ597" s="46"/>
      <c r="VPR597" s="47"/>
      <c r="VPS597" s="46"/>
      <c r="VPT597" s="48"/>
      <c r="VPU597" s="53"/>
      <c r="VQB597" s="15"/>
      <c r="VQC597" s="50"/>
      <c r="VQD597" s="50"/>
      <c r="VQE597" s="46"/>
      <c r="VQF597" s="47"/>
      <c r="VQG597" s="46"/>
      <c r="VQH597" s="48"/>
      <c r="VQI597" s="53"/>
      <c r="VQP597" s="15"/>
      <c r="VQQ597" s="50"/>
      <c r="VQR597" s="50"/>
      <c r="VQS597" s="46"/>
      <c r="VQT597" s="47"/>
      <c r="VQU597" s="46"/>
      <c r="VQV597" s="48"/>
      <c r="VQW597" s="53"/>
      <c r="VRD597" s="15"/>
      <c r="VRE597" s="50"/>
      <c r="VRF597" s="50"/>
      <c r="VRG597" s="46"/>
      <c r="VRH597" s="47"/>
      <c r="VRI597" s="46"/>
      <c r="VRJ597" s="48"/>
      <c r="VRK597" s="53"/>
      <c r="VRR597" s="15"/>
      <c r="VRS597" s="50"/>
      <c r="VRT597" s="50"/>
      <c r="VRU597" s="46"/>
      <c r="VRV597" s="47"/>
      <c r="VRW597" s="46"/>
      <c r="VRX597" s="48"/>
      <c r="VRY597" s="53"/>
      <c r="VSF597" s="15"/>
      <c r="VSG597" s="50"/>
      <c r="VSH597" s="50"/>
      <c r="VSI597" s="46"/>
      <c r="VSJ597" s="47"/>
      <c r="VSK597" s="46"/>
      <c r="VSL597" s="48"/>
      <c r="VSM597" s="53"/>
      <c r="VST597" s="15"/>
      <c r="VSU597" s="50"/>
      <c r="VSV597" s="50"/>
      <c r="VSW597" s="46"/>
      <c r="VSX597" s="47"/>
      <c r="VSY597" s="46"/>
      <c r="VSZ597" s="48"/>
      <c r="VTA597" s="53"/>
      <c r="VTH597" s="15"/>
      <c r="VTI597" s="50"/>
      <c r="VTJ597" s="50"/>
      <c r="VTK597" s="46"/>
      <c r="VTL597" s="47"/>
      <c r="VTM597" s="46"/>
      <c r="VTN597" s="48"/>
      <c r="VTO597" s="53"/>
      <c r="VTV597" s="15"/>
      <c r="VTW597" s="50"/>
      <c r="VTX597" s="50"/>
      <c r="VTY597" s="46"/>
      <c r="VTZ597" s="47"/>
      <c r="VUA597" s="46"/>
      <c r="VUB597" s="48"/>
      <c r="VUC597" s="53"/>
      <c r="VUJ597" s="15"/>
      <c r="VUK597" s="50"/>
      <c r="VUL597" s="50"/>
      <c r="VUM597" s="46"/>
      <c r="VUN597" s="47"/>
      <c r="VUO597" s="46"/>
      <c r="VUP597" s="48"/>
      <c r="VUQ597" s="53"/>
      <c r="VUX597" s="15"/>
      <c r="VUY597" s="50"/>
      <c r="VUZ597" s="50"/>
      <c r="VVA597" s="46"/>
      <c r="VVB597" s="47"/>
      <c r="VVC597" s="46"/>
      <c r="VVD597" s="48"/>
      <c r="VVE597" s="53"/>
      <c r="VVL597" s="15"/>
      <c r="VVM597" s="50"/>
      <c r="VVN597" s="50"/>
      <c r="VVO597" s="46"/>
      <c r="VVP597" s="47"/>
      <c r="VVQ597" s="46"/>
      <c r="VVR597" s="48"/>
      <c r="VVS597" s="53"/>
      <c r="VVZ597" s="15"/>
      <c r="VWA597" s="50"/>
      <c r="VWB597" s="50"/>
      <c r="VWC597" s="46"/>
      <c r="VWD597" s="47"/>
      <c r="VWE597" s="46"/>
      <c r="VWF597" s="48"/>
      <c r="VWG597" s="53"/>
      <c r="VWN597" s="15"/>
      <c r="VWO597" s="50"/>
      <c r="VWP597" s="50"/>
      <c r="VWQ597" s="46"/>
      <c r="VWR597" s="47"/>
      <c r="VWS597" s="46"/>
      <c r="VWT597" s="48"/>
      <c r="VWU597" s="53"/>
      <c r="VXB597" s="15"/>
      <c r="VXC597" s="50"/>
      <c r="VXD597" s="50"/>
      <c r="VXE597" s="46"/>
      <c r="VXF597" s="47"/>
      <c r="VXG597" s="46"/>
      <c r="VXH597" s="48"/>
      <c r="VXI597" s="53"/>
      <c r="VXP597" s="15"/>
      <c r="VXQ597" s="50"/>
      <c r="VXR597" s="50"/>
      <c r="VXS597" s="46"/>
      <c r="VXT597" s="47"/>
      <c r="VXU597" s="46"/>
      <c r="VXV597" s="48"/>
      <c r="VXW597" s="53"/>
      <c r="VYD597" s="15"/>
      <c r="VYE597" s="50"/>
      <c r="VYF597" s="50"/>
      <c r="VYG597" s="46"/>
      <c r="VYH597" s="47"/>
      <c r="VYI597" s="46"/>
      <c r="VYJ597" s="48"/>
      <c r="VYK597" s="53"/>
      <c r="VYR597" s="15"/>
      <c r="VYS597" s="50"/>
      <c r="VYT597" s="50"/>
      <c r="VYU597" s="46"/>
      <c r="VYV597" s="47"/>
      <c r="VYW597" s="46"/>
      <c r="VYX597" s="48"/>
      <c r="VYY597" s="53"/>
      <c r="VZF597" s="15"/>
      <c r="VZG597" s="50"/>
      <c r="VZH597" s="50"/>
      <c r="VZI597" s="46"/>
      <c r="VZJ597" s="47"/>
      <c r="VZK597" s="46"/>
      <c r="VZL597" s="48"/>
      <c r="VZM597" s="53"/>
      <c r="VZT597" s="15"/>
      <c r="VZU597" s="50"/>
      <c r="VZV597" s="50"/>
      <c r="VZW597" s="46"/>
      <c r="VZX597" s="47"/>
      <c r="VZY597" s="46"/>
      <c r="VZZ597" s="48"/>
      <c r="WAA597" s="53"/>
      <c r="WAH597" s="15"/>
      <c r="WAI597" s="50"/>
      <c r="WAJ597" s="50"/>
      <c r="WAK597" s="46"/>
      <c r="WAL597" s="47"/>
      <c r="WAM597" s="46"/>
      <c r="WAN597" s="48"/>
      <c r="WAO597" s="53"/>
      <c r="WAV597" s="15"/>
      <c r="WAW597" s="50"/>
      <c r="WAX597" s="50"/>
      <c r="WAY597" s="46"/>
      <c r="WAZ597" s="47"/>
      <c r="WBA597" s="46"/>
      <c r="WBB597" s="48"/>
      <c r="WBC597" s="53"/>
      <c r="WBJ597" s="15"/>
      <c r="WBK597" s="50"/>
      <c r="WBL597" s="50"/>
      <c r="WBM597" s="46"/>
      <c r="WBN597" s="47"/>
      <c r="WBO597" s="46"/>
      <c r="WBP597" s="48"/>
      <c r="WBQ597" s="53"/>
      <c r="WBX597" s="15"/>
      <c r="WBY597" s="50"/>
      <c r="WBZ597" s="50"/>
      <c r="WCA597" s="46"/>
      <c r="WCB597" s="47"/>
      <c r="WCC597" s="46"/>
      <c r="WCD597" s="48"/>
      <c r="WCE597" s="53"/>
      <c r="WCL597" s="15"/>
      <c r="WCM597" s="50"/>
      <c r="WCN597" s="50"/>
      <c r="WCO597" s="46"/>
      <c r="WCP597" s="47"/>
      <c r="WCQ597" s="46"/>
      <c r="WCR597" s="48"/>
      <c r="WCS597" s="53"/>
      <c r="WCZ597" s="15"/>
      <c r="WDA597" s="50"/>
      <c r="WDB597" s="50"/>
      <c r="WDC597" s="46"/>
      <c r="WDD597" s="47"/>
      <c r="WDE597" s="46"/>
      <c r="WDF597" s="48"/>
      <c r="WDG597" s="53"/>
      <c r="WDN597" s="15"/>
      <c r="WDO597" s="50"/>
      <c r="WDP597" s="50"/>
      <c r="WDQ597" s="46"/>
      <c r="WDR597" s="47"/>
      <c r="WDS597" s="46"/>
      <c r="WDT597" s="48"/>
      <c r="WDU597" s="53"/>
      <c r="WEB597" s="15"/>
      <c r="WEC597" s="50"/>
      <c r="WED597" s="50"/>
      <c r="WEE597" s="46"/>
      <c r="WEF597" s="47"/>
      <c r="WEG597" s="46"/>
      <c r="WEH597" s="48"/>
      <c r="WEI597" s="53"/>
      <c r="WEP597" s="15"/>
      <c r="WEQ597" s="50"/>
      <c r="WER597" s="50"/>
      <c r="WES597" s="46"/>
      <c r="WET597" s="47"/>
      <c r="WEU597" s="46"/>
      <c r="WEV597" s="48"/>
      <c r="WEW597" s="53"/>
      <c r="WFD597" s="15"/>
      <c r="WFE597" s="50"/>
      <c r="WFF597" s="50"/>
      <c r="WFG597" s="46"/>
      <c r="WFH597" s="47"/>
      <c r="WFI597" s="46"/>
      <c r="WFJ597" s="48"/>
      <c r="WFK597" s="53"/>
      <c r="WFR597" s="15"/>
      <c r="WFS597" s="50"/>
      <c r="WFT597" s="50"/>
      <c r="WFU597" s="46"/>
      <c r="WFV597" s="47"/>
      <c r="WFW597" s="46"/>
      <c r="WFX597" s="48"/>
      <c r="WFY597" s="53"/>
      <c r="WGF597" s="15"/>
      <c r="WGG597" s="50"/>
      <c r="WGH597" s="50"/>
      <c r="WGI597" s="46"/>
      <c r="WGJ597" s="47"/>
      <c r="WGK597" s="46"/>
      <c r="WGL597" s="48"/>
      <c r="WGM597" s="53"/>
      <c r="WGT597" s="15"/>
      <c r="WGU597" s="50"/>
      <c r="WGV597" s="50"/>
      <c r="WGW597" s="46"/>
      <c r="WGX597" s="47"/>
      <c r="WGY597" s="46"/>
      <c r="WGZ597" s="48"/>
      <c r="WHA597" s="53"/>
      <c r="WHH597" s="15"/>
      <c r="WHI597" s="50"/>
      <c r="WHJ597" s="50"/>
      <c r="WHK597" s="46"/>
      <c r="WHL597" s="47"/>
      <c r="WHM597" s="46"/>
      <c r="WHN597" s="48"/>
      <c r="WHO597" s="53"/>
      <c r="WHV597" s="15"/>
      <c r="WHW597" s="50"/>
      <c r="WHX597" s="50"/>
      <c r="WHY597" s="46"/>
      <c r="WHZ597" s="47"/>
      <c r="WIA597" s="46"/>
      <c r="WIB597" s="48"/>
      <c r="WIC597" s="53"/>
      <c r="WIJ597" s="15"/>
      <c r="WIK597" s="50"/>
      <c r="WIL597" s="50"/>
      <c r="WIM597" s="46"/>
      <c r="WIN597" s="47"/>
      <c r="WIO597" s="46"/>
      <c r="WIP597" s="48"/>
      <c r="WIQ597" s="53"/>
      <c r="WIX597" s="15"/>
      <c r="WIY597" s="50"/>
      <c r="WIZ597" s="50"/>
      <c r="WJA597" s="46"/>
      <c r="WJB597" s="47"/>
      <c r="WJC597" s="46"/>
      <c r="WJD597" s="48"/>
      <c r="WJE597" s="53"/>
      <c r="WJL597" s="15"/>
      <c r="WJM597" s="50"/>
      <c r="WJN597" s="50"/>
      <c r="WJO597" s="46"/>
      <c r="WJP597" s="47"/>
      <c r="WJQ597" s="46"/>
      <c r="WJR597" s="48"/>
      <c r="WJS597" s="53"/>
      <c r="WJZ597" s="15"/>
      <c r="WKA597" s="50"/>
      <c r="WKB597" s="50"/>
      <c r="WKC597" s="46"/>
      <c r="WKD597" s="47"/>
      <c r="WKE597" s="46"/>
      <c r="WKF597" s="48"/>
      <c r="WKG597" s="53"/>
      <c r="WKN597" s="15"/>
      <c r="WKO597" s="50"/>
      <c r="WKP597" s="50"/>
      <c r="WKQ597" s="46"/>
      <c r="WKR597" s="47"/>
      <c r="WKS597" s="46"/>
      <c r="WKT597" s="48"/>
      <c r="WKU597" s="53"/>
      <c r="WLB597" s="15"/>
      <c r="WLC597" s="50"/>
      <c r="WLD597" s="50"/>
      <c r="WLE597" s="46"/>
      <c r="WLF597" s="47"/>
      <c r="WLG597" s="46"/>
      <c r="WLH597" s="48"/>
      <c r="WLI597" s="53"/>
      <c r="WLP597" s="15"/>
      <c r="WLQ597" s="50"/>
      <c r="WLR597" s="50"/>
      <c r="WLS597" s="46"/>
      <c r="WLT597" s="47"/>
      <c r="WLU597" s="46"/>
      <c r="WLV597" s="48"/>
      <c r="WLW597" s="53"/>
      <c r="WMD597" s="15"/>
      <c r="WME597" s="50"/>
      <c r="WMF597" s="50"/>
      <c r="WMG597" s="46"/>
      <c r="WMH597" s="47"/>
      <c r="WMI597" s="46"/>
      <c r="WMJ597" s="48"/>
      <c r="WMK597" s="53"/>
      <c r="WMR597" s="15"/>
      <c r="WMS597" s="50"/>
      <c r="WMT597" s="50"/>
      <c r="WMU597" s="46"/>
      <c r="WMV597" s="47"/>
      <c r="WMW597" s="46"/>
      <c r="WMX597" s="48"/>
      <c r="WMY597" s="53"/>
      <c r="WNF597" s="15"/>
      <c r="WNG597" s="50"/>
      <c r="WNH597" s="50"/>
      <c r="WNI597" s="46"/>
      <c r="WNJ597" s="47"/>
      <c r="WNK597" s="46"/>
      <c r="WNL597" s="48"/>
      <c r="WNM597" s="53"/>
      <c r="WNT597" s="15"/>
      <c r="WNU597" s="50"/>
      <c r="WNV597" s="50"/>
      <c r="WNW597" s="46"/>
      <c r="WNX597" s="47"/>
      <c r="WNY597" s="46"/>
      <c r="WNZ597" s="48"/>
      <c r="WOA597" s="53"/>
      <c r="WOH597" s="15"/>
      <c r="WOI597" s="50"/>
      <c r="WOJ597" s="50"/>
      <c r="WOK597" s="46"/>
      <c r="WOL597" s="47"/>
      <c r="WOM597" s="46"/>
      <c r="WON597" s="48"/>
      <c r="WOO597" s="53"/>
      <c r="WOV597" s="15"/>
      <c r="WOW597" s="50"/>
      <c r="WOX597" s="50"/>
      <c r="WOY597" s="46"/>
      <c r="WOZ597" s="47"/>
      <c r="WPA597" s="46"/>
      <c r="WPB597" s="48"/>
      <c r="WPC597" s="53"/>
      <c r="WPJ597" s="15"/>
      <c r="WPK597" s="50"/>
      <c r="WPL597" s="50"/>
      <c r="WPM597" s="46"/>
      <c r="WPN597" s="47"/>
      <c r="WPO597" s="46"/>
      <c r="WPP597" s="48"/>
      <c r="WPQ597" s="53"/>
      <c r="WPX597" s="15"/>
      <c r="WPY597" s="50"/>
      <c r="WPZ597" s="50"/>
      <c r="WQA597" s="46"/>
      <c r="WQB597" s="47"/>
      <c r="WQC597" s="46"/>
      <c r="WQD597" s="48"/>
      <c r="WQE597" s="53"/>
      <c r="WQL597" s="15"/>
      <c r="WQM597" s="50"/>
      <c r="WQN597" s="50"/>
      <c r="WQO597" s="46"/>
      <c r="WQP597" s="47"/>
      <c r="WQQ597" s="46"/>
      <c r="WQR597" s="48"/>
      <c r="WQS597" s="53"/>
      <c r="WQZ597" s="15"/>
      <c r="WRA597" s="50"/>
      <c r="WRB597" s="50"/>
      <c r="WRC597" s="46"/>
      <c r="WRD597" s="47"/>
      <c r="WRE597" s="46"/>
      <c r="WRF597" s="48"/>
      <c r="WRG597" s="53"/>
      <c r="WRN597" s="15"/>
      <c r="WRO597" s="50"/>
      <c r="WRP597" s="50"/>
      <c r="WRQ597" s="46"/>
      <c r="WRR597" s="47"/>
      <c r="WRS597" s="46"/>
      <c r="WRT597" s="48"/>
      <c r="WRU597" s="53"/>
      <c r="WSB597" s="15"/>
      <c r="WSC597" s="50"/>
      <c r="WSD597" s="50"/>
      <c r="WSE597" s="46"/>
      <c r="WSF597" s="47"/>
      <c r="WSG597" s="46"/>
      <c r="WSH597" s="48"/>
      <c r="WSI597" s="53"/>
      <c r="WSP597" s="15"/>
      <c r="WSQ597" s="50"/>
      <c r="WSR597" s="50"/>
      <c r="WSS597" s="46"/>
      <c r="WST597" s="47"/>
      <c r="WSU597" s="46"/>
      <c r="WSV597" s="48"/>
      <c r="WSW597" s="53"/>
      <c r="WTD597" s="15"/>
      <c r="WTE597" s="50"/>
      <c r="WTF597" s="50"/>
      <c r="WTG597" s="46"/>
      <c r="WTH597" s="47"/>
      <c r="WTI597" s="46"/>
      <c r="WTJ597" s="48"/>
      <c r="WTK597" s="53"/>
      <c r="WTR597" s="15"/>
      <c r="WTS597" s="50"/>
      <c r="WTT597" s="50"/>
      <c r="WTU597" s="46"/>
      <c r="WTV597" s="47"/>
      <c r="WTW597" s="46"/>
      <c r="WTX597" s="48"/>
      <c r="WTY597" s="53"/>
      <c r="WUF597" s="15"/>
      <c r="WUG597" s="50"/>
      <c r="WUH597" s="50"/>
      <c r="WUI597" s="46"/>
      <c r="WUJ597" s="47"/>
      <c r="WUK597" s="46"/>
      <c r="WUL597" s="48"/>
      <c r="WUM597" s="53"/>
      <c r="WUT597" s="15"/>
      <c r="WUU597" s="50"/>
      <c r="WUV597" s="50"/>
      <c r="WUW597" s="46"/>
      <c r="WUX597" s="47"/>
      <c r="WUY597" s="46"/>
      <c r="WUZ597" s="48"/>
      <c r="WVA597" s="53"/>
      <c r="WVH597" s="15"/>
      <c r="WVI597" s="50"/>
      <c r="WVJ597" s="50"/>
      <c r="WVK597" s="46"/>
      <c r="WVL597" s="47"/>
      <c r="WVM597" s="46"/>
      <c r="WVN597" s="48"/>
      <c r="WVO597" s="53"/>
      <c r="WVV597" s="15"/>
      <c r="WVW597" s="50"/>
      <c r="WVX597" s="50"/>
      <c r="WVY597" s="46"/>
      <c r="WVZ597" s="47"/>
      <c r="WWA597" s="46"/>
      <c r="WWB597" s="48"/>
      <c r="WWC597" s="53"/>
      <c r="WWJ597" s="15"/>
      <c r="WWK597" s="50"/>
      <c r="WWL597" s="50"/>
      <c r="WWM597" s="46"/>
      <c r="WWN597" s="47"/>
      <c r="WWO597" s="46"/>
      <c r="WWP597" s="48"/>
      <c r="WWQ597" s="53"/>
      <c r="WWX597" s="15"/>
      <c r="WWY597" s="50"/>
      <c r="WWZ597" s="50"/>
      <c r="WXA597" s="46"/>
      <c r="WXB597" s="47"/>
      <c r="WXC597" s="46"/>
      <c r="WXD597" s="48"/>
      <c r="WXE597" s="53"/>
      <c r="WXL597" s="15"/>
      <c r="WXM597" s="50"/>
      <c r="WXN597" s="50"/>
      <c r="WXO597" s="46"/>
      <c r="WXP597" s="47"/>
      <c r="WXQ597" s="46"/>
      <c r="WXR597" s="48"/>
      <c r="WXS597" s="53"/>
      <c r="WXZ597" s="15"/>
      <c r="WYA597" s="50"/>
      <c r="WYB597" s="50"/>
      <c r="WYC597" s="46"/>
      <c r="WYD597" s="47"/>
      <c r="WYE597" s="46"/>
      <c r="WYF597" s="48"/>
      <c r="WYG597" s="53"/>
      <c r="WYN597" s="15"/>
      <c r="WYO597" s="50"/>
      <c r="WYP597" s="50"/>
      <c r="WYQ597" s="46"/>
      <c r="WYR597" s="47"/>
      <c r="WYS597" s="46"/>
      <c r="WYT597" s="48"/>
      <c r="WYU597" s="53"/>
      <c r="WZB597" s="15"/>
      <c r="WZC597" s="50"/>
      <c r="WZD597" s="50"/>
      <c r="WZE597" s="46"/>
      <c r="WZF597" s="47"/>
      <c r="WZG597" s="46"/>
      <c r="WZH597" s="48"/>
      <c r="WZI597" s="53"/>
      <c r="WZP597" s="15"/>
      <c r="WZQ597" s="50"/>
      <c r="WZR597" s="50"/>
      <c r="WZS597" s="46"/>
      <c r="WZT597" s="47"/>
      <c r="WZU597" s="46"/>
      <c r="WZV597" s="48"/>
      <c r="WZW597" s="53"/>
      <c r="XAD597" s="15"/>
      <c r="XAE597" s="50"/>
      <c r="XAF597" s="50"/>
      <c r="XAG597" s="46"/>
      <c r="XAH597" s="47"/>
      <c r="XAI597" s="46"/>
      <c r="XAJ597" s="48"/>
      <c r="XAK597" s="53"/>
      <c r="XAR597" s="15"/>
      <c r="XAS597" s="50"/>
      <c r="XAT597" s="50"/>
      <c r="XAU597" s="46"/>
      <c r="XAV597" s="47"/>
      <c r="XAW597" s="46"/>
      <c r="XAX597" s="48"/>
      <c r="XAY597" s="53"/>
      <c r="XBF597" s="15"/>
      <c r="XBG597" s="50"/>
      <c r="XBH597" s="50"/>
      <c r="XBI597" s="46"/>
      <c r="XBJ597" s="47"/>
      <c r="XBK597" s="46"/>
      <c r="XBL597" s="48"/>
      <c r="XBM597" s="53"/>
      <c r="XBT597" s="15"/>
      <c r="XBU597" s="50"/>
      <c r="XBV597" s="50"/>
      <c r="XBW597" s="46"/>
      <c r="XBX597" s="47"/>
      <c r="XBY597" s="46"/>
      <c r="XBZ597" s="48"/>
      <c r="XCA597" s="53"/>
      <c r="XCH597" s="15"/>
      <c r="XCI597" s="50"/>
      <c r="XCJ597" s="50"/>
      <c r="XCK597" s="46"/>
      <c r="XCL597" s="47"/>
      <c r="XCM597" s="46"/>
      <c r="XCN597" s="48"/>
      <c r="XCO597" s="53"/>
      <c r="XCV597" s="15"/>
      <c r="XCW597" s="50"/>
      <c r="XCX597" s="50"/>
      <c r="XCY597" s="46"/>
      <c r="XCZ597" s="47"/>
      <c r="XDA597" s="46"/>
      <c r="XDB597" s="48"/>
      <c r="XDC597" s="53"/>
      <c r="XDJ597" s="15"/>
      <c r="XDK597" s="50"/>
      <c r="XDL597" s="50"/>
      <c r="XDM597" s="46"/>
      <c r="XDN597" s="47"/>
      <c r="XDO597" s="46"/>
      <c r="XDP597" s="48"/>
      <c r="XDQ597" s="53"/>
      <c r="XDX597" s="15"/>
      <c r="XDY597" s="50"/>
      <c r="XDZ597" s="50"/>
      <c r="XEA597" s="46"/>
      <c r="XEB597" s="47"/>
      <c r="XEC597" s="46"/>
      <c r="XED597" s="48"/>
      <c r="XEE597" s="53"/>
      <c r="XEL597" s="15"/>
      <c r="XEM597" s="50"/>
      <c r="XEN597" s="50"/>
      <c r="XEO597" s="46"/>
      <c r="XEP597" s="47"/>
      <c r="XEQ597" s="46"/>
      <c r="XER597" s="48"/>
      <c r="XES597" s="53"/>
      <c r="XEZ597" s="15"/>
      <c r="XFA597" s="50"/>
      <c r="XFB597" s="50"/>
      <c r="XFC597" s="46"/>
    </row>
    <row r="598" spans="1:4095 4102:5117 5124:6139 6146:11263 11270:12285 12292:13307 13314:16383" ht="16.2" x14ac:dyDescent="0.4">
      <c r="A598" s="15" t="str">
        <f t="shared" si="9"/>
        <v>modesg_inp_emss_nacetipo_atividade</v>
      </c>
      <c r="B598" s="54" t="s">
        <v>27</v>
      </c>
      <c r="C598" s="50" t="s">
        <v>29</v>
      </c>
      <c r="D598" s="46" t="s">
        <v>431</v>
      </c>
      <c r="E598" s="47" t="s">
        <v>42</v>
      </c>
      <c r="F598" s="46" t="s">
        <v>488</v>
      </c>
      <c r="G598" s="48" t="s">
        <v>426</v>
      </c>
      <c r="H598" s="48" t="s">
        <v>426</v>
      </c>
      <c r="I598" s="56" t="s">
        <v>482</v>
      </c>
      <c r="J598" s="68" t="s">
        <v>514</v>
      </c>
      <c r="K598" s="68" t="s">
        <v>514</v>
      </c>
      <c r="L598" s="68"/>
      <c r="N598" s="15"/>
      <c r="O598" s="50"/>
      <c r="P598" s="50"/>
      <c r="Q598" s="46"/>
      <c r="R598" s="47"/>
      <c r="S598" s="46"/>
      <c r="T598" s="48"/>
      <c r="U598" s="53"/>
      <c r="AB598" s="15"/>
      <c r="AC598" s="50"/>
      <c r="AD598" s="50"/>
      <c r="AE598" s="46"/>
      <c r="AF598" s="47"/>
      <c r="AG598" s="46"/>
      <c r="AH598" s="48"/>
      <c r="AI598" s="53"/>
      <c r="AP598" s="15"/>
      <c r="AQ598" s="50"/>
      <c r="AR598" s="50"/>
      <c r="AS598" s="46"/>
      <c r="AT598" s="47"/>
      <c r="AU598" s="46"/>
      <c r="AV598" s="48"/>
      <c r="AW598" s="53"/>
      <c r="BD598" s="15"/>
      <c r="BE598" s="50"/>
      <c r="BF598" s="50"/>
      <c r="BG598" s="46"/>
      <c r="BH598" s="47"/>
      <c r="BI598" s="46"/>
      <c r="BJ598" s="48"/>
      <c r="BK598" s="53"/>
      <c r="BR598" s="15"/>
      <c r="BS598" s="50"/>
      <c r="BT598" s="50"/>
      <c r="BU598" s="46"/>
      <c r="BV598" s="47"/>
      <c r="BW598" s="46"/>
      <c r="BX598" s="48"/>
      <c r="BY598" s="53"/>
      <c r="CF598" s="15"/>
      <c r="CG598" s="50"/>
      <c r="CH598" s="50"/>
      <c r="CI598" s="46"/>
      <c r="CJ598" s="47"/>
      <c r="CK598" s="46"/>
      <c r="CL598" s="48"/>
      <c r="CM598" s="53"/>
      <c r="CT598" s="15"/>
      <c r="CU598" s="50"/>
      <c r="CV598" s="50"/>
      <c r="CW598" s="46"/>
      <c r="CX598" s="47"/>
      <c r="CY598" s="46"/>
      <c r="CZ598" s="48"/>
      <c r="DA598" s="53"/>
      <c r="DH598" s="15"/>
      <c r="DI598" s="50"/>
      <c r="DJ598" s="50"/>
      <c r="DK598" s="46"/>
      <c r="DL598" s="47"/>
      <c r="DM598" s="46"/>
      <c r="DN598" s="48"/>
      <c r="DO598" s="53"/>
      <c r="DV598" s="15"/>
      <c r="DW598" s="50"/>
      <c r="DX598" s="50"/>
      <c r="DY598" s="46"/>
      <c r="DZ598" s="47"/>
      <c r="EA598" s="46"/>
      <c r="EB598" s="48"/>
      <c r="EC598" s="53"/>
      <c r="EJ598" s="15"/>
      <c r="EK598" s="50"/>
      <c r="EL598" s="50"/>
      <c r="EM598" s="46"/>
      <c r="EN598" s="47"/>
      <c r="EO598" s="46"/>
      <c r="EP598" s="48"/>
      <c r="EQ598" s="53"/>
      <c r="EX598" s="15"/>
      <c r="EY598" s="50"/>
      <c r="EZ598" s="50"/>
      <c r="FA598" s="46"/>
      <c r="FB598" s="47"/>
      <c r="FC598" s="46"/>
      <c r="FD598" s="48"/>
      <c r="FE598" s="53"/>
      <c r="FL598" s="15"/>
      <c r="FM598" s="50"/>
      <c r="FN598" s="50"/>
      <c r="FO598" s="46"/>
      <c r="FP598" s="47"/>
      <c r="FQ598" s="46"/>
      <c r="FR598" s="48"/>
      <c r="FS598" s="53"/>
      <c r="FZ598" s="15"/>
      <c r="GA598" s="50"/>
      <c r="GB598" s="50"/>
      <c r="GC598" s="46"/>
      <c r="GD598" s="47"/>
      <c r="GE598" s="46"/>
      <c r="GF598" s="48"/>
      <c r="GG598" s="53"/>
      <c r="GN598" s="15"/>
      <c r="GO598" s="50"/>
      <c r="GP598" s="50"/>
      <c r="GQ598" s="46"/>
      <c r="GR598" s="47"/>
      <c r="GS598" s="46"/>
      <c r="GT598" s="48"/>
      <c r="GU598" s="53"/>
      <c r="HB598" s="15"/>
      <c r="HC598" s="50"/>
      <c r="HD598" s="50"/>
      <c r="HE598" s="46"/>
      <c r="HF598" s="47"/>
      <c r="HG598" s="46"/>
      <c r="HH598" s="48"/>
      <c r="HI598" s="53"/>
      <c r="HP598" s="15"/>
      <c r="HQ598" s="50"/>
      <c r="HR598" s="50"/>
      <c r="HS598" s="46"/>
      <c r="HT598" s="47"/>
      <c r="HU598" s="46"/>
      <c r="HV598" s="48"/>
      <c r="HW598" s="53"/>
      <c r="ID598" s="15"/>
      <c r="IE598" s="50"/>
      <c r="IF598" s="50"/>
      <c r="IG598" s="46"/>
      <c r="IH598" s="47"/>
      <c r="II598" s="46"/>
      <c r="IJ598" s="48"/>
      <c r="IK598" s="53"/>
      <c r="IR598" s="15"/>
      <c r="IS598" s="50"/>
      <c r="IT598" s="50"/>
      <c r="IU598" s="46"/>
      <c r="IV598" s="47"/>
      <c r="IW598" s="46"/>
      <c r="IX598" s="48"/>
      <c r="IY598" s="53"/>
      <c r="JF598" s="15"/>
      <c r="JG598" s="50"/>
      <c r="JH598" s="50"/>
      <c r="JI598" s="46"/>
      <c r="JJ598" s="47"/>
      <c r="JK598" s="46"/>
      <c r="JL598" s="48"/>
      <c r="JM598" s="53"/>
      <c r="JT598" s="15"/>
      <c r="JU598" s="50"/>
      <c r="JV598" s="50"/>
      <c r="JW598" s="46"/>
      <c r="JX598" s="47"/>
      <c r="JY598" s="46"/>
      <c r="JZ598" s="48"/>
      <c r="KA598" s="53"/>
      <c r="KH598" s="15"/>
      <c r="KI598" s="50"/>
      <c r="KJ598" s="50"/>
      <c r="KK598" s="46"/>
      <c r="KL598" s="47"/>
      <c r="KM598" s="46"/>
      <c r="KN598" s="48"/>
      <c r="KO598" s="53"/>
      <c r="KV598" s="15"/>
      <c r="KW598" s="50"/>
      <c r="KX598" s="50"/>
      <c r="KY598" s="46"/>
      <c r="KZ598" s="47"/>
      <c r="LA598" s="46"/>
      <c r="LB598" s="48"/>
      <c r="LC598" s="53"/>
      <c r="LJ598" s="15"/>
      <c r="LK598" s="50"/>
      <c r="LL598" s="50"/>
      <c r="LM598" s="46"/>
      <c r="LN598" s="47"/>
      <c r="LO598" s="46"/>
      <c r="LP598" s="48"/>
      <c r="LQ598" s="53"/>
      <c r="LX598" s="15"/>
      <c r="LY598" s="50"/>
      <c r="LZ598" s="50"/>
      <c r="MA598" s="46"/>
      <c r="MB598" s="47"/>
      <c r="MC598" s="46"/>
      <c r="MD598" s="48"/>
      <c r="ME598" s="53"/>
      <c r="ML598" s="15"/>
      <c r="MM598" s="50"/>
      <c r="MN598" s="50"/>
      <c r="MO598" s="46"/>
      <c r="MP598" s="47"/>
      <c r="MQ598" s="46"/>
      <c r="MR598" s="48"/>
      <c r="MS598" s="53"/>
      <c r="MZ598" s="15"/>
      <c r="NA598" s="50"/>
      <c r="NB598" s="50"/>
      <c r="NC598" s="46"/>
      <c r="ND598" s="47"/>
      <c r="NE598" s="46"/>
      <c r="NF598" s="48"/>
      <c r="NG598" s="53"/>
      <c r="NN598" s="15"/>
      <c r="NO598" s="50"/>
      <c r="NP598" s="50"/>
      <c r="NQ598" s="46"/>
      <c r="NR598" s="47"/>
      <c r="NS598" s="46"/>
      <c r="NT598" s="48"/>
      <c r="NU598" s="53"/>
      <c r="OB598" s="15"/>
      <c r="OC598" s="50"/>
      <c r="OD598" s="50"/>
      <c r="OE598" s="46"/>
      <c r="OF598" s="47"/>
      <c r="OG598" s="46"/>
      <c r="OH598" s="48"/>
      <c r="OI598" s="53"/>
      <c r="OP598" s="15"/>
      <c r="OQ598" s="50"/>
      <c r="OR598" s="50"/>
      <c r="OS598" s="46"/>
      <c r="OT598" s="47"/>
      <c r="OU598" s="46"/>
      <c r="OV598" s="48"/>
      <c r="OW598" s="53"/>
      <c r="PD598" s="15"/>
      <c r="PE598" s="50"/>
      <c r="PF598" s="50"/>
      <c r="PG598" s="46"/>
      <c r="PH598" s="47"/>
      <c r="PI598" s="46"/>
      <c r="PJ598" s="48"/>
      <c r="PK598" s="53"/>
      <c r="PR598" s="15"/>
      <c r="PS598" s="50"/>
      <c r="PT598" s="50"/>
      <c r="PU598" s="46"/>
      <c r="PV598" s="47"/>
      <c r="PW598" s="46"/>
      <c r="PX598" s="48"/>
      <c r="PY598" s="53"/>
      <c r="QF598" s="15"/>
      <c r="QG598" s="50"/>
      <c r="QH598" s="50"/>
      <c r="QI598" s="46"/>
      <c r="QJ598" s="47"/>
      <c r="QK598" s="46"/>
      <c r="QL598" s="48"/>
      <c r="QM598" s="53"/>
      <c r="QT598" s="15"/>
      <c r="QU598" s="50"/>
      <c r="QV598" s="50"/>
      <c r="QW598" s="46"/>
      <c r="QX598" s="47"/>
      <c r="QY598" s="46"/>
      <c r="QZ598" s="48"/>
      <c r="RA598" s="53"/>
      <c r="RH598" s="15"/>
      <c r="RI598" s="50"/>
      <c r="RJ598" s="50"/>
      <c r="RK598" s="46"/>
      <c r="RL598" s="47"/>
      <c r="RM598" s="46"/>
      <c r="RN598" s="48"/>
      <c r="RO598" s="53"/>
      <c r="RV598" s="15"/>
      <c r="RW598" s="50"/>
      <c r="RX598" s="50"/>
      <c r="RY598" s="46"/>
      <c r="RZ598" s="47"/>
      <c r="SA598" s="46"/>
      <c r="SB598" s="48"/>
      <c r="SC598" s="53"/>
      <c r="SJ598" s="15"/>
      <c r="SK598" s="50"/>
      <c r="SL598" s="50"/>
      <c r="SM598" s="46"/>
      <c r="SN598" s="47"/>
      <c r="SO598" s="46"/>
      <c r="SP598" s="48"/>
      <c r="SQ598" s="53"/>
      <c r="SX598" s="15"/>
      <c r="SY598" s="50"/>
      <c r="SZ598" s="50"/>
      <c r="TA598" s="46"/>
      <c r="TB598" s="47"/>
      <c r="TC598" s="46"/>
      <c r="TD598" s="48"/>
      <c r="TE598" s="53"/>
      <c r="TL598" s="15"/>
      <c r="TM598" s="50"/>
      <c r="TN598" s="50"/>
      <c r="TO598" s="46"/>
      <c r="TP598" s="47"/>
      <c r="TQ598" s="46"/>
      <c r="TR598" s="48"/>
      <c r="TS598" s="53"/>
      <c r="TZ598" s="15"/>
      <c r="UA598" s="50"/>
      <c r="UB598" s="50"/>
      <c r="UC598" s="46"/>
      <c r="UD598" s="47"/>
      <c r="UE598" s="46"/>
      <c r="UF598" s="48"/>
      <c r="UG598" s="53"/>
      <c r="UN598" s="15"/>
      <c r="UO598" s="50"/>
      <c r="UP598" s="50"/>
      <c r="UQ598" s="46"/>
      <c r="UR598" s="47"/>
      <c r="US598" s="46"/>
      <c r="UT598" s="48"/>
      <c r="UU598" s="53"/>
      <c r="VB598" s="15"/>
      <c r="VC598" s="50"/>
      <c r="VD598" s="50"/>
      <c r="VE598" s="46"/>
      <c r="VF598" s="47"/>
      <c r="VG598" s="46"/>
      <c r="VH598" s="48"/>
      <c r="VI598" s="53"/>
      <c r="VP598" s="15"/>
      <c r="VQ598" s="50"/>
      <c r="VR598" s="50"/>
      <c r="VS598" s="46"/>
      <c r="VT598" s="47"/>
      <c r="VU598" s="46"/>
      <c r="VV598" s="48"/>
      <c r="VW598" s="53"/>
      <c r="WD598" s="15"/>
      <c r="WE598" s="50"/>
      <c r="WF598" s="50"/>
      <c r="WG598" s="46"/>
      <c r="WH598" s="47"/>
      <c r="WI598" s="46"/>
      <c r="WJ598" s="48"/>
      <c r="WK598" s="53"/>
      <c r="WR598" s="15"/>
      <c r="WS598" s="50"/>
      <c r="WT598" s="50"/>
      <c r="WU598" s="46"/>
      <c r="WV598" s="47"/>
      <c r="WW598" s="46"/>
      <c r="WX598" s="48"/>
      <c r="WY598" s="53"/>
      <c r="XF598" s="15"/>
      <c r="XG598" s="50"/>
      <c r="XH598" s="50"/>
      <c r="XI598" s="46"/>
      <c r="XJ598" s="47"/>
      <c r="XK598" s="46"/>
      <c r="XL598" s="48"/>
      <c r="XM598" s="53"/>
      <c r="XT598" s="15"/>
      <c r="XU598" s="50"/>
      <c r="XV598" s="50"/>
      <c r="XW598" s="46"/>
      <c r="XX598" s="47"/>
      <c r="XY598" s="46"/>
      <c r="XZ598" s="48"/>
      <c r="YA598" s="53"/>
      <c r="YH598" s="15"/>
      <c r="YI598" s="50"/>
      <c r="YJ598" s="50"/>
      <c r="YK598" s="46"/>
      <c r="YL598" s="47"/>
      <c r="YM598" s="46"/>
      <c r="YN598" s="48"/>
      <c r="YO598" s="53"/>
      <c r="YV598" s="15"/>
      <c r="YW598" s="50"/>
      <c r="YX598" s="50"/>
      <c r="YY598" s="46"/>
      <c r="YZ598" s="47"/>
      <c r="ZA598" s="46"/>
      <c r="ZB598" s="48"/>
      <c r="ZC598" s="53"/>
      <c r="ZJ598" s="15"/>
      <c r="ZK598" s="50"/>
      <c r="ZL598" s="50"/>
      <c r="ZM598" s="46"/>
      <c r="ZN598" s="47"/>
      <c r="ZO598" s="46"/>
      <c r="ZP598" s="48"/>
      <c r="ZQ598" s="53"/>
      <c r="ZX598" s="15"/>
      <c r="ZY598" s="50"/>
      <c r="ZZ598" s="50"/>
      <c r="AAA598" s="46"/>
      <c r="AAB598" s="47"/>
      <c r="AAC598" s="46"/>
      <c r="AAD598" s="48"/>
      <c r="AAE598" s="53"/>
      <c r="AAL598" s="15"/>
      <c r="AAM598" s="50"/>
      <c r="AAN598" s="50"/>
      <c r="AAO598" s="46"/>
      <c r="AAP598" s="47"/>
      <c r="AAQ598" s="46"/>
      <c r="AAR598" s="48"/>
      <c r="AAS598" s="53"/>
      <c r="AAZ598" s="15"/>
      <c r="ABA598" s="50"/>
      <c r="ABB598" s="50"/>
      <c r="ABC598" s="46"/>
      <c r="ABD598" s="47"/>
      <c r="ABE598" s="46"/>
      <c r="ABF598" s="48"/>
      <c r="ABG598" s="53"/>
      <c r="ABN598" s="15"/>
      <c r="ABO598" s="50"/>
      <c r="ABP598" s="50"/>
      <c r="ABQ598" s="46"/>
      <c r="ABR598" s="47"/>
      <c r="ABS598" s="46"/>
      <c r="ABT598" s="48"/>
      <c r="ABU598" s="53"/>
      <c r="ACB598" s="15"/>
      <c r="ACC598" s="50"/>
      <c r="ACD598" s="50"/>
      <c r="ACE598" s="46"/>
      <c r="ACF598" s="47"/>
      <c r="ACG598" s="46"/>
      <c r="ACH598" s="48"/>
      <c r="ACI598" s="53"/>
      <c r="ACP598" s="15"/>
      <c r="ACQ598" s="50"/>
      <c r="ACR598" s="50"/>
      <c r="ACS598" s="46"/>
      <c r="ACT598" s="47"/>
      <c r="ACU598" s="46"/>
      <c r="ACV598" s="48"/>
      <c r="ACW598" s="53"/>
      <c r="ADD598" s="15"/>
      <c r="ADE598" s="50"/>
      <c r="ADF598" s="50"/>
      <c r="ADG598" s="46"/>
      <c r="ADH598" s="47"/>
      <c r="ADI598" s="46"/>
      <c r="ADJ598" s="48"/>
      <c r="ADK598" s="53"/>
      <c r="ADR598" s="15"/>
      <c r="ADS598" s="50"/>
      <c r="ADT598" s="50"/>
      <c r="ADU598" s="46"/>
      <c r="ADV598" s="47"/>
      <c r="ADW598" s="46"/>
      <c r="ADX598" s="48"/>
      <c r="ADY598" s="53"/>
      <c r="AEF598" s="15"/>
      <c r="AEG598" s="50"/>
      <c r="AEH598" s="50"/>
      <c r="AEI598" s="46"/>
      <c r="AEJ598" s="47"/>
      <c r="AEK598" s="46"/>
      <c r="AEL598" s="48"/>
      <c r="AEM598" s="53"/>
      <c r="AET598" s="15"/>
      <c r="AEU598" s="50"/>
      <c r="AEV598" s="50"/>
      <c r="AEW598" s="46"/>
      <c r="AEX598" s="47"/>
      <c r="AEY598" s="46"/>
      <c r="AEZ598" s="48"/>
      <c r="AFA598" s="53"/>
      <c r="AFH598" s="15"/>
      <c r="AFI598" s="50"/>
      <c r="AFJ598" s="50"/>
      <c r="AFK598" s="46"/>
      <c r="AFL598" s="47"/>
      <c r="AFM598" s="46"/>
      <c r="AFN598" s="48"/>
      <c r="AFO598" s="53"/>
      <c r="AFV598" s="15"/>
      <c r="AFW598" s="50"/>
      <c r="AFX598" s="50"/>
      <c r="AFY598" s="46"/>
      <c r="AFZ598" s="47"/>
      <c r="AGA598" s="46"/>
      <c r="AGB598" s="48"/>
      <c r="AGC598" s="53"/>
      <c r="AGJ598" s="15"/>
      <c r="AGK598" s="50"/>
      <c r="AGL598" s="50"/>
      <c r="AGM598" s="46"/>
      <c r="AGN598" s="47"/>
      <c r="AGO598" s="46"/>
      <c r="AGP598" s="48"/>
      <c r="AGQ598" s="53"/>
      <c r="AGX598" s="15"/>
      <c r="AGY598" s="50"/>
      <c r="AGZ598" s="50"/>
      <c r="AHA598" s="46"/>
      <c r="AHB598" s="47"/>
      <c r="AHC598" s="46"/>
      <c r="AHD598" s="48"/>
      <c r="AHE598" s="53"/>
      <c r="AHL598" s="15"/>
      <c r="AHM598" s="50"/>
      <c r="AHN598" s="50"/>
      <c r="AHO598" s="46"/>
      <c r="AHP598" s="47"/>
      <c r="AHQ598" s="46"/>
      <c r="AHR598" s="48"/>
      <c r="AHS598" s="53"/>
      <c r="AHZ598" s="15"/>
      <c r="AIA598" s="50"/>
      <c r="AIB598" s="50"/>
      <c r="AIC598" s="46"/>
      <c r="AID598" s="47"/>
      <c r="AIE598" s="46"/>
      <c r="AIF598" s="48"/>
      <c r="AIG598" s="53"/>
      <c r="AIN598" s="15"/>
      <c r="AIO598" s="50"/>
      <c r="AIP598" s="50"/>
      <c r="AIQ598" s="46"/>
      <c r="AIR598" s="47"/>
      <c r="AIS598" s="46"/>
      <c r="AIT598" s="48"/>
      <c r="AIU598" s="53"/>
      <c r="AJB598" s="15"/>
      <c r="AJC598" s="50"/>
      <c r="AJD598" s="50"/>
      <c r="AJE598" s="46"/>
      <c r="AJF598" s="47"/>
      <c r="AJG598" s="46"/>
      <c r="AJH598" s="48"/>
      <c r="AJI598" s="53"/>
      <c r="AJP598" s="15"/>
      <c r="AJQ598" s="50"/>
      <c r="AJR598" s="50"/>
      <c r="AJS598" s="46"/>
      <c r="AJT598" s="47"/>
      <c r="AJU598" s="46"/>
      <c r="AJV598" s="48"/>
      <c r="AJW598" s="53"/>
      <c r="AKD598" s="15"/>
      <c r="AKE598" s="50"/>
      <c r="AKF598" s="50"/>
      <c r="AKG598" s="46"/>
      <c r="AKH598" s="47"/>
      <c r="AKI598" s="46"/>
      <c r="AKJ598" s="48"/>
      <c r="AKK598" s="53"/>
      <c r="AKR598" s="15"/>
      <c r="AKS598" s="50"/>
      <c r="AKT598" s="50"/>
      <c r="AKU598" s="46"/>
      <c r="AKV598" s="47"/>
      <c r="AKW598" s="46"/>
      <c r="AKX598" s="48"/>
      <c r="AKY598" s="53"/>
      <c r="ALF598" s="15"/>
      <c r="ALG598" s="50"/>
      <c r="ALH598" s="50"/>
      <c r="ALI598" s="46"/>
      <c r="ALJ598" s="47"/>
      <c r="ALK598" s="46"/>
      <c r="ALL598" s="48"/>
      <c r="ALM598" s="53"/>
      <c r="ALT598" s="15"/>
      <c r="ALU598" s="50"/>
      <c r="ALV598" s="50"/>
      <c r="ALW598" s="46"/>
      <c r="ALX598" s="47"/>
      <c r="ALY598" s="46"/>
      <c r="ALZ598" s="48"/>
      <c r="AMA598" s="53"/>
      <c r="AMH598" s="15"/>
      <c r="AMI598" s="50"/>
      <c r="AMJ598" s="50"/>
      <c r="AMK598" s="46"/>
      <c r="AML598" s="47"/>
      <c r="AMM598" s="46"/>
      <c r="AMN598" s="48"/>
      <c r="AMO598" s="53"/>
      <c r="AMV598" s="15"/>
      <c r="AMW598" s="50"/>
      <c r="AMX598" s="50"/>
      <c r="AMY598" s="46"/>
      <c r="AMZ598" s="47"/>
      <c r="ANA598" s="46"/>
      <c r="ANB598" s="48"/>
      <c r="ANC598" s="53"/>
      <c r="ANJ598" s="15"/>
      <c r="ANK598" s="50"/>
      <c r="ANL598" s="50"/>
      <c r="ANM598" s="46"/>
      <c r="ANN598" s="47"/>
      <c r="ANO598" s="46"/>
      <c r="ANP598" s="48"/>
      <c r="ANQ598" s="53"/>
      <c r="ANX598" s="15"/>
      <c r="ANY598" s="50"/>
      <c r="ANZ598" s="50"/>
      <c r="AOA598" s="46"/>
      <c r="AOB598" s="47"/>
      <c r="AOC598" s="46"/>
      <c r="AOD598" s="48"/>
      <c r="AOE598" s="53"/>
      <c r="AOL598" s="15"/>
      <c r="AOM598" s="50"/>
      <c r="AON598" s="50"/>
      <c r="AOO598" s="46"/>
      <c r="AOP598" s="47"/>
      <c r="AOQ598" s="46"/>
      <c r="AOR598" s="48"/>
      <c r="AOS598" s="53"/>
      <c r="AOZ598" s="15"/>
      <c r="APA598" s="50"/>
      <c r="APB598" s="50"/>
      <c r="APC598" s="46"/>
      <c r="APD598" s="47"/>
      <c r="APE598" s="46"/>
      <c r="APF598" s="48"/>
      <c r="APG598" s="53"/>
      <c r="APN598" s="15"/>
      <c r="APO598" s="50"/>
      <c r="APP598" s="50"/>
      <c r="APQ598" s="46"/>
      <c r="APR598" s="47"/>
      <c r="APS598" s="46"/>
      <c r="APT598" s="48"/>
      <c r="APU598" s="53"/>
      <c r="AQB598" s="15"/>
      <c r="AQC598" s="50"/>
      <c r="AQD598" s="50"/>
      <c r="AQE598" s="46"/>
      <c r="AQF598" s="47"/>
      <c r="AQG598" s="46"/>
      <c r="AQH598" s="48"/>
      <c r="AQI598" s="53"/>
      <c r="AQP598" s="15"/>
      <c r="AQQ598" s="50"/>
      <c r="AQR598" s="50"/>
      <c r="AQS598" s="46"/>
      <c r="AQT598" s="47"/>
      <c r="AQU598" s="46"/>
      <c r="AQV598" s="48"/>
      <c r="AQW598" s="53"/>
      <c r="ARD598" s="15"/>
      <c r="ARE598" s="50"/>
      <c r="ARF598" s="50"/>
      <c r="ARG598" s="46"/>
      <c r="ARH598" s="47"/>
      <c r="ARI598" s="46"/>
      <c r="ARJ598" s="48"/>
      <c r="ARK598" s="53"/>
      <c r="ARR598" s="15"/>
      <c r="ARS598" s="50"/>
      <c r="ART598" s="50"/>
      <c r="ARU598" s="46"/>
      <c r="ARV598" s="47"/>
      <c r="ARW598" s="46"/>
      <c r="ARX598" s="48"/>
      <c r="ARY598" s="53"/>
      <c r="ASF598" s="15"/>
      <c r="ASG598" s="50"/>
      <c r="ASH598" s="50"/>
      <c r="ASI598" s="46"/>
      <c r="ASJ598" s="47"/>
      <c r="ASK598" s="46"/>
      <c r="ASL598" s="48"/>
      <c r="ASM598" s="53"/>
      <c r="AST598" s="15"/>
      <c r="ASU598" s="50"/>
      <c r="ASV598" s="50"/>
      <c r="ASW598" s="46"/>
      <c r="ASX598" s="47"/>
      <c r="ASY598" s="46"/>
      <c r="ASZ598" s="48"/>
      <c r="ATA598" s="53"/>
      <c r="ATH598" s="15"/>
      <c r="ATI598" s="50"/>
      <c r="ATJ598" s="50"/>
      <c r="ATK598" s="46"/>
      <c r="ATL598" s="47"/>
      <c r="ATM598" s="46"/>
      <c r="ATN598" s="48"/>
      <c r="ATO598" s="53"/>
      <c r="ATV598" s="15"/>
      <c r="ATW598" s="50"/>
      <c r="ATX598" s="50"/>
      <c r="ATY598" s="46"/>
      <c r="ATZ598" s="47"/>
      <c r="AUA598" s="46"/>
      <c r="AUB598" s="48"/>
      <c r="AUC598" s="53"/>
      <c r="AUJ598" s="15"/>
      <c r="AUK598" s="50"/>
      <c r="AUL598" s="50"/>
      <c r="AUM598" s="46"/>
      <c r="AUN598" s="47"/>
      <c r="AUO598" s="46"/>
      <c r="AUP598" s="48"/>
      <c r="AUQ598" s="53"/>
      <c r="AUX598" s="15"/>
      <c r="AUY598" s="50"/>
      <c r="AUZ598" s="50"/>
      <c r="AVA598" s="46"/>
      <c r="AVB598" s="47"/>
      <c r="AVC598" s="46"/>
      <c r="AVD598" s="48"/>
      <c r="AVE598" s="53"/>
      <c r="AVL598" s="15"/>
      <c r="AVM598" s="50"/>
      <c r="AVN598" s="50"/>
      <c r="AVO598" s="46"/>
      <c r="AVP598" s="47"/>
      <c r="AVQ598" s="46"/>
      <c r="AVR598" s="48"/>
      <c r="AVS598" s="53"/>
      <c r="AVZ598" s="15"/>
      <c r="AWA598" s="50"/>
      <c r="AWB598" s="50"/>
      <c r="AWC598" s="46"/>
      <c r="AWD598" s="47"/>
      <c r="AWE598" s="46"/>
      <c r="AWF598" s="48"/>
      <c r="AWG598" s="53"/>
      <c r="AWN598" s="15"/>
      <c r="AWO598" s="50"/>
      <c r="AWP598" s="50"/>
      <c r="AWQ598" s="46"/>
      <c r="AWR598" s="47"/>
      <c r="AWS598" s="46"/>
      <c r="AWT598" s="48"/>
      <c r="AWU598" s="53"/>
      <c r="AXB598" s="15"/>
      <c r="AXC598" s="50"/>
      <c r="AXD598" s="50"/>
      <c r="AXE598" s="46"/>
      <c r="AXF598" s="47"/>
      <c r="AXG598" s="46"/>
      <c r="AXH598" s="48"/>
      <c r="AXI598" s="53"/>
      <c r="AXP598" s="15"/>
      <c r="AXQ598" s="50"/>
      <c r="AXR598" s="50"/>
      <c r="AXS598" s="46"/>
      <c r="AXT598" s="47"/>
      <c r="AXU598" s="46"/>
      <c r="AXV598" s="48"/>
      <c r="AXW598" s="53"/>
      <c r="AYD598" s="15"/>
      <c r="AYE598" s="50"/>
      <c r="AYF598" s="50"/>
      <c r="AYG598" s="46"/>
      <c r="AYH598" s="47"/>
      <c r="AYI598" s="46"/>
      <c r="AYJ598" s="48"/>
      <c r="AYK598" s="53"/>
      <c r="AYR598" s="15"/>
      <c r="AYS598" s="50"/>
      <c r="AYT598" s="50"/>
      <c r="AYU598" s="46"/>
      <c r="AYV598" s="47"/>
      <c r="AYW598" s="46"/>
      <c r="AYX598" s="48"/>
      <c r="AYY598" s="53"/>
      <c r="AZF598" s="15"/>
      <c r="AZG598" s="50"/>
      <c r="AZH598" s="50"/>
      <c r="AZI598" s="46"/>
      <c r="AZJ598" s="47"/>
      <c r="AZK598" s="46"/>
      <c r="AZL598" s="48"/>
      <c r="AZM598" s="53"/>
      <c r="AZT598" s="15"/>
      <c r="AZU598" s="50"/>
      <c r="AZV598" s="50"/>
      <c r="AZW598" s="46"/>
      <c r="AZX598" s="47"/>
      <c r="AZY598" s="46"/>
      <c r="AZZ598" s="48"/>
      <c r="BAA598" s="53"/>
      <c r="BAH598" s="15"/>
      <c r="BAI598" s="50"/>
      <c r="BAJ598" s="50"/>
      <c r="BAK598" s="46"/>
      <c r="BAL598" s="47"/>
      <c r="BAM598" s="46"/>
      <c r="BAN598" s="48"/>
      <c r="BAO598" s="53"/>
      <c r="BAV598" s="15"/>
      <c r="BAW598" s="50"/>
      <c r="BAX598" s="50"/>
      <c r="BAY598" s="46"/>
      <c r="BAZ598" s="47"/>
      <c r="BBA598" s="46"/>
      <c r="BBB598" s="48"/>
      <c r="BBC598" s="53"/>
      <c r="BBJ598" s="15"/>
      <c r="BBK598" s="50"/>
      <c r="BBL598" s="50"/>
      <c r="BBM598" s="46"/>
      <c r="BBN598" s="47"/>
      <c r="BBO598" s="46"/>
      <c r="BBP598" s="48"/>
      <c r="BBQ598" s="53"/>
      <c r="BBX598" s="15"/>
      <c r="BBY598" s="50"/>
      <c r="BBZ598" s="50"/>
      <c r="BCA598" s="46"/>
      <c r="BCB598" s="47"/>
      <c r="BCC598" s="46"/>
      <c r="BCD598" s="48"/>
      <c r="BCE598" s="53"/>
      <c r="BCL598" s="15"/>
      <c r="BCM598" s="50"/>
      <c r="BCN598" s="50"/>
      <c r="BCO598" s="46"/>
      <c r="BCP598" s="47"/>
      <c r="BCQ598" s="46"/>
      <c r="BCR598" s="48"/>
      <c r="BCS598" s="53"/>
      <c r="BCZ598" s="15"/>
      <c r="BDA598" s="50"/>
      <c r="BDB598" s="50"/>
      <c r="BDC598" s="46"/>
      <c r="BDD598" s="47"/>
      <c r="BDE598" s="46"/>
      <c r="BDF598" s="48"/>
      <c r="BDG598" s="53"/>
      <c r="BDN598" s="15"/>
      <c r="BDO598" s="50"/>
      <c r="BDP598" s="50"/>
      <c r="BDQ598" s="46"/>
      <c r="BDR598" s="47"/>
      <c r="BDS598" s="46"/>
      <c r="BDT598" s="48"/>
      <c r="BDU598" s="53"/>
      <c r="BEB598" s="15"/>
      <c r="BEC598" s="50"/>
      <c r="BED598" s="50"/>
      <c r="BEE598" s="46"/>
      <c r="BEF598" s="47"/>
      <c r="BEG598" s="46"/>
      <c r="BEH598" s="48"/>
      <c r="BEI598" s="53"/>
      <c r="BEP598" s="15"/>
      <c r="BEQ598" s="50"/>
      <c r="BER598" s="50"/>
      <c r="BES598" s="46"/>
      <c r="BET598" s="47"/>
      <c r="BEU598" s="46"/>
      <c r="BEV598" s="48"/>
      <c r="BEW598" s="53"/>
      <c r="BFD598" s="15"/>
      <c r="BFE598" s="50"/>
      <c r="BFF598" s="50"/>
      <c r="BFG598" s="46"/>
      <c r="BFH598" s="47"/>
      <c r="BFI598" s="46"/>
      <c r="BFJ598" s="48"/>
      <c r="BFK598" s="53"/>
      <c r="BFR598" s="15"/>
      <c r="BFS598" s="50"/>
      <c r="BFT598" s="50"/>
      <c r="BFU598" s="46"/>
      <c r="BFV598" s="47"/>
      <c r="BFW598" s="46"/>
      <c r="BFX598" s="48"/>
      <c r="BFY598" s="53"/>
      <c r="BGF598" s="15"/>
      <c r="BGG598" s="50"/>
      <c r="BGH598" s="50"/>
      <c r="BGI598" s="46"/>
      <c r="BGJ598" s="47"/>
      <c r="BGK598" s="46"/>
      <c r="BGL598" s="48"/>
      <c r="BGM598" s="53"/>
      <c r="BGT598" s="15"/>
      <c r="BGU598" s="50"/>
      <c r="BGV598" s="50"/>
      <c r="BGW598" s="46"/>
      <c r="BGX598" s="47"/>
      <c r="BGY598" s="46"/>
      <c r="BGZ598" s="48"/>
      <c r="BHA598" s="53"/>
      <c r="BHH598" s="15"/>
      <c r="BHI598" s="50"/>
      <c r="BHJ598" s="50"/>
      <c r="BHK598" s="46"/>
      <c r="BHL598" s="47"/>
      <c r="BHM598" s="46"/>
      <c r="BHN598" s="48"/>
      <c r="BHO598" s="53"/>
      <c r="BHV598" s="15"/>
      <c r="BHW598" s="50"/>
      <c r="BHX598" s="50"/>
      <c r="BHY598" s="46"/>
      <c r="BHZ598" s="47"/>
      <c r="BIA598" s="46"/>
      <c r="BIB598" s="48"/>
      <c r="BIC598" s="53"/>
      <c r="BIJ598" s="15"/>
      <c r="BIK598" s="50"/>
      <c r="BIL598" s="50"/>
      <c r="BIM598" s="46"/>
      <c r="BIN598" s="47"/>
      <c r="BIO598" s="46"/>
      <c r="BIP598" s="48"/>
      <c r="BIQ598" s="53"/>
      <c r="BIX598" s="15"/>
      <c r="BIY598" s="50"/>
      <c r="BIZ598" s="50"/>
      <c r="BJA598" s="46"/>
      <c r="BJB598" s="47"/>
      <c r="BJC598" s="46"/>
      <c r="BJD598" s="48"/>
      <c r="BJE598" s="53"/>
      <c r="BJL598" s="15"/>
      <c r="BJM598" s="50"/>
      <c r="BJN598" s="50"/>
      <c r="BJO598" s="46"/>
      <c r="BJP598" s="47"/>
      <c r="BJQ598" s="46"/>
      <c r="BJR598" s="48"/>
      <c r="BJS598" s="53"/>
      <c r="BJZ598" s="15"/>
      <c r="BKA598" s="50"/>
      <c r="BKB598" s="50"/>
      <c r="BKC598" s="46"/>
      <c r="BKD598" s="47"/>
      <c r="BKE598" s="46"/>
      <c r="BKF598" s="48"/>
      <c r="BKG598" s="53"/>
      <c r="BKN598" s="15"/>
      <c r="BKO598" s="50"/>
      <c r="BKP598" s="50"/>
      <c r="BKQ598" s="46"/>
      <c r="BKR598" s="47"/>
      <c r="BKS598" s="46"/>
      <c r="BKT598" s="48"/>
      <c r="BKU598" s="53"/>
      <c r="BLB598" s="15"/>
      <c r="BLC598" s="50"/>
      <c r="BLD598" s="50"/>
      <c r="BLE598" s="46"/>
      <c r="BLF598" s="47"/>
      <c r="BLG598" s="46"/>
      <c r="BLH598" s="48"/>
      <c r="BLI598" s="53"/>
      <c r="BLP598" s="15"/>
      <c r="BLQ598" s="50"/>
      <c r="BLR598" s="50"/>
      <c r="BLS598" s="46"/>
      <c r="BLT598" s="47"/>
      <c r="BLU598" s="46"/>
      <c r="BLV598" s="48"/>
      <c r="BLW598" s="53"/>
      <c r="BMD598" s="15"/>
      <c r="BME598" s="50"/>
      <c r="BMF598" s="50"/>
      <c r="BMG598" s="46"/>
      <c r="BMH598" s="47"/>
      <c r="BMI598" s="46"/>
      <c r="BMJ598" s="48"/>
      <c r="BMK598" s="53"/>
      <c r="BMR598" s="15"/>
      <c r="BMS598" s="50"/>
      <c r="BMT598" s="50"/>
      <c r="BMU598" s="46"/>
      <c r="BMV598" s="47"/>
      <c r="BMW598" s="46"/>
      <c r="BMX598" s="48"/>
      <c r="BMY598" s="53"/>
      <c r="BNF598" s="15"/>
      <c r="BNG598" s="50"/>
      <c r="BNH598" s="50"/>
      <c r="BNI598" s="46"/>
      <c r="BNJ598" s="47"/>
      <c r="BNK598" s="46"/>
      <c r="BNL598" s="48"/>
      <c r="BNM598" s="53"/>
      <c r="BNT598" s="15"/>
      <c r="BNU598" s="50"/>
      <c r="BNV598" s="50"/>
      <c r="BNW598" s="46"/>
      <c r="BNX598" s="47"/>
      <c r="BNY598" s="46"/>
      <c r="BNZ598" s="48"/>
      <c r="BOA598" s="53"/>
      <c r="BOH598" s="15"/>
      <c r="BOI598" s="50"/>
      <c r="BOJ598" s="50"/>
      <c r="BOK598" s="46"/>
      <c r="BOL598" s="47"/>
      <c r="BOM598" s="46"/>
      <c r="BON598" s="48"/>
      <c r="BOO598" s="53"/>
      <c r="BOV598" s="15"/>
      <c r="BOW598" s="50"/>
      <c r="BOX598" s="50"/>
      <c r="BOY598" s="46"/>
      <c r="BOZ598" s="47"/>
      <c r="BPA598" s="46"/>
      <c r="BPB598" s="48"/>
      <c r="BPC598" s="53"/>
      <c r="BPJ598" s="15"/>
      <c r="BPK598" s="50"/>
      <c r="BPL598" s="50"/>
      <c r="BPM598" s="46"/>
      <c r="BPN598" s="47"/>
      <c r="BPO598" s="46"/>
      <c r="BPP598" s="48"/>
      <c r="BPQ598" s="53"/>
      <c r="BPX598" s="15"/>
      <c r="BPY598" s="50"/>
      <c r="BPZ598" s="50"/>
      <c r="BQA598" s="46"/>
      <c r="BQB598" s="47"/>
      <c r="BQC598" s="46"/>
      <c r="BQD598" s="48"/>
      <c r="BQE598" s="53"/>
      <c r="BQL598" s="15"/>
      <c r="BQM598" s="50"/>
      <c r="BQN598" s="50"/>
      <c r="BQO598" s="46"/>
      <c r="BQP598" s="47"/>
      <c r="BQQ598" s="46"/>
      <c r="BQR598" s="48"/>
      <c r="BQS598" s="53"/>
      <c r="BQZ598" s="15"/>
      <c r="BRA598" s="50"/>
      <c r="BRB598" s="50"/>
      <c r="BRC598" s="46"/>
      <c r="BRD598" s="47"/>
      <c r="BRE598" s="46"/>
      <c r="BRF598" s="48"/>
      <c r="BRG598" s="53"/>
      <c r="BRN598" s="15"/>
      <c r="BRO598" s="50"/>
      <c r="BRP598" s="50"/>
      <c r="BRQ598" s="46"/>
      <c r="BRR598" s="47"/>
      <c r="BRS598" s="46"/>
      <c r="BRT598" s="48"/>
      <c r="BRU598" s="53"/>
      <c r="BSB598" s="15"/>
      <c r="BSC598" s="50"/>
      <c r="BSD598" s="50"/>
      <c r="BSE598" s="46"/>
      <c r="BSF598" s="47"/>
      <c r="BSG598" s="46"/>
      <c r="BSH598" s="48"/>
      <c r="BSI598" s="53"/>
      <c r="BSP598" s="15"/>
      <c r="BSQ598" s="50"/>
      <c r="BSR598" s="50"/>
      <c r="BSS598" s="46"/>
      <c r="BST598" s="47"/>
      <c r="BSU598" s="46"/>
      <c r="BSV598" s="48"/>
      <c r="BSW598" s="53"/>
      <c r="BTD598" s="15"/>
      <c r="BTE598" s="50"/>
      <c r="BTF598" s="50"/>
      <c r="BTG598" s="46"/>
      <c r="BTH598" s="47"/>
      <c r="BTI598" s="46"/>
      <c r="BTJ598" s="48"/>
      <c r="BTK598" s="53"/>
      <c r="BTR598" s="15"/>
      <c r="BTS598" s="50"/>
      <c r="BTT598" s="50"/>
      <c r="BTU598" s="46"/>
      <c r="BTV598" s="47"/>
      <c r="BTW598" s="46"/>
      <c r="BTX598" s="48"/>
      <c r="BTY598" s="53"/>
      <c r="BUF598" s="15"/>
      <c r="BUG598" s="50"/>
      <c r="BUH598" s="50"/>
      <c r="BUI598" s="46"/>
      <c r="BUJ598" s="47"/>
      <c r="BUK598" s="46"/>
      <c r="BUL598" s="48"/>
      <c r="BUM598" s="53"/>
      <c r="BUT598" s="15"/>
      <c r="BUU598" s="50"/>
      <c r="BUV598" s="50"/>
      <c r="BUW598" s="46"/>
      <c r="BUX598" s="47"/>
      <c r="BUY598" s="46"/>
      <c r="BUZ598" s="48"/>
      <c r="BVA598" s="53"/>
      <c r="BVH598" s="15"/>
      <c r="BVI598" s="50"/>
      <c r="BVJ598" s="50"/>
      <c r="BVK598" s="46"/>
      <c r="BVL598" s="47"/>
      <c r="BVM598" s="46"/>
      <c r="BVN598" s="48"/>
      <c r="BVO598" s="53"/>
      <c r="BVV598" s="15"/>
      <c r="BVW598" s="50"/>
      <c r="BVX598" s="50"/>
      <c r="BVY598" s="46"/>
      <c r="BVZ598" s="47"/>
      <c r="BWA598" s="46"/>
      <c r="BWB598" s="48"/>
      <c r="BWC598" s="53"/>
      <c r="BWJ598" s="15"/>
      <c r="BWK598" s="50"/>
      <c r="BWL598" s="50"/>
      <c r="BWM598" s="46"/>
      <c r="BWN598" s="47"/>
      <c r="BWO598" s="46"/>
      <c r="BWP598" s="48"/>
      <c r="BWQ598" s="53"/>
      <c r="BWX598" s="15"/>
      <c r="BWY598" s="50"/>
      <c r="BWZ598" s="50"/>
      <c r="BXA598" s="46"/>
      <c r="BXB598" s="47"/>
      <c r="BXC598" s="46"/>
      <c r="BXD598" s="48"/>
      <c r="BXE598" s="53"/>
      <c r="BXL598" s="15"/>
      <c r="BXM598" s="50"/>
      <c r="BXN598" s="50"/>
      <c r="BXO598" s="46"/>
      <c r="BXP598" s="47"/>
      <c r="BXQ598" s="46"/>
      <c r="BXR598" s="48"/>
      <c r="BXS598" s="53"/>
      <c r="BXZ598" s="15"/>
      <c r="BYA598" s="50"/>
      <c r="BYB598" s="50"/>
      <c r="BYC598" s="46"/>
      <c r="BYD598" s="47"/>
      <c r="BYE598" s="46"/>
      <c r="BYF598" s="48"/>
      <c r="BYG598" s="53"/>
      <c r="BYN598" s="15"/>
      <c r="BYO598" s="50"/>
      <c r="BYP598" s="50"/>
      <c r="BYQ598" s="46"/>
      <c r="BYR598" s="47"/>
      <c r="BYS598" s="46"/>
      <c r="BYT598" s="48"/>
      <c r="BYU598" s="53"/>
      <c r="BZB598" s="15"/>
      <c r="BZC598" s="50"/>
      <c r="BZD598" s="50"/>
      <c r="BZE598" s="46"/>
      <c r="BZF598" s="47"/>
      <c r="BZG598" s="46"/>
      <c r="BZH598" s="48"/>
      <c r="BZI598" s="53"/>
      <c r="BZP598" s="15"/>
      <c r="BZQ598" s="50"/>
      <c r="BZR598" s="50"/>
      <c r="BZS598" s="46"/>
      <c r="BZT598" s="47"/>
      <c r="BZU598" s="46"/>
      <c r="BZV598" s="48"/>
      <c r="BZW598" s="53"/>
      <c r="CAD598" s="15"/>
      <c r="CAE598" s="50"/>
      <c r="CAF598" s="50"/>
      <c r="CAG598" s="46"/>
      <c r="CAH598" s="47"/>
      <c r="CAI598" s="46"/>
      <c r="CAJ598" s="48"/>
      <c r="CAK598" s="53"/>
      <c r="CAR598" s="15"/>
      <c r="CAS598" s="50"/>
      <c r="CAT598" s="50"/>
      <c r="CAU598" s="46"/>
      <c r="CAV598" s="47"/>
      <c r="CAW598" s="46"/>
      <c r="CAX598" s="48"/>
      <c r="CAY598" s="53"/>
      <c r="CBF598" s="15"/>
      <c r="CBG598" s="50"/>
      <c r="CBH598" s="50"/>
      <c r="CBI598" s="46"/>
      <c r="CBJ598" s="47"/>
      <c r="CBK598" s="46"/>
      <c r="CBL598" s="48"/>
      <c r="CBM598" s="53"/>
      <c r="CBT598" s="15"/>
      <c r="CBU598" s="50"/>
      <c r="CBV598" s="50"/>
      <c r="CBW598" s="46"/>
      <c r="CBX598" s="47"/>
      <c r="CBY598" s="46"/>
      <c r="CBZ598" s="48"/>
      <c r="CCA598" s="53"/>
      <c r="CCH598" s="15"/>
      <c r="CCI598" s="50"/>
      <c r="CCJ598" s="50"/>
      <c r="CCK598" s="46"/>
      <c r="CCL598" s="47"/>
      <c r="CCM598" s="46"/>
      <c r="CCN598" s="48"/>
      <c r="CCO598" s="53"/>
      <c r="CCV598" s="15"/>
      <c r="CCW598" s="50"/>
      <c r="CCX598" s="50"/>
      <c r="CCY598" s="46"/>
      <c r="CCZ598" s="47"/>
      <c r="CDA598" s="46"/>
      <c r="CDB598" s="48"/>
      <c r="CDC598" s="53"/>
      <c r="CDJ598" s="15"/>
      <c r="CDK598" s="50"/>
      <c r="CDL598" s="50"/>
      <c r="CDM598" s="46"/>
      <c r="CDN598" s="47"/>
      <c r="CDO598" s="46"/>
      <c r="CDP598" s="48"/>
      <c r="CDQ598" s="53"/>
      <c r="CDX598" s="15"/>
      <c r="CDY598" s="50"/>
      <c r="CDZ598" s="50"/>
      <c r="CEA598" s="46"/>
      <c r="CEB598" s="47"/>
      <c r="CEC598" s="46"/>
      <c r="CED598" s="48"/>
      <c r="CEE598" s="53"/>
      <c r="CEL598" s="15"/>
      <c r="CEM598" s="50"/>
      <c r="CEN598" s="50"/>
      <c r="CEO598" s="46"/>
      <c r="CEP598" s="47"/>
      <c r="CEQ598" s="46"/>
      <c r="CER598" s="48"/>
      <c r="CES598" s="53"/>
      <c r="CEZ598" s="15"/>
      <c r="CFA598" s="50"/>
      <c r="CFB598" s="50"/>
      <c r="CFC598" s="46"/>
      <c r="CFD598" s="47"/>
      <c r="CFE598" s="46"/>
      <c r="CFF598" s="48"/>
      <c r="CFG598" s="53"/>
      <c r="CFN598" s="15"/>
      <c r="CFO598" s="50"/>
      <c r="CFP598" s="50"/>
      <c r="CFQ598" s="46"/>
      <c r="CFR598" s="47"/>
      <c r="CFS598" s="46"/>
      <c r="CFT598" s="48"/>
      <c r="CFU598" s="53"/>
      <c r="CGB598" s="15"/>
      <c r="CGC598" s="50"/>
      <c r="CGD598" s="50"/>
      <c r="CGE598" s="46"/>
      <c r="CGF598" s="47"/>
      <c r="CGG598" s="46"/>
      <c r="CGH598" s="48"/>
      <c r="CGI598" s="53"/>
      <c r="CGP598" s="15"/>
      <c r="CGQ598" s="50"/>
      <c r="CGR598" s="50"/>
      <c r="CGS598" s="46"/>
      <c r="CGT598" s="47"/>
      <c r="CGU598" s="46"/>
      <c r="CGV598" s="48"/>
      <c r="CGW598" s="53"/>
      <c r="CHD598" s="15"/>
      <c r="CHE598" s="50"/>
      <c r="CHF598" s="50"/>
      <c r="CHG598" s="46"/>
      <c r="CHH598" s="47"/>
      <c r="CHI598" s="46"/>
      <c r="CHJ598" s="48"/>
      <c r="CHK598" s="53"/>
      <c r="CHR598" s="15"/>
      <c r="CHS598" s="50"/>
      <c r="CHT598" s="50"/>
      <c r="CHU598" s="46"/>
      <c r="CHV598" s="47"/>
      <c r="CHW598" s="46"/>
      <c r="CHX598" s="48"/>
      <c r="CHY598" s="53"/>
      <c r="CIF598" s="15"/>
      <c r="CIG598" s="50"/>
      <c r="CIH598" s="50"/>
      <c r="CII598" s="46"/>
      <c r="CIJ598" s="47"/>
      <c r="CIK598" s="46"/>
      <c r="CIL598" s="48"/>
      <c r="CIM598" s="53"/>
      <c r="CIT598" s="15"/>
      <c r="CIU598" s="50"/>
      <c r="CIV598" s="50"/>
      <c r="CIW598" s="46"/>
      <c r="CIX598" s="47"/>
      <c r="CIY598" s="46"/>
      <c r="CIZ598" s="48"/>
      <c r="CJA598" s="53"/>
      <c r="CJH598" s="15"/>
      <c r="CJI598" s="50"/>
      <c r="CJJ598" s="50"/>
      <c r="CJK598" s="46"/>
      <c r="CJL598" s="47"/>
      <c r="CJM598" s="46"/>
      <c r="CJN598" s="48"/>
      <c r="CJO598" s="53"/>
      <c r="CJV598" s="15"/>
      <c r="CJW598" s="50"/>
      <c r="CJX598" s="50"/>
      <c r="CJY598" s="46"/>
      <c r="CJZ598" s="47"/>
      <c r="CKA598" s="46"/>
      <c r="CKB598" s="48"/>
      <c r="CKC598" s="53"/>
      <c r="CKJ598" s="15"/>
      <c r="CKK598" s="50"/>
      <c r="CKL598" s="50"/>
      <c r="CKM598" s="46"/>
      <c r="CKN598" s="47"/>
      <c r="CKO598" s="46"/>
      <c r="CKP598" s="48"/>
      <c r="CKQ598" s="53"/>
      <c r="CKX598" s="15"/>
      <c r="CKY598" s="50"/>
      <c r="CKZ598" s="50"/>
      <c r="CLA598" s="46"/>
      <c r="CLB598" s="47"/>
      <c r="CLC598" s="46"/>
      <c r="CLD598" s="48"/>
      <c r="CLE598" s="53"/>
      <c r="CLL598" s="15"/>
      <c r="CLM598" s="50"/>
      <c r="CLN598" s="50"/>
      <c r="CLO598" s="46"/>
      <c r="CLP598" s="47"/>
      <c r="CLQ598" s="46"/>
      <c r="CLR598" s="48"/>
      <c r="CLS598" s="53"/>
      <c r="CLZ598" s="15"/>
      <c r="CMA598" s="50"/>
      <c r="CMB598" s="50"/>
      <c r="CMC598" s="46"/>
      <c r="CMD598" s="47"/>
      <c r="CME598" s="46"/>
      <c r="CMF598" s="48"/>
      <c r="CMG598" s="53"/>
      <c r="CMN598" s="15"/>
      <c r="CMO598" s="50"/>
      <c r="CMP598" s="50"/>
      <c r="CMQ598" s="46"/>
      <c r="CMR598" s="47"/>
      <c r="CMS598" s="46"/>
      <c r="CMT598" s="48"/>
      <c r="CMU598" s="53"/>
      <c r="CNB598" s="15"/>
      <c r="CNC598" s="50"/>
      <c r="CND598" s="50"/>
      <c r="CNE598" s="46"/>
      <c r="CNF598" s="47"/>
      <c r="CNG598" s="46"/>
      <c r="CNH598" s="48"/>
      <c r="CNI598" s="53"/>
      <c r="CNP598" s="15"/>
      <c r="CNQ598" s="50"/>
      <c r="CNR598" s="50"/>
      <c r="CNS598" s="46"/>
      <c r="CNT598" s="47"/>
      <c r="CNU598" s="46"/>
      <c r="CNV598" s="48"/>
      <c r="CNW598" s="53"/>
      <c r="COD598" s="15"/>
      <c r="COE598" s="50"/>
      <c r="COF598" s="50"/>
      <c r="COG598" s="46"/>
      <c r="COH598" s="47"/>
      <c r="COI598" s="46"/>
      <c r="COJ598" s="48"/>
      <c r="COK598" s="53"/>
      <c r="COR598" s="15"/>
      <c r="COS598" s="50"/>
      <c r="COT598" s="50"/>
      <c r="COU598" s="46"/>
      <c r="COV598" s="47"/>
      <c r="COW598" s="46"/>
      <c r="COX598" s="48"/>
      <c r="COY598" s="53"/>
      <c r="CPF598" s="15"/>
      <c r="CPG598" s="50"/>
      <c r="CPH598" s="50"/>
      <c r="CPI598" s="46"/>
      <c r="CPJ598" s="47"/>
      <c r="CPK598" s="46"/>
      <c r="CPL598" s="48"/>
      <c r="CPM598" s="53"/>
      <c r="CPT598" s="15"/>
      <c r="CPU598" s="50"/>
      <c r="CPV598" s="50"/>
      <c r="CPW598" s="46"/>
      <c r="CPX598" s="47"/>
      <c r="CPY598" s="46"/>
      <c r="CPZ598" s="48"/>
      <c r="CQA598" s="53"/>
      <c r="CQH598" s="15"/>
      <c r="CQI598" s="50"/>
      <c r="CQJ598" s="50"/>
      <c r="CQK598" s="46"/>
      <c r="CQL598" s="47"/>
      <c r="CQM598" s="46"/>
      <c r="CQN598" s="48"/>
      <c r="CQO598" s="53"/>
      <c r="CQV598" s="15"/>
      <c r="CQW598" s="50"/>
      <c r="CQX598" s="50"/>
      <c r="CQY598" s="46"/>
      <c r="CQZ598" s="47"/>
      <c r="CRA598" s="46"/>
      <c r="CRB598" s="48"/>
      <c r="CRC598" s="53"/>
      <c r="CRJ598" s="15"/>
      <c r="CRK598" s="50"/>
      <c r="CRL598" s="50"/>
      <c r="CRM598" s="46"/>
      <c r="CRN598" s="47"/>
      <c r="CRO598" s="46"/>
      <c r="CRP598" s="48"/>
      <c r="CRQ598" s="53"/>
      <c r="CRX598" s="15"/>
      <c r="CRY598" s="50"/>
      <c r="CRZ598" s="50"/>
      <c r="CSA598" s="46"/>
      <c r="CSB598" s="47"/>
      <c r="CSC598" s="46"/>
      <c r="CSD598" s="48"/>
      <c r="CSE598" s="53"/>
      <c r="CSL598" s="15"/>
      <c r="CSM598" s="50"/>
      <c r="CSN598" s="50"/>
      <c r="CSO598" s="46"/>
      <c r="CSP598" s="47"/>
      <c r="CSQ598" s="46"/>
      <c r="CSR598" s="48"/>
      <c r="CSS598" s="53"/>
      <c r="CSZ598" s="15"/>
      <c r="CTA598" s="50"/>
      <c r="CTB598" s="50"/>
      <c r="CTC598" s="46"/>
      <c r="CTD598" s="47"/>
      <c r="CTE598" s="46"/>
      <c r="CTF598" s="48"/>
      <c r="CTG598" s="53"/>
      <c r="CTN598" s="15"/>
      <c r="CTO598" s="50"/>
      <c r="CTP598" s="50"/>
      <c r="CTQ598" s="46"/>
      <c r="CTR598" s="47"/>
      <c r="CTS598" s="46"/>
      <c r="CTT598" s="48"/>
      <c r="CTU598" s="53"/>
      <c r="CUB598" s="15"/>
      <c r="CUC598" s="50"/>
      <c r="CUD598" s="50"/>
      <c r="CUE598" s="46"/>
      <c r="CUF598" s="47"/>
      <c r="CUG598" s="46"/>
      <c r="CUH598" s="48"/>
      <c r="CUI598" s="53"/>
      <c r="CUP598" s="15"/>
      <c r="CUQ598" s="50"/>
      <c r="CUR598" s="50"/>
      <c r="CUS598" s="46"/>
      <c r="CUT598" s="47"/>
      <c r="CUU598" s="46"/>
      <c r="CUV598" s="48"/>
      <c r="CUW598" s="53"/>
      <c r="CVD598" s="15"/>
      <c r="CVE598" s="50"/>
      <c r="CVF598" s="50"/>
      <c r="CVG598" s="46"/>
      <c r="CVH598" s="47"/>
      <c r="CVI598" s="46"/>
      <c r="CVJ598" s="48"/>
      <c r="CVK598" s="53"/>
      <c r="CVR598" s="15"/>
      <c r="CVS598" s="50"/>
      <c r="CVT598" s="50"/>
      <c r="CVU598" s="46"/>
      <c r="CVV598" s="47"/>
      <c r="CVW598" s="46"/>
      <c r="CVX598" s="48"/>
      <c r="CVY598" s="53"/>
      <c r="CWF598" s="15"/>
      <c r="CWG598" s="50"/>
      <c r="CWH598" s="50"/>
      <c r="CWI598" s="46"/>
      <c r="CWJ598" s="47"/>
      <c r="CWK598" s="46"/>
      <c r="CWL598" s="48"/>
      <c r="CWM598" s="53"/>
      <c r="CWT598" s="15"/>
      <c r="CWU598" s="50"/>
      <c r="CWV598" s="50"/>
      <c r="CWW598" s="46"/>
      <c r="CWX598" s="47"/>
      <c r="CWY598" s="46"/>
      <c r="CWZ598" s="48"/>
      <c r="CXA598" s="53"/>
      <c r="CXH598" s="15"/>
      <c r="CXI598" s="50"/>
      <c r="CXJ598" s="50"/>
      <c r="CXK598" s="46"/>
      <c r="CXL598" s="47"/>
      <c r="CXM598" s="46"/>
      <c r="CXN598" s="48"/>
      <c r="CXO598" s="53"/>
      <c r="CXV598" s="15"/>
      <c r="CXW598" s="50"/>
      <c r="CXX598" s="50"/>
      <c r="CXY598" s="46"/>
      <c r="CXZ598" s="47"/>
      <c r="CYA598" s="46"/>
      <c r="CYB598" s="48"/>
      <c r="CYC598" s="53"/>
      <c r="CYJ598" s="15"/>
      <c r="CYK598" s="50"/>
      <c r="CYL598" s="50"/>
      <c r="CYM598" s="46"/>
      <c r="CYN598" s="47"/>
      <c r="CYO598" s="46"/>
      <c r="CYP598" s="48"/>
      <c r="CYQ598" s="53"/>
      <c r="CYX598" s="15"/>
      <c r="CYY598" s="50"/>
      <c r="CYZ598" s="50"/>
      <c r="CZA598" s="46"/>
      <c r="CZB598" s="47"/>
      <c r="CZC598" s="46"/>
      <c r="CZD598" s="48"/>
      <c r="CZE598" s="53"/>
      <c r="CZL598" s="15"/>
      <c r="CZM598" s="50"/>
      <c r="CZN598" s="50"/>
      <c r="CZO598" s="46"/>
      <c r="CZP598" s="47"/>
      <c r="CZQ598" s="46"/>
      <c r="CZR598" s="48"/>
      <c r="CZS598" s="53"/>
      <c r="CZZ598" s="15"/>
      <c r="DAA598" s="50"/>
      <c r="DAB598" s="50"/>
      <c r="DAC598" s="46"/>
      <c r="DAD598" s="47"/>
      <c r="DAE598" s="46"/>
      <c r="DAF598" s="48"/>
      <c r="DAG598" s="53"/>
      <c r="DAN598" s="15"/>
      <c r="DAO598" s="50"/>
      <c r="DAP598" s="50"/>
      <c r="DAQ598" s="46"/>
      <c r="DAR598" s="47"/>
      <c r="DAS598" s="46"/>
      <c r="DAT598" s="48"/>
      <c r="DAU598" s="53"/>
      <c r="DBB598" s="15"/>
      <c r="DBC598" s="50"/>
      <c r="DBD598" s="50"/>
      <c r="DBE598" s="46"/>
      <c r="DBF598" s="47"/>
      <c r="DBG598" s="46"/>
      <c r="DBH598" s="48"/>
      <c r="DBI598" s="53"/>
      <c r="DBP598" s="15"/>
      <c r="DBQ598" s="50"/>
      <c r="DBR598" s="50"/>
      <c r="DBS598" s="46"/>
      <c r="DBT598" s="47"/>
      <c r="DBU598" s="46"/>
      <c r="DBV598" s="48"/>
      <c r="DBW598" s="53"/>
      <c r="DCD598" s="15"/>
      <c r="DCE598" s="50"/>
      <c r="DCF598" s="50"/>
      <c r="DCG598" s="46"/>
      <c r="DCH598" s="47"/>
      <c r="DCI598" s="46"/>
      <c r="DCJ598" s="48"/>
      <c r="DCK598" s="53"/>
      <c r="DCR598" s="15"/>
      <c r="DCS598" s="50"/>
      <c r="DCT598" s="50"/>
      <c r="DCU598" s="46"/>
      <c r="DCV598" s="47"/>
      <c r="DCW598" s="46"/>
      <c r="DCX598" s="48"/>
      <c r="DCY598" s="53"/>
      <c r="DDF598" s="15"/>
      <c r="DDG598" s="50"/>
      <c r="DDH598" s="50"/>
      <c r="DDI598" s="46"/>
      <c r="DDJ598" s="47"/>
      <c r="DDK598" s="46"/>
      <c r="DDL598" s="48"/>
      <c r="DDM598" s="53"/>
      <c r="DDT598" s="15"/>
      <c r="DDU598" s="50"/>
      <c r="DDV598" s="50"/>
      <c r="DDW598" s="46"/>
      <c r="DDX598" s="47"/>
      <c r="DDY598" s="46"/>
      <c r="DDZ598" s="48"/>
      <c r="DEA598" s="53"/>
      <c r="DEH598" s="15"/>
      <c r="DEI598" s="50"/>
      <c r="DEJ598" s="50"/>
      <c r="DEK598" s="46"/>
      <c r="DEL598" s="47"/>
      <c r="DEM598" s="46"/>
      <c r="DEN598" s="48"/>
      <c r="DEO598" s="53"/>
      <c r="DEV598" s="15"/>
      <c r="DEW598" s="50"/>
      <c r="DEX598" s="50"/>
      <c r="DEY598" s="46"/>
      <c r="DEZ598" s="47"/>
      <c r="DFA598" s="46"/>
      <c r="DFB598" s="48"/>
      <c r="DFC598" s="53"/>
      <c r="DFJ598" s="15"/>
      <c r="DFK598" s="50"/>
      <c r="DFL598" s="50"/>
      <c r="DFM598" s="46"/>
      <c r="DFN598" s="47"/>
      <c r="DFO598" s="46"/>
      <c r="DFP598" s="48"/>
      <c r="DFQ598" s="53"/>
      <c r="DFX598" s="15"/>
      <c r="DFY598" s="50"/>
      <c r="DFZ598" s="50"/>
      <c r="DGA598" s="46"/>
      <c r="DGB598" s="47"/>
      <c r="DGC598" s="46"/>
      <c r="DGD598" s="48"/>
      <c r="DGE598" s="53"/>
      <c r="DGL598" s="15"/>
      <c r="DGM598" s="50"/>
      <c r="DGN598" s="50"/>
      <c r="DGO598" s="46"/>
      <c r="DGP598" s="47"/>
      <c r="DGQ598" s="46"/>
      <c r="DGR598" s="48"/>
      <c r="DGS598" s="53"/>
      <c r="DGZ598" s="15"/>
      <c r="DHA598" s="50"/>
      <c r="DHB598" s="50"/>
      <c r="DHC598" s="46"/>
      <c r="DHD598" s="47"/>
      <c r="DHE598" s="46"/>
      <c r="DHF598" s="48"/>
      <c r="DHG598" s="53"/>
      <c r="DHN598" s="15"/>
      <c r="DHO598" s="50"/>
      <c r="DHP598" s="50"/>
      <c r="DHQ598" s="46"/>
      <c r="DHR598" s="47"/>
      <c r="DHS598" s="46"/>
      <c r="DHT598" s="48"/>
      <c r="DHU598" s="53"/>
      <c r="DIB598" s="15"/>
      <c r="DIC598" s="50"/>
      <c r="DID598" s="50"/>
      <c r="DIE598" s="46"/>
      <c r="DIF598" s="47"/>
      <c r="DIG598" s="46"/>
      <c r="DIH598" s="48"/>
      <c r="DII598" s="53"/>
      <c r="DIP598" s="15"/>
      <c r="DIQ598" s="50"/>
      <c r="DIR598" s="50"/>
      <c r="DIS598" s="46"/>
      <c r="DIT598" s="47"/>
      <c r="DIU598" s="46"/>
      <c r="DIV598" s="48"/>
      <c r="DIW598" s="53"/>
      <c r="DJD598" s="15"/>
      <c r="DJE598" s="50"/>
      <c r="DJF598" s="50"/>
      <c r="DJG598" s="46"/>
      <c r="DJH598" s="47"/>
      <c r="DJI598" s="46"/>
      <c r="DJJ598" s="48"/>
      <c r="DJK598" s="53"/>
      <c r="DJR598" s="15"/>
      <c r="DJS598" s="50"/>
      <c r="DJT598" s="50"/>
      <c r="DJU598" s="46"/>
      <c r="DJV598" s="47"/>
      <c r="DJW598" s="46"/>
      <c r="DJX598" s="48"/>
      <c r="DJY598" s="53"/>
      <c r="DKF598" s="15"/>
      <c r="DKG598" s="50"/>
      <c r="DKH598" s="50"/>
      <c r="DKI598" s="46"/>
      <c r="DKJ598" s="47"/>
      <c r="DKK598" s="46"/>
      <c r="DKL598" s="48"/>
      <c r="DKM598" s="53"/>
      <c r="DKT598" s="15"/>
      <c r="DKU598" s="50"/>
      <c r="DKV598" s="50"/>
      <c r="DKW598" s="46"/>
      <c r="DKX598" s="47"/>
      <c r="DKY598" s="46"/>
      <c r="DKZ598" s="48"/>
      <c r="DLA598" s="53"/>
      <c r="DLH598" s="15"/>
      <c r="DLI598" s="50"/>
      <c r="DLJ598" s="50"/>
      <c r="DLK598" s="46"/>
      <c r="DLL598" s="47"/>
      <c r="DLM598" s="46"/>
      <c r="DLN598" s="48"/>
      <c r="DLO598" s="53"/>
      <c r="DLV598" s="15"/>
      <c r="DLW598" s="50"/>
      <c r="DLX598" s="50"/>
      <c r="DLY598" s="46"/>
      <c r="DLZ598" s="47"/>
      <c r="DMA598" s="46"/>
      <c r="DMB598" s="48"/>
      <c r="DMC598" s="53"/>
      <c r="DMJ598" s="15"/>
      <c r="DMK598" s="50"/>
      <c r="DML598" s="50"/>
      <c r="DMM598" s="46"/>
      <c r="DMN598" s="47"/>
      <c r="DMO598" s="46"/>
      <c r="DMP598" s="48"/>
      <c r="DMQ598" s="53"/>
      <c r="DMX598" s="15"/>
      <c r="DMY598" s="50"/>
      <c r="DMZ598" s="50"/>
      <c r="DNA598" s="46"/>
      <c r="DNB598" s="47"/>
      <c r="DNC598" s="46"/>
      <c r="DND598" s="48"/>
      <c r="DNE598" s="53"/>
      <c r="DNL598" s="15"/>
      <c r="DNM598" s="50"/>
      <c r="DNN598" s="50"/>
      <c r="DNO598" s="46"/>
      <c r="DNP598" s="47"/>
      <c r="DNQ598" s="46"/>
      <c r="DNR598" s="48"/>
      <c r="DNS598" s="53"/>
      <c r="DNZ598" s="15"/>
      <c r="DOA598" s="50"/>
      <c r="DOB598" s="50"/>
      <c r="DOC598" s="46"/>
      <c r="DOD598" s="47"/>
      <c r="DOE598" s="46"/>
      <c r="DOF598" s="48"/>
      <c r="DOG598" s="53"/>
      <c r="DON598" s="15"/>
      <c r="DOO598" s="50"/>
      <c r="DOP598" s="50"/>
      <c r="DOQ598" s="46"/>
      <c r="DOR598" s="47"/>
      <c r="DOS598" s="46"/>
      <c r="DOT598" s="48"/>
      <c r="DOU598" s="53"/>
      <c r="DPB598" s="15"/>
      <c r="DPC598" s="50"/>
      <c r="DPD598" s="50"/>
      <c r="DPE598" s="46"/>
      <c r="DPF598" s="47"/>
      <c r="DPG598" s="46"/>
      <c r="DPH598" s="48"/>
      <c r="DPI598" s="53"/>
      <c r="DPP598" s="15"/>
      <c r="DPQ598" s="50"/>
      <c r="DPR598" s="50"/>
      <c r="DPS598" s="46"/>
      <c r="DPT598" s="47"/>
      <c r="DPU598" s="46"/>
      <c r="DPV598" s="48"/>
      <c r="DPW598" s="53"/>
      <c r="DQD598" s="15"/>
      <c r="DQE598" s="50"/>
      <c r="DQF598" s="50"/>
      <c r="DQG598" s="46"/>
      <c r="DQH598" s="47"/>
      <c r="DQI598" s="46"/>
      <c r="DQJ598" s="48"/>
      <c r="DQK598" s="53"/>
      <c r="DQR598" s="15"/>
      <c r="DQS598" s="50"/>
      <c r="DQT598" s="50"/>
      <c r="DQU598" s="46"/>
      <c r="DQV598" s="47"/>
      <c r="DQW598" s="46"/>
      <c r="DQX598" s="48"/>
      <c r="DQY598" s="53"/>
      <c r="DRF598" s="15"/>
      <c r="DRG598" s="50"/>
      <c r="DRH598" s="50"/>
      <c r="DRI598" s="46"/>
      <c r="DRJ598" s="47"/>
      <c r="DRK598" s="46"/>
      <c r="DRL598" s="48"/>
      <c r="DRM598" s="53"/>
      <c r="DRT598" s="15"/>
      <c r="DRU598" s="50"/>
      <c r="DRV598" s="50"/>
      <c r="DRW598" s="46"/>
      <c r="DRX598" s="47"/>
      <c r="DRY598" s="46"/>
      <c r="DRZ598" s="48"/>
      <c r="DSA598" s="53"/>
      <c r="DSH598" s="15"/>
      <c r="DSI598" s="50"/>
      <c r="DSJ598" s="50"/>
      <c r="DSK598" s="46"/>
      <c r="DSL598" s="47"/>
      <c r="DSM598" s="46"/>
      <c r="DSN598" s="48"/>
      <c r="DSO598" s="53"/>
      <c r="DSV598" s="15"/>
      <c r="DSW598" s="50"/>
      <c r="DSX598" s="50"/>
      <c r="DSY598" s="46"/>
      <c r="DSZ598" s="47"/>
      <c r="DTA598" s="46"/>
      <c r="DTB598" s="48"/>
      <c r="DTC598" s="53"/>
      <c r="DTJ598" s="15"/>
      <c r="DTK598" s="50"/>
      <c r="DTL598" s="50"/>
      <c r="DTM598" s="46"/>
      <c r="DTN598" s="47"/>
      <c r="DTO598" s="46"/>
      <c r="DTP598" s="48"/>
      <c r="DTQ598" s="53"/>
      <c r="DTX598" s="15"/>
      <c r="DTY598" s="50"/>
      <c r="DTZ598" s="50"/>
      <c r="DUA598" s="46"/>
      <c r="DUB598" s="47"/>
      <c r="DUC598" s="46"/>
      <c r="DUD598" s="48"/>
      <c r="DUE598" s="53"/>
      <c r="DUL598" s="15"/>
      <c r="DUM598" s="50"/>
      <c r="DUN598" s="50"/>
      <c r="DUO598" s="46"/>
      <c r="DUP598" s="47"/>
      <c r="DUQ598" s="46"/>
      <c r="DUR598" s="48"/>
      <c r="DUS598" s="53"/>
      <c r="DUZ598" s="15"/>
      <c r="DVA598" s="50"/>
      <c r="DVB598" s="50"/>
      <c r="DVC598" s="46"/>
      <c r="DVD598" s="47"/>
      <c r="DVE598" s="46"/>
      <c r="DVF598" s="48"/>
      <c r="DVG598" s="53"/>
      <c r="DVN598" s="15"/>
      <c r="DVO598" s="50"/>
      <c r="DVP598" s="50"/>
      <c r="DVQ598" s="46"/>
      <c r="DVR598" s="47"/>
      <c r="DVS598" s="46"/>
      <c r="DVT598" s="48"/>
      <c r="DVU598" s="53"/>
      <c r="DWB598" s="15"/>
      <c r="DWC598" s="50"/>
      <c r="DWD598" s="50"/>
      <c r="DWE598" s="46"/>
      <c r="DWF598" s="47"/>
      <c r="DWG598" s="46"/>
      <c r="DWH598" s="48"/>
      <c r="DWI598" s="53"/>
      <c r="DWP598" s="15"/>
      <c r="DWQ598" s="50"/>
      <c r="DWR598" s="50"/>
      <c r="DWS598" s="46"/>
      <c r="DWT598" s="47"/>
      <c r="DWU598" s="46"/>
      <c r="DWV598" s="48"/>
      <c r="DWW598" s="53"/>
      <c r="DXD598" s="15"/>
      <c r="DXE598" s="50"/>
      <c r="DXF598" s="50"/>
      <c r="DXG598" s="46"/>
      <c r="DXH598" s="47"/>
      <c r="DXI598" s="46"/>
      <c r="DXJ598" s="48"/>
      <c r="DXK598" s="53"/>
      <c r="DXR598" s="15"/>
      <c r="DXS598" s="50"/>
      <c r="DXT598" s="50"/>
      <c r="DXU598" s="46"/>
      <c r="DXV598" s="47"/>
      <c r="DXW598" s="46"/>
      <c r="DXX598" s="48"/>
      <c r="DXY598" s="53"/>
      <c r="DYF598" s="15"/>
      <c r="DYG598" s="50"/>
      <c r="DYH598" s="50"/>
      <c r="DYI598" s="46"/>
      <c r="DYJ598" s="47"/>
      <c r="DYK598" s="46"/>
      <c r="DYL598" s="48"/>
      <c r="DYM598" s="53"/>
      <c r="DYT598" s="15"/>
      <c r="DYU598" s="50"/>
      <c r="DYV598" s="50"/>
      <c r="DYW598" s="46"/>
      <c r="DYX598" s="47"/>
      <c r="DYY598" s="46"/>
      <c r="DYZ598" s="48"/>
      <c r="DZA598" s="53"/>
      <c r="DZH598" s="15"/>
      <c r="DZI598" s="50"/>
      <c r="DZJ598" s="50"/>
      <c r="DZK598" s="46"/>
      <c r="DZL598" s="47"/>
      <c r="DZM598" s="46"/>
      <c r="DZN598" s="48"/>
      <c r="DZO598" s="53"/>
      <c r="DZV598" s="15"/>
      <c r="DZW598" s="50"/>
      <c r="DZX598" s="50"/>
      <c r="DZY598" s="46"/>
      <c r="DZZ598" s="47"/>
      <c r="EAA598" s="46"/>
      <c r="EAB598" s="48"/>
      <c r="EAC598" s="53"/>
      <c r="EAJ598" s="15"/>
      <c r="EAK598" s="50"/>
      <c r="EAL598" s="50"/>
      <c r="EAM598" s="46"/>
      <c r="EAN598" s="47"/>
      <c r="EAO598" s="46"/>
      <c r="EAP598" s="48"/>
      <c r="EAQ598" s="53"/>
      <c r="EAX598" s="15"/>
      <c r="EAY598" s="50"/>
      <c r="EAZ598" s="50"/>
      <c r="EBA598" s="46"/>
      <c r="EBB598" s="47"/>
      <c r="EBC598" s="46"/>
      <c r="EBD598" s="48"/>
      <c r="EBE598" s="53"/>
      <c r="EBL598" s="15"/>
      <c r="EBM598" s="50"/>
      <c r="EBN598" s="50"/>
      <c r="EBO598" s="46"/>
      <c r="EBP598" s="47"/>
      <c r="EBQ598" s="46"/>
      <c r="EBR598" s="48"/>
      <c r="EBS598" s="53"/>
      <c r="EBZ598" s="15"/>
      <c r="ECA598" s="50"/>
      <c r="ECB598" s="50"/>
      <c r="ECC598" s="46"/>
      <c r="ECD598" s="47"/>
      <c r="ECE598" s="46"/>
      <c r="ECF598" s="48"/>
      <c r="ECG598" s="53"/>
      <c r="ECN598" s="15"/>
      <c r="ECO598" s="50"/>
      <c r="ECP598" s="50"/>
      <c r="ECQ598" s="46"/>
      <c r="ECR598" s="47"/>
      <c r="ECS598" s="46"/>
      <c r="ECT598" s="48"/>
      <c r="ECU598" s="53"/>
      <c r="EDB598" s="15"/>
      <c r="EDC598" s="50"/>
      <c r="EDD598" s="50"/>
      <c r="EDE598" s="46"/>
      <c r="EDF598" s="47"/>
      <c r="EDG598" s="46"/>
      <c r="EDH598" s="48"/>
      <c r="EDI598" s="53"/>
      <c r="EDP598" s="15"/>
      <c r="EDQ598" s="50"/>
      <c r="EDR598" s="50"/>
      <c r="EDS598" s="46"/>
      <c r="EDT598" s="47"/>
      <c r="EDU598" s="46"/>
      <c r="EDV598" s="48"/>
      <c r="EDW598" s="53"/>
      <c r="EED598" s="15"/>
      <c r="EEE598" s="50"/>
      <c r="EEF598" s="50"/>
      <c r="EEG598" s="46"/>
      <c r="EEH598" s="47"/>
      <c r="EEI598" s="46"/>
      <c r="EEJ598" s="48"/>
      <c r="EEK598" s="53"/>
      <c r="EER598" s="15"/>
      <c r="EES598" s="50"/>
      <c r="EET598" s="50"/>
      <c r="EEU598" s="46"/>
      <c r="EEV598" s="47"/>
      <c r="EEW598" s="46"/>
      <c r="EEX598" s="48"/>
      <c r="EEY598" s="53"/>
      <c r="EFF598" s="15"/>
      <c r="EFG598" s="50"/>
      <c r="EFH598" s="50"/>
      <c r="EFI598" s="46"/>
      <c r="EFJ598" s="47"/>
      <c r="EFK598" s="46"/>
      <c r="EFL598" s="48"/>
      <c r="EFM598" s="53"/>
      <c r="EFT598" s="15"/>
      <c r="EFU598" s="50"/>
      <c r="EFV598" s="50"/>
      <c r="EFW598" s="46"/>
      <c r="EFX598" s="47"/>
      <c r="EFY598" s="46"/>
      <c r="EFZ598" s="48"/>
      <c r="EGA598" s="53"/>
      <c r="EGH598" s="15"/>
      <c r="EGI598" s="50"/>
      <c r="EGJ598" s="50"/>
      <c r="EGK598" s="46"/>
      <c r="EGL598" s="47"/>
      <c r="EGM598" s="46"/>
      <c r="EGN598" s="48"/>
      <c r="EGO598" s="53"/>
      <c r="EGV598" s="15"/>
      <c r="EGW598" s="50"/>
      <c r="EGX598" s="50"/>
      <c r="EGY598" s="46"/>
      <c r="EGZ598" s="47"/>
      <c r="EHA598" s="46"/>
      <c r="EHB598" s="48"/>
      <c r="EHC598" s="53"/>
      <c r="EHJ598" s="15"/>
      <c r="EHK598" s="50"/>
      <c r="EHL598" s="50"/>
      <c r="EHM598" s="46"/>
      <c r="EHN598" s="47"/>
      <c r="EHO598" s="46"/>
      <c r="EHP598" s="48"/>
      <c r="EHQ598" s="53"/>
      <c r="EHX598" s="15"/>
      <c r="EHY598" s="50"/>
      <c r="EHZ598" s="50"/>
      <c r="EIA598" s="46"/>
      <c r="EIB598" s="47"/>
      <c r="EIC598" s="46"/>
      <c r="EID598" s="48"/>
      <c r="EIE598" s="53"/>
      <c r="EIL598" s="15"/>
      <c r="EIM598" s="50"/>
      <c r="EIN598" s="50"/>
      <c r="EIO598" s="46"/>
      <c r="EIP598" s="47"/>
      <c r="EIQ598" s="46"/>
      <c r="EIR598" s="48"/>
      <c r="EIS598" s="53"/>
      <c r="EIZ598" s="15"/>
      <c r="EJA598" s="50"/>
      <c r="EJB598" s="50"/>
      <c r="EJC598" s="46"/>
      <c r="EJD598" s="47"/>
      <c r="EJE598" s="46"/>
      <c r="EJF598" s="48"/>
      <c r="EJG598" s="53"/>
      <c r="EJN598" s="15"/>
      <c r="EJO598" s="50"/>
      <c r="EJP598" s="50"/>
      <c r="EJQ598" s="46"/>
      <c r="EJR598" s="47"/>
      <c r="EJS598" s="46"/>
      <c r="EJT598" s="48"/>
      <c r="EJU598" s="53"/>
      <c r="EKB598" s="15"/>
      <c r="EKC598" s="50"/>
      <c r="EKD598" s="50"/>
      <c r="EKE598" s="46"/>
      <c r="EKF598" s="47"/>
      <c r="EKG598" s="46"/>
      <c r="EKH598" s="48"/>
      <c r="EKI598" s="53"/>
      <c r="EKP598" s="15"/>
      <c r="EKQ598" s="50"/>
      <c r="EKR598" s="50"/>
      <c r="EKS598" s="46"/>
      <c r="EKT598" s="47"/>
      <c r="EKU598" s="46"/>
      <c r="EKV598" s="48"/>
      <c r="EKW598" s="53"/>
      <c r="ELD598" s="15"/>
      <c r="ELE598" s="50"/>
      <c r="ELF598" s="50"/>
      <c r="ELG598" s="46"/>
      <c r="ELH598" s="47"/>
      <c r="ELI598" s="46"/>
      <c r="ELJ598" s="48"/>
      <c r="ELK598" s="53"/>
      <c r="ELR598" s="15"/>
      <c r="ELS598" s="50"/>
      <c r="ELT598" s="50"/>
      <c r="ELU598" s="46"/>
      <c r="ELV598" s="47"/>
      <c r="ELW598" s="46"/>
      <c r="ELX598" s="48"/>
      <c r="ELY598" s="53"/>
      <c r="EMF598" s="15"/>
      <c r="EMG598" s="50"/>
      <c r="EMH598" s="50"/>
      <c r="EMI598" s="46"/>
      <c r="EMJ598" s="47"/>
      <c r="EMK598" s="46"/>
      <c r="EML598" s="48"/>
      <c r="EMM598" s="53"/>
      <c r="EMT598" s="15"/>
      <c r="EMU598" s="50"/>
      <c r="EMV598" s="50"/>
      <c r="EMW598" s="46"/>
      <c r="EMX598" s="47"/>
      <c r="EMY598" s="46"/>
      <c r="EMZ598" s="48"/>
      <c r="ENA598" s="53"/>
      <c r="ENH598" s="15"/>
      <c r="ENI598" s="50"/>
      <c r="ENJ598" s="50"/>
      <c r="ENK598" s="46"/>
      <c r="ENL598" s="47"/>
      <c r="ENM598" s="46"/>
      <c r="ENN598" s="48"/>
      <c r="ENO598" s="53"/>
      <c r="ENV598" s="15"/>
      <c r="ENW598" s="50"/>
      <c r="ENX598" s="50"/>
      <c r="ENY598" s="46"/>
      <c r="ENZ598" s="47"/>
      <c r="EOA598" s="46"/>
      <c r="EOB598" s="48"/>
      <c r="EOC598" s="53"/>
      <c r="EOJ598" s="15"/>
      <c r="EOK598" s="50"/>
      <c r="EOL598" s="50"/>
      <c r="EOM598" s="46"/>
      <c r="EON598" s="47"/>
      <c r="EOO598" s="46"/>
      <c r="EOP598" s="48"/>
      <c r="EOQ598" s="53"/>
      <c r="EOX598" s="15"/>
      <c r="EOY598" s="50"/>
      <c r="EOZ598" s="50"/>
      <c r="EPA598" s="46"/>
      <c r="EPB598" s="47"/>
      <c r="EPC598" s="46"/>
      <c r="EPD598" s="48"/>
      <c r="EPE598" s="53"/>
      <c r="EPL598" s="15"/>
      <c r="EPM598" s="50"/>
      <c r="EPN598" s="50"/>
      <c r="EPO598" s="46"/>
      <c r="EPP598" s="47"/>
      <c r="EPQ598" s="46"/>
      <c r="EPR598" s="48"/>
      <c r="EPS598" s="53"/>
      <c r="EPZ598" s="15"/>
      <c r="EQA598" s="50"/>
      <c r="EQB598" s="50"/>
      <c r="EQC598" s="46"/>
      <c r="EQD598" s="47"/>
      <c r="EQE598" s="46"/>
      <c r="EQF598" s="48"/>
      <c r="EQG598" s="53"/>
      <c r="EQN598" s="15"/>
      <c r="EQO598" s="50"/>
      <c r="EQP598" s="50"/>
      <c r="EQQ598" s="46"/>
      <c r="EQR598" s="47"/>
      <c r="EQS598" s="46"/>
      <c r="EQT598" s="48"/>
      <c r="EQU598" s="53"/>
      <c r="ERB598" s="15"/>
      <c r="ERC598" s="50"/>
      <c r="ERD598" s="50"/>
      <c r="ERE598" s="46"/>
      <c r="ERF598" s="47"/>
      <c r="ERG598" s="46"/>
      <c r="ERH598" s="48"/>
      <c r="ERI598" s="53"/>
      <c r="ERP598" s="15"/>
      <c r="ERQ598" s="50"/>
      <c r="ERR598" s="50"/>
      <c r="ERS598" s="46"/>
      <c r="ERT598" s="47"/>
      <c r="ERU598" s="46"/>
      <c r="ERV598" s="48"/>
      <c r="ERW598" s="53"/>
      <c r="ESD598" s="15"/>
      <c r="ESE598" s="50"/>
      <c r="ESF598" s="50"/>
      <c r="ESG598" s="46"/>
      <c r="ESH598" s="47"/>
      <c r="ESI598" s="46"/>
      <c r="ESJ598" s="48"/>
      <c r="ESK598" s="53"/>
      <c r="ESR598" s="15"/>
      <c r="ESS598" s="50"/>
      <c r="EST598" s="50"/>
      <c r="ESU598" s="46"/>
      <c r="ESV598" s="47"/>
      <c r="ESW598" s="46"/>
      <c r="ESX598" s="48"/>
      <c r="ESY598" s="53"/>
      <c r="ETF598" s="15"/>
      <c r="ETG598" s="50"/>
      <c r="ETH598" s="50"/>
      <c r="ETI598" s="46"/>
      <c r="ETJ598" s="47"/>
      <c r="ETK598" s="46"/>
      <c r="ETL598" s="48"/>
      <c r="ETM598" s="53"/>
      <c r="ETT598" s="15"/>
      <c r="ETU598" s="50"/>
      <c r="ETV598" s="50"/>
      <c r="ETW598" s="46"/>
      <c r="ETX598" s="47"/>
      <c r="ETY598" s="46"/>
      <c r="ETZ598" s="48"/>
      <c r="EUA598" s="53"/>
      <c r="EUH598" s="15"/>
      <c r="EUI598" s="50"/>
      <c r="EUJ598" s="50"/>
      <c r="EUK598" s="46"/>
      <c r="EUL598" s="47"/>
      <c r="EUM598" s="46"/>
      <c r="EUN598" s="48"/>
      <c r="EUO598" s="53"/>
      <c r="EUV598" s="15"/>
      <c r="EUW598" s="50"/>
      <c r="EUX598" s="50"/>
      <c r="EUY598" s="46"/>
      <c r="EUZ598" s="47"/>
      <c r="EVA598" s="46"/>
      <c r="EVB598" s="48"/>
      <c r="EVC598" s="53"/>
      <c r="EVJ598" s="15"/>
      <c r="EVK598" s="50"/>
      <c r="EVL598" s="50"/>
      <c r="EVM598" s="46"/>
      <c r="EVN598" s="47"/>
      <c r="EVO598" s="46"/>
      <c r="EVP598" s="48"/>
      <c r="EVQ598" s="53"/>
      <c r="EVX598" s="15"/>
      <c r="EVY598" s="50"/>
      <c r="EVZ598" s="50"/>
      <c r="EWA598" s="46"/>
      <c r="EWB598" s="47"/>
      <c r="EWC598" s="46"/>
      <c r="EWD598" s="48"/>
      <c r="EWE598" s="53"/>
      <c r="EWL598" s="15"/>
      <c r="EWM598" s="50"/>
      <c r="EWN598" s="50"/>
      <c r="EWO598" s="46"/>
      <c r="EWP598" s="47"/>
      <c r="EWQ598" s="46"/>
      <c r="EWR598" s="48"/>
      <c r="EWS598" s="53"/>
      <c r="EWZ598" s="15"/>
      <c r="EXA598" s="50"/>
      <c r="EXB598" s="50"/>
      <c r="EXC598" s="46"/>
      <c r="EXD598" s="47"/>
      <c r="EXE598" s="46"/>
      <c r="EXF598" s="48"/>
      <c r="EXG598" s="53"/>
      <c r="EXN598" s="15"/>
      <c r="EXO598" s="50"/>
      <c r="EXP598" s="50"/>
      <c r="EXQ598" s="46"/>
      <c r="EXR598" s="47"/>
      <c r="EXS598" s="46"/>
      <c r="EXT598" s="48"/>
      <c r="EXU598" s="53"/>
      <c r="EYB598" s="15"/>
      <c r="EYC598" s="50"/>
      <c r="EYD598" s="50"/>
      <c r="EYE598" s="46"/>
      <c r="EYF598" s="47"/>
      <c r="EYG598" s="46"/>
      <c r="EYH598" s="48"/>
      <c r="EYI598" s="53"/>
      <c r="EYP598" s="15"/>
      <c r="EYQ598" s="50"/>
      <c r="EYR598" s="50"/>
      <c r="EYS598" s="46"/>
      <c r="EYT598" s="47"/>
      <c r="EYU598" s="46"/>
      <c r="EYV598" s="48"/>
      <c r="EYW598" s="53"/>
      <c r="EZD598" s="15"/>
      <c r="EZE598" s="50"/>
      <c r="EZF598" s="50"/>
      <c r="EZG598" s="46"/>
      <c r="EZH598" s="47"/>
      <c r="EZI598" s="46"/>
      <c r="EZJ598" s="48"/>
      <c r="EZK598" s="53"/>
      <c r="EZR598" s="15"/>
      <c r="EZS598" s="50"/>
      <c r="EZT598" s="50"/>
      <c r="EZU598" s="46"/>
      <c r="EZV598" s="47"/>
      <c r="EZW598" s="46"/>
      <c r="EZX598" s="48"/>
      <c r="EZY598" s="53"/>
      <c r="FAF598" s="15"/>
      <c r="FAG598" s="50"/>
      <c r="FAH598" s="50"/>
      <c r="FAI598" s="46"/>
      <c r="FAJ598" s="47"/>
      <c r="FAK598" s="46"/>
      <c r="FAL598" s="48"/>
      <c r="FAM598" s="53"/>
      <c r="FAT598" s="15"/>
      <c r="FAU598" s="50"/>
      <c r="FAV598" s="50"/>
      <c r="FAW598" s="46"/>
      <c r="FAX598" s="47"/>
      <c r="FAY598" s="46"/>
      <c r="FAZ598" s="48"/>
      <c r="FBA598" s="53"/>
      <c r="FBH598" s="15"/>
      <c r="FBI598" s="50"/>
      <c r="FBJ598" s="50"/>
      <c r="FBK598" s="46"/>
      <c r="FBL598" s="47"/>
      <c r="FBM598" s="46"/>
      <c r="FBN598" s="48"/>
      <c r="FBO598" s="53"/>
      <c r="FBV598" s="15"/>
      <c r="FBW598" s="50"/>
      <c r="FBX598" s="50"/>
      <c r="FBY598" s="46"/>
      <c r="FBZ598" s="47"/>
      <c r="FCA598" s="46"/>
      <c r="FCB598" s="48"/>
      <c r="FCC598" s="53"/>
      <c r="FCJ598" s="15"/>
      <c r="FCK598" s="50"/>
      <c r="FCL598" s="50"/>
      <c r="FCM598" s="46"/>
      <c r="FCN598" s="47"/>
      <c r="FCO598" s="46"/>
      <c r="FCP598" s="48"/>
      <c r="FCQ598" s="53"/>
      <c r="FCX598" s="15"/>
      <c r="FCY598" s="50"/>
      <c r="FCZ598" s="50"/>
      <c r="FDA598" s="46"/>
      <c r="FDB598" s="47"/>
      <c r="FDC598" s="46"/>
      <c r="FDD598" s="48"/>
      <c r="FDE598" s="53"/>
      <c r="FDL598" s="15"/>
      <c r="FDM598" s="50"/>
      <c r="FDN598" s="50"/>
      <c r="FDO598" s="46"/>
      <c r="FDP598" s="47"/>
      <c r="FDQ598" s="46"/>
      <c r="FDR598" s="48"/>
      <c r="FDS598" s="53"/>
      <c r="FDZ598" s="15"/>
      <c r="FEA598" s="50"/>
      <c r="FEB598" s="50"/>
      <c r="FEC598" s="46"/>
      <c r="FED598" s="47"/>
      <c r="FEE598" s="46"/>
      <c r="FEF598" s="48"/>
      <c r="FEG598" s="53"/>
      <c r="FEN598" s="15"/>
      <c r="FEO598" s="50"/>
      <c r="FEP598" s="50"/>
      <c r="FEQ598" s="46"/>
      <c r="FER598" s="47"/>
      <c r="FES598" s="46"/>
      <c r="FET598" s="48"/>
      <c r="FEU598" s="53"/>
      <c r="FFB598" s="15"/>
      <c r="FFC598" s="50"/>
      <c r="FFD598" s="50"/>
      <c r="FFE598" s="46"/>
      <c r="FFF598" s="47"/>
      <c r="FFG598" s="46"/>
      <c r="FFH598" s="48"/>
      <c r="FFI598" s="53"/>
      <c r="FFP598" s="15"/>
      <c r="FFQ598" s="50"/>
      <c r="FFR598" s="50"/>
      <c r="FFS598" s="46"/>
      <c r="FFT598" s="47"/>
      <c r="FFU598" s="46"/>
      <c r="FFV598" s="48"/>
      <c r="FFW598" s="53"/>
      <c r="FGD598" s="15"/>
      <c r="FGE598" s="50"/>
      <c r="FGF598" s="50"/>
      <c r="FGG598" s="46"/>
      <c r="FGH598" s="47"/>
      <c r="FGI598" s="46"/>
      <c r="FGJ598" s="48"/>
      <c r="FGK598" s="53"/>
      <c r="FGR598" s="15"/>
      <c r="FGS598" s="50"/>
      <c r="FGT598" s="50"/>
      <c r="FGU598" s="46"/>
      <c r="FGV598" s="47"/>
      <c r="FGW598" s="46"/>
      <c r="FGX598" s="48"/>
      <c r="FGY598" s="53"/>
      <c r="FHF598" s="15"/>
      <c r="FHG598" s="50"/>
      <c r="FHH598" s="50"/>
      <c r="FHI598" s="46"/>
      <c r="FHJ598" s="47"/>
      <c r="FHK598" s="46"/>
      <c r="FHL598" s="48"/>
      <c r="FHM598" s="53"/>
      <c r="FHT598" s="15"/>
      <c r="FHU598" s="50"/>
      <c r="FHV598" s="50"/>
      <c r="FHW598" s="46"/>
      <c r="FHX598" s="47"/>
      <c r="FHY598" s="46"/>
      <c r="FHZ598" s="48"/>
      <c r="FIA598" s="53"/>
      <c r="FIH598" s="15"/>
      <c r="FII598" s="50"/>
      <c r="FIJ598" s="50"/>
      <c r="FIK598" s="46"/>
      <c r="FIL598" s="47"/>
      <c r="FIM598" s="46"/>
      <c r="FIN598" s="48"/>
      <c r="FIO598" s="53"/>
      <c r="FIV598" s="15"/>
      <c r="FIW598" s="50"/>
      <c r="FIX598" s="50"/>
      <c r="FIY598" s="46"/>
      <c r="FIZ598" s="47"/>
      <c r="FJA598" s="46"/>
      <c r="FJB598" s="48"/>
      <c r="FJC598" s="53"/>
      <c r="FJJ598" s="15"/>
      <c r="FJK598" s="50"/>
      <c r="FJL598" s="50"/>
      <c r="FJM598" s="46"/>
      <c r="FJN598" s="47"/>
      <c r="FJO598" s="46"/>
      <c r="FJP598" s="48"/>
      <c r="FJQ598" s="53"/>
      <c r="FJX598" s="15"/>
      <c r="FJY598" s="50"/>
      <c r="FJZ598" s="50"/>
      <c r="FKA598" s="46"/>
      <c r="FKB598" s="47"/>
      <c r="FKC598" s="46"/>
      <c r="FKD598" s="48"/>
      <c r="FKE598" s="53"/>
      <c r="FKL598" s="15"/>
      <c r="FKM598" s="50"/>
      <c r="FKN598" s="50"/>
      <c r="FKO598" s="46"/>
      <c r="FKP598" s="47"/>
      <c r="FKQ598" s="46"/>
      <c r="FKR598" s="48"/>
      <c r="FKS598" s="53"/>
      <c r="FKZ598" s="15"/>
      <c r="FLA598" s="50"/>
      <c r="FLB598" s="50"/>
      <c r="FLC598" s="46"/>
      <c r="FLD598" s="47"/>
      <c r="FLE598" s="46"/>
      <c r="FLF598" s="48"/>
      <c r="FLG598" s="53"/>
      <c r="FLN598" s="15"/>
      <c r="FLO598" s="50"/>
      <c r="FLP598" s="50"/>
      <c r="FLQ598" s="46"/>
      <c r="FLR598" s="47"/>
      <c r="FLS598" s="46"/>
      <c r="FLT598" s="48"/>
      <c r="FLU598" s="53"/>
      <c r="FMB598" s="15"/>
      <c r="FMC598" s="50"/>
      <c r="FMD598" s="50"/>
      <c r="FME598" s="46"/>
      <c r="FMF598" s="47"/>
      <c r="FMG598" s="46"/>
      <c r="FMH598" s="48"/>
      <c r="FMI598" s="53"/>
      <c r="FMP598" s="15"/>
      <c r="FMQ598" s="50"/>
      <c r="FMR598" s="50"/>
      <c r="FMS598" s="46"/>
      <c r="FMT598" s="47"/>
      <c r="FMU598" s="46"/>
      <c r="FMV598" s="48"/>
      <c r="FMW598" s="53"/>
      <c r="FND598" s="15"/>
      <c r="FNE598" s="50"/>
      <c r="FNF598" s="50"/>
      <c r="FNG598" s="46"/>
      <c r="FNH598" s="47"/>
      <c r="FNI598" s="46"/>
      <c r="FNJ598" s="48"/>
      <c r="FNK598" s="53"/>
      <c r="FNR598" s="15"/>
      <c r="FNS598" s="50"/>
      <c r="FNT598" s="50"/>
      <c r="FNU598" s="46"/>
      <c r="FNV598" s="47"/>
      <c r="FNW598" s="46"/>
      <c r="FNX598" s="48"/>
      <c r="FNY598" s="53"/>
      <c r="FOF598" s="15"/>
      <c r="FOG598" s="50"/>
      <c r="FOH598" s="50"/>
      <c r="FOI598" s="46"/>
      <c r="FOJ598" s="47"/>
      <c r="FOK598" s="46"/>
      <c r="FOL598" s="48"/>
      <c r="FOM598" s="53"/>
      <c r="FOT598" s="15"/>
      <c r="FOU598" s="50"/>
      <c r="FOV598" s="50"/>
      <c r="FOW598" s="46"/>
      <c r="FOX598" s="47"/>
      <c r="FOY598" s="46"/>
      <c r="FOZ598" s="48"/>
      <c r="FPA598" s="53"/>
      <c r="FPH598" s="15"/>
      <c r="FPI598" s="50"/>
      <c r="FPJ598" s="50"/>
      <c r="FPK598" s="46"/>
      <c r="FPL598" s="47"/>
      <c r="FPM598" s="46"/>
      <c r="FPN598" s="48"/>
      <c r="FPO598" s="53"/>
      <c r="FPV598" s="15"/>
      <c r="FPW598" s="50"/>
      <c r="FPX598" s="50"/>
      <c r="FPY598" s="46"/>
      <c r="FPZ598" s="47"/>
      <c r="FQA598" s="46"/>
      <c r="FQB598" s="48"/>
      <c r="FQC598" s="53"/>
      <c r="FQJ598" s="15"/>
      <c r="FQK598" s="50"/>
      <c r="FQL598" s="50"/>
      <c r="FQM598" s="46"/>
      <c r="FQN598" s="47"/>
      <c r="FQO598" s="46"/>
      <c r="FQP598" s="48"/>
      <c r="FQQ598" s="53"/>
      <c r="FQX598" s="15"/>
      <c r="FQY598" s="50"/>
      <c r="FQZ598" s="50"/>
      <c r="FRA598" s="46"/>
      <c r="FRB598" s="47"/>
      <c r="FRC598" s="46"/>
      <c r="FRD598" s="48"/>
      <c r="FRE598" s="53"/>
      <c r="FRL598" s="15"/>
      <c r="FRM598" s="50"/>
      <c r="FRN598" s="50"/>
      <c r="FRO598" s="46"/>
      <c r="FRP598" s="47"/>
      <c r="FRQ598" s="46"/>
      <c r="FRR598" s="48"/>
      <c r="FRS598" s="53"/>
      <c r="FRZ598" s="15"/>
      <c r="FSA598" s="50"/>
      <c r="FSB598" s="50"/>
      <c r="FSC598" s="46"/>
      <c r="FSD598" s="47"/>
      <c r="FSE598" s="46"/>
      <c r="FSF598" s="48"/>
      <c r="FSG598" s="53"/>
      <c r="FSN598" s="15"/>
      <c r="FSO598" s="50"/>
      <c r="FSP598" s="50"/>
      <c r="FSQ598" s="46"/>
      <c r="FSR598" s="47"/>
      <c r="FSS598" s="46"/>
      <c r="FST598" s="48"/>
      <c r="FSU598" s="53"/>
      <c r="FTB598" s="15"/>
      <c r="FTC598" s="50"/>
      <c r="FTD598" s="50"/>
      <c r="FTE598" s="46"/>
      <c r="FTF598" s="47"/>
      <c r="FTG598" s="46"/>
      <c r="FTH598" s="48"/>
      <c r="FTI598" s="53"/>
      <c r="FTP598" s="15"/>
      <c r="FTQ598" s="50"/>
      <c r="FTR598" s="50"/>
      <c r="FTS598" s="46"/>
      <c r="FTT598" s="47"/>
      <c r="FTU598" s="46"/>
      <c r="FTV598" s="48"/>
      <c r="FTW598" s="53"/>
      <c r="FUD598" s="15"/>
      <c r="FUE598" s="50"/>
      <c r="FUF598" s="50"/>
      <c r="FUG598" s="46"/>
      <c r="FUH598" s="47"/>
      <c r="FUI598" s="46"/>
      <c r="FUJ598" s="48"/>
      <c r="FUK598" s="53"/>
      <c r="FUR598" s="15"/>
      <c r="FUS598" s="50"/>
      <c r="FUT598" s="50"/>
      <c r="FUU598" s="46"/>
      <c r="FUV598" s="47"/>
      <c r="FUW598" s="46"/>
      <c r="FUX598" s="48"/>
      <c r="FUY598" s="53"/>
      <c r="FVF598" s="15"/>
      <c r="FVG598" s="50"/>
      <c r="FVH598" s="50"/>
      <c r="FVI598" s="46"/>
      <c r="FVJ598" s="47"/>
      <c r="FVK598" s="46"/>
      <c r="FVL598" s="48"/>
      <c r="FVM598" s="53"/>
      <c r="FVT598" s="15"/>
      <c r="FVU598" s="50"/>
      <c r="FVV598" s="50"/>
      <c r="FVW598" s="46"/>
      <c r="FVX598" s="47"/>
      <c r="FVY598" s="46"/>
      <c r="FVZ598" s="48"/>
      <c r="FWA598" s="53"/>
      <c r="FWH598" s="15"/>
      <c r="FWI598" s="50"/>
      <c r="FWJ598" s="50"/>
      <c r="FWK598" s="46"/>
      <c r="FWL598" s="47"/>
      <c r="FWM598" s="46"/>
      <c r="FWN598" s="48"/>
      <c r="FWO598" s="53"/>
      <c r="FWV598" s="15"/>
      <c r="FWW598" s="50"/>
      <c r="FWX598" s="50"/>
      <c r="FWY598" s="46"/>
      <c r="FWZ598" s="47"/>
      <c r="FXA598" s="46"/>
      <c r="FXB598" s="48"/>
      <c r="FXC598" s="53"/>
      <c r="FXJ598" s="15"/>
      <c r="FXK598" s="50"/>
      <c r="FXL598" s="50"/>
      <c r="FXM598" s="46"/>
      <c r="FXN598" s="47"/>
      <c r="FXO598" s="46"/>
      <c r="FXP598" s="48"/>
      <c r="FXQ598" s="53"/>
      <c r="FXX598" s="15"/>
      <c r="FXY598" s="50"/>
      <c r="FXZ598" s="50"/>
      <c r="FYA598" s="46"/>
      <c r="FYB598" s="47"/>
      <c r="FYC598" s="46"/>
      <c r="FYD598" s="48"/>
      <c r="FYE598" s="53"/>
      <c r="FYL598" s="15"/>
      <c r="FYM598" s="50"/>
      <c r="FYN598" s="50"/>
      <c r="FYO598" s="46"/>
      <c r="FYP598" s="47"/>
      <c r="FYQ598" s="46"/>
      <c r="FYR598" s="48"/>
      <c r="FYS598" s="53"/>
      <c r="FYZ598" s="15"/>
      <c r="FZA598" s="50"/>
      <c r="FZB598" s="50"/>
      <c r="FZC598" s="46"/>
      <c r="FZD598" s="47"/>
      <c r="FZE598" s="46"/>
      <c r="FZF598" s="48"/>
      <c r="FZG598" s="53"/>
      <c r="FZN598" s="15"/>
      <c r="FZO598" s="50"/>
      <c r="FZP598" s="50"/>
      <c r="FZQ598" s="46"/>
      <c r="FZR598" s="47"/>
      <c r="FZS598" s="46"/>
      <c r="FZT598" s="48"/>
      <c r="FZU598" s="53"/>
      <c r="GAB598" s="15"/>
      <c r="GAC598" s="50"/>
      <c r="GAD598" s="50"/>
      <c r="GAE598" s="46"/>
      <c r="GAF598" s="47"/>
      <c r="GAG598" s="46"/>
      <c r="GAH598" s="48"/>
      <c r="GAI598" s="53"/>
      <c r="GAP598" s="15"/>
      <c r="GAQ598" s="50"/>
      <c r="GAR598" s="50"/>
      <c r="GAS598" s="46"/>
      <c r="GAT598" s="47"/>
      <c r="GAU598" s="46"/>
      <c r="GAV598" s="48"/>
      <c r="GAW598" s="53"/>
      <c r="GBD598" s="15"/>
      <c r="GBE598" s="50"/>
      <c r="GBF598" s="50"/>
      <c r="GBG598" s="46"/>
      <c r="GBH598" s="47"/>
      <c r="GBI598" s="46"/>
      <c r="GBJ598" s="48"/>
      <c r="GBK598" s="53"/>
      <c r="GBR598" s="15"/>
      <c r="GBS598" s="50"/>
      <c r="GBT598" s="50"/>
      <c r="GBU598" s="46"/>
      <c r="GBV598" s="47"/>
      <c r="GBW598" s="46"/>
      <c r="GBX598" s="48"/>
      <c r="GBY598" s="53"/>
      <c r="GCF598" s="15"/>
      <c r="GCG598" s="50"/>
      <c r="GCH598" s="50"/>
      <c r="GCI598" s="46"/>
      <c r="GCJ598" s="47"/>
      <c r="GCK598" s="46"/>
      <c r="GCL598" s="48"/>
      <c r="GCM598" s="53"/>
      <c r="GCT598" s="15"/>
      <c r="GCU598" s="50"/>
      <c r="GCV598" s="50"/>
      <c r="GCW598" s="46"/>
      <c r="GCX598" s="47"/>
      <c r="GCY598" s="46"/>
      <c r="GCZ598" s="48"/>
      <c r="GDA598" s="53"/>
      <c r="GDH598" s="15"/>
      <c r="GDI598" s="50"/>
      <c r="GDJ598" s="50"/>
      <c r="GDK598" s="46"/>
      <c r="GDL598" s="47"/>
      <c r="GDM598" s="46"/>
      <c r="GDN598" s="48"/>
      <c r="GDO598" s="53"/>
      <c r="GDV598" s="15"/>
      <c r="GDW598" s="50"/>
      <c r="GDX598" s="50"/>
      <c r="GDY598" s="46"/>
      <c r="GDZ598" s="47"/>
      <c r="GEA598" s="46"/>
      <c r="GEB598" s="48"/>
      <c r="GEC598" s="53"/>
      <c r="GEJ598" s="15"/>
      <c r="GEK598" s="50"/>
      <c r="GEL598" s="50"/>
      <c r="GEM598" s="46"/>
      <c r="GEN598" s="47"/>
      <c r="GEO598" s="46"/>
      <c r="GEP598" s="48"/>
      <c r="GEQ598" s="53"/>
      <c r="GEX598" s="15"/>
      <c r="GEY598" s="50"/>
      <c r="GEZ598" s="50"/>
      <c r="GFA598" s="46"/>
      <c r="GFB598" s="47"/>
      <c r="GFC598" s="46"/>
      <c r="GFD598" s="48"/>
      <c r="GFE598" s="53"/>
      <c r="GFL598" s="15"/>
      <c r="GFM598" s="50"/>
      <c r="GFN598" s="50"/>
      <c r="GFO598" s="46"/>
      <c r="GFP598" s="47"/>
      <c r="GFQ598" s="46"/>
      <c r="GFR598" s="48"/>
      <c r="GFS598" s="53"/>
      <c r="GFZ598" s="15"/>
      <c r="GGA598" s="50"/>
      <c r="GGB598" s="50"/>
      <c r="GGC598" s="46"/>
      <c r="GGD598" s="47"/>
      <c r="GGE598" s="46"/>
      <c r="GGF598" s="48"/>
      <c r="GGG598" s="53"/>
      <c r="GGN598" s="15"/>
      <c r="GGO598" s="50"/>
      <c r="GGP598" s="50"/>
      <c r="GGQ598" s="46"/>
      <c r="GGR598" s="47"/>
      <c r="GGS598" s="46"/>
      <c r="GGT598" s="48"/>
      <c r="GGU598" s="53"/>
      <c r="GHB598" s="15"/>
      <c r="GHC598" s="50"/>
      <c r="GHD598" s="50"/>
      <c r="GHE598" s="46"/>
      <c r="GHF598" s="47"/>
      <c r="GHG598" s="46"/>
      <c r="GHH598" s="48"/>
      <c r="GHI598" s="53"/>
      <c r="GHP598" s="15"/>
      <c r="GHQ598" s="50"/>
      <c r="GHR598" s="50"/>
      <c r="GHS598" s="46"/>
      <c r="GHT598" s="47"/>
      <c r="GHU598" s="46"/>
      <c r="GHV598" s="48"/>
      <c r="GHW598" s="53"/>
      <c r="GID598" s="15"/>
      <c r="GIE598" s="50"/>
      <c r="GIF598" s="50"/>
      <c r="GIG598" s="46"/>
      <c r="GIH598" s="47"/>
      <c r="GII598" s="46"/>
      <c r="GIJ598" s="48"/>
      <c r="GIK598" s="53"/>
      <c r="GIR598" s="15"/>
      <c r="GIS598" s="50"/>
      <c r="GIT598" s="50"/>
      <c r="GIU598" s="46"/>
      <c r="GIV598" s="47"/>
      <c r="GIW598" s="46"/>
      <c r="GIX598" s="48"/>
      <c r="GIY598" s="53"/>
      <c r="GJF598" s="15"/>
      <c r="GJG598" s="50"/>
      <c r="GJH598" s="50"/>
      <c r="GJI598" s="46"/>
      <c r="GJJ598" s="47"/>
      <c r="GJK598" s="46"/>
      <c r="GJL598" s="48"/>
      <c r="GJM598" s="53"/>
      <c r="GJT598" s="15"/>
      <c r="GJU598" s="50"/>
      <c r="GJV598" s="50"/>
      <c r="GJW598" s="46"/>
      <c r="GJX598" s="47"/>
      <c r="GJY598" s="46"/>
      <c r="GJZ598" s="48"/>
      <c r="GKA598" s="53"/>
      <c r="GKH598" s="15"/>
      <c r="GKI598" s="50"/>
      <c r="GKJ598" s="50"/>
      <c r="GKK598" s="46"/>
      <c r="GKL598" s="47"/>
      <c r="GKM598" s="46"/>
      <c r="GKN598" s="48"/>
      <c r="GKO598" s="53"/>
      <c r="GKV598" s="15"/>
      <c r="GKW598" s="50"/>
      <c r="GKX598" s="50"/>
      <c r="GKY598" s="46"/>
      <c r="GKZ598" s="47"/>
      <c r="GLA598" s="46"/>
      <c r="GLB598" s="48"/>
      <c r="GLC598" s="53"/>
      <c r="GLJ598" s="15"/>
      <c r="GLK598" s="50"/>
      <c r="GLL598" s="50"/>
      <c r="GLM598" s="46"/>
      <c r="GLN598" s="47"/>
      <c r="GLO598" s="46"/>
      <c r="GLP598" s="48"/>
      <c r="GLQ598" s="53"/>
      <c r="GLX598" s="15"/>
      <c r="GLY598" s="50"/>
      <c r="GLZ598" s="50"/>
      <c r="GMA598" s="46"/>
      <c r="GMB598" s="47"/>
      <c r="GMC598" s="46"/>
      <c r="GMD598" s="48"/>
      <c r="GME598" s="53"/>
      <c r="GML598" s="15"/>
      <c r="GMM598" s="50"/>
      <c r="GMN598" s="50"/>
      <c r="GMO598" s="46"/>
      <c r="GMP598" s="47"/>
      <c r="GMQ598" s="46"/>
      <c r="GMR598" s="48"/>
      <c r="GMS598" s="53"/>
      <c r="GMZ598" s="15"/>
      <c r="GNA598" s="50"/>
      <c r="GNB598" s="50"/>
      <c r="GNC598" s="46"/>
      <c r="GND598" s="47"/>
      <c r="GNE598" s="46"/>
      <c r="GNF598" s="48"/>
      <c r="GNG598" s="53"/>
      <c r="GNN598" s="15"/>
      <c r="GNO598" s="50"/>
      <c r="GNP598" s="50"/>
      <c r="GNQ598" s="46"/>
      <c r="GNR598" s="47"/>
      <c r="GNS598" s="46"/>
      <c r="GNT598" s="48"/>
      <c r="GNU598" s="53"/>
      <c r="GOB598" s="15"/>
      <c r="GOC598" s="50"/>
      <c r="GOD598" s="50"/>
      <c r="GOE598" s="46"/>
      <c r="GOF598" s="47"/>
      <c r="GOG598" s="46"/>
      <c r="GOH598" s="48"/>
      <c r="GOI598" s="53"/>
      <c r="GOP598" s="15"/>
      <c r="GOQ598" s="50"/>
      <c r="GOR598" s="50"/>
      <c r="GOS598" s="46"/>
      <c r="GOT598" s="47"/>
      <c r="GOU598" s="46"/>
      <c r="GOV598" s="48"/>
      <c r="GOW598" s="53"/>
      <c r="GPD598" s="15"/>
      <c r="GPE598" s="50"/>
      <c r="GPF598" s="50"/>
      <c r="GPG598" s="46"/>
      <c r="GPH598" s="47"/>
      <c r="GPI598" s="46"/>
      <c r="GPJ598" s="48"/>
      <c r="GPK598" s="53"/>
      <c r="GPR598" s="15"/>
      <c r="GPS598" s="50"/>
      <c r="GPT598" s="50"/>
      <c r="GPU598" s="46"/>
      <c r="GPV598" s="47"/>
      <c r="GPW598" s="46"/>
      <c r="GPX598" s="48"/>
      <c r="GPY598" s="53"/>
      <c r="GQF598" s="15"/>
      <c r="GQG598" s="50"/>
      <c r="GQH598" s="50"/>
      <c r="GQI598" s="46"/>
      <c r="GQJ598" s="47"/>
      <c r="GQK598" s="46"/>
      <c r="GQL598" s="48"/>
      <c r="GQM598" s="53"/>
      <c r="GQT598" s="15"/>
      <c r="GQU598" s="50"/>
      <c r="GQV598" s="50"/>
      <c r="GQW598" s="46"/>
      <c r="GQX598" s="47"/>
      <c r="GQY598" s="46"/>
      <c r="GQZ598" s="48"/>
      <c r="GRA598" s="53"/>
      <c r="GRH598" s="15"/>
      <c r="GRI598" s="50"/>
      <c r="GRJ598" s="50"/>
      <c r="GRK598" s="46"/>
      <c r="GRL598" s="47"/>
      <c r="GRM598" s="46"/>
      <c r="GRN598" s="48"/>
      <c r="GRO598" s="53"/>
      <c r="GRV598" s="15"/>
      <c r="GRW598" s="50"/>
      <c r="GRX598" s="50"/>
      <c r="GRY598" s="46"/>
      <c r="GRZ598" s="47"/>
      <c r="GSA598" s="46"/>
      <c r="GSB598" s="48"/>
      <c r="GSC598" s="53"/>
      <c r="GSJ598" s="15"/>
      <c r="GSK598" s="50"/>
      <c r="GSL598" s="50"/>
      <c r="GSM598" s="46"/>
      <c r="GSN598" s="47"/>
      <c r="GSO598" s="46"/>
      <c r="GSP598" s="48"/>
      <c r="GSQ598" s="53"/>
      <c r="GSX598" s="15"/>
      <c r="GSY598" s="50"/>
      <c r="GSZ598" s="50"/>
      <c r="GTA598" s="46"/>
      <c r="GTB598" s="47"/>
      <c r="GTC598" s="46"/>
      <c r="GTD598" s="48"/>
      <c r="GTE598" s="53"/>
      <c r="GTL598" s="15"/>
      <c r="GTM598" s="50"/>
      <c r="GTN598" s="50"/>
      <c r="GTO598" s="46"/>
      <c r="GTP598" s="47"/>
      <c r="GTQ598" s="46"/>
      <c r="GTR598" s="48"/>
      <c r="GTS598" s="53"/>
      <c r="GTZ598" s="15"/>
      <c r="GUA598" s="50"/>
      <c r="GUB598" s="50"/>
      <c r="GUC598" s="46"/>
      <c r="GUD598" s="47"/>
      <c r="GUE598" s="46"/>
      <c r="GUF598" s="48"/>
      <c r="GUG598" s="53"/>
      <c r="GUN598" s="15"/>
      <c r="GUO598" s="50"/>
      <c r="GUP598" s="50"/>
      <c r="GUQ598" s="46"/>
      <c r="GUR598" s="47"/>
      <c r="GUS598" s="46"/>
      <c r="GUT598" s="48"/>
      <c r="GUU598" s="53"/>
      <c r="GVB598" s="15"/>
      <c r="GVC598" s="50"/>
      <c r="GVD598" s="50"/>
      <c r="GVE598" s="46"/>
      <c r="GVF598" s="47"/>
      <c r="GVG598" s="46"/>
      <c r="GVH598" s="48"/>
      <c r="GVI598" s="53"/>
      <c r="GVP598" s="15"/>
      <c r="GVQ598" s="50"/>
      <c r="GVR598" s="50"/>
      <c r="GVS598" s="46"/>
      <c r="GVT598" s="47"/>
      <c r="GVU598" s="46"/>
      <c r="GVV598" s="48"/>
      <c r="GVW598" s="53"/>
      <c r="GWD598" s="15"/>
      <c r="GWE598" s="50"/>
      <c r="GWF598" s="50"/>
      <c r="GWG598" s="46"/>
      <c r="GWH598" s="47"/>
      <c r="GWI598" s="46"/>
      <c r="GWJ598" s="48"/>
      <c r="GWK598" s="53"/>
      <c r="GWR598" s="15"/>
      <c r="GWS598" s="50"/>
      <c r="GWT598" s="50"/>
      <c r="GWU598" s="46"/>
      <c r="GWV598" s="47"/>
      <c r="GWW598" s="46"/>
      <c r="GWX598" s="48"/>
      <c r="GWY598" s="53"/>
      <c r="GXF598" s="15"/>
      <c r="GXG598" s="50"/>
      <c r="GXH598" s="50"/>
      <c r="GXI598" s="46"/>
      <c r="GXJ598" s="47"/>
      <c r="GXK598" s="46"/>
      <c r="GXL598" s="48"/>
      <c r="GXM598" s="53"/>
      <c r="GXT598" s="15"/>
      <c r="GXU598" s="50"/>
      <c r="GXV598" s="50"/>
      <c r="GXW598" s="46"/>
      <c r="GXX598" s="47"/>
      <c r="GXY598" s="46"/>
      <c r="GXZ598" s="48"/>
      <c r="GYA598" s="53"/>
      <c r="GYH598" s="15"/>
      <c r="GYI598" s="50"/>
      <c r="GYJ598" s="50"/>
      <c r="GYK598" s="46"/>
      <c r="GYL598" s="47"/>
      <c r="GYM598" s="46"/>
      <c r="GYN598" s="48"/>
      <c r="GYO598" s="53"/>
      <c r="GYV598" s="15"/>
      <c r="GYW598" s="50"/>
      <c r="GYX598" s="50"/>
      <c r="GYY598" s="46"/>
      <c r="GYZ598" s="47"/>
      <c r="GZA598" s="46"/>
      <c r="GZB598" s="48"/>
      <c r="GZC598" s="53"/>
      <c r="GZJ598" s="15"/>
      <c r="GZK598" s="50"/>
      <c r="GZL598" s="50"/>
      <c r="GZM598" s="46"/>
      <c r="GZN598" s="47"/>
      <c r="GZO598" s="46"/>
      <c r="GZP598" s="48"/>
      <c r="GZQ598" s="53"/>
      <c r="GZX598" s="15"/>
      <c r="GZY598" s="50"/>
      <c r="GZZ598" s="50"/>
      <c r="HAA598" s="46"/>
      <c r="HAB598" s="47"/>
      <c r="HAC598" s="46"/>
      <c r="HAD598" s="48"/>
      <c r="HAE598" s="53"/>
      <c r="HAL598" s="15"/>
      <c r="HAM598" s="50"/>
      <c r="HAN598" s="50"/>
      <c r="HAO598" s="46"/>
      <c r="HAP598" s="47"/>
      <c r="HAQ598" s="46"/>
      <c r="HAR598" s="48"/>
      <c r="HAS598" s="53"/>
      <c r="HAZ598" s="15"/>
      <c r="HBA598" s="50"/>
      <c r="HBB598" s="50"/>
      <c r="HBC598" s="46"/>
      <c r="HBD598" s="47"/>
      <c r="HBE598" s="46"/>
      <c r="HBF598" s="48"/>
      <c r="HBG598" s="53"/>
      <c r="HBN598" s="15"/>
      <c r="HBO598" s="50"/>
      <c r="HBP598" s="50"/>
      <c r="HBQ598" s="46"/>
      <c r="HBR598" s="47"/>
      <c r="HBS598" s="46"/>
      <c r="HBT598" s="48"/>
      <c r="HBU598" s="53"/>
      <c r="HCB598" s="15"/>
      <c r="HCC598" s="50"/>
      <c r="HCD598" s="50"/>
      <c r="HCE598" s="46"/>
      <c r="HCF598" s="47"/>
      <c r="HCG598" s="46"/>
      <c r="HCH598" s="48"/>
      <c r="HCI598" s="53"/>
      <c r="HCP598" s="15"/>
      <c r="HCQ598" s="50"/>
      <c r="HCR598" s="50"/>
      <c r="HCS598" s="46"/>
      <c r="HCT598" s="47"/>
      <c r="HCU598" s="46"/>
      <c r="HCV598" s="48"/>
      <c r="HCW598" s="53"/>
      <c r="HDD598" s="15"/>
      <c r="HDE598" s="50"/>
      <c r="HDF598" s="50"/>
      <c r="HDG598" s="46"/>
      <c r="HDH598" s="47"/>
      <c r="HDI598" s="46"/>
      <c r="HDJ598" s="48"/>
      <c r="HDK598" s="53"/>
      <c r="HDR598" s="15"/>
      <c r="HDS598" s="50"/>
      <c r="HDT598" s="50"/>
      <c r="HDU598" s="46"/>
      <c r="HDV598" s="47"/>
      <c r="HDW598" s="46"/>
      <c r="HDX598" s="48"/>
      <c r="HDY598" s="53"/>
      <c r="HEF598" s="15"/>
      <c r="HEG598" s="50"/>
      <c r="HEH598" s="50"/>
      <c r="HEI598" s="46"/>
      <c r="HEJ598" s="47"/>
      <c r="HEK598" s="46"/>
      <c r="HEL598" s="48"/>
      <c r="HEM598" s="53"/>
      <c r="HET598" s="15"/>
      <c r="HEU598" s="50"/>
      <c r="HEV598" s="50"/>
      <c r="HEW598" s="46"/>
      <c r="HEX598" s="47"/>
      <c r="HEY598" s="46"/>
      <c r="HEZ598" s="48"/>
      <c r="HFA598" s="53"/>
      <c r="HFH598" s="15"/>
      <c r="HFI598" s="50"/>
      <c r="HFJ598" s="50"/>
      <c r="HFK598" s="46"/>
      <c r="HFL598" s="47"/>
      <c r="HFM598" s="46"/>
      <c r="HFN598" s="48"/>
      <c r="HFO598" s="53"/>
      <c r="HFV598" s="15"/>
      <c r="HFW598" s="50"/>
      <c r="HFX598" s="50"/>
      <c r="HFY598" s="46"/>
      <c r="HFZ598" s="47"/>
      <c r="HGA598" s="46"/>
      <c r="HGB598" s="48"/>
      <c r="HGC598" s="53"/>
      <c r="HGJ598" s="15"/>
      <c r="HGK598" s="50"/>
      <c r="HGL598" s="50"/>
      <c r="HGM598" s="46"/>
      <c r="HGN598" s="47"/>
      <c r="HGO598" s="46"/>
      <c r="HGP598" s="48"/>
      <c r="HGQ598" s="53"/>
      <c r="HGX598" s="15"/>
      <c r="HGY598" s="50"/>
      <c r="HGZ598" s="50"/>
      <c r="HHA598" s="46"/>
      <c r="HHB598" s="47"/>
      <c r="HHC598" s="46"/>
      <c r="HHD598" s="48"/>
      <c r="HHE598" s="53"/>
      <c r="HHL598" s="15"/>
      <c r="HHM598" s="50"/>
      <c r="HHN598" s="50"/>
      <c r="HHO598" s="46"/>
      <c r="HHP598" s="47"/>
      <c r="HHQ598" s="46"/>
      <c r="HHR598" s="48"/>
      <c r="HHS598" s="53"/>
      <c r="HHZ598" s="15"/>
      <c r="HIA598" s="50"/>
      <c r="HIB598" s="50"/>
      <c r="HIC598" s="46"/>
      <c r="HID598" s="47"/>
      <c r="HIE598" s="46"/>
      <c r="HIF598" s="48"/>
      <c r="HIG598" s="53"/>
      <c r="HIN598" s="15"/>
      <c r="HIO598" s="50"/>
      <c r="HIP598" s="50"/>
      <c r="HIQ598" s="46"/>
      <c r="HIR598" s="47"/>
      <c r="HIS598" s="46"/>
      <c r="HIT598" s="48"/>
      <c r="HIU598" s="53"/>
      <c r="HJB598" s="15"/>
      <c r="HJC598" s="50"/>
      <c r="HJD598" s="50"/>
      <c r="HJE598" s="46"/>
      <c r="HJF598" s="47"/>
      <c r="HJG598" s="46"/>
      <c r="HJH598" s="48"/>
      <c r="HJI598" s="53"/>
      <c r="HJP598" s="15"/>
      <c r="HJQ598" s="50"/>
      <c r="HJR598" s="50"/>
      <c r="HJS598" s="46"/>
      <c r="HJT598" s="47"/>
      <c r="HJU598" s="46"/>
      <c r="HJV598" s="48"/>
      <c r="HJW598" s="53"/>
      <c r="HKD598" s="15"/>
      <c r="HKE598" s="50"/>
      <c r="HKF598" s="50"/>
      <c r="HKG598" s="46"/>
      <c r="HKH598" s="47"/>
      <c r="HKI598" s="46"/>
      <c r="HKJ598" s="48"/>
      <c r="HKK598" s="53"/>
      <c r="HKR598" s="15"/>
      <c r="HKS598" s="50"/>
      <c r="HKT598" s="50"/>
      <c r="HKU598" s="46"/>
      <c r="HKV598" s="47"/>
      <c r="HKW598" s="46"/>
      <c r="HKX598" s="48"/>
      <c r="HKY598" s="53"/>
      <c r="HLF598" s="15"/>
      <c r="HLG598" s="50"/>
      <c r="HLH598" s="50"/>
      <c r="HLI598" s="46"/>
      <c r="HLJ598" s="47"/>
      <c r="HLK598" s="46"/>
      <c r="HLL598" s="48"/>
      <c r="HLM598" s="53"/>
      <c r="HLT598" s="15"/>
      <c r="HLU598" s="50"/>
      <c r="HLV598" s="50"/>
      <c r="HLW598" s="46"/>
      <c r="HLX598" s="47"/>
      <c r="HLY598" s="46"/>
      <c r="HLZ598" s="48"/>
      <c r="HMA598" s="53"/>
      <c r="HMH598" s="15"/>
      <c r="HMI598" s="50"/>
      <c r="HMJ598" s="50"/>
      <c r="HMK598" s="46"/>
      <c r="HML598" s="47"/>
      <c r="HMM598" s="46"/>
      <c r="HMN598" s="48"/>
      <c r="HMO598" s="53"/>
      <c r="HMV598" s="15"/>
      <c r="HMW598" s="50"/>
      <c r="HMX598" s="50"/>
      <c r="HMY598" s="46"/>
      <c r="HMZ598" s="47"/>
      <c r="HNA598" s="46"/>
      <c r="HNB598" s="48"/>
      <c r="HNC598" s="53"/>
      <c r="HNJ598" s="15"/>
      <c r="HNK598" s="50"/>
      <c r="HNL598" s="50"/>
      <c r="HNM598" s="46"/>
      <c r="HNN598" s="47"/>
      <c r="HNO598" s="46"/>
      <c r="HNP598" s="48"/>
      <c r="HNQ598" s="53"/>
      <c r="HNX598" s="15"/>
      <c r="HNY598" s="50"/>
      <c r="HNZ598" s="50"/>
      <c r="HOA598" s="46"/>
      <c r="HOB598" s="47"/>
      <c r="HOC598" s="46"/>
      <c r="HOD598" s="48"/>
      <c r="HOE598" s="53"/>
      <c r="HOL598" s="15"/>
      <c r="HOM598" s="50"/>
      <c r="HON598" s="50"/>
      <c r="HOO598" s="46"/>
      <c r="HOP598" s="47"/>
      <c r="HOQ598" s="46"/>
      <c r="HOR598" s="48"/>
      <c r="HOS598" s="53"/>
      <c r="HOZ598" s="15"/>
      <c r="HPA598" s="50"/>
      <c r="HPB598" s="50"/>
      <c r="HPC598" s="46"/>
      <c r="HPD598" s="47"/>
      <c r="HPE598" s="46"/>
      <c r="HPF598" s="48"/>
      <c r="HPG598" s="53"/>
      <c r="HPN598" s="15"/>
      <c r="HPO598" s="50"/>
      <c r="HPP598" s="50"/>
      <c r="HPQ598" s="46"/>
      <c r="HPR598" s="47"/>
      <c r="HPS598" s="46"/>
      <c r="HPT598" s="48"/>
      <c r="HPU598" s="53"/>
      <c r="HQB598" s="15"/>
      <c r="HQC598" s="50"/>
      <c r="HQD598" s="50"/>
      <c r="HQE598" s="46"/>
      <c r="HQF598" s="47"/>
      <c r="HQG598" s="46"/>
      <c r="HQH598" s="48"/>
      <c r="HQI598" s="53"/>
      <c r="HQP598" s="15"/>
      <c r="HQQ598" s="50"/>
      <c r="HQR598" s="50"/>
      <c r="HQS598" s="46"/>
      <c r="HQT598" s="47"/>
      <c r="HQU598" s="46"/>
      <c r="HQV598" s="48"/>
      <c r="HQW598" s="53"/>
      <c r="HRD598" s="15"/>
      <c r="HRE598" s="50"/>
      <c r="HRF598" s="50"/>
      <c r="HRG598" s="46"/>
      <c r="HRH598" s="47"/>
      <c r="HRI598" s="46"/>
      <c r="HRJ598" s="48"/>
      <c r="HRK598" s="53"/>
      <c r="HRR598" s="15"/>
      <c r="HRS598" s="50"/>
      <c r="HRT598" s="50"/>
      <c r="HRU598" s="46"/>
      <c r="HRV598" s="47"/>
      <c r="HRW598" s="46"/>
      <c r="HRX598" s="48"/>
      <c r="HRY598" s="53"/>
      <c r="HSF598" s="15"/>
      <c r="HSG598" s="50"/>
      <c r="HSH598" s="50"/>
      <c r="HSI598" s="46"/>
      <c r="HSJ598" s="47"/>
      <c r="HSK598" s="46"/>
      <c r="HSL598" s="48"/>
      <c r="HSM598" s="53"/>
      <c r="HST598" s="15"/>
      <c r="HSU598" s="50"/>
      <c r="HSV598" s="50"/>
      <c r="HSW598" s="46"/>
      <c r="HSX598" s="47"/>
      <c r="HSY598" s="46"/>
      <c r="HSZ598" s="48"/>
      <c r="HTA598" s="53"/>
      <c r="HTH598" s="15"/>
      <c r="HTI598" s="50"/>
      <c r="HTJ598" s="50"/>
      <c r="HTK598" s="46"/>
      <c r="HTL598" s="47"/>
      <c r="HTM598" s="46"/>
      <c r="HTN598" s="48"/>
      <c r="HTO598" s="53"/>
      <c r="HTV598" s="15"/>
      <c r="HTW598" s="50"/>
      <c r="HTX598" s="50"/>
      <c r="HTY598" s="46"/>
      <c r="HTZ598" s="47"/>
      <c r="HUA598" s="46"/>
      <c r="HUB598" s="48"/>
      <c r="HUC598" s="53"/>
      <c r="HUJ598" s="15"/>
      <c r="HUK598" s="50"/>
      <c r="HUL598" s="50"/>
      <c r="HUM598" s="46"/>
      <c r="HUN598" s="47"/>
      <c r="HUO598" s="46"/>
      <c r="HUP598" s="48"/>
      <c r="HUQ598" s="53"/>
      <c r="HUX598" s="15"/>
      <c r="HUY598" s="50"/>
      <c r="HUZ598" s="50"/>
      <c r="HVA598" s="46"/>
      <c r="HVB598" s="47"/>
      <c r="HVC598" s="46"/>
      <c r="HVD598" s="48"/>
      <c r="HVE598" s="53"/>
      <c r="HVL598" s="15"/>
      <c r="HVM598" s="50"/>
      <c r="HVN598" s="50"/>
      <c r="HVO598" s="46"/>
      <c r="HVP598" s="47"/>
      <c r="HVQ598" s="46"/>
      <c r="HVR598" s="48"/>
      <c r="HVS598" s="53"/>
      <c r="HVZ598" s="15"/>
      <c r="HWA598" s="50"/>
      <c r="HWB598" s="50"/>
      <c r="HWC598" s="46"/>
      <c r="HWD598" s="47"/>
      <c r="HWE598" s="46"/>
      <c r="HWF598" s="48"/>
      <c r="HWG598" s="53"/>
      <c r="HWN598" s="15"/>
      <c r="HWO598" s="50"/>
      <c r="HWP598" s="50"/>
      <c r="HWQ598" s="46"/>
      <c r="HWR598" s="47"/>
      <c r="HWS598" s="46"/>
      <c r="HWT598" s="48"/>
      <c r="HWU598" s="53"/>
      <c r="HXB598" s="15"/>
      <c r="HXC598" s="50"/>
      <c r="HXD598" s="50"/>
      <c r="HXE598" s="46"/>
      <c r="HXF598" s="47"/>
      <c r="HXG598" s="46"/>
      <c r="HXH598" s="48"/>
      <c r="HXI598" s="53"/>
      <c r="HXP598" s="15"/>
      <c r="HXQ598" s="50"/>
      <c r="HXR598" s="50"/>
      <c r="HXS598" s="46"/>
      <c r="HXT598" s="47"/>
      <c r="HXU598" s="46"/>
      <c r="HXV598" s="48"/>
      <c r="HXW598" s="53"/>
      <c r="HYD598" s="15"/>
      <c r="HYE598" s="50"/>
      <c r="HYF598" s="50"/>
      <c r="HYG598" s="46"/>
      <c r="HYH598" s="47"/>
      <c r="HYI598" s="46"/>
      <c r="HYJ598" s="48"/>
      <c r="HYK598" s="53"/>
      <c r="HYR598" s="15"/>
      <c r="HYS598" s="50"/>
      <c r="HYT598" s="50"/>
      <c r="HYU598" s="46"/>
      <c r="HYV598" s="47"/>
      <c r="HYW598" s="46"/>
      <c r="HYX598" s="48"/>
      <c r="HYY598" s="53"/>
      <c r="HZF598" s="15"/>
      <c r="HZG598" s="50"/>
      <c r="HZH598" s="50"/>
      <c r="HZI598" s="46"/>
      <c r="HZJ598" s="47"/>
      <c r="HZK598" s="46"/>
      <c r="HZL598" s="48"/>
      <c r="HZM598" s="53"/>
      <c r="HZT598" s="15"/>
      <c r="HZU598" s="50"/>
      <c r="HZV598" s="50"/>
      <c r="HZW598" s="46"/>
      <c r="HZX598" s="47"/>
      <c r="HZY598" s="46"/>
      <c r="HZZ598" s="48"/>
      <c r="IAA598" s="53"/>
      <c r="IAH598" s="15"/>
      <c r="IAI598" s="50"/>
      <c r="IAJ598" s="50"/>
      <c r="IAK598" s="46"/>
      <c r="IAL598" s="47"/>
      <c r="IAM598" s="46"/>
      <c r="IAN598" s="48"/>
      <c r="IAO598" s="53"/>
      <c r="IAV598" s="15"/>
      <c r="IAW598" s="50"/>
      <c r="IAX598" s="50"/>
      <c r="IAY598" s="46"/>
      <c r="IAZ598" s="47"/>
      <c r="IBA598" s="46"/>
      <c r="IBB598" s="48"/>
      <c r="IBC598" s="53"/>
      <c r="IBJ598" s="15"/>
      <c r="IBK598" s="50"/>
      <c r="IBL598" s="50"/>
      <c r="IBM598" s="46"/>
      <c r="IBN598" s="47"/>
      <c r="IBO598" s="46"/>
      <c r="IBP598" s="48"/>
      <c r="IBQ598" s="53"/>
      <c r="IBX598" s="15"/>
      <c r="IBY598" s="50"/>
      <c r="IBZ598" s="50"/>
      <c r="ICA598" s="46"/>
      <c r="ICB598" s="47"/>
      <c r="ICC598" s="46"/>
      <c r="ICD598" s="48"/>
      <c r="ICE598" s="53"/>
      <c r="ICL598" s="15"/>
      <c r="ICM598" s="50"/>
      <c r="ICN598" s="50"/>
      <c r="ICO598" s="46"/>
      <c r="ICP598" s="47"/>
      <c r="ICQ598" s="46"/>
      <c r="ICR598" s="48"/>
      <c r="ICS598" s="53"/>
      <c r="ICZ598" s="15"/>
      <c r="IDA598" s="50"/>
      <c r="IDB598" s="50"/>
      <c r="IDC598" s="46"/>
      <c r="IDD598" s="47"/>
      <c r="IDE598" s="46"/>
      <c r="IDF598" s="48"/>
      <c r="IDG598" s="53"/>
      <c r="IDN598" s="15"/>
      <c r="IDO598" s="50"/>
      <c r="IDP598" s="50"/>
      <c r="IDQ598" s="46"/>
      <c r="IDR598" s="47"/>
      <c r="IDS598" s="46"/>
      <c r="IDT598" s="48"/>
      <c r="IDU598" s="53"/>
      <c r="IEB598" s="15"/>
      <c r="IEC598" s="50"/>
      <c r="IED598" s="50"/>
      <c r="IEE598" s="46"/>
      <c r="IEF598" s="47"/>
      <c r="IEG598" s="46"/>
      <c r="IEH598" s="48"/>
      <c r="IEI598" s="53"/>
      <c r="IEP598" s="15"/>
      <c r="IEQ598" s="50"/>
      <c r="IER598" s="50"/>
      <c r="IES598" s="46"/>
      <c r="IET598" s="47"/>
      <c r="IEU598" s="46"/>
      <c r="IEV598" s="48"/>
      <c r="IEW598" s="53"/>
      <c r="IFD598" s="15"/>
      <c r="IFE598" s="50"/>
      <c r="IFF598" s="50"/>
      <c r="IFG598" s="46"/>
      <c r="IFH598" s="47"/>
      <c r="IFI598" s="46"/>
      <c r="IFJ598" s="48"/>
      <c r="IFK598" s="53"/>
      <c r="IFR598" s="15"/>
      <c r="IFS598" s="50"/>
      <c r="IFT598" s="50"/>
      <c r="IFU598" s="46"/>
      <c r="IFV598" s="47"/>
      <c r="IFW598" s="46"/>
      <c r="IFX598" s="48"/>
      <c r="IFY598" s="53"/>
      <c r="IGF598" s="15"/>
      <c r="IGG598" s="50"/>
      <c r="IGH598" s="50"/>
      <c r="IGI598" s="46"/>
      <c r="IGJ598" s="47"/>
      <c r="IGK598" s="46"/>
      <c r="IGL598" s="48"/>
      <c r="IGM598" s="53"/>
      <c r="IGT598" s="15"/>
      <c r="IGU598" s="50"/>
      <c r="IGV598" s="50"/>
      <c r="IGW598" s="46"/>
      <c r="IGX598" s="47"/>
      <c r="IGY598" s="46"/>
      <c r="IGZ598" s="48"/>
      <c r="IHA598" s="53"/>
      <c r="IHH598" s="15"/>
      <c r="IHI598" s="50"/>
      <c r="IHJ598" s="50"/>
      <c r="IHK598" s="46"/>
      <c r="IHL598" s="47"/>
      <c r="IHM598" s="46"/>
      <c r="IHN598" s="48"/>
      <c r="IHO598" s="53"/>
      <c r="IHV598" s="15"/>
      <c r="IHW598" s="50"/>
      <c r="IHX598" s="50"/>
      <c r="IHY598" s="46"/>
      <c r="IHZ598" s="47"/>
      <c r="IIA598" s="46"/>
      <c r="IIB598" s="48"/>
      <c r="IIC598" s="53"/>
      <c r="IIJ598" s="15"/>
      <c r="IIK598" s="50"/>
      <c r="IIL598" s="50"/>
      <c r="IIM598" s="46"/>
      <c r="IIN598" s="47"/>
      <c r="IIO598" s="46"/>
      <c r="IIP598" s="48"/>
      <c r="IIQ598" s="53"/>
      <c r="IIX598" s="15"/>
      <c r="IIY598" s="50"/>
      <c r="IIZ598" s="50"/>
      <c r="IJA598" s="46"/>
      <c r="IJB598" s="47"/>
      <c r="IJC598" s="46"/>
      <c r="IJD598" s="48"/>
      <c r="IJE598" s="53"/>
      <c r="IJL598" s="15"/>
      <c r="IJM598" s="50"/>
      <c r="IJN598" s="50"/>
      <c r="IJO598" s="46"/>
      <c r="IJP598" s="47"/>
      <c r="IJQ598" s="46"/>
      <c r="IJR598" s="48"/>
      <c r="IJS598" s="53"/>
      <c r="IJZ598" s="15"/>
      <c r="IKA598" s="50"/>
      <c r="IKB598" s="50"/>
      <c r="IKC598" s="46"/>
      <c r="IKD598" s="47"/>
      <c r="IKE598" s="46"/>
      <c r="IKF598" s="48"/>
      <c r="IKG598" s="53"/>
      <c r="IKN598" s="15"/>
      <c r="IKO598" s="50"/>
      <c r="IKP598" s="50"/>
      <c r="IKQ598" s="46"/>
      <c r="IKR598" s="47"/>
      <c r="IKS598" s="46"/>
      <c r="IKT598" s="48"/>
      <c r="IKU598" s="53"/>
      <c r="ILB598" s="15"/>
      <c r="ILC598" s="50"/>
      <c r="ILD598" s="50"/>
      <c r="ILE598" s="46"/>
      <c r="ILF598" s="47"/>
      <c r="ILG598" s="46"/>
      <c r="ILH598" s="48"/>
      <c r="ILI598" s="53"/>
      <c r="ILP598" s="15"/>
      <c r="ILQ598" s="50"/>
      <c r="ILR598" s="50"/>
      <c r="ILS598" s="46"/>
      <c r="ILT598" s="47"/>
      <c r="ILU598" s="46"/>
      <c r="ILV598" s="48"/>
      <c r="ILW598" s="53"/>
      <c r="IMD598" s="15"/>
      <c r="IME598" s="50"/>
      <c r="IMF598" s="50"/>
      <c r="IMG598" s="46"/>
      <c r="IMH598" s="47"/>
      <c r="IMI598" s="46"/>
      <c r="IMJ598" s="48"/>
      <c r="IMK598" s="53"/>
      <c r="IMR598" s="15"/>
      <c r="IMS598" s="50"/>
      <c r="IMT598" s="50"/>
      <c r="IMU598" s="46"/>
      <c r="IMV598" s="47"/>
      <c r="IMW598" s="46"/>
      <c r="IMX598" s="48"/>
      <c r="IMY598" s="53"/>
      <c r="INF598" s="15"/>
      <c r="ING598" s="50"/>
      <c r="INH598" s="50"/>
      <c r="INI598" s="46"/>
      <c r="INJ598" s="47"/>
      <c r="INK598" s="46"/>
      <c r="INL598" s="48"/>
      <c r="INM598" s="53"/>
      <c r="INT598" s="15"/>
      <c r="INU598" s="50"/>
      <c r="INV598" s="50"/>
      <c r="INW598" s="46"/>
      <c r="INX598" s="47"/>
      <c r="INY598" s="46"/>
      <c r="INZ598" s="48"/>
      <c r="IOA598" s="53"/>
      <c r="IOH598" s="15"/>
      <c r="IOI598" s="50"/>
      <c r="IOJ598" s="50"/>
      <c r="IOK598" s="46"/>
      <c r="IOL598" s="47"/>
      <c r="IOM598" s="46"/>
      <c r="ION598" s="48"/>
      <c r="IOO598" s="53"/>
      <c r="IOV598" s="15"/>
      <c r="IOW598" s="50"/>
      <c r="IOX598" s="50"/>
      <c r="IOY598" s="46"/>
      <c r="IOZ598" s="47"/>
      <c r="IPA598" s="46"/>
      <c r="IPB598" s="48"/>
      <c r="IPC598" s="53"/>
      <c r="IPJ598" s="15"/>
      <c r="IPK598" s="50"/>
      <c r="IPL598" s="50"/>
      <c r="IPM598" s="46"/>
      <c r="IPN598" s="47"/>
      <c r="IPO598" s="46"/>
      <c r="IPP598" s="48"/>
      <c r="IPQ598" s="53"/>
      <c r="IPX598" s="15"/>
      <c r="IPY598" s="50"/>
      <c r="IPZ598" s="50"/>
      <c r="IQA598" s="46"/>
      <c r="IQB598" s="47"/>
      <c r="IQC598" s="46"/>
      <c r="IQD598" s="48"/>
      <c r="IQE598" s="53"/>
      <c r="IQL598" s="15"/>
      <c r="IQM598" s="50"/>
      <c r="IQN598" s="50"/>
      <c r="IQO598" s="46"/>
      <c r="IQP598" s="47"/>
      <c r="IQQ598" s="46"/>
      <c r="IQR598" s="48"/>
      <c r="IQS598" s="53"/>
      <c r="IQZ598" s="15"/>
      <c r="IRA598" s="50"/>
      <c r="IRB598" s="50"/>
      <c r="IRC598" s="46"/>
      <c r="IRD598" s="47"/>
      <c r="IRE598" s="46"/>
      <c r="IRF598" s="48"/>
      <c r="IRG598" s="53"/>
      <c r="IRN598" s="15"/>
      <c r="IRO598" s="50"/>
      <c r="IRP598" s="50"/>
      <c r="IRQ598" s="46"/>
      <c r="IRR598" s="47"/>
      <c r="IRS598" s="46"/>
      <c r="IRT598" s="48"/>
      <c r="IRU598" s="53"/>
      <c r="ISB598" s="15"/>
      <c r="ISC598" s="50"/>
      <c r="ISD598" s="50"/>
      <c r="ISE598" s="46"/>
      <c r="ISF598" s="47"/>
      <c r="ISG598" s="46"/>
      <c r="ISH598" s="48"/>
      <c r="ISI598" s="53"/>
      <c r="ISP598" s="15"/>
      <c r="ISQ598" s="50"/>
      <c r="ISR598" s="50"/>
      <c r="ISS598" s="46"/>
      <c r="IST598" s="47"/>
      <c r="ISU598" s="46"/>
      <c r="ISV598" s="48"/>
      <c r="ISW598" s="53"/>
      <c r="ITD598" s="15"/>
      <c r="ITE598" s="50"/>
      <c r="ITF598" s="50"/>
      <c r="ITG598" s="46"/>
      <c r="ITH598" s="47"/>
      <c r="ITI598" s="46"/>
      <c r="ITJ598" s="48"/>
      <c r="ITK598" s="53"/>
      <c r="ITR598" s="15"/>
      <c r="ITS598" s="50"/>
      <c r="ITT598" s="50"/>
      <c r="ITU598" s="46"/>
      <c r="ITV598" s="47"/>
      <c r="ITW598" s="46"/>
      <c r="ITX598" s="48"/>
      <c r="ITY598" s="53"/>
      <c r="IUF598" s="15"/>
      <c r="IUG598" s="50"/>
      <c r="IUH598" s="50"/>
      <c r="IUI598" s="46"/>
      <c r="IUJ598" s="47"/>
      <c r="IUK598" s="46"/>
      <c r="IUL598" s="48"/>
      <c r="IUM598" s="53"/>
      <c r="IUT598" s="15"/>
      <c r="IUU598" s="50"/>
      <c r="IUV598" s="50"/>
      <c r="IUW598" s="46"/>
      <c r="IUX598" s="47"/>
      <c r="IUY598" s="46"/>
      <c r="IUZ598" s="48"/>
      <c r="IVA598" s="53"/>
      <c r="IVH598" s="15"/>
      <c r="IVI598" s="50"/>
      <c r="IVJ598" s="50"/>
      <c r="IVK598" s="46"/>
      <c r="IVL598" s="47"/>
      <c r="IVM598" s="46"/>
      <c r="IVN598" s="48"/>
      <c r="IVO598" s="53"/>
      <c r="IVV598" s="15"/>
      <c r="IVW598" s="50"/>
      <c r="IVX598" s="50"/>
      <c r="IVY598" s="46"/>
      <c r="IVZ598" s="47"/>
      <c r="IWA598" s="46"/>
      <c r="IWB598" s="48"/>
      <c r="IWC598" s="53"/>
      <c r="IWJ598" s="15"/>
      <c r="IWK598" s="50"/>
      <c r="IWL598" s="50"/>
      <c r="IWM598" s="46"/>
      <c r="IWN598" s="47"/>
      <c r="IWO598" s="46"/>
      <c r="IWP598" s="48"/>
      <c r="IWQ598" s="53"/>
      <c r="IWX598" s="15"/>
      <c r="IWY598" s="50"/>
      <c r="IWZ598" s="50"/>
      <c r="IXA598" s="46"/>
      <c r="IXB598" s="47"/>
      <c r="IXC598" s="46"/>
      <c r="IXD598" s="48"/>
      <c r="IXE598" s="53"/>
      <c r="IXL598" s="15"/>
      <c r="IXM598" s="50"/>
      <c r="IXN598" s="50"/>
      <c r="IXO598" s="46"/>
      <c r="IXP598" s="47"/>
      <c r="IXQ598" s="46"/>
      <c r="IXR598" s="48"/>
      <c r="IXS598" s="53"/>
      <c r="IXZ598" s="15"/>
      <c r="IYA598" s="50"/>
      <c r="IYB598" s="50"/>
      <c r="IYC598" s="46"/>
      <c r="IYD598" s="47"/>
      <c r="IYE598" s="46"/>
      <c r="IYF598" s="48"/>
      <c r="IYG598" s="53"/>
      <c r="IYN598" s="15"/>
      <c r="IYO598" s="50"/>
      <c r="IYP598" s="50"/>
      <c r="IYQ598" s="46"/>
      <c r="IYR598" s="47"/>
      <c r="IYS598" s="46"/>
      <c r="IYT598" s="48"/>
      <c r="IYU598" s="53"/>
      <c r="IZB598" s="15"/>
      <c r="IZC598" s="50"/>
      <c r="IZD598" s="50"/>
      <c r="IZE598" s="46"/>
      <c r="IZF598" s="47"/>
      <c r="IZG598" s="46"/>
      <c r="IZH598" s="48"/>
      <c r="IZI598" s="53"/>
      <c r="IZP598" s="15"/>
      <c r="IZQ598" s="50"/>
      <c r="IZR598" s="50"/>
      <c r="IZS598" s="46"/>
      <c r="IZT598" s="47"/>
      <c r="IZU598" s="46"/>
      <c r="IZV598" s="48"/>
      <c r="IZW598" s="53"/>
      <c r="JAD598" s="15"/>
      <c r="JAE598" s="50"/>
      <c r="JAF598" s="50"/>
      <c r="JAG598" s="46"/>
      <c r="JAH598" s="47"/>
      <c r="JAI598" s="46"/>
      <c r="JAJ598" s="48"/>
      <c r="JAK598" s="53"/>
      <c r="JAR598" s="15"/>
      <c r="JAS598" s="50"/>
      <c r="JAT598" s="50"/>
      <c r="JAU598" s="46"/>
      <c r="JAV598" s="47"/>
      <c r="JAW598" s="46"/>
      <c r="JAX598" s="48"/>
      <c r="JAY598" s="53"/>
      <c r="JBF598" s="15"/>
      <c r="JBG598" s="50"/>
      <c r="JBH598" s="50"/>
      <c r="JBI598" s="46"/>
      <c r="JBJ598" s="47"/>
      <c r="JBK598" s="46"/>
      <c r="JBL598" s="48"/>
      <c r="JBM598" s="53"/>
      <c r="JBT598" s="15"/>
      <c r="JBU598" s="50"/>
      <c r="JBV598" s="50"/>
      <c r="JBW598" s="46"/>
      <c r="JBX598" s="47"/>
      <c r="JBY598" s="46"/>
      <c r="JBZ598" s="48"/>
      <c r="JCA598" s="53"/>
      <c r="JCH598" s="15"/>
      <c r="JCI598" s="50"/>
      <c r="JCJ598" s="50"/>
      <c r="JCK598" s="46"/>
      <c r="JCL598" s="47"/>
      <c r="JCM598" s="46"/>
      <c r="JCN598" s="48"/>
      <c r="JCO598" s="53"/>
      <c r="JCV598" s="15"/>
      <c r="JCW598" s="50"/>
      <c r="JCX598" s="50"/>
      <c r="JCY598" s="46"/>
      <c r="JCZ598" s="47"/>
      <c r="JDA598" s="46"/>
      <c r="JDB598" s="48"/>
      <c r="JDC598" s="53"/>
      <c r="JDJ598" s="15"/>
      <c r="JDK598" s="50"/>
      <c r="JDL598" s="50"/>
      <c r="JDM598" s="46"/>
      <c r="JDN598" s="47"/>
      <c r="JDO598" s="46"/>
      <c r="JDP598" s="48"/>
      <c r="JDQ598" s="53"/>
      <c r="JDX598" s="15"/>
      <c r="JDY598" s="50"/>
      <c r="JDZ598" s="50"/>
      <c r="JEA598" s="46"/>
      <c r="JEB598" s="47"/>
      <c r="JEC598" s="46"/>
      <c r="JED598" s="48"/>
      <c r="JEE598" s="53"/>
      <c r="JEL598" s="15"/>
      <c r="JEM598" s="50"/>
      <c r="JEN598" s="50"/>
      <c r="JEO598" s="46"/>
      <c r="JEP598" s="47"/>
      <c r="JEQ598" s="46"/>
      <c r="JER598" s="48"/>
      <c r="JES598" s="53"/>
      <c r="JEZ598" s="15"/>
      <c r="JFA598" s="50"/>
      <c r="JFB598" s="50"/>
      <c r="JFC598" s="46"/>
      <c r="JFD598" s="47"/>
      <c r="JFE598" s="46"/>
      <c r="JFF598" s="48"/>
      <c r="JFG598" s="53"/>
      <c r="JFN598" s="15"/>
      <c r="JFO598" s="50"/>
      <c r="JFP598" s="50"/>
      <c r="JFQ598" s="46"/>
      <c r="JFR598" s="47"/>
      <c r="JFS598" s="46"/>
      <c r="JFT598" s="48"/>
      <c r="JFU598" s="53"/>
      <c r="JGB598" s="15"/>
      <c r="JGC598" s="50"/>
      <c r="JGD598" s="50"/>
      <c r="JGE598" s="46"/>
      <c r="JGF598" s="47"/>
      <c r="JGG598" s="46"/>
      <c r="JGH598" s="48"/>
      <c r="JGI598" s="53"/>
      <c r="JGP598" s="15"/>
      <c r="JGQ598" s="50"/>
      <c r="JGR598" s="50"/>
      <c r="JGS598" s="46"/>
      <c r="JGT598" s="47"/>
      <c r="JGU598" s="46"/>
      <c r="JGV598" s="48"/>
      <c r="JGW598" s="53"/>
      <c r="JHD598" s="15"/>
      <c r="JHE598" s="50"/>
      <c r="JHF598" s="50"/>
      <c r="JHG598" s="46"/>
      <c r="JHH598" s="47"/>
      <c r="JHI598" s="46"/>
      <c r="JHJ598" s="48"/>
      <c r="JHK598" s="53"/>
      <c r="JHR598" s="15"/>
      <c r="JHS598" s="50"/>
      <c r="JHT598" s="50"/>
      <c r="JHU598" s="46"/>
      <c r="JHV598" s="47"/>
      <c r="JHW598" s="46"/>
      <c r="JHX598" s="48"/>
      <c r="JHY598" s="53"/>
      <c r="JIF598" s="15"/>
      <c r="JIG598" s="50"/>
      <c r="JIH598" s="50"/>
      <c r="JII598" s="46"/>
      <c r="JIJ598" s="47"/>
      <c r="JIK598" s="46"/>
      <c r="JIL598" s="48"/>
      <c r="JIM598" s="53"/>
      <c r="JIT598" s="15"/>
      <c r="JIU598" s="50"/>
      <c r="JIV598" s="50"/>
      <c r="JIW598" s="46"/>
      <c r="JIX598" s="47"/>
      <c r="JIY598" s="46"/>
      <c r="JIZ598" s="48"/>
      <c r="JJA598" s="53"/>
      <c r="JJH598" s="15"/>
      <c r="JJI598" s="50"/>
      <c r="JJJ598" s="50"/>
      <c r="JJK598" s="46"/>
      <c r="JJL598" s="47"/>
      <c r="JJM598" s="46"/>
      <c r="JJN598" s="48"/>
      <c r="JJO598" s="53"/>
      <c r="JJV598" s="15"/>
      <c r="JJW598" s="50"/>
      <c r="JJX598" s="50"/>
      <c r="JJY598" s="46"/>
      <c r="JJZ598" s="47"/>
      <c r="JKA598" s="46"/>
      <c r="JKB598" s="48"/>
      <c r="JKC598" s="53"/>
      <c r="JKJ598" s="15"/>
      <c r="JKK598" s="50"/>
      <c r="JKL598" s="50"/>
      <c r="JKM598" s="46"/>
      <c r="JKN598" s="47"/>
      <c r="JKO598" s="46"/>
      <c r="JKP598" s="48"/>
      <c r="JKQ598" s="53"/>
      <c r="JKX598" s="15"/>
      <c r="JKY598" s="50"/>
      <c r="JKZ598" s="50"/>
      <c r="JLA598" s="46"/>
      <c r="JLB598" s="47"/>
      <c r="JLC598" s="46"/>
      <c r="JLD598" s="48"/>
      <c r="JLE598" s="53"/>
      <c r="JLL598" s="15"/>
      <c r="JLM598" s="50"/>
      <c r="JLN598" s="50"/>
      <c r="JLO598" s="46"/>
      <c r="JLP598" s="47"/>
      <c r="JLQ598" s="46"/>
      <c r="JLR598" s="48"/>
      <c r="JLS598" s="53"/>
      <c r="JLZ598" s="15"/>
      <c r="JMA598" s="50"/>
      <c r="JMB598" s="50"/>
      <c r="JMC598" s="46"/>
      <c r="JMD598" s="47"/>
      <c r="JME598" s="46"/>
      <c r="JMF598" s="48"/>
      <c r="JMG598" s="53"/>
      <c r="JMN598" s="15"/>
      <c r="JMO598" s="50"/>
      <c r="JMP598" s="50"/>
      <c r="JMQ598" s="46"/>
      <c r="JMR598" s="47"/>
      <c r="JMS598" s="46"/>
      <c r="JMT598" s="48"/>
      <c r="JMU598" s="53"/>
      <c r="JNB598" s="15"/>
      <c r="JNC598" s="50"/>
      <c r="JND598" s="50"/>
      <c r="JNE598" s="46"/>
      <c r="JNF598" s="47"/>
      <c r="JNG598" s="46"/>
      <c r="JNH598" s="48"/>
      <c r="JNI598" s="53"/>
      <c r="JNP598" s="15"/>
      <c r="JNQ598" s="50"/>
      <c r="JNR598" s="50"/>
      <c r="JNS598" s="46"/>
      <c r="JNT598" s="47"/>
      <c r="JNU598" s="46"/>
      <c r="JNV598" s="48"/>
      <c r="JNW598" s="53"/>
      <c r="JOD598" s="15"/>
      <c r="JOE598" s="50"/>
      <c r="JOF598" s="50"/>
      <c r="JOG598" s="46"/>
      <c r="JOH598" s="47"/>
      <c r="JOI598" s="46"/>
      <c r="JOJ598" s="48"/>
      <c r="JOK598" s="53"/>
      <c r="JOR598" s="15"/>
      <c r="JOS598" s="50"/>
      <c r="JOT598" s="50"/>
      <c r="JOU598" s="46"/>
      <c r="JOV598" s="47"/>
      <c r="JOW598" s="46"/>
      <c r="JOX598" s="48"/>
      <c r="JOY598" s="53"/>
      <c r="JPF598" s="15"/>
      <c r="JPG598" s="50"/>
      <c r="JPH598" s="50"/>
      <c r="JPI598" s="46"/>
      <c r="JPJ598" s="47"/>
      <c r="JPK598" s="46"/>
      <c r="JPL598" s="48"/>
      <c r="JPM598" s="53"/>
      <c r="JPT598" s="15"/>
      <c r="JPU598" s="50"/>
      <c r="JPV598" s="50"/>
      <c r="JPW598" s="46"/>
      <c r="JPX598" s="47"/>
      <c r="JPY598" s="46"/>
      <c r="JPZ598" s="48"/>
      <c r="JQA598" s="53"/>
      <c r="JQH598" s="15"/>
      <c r="JQI598" s="50"/>
      <c r="JQJ598" s="50"/>
      <c r="JQK598" s="46"/>
      <c r="JQL598" s="47"/>
      <c r="JQM598" s="46"/>
      <c r="JQN598" s="48"/>
      <c r="JQO598" s="53"/>
      <c r="JQV598" s="15"/>
      <c r="JQW598" s="50"/>
      <c r="JQX598" s="50"/>
      <c r="JQY598" s="46"/>
      <c r="JQZ598" s="47"/>
      <c r="JRA598" s="46"/>
      <c r="JRB598" s="48"/>
      <c r="JRC598" s="53"/>
      <c r="JRJ598" s="15"/>
      <c r="JRK598" s="50"/>
      <c r="JRL598" s="50"/>
      <c r="JRM598" s="46"/>
      <c r="JRN598" s="47"/>
      <c r="JRO598" s="46"/>
      <c r="JRP598" s="48"/>
      <c r="JRQ598" s="53"/>
      <c r="JRX598" s="15"/>
      <c r="JRY598" s="50"/>
      <c r="JRZ598" s="50"/>
      <c r="JSA598" s="46"/>
      <c r="JSB598" s="47"/>
      <c r="JSC598" s="46"/>
      <c r="JSD598" s="48"/>
      <c r="JSE598" s="53"/>
      <c r="JSL598" s="15"/>
      <c r="JSM598" s="50"/>
      <c r="JSN598" s="50"/>
      <c r="JSO598" s="46"/>
      <c r="JSP598" s="47"/>
      <c r="JSQ598" s="46"/>
      <c r="JSR598" s="48"/>
      <c r="JSS598" s="53"/>
      <c r="JSZ598" s="15"/>
      <c r="JTA598" s="50"/>
      <c r="JTB598" s="50"/>
      <c r="JTC598" s="46"/>
      <c r="JTD598" s="47"/>
      <c r="JTE598" s="46"/>
      <c r="JTF598" s="48"/>
      <c r="JTG598" s="53"/>
      <c r="JTN598" s="15"/>
      <c r="JTO598" s="50"/>
      <c r="JTP598" s="50"/>
      <c r="JTQ598" s="46"/>
      <c r="JTR598" s="47"/>
      <c r="JTS598" s="46"/>
      <c r="JTT598" s="48"/>
      <c r="JTU598" s="53"/>
      <c r="JUB598" s="15"/>
      <c r="JUC598" s="50"/>
      <c r="JUD598" s="50"/>
      <c r="JUE598" s="46"/>
      <c r="JUF598" s="47"/>
      <c r="JUG598" s="46"/>
      <c r="JUH598" s="48"/>
      <c r="JUI598" s="53"/>
      <c r="JUP598" s="15"/>
      <c r="JUQ598" s="50"/>
      <c r="JUR598" s="50"/>
      <c r="JUS598" s="46"/>
      <c r="JUT598" s="47"/>
      <c r="JUU598" s="46"/>
      <c r="JUV598" s="48"/>
      <c r="JUW598" s="53"/>
      <c r="JVD598" s="15"/>
      <c r="JVE598" s="50"/>
      <c r="JVF598" s="50"/>
      <c r="JVG598" s="46"/>
      <c r="JVH598" s="47"/>
      <c r="JVI598" s="46"/>
      <c r="JVJ598" s="48"/>
      <c r="JVK598" s="53"/>
      <c r="JVR598" s="15"/>
      <c r="JVS598" s="50"/>
      <c r="JVT598" s="50"/>
      <c r="JVU598" s="46"/>
      <c r="JVV598" s="47"/>
      <c r="JVW598" s="46"/>
      <c r="JVX598" s="48"/>
      <c r="JVY598" s="53"/>
      <c r="JWF598" s="15"/>
      <c r="JWG598" s="50"/>
      <c r="JWH598" s="50"/>
      <c r="JWI598" s="46"/>
      <c r="JWJ598" s="47"/>
      <c r="JWK598" s="46"/>
      <c r="JWL598" s="48"/>
      <c r="JWM598" s="53"/>
      <c r="JWT598" s="15"/>
      <c r="JWU598" s="50"/>
      <c r="JWV598" s="50"/>
      <c r="JWW598" s="46"/>
      <c r="JWX598" s="47"/>
      <c r="JWY598" s="46"/>
      <c r="JWZ598" s="48"/>
      <c r="JXA598" s="53"/>
      <c r="JXH598" s="15"/>
      <c r="JXI598" s="50"/>
      <c r="JXJ598" s="50"/>
      <c r="JXK598" s="46"/>
      <c r="JXL598" s="47"/>
      <c r="JXM598" s="46"/>
      <c r="JXN598" s="48"/>
      <c r="JXO598" s="53"/>
      <c r="JXV598" s="15"/>
      <c r="JXW598" s="50"/>
      <c r="JXX598" s="50"/>
      <c r="JXY598" s="46"/>
      <c r="JXZ598" s="47"/>
      <c r="JYA598" s="46"/>
      <c r="JYB598" s="48"/>
      <c r="JYC598" s="53"/>
      <c r="JYJ598" s="15"/>
      <c r="JYK598" s="50"/>
      <c r="JYL598" s="50"/>
      <c r="JYM598" s="46"/>
      <c r="JYN598" s="47"/>
      <c r="JYO598" s="46"/>
      <c r="JYP598" s="48"/>
      <c r="JYQ598" s="53"/>
      <c r="JYX598" s="15"/>
      <c r="JYY598" s="50"/>
      <c r="JYZ598" s="50"/>
      <c r="JZA598" s="46"/>
      <c r="JZB598" s="47"/>
      <c r="JZC598" s="46"/>
      <c r="JZD598" s="48"/>
      <c r="JZE598" s="53"/>
      <c r="JZL598" s="15"/>
      <c r="JZM598" s="50"/>
      <c r="JZN598" s="50"/>
      <c r="JZO598" s="46"/>
      <c r="JZP598" s="47"/>
      <c r="JZQ598" s="46"/>
      <c r="JZR598" s="48"/>
      <c r="JZS598" s="53"/>
      <c r="JZZ598" s="15"/>
      <c r="KAA598" s="50"/>
      <c r="KAB598" s="50"/>
      <c r="KAC598" s="46"/>
      <c r="KAD598" s="47"/>
      <c r="KAE598" s="46"/>
      <c r="KAF598" s="48"/>
      <c r="KAG598" s="53"/>
      <c r="KAN598" s="15"/>
      <c r="KAO598" s="50"/>
      <c r="KAP598" s="50"/>
      <c r="KAQ598" s="46"/>
      <c r="KAR598" s="47"/>
      <c r="KAS598" s="46"/>
      <c r="KAT598" s="48"/>
      <c r="KAU598" s="53"/>
      <c r="KBB598" s="15"/>
      <c r="KBC598" s="50"/>
      <c r="KBD598" s="50"/>
      <c r="KBE598" s="46"/>
      <c r="KBF598" s="47"/>
      <c r="KBG598" s="46"/>
      <c r="KBH598" s="48"/>
      <c r="KBI598" s="53"/>
      <c r="KBP598" s="15"/>
      <c r="KBQ598" s="50"/>
      <c r="KBR598" s="50"/>
      <c r="KBS598" s="46"/>
      <c r="KBT598" s="47"/>
      <c r="KBU598" s="46"/>
      <c r="KBV598" s="48"/>
      <c r="KBW598" s="53"/>
      <c r="KCD598" s="15"/>
      <c r="KCE598" s="50"/>
      <c r="KCF598" s="50"/>
      <c r="KCG598" s="46"/>
      <c r="KCH598" s="47"/>
      <c r="KCI598" s="46"/>
      <c r="KCJ598" s="48"/>
      <c r="KCK598" s="53"/>
      <c r="KCR598" s="15"/>
      <c r="KCS598" s="50"/>
      <c r="KCT598" s="50"/>
      <c r="KCU598" s="46"/>
      <c r="KCV598" s="47"/>
      <c r="KCW598" s="46"/>
      <c r="KCX598" s="48"/>
      <c r="KCY598" s="53"/>
      <c r="KDF598" s="15"/>
      <c r="KDG598" s="50"/>
      <c r="KDH598" s="50"/>
      <c r="KDI598" s="46"/>
      <c r="KDJ598" s="47"/>
      <c r="KDK598" s="46"/>
      <c r="KDL598" s="48"/>
      <c r="KDM598" s="53"/>
      <c r="KDT598" s="15"/>
      <c r="KDU598" s="50"/>
      <c r="KDV598" s="50"/>
      <c r="KDW598" s="46"/>
      <c r="KDX598" s="47"/>
      <c r="KDY598" s="46"/>
      <c r="KDZ598" s="48"/>
      <c r="KEA598" s="53"/>
      <c r="KEH598" s="15"/>
      <c r="KEI598" s="50"/>
      <c r="KEJ598" s="50"/>
      <c r="KEK598" s="46"/>
      <c r="KEL598" s="47"/>
      <c r="KEM598" s="46"/>
      <c r="KEN598" s="48"/>
      <c r="KEO598" s="53"/>
      <c r="KEV598" s="15"/>
      <c r="KEW598" s="50"/>
      <c r="KEX598" s="50"/>
      <c r="KEY598" s="46"/>
      <c r="KEZ598" s="47"/>
      <c r="KFA598" s="46"/>
      <c r="KFB598" s="48"/>
      <c r="KFC598" s="53"/>
      <c r="KFJ598" s="15"/>
      <c r="KFK598" s="50"/>
      <c r="KFL598" s="50"/>
      <c r="KFM598" s="46"/>
      <c r="KFN598" s="47"/>
      <c r="KFO598" s="46"/>
      <c r="KFP598" s="48"/>
      <c r="KFQ598" s="53"/>
      <c r="KFX598" s="15"/>
      <c r="KFY598" s="50"/>
      <c r="KFZ598" s="50"/>
      <c r="KGA598" s="46"/>
      <c r="KGB598" s="47"/>
      <c r="KGC598" s="46"/>
      <c r="KGD598" s="48"/>
      <c r="KGE598" s="53"/>
      <c r="KGL598" s="15"/>
      <c r="KGM598" s="50"/>
      <c r="KGN598" s="50"/>
      <c r="KGO598" s="46"/>
      <c r="KGP598" s="47"/>
      <c r="KGQ598" s="46"/>
      <c r="KGR598" s="48"/>
      <c r="KGS598" s="53"/>
      <c r="KGZ598" s="15"/>
      <c r="KHA598" s="50"/>
      <c r="KHB598" s="50"/>
      <c r="KHC598" s="46"/>
      <c r="KHD598" s="47"/>
      <c r="KHE598" s="46"/>
      <c r="KHF598" s="48"/>
      <c r="KHG598" s="53"/>
      <c r="KHN598" s="15"/>
      <c r="KHO598" s="50"/>
      <c r="KHP598" s="50"/>
      <c r="KHQ598" s="46"/>
      <c r="KHR598" s="47"/>
      <c r="KHS598" s="46"/>
      <c r="KHT598" s="48"/>
      <c r="KHU598" s="53"/>
      <c r="KIB598" s="15"/>
      <c r="KIC598" s="50"/>
      <c r="KID598" s="50"/>
      <c r="KIE598" s="46"/>
      <c r="KIF598" s="47"/>
      <c r="KIG598" s="46"/>
      <c r="KIH598" s="48"/>
      <c r="KII598" s="53"/>
      <c r="KIP598" s="15"/>
      <c r="KIQ598" s="50"/>
      <c r="KIR598" s="50"/>
      <c r="KIS598" s="46"/>
      <c r="KIT598" s="47"/>
      <c r="KIU598" s="46"/>
      <c r="KIV598" s="48"/>
      <c r="KIW598" s="53"/>
      <c r="KJD598" s="15"/>
      <c r="KJE598" s="50"/>
      <c r="KJF598" s="50"/>
      <c r="KJG598" s="46"/>
      <c r="KJH598" s="47"/>
      <c r="KJI598" s="46"/>
      <c r="KJJ598" s="48"/>
      <c r="KJK598" s="53"/>
      <c r="KJR598" s="15"/>
      <c r="KJS598" s="50"/>
      <c r="KJT598" s="50"/>
      <c r="KJU598" s="46"/>
      <c r="KJV598" s="47"/>
      <c r="KJW598" s="46"/>
      <c r="KJX598" s="48"/>
      <c r="KJY598" s="53"/>
      <c r="KKF598" s="15"/>
      <c r="KKG598" s="50"/>
      <c r="KKH598" s="50"/>
      <c r="KKI598" s="46"/>
      <c r="KKJ598" s="47"/>
      <c r="KKK598" s="46"/>
      <c r="KKL598" s="48"/>
      <c r="KKM598" s="53"/>
      <c r="KKT598" s="15"/>
      <c r="KKU598" s="50"/>
      <c r="KKV598" s="50"/>
      <c r="KKW598" s="46"/>
      <c r="KKX598" s="47"/>
      <c r="KKY598" s="46"/>
      <c r="KKZ598" s="48"/>
      <c r="KLA598" s="53"/>
      <c r="KLH598" s="15"/>
      <c r="KLI598" s="50"/>
      <c r="KLJ598" s="50"/>
      <c r="KLK598" s="46"/>
      <c r="KLL598" s="47"/>
      <c r="KLM598" s="46"/>
      <c r="KLN598" s="48"/>
      <c r="KLO598" s="53"/>
      <c r="KLV598" s="15"/>
      <c r="KLW598" s="50"/>
      <c r="KLX598" s="50"/>
      <c r="KLY598" s="46"/>
      <c r="KLZ598" s="47"/>
      <c r="KMA598" s="46"/>
      <c r="KMB598" s="48"/>
      <c r="KMC598" s="53"/>
      <c r="KMJ598" s="15"/>
      <c r="KMK598" s="50"/>
      <c r="KML598" s="50"/>
      <c r="KMM598" s="46"/>
      <c r="KMN598" s="47"/>
      <c r="KMO598" s="46"/>
      <c r="KMP598" s="48"/>
      <c r="KMQ598" s="53"/>
      <c r="KMX598" s="15"/>
      <c r="KMY598" s="50"/>
      <c r="KMZ598" s="50"/>
      <c r="KNA598" s="46"/>
      <c r="KNB598" s="47"/>
      <c r="KNC598" s="46"/>
      <c r="KND598" s="48"/>
      <c r="KNE598" s="53"/>
      <c r="KNL598" s="15"/>
      <c r="KNM598" s="50"/>
      <c r="KNN598" s="50"/>
      <c r="KNO598" s="46"/>
      <c r="KNP598" s="47"/>
      <c r="KNQ598" s="46"/>
      <c r="KNR598" s="48"/>
      <c r="KNS598" s="53"/>
      <c r="KNZ598" s="15"/>
      <c r="KOA598" s="50"/>
      <c r="KOB598" s="50"/>
      <c r="KOC598" s="46"/>
      <c r="KOD598" s="47"/>
      <c r="KOE598" s="46"/>
      <c r="KOF598" s="48"/>
      <c r="KOG598" s="53"/>
      <c r="KON598" s="15"/>
      <c r="KOO598" s="50"/>
      <c r="KOP598" s="50"/>
      <c r="KOQ598" s="46"/>
      <c r="KOR598" s="47"/>
      <c r="KOS598" s="46"/>
      <c r="KOT598" s="48"/>
      <c r="KOU598" s="53"/>
      <c r="KPB598" s="15"/>
      <c r="KPC598" s="50"/>
      <c r="KPD598" s="50"/>
      <c r="KPE598" s="46"/>
      <c r="KPF598" s="47"/>
      <c r="KPG598" s="46"/>
      <c r="KPH598" s="48"/>
      <c r="KPI598" s="53"/>
      <c r="KPP598" s="15"/>
      <c r="KPQ598" s="50"/>
      <c r="KPR598" s="50"/>
      <c r="KPS598" s="46"/>
      <c r="KPT598" s="47"/>
      <c r="KPU598" s="46"/>
      <c r="KPV598" s="48"/>
      <c r="KPW598" s="53"/>
      <c r="KQD598" s="15"/>
      <c r="KQE598" s="50"/>
      <c r="KQF598" s="50"/>
      <c r="KQG598" s="46"/>
      <c r="KQH598" s="47"/>
      <c r="KQI598" s="46"/>
      <c r="KQJ598" s="48"/>
      <c r="KQK598" s="53"/>
      <c r="KQR598" s="15"/>
      <c r="KQS598" s="50"/>
      <c r="KQT598" s="50"/>
      <c r="KQU598" s="46"/>
      <c r="KQV598" s="47"/>
      <c r="KQW598" s="46"/>
      <c r="KQX598" s="48"/>
      <c r="KQY598" s="53"/>
      <c r="KRF598" s="15"/>
      <c r="KRG598" s="50"/>
      <c r="KRH598" s="50"/>
      <c r="KRI598" s="46"/>
      <c r="KRJ598" s="47"/>
      <c r="KRK598" s="46"/>
      <c r="KRL598" s="48"/>
      <c r="KRM598" s="53"/>
      <c r="KRT598" s="15"/>
      <c r="KRU598" s="50"/>
      <c r="KRV598" s="50"/>
      <c r="KRW598" s="46"/>
      <c r="KRX598" s="47"/>
      <c r="KRY598" s="46"/>
      <c r="KRZ598" s="48"/>
      <c r="KSA598" s="53"/>
      <c r="KSH598" s="15"/>
      <c r="KSI598" s="50"/>
      <c r="KSJ598" s="50"/>
      <c r="KSK598" s="46"/>
      <c r="KSL598" s="47"/>
      <c r="KSM598" s="46"/>
      <c r="KSN598" s="48"/>
      <c r="KSO598" s="53"/>
      <c r="KSV598" s="15"/>
      <c r="KSW598" s="50"/>
      <c r="KSX598" s="50"/>
      <c r="KSY598" s="46"/>
      <c r="KSZ598" s="47"/>
      <c r="KTA598" s="46"/>
      <c r="KTB598" s="48"/>
      <c r="KTC598" s="53"/>
      <c r="KTJ598" s="15"/>
      <c r="KTK598" s="50"/>
      <c r="KTL598" s="50"/>
      <c r="KTM598" s="46"/>
      <c r="KTN598" s="47"/>
      <c r="KTO598" s="46"/>
      <c r="KTP598" s="48"/>
      <c r="KTQ598" s="53"/>
      <c r="KTX598" s="15"/>
      <c r="KTY598" s="50"/>
      <c r="KTZ598" s="50"/>
      <c r="KUA598" s="46"/>
      <c r="KUB598" s="47"/>
      <c r="KUC598" s="46"/>
      <c r="KUD598" s="48"/>
      <c r="KUE598" s="53"/>
      <c r="KUL598" s="15"/>
      <c r="KUM598" s="50"/>
      <c r="KUN598" s="50"/>
      <c r="KUO598" s="46"/>
      <c r="KUP598" s="47"/>
      <c r="KUQ598" s="46"/>
      <c r="KUR598" s="48"/>
      <c r="KUS598" s="53"/>
      <c r="KUZ598" s="15"/>
      <c r="KVA598" s="50"/>
      <c r="KVB598" s="50"/>
      <c r="KVC598" s="46"/>
      <c r="KVD598" s="47"/>
      <c r="KVE598" s="46"/>
      <c r="KVF598" s="48"/>
      <c r="KVG598" s="53"/>
      <c r="KVN598" s="15"/>
      <c r="KVO598" s="50"/>
      <c r="KVP598" s="50"/>
      <c r="KVQ598" s="46"/>
      <c r="KVR598" s="47"/>
      <c r="KVS598" s="46"/>
      <c r="KVT598" s="48"/>
      <c r="KVU598" s="53"/>
      <c r="KWB598" s="15"/>
      <c r="KWC598" s="50"/>
      <c r="KWD598" s="50"/>
      <c r="KWE598" s="46"/>
      <c r="KWF598" s="47"/>
      <c r="KWG598" s="46"/>
      <c r="KWH598" s="48"/>
      <c r="KWI598" s="53"/>
      <c r="KWP598" s="15"/>
      <c r="KWQ598" s="50"/>
      <c r="KWR598" s="50"/>
      <c r="KWS598" s="46"/>
      <c r="KWT598" s="47"/>
      <c r="KWU598" s="46"/>
      <c r="KWV598" s="48"/>
      <c r="KWW598" s="53"/>
      <c r="KXD598" s="15"/>
      <c r="KXE598" s="50"/>
      <c r="KXF598" s="50"/>
      <c r="KXG598" s="46"/>
      <c r="KXH598" s="47"/>
      <c r="KXI598" s="46"/>
      <c r="KXJ598" s="48"/>
      <c r="KXK598" s="53"/>
      <c r="KXR598" s="15"/>
      <c r="KXS598" s="50"/>
      <c r="KXT598" s="50"/>
      <c r="KXU598" s="46"/>
      <c r="KXV598" s="47"/>
      <c r="KXW598" s="46"/>
      <c r="KXX598" s="48"/>
      <c r="KXY598" s="53"/>
      <c r="KYF598" s="15"/>
      <c r="KYG598" s="50"/>
      <c r="KYH598" s="50"/>
      <c r="KYI598" s="46"/>
      <c r="KYJ598" s="47"/>
      <c r="KYK598" s="46"/>
      <c r="KYL598" s="48"/>
      <c r="KYM598" s="53"/>
      <c r="KYT598" s="15"/>
      <c r="KYU598" s="50"/>
      <c r="KYV598" s="50"/>
      <c r="KYW598" s="46"/>
      <c r="KYX598" s="47"/>
      <c r="KYY598" s="46"/>
      <c r="KYZ598" s="48"/>
      <c r="KZA598" s="53"/>
      <c r="KZH598" s="15"/>
      <c r="KZI598" s="50"/>
      <c r="KZJ598" s="50"/>
      <c r="KZK598" s="46"/>
      <c r="KZL598" s="47"/>
      <c r="KZM598" s="46"/>
      <c r="KZN598" s="48"/>
      <c r="KZO598" s="53"/>
      <c r="KZV598" s="15"/>
      <c r="KZW598" s="50"/>
      <c r="KZX598" s="50"/>
      <c r="KZY598" s="46"/>
      <c r="KZZ598" s="47"/>
      <c r="LAA598" s="46"/>
      <c r="LAB598" s="48"/>
      <c r="LAC598" s="53"/>
      <c r="LAJ598" s="15"/>
      <c r="LAK598" s="50"/>
      <c r="LAL598" s="50"/>
      <c r="LAM598" s="46"/>
      <c r="LAN598" s="47"/>
      <c r="LAO598" s="46"/>
      <c r="LAP598" s="48"/>
      <c r="LAQ598" s="53"/>
      <c r="LAX598" s="15"/>
      <c r="LAY598" s="50"/>
      <c r="LAZ598" s="50"/>
      <c r="LBA598" s="46"/>
      <c r="LBB598" s="47"/>
      <c r="LBC598" s="46"/>
      <c r="LBD598" s="48"/>
      <c r="LBE598" s="53"/>
      <c r="LBL598" s="15"/>
      <c r="LBM598" s="50"/>
      <c r="LBN598" s="50"/>
      <c r="LBO598" s="46"/>
      <c r="LBP598" s="47"/>
      <c r="LBQ598" s="46"/>
      <c r="LBR598" s="48"/>
      <c r="LBS598" s="53"/>
      <c r="LBZ598" s="15"/>
      <c r="LCA598" s="50"/>
      <c r="LCB598" s="50"/>
      <c r="LCC598" s="46"/>
      <c r="LCD598" s="47"/>
      <c r="LCE598" s="46"/>
      <c r="LCF598" s="48"/>
      <c r="LCG598" s="53"/>
      <c r="LCN598" s="15"/>
      <c r="LCO598" s="50"/>
      <c r="LCP598" s="50"/>
      <c r="LCQ598" s="46"/>
      <c r="LCR598" s="47"/>
      <c r="LCS598" s="46"/>
      <c r="LCT598" s="48"/>
      <c r="LCU598" s="53"/>
      <c r="LDB598" s="15"/>
      <c r="LDC598" s="50"/>
      <c r="LDD598" s="50"/>
      <c r="LDE598" s="46"/>
      <c r="LDF598" s="47"/>
      <c r="LDG598" s="46"/>
      <c r="LDH598" s="48"/>
      <c r="LDI598" s="53"/>
      <c r="LDP598" s="15"/>
      <c r="LDQ598" s="50"/>
      <c r="LDR598" s="50"/>
      <c r="LDS598" s="46"/>
      <c r="LDT598" s="47"/>
      <c r="LDU598" s="46"/>
      <c r="LDV598" s="48"/>
      <c r="LDW598" s="53"/>
      <c r="LED598" s="15"/>
      <c r="LEE598" s="50"/>
      <c r="LEF598" s="50"/>
      <c r="LEG598" s="46"/>
      <c r="LEH598" s="47"/>
      <c r="LEI598" s="46"/>
      <c r="LEJ598" s="48"/>
      <c r="LEK598" s="53"/>
      <c r="LER598" s="15"/>
      <c r="LES598" s="50"/>
      <c r="LET598" s="50"/>
      <c r="LEU598" s="46"/>
      <c r="LEV598" s="47"/>
      <c r="LEW598" s="46"/>
      <c r="LEX598" s="48"/>
      <c r="LEY598" s="53"/>
      <c r="LFF598" s="15"/>
      <c r="LFG598" s="50"/>
      <c r="LFH598" s="50"/>
      <c r="LFI598" s="46"/>
      <c r="LFJ598" s="47"/>
      <c r="LFK598" s="46"/>
      <c r="LFL598" s="48"/>
      <c r="LFM598" s="53"/>
      <c r="LFT598" s="15"/>
      <c r="LFU598" s="50"/>
      <c r="LFV598" s="50"/>
      <c r="LFW598" s="46"/>
      <c r="LFX598" s="47"/>
      <c r="LFY598" s="46"/>
      <c r="LFZ598" s="48"/>
      <c r="LGA598" s="53"/>
      <c r="LGH598" s="15"/>
      <c r="LGI598" s="50"/>
      <c r="LGJ598" s="50"/>
      <c r="LGK598" s="46"/>
      <c r="LGL598" s="47"/>
      <c r="LGM598" s="46"/>
      <c r="LGN598" s="48"/>
      <c r="LGO598" s="53"/>
      <c r="LGV598" s="15"/>
      <c r="LGW598" s="50"/>
      <c r="LGX598" s="50"/>
      <c r="LGY598" s="46"/>
      <c r="LGZ598" s="47"/>
      <c r="LHA598" s="46"/>
      <c r="LHB598" s="48"/>
      <c r="LHC598" s="53"/>
      <c r="LHJ598" s="15"/>
      <c r="LHK598" s="50"/>
      <c r="LHL598" s="50"/>
      <c r="LHM598" s="46"/>
      <c r="LHN598" s="47"/>
      <c r="LHO598" s="46"/>
      <c r="LHP598" s="48"/>
      <c r="LHQ598" s="53"/>
      <c r="LHX598" s="15"/>
      <c r="LHY598" s="50"/>
      <c r="LHZ598" s="50"/>
      <c r="LIA598" s="46"/>
      <c r="LIB598" s="47"/>
      <c r="LIC598" s="46"/>
      <c r="LID598" s="48"/>
      <c r="LIE598" s="53"/>
      <c r="LIL598" s="15"/>
      <c r="LIM598" s="50"/>
      <c r="LIN598" s="50"/>
      <c r="LIO598" s="46"/>
      <c r="LIP598" s="47"/>
      <c r="LIQ598" s="46"/>
      <c r="LIR598" s="48"/>
      <c r="LIS598" s="53"/>
      <c r="LIZ598" s="15"/>
      <c r="LJA598" s="50"/>
      <c r="LJB598" s="50"/>
      <c r="LJC598" s="46"/>
      <c r="LJD598" s="47"/>
      <c r="LJE598" s="46"/>
      <c r="LJF598" s="48"/>
      <c r="LJG598" s="53"/>
      <c r="LJN598" s="15"/>
      <c r="LJO598" s="50"/>
      <c r="LJP598" s="50"/>
      <c r="LJQ598" s="46"/>
      <c r="LJR598" s="47"/>
      <c r="LJS598" s="46"/>
      <c r="LJT598" s="48"/>
      <c r="LJU598" s="53"/>
      <c r="LKB598" s="15"/>
      <c r="LKC598" s="50"/>
      <c r="LKD598" s="50"/>
      <c r="LKE598" s="46"/>
      <c r="LKF598" s="47"/>
      <c r="LKG598" s="46"/>
      <c r="LKH598" s="48"/>
      <c r="LKI598" s="53"/>
      <c r="LKP598" s="15"/>
      <c r="LKQ598" s="50"/>
      <c r="LKR598" s="50"/>
      <c r="LKS598" s="46"/>
      <c r="LKT598" s="47"/>
      <c r="LKU598" s="46"/>
      <c r="LKV598" s="48"/>
      <c r="LKW598" s="53"/>
      <c r="LLD598" s="15"/>
      <c r="LLE598" s="50"/>
      <c r="LLF598" s="50"/>
      <c r="LLG598" s="46"/>
      <c r="LLH598" s="47"/>
      <c r="LLI598" s="46"/>
      <c r="LLJ598" s="48"/>
      <c r="LLK598" s="53"/>
      <c r="LLR598" s="15"/>
      <c r="LLS598" s="50"/>
      <c r="LLT598" s="50"/>
      <c r="LLU598" s="46"/>
      <c r="LLV598" s="47"/>
      <c r="LLW598" s="46"/>
      <c r="LLX598" s="48"/>
      <c r="LLY598" s="53"/>
      <c r="LMF598" s="15"/>
      <c r="LMG598" s="50"/>
      <c r="LMH598" s="50"/>
      <c r="LMI598" s="46"/>
      <c r="LMJ598" s="47"/>
      <c r="LMK598" s="46"/>
      <c r="LML598" s="48"/>
      <c r="LMM598" s="53"/>
      <c r="LMT598" s="15"/>
      <c r="LMU598" s="50"/>
      <c r="LMV598" s="50"/>
      <c r="LMW598" s="46"/>
      <c r="LMX598" s="47"/>
      <c r="LMY598" s="46"/>
      <c r="LMZ598" s="48"/>
      <c r="LNA598" s="53"/>
      <c r="LNH598" s="15"/>
      <c r="LNI598" s="50"/>
      <c r="LNJ598" s="50"/>
      <c r="LNK598" s="46"/>
      <c r="LNL598" s="47"/>
      <c r="LNM598" s="46"/>
      <c r="LNN598" s="48"/>
      <c r="LNO598" s="53"/>
      <c r="LNV598" s="15"/>
      <c r="LNW598" s="50"/>
      <c r="LNX598" s="50"/>
      <c r="LNY598" s="46"/>
      <c r="LNZ598" s="47"/>
      <c r="LOA598" s="46"/>
      <c r="LOB598" s="48"/>
      <c r="LOC598" s="53"/>
      <c r="LOJ598" s="15"/>
      <c r="LOK598" s="50"/>
      <c r="LOL598" s="50"/>
      <c r="LOM598" s="46"/>
      <c r="LON598" s="47"/>
      <c r="LOO598" s="46"/>
      <c r="LOP598" s="48"/>
      <c r="LOQ598" s="53"/>
      <c r="LOX598" s="15"/>
      <c r="LOY598" s="50"/>
      <c r="LOZ598" s="50"/>
      <c r="LPA598" s="46"/>
      <c r="LPB598" s="47"/>
      <c r="LPC598" s="46"/>
      <c r="LPD598" s="48"/>
      <c r="LPE598" s="53"/>
      <c r="LPL598" s="15"/>
      <c r="LPM598" s="50"/>
      <c r="LPN598" s="50"/>
      <c r="LPO598" s="46"/>
      <c r="LPP598" s="47"/>
      <c r="LPQ598" s="46"/>
      <c r="LPR598" s="48"/>
      <c r="LPS598" s="53"/>
      <c r="LPZ598" s="15"/>
      <c r="LQA598" s="50"/>
      <c r="LQB598" s="50"/>
      <c r="LQC598" s="46"/>
      <c r="LQD598" s="47"/>
      <c r="LQE598" s="46"/>
      <c r="LQF598" s="48"/>
      <c r="LQG598" s="53"/>
      <c r="LQN598" s="15"/>
      <c r="LQO598" s="50"/>
      <c r="LQP598" s="50"/>
      <c r="LQQ598" s="46"/>
      <c r="LQR598" s="47"/>
      <c r="LQS598" s="46"/>
      <c r="LQT598" s="48"/>
      <c r="LQU598" s="53"/>
      <c r="LRB598" s="15"/>
      <c r="LRC598" s="50"/>
      <c r="LRD598" s="50"/>
      <c r="LRE598" s="46"/>
      <c r="LRF598" s="47"/>
      <c r="LRG598" s="46"/>
      <c r="LRH598" s="48"/>
      <c r="LRI598" s="53"/>
      <c r="LRP598" s="15"/>
      <c r="LRQ598" s="50"/>
      <c r="LRR598" s="50"/>
      <c r="LRS598" s="46"/>
      <c r="LRT598" s="47"/>
      <c r="LRU598" s="46"/>
      <c r="LRV598" s="48"/>
      <c r="LRW598" s="53"/>
      <c r="LSD598" s="15"/>
      <c r="LSE598" s="50"/>
      <c r="LSF598" s="50"/>
      <c r="LSG598" s="46"/>
      <c r="LSH598" s="47"/>
      <c r="LSI598" s="46"/>
      <c r="LSJ598" s="48"/>
      <c r="LSK598" s="53"/>
      <c r="LSR598" s="15"/>
      <c r="LSS598" s="50"/>
      <c r="LST598" s="50"/>
      <c r="LSU598" s="46"/>
      <c r="LSV598" s="47"/>
      <c r="LSW598" s="46"/>
      <c r="LSX598" s="48"/>
      <c r="LSY598" s="53"/>
      <c r="LTF598" s="15"/>
      <c r="LTG598" s="50"/>
      <c r="LTH598" s="50"/>
      <c r="LTI598" s="46"/>
      <c r="LTJ598" s="47"/>
      <c r="LTK598" s="46"/>
      <c r="LTL598" s="48"/>
      <c r="LTM598" s="53"/>
      <c r="LTT598" s="15"/>
      <c r="LTU598" s="50"/>
      <c r="LTV598" s="50"/>
      <c r="LTW598" s="46"/>
      <c r="LTX598" s="47"/>
      <c r="LTY598" s="46"/>
      <c r="LTZ598" s="48"/>
      <c r="LUA598" s="53"/>
      <c r="LUH598" s="15"/>
      <c r="LUI598" s="50"/>
      <c r="LUJ598" s="50"/>
      <c r="LUK598" s="46"/>
      <c r="LUL598" s="47"/>
      <c r="LUM598" s="46"/>
      <c r="LUN598" s="48"/>
      <c r="LUO598" s="53"/>
      <c r="LUV598" s="15"/>
      <c r="LUW598" s="50"/>
      <c r="LUX598" s="50"/>
      <c r="LUY598" s="46"/>
      <c r="LUZ598" s="47"/>
      <c r="LVA598" s="46"/>
      <c r="LVB598" s="48"/>
      <c r="LVC598" s="53"/>
      <c r="LVJ598" s="15"/>
      <c r="LVK598" s="50"/>
      <c r="LVL598" s="50"/>
      <c r="LVM598" s="46"/>
      <c r="LVN598" s="47"/>
      <c r="LVO598" s="46"/>
      <c r="LVP598" s="48"/>
      <c r="LVQ598" s="53"/>
      <c r="LVX598" s="15"/>
      <c r="LVY598" s="50"/>
      <c r="LVZ598" s="50"/>
      <c r="LWA598" s="46"/>
      <c r="LWB598" s="47"/>
      <c r="LWC598" s="46"/>
      <c r="LWD598" s="48"/>
      <c r="LWE598" s="53"/>
      <c r="LWL598" s="15"/>
      <c r="LWM598" s="50"/>
      <c r="LWN598" s="50"/>
      <c r="LWO598" s="46"/>
      <c r="LWP598" s="47"/>
      <c r="LWQ598" s="46"/>
      <c r="LWR598" s="48"/>
      <c r="LWS598" s="53"/>
      <c r="LWZ598" s="15"/>
      <c r="LXA598" s="50"/>
      <c r="LXB598" s="50"/>
      <c r="LXC598" s="46"/>
      <c r="LXD598" s="47"/>
      <c r="LXE598" s="46"/>
      <c r="LXF598" s="48"/>
      <c r="LXG598" s="53"/>
      <c r="LXN598" s="15"/>
      <c r="LXO598" s="50"/>
      <c r="LXP598" s="50"/>
      <c r="LXQ598" s="46"/>
      <c r="LXR598" s="47"/>
      <c r="LXS598" s="46"/>
      <c r="LXT598" s="48"/>
      <c r="LXU598" s="53"/>
      <c r="LYB598" s="15"/>
      <c r="LYC598" s="50"/>
      <c r="LYD598" s="50"/>
      <c r="LYE598" s="46"/>
      <c r="LYF598" s="47"/>
      <c r="LYG598" s="46"/>
      <c r="LYH598" s="48"/>
      <c r="LYI598" s="53"/>
      <c r="LYP598" s="15"/>
      <c r="LYQ598" s="50"/>
      <c r="LYR598" s="50"/>
      <c r="LYS598" s="46"/>
      <c r="LYT598" s="47"/>
      <c r="LYU598" s="46"/>
      <c r="LYV598" s="48"/>
      <c r="LYW598" s="53"/>
      <c r="LZD598" s="15"/>
      <c r="LZE598" s="50"/>
      <c r="LZF598" s="50"/>
      <c r="LZG598" s="46"/>
      <c r="LZH598" s="47"/>
      <c r="LZI598" s="46"/>
      <c r="LZJ598" s="48"/>
      <c r="LZK598" s="53"/>
      <c r="LZR598" s="15"/>
      <c r="LZS598" s="50"/>
      <c r="LZT598" s="50"/>
      <c r="LZU598" s="46"/>
      <c r="LZV598" s="47"/>
      <c r="LZW598" s="46"/>
      <c r="LZX598" s="48"/>
      <c r="LZY598" s="53"/>
      <c r="MAF598" s="15"/>
      <c r="MAG598" s="50"/>
      <c r="MAH598" s="50"/>
      <c r="MAI598" s="46"/>
      <c r="MAJ598" s="47"/>
      <c r="MAK598" s="46"/>
      <c r="MAL598" s="48"/>
      <c r="MAM598" s="53"/>
      <c r="MAT598" s="15"/>
      <c r="MAU598" s="50"/>
      <c r="MAV598" s="50"/>
      <c r="MAW598" s="46"/>
      <c r="MAX598" s="47"/>
      <c r="MAY598" s="46"/>
      <c r="MAZ598" s="48"/>
      <c r="MBA598" s="53"/>
      <c r="MBH598" s="15"/>
      <c r="MBI598" s="50"/>
      <c r="MBJ598" s="50"/>
      <c r="MBK598" s="46"/>
      <c r="MBL598" s="47"/>
      <c r="MBM598" s="46"/>
      <c r="MBN598" s="48"/>
      <c r="MBO598" s="53"/>
      <c r="MBV598" s="15"/>
      <c r="MBW598" s="50"/>
      <c r="MBX598" s="50"/>
      <c r="MBY598" s="46"/>
      <c r="MBZ598" s="47"/>
      <c r="MCA598" s="46"/>
      <c r="MCB598" s="48"/>
      <c r="MCC598" s="53"/>
      <c r="MCJ598" s="15"/>
      <c r="MCK598" s="50"/>
      <c r="MCL598" s="50"/>
      <c r="MCM598" s="46"/>
      <c r="MCN598" s="47"/>
      <c r="MCO598" s="46"/>
      <c r="MCP598" s="48"/>
      <c r="MCQ598" s="53"/>
      <c r="MCX598" s="15"/>
      <c r="MCY598" s="50"/>
      <c r="MCZ598" s="50"/>
      <c r="MDA598" s="46"/>
      <c r="MDB598" s="47"/>
      <c r="MDC598" s="46"/>
      <c r="MDD598" s="48"/>
      <c r="MDE598" s="53"/>
      <c r="MDL598" s="15"/>
      <c r="MDM598" s="50"/>
      <c r="MDN598" s="50"/>
      <c r="MDO598" s="46"/>
      <c r="MDP598" s="47"/>
      <c r="MDQ598" s="46"/>
      <c r="MDR598" s="48"/>
      <c r="MDS598" s="53"/>
      <c r="MDZ598" s="15"/>
      <c r="MEA598" s="50"/>
      <c r="MEB598" s="50"/>
      <c r="MEC598" s="46"/>
      <c r="MED598" s="47"/>
      <c r="MEE598" s="46"/>
      <c r="MEF598" s="48"/>
      <c r="MEG598" s="53"/>
      <c r="MEN598" s="15"/>
      <c r="MEO598" s="50"/>
      <c r="MEP598" s="50"/>
      <c r="MEQ598" s="46"/>
      <c r="MER598" s="47"/>
      <c r="MES598" s="46"/>
      <c r="MET598" s="48"/>
      <c r="MEU598" s="53"/>
      <c r="MFB598" s="15"/>
      <c r="MFC598" s="50"/>
      <c r="MFD598" s="50"/>
      <c r="MFE598" s="46"/>
      <c r="MFF598" s="47"/>
      <c r="MFG598" s="46"/>
      <c r="MFH598" s="48"/>
      <c r="MFI598" s="53"/>
      <c r="MFP598" s="15"/>
      <c r="MFQ598" s="50"/>
      <c r="MFR598" s="50"/>
      <c r="MFS598" s="46"/>
      <c r="MFT598" s="47"/>
      <c r="MFU598" s="46"/>
      <c r="MFV598" s="48"/>
      <c r="MFW598" s="53"/>
      <c r="MGD598" s="15"/>
      <c r="MGE598" s="50"/>
      <c r="MGF598" s="50"/>
      <c r="MGG598" s="46"/>
      <c r="MGH598" s="47"/>
      <c r="MGI598" s="46"/>
      <c r="MGJ598" s="48"/>
      <c r="MGK598" s="53"/>
      <c r="MGR598" s="15"/>
      <c r="MGS598" s="50"/>
      <c r="MGT598" s="50"/>
      <c r="MGU598" s="46"/>
      <c r="MGV598" s="47"/>
      <c r="MGW598" s="46"/>
      <c r="MGX598" s="48"/>
      <c r="MGY598" s="53"/>
      <c r="MHF598" s="15"/>
      <c r="MHG598" s="50"/>
      <c r="MHH598" s="50"/>
      <c r="MHI598" s="46"/>
      <c r="MHJ598" s="47"/>
      <c r="MHK598" s="46"/>
      <c r="MHL598" s="48"/>
      <c r="MHM598" s="53"/>
      <c r="MHT598" s="15"/>
      <c r="MHU598" s="50"/>
      <c r="MHV598" s="50"/>
      <c r="MHW598" s="46"/>
      <c r="MHX598" s="47"/>
      <c r="MHY598" s="46"/>
      <c r="MHZ598" s="48"/>
      <c r="MIA598" s="53"/>
      <c r="MIH598" s="15"/>
      <c r="MII598" s="50"/>
      <c r="MIJ598" s="50"/>
      <c r="MIK598" s="46"/>
      <c r="MIL598" s="47"/>
      <c r="MIM598" s="46"/>
      <c r="MIN598" s="48"/>
      <c r="MIO598" s="53"/>
      <c r="MIV598" s="15"/>
      <c r="MIW598" s="50"/>
      <c r="MIX598" s="50"/>
      <c r="MIY598" s="46"/>
      <c r="MIZ598" s="47"/>
      <c r="MJA598" s="46"/>
      <c r="MJB598" s="48"/>
      <c r="MJC598" s="53"/>
      <c r="MJJ598" s="15"/>
      <c r="MJK598" s="50"/>
      <c r="MJL598" s="50"/>
      <c r="MJM598" s="46"/>
      <c r="MJN598" s="47"/>
      <c r="MJO598" s="46"/>
      <c r="MJP598" s="48"/>
      <c r="MJQ598" s="53"/>
      <c r="MJX598" s="15"/>
      <c r="MJY598" s="50"/>
      <c r="MJZ598" s="50"/>
      <c r="MKA598" s="46"/>
      <c r="MKB598" s="47"/>
      <c r="MKC598" s="46"/>
      <c r="MKD598" s="48"/>
      <c r="MKE598" s="53"/>
      <c r="MKL598" s="15"/>
      <c r="MKM598" s="50"/>
      <c r="MKN598" s="50"/>
      <c r="MKO598" s="46"/>
      <c r="MKP598" s="47"/>
      <c r="MKQ598" s="46"/>
      <c r="MKR598" s="48"/>
      <c r="MKS598" s="53"/>
      <c r="MKZ598" s="15"/>
      <c r="MLA598" s="50"/>
      <c r="MLB598" s="50"/>
      <c r="MLC598" s="46"/>
      <c r="MLD598" s="47"/>
      <c r="MLE598" s="46"/>
      <c r="MLF598" s="48"/>
      <c r="MLG598" s="53"/>
      <c r="MLN598" s="15"/>
      <c r="MLO598" s="50"/>
      <c r="MLP598" s="50"/>
      <c r="MLQ598" s="46"/>
      <c r="MLR598" s="47"/>
      <c r="MLS598" s="46"/>
      <c r="MLT598" s="48"/>
      <c r="MLU598" s="53"/>
      <c r="MMB598" s="15"/>
      <c r="MMC598" s="50"/>
      <c r="MMD598" s="50"/>
      <c r="MME598" s="46"/>
      <c r="MMF598" s="47"/>
      <c r="MMG598" s="46"/>
      <c r="MMH598" s="48"/>
      <c r="MMI598" s="53"/>
      <c r="MMP598" s="15"/>
      <c r="MMQ598" s="50"/>
      <c r="MMR598" s="50"/>
      <c r="MMS598" s="46"/>
      <c r="MMT598" s="47"/>
      <c r="MMU598" s="46"/>
      <c r="MMV598" s="48"/>
      <c r="MMW598" s="53"/>
      <c r="MND598" s="15"/>
      <c r="MNE598" s="50"/>
      <c r="MNF598" s="50"/>
      <c r="MNG598" s="46"/>
      <c r="MNH598" s="47"/>
      <c r="MNI598" s="46"/>
      <c r="MNJ598" s="48"/>
      <c r="MNK598" s="53"/>
      <c r="MNR598" s="15"/>
      <c r="MNS598" s="50"/>
      <c r="MNT598" s="50"/>
      <c r="MNU598" s="46"/>
      <c r="MNV598" s="47"/>
      <c r="MNW598" s="46"/>
      <c r="MNX598" s="48"/>
      <c r="MNY598" s="53"/>
      <c r="MOF598" s="15"/>
      <c r="MOG598" s="50"/>
      <c r="MOH598" s="50"/>
      <c r="MOI598" s="46"/>
      <c r="MOJ598" s="47"/>
      <c r="MOK598" s="46"/>
      <c r="MOL598" s="48"/>
      <c r="MOM598" s="53"/>
      <c r="MOT598" s="15"/>
      <c r="MOU598" s="50"/>
      <c r="MOV598" s="50"/>
      <c r="MOW598" s="46"/>
      <c r="MOX598" s="47"/>
      <c r="MOY598" s="46"/>
      <c r="MOZ598" s="48"/>
      <c r="MPA598" s="53"/>
      <c r="MPH598" s="15"/>
      <c r="MPI598" s="50"/>
      <c r="MPJ598" s="50"/>
      <c r="MPK598" s="46"/>
      <c r="MPL598" s="47"/>
      <c r="MPM598" s="46"/>
      <c r="MPN598" s="48"/>
      <c r="MPO598" s="53"/>
      <c r="MPV598" s="15"/>
      <c r="MPW598" s="50"/>
      <c r="MPX598" s="50"/>
      <c r="MPY598" s="46"/>
      <c r="MPZ598" s="47"/>
      <c r="MQA598" s="46"/>
      <c r="MQB598" s="48"/>
      <c r="MQC598" s="53"/>
      <c r="MQJ598" s="15"/>
      <c r="MQK598" s="50"/>
      <c r="MQL598" s="50"/>
      <c r="MQM598" s="46"/>
      <c r="MQN598" s="47"/>
      <c r="MQO598" s="46"/>
      <c r="MQP598" s="48"/>
      <c r="MQQ598" s="53"/>
      <c r="MQX598" s="15"/>
      <c r="MQY598" s="50"/>
      <c r="MQZ598" s="50"/>
      <c r="MRA598" s="46"/>
      <c r="MRB598" s="47"/>
      <c r="MRC598" s="46"/>
      <c r="MRD598" s="48"/>
      <c r="MRE598" s="53"/>
      <c r="MRL598" s="15"/>
      <c r="MRM598" s="50"/>
      <c r="MRN598" s="50"/>
      <c r="MRO598" s="46"/>
      <c r="MRP598" s="47"/>
      <c r="MRQ598" s="46"/>
      <c r="MRR598" s="48"/>
      <c r="MRS598" s="53"/>
      <c r="MRZ598" s="15"/>
      <c r="MSA598" s="50"/>
      <c r="MSB598" s="50"/>
      <c r="MSC598" s="46"/>
      <c r="MSD598" s="47"/>
      <c r="MSE598" s="46"/>
      <c r="MSF598" s="48"/>
      <c r="MSG598" s="53"/>
      <c r="MSN598" s="15"/>
      <c r="MSO598" s="50"/>
      <c r="MSP598" s="50"/>
      <c r="MSQ598" s="46"/>
      <c r="MSR598" s="47"/>
      <c r="MSS598" s="46"/>
      <c r="MST598" s="48"/>
      <c r="MSU598" s="53"/>
      <c r="MTB598" s="15"/>
      <c r="MTC598" s="50"/>
      <c r="MTD598" s="50"/>
      <c r="MTE598" s="46"/>
      <c r="MTF598" s="47"/>
      <c r="MTG598" s="46"/>
      <c r="MTH598" s="48"/>
      <c r="MTI598" s="53"/>
      <c r="MTP598" s="15"/>
      <c r="MTQ598" s="50"/>
      <c r="MTR598" s="50"/>
      <c r="MTS598" s="46"/>
      <c r="MTT598" s="47"/>
      <c r="MTU598" s="46"/>
      <c r="MTV598" s="48"/>
      <c r="MTW598" s="53"/>
      <c r="MUD598" s="15"/>
      <c r="MUE598" s="50"/>
      <c r="MUF598" s="50"/>
      <c r="MUG598" s="46"/>
      <c r="MUH598" s="47"/>
      <c r="MUI598" s="46"/>
      <c r="MUJ598" s="48"/>
      <c r="MUK598" s="53"/>
      <c r="MUR598" s="15"/>
      <c r="MUS598" s="50"/>
      <c r="MUT598" s="50"/>
      <c r="MUU598" s="46"/>
      <c r="MUV598" s="47"/>
      <c r="MUW598" s="46"/>
      <c r="MUX598" s="48"/>
      <c r="MUY598" s="53"/>
      <c r="MVF598" s="15"/>
      <c r="MVG598" s="50"/>
      <c r="MVH598" s="50"/>
      <c r="MVI598" s="46"/>
      <c r="MVJ598" s="47"/>
      <c r="MVK598" s="46"/>
      <c r="MVL598" s="48"/>
      <c r="MVM598" s="53"/>
      <c r="MVT598" s="15"/>
      <c r="MVU598" s="50"/>
      <c r="MVV598" s="50"/>
      <c r="MVW598" s="46"/>
      <c r="MVX598" s="47"/>
      <c r="MVY598" s="46"/>
      <c r="MVZ598" s="48"/>
      <c r="MWA598" s="53"/>
      <c r="MWH598" s="15"/>
      <c r="MWI598" s="50"/>
      <c r="MWJ598" s="50"/>
      <c r="MWK598" s="46"/>
      <c r="MWL598" s="47"/>
      <c r="MWM598" s="46"/>
      <c r="MWN598" s="48"/>
      <c r="MWO598" s="53"/>
      <c r="MWV598" s="15"/>
      <c r="MWW598" s="50"/>
      <c r="MWX598" s="50"/>
      <c r="MWY598" s="46"/>
      <c r="MWZ598" s="47"/>
      <c r="MXA598" s="46"/>
      <c r="MXB598" s="48"/>
      <c r="MXC598" s="53"/>
      <c r="MXJ598" s="15"/>
      <c r="MXK598" s="50"/>
      <c r="MXL598" s="50"/>
      <c r="MXM598" s="46"/>
      <c r="MXN598" s="47"/>
      <c r="MXO598" s="46"/>
      <c r="MXP598" s="48"/>
      <c r="MXQ598" s="53"/>
      <c r="MXX598" s="15"/>
      <c r="MXY598" s="50"/>
      <c r="MXZ598" s="50"/>
      <c r="MYA598" s="46"/>
      <c r="MYB598" s="47"/>
      <c r="MYC598" s="46"/>
      <c r="MYD598" s="48"/>
      <c r="MYE598" s="53"/>
      <c r="MYL598" s="15"/>
      <c r="MYM598" s="50"/>
      <c r="MYN598" s="50"/>
      <c r="MYO598" s="46"/>
      <c r="MYP598" s="47"/>
      <c r="MYQ598" s="46"/>
      <c r="MYR598" s="48"/>
      <c r="MYS598" s="53"/>
      <c r="MYZ598" s="15"/>
      <c r="MZA598" s="50"/>
      <c r="MZB598" s="50"/>
      <c r="MZC598" s="46"/>
      <c r="MZD598" s="47"/>
      <c r="MZE598" s="46"/>
      <c r="MZF598" s="48"/>
      <c r="MZG598" s="53"/>
      <c r="MZN598" s="15"/>
      <c r="MZO598" s="50"/>
      <c r="MZP598" s="50"/>
      <c r="MZQ598" s="46"/>
      <c r="MZR598" s="47"/>
      <c r="MZS598" s="46"/>
      <c r="MZT598" s="48"/>
      <c r="MZU598" s="53"/>
      <c r="NAB598" s="15"/>
      <c r="NAC598" s="50"/>
      <c r="NAD598" s="50"/>
      <c r="NAE598" s="46"/>
      <c r="NAF598" s="47"/>
      <c r="NAG598" s="46"/>
      <c r="NAH598" s="48"/>
      <c r="NAI598" s="53"/>
      <c r="NAP598" s="15"/>
      <c r="NAQ598" s="50"/>
      <c r="NAR598" s="50"/>
      <c r="NAS598" s="46"/>
      <c r="NAT598" s="47"/>
      <c r="NAU598" s="46"/>
      <c r="NAV598" s="48"/>
      <c r="NAW598" s="53"/>
      <c r="NBD598" s="15"/>
      <c r="NBE598" s="50"/>
      <c r="NBF598" s="50"/>
      <c r="NBG598" s="46"/>
      <c r="NBH598" s="47"/>
      <c r="NBI598" s="46"/>
      <c r="NBJ598" s="48"/>
      <c r="NBK598" s="53"/>
      <c r="NBR598" s="15"/>
      <c r="NBS598" s="50"/>
      <c r="NBT598" s="50"/>
      <c r="NBU598" s="46"/>
      <c r="NBV598" s="47"/>
      <c r="NBW598" s="46"/>
      <c r="NBX598" s="48"/>
      <c r="NBY598" s="53"/>
      <c r="NCF598" s="15"/>
      <c r="NCG598" s="50"/>
      <c r="NCH598" s="50"/>
      <c r="NCI598" s="46"/>
      <c r="NCJ598" s="47"/>
      <c r="NCK598" s="46"/>
      <c r="NCL598" s="48"/>
      <c r="NCM598" s="53"/>
      <c r="NCT598" s="15"/>
      <c r="NCU598" s="50"/>
      <c r="NCV598" s="50"/>
      <c r="NCW598" s="46"/>
      <c r="NCX598" s="47"/>
      <c r="NCY598" s="46"/>
      <c r="NCZ598" s="48"/>
      <c r="NDA598" s="53"/>
      <c r="NDH598" s="15"/>
      <c r="NDI598" s="50"/>
      <c r="NDJ598" s="50"/>
      <c r="NDK598" s="46"/>
      <c r="NDL598" s="47"/>
      <c r="NDM598" s="46"/>
      <c r="NDN598" s="48"/>
      <c r="NDO598" s="53"/>
      <c r="NDV598" s="15"/>
      <c r="NDW598" s="50"/>
      <c r="NDX598" s="50"/>
      <c r="NDY598" s="46"/>
      <c r="NDZ598" s="47"/>
      <c r="NEA598" s="46"/>
      <c r="NEB598" s="48"/>
      <c r="NEC598" s="53"/>
      <c r="NEJ598" s="15"/>
      <c r="NEK598" s="50"/>
      <c r="NEL598" s="50"/>
      <c r="NEM598" s="46"/>
      <c r="NEN598" s="47"/>
      <c r="NEO598" s="46"/>
      <c r="NEP598" s="48"/>
      <c r="NEQ598" s="53"/>
      <c r="NEX598" s="15"/>
      <c r="NEY598" s="50"/>
      <c r="NEZ598" s="50"/>
      <c r="NFA598" s="46"/>
      <c r="NFB598" s="47"/>
      <c r="NFC598" s="46"/>
      <c r="NFD598" s="48"/>
      <c r="NFE598" s="53"/>
      <c r="NFL598" s="15"/>
      <c r="NFM598" s="50"/>
      <c r="NFN598" s="50"/>
      <c r="NFO598" s="46"/>
      <c r="NFP598" s="47"/>
      <c r="NFQ598" s="46"/>
      <c r="NFR598" s="48"/>
      <c r="NFS598" s="53"/>
      <c r="NFZ598" s="15"/>
      <c r="NGA598" s="50"/>
      <c r="NGB598" s="50"/>
      <c r="NGC598" s="46"/>
      <c r="NGD598" s="47"/>
      <c r="NGE598" s="46"/>
      <c r="NGF598" s="48"/>
      <c r="NGG598" s="53"/>
      <c r="NGN598" s="15"/>
      <c r="NGO598" s="50"/>
      <c r="NGP598" s="50"/>
      <c r="NGQ598" s="46"/>
      <c r="NGR598" s="47"/>
      <c r="NGS598" s="46"/>
      <c r="NGT598" s="48"/>
      <c r="NGU598" s="53"/>
      <c r="NHB598" s="15"/>
      <c r="NHC598" s="50"/>
      <c r="NHD598" s="50"/>
      <c r="NHE598" s="46"/>
      <c r="NHF598" s="47"/>
      <c r="NHG598" s="46"/>
      <c r="NHH598" s="48"/>
      <c r="NHI598" s="53"/>
      <c r="NHP598" s="15"/>
      <c r="NHQ598" s="50"/>
      <c r="NHR598" s="50"/>
      <c r="NHS598" s="46"/>
      <c r="NHT598" s="47"/>
      <c r="NHU598" s="46"/>
      <c r="NHV598" s="48"/>
      <c r="NHW598" s="53"/>
      <c r="NID598" s="15"/>
      <c r="NIE598" s="50"/>
      <c r="NIF598" s="50"/>
      <c r="NIG598" s="46"/>
      <c r="NIH598" s="47"/>
      <c r="NII598" s="46"/>
      <c r="NIJ598" s="48"/>
      <c r="NIK598" s="53"/>
      <c r="NIR598" s="15"/>
      <c r="NIS598" s="50"/>
      <c r="NIT598" s="50"/>
      <c r="NIU598" s="46"/>
      <c r="NIV598" s="47"/>
      <c r="NIW598" s="46"/>
      <c r="NIX598" s="48"/>
      <c r="NIY598" s="53"/>
      <c r="NJF598" s="15"/>
      <c r="NJG598" s="50"/>
      <c r="NJH598" s="50"/>
      <c r="NJI598" s="46"/>
      <c r="NJJ598" s="47"/>
      <c r="NJK598" s="46"/>
      <c r="NJL598" s="48"/>
      <c r="NJM598" s="53"/>
      <c r="NJT598" s="15"/>
      <c r="NJU598" s="50"/>
      <c r="NJV598" s="50"/>
      <c r="NJW598" s="46"/>
      <c r="NJX598" s="47"/>
      <c r="NJY598" s="46"/>
      <c r="NJZ598" s="48"/>
      <c r="NKA598" s="53"/>
      <c r="NKH598" s="15"/>
      <c r="NKI598" s="50"/>
      <c r="NKJ598" s="50"/>
      <c r="NKK598" s="46"/>
      <c r="NKL598" s="47"/>
      <c r="NKM598" s="46"/>
      <c r="NKN598" s="48"/>
      <c r="NKO598" s="53"/>
      <c r="NKV598" s="15"/>
      <c r="NKW598" s="50"/>
      <c r="NKX598" s="50"/>
      <c r="NKY598" s="46"/>
      <c r="NKZ598" s="47"/>
      <c r="NLA598" s="46"/>
      <c r="NLB598" s="48"/>
      <c r="NLC598" s="53"/>
      <c r="NLJ598" s="15"/>
      <c r="NLK598" s="50"/>
      <c r="NLL598" s="50"/>
      <c r="NLM598" s="46"/>
      <c r="NLN598" s="47"/>
      <c r="NLO598" s="46"/>
      <c r="NLP598" s="48"/>
      <c r="NLQ598" s="53"/>
      <c r="NLX598" s="15"/>
      <c r="NLY598" s="50"/>
      <c r="NLZ598" s="50"/>
      <c r="NMA598" s="46"/>
      <c r="NMB598" s="47"/>
      <c r="NMC598" s="46"/>
      <c r="NMD598" s="48"/>
      <c r="NME598" s="53"/>
      <c r="NML598" s="15"/>
      <c r="NMM598" s="50"/>
      <c r="NMN598" s="50"/>
      <c r="NMO598" s="46"/>
      <c r="NMP598" s="47"/>
      <c r="NMQ598" s="46"/>
      <c r="NMR598" s="48"/>
      <c r="NMS598" s="53"/>
      <c r="NMZ598" s="15"/>
      <c r="NNA598" s="50"/>
      <c r="NNB598" s="50"/>
      <c r="NNC598" s="46"/>
      <c r="NND598" s="47"/>
      <c r="NNE598" s="46"/>
      <c r="NNF598" s="48"/>
      <c r="NNG598" s="53"/>
      <c r="NNN598" s="15"/>
      <c r="NNO598" s="50"/>
      <c r="NNP598" s="50"/>
      <c r="NNQ598" s="46"/>
      <c r="NNR598" s="47"/>
      <c r="NNS598" s="46"/>
      <c r="NNT598" s="48"/>
      <c r="NNU598" s="53"/>
      <c r="NOB598" s="15"/>
      <c r="NOC598" s="50"/>
      <c r="NOD598" s="50"/>
      <c r="NOE598" s="46"/>
      <c r="NOF598" s="47"/>
      <c r="NOG598" s="46"/>
      <c r="NOH598" s="48"/>
      <c r="NOI598" s="53"/>
      <c r="NOP598" s="15"/>
      <c r="NOQ598" s="50"/>
      <c r="NOR598" s="50"/>
      <c r="NOS598" s="46"/>
      <c r="NOT598" s="47"/>
      <c r="NOU598" s="46"/>
      <c r="NOV598" s="48"/>
      <c r="NOW598" s="53"/>
      <c r="NPD598" s="15"/>
      <c r="NPE598" s="50"/>
      <c r="NPF598" s="50"/>
      <c r="NPG598" s="46"/>
      <c r="NPH598" s="47"/>
      <c r="NPI598" s="46"/>
      <c r="NPJ598" s="48"/>
      <c r="NPK598" s="53"/>
      <c r="NPR598" s="15"/>
      <c r="NPS598" s="50"/>
      <c r="NPT598" s="50"/>
      <c r="NPU598" s="46"/>
      <c r="NPV598" s="47"/>
      <c r="NPW598" s="46"/>
      <c r="NPX598" s="48"/>
      <c r="NPY598" s="53"/>
      <c r="NQF598" s="15"/>
      <c r="NQG598" s="50"/>
      <c r="NQH598" s="50"/>
      <c r="NQI598" s="46"/>
      <c r="NQJ598" s="47"/>
      <c r="NQK598" s="46"/>
      <c r="NQL598" s="48"/>
      <c r="NQM598" s="53"/>
      <c r="NQT598" s="15"/>
      <c r="NQU598" s="50"/>
      <c r="NQV598" s="50"/>
      <c r="NQW598" s="46"/>
      <c r="NQX598" s="47"/>
      <c r="NQY598" s="46"/>
      <c r="NQZ598" s="48"/>
      <c r="NRA598" s="53"/>
      <c r="NRH598" s="15"/>
      <c r="NRI598" s="50"/>
      <c r="NRJ598" s="50"/>
      <c r="NRK598" s="46"/>
      <c r="NRL598" s="47"/>
      <c r="NRM598" s="46"/>
      <c r="NRN598" s="48"/>
      <c r="NRO598" s="53"/>
      <c r="NRV598" s="15"/>
      <c r="NRW598" s="50"/>
      <c r="NRX598" s="50"/>
      <c r="NRY598" s="46"/>
      <c r="NRZ598" s="47"/>
      <c r="NSA598" s="46"/>
      <c r="NSB598" s="48"/>
      <c r="NSC598" s="53"/>
      <c r="NSJ598" s="15"/>
      <c r="NSK598" s="50"/>
      <c r="NSL598" s="50"/>
      <c r="NSM598" s="46"/>
      <c r="NSN598" s="47"/>
      <c r="NSO598" s="46"/>
      <c r="NSP598" s="48"/>
      <c r="NSQ598" s="53"/>
      <c r="NSX598" s="15"/>
      <c r="NSY598" s="50"/>
      <c r="NSZ598" s="50"/>
      <c r="NTA598" s="46"/>
      <c r="NTB598" s="47"/>
      <c r="NTC598" s="46"/>
      <c r="NTD598" s="48"/>
      <c r="NTE598" s="53"/>
      <c r="NTL598" s="15"/>
      <c r="NTM598" s="50"/>
      <c r="NTN598" s="50"/>
      <c r="NTO598" s="46"/>
      <c r="NTP598" s="47"/>
      <c r="NTQ598" s="46"/>
      <c r="NTR598" s="48"/>
      <c r="NTS598" s="53"/>
      <c r="NTZ598" s="15"/>
      <c r="NUA598" s="50"/>
      <c r="NUB598" s="50"/>
      <c r="NUC598" s="46"/>
      <c r="NUD598" s="47"/>
      <c r="NUE598" s="46"/>
      <c r="NUF598" s="48"/>
      <c r="NUG598" s="53"/>
      <c r="NUN598" s="15"/>
      <c r="NUO598" s="50"/>
      <c r="NUP598" s="50"/>
      <c r="NUQ598" s="46"/>
      <c r="NUR598" s="47"/>
      <c r="NUS598" s="46"/>
      <c r="NUT598" s="48"/>
      <c r="NUU598" s="53"/>
      <c r="NVB598" s="15"/>
      <c r="NVC598" s="50"/>
      <c r="NVD598" s="50"/>
      <c r="NVE598" s="46"/>
      <c r="NVF598" s="47"/>
      <c r="NVG598" s="46"/>
      <c r="NVH598" s="48"/>
      <c r="NVI598" s="53"/>
      <c r="NVP598" s="15"/>
      <c r="NVQ598" s="50"/>
      <c r="NVR598" s="50"/>
      <c r="NVS598" s="46"/>
      <c r="NVT598" s="47"/>
      <c r="NVU598" s="46"/>
      <c r="NVV598" s="48"/>
      <c r="NVW598" s="53"/>
      <c r="NWD598" s="15"/>
      <c r="NWE598" s="50"/>
      <c r="NWF598" s="50"/>
      <c r="NWG598" s="46"/>
      <c r="NWH598" s="47"/>
      <c r="NWI598" s="46"/>
      <c r="NWJ598" s="48"/>
      <c r="NWK598" s="53"/>
      <c r="NWR598" s="15"/>
      <c r="NWS598" s="50"/>
      <c r="NWT598" s="50"/>
      <c r="NWU598" s="46"/>
      <c r="NWV598" s="47"/>
      <c r="NWW598" s="46"/>
      <c r="NWX598" s="48"/>
      <c r="NWY598" s="53"/>
      <c r="NXF598" s="15"/>
      <c r="NXG598" s="50"/>
      <c r="NXH598" s="50"/>
      <c r="NXI598" s="46"/>
      <c r="NXJ598" s="47"/>
      <c r="NXK598" s="46"/>
      <c r="NXL598" s="48"/>
      <c r="NXM598" s="53"/>
      <c r="NXT598" s="15"/>
      <c r="NXU598" s="50"/>
      <c r="NXV598" s="50"/>
      <c r="NXW598" s="46"/>
      <c r="NXX598" s="47"/>
      <c r="NXY598" s="46"/>
      <c r="NXZ598" s="48"/>
      <c r="NYA598" s="53"/>
      <c r="NYH598" s="15"/>
      <c r="NYI598" s="50"/>
      <c r="NYJ598" s="50"/>
      <c r="NYK598" s="46"/>
      <c r="NYL598" s="47"/>
      <c r="NYM598" s="46"/>
      <c r="NYN598" s="48"/>
      <c r="NYO598" s="53"/>
      <c r="NYV598" s="15"/>
      <c r="NYW598" s="50"/>
      <c r="NYX598" s="50"/>
      <c r="NYY598" s="46"/>
      <c r="NYZ598" s="47"/>
      <c r="NZA598" s="46"/>
      <c r="NZB598" s="48"/>
      <c r="NZC598" s="53"/>
      <c r="NZJ598" s="15"/>
      <c r="NZK598" s="50"/>
      <c r="NZL598" s="50"/>
      <c r="NZM598" s="46"/>
      <c r="NZN598" s="47"/>
      <c r="NZO598" s="46"/>
      <c r="NZP598" s="48"/>
      <c r="NZQ598" s="53"/>
      <c r="NZX598" s="15"/>
      <c r="NZY598" s="50"/>
      <c r="NZZ598" s="50"/>
      <c r="OAA598" s="46"/>
      <c r="OAB598" s="47"/>
      <c r="OAC598" s="46"/>
      <c r="OAD598" s="48"/>
      <c r="OAE598" s="53"/>
      <c r="OAL598" s="15"/>
      <c r="OAM598" s="50"/>
      <c r="OAN598" s="50"/>
      <c r="OAO598" s="46"/>
      <c r="OAP598" s="47"/>
      <c r="OAQ598" s="46"/>
      <c r="OAR598" s="48"/>
      <c r="OAS598" s="53"/>
      <c r="OAZ598" s="15"/>
      <c r="OBA598" s="50"/>
      <c r="OBB598" s="50"/>
      <c r="OBC598" s="46"/>
      <c r="OBD598" s="47"/>
      <c r="OBE598" s="46"/>
      <c r="OBF598" s="48"/>
      <c r="OBG598" s="53"/>
      <c r="OBN598" s="15"/>
      <c r="OBO598" s="50"/>
      <c r="OBP598" s="50"/>
      <c r="OBQ598" s="46"/>
      <c r="OBR598" s="47"/>
      <c r="OBS598" s="46"/>
      <c r="OBT598" s="48"/>
      <c r="OBU598" s="53"/>
      <c r="OCB598" s="15"/>
      <c r="OCC598" s="50"/>
      <c r="OCD598" s="50"/>
      <c r="OCE598" s="46"/>
      <c r="OCF598" s="47"/>
      <c r="OCG598" s="46"/>
      <c r="OCH598" s="48"/>
      <c r="OCI598" s="53"/>
      <c r="OCP598" s="15"/>
      <c r="OCQ598" s="50"/>
      <c r="OCR598" s="50"/>
      <c r="OCS598" s="46"/>
      <c r="OCT598" s="47"/>
      <c r="OCU598" s="46"/>
      <c r="OCV598" s="48"/>
      <c r="OCW598" s="53"/>
      <c r="ODD598" s="15"/>
      <c r="ODE598" s="50"/>
      <c r="ODF598" s="50"/>
      <c r="ODG598" s="46"/>
      <c r="ODH598" s="47"/>
      <c r="ODI598" s="46"/>
      <c r="ODJ598" s="48"/>
      <c r="ODK598" s="53"/>
      <c r="ODR598" s="15"/>
      <c r="ODS598" s="50"/>
      <c r="ODT598" s="50"/>
      <c r="ODU598" s="46"/>
      <c r="ODV598" s="47"/>
      <c r="ODW598" s="46"/>
      <c r="ODX598" s="48"/>
      <c r="ODY598" s="53"/>
      <c r="OEF598" s="15"/>
      <c r="OEG598" s="50"/>
      <c r="OEH598" s="50"/>
      <c r="OEI598" s="46"/>
      <c r="OEJ598" s="47"/>
      <c r="OEK598" s="46"/>
      <c r="OEL598" s="48"/>
      <c r="OEM598" s="53"/>
      <c r="OET598" s="15"/>
      <c r="OEU598" s="50"/>
      <c r="OEV598" s="50"/>
      <c r="OEW598" s="46"/>
      <c r="OEX598" s="47"/>
      <c r="OEY598" s="46"/>
      <c r="OEZ598" s="48"/>
      <c r="OFA598" s="53"/>
      <c r="OFH598" s="15"/>
      <c r="OFI598" s="50"/>
      <c r="OFJ598" s="50"/>
      <c r="OFK598" s="46"/>
      <c r="OFL598" s="47"/>
      <c r="OFM598" s="46"/>
      <c r="OFN598" s="48"/>
      <c r="OFO598" s="53"/>
      <c r="OFV598" s="15"/>
      <c r="OFW598" s="50"/>
      <c r="OFX598" s="50"/>
      <c r="OFY598" s="46"/>
      <c r="OFZ598" s="47"/>
      <c r="OGA598" s="46"/>
      <c r="OGB598" s="48"/>
      <c r="OGC598" s="53"/>
      <c r="OGJ598" s="15"/>
      <c r="OGK598" s="50"/>
      <c r="OGL598" s="50"/>
      <c r="OGM598" s="46"/>
      <c r="OGN598" s="47"/>
      <c r="OGO598" s="46"/>
      <c r="OGP598" s="48"/>
      <c r="OGQ598" s="53"/>
      <c r="OGX598" s="15"/>
      <c r="OGY598" s="50"/>
      <c r="OGZ598" s="50"/>
      <c r="OHA598" s="46"/>
      <c r="OHB598" s="47"/>
      <c r="OHC598" s="46"/>
      <c r="OHD598" s="48"/>
      <c r="OHE598" s="53"/>
      <c r="OHL598" s="15"/>
      <c r="OHM598" s="50"/>
      <c r="OHN598" s="50"/>
      <c r="OHO598" s="46"/>
      <c r="OHP598" s="47"/>
      <c r="OHQ598" s="46"/>
      <c r="OHR598" s="48"/>
      <c r="OHS598" s="53"/>
      <c r="OHZ598" s="15"/>
      <c r="OIA598" s="50"/>
      <c r="OIB598" s="50"/>
      <c r="OIC598" s="46"/>
      <c r="OID598" s="47"/>
      <c r="OIE598" s="46"/>
      <c r="OIF598" s="48"/>
      <c r="OIG598" s="53"/>
      <c r="OIN598" s="15"/>
      <c r="OIO598" s="50"/>
      <c r="OIP598" s="50"/>
      <c r="OIQ598" s="46"/>
      <c r="OIR598" s="47"/>
      <c r="OIS598" s="46"/>
      <c r="OIT598" s="48"/>
      <c r="OIU598" s="53"/>
      <c r="OJB598" s="15"/>
      <c r="OJC598" s="50"/>
      <c r="OJD598" s="50"/>
      <c r="OJE598" s="46"/>
      <c r="OJF598" s="47"/>
      <c r="OJG598" s="46"/>
      <c r="OJH598" s="48"/>
      <c r="OJI598" s="53"/>
      <c r="OJP598" s="15"/>
      <c r="OJQ598" s="50"/>
      <c r="OJR598" s="50"/>
      <c r="OJS598" s="46"/>
      <c r="OJT598" s="47"/>
      <c r="OJU598" s="46"/>
      <c r="OJV598" s="48"/>
      <c r="OJW598" s="53"/>
      <c r="OKD598" s="15"/>
      <c r="OKE598" s="50"/>
      <c r="OKF598" s="50"/>
      <c r="OKG598" s="46"/>
      <c r="OKH598" s="47"/>
      <c r="OKI598" s="46"/>
      <c r="OKJ598" s="48"/>
      <c r="OKK598" s="53"/>
      <c r="OKR598" s="15"/>
      <c r="OKS598" s="50"/>
      <c r="OKT598" s="50"/>
      <c r="OKU598" s="46"/>
      <c r="OKV598" s="47"/>
      <c r="OKW598" s="46"/>
      <c r="OKX598" s="48"/>
      <c r="OKY598" s="53"/>
      <c r="OLF598" s="15"/>
      <c r="OLG598" s="50"/>
      <c r="OLH598" s="50"/>
      <c r="OLI598" s="46"/>
      <c r="OLJ598" s="47"/>
      <c r="OLK598" s="46"/>
      <c r="OLL598" s="48"/>
      <c r="OLM598" s="53"/>
      <c r="OLT598" s="15"/>
      <c r="OLU598" s="50"/>
      <c r="OLV598" s="50"/>
      <c r="OLW598" s="46"/>
      <c r="OLX598" s="47"/>
      <c r="OLY598" s="46"/>
      <c r="OLZ598" s="48"/>
      <c r="OMA598" s="53"/>
      <c r="OMH598" s="15"/>
      <c r="OMI598" s="50"/>
      <c r="OMJ598" s="50"/>
      <c r="OMK598" s="46"/>
      <c r="OML598" s="47"/>
      <c r="OMM598" s="46"/>
      <c r="OMN598" s="48"/>
      <c r="OMO598" s="53"/>
      <c r="OMV598" s="15"/>
      <c r="OMW598" s="50"/>
      <c r="OMX598" s="50"/>
      <c r="OMY598" s="46"/>
      <c r="OMZ598" s="47"/>
      <c r="ONA598" s="46"/>
      <c r="ONB598" s="48"/>
      <c r="ONC598" s="53"/>
      <c r="ONJ598" s="15"/>
      <c r="ONK598" s="50"/>
      <c r="ONL598" s="50"/>
      <c r="ONM598" s="46"/>
      <c r="ONN598" s="47"/>
      <c r="ONO598" s="46"/>
      <c r="ONP598" s="48"/>
      <c r="ONQ598" s="53"/>
      <c r="ONX598" s="15"/>
      <c r="ONY598" s="50"/>
      <c r="ONZ598" s="50"/>
      <c r="OOA598" s="46"/>
      <c r="OOB598" s="47"/>
      <c r="OOC598" s="46"/>
      <c r="OOD598" s="48"/>
      <c r="OOE598" s="53"/>
      <c r="OOL598" s="15"/>
      <c r="OOM598" s="50"/>
      <c r="OON598" s="50"/>
      <c r="OOO598" s="46"/>
      <c r="OOP598" s="47"/>
      <c r="OOQ598" s="46"/>
      <c r="OOR598" s="48"/>
      <c r="OOS598" s="53"/>
      <c r="OOZ598" s="15"/>
      <c r="OPA598" s="50"/>
      <c r="OPB598" s="50"/>
      <c r="OPC598" s="46"/>
      <c r="OPD598" s="47"/>
      <c r="OPE598" s="46"/>
      <c r="OPF598" s="48"/>
      <c r="OPG598" s="53"/>
      <c r="OPN598" s="15"/>
      <c r="OPO598" s="50"/>
      <c r="OPP598" s="50"/>
      <c r="OPQ598" s="46"/>
      <c r="OPR598" s="47"/>
      <c r="OPS598" s="46"/>
      <c r="OPT598" s="48"/>
      <c r="OPU598" s="53"/>
      <c r="OQB598" s="15"/>
      <c r="OQC598" s="50"/>
      <c r="OQD598" s="50"/>
      <c r="OQE598" s="46"/>
      <c r="OQF598" s="47"/>
      <c r="OQG598" s="46"/>
      <c r="OQH598" s="48"/>
      <c r="OQI598" s="53"/>
      <c r="OQP598" s="15"/>
      <c r="OQQ598" s="50"/>
      <c r="OQR598" s="50"/>
      <c r="OQS598" s="46"/>
      <c r="OQT598" s="47"/>
      <c r="OQU598" s="46"/>
      <c r="OQV598" s="48"/>
      <c r="OQW598" s="53"/>
      <c r="ORD598" s="15"/>
      <c r="ORE598" s="50"/>
      <c r="ORF598" s="50"/>
      <c r="ORG598" s="46"/>
      <c r="ORH598" s="47"/>
      <c r="ORI598" s="46"/>
      <c r="ORJ598" s="48"/>
      <c r="ORK598" s="53"/>
      <c r="ORR598" s="15"/>
      <c r="ORS598" s="50"/>
      <c r="ORT598" s="50"/>
      <c r="ORU598" s="46"/>
      <c r="ORV598" s="47"/>
      <c r="ORW598" s="46"/>
      <c r="ORX598" s="48"/>
      <c r="ORY598" s="53"/>
      <c r="OSF598" s="15"/>
      <c r="OSG598" s="50"/>
      <c r="OSH598" s="50"/>
      <c r="OSI598" s="46"/>
      <c r="OSJ598" s="47"/>
      <c r="OSK598" s="46"/>
      <c r="OSL598" s="48"/>
      <c r="OSM598" s="53"/>
      <c r="OST598" s="15"/>
      <c r="OSU598" s="50"/>
      <c r="OSV598" s="50"/>
      <c r="OSW598" s="46"/>
      <c r="OSX598" s="47"/>
      <c r="OSY598" s="46"/>
      <c r="OSZ598" s="48"/>
      <c r="OTA598" s="53"/>
      <c r="OTH598" s="15"/>
      <c r="OTI598" s="50"/>
      <c r="OTJ598" s="50"/>
      <c r="OTK598" s="46"/>
      <c r="OTL598" s="47"/>
      <c r="OTM598" s="46"/>
      <c r="OTN598" s="48"/>
      <c r="OTO598" s="53"/>
      <c r="OTV598" s="15"/>
      <c r="OTW598" s="50"/>
      <c r="OTX598" s="50"/>
      <c r="OTY598" s="46"/>
      <c r="OTZ598" s="47"/>
      <c r="OUA598" s="46"/>
      <c r="OUB598" s="48"/>
      <c r="OUC598" s="53"/>
      <c r="OUJ598" s="15"/>
      <c r="OUK598" s="50"/>
      <c r="OUL598" s="50"/>
      <c r="OUM598" s="46"/>
      <c r="OUN598" s="47"/>
      <c r="OUO598" s="46"/>
      <c r="OUP598" s="48"/>
      <c r="OUQ598" s="53"/>
      <c r="OUX598" s="15"/>
      <c r="OUY598" s="50"/>
      <c r="OUZ598" s="50"/>
      <c r="OVA598" s="46"/>
      <c r="OVB598" s="47"/>
      <c r="OVC598" s="46"/>
      <c r="OVD598" s="48"/>
      <c r="OVE598" s="53"/>
      <c r="OVL598" s="15"/>
      <c r="OVM598" s="50"/>
      <c r="OVN598" s="50"/>
      <c r="OVO598" s="46"/>
      <c r="OVP598" s="47"/>
      <c r="OVQ598" s="46"/>
      <c r="OVR598" s="48"/>
      <c r="OVS598" s="53"/>
      <c r="OVZ598" s="15"/>
      <c r="OWA598" s="50"/>
      <c r="OWB598" s="50"/>
      <c r="OWC598" s="46"/>
      <c r="OWD598" s="47"/>
      <c r="OWE598" s="46"/>
      <c r="OWF598" s="48"/>
      <c r="OWG598" s="53"/>
      <c r="OWN598" s="15"/>
      <c r="OWO598" s="50"/>
      <c r="OWP598" s="50"/>
      <c r="OWQ598" s="46"/>
      <c r="OWR598" s="47"/>
      <c r="OWS598" s="46"/>
      <c r="OWT598" s="48"/>
      <c r="OWU598" s="53"/>
      <c r="OXB598" s="15"/>
      <c r="OXC598" s="50"/>
      <c r="OXD598" s="50"/>
      <c r="OXE598" s="46"/>
      <c r="OXF598" s="47"/>
      <c r="OXG598" s="46"/>
      <c r="OXH598" s="48"/>
      <c r="OXI598" s="53"/>
      <c r="OXP598" s="15"/>
      <c r="OXQ598" s="50"/>
      <c r="OXR598" s="50"/>
      <c r="OXS598" s="46"/>
      <c r="OXT598" s="47"/>
      <c r="OXU598" s="46"/>
      <c r="OXV598" s="48"/>
      <c r="OXW598" s="53"/>
      <c r="OYD598" s="15"/>
      <c r="OYE598" s="50"/>
      <c r="OYF598" s="50"/>
      <c r="OYG598" s="46"/>
      <c r="OYH598" s="47"/>
      <c r="OYI598" s="46"/>
      <c r="OYJ598" s="48"/>
      <c r="OYK598" s="53"/>
      <c r="OYR598" s="15"/>
      <c r="OYS598" s="50"/>
      <c r="OYT598" s="50"/>
      <c r="OYU598" s="46"/>
      <c r="OYV598" s="47"/>
      <c r="OYW598" s="46"/>
      <c r="OYX598" s="48"/>
      <c r="OYY598" s="53"/>
      <c r="OZF598" s="15"/>
      <c r="OZG598" s="50"/>
      <c r="OZH598" s="50"/>
      <c r="OZI598" s="46"/>
      <c r="OZJ598" s="47"/>
      <c r="OZK598" s="46"/>
      <c r="OZL598" s="48"/>
      <c r="OZM598" s="53"/>
      <c r="OZT598" s="15"/>
      <c r="OZU598" s="50"/>
      <c r="OZV598" s="50"/>
      <c r="OZW598" s="46"/>
      <c r="OZX598" s="47"/>
      <c r="OZY598" s="46"/>
      <c r="OZZ598" s="48"/>
      <c r="PAA598" s="53"/>
      <c r="PAH598" s="15"/>
      <c r="PAI598" s="50"/>
      <c r="PAJ598" s="50"/>
      <c r="PAK598" s="46"/>
      <c r="PAL598" s="47"/>
      <c r="PAM598" s="46"/>
      <c r="PAN598" s="48"/>
      <c r="PAO598" s="53"/>
      <c r="PAV598" s="15"/>
      <c r="PAW598" s="50"/>
      <c r="PAX598" s="50"/>
      <c r="PAY598" s="46"/>
      <c r="PAZ598" s="47"/>
      <c r="PBA598" s="46"/>
      <c r="PBB598" s="48"/>
      <c r="PBC598" s="53"/>
      <c r="PBJ598" s="15"/>
      <c r="PBK598" s="50"/>
      <c r="PBL598" s="50"/>
      <c r="PBM598" s="46"/>
      <c r="PBN598" s="47"/>
      <c r="PBO598" s="46"/>
      <c r="PBP598" s="48"/>
      <c r="PBQ598" s="53"/>
      <c r="PBX598" s="15"/>
      <c r="PBY598" s="50"/>
      <c r="PBZ598" s="50"/>
      <c r="PCA598" s="46"/>
      <c r="PCB598" s="47"/>
      <c r="PCC598" s="46"/>
      <c r="PCD598" s="48"/>
      <c r="PCE598" s="53"/>
      <c r="PCL598" s="15"/>
      <c r="PCM598" s="50"/>
      <c r="PCN598" s="50"/>
      <c r="PCO598" s="46"/>
      <c r="PCP598" s="47"/>
      <c r="PCQ598" s="46"/>
      <c r="PCR598" s="48"/>
      <c r="PCS598" s="53"/>
      <c r="PCZ598" s="15"/>
      <c r="PDA598" s="50"/>
      <c r="PDB598" s="50"/>
      <c r="PDC598" s="46"/>
      <c r="PDD598" s="47"/>
      <c r="PDE598" s="46"/>
      <c r="PDF598" s="48"/>
      <c r="PDG598" s="53"/>
      <c r="PDN598" s="15"/>
      <c r="PDO598" s="50"/>
      <c r="PDP598" s="50"/>
      <c r="PDQ598" s="46"/>
      <c r="PDR598" s="47"/>
      <c r="PDS598" s="46"/>
      <c r="PDT598" s="48"/>
      <c r="PDU598" s="53"/>
      <c r="PEB598" s="15"/>
      <c r="PEC598" s="50"/>
      <c r="PED598" s="50"/>
      <c r="PEE598" s="46"/>
      <c r="PEF598" s="47"/>
      <c r="PEG598" s="46"/>
      <c r="PEH598" s="48"/>
      <c r="PEI598" s="53"/>
      <c r="PEP598" s="15"/>
      <c r="PEQ598" s="50"/>
      <c r="PER598" s="50"/>
      <c r="PES598" s="46"/>
      <c r="PET598" s="47"/>
      <c r="PEU598" s="46"/>
      <c r="PEV598" s="48"/>
      <c r="PEW598" s="53"/>
      <c r="PFD598" s="15"/>
      <c r="PFE598" s="50"/>
      <c r="PFF598" s="50"/>
      <c r="PFG598" s="46"/>
      <c r="PFH598" s="47"/>
      <c r="PFI598" s="46"/>
      <c r="PFJ598" s="48"/>
      <c r="PFK598" s="53"/>
      <c r="PFR598" s="15"/>
      <c r="PFS598" s="50"/>
      <c r="PFT598" s="50"/>
      <c r="PFU598" s="46"/>
      <c r="PFV598" s="47"/>
      <c r="PFW598" s="46"/>
      <c r="PFX598" s="48"/>
      <c r="PFY598" s="53"/>
      <c r="PGF598" s="15"/>
      <c r="PGG598" s="50"/>
      <c r="PGH598" s="50"/>
      <c r="PGI598" s="46"/>
      <c r="PGJ598" s="47"/>
      <c r="PGK598" s="46"/>
      <c r="PGL598" s="48"/>
      <c r="PGM598" s="53"/>
      <c r="PGT598" s="15"/>
      <c r="PGU598" s="50"/>
      <c r="PGV598" s="50"/>
      <c r="PGW598" s="46"/>
      <c r="PGX598" s="47"/>
      <c r="PGY598" s="46"/>
      <c r="PGZ598" s="48"/>
      <c r="PHA598" s="53"/>
      <c r="PHH598" s="15"/>
      <c r="PHI598" s="50"/>
      <c r="PHJ598" s="50"/>
      <c r="PHK598" s="46"/>
      <c r="PHL598" s="47"/>
      <c r="PHM598" s="46"/>
      <c r="PHN598" s="48"/>
      <c r="PHO598" s="53"/>
      <c r="PHV598" s="15"/>
      <c r="PHW598" s="50"/>
      <c r="PHX598" s="50"/>
      <c r="PHY598" s="46"/>
      <c r="PHZ598" s="47"/>
      <c r="PIA598" s="46"/>
      <c r="PIB598" s="48"/>
      <c r="PIC598" s="53"/>
      <c r="PIJ598" s="15"/>
      <c r="PIK598" s="50"/>
      <c r="PIL598" s="50"/>
      <c r="PIM598" s="46"/>
      <c r="PIN598" s="47"/>
      <c r="PIO598" s="46"/>
      <c r="PIP598" s="48"/>
      <c r="PIQ598" s="53"/>
      <c r="PIX598" s="15"/>
      <c r="PIY598" s="50"/>
      <c r="PIZ598" s="50"/>
      <c r="PJA598" s="46"/>
      <c r="PJB598" s="47"/>
      <c r="PJC598" s="46"/>
      <c r="PJD598" s="48"/>
      <c r="PJE598" s="53"/>
      <c r="PJL598" s="15"/>
      <c r="PJM598" s="50"/>
      <c r="PJN598" s="50"/>
      <c r="PJO598" s="46"/>
      <c r="PJP598" s="47"/>
      <c r="PJQ598" s="46"/>
      <c r="PJR598" s="48"/>
      <c r="PJS598" s="53"/>
      <c r="PJZ598" s="15"/>
      <c r="PKA598" s="50"/>
      <c r="PKB598" s="50"/>
      <c r="PKC598" s="46"/>
      <c r="PKD598" s="47"/>
      <c r="PKE598" s="46"/>
      <c r="PKF598" s="48"/>
      <c r="PKG598" s="53"/>
      <c r="PKN598" s="15"/>
      <c r="PKO598" s="50"/>
      <c r="PKP598" s="50"/>
      <c r="PKQ598" s="46"/>
      <c r="PKR598" s="47"/>
      <c r="PKS598" s="46"/>
      <c r="PKT598" s="48"/>
      <c r="PKU598" s="53"/>
      <c r="PLB598" s="15"/>
      <c r="PLC598" s="50"/>
      <c r="PLD598" s="50"/>
      <c r="PLE598" s="46"/>
      <c r="PLF598" s="47"/>
      <c r="PLG598" s="46"/>
      <c r="PLH598" s="48"/>
      <c r="PLI598" s="53"/>
      <c r="PLP598" s="15"/>
      <c r="PLQ598" s="50"/>
      <c r="PLR598" s="50"/>
      <c r="PLS598" s="46"/>
      <c r="PLT598" s="47"/>
      <c r="PLU598" s="46"/>
      <c r="PLV598" s="48"/>
      <c r="PLW598" s="53"/>
      <c r="PMD598" s="15"/>
      <c r="PME598" s="50"/>
      <c r="PMF598" s="50"/>
      <c r="PMG598" s="46"/>
      <c r="PMH598" s="47"/>
      <c r="PMI598" s="46"/>
      <c r="PMJ598" s="48"/>
      <c r="PMK598" s="53"/>
      <c r="PMR598" s="15"/>
      <c r="PMS598" s="50"/>
      <c r="PMT598" s="50"/>
      <c r="PMU598" s="46"/>
      <c r="PMV598" s="47"/>
      <c r="PMW598" s="46"/>
      <c r="PMX598" s="48"/>
      <c r="PMY598" s="53"/>
      <c r="PNF598" s="15"/>
      <c r="PNG598" s="50"/>
      <c r="PNH598" s="50"/>
      <c r="PNI598" s="46"/>
      <c r="PNJ598" s="47"/>
      <c r="PNK598" s="46"/>
      <c r="PNL598" s="48"/>
      <c r="PNM598" s="53"/>
      <c r="PNT598" s="15"/>
      <c r="PNU598" s="50"/>
      <c r="PNV598" s="50"/>
      <c r="PNW598" s="46"/>
      <c r="PNX598" s="47"/>
      <c r="PNY598" s="46"/>
      <c r="PNZ598" s="48"/>
      <c r="POA598" s="53"/>
      <c r="POH598" s="15"/>
      <c r="POI598" s="50"/>
      <c r="POJ598" s="50"/>
      <c r="POK598" s="46"/>
      <c r="POL598" s="47"/>
      <c r="POM598" s="46"/>
      <c r="PON598" s="48"/>
      <c r="POO598" s="53"/>
      <c r="POV598" s="15"/>
      <c r="POW598" s="50"/>
      <c r="POX598" s="50"/>
      <c r="POY598" s="46"/>
      <c r="POZ598" s="47"/>
      <c r="PPA598" s="46"/>
      <c r="PPB598" s="48"/>
      <c r="PPC598" s="53"/>
      <c r="PPJ598" s="15"/>
      <c r="PPK598" s="50"/>
      <c r="PPL598" s="50"/>
      <c r="PPM598" s="46"/>
      <c r="PPN598" s="47"/>
      <c r="PPO598" s="46"/>
      <c r="PPP598" s="48"/>
      <c r="PPQ598" s="53"/>
      <c r="PPX598" s="15"/>
      <c r="PPY598" s="50"/>
      <c r="PPZ598" s="50"/>
      <c r="PQA598" s="46"/>
      <c r="PQB598" s="47"/>
      <c r="PQC598" s="46"/>
      <c r="PQD598" s="48"/>
      <c r="PQE598" s="53"/>
      <c r="PQL598" s="15"/>
      <c r="PQM598" s="50"/>
      <c r="PQN598" s="50"/>
      <c r="PQO598" s="46"/>
      <c r="PQP598" s="47"/>
      <c r="PQQ598" s="46"/>
      <c r="PQR598" s="48"/>
      <c r="PQS598" s="53"/>
      <c r="PQZ598" s="15"/>
      <c r="PRA598" s="50"/>
      <c r="PRB598" s="50"/>
      <c r="PRC598" s="46"/>
      <c r="PRD598" s="47"/>
      <c r="PRE598" s="46"/>
      <c r="PRF598" s="48"/>
      <c r="PRG598" s="53"/>
      <c r="PRN598" s="15"/>
      <c r="PRO598" s="50"/>
      <c r="PRP598" s="50"/>
      <c r="PRQ598" s="46"/>
      <c r="PRR598" s="47"/>
      <c r="PRS598" s="46"/>
      <c r="PRT598" s="48"/>
      <c r="PRU598" s="53"/>
      <c r="PSB598" s="15"/>
      <c r="PSC598" s="50"/>
      <c r="PSD598" s="50"/>
      <c r="PSE598" s="46"/>
      <c r="PSF598" s="47"/>
      <c r="PSG598" s="46"/>
      <c r="PSH598" s="48"/>
      <c r="PSI598" s="53"/>
      <c r="PSP598" s="15"/>
      <c r="PSQ598" s="50"/>
      <c r="PSR598" s="50"/>
      <c r="PSS598" s="46"/>
      <c r="PST598" s="47"/>
      <c r="PSU598" s="46"/>
      <c r="PSV598" s="48"/>
      <c r="PSW598" s="53"/>
      <c r="PTD598" s="15"/>
      <c r="PTE598" s="50"/>
      <c r="PTF598" s="50"/>
      <c r="PTG598" s="46"/>
      <c r="PTH598" s="47"/>
      <c r="PTI598" s="46"/>
      <c r="PTJ598" s="48"/>
      <c r="PTK598" s="53"/>
      <c r="PTR598" s="15"/>
      <c r="PTS598" s="50"/>
      <c r="PTT598" s="50"/>
      <c r="PTU598" s="46"/>
      <c r="PTV598" s="47"/>
      <c r="PTW598" s="46"/>
      <c r="PTX598" s="48"/>
      <c r="PTY598" s="53"/>
      <c r="PUF598" s="15"/>
      <c r="PUG598" s="50"/>
      <c r="PUH598" s="50"/>
      <c r="PUI598" s="46"/>
      <c r="PUJ598" s="47"/>
      <c r="PUK598" s="46"/>
      <c r="PUL598" s="48"/>
      <c r="PUM598" s="53"/>
      <c r="PUT598" s="15"/>
      <c r="PUU598" s="50"/>
      <c r="PUV598" s="50"/>
      <c r="PUW598" s="46"/>
      <c r="PUX598" s="47"/>
      <c r="PUY598" s="46"/>
      <c r="PUZ598" s="48"/>
      <c r="PVA598" s="53"/>
      <c r="PVH598" s="15"/>
      <c r="PVI598" s="50"/>
      <c r="PVJ598" s="50"/>
      <c r="PVK598" s="46"/>
      <c r="PVL598" s="47"/>
      <c r="PVM598" s="46"/>
      <c r="PVN598" s="48"/>
      <c r="PVO598" s="53"/>
      <c r="PVV598" s="15"/>
      <c r="PVW598" s="50"/>
      <c r="PVX598" s="50"/>
      <c r="PVY598" s="46"/>
      <c r="PVZ598" s="47"/>
      <c r="PWA598" s="46"/>
      <c r="PWB598" s="48"/>
      <c r="PWC598" s="53"/>
      <c r="PWJ598" s="15"/>
      <c r="PWK598" s="50"/>
      <c r="PWL598" s="50"/>
      <c r="PWM598" s="46"/>
      <c r="PWN598" s="47"/>
      <c r="PWO598" s="46"/>
      <c r="PWP598" s="48"/>
      <c r="PWQ598" s="53"/>
      <c r="PWX598" s="15"/>
      <c r="PWY598" s="50"/>
      <c r="PWZ598" s="50"/>
      <c r="PXA598" s="46"/>
      <c r="PXB598" s="47"/>
      <c r="PXC598" s="46"/>
      <c r="PXD598" s="48"/>
      <c r="PXE598" s="53"/>
      <c r="PXL598" s="15"/>
      <c r="PXM598" s="50"/>
      <c r="PXN598" s="50"/>
      <c r="PXO598" s="46"/>
      <c r="PXP598" s="47"/>
      <c r="PXQ598" s="46"/>
      <c r="PXR598" s="48"/>
      <c r="PXS598" s="53"/>
      <c r="PXZ598" s="15"/>
      <c r="PYA598" s="50"/>
      <c r="PYB598" s="50"/>
      <c r="PYC598" s="46"/>
      <c r="PYD598" s="47"/>
      <c r="PYE598" s="46"/>
      <c r="PYF598" s="48"/>
      <c r="PYG598" s="53"/>
      <c r="PYN598" s="15"/>
      <c r="PYO598" s="50"/>
      <c r="PYP598" s="50"/>
      <c r="PYQ598" s="46"/>
      <c r="PYR598" s="47"/>
      <c r="PYS598" s="46"/>
      <c r="PYT598" s="48"/>
      <c r="PYU598" s="53"/>
      <c r="PZB598" s="15"/>
      <c r="PZC598" s="50"/>
      <c r="PZD598" s="50"/>
      <c r="PZE598" s="46"/>
      <c r="PZF598" s="47"/>
      <c r="PZG598" s="46"/>
      <c r="PZH598" s="48"/>
      <c r="PZI598" s="53"/>
      <c r="PZP598" s="15"/>
      <c r="PZQ598" s="50"/>
      <c r="PZR598" s="50"/>
      <c r="PZS598" s="46"/>
      <c r="PZT598" s="47"/>
      <c r="PZU598" s="46"/>
      <c r="PZV598" s="48"/>
      <c r="PZW598" s="53"/>
      <c r="QAD598" s="15"/>
      <c r="QAE598" s="50"/>
      <c r="QAF598" s="50"/>
      <c r="QAG598" s="46"/>
      <c r="QAH598" s="47"/>
      <c r="QAI598" s="46"/>
      <c r="QAJ598" s="48"/>
      <c r="QAK598" s="53"/>
      <c r="QAR598" s="15"/>
      <c r="QAS598" s="50"/>
      <c r="QAT598" s="50"/>
      <c r="QAU598" s="46"/>
      <c r="QAV598" s="47"/>
      <c r="QAW598" s="46"/>
      <c r="QAX598" s="48"/>
      <c r="QAY598" s="53"/>
      <c r="QBF598" s="15"/>
      <c r="QBG598" s="50"/>
      <c r="QBH598" s="50"/>
      <c r="QBI598" s="46"/>
      <c r="QBJ598" s="47"/>
      <c r="QBK598" s="46"/>
      <c r="QBL598" s="48"/>
      <c r="QBM598" s="53"/>
      <c r="QBT598" s="15"/>
      <c r="QBU598" s="50"/>
      <c r="QBV598" s="50"/>
      <c r="QBW598" s="46"/>
      <c r="QBX598" s="47"/>
      <c r="QBY598" s="46"/>
      <c r="QBZ598" s="48"/>
      <c r="QCA598" s="53"/>
      <c r="QCH598" s="15"/>
      <c r="QCI598" s="50"/>
      <c r="QCJ598" s="50"/>
      <c r="QCK598" s="46"/>
      <c r="QCL598" s="47"/>
      <c r="QCM598" s="46"/>
      <c r="QCN598" s="48"/>
      <c r="QCO598" s="53"/>
      <c r="QCV598" s="15"/>
      <c r="QCW598" s="50"/>
      <c r="QCX598" s="50"/>
      <c r="QCY598" s="46"/>
      <c r="QCZ598" s="47"/>
      <c r="QDA598" s="46"/>
      <c r="QDB598" s="48"/>
      <c r="QDC598" s="53"/>
      <c r="QDJ598" s="15"/>
      <c r="QDK598" s="50"/>
      <c r="QDL598" s="50"/>
      <c r="QDM598" s="46"/>
      <c r="QDN598" s="47"/>
      <c r="QDO598" s="46"/>
      <c r="QDP598" s="48"/>
      <c r="QDQ598" s="53"/>
      <c r="QDX598" s="15"/>
      <c r="QDY598" s="50"/>
      <c r="QDZ598" s="50"/>
      <c r="QEA598" s="46"/>
      <c r="QEB598" s="47"/>
      <c r="QEC598" s="46"/>
      <c r="QED598" s="48"/>
      <c r="QEE598" s="53"/>
      <c r="QEL598" s="15"/>
      <c r="QEM598" s="50"/>
      <c r="QEN598" s="50"/>
      <c r="QEO598" s="46"/>
      <c r="QEP598" s="47"/>
      <c r="QEQ598" s="46"/>
      <c r="QER598" s="48"/>
      <c r="QES598" s="53"/>
      <c r="QEZ598" s="15"/>
      <c r="QFA598" s="50"/>
      <c r="QFB598" s="50"/>
      <c r="QFC598" s="46"/>
      <c r="QFD598" s="47"/>
      <c r="QFE598" s="46"/>
      <c r="QFF598" s="48"/>
      <c r="QFG598" s="53"/>
      <c r="QFN598" s="15"/>
      <c r="QFO598" s="50"/>
      <c r="QFP598" s="50"/>
      <c r="QFQ598" s="46"/>
      <c r="QFR598" s="47"/>
      <c r="QFS598" s="46"/>
      <c r="QFT598" s="48"/>
      <c r="QFU598" s="53"/>
      <c r="QGB598" s="15"/>
      <c r="QGC598" s="50"/>
      <c r="QGD598" s="50"/>
      <c r="QGE598" s="46"/>
      <c r="QGF598" s="47"/>
      <c r="QGG598" s="46"/>
      <c r="QGH598" s="48"/>
      <c r="QGI598" s="53"/>
      <c r="QGP598" s="15"/>
      <c r="QGQ598" s="50"/>
      <c r="QGR598" s="50"/>
      <c r="QGS598" s="46"/>
      <c r="QGT598" s="47"/>
      <c r="QGU598" s="46"/>
      <c r="QGV598" s="48"/>
      <c r="QGW598" s="53"/>
      <c r="QHD598" s="15"/>
      <c r="QHE598" s="50"/>
      <c r="QHF598" s="50"/>
      <c r="QHG598" s="46"/>
      <c r="QHH598" s="47"/>
      <c r="QHI598" s="46"/>
      <c r="QHJ598" s="48"/>
      <c r="QHK598" s="53"/>
      <c r="QHR598" s="15"/>
      <c r="QHS598" s="50"/>
      <c r="QHT598" s="50"/>
      <c r="QHU598" s="46"/>
      <c r="QHV598" s="47"/>
      <c r="QHW598" s="46"/>
      <c r="QHX598" s="48"/>
      <c r="QHY598" s="53"/>
      <c r="QIF598" s="15"/>
      <c r="QIG598" s="50"/>
      <c r="QIH598" s="50"/>
      <c r="QII598" s="46"/>
      <c r="QIJ598" s="47"/>
      <c r="QIK598" s="46"/>
      <c r="QIL598" s="48"/>
      <c r="QIM598" s="53"/>
      <c r="QIT598" s="15"/>
      <c r="QIU598" s="50"/>
      <c r="QIV598" s="50"/>
      <c r="QIW598" s="46"/>
      <c r="QIX598" s="47"/>
      <c r="QIY598" s="46"/>
      <c r="QIZ598" s="48"/>
      <c r="QJA598" s="53"/>
      <c r="QJH598" s="15"/>
      <c r="QJI598" s="50"/>
      <c r="QJJ598" s="50"/>
      <c r="QJK598" s="46"/>
      <c r="QJL598" s="47"/>
      <c r="QJM598" s="46"/>
      <c r="QJN598" s="48"/>
      <c r="QJO598" s="53"/>
      <c r="QJV598" s="15"/>
      <c r="QJW598" s="50"/>
      <c r="QJX598" s="50"/>
      <c r="QJY598" s="46"/>
      <c r="QJZ598" s="47"/>
      <c r="QKA598" s="46"/>
      <c r="QKB598" s="48"/>
      <c r="QKC598" s="53"/>
      <c r="QKJ598" s="15"/>
      <c r="QKK598" s="50"/>
      <c r="QKL598" s="50"/>
      <c r="QKM598" s="46"/>
      <c r="QKN598" s="47"/>
      <c r="QKO598" s="46"/>
      <c r="QKP598" s="48"/>
      <c r="QKQ598" s="53"/>
      <c r="QKX598" s="15"/>
      <c r="QKY598" s="50"/>
      <c r="QKZ598" s="50"/>
      <c r="QLA598" s="46"/>
      <c r="QLB598" s="47"/>
      <c r="QLC598" s="46"/>
      <c r="QLD598" s="48"/>
      <c r="QLE598" s="53"/>
      <c r="QLL598" s="15"/>
      <c r="QLM598" s="50"/>
      <c r="QLN598" s="50"/>
      <c r="QLO598" s="46"/>
      <c r="QLP598" s="47"/>
      <c r="QLQ598" s="46"/>
      <c r="QLR598" s="48"/>
      <c r="QLS598" s="53"/>
      <c r="QLZ598" s="15"/>
      <c r="QMA598" s="50"/>
      <c r="QMB598" s="50"/>
      <c r="QMC598" s="46"/>
      <c r="QMD598" s="47"/>
      <c r="QME598" s="46"/>
      <c r="QMF598" s="48"/>
      <c r="QMG598" s="53"/>
      <c r="QMN598" s="15"/>
      <c r="QMO598" s="50"/>
      <c r="QMP598" s="50"/>
      <c r="QMQ598" s="46"/>
      <c r="QMR598" s="47"/>
      <c r="QMS598" s="46"/>
      <c r="QMT598" s="48"/>
      <c r="QMU598" s="53"/>
      <c r="QNB598" s="15"/>
      <c r="QNC598" s="50"/>
      <c r="QND598" s="50"/>
      <c r="QNE598" s="46"/>
      <c r="QNF598" s="47"/>
      <c r="QNG598" s="46"/>
      <c r="QNH598" s="48"/>
      <c r="QNI598" s="53"/>
      <c r="QNP598" s="15"/>
      <c r="QNQ598" s="50"/>
      <c r="QNR598" s="50"/>
      <c r="QNS598" s="46"/>
      <c r="QNT598" s="47"/>
      <c r="QNU598" s="46"/>
      <c r="QNV598" s="48"/>
      <c r="QNW598" s="53"/>
      <c r="QOD598" s="15"/>
      <c r="QOE598" s="50"/>
      <c r="QOF598" s="50"/>
      <c r="QOG598" s="46"/>
      <c r="QOH598" s="47"/>
      <c r="QOI598" s="46"/>
      <c r="QOJ598" s="48"/>
      <c r="QOK598" s="53"/>
      <c r="QOR598" s="15"/>
      <c r="QOS598" s="50"/>
      <c r="QOT598" s="50"/>
      <c r="QOU598" s="46"/>
      <c r="QOV598" s="47"/>
      <c r="QOW598" s="46"/>
      <c r="QOX598" s="48"/>
      <c r="QOY598" s="53"/>
      <c r="QPF598" s="15"/>
      <c r="QPG598" s="50"/>
      <c r="QPH598" s="50"/>
      <c r="QPI598" s="46"/>
      <c r="QPJ598" s="47"/>
      <c r="QPK598" s="46"/>
      <c r="QPL598" s="48"/>
      <c r="QPM598" s="53"/>
      <c r="QPT598" s="15"/>
      <c r="QPU598" s="50"/>
      <c r="QPV598" s="50"/>
      <c r="QPW598" s="46"/>
      <c r="QPX598" s="47"/>
      <c r="QPY598" s="46"/>
      <c r="QPZ598" s="48"/>
      <c r="QQA598" s="53"/>
      <c r="QQH598" s="15"/>
      <c r="QQI598" s="50"/>
      <c r="QQJ598" s="50"/>
      <c r="QQK598" s="46"/>
      <c r="QQL598" s="47"/>
      <c r="QQM598" s="46"/>
      <c r="QQN598" s="48"/>
      <c r="QQO598" s="53"/>
      <c r="QQV598" s="15"/>
      <c r="QQW598" s="50"/>
      <c r="QQX598" s="50"/>
      <c r="QQY598" s="46"/>
      <c r="QQZ598" s="47"/>
      <c r="QRA598" s="46"/>
      <c r="QRB598" s="48"/>
      <c r="QRC598" s="53"/>
      <c r="QRJ598" s="15"/>
      <c r="QRK598" s="50"/>
      <c r="QRL598" s="50"/>
      <c r="QRM598" s="46"/>
      <c r="QRN598" s="47"/>
      <c r="QRO598" s="46"/>
      <c r="QRP598" s="48"/>
      <c r="QRQ598" s="53"/>
      <c r="QRX598" s="15"/>
      <c r="QRY598" s="50"/>
      <c r="QRZ598" s="50"/>
      <c r="QSA598" s="46"/>
      <c r="QSB598" s="47"/>
      <c r="QSC598" s="46"/>
      <c r="QSD598" s="48"/>
      <c r="QSE598" s="53"/>
      <c r="QSL598" s="15"/>
      <c r="QSM598" s="50"/>
      <c r="QSN598" s="50"/>
      <c r="QSO598" s="46"/>
      <c r="QSP598" s="47"/>
      <c r="QSQ598" s="46"/>
      <c r="QSR598" s="48"/>
      <c r="QSS598" s="53"/>
      <c r="QSZ598" s="15"/>
      <c r="QTA598" s="50"/>
      <c r="QTB598" s="50"/>
      <c r="QTC598" s="46"/>
      <c r="QTD598" s="47"/>
      <c r="QTE598" s="46"/>
      <c r="QTF598" s="48"/>
      <c r="QTG598" s="53"/>
      <c r="QTN598" s="15"/>
      <c r="QTO598" s="50"/>
      <c r="QTP598" s="50"/>
      <c r="QTQ598" s="46"/>
      <c r="QTR598" s="47"/>
      <c r="QTS598" s="46"/>
      <c r="QTT598" s="48"/>
      <c r="QTU598" s="53"/>
      <c r="QUB598" s="15"/>
      <c r="QUC598" s="50"/>
      <c r="QUD598" s="50"/>
      <c r="QUE598" s="46"/>
      <c r="QUF598" s="47"/>
      <c r="QUG598" s="46"/>
      <c r="QUH598" s="48"/>
      <c r="QUI598" s="53"/>
      <c r="QUP598" s="15"/>
      <c r="QUQ598" s="50"/>
      <c r="QUR598" s="50"/>
      <c r="QUS598" s="46"/>
      <c r="QUT598" s="47"/>
      <c r="QUU598" s="46"/>
      <c r="QUV598" s="48"/>
      <c r="QUW598" s="53"/>
      <c r="QVD598" s="15"/>
      <c r="QVE598" s="50"/>
      <c r="QVF598" s="50"/>
      <c r="QVG598" s="46"/>
      <c r="QVH598" s="47"/>
      <c r="QVI598" s="46"/>
      <c r="QVJ598" s="48"/>
      <c r="QVK598" s="53"/>
      <c r="QVR598" s="15"/>
      <c r="QVS598" s="50"/>
      <c r="QVT598" s="50"/>
      <c r="QVU598" s="46"/>
      <c r="QVV598" s="47"/>
      <c r="QVW598" s="46"/>
      <c r="QVX598" s="48"/>
      <c r="QVY598" s="53"/>
      <c r="QWF598" s="15"/>
      <c r="QWG598" s="50"/>
      <c r="QWH598" s="50"/>
      <c r="QWI598" s="46"/>
      <c r="QWJ598" s="47"/>
      <c r="QWK598" s="46"/>
      <c r="QWL598" s="48"/>
      <c r="QWM598" s="53"/>
      <c r="QWT598" s="15"/>
      <c r="QWU598" s="50"/>
      <c r="QWV598" s="50"/>
      <c r="QWW598" s="46"/>
      <c r="QWX598" s="47"/>
      <c r="QWY598" s="46"/>
      <c r="QWZ598" s="48"/>
      <c r="QXA598" s="53"/>
      <c r="QXH598" s="15"/>
      <c r="QXI598" s="50"/>
      <c r="QXJ598" s="50"/>
      <c r="QXK598" s="46"/>
      <c r="QXL598" s="47"/>
      <c r="QXM598" s="46"/>
      <c r="QXN598" s="48"/>
      <c r="QXO598" s="53"/>
      <c r="QXV598" s="15"/>
      <c r="QXW598" s="50"/>
      <c r="QXX598" s="50"/>
      <c r="QXY598" s="46"/>
      <c r="QXZ598" s="47"/>
      <c r="QYA598" s="46"/>
      <c r="QYB598" s="48"/>
      <c r="QYC598" s="53"/>
      <c r="QYJ598" s="15"/>
      <c r="QYK598" s="50"/>
      <c r="QYL598" s="50"/>
      <c r="QYM598" s="46"/>
      <c r="QYN598" s="47"/>
      <c r="QYO598" s="46"/>
      <c r="QYP598" s="48"/>
      <c r="QYQ598" s="53"/>
      <c r="QYX598" s="15"/>
      <c r="QYY598" s="50"/>
      <c r="QYZ598" s="50"/>
      <c r="QZA598" s="46"/>
      <c r="QZB598" s="47"/>
      <c r="QZC598" s="46"/>
      <c r="QZD598" s="48"/>
      <c r="QZE598" s="53"/>
      <c r="QZL598" s="15"/>
      <c r="QZM598" s="50"/>
      <c r="QZN598" s="50"/>
      <c r="QZO598" s="46"/>
      <c r="QZP598" s="47"/>
      <c r="QZQ598" s="46"/>
      <c r="QZR598" s="48"/>
      <c r="QZS598" s="53"/>
      <c r="QZZ598" s="15"/>
      <c r="RAA598" s="50"/>
      <c r="RAB598" s="50"/>
      <c r="RAC598" s="46"/>
      <c r="RAD598" s="47"/>
      <c r="RAE598" s="46"/>
      <c r="RAF598" s="48"/>
      <c r="RAG598" s="53"/>
      <c r="RAN598" s="15"/>
      <c r="RAO598" s="50"/>
      <c r="RAP598" s="50"/>
      <c r="RAQ598" s="46"/>
      <c r="RAR598" s="47"/>
      <c r="RAS598" s="46"/>
      <c r="RAT598" s="48"/>
      <c r="RAU598" s="53"/>
      <c r="RBB598" s="15"/>
      <c r="RBC598" s="50"/>
      <c r="RBD598" s="50"/>
      <c r="RBE598" s="46"/>
      <c r="RBF598" s="47"/>
      <c r="RBG598" s="46"/>
      <c r="RBH598" s="48"/>
      <c r="RBI598" s="53"/>
      <c r="RBP598" s="15"/>
      <c r="RBQ598" s="50"/>
      <c r="RBR598" s="50"/>
      <c r="RBS598" s="46"/>
      <c r="RBT598" s="47"/>
      <c r="RBU598" s="46"/>
      <c r="RBV598" s="48"/>
      <c r="RBW598" s="53"/>
      <c r="RCD598" s="15"/>
      <c r="RCE598" s="50"/>
      <c r="RCF598" s="50"/>
      <c r="RCG598" s="46"/>
      <c r="RCH598" s="47"/>
      <c r="RCI598" s="46"/>
      <c r="RCJ598" s="48"/>
      <c r="RCK598" s="53"/>
      <c r="RCR598" s="15"/>
      <c r="RCS598" s="50"/>
      <c r="RCT598" s="50"/>
      <c r="RCU598" s="46"/>
      <c r="RCV598" s="47"/>
      <c r="RCW598" s="46"/>
      <c r="RCX598" s="48"/>
      <c r="RCY598" s="53"/>
      <c r="RDF598" s="15"/>
      <c r="RDG598" s="50"/>
      <c r="RDH598" s="50"/>
      <c r="RDI598" s="46"/>
      <c r="RDJ598" s="47"/>
      <c r="RDK598" s="46"/>
      <c r="RDL598" s="48"/>
      <c r="RDM598" s="53"/>
      <c r="RDT598" s="15"/>
      <c r="RDU598" s="50"/>
      <c r="RDV598" s="50"/>
      <c r="RDW598" s="46"/>
      <c r="RDX598" s="47"/>
      <c r="RDY598" s="46"/>
      <c r="RDZ598" s="48"/>
      <c r="REA598" s="53"/>
      <c r="REH598" s="15"/>
      <c r="REI598" s="50"/>
      <c r="REJ598" s="50"/>
      <c r="REK598" s="46"/>
      <c r="REL598" s="47"/>
      <c r="REM598" s="46"/>
      <c r="REN598" s="48"/>
      <c r="REO598" s="53"/>
      <c r="REV598" s="15"/>
      <c r="REW598" s="50"/>
      <c r="REX598" s="50"/>
      <c r="REY598" s="46"/>
      <c r="REZ598" s="47"/>
      <c r="RFA598" s="46"/>
      <c r="RFB598" s="48"/>
      <c r="RFC598" s="53"/>
      <c r="RFJ598" s="15"/>
      <c r="RFK598" s="50"/>
      <c r="RFL598" s="50"/>
      <c r="RFM598" s="46"/>
      <c r="RFN598" s="47"/>
      <c r="RFO598" s="46"/>
      <c r="RFP598" s="48"/>
      <c r="RFQ598" s="53"/>
      <c r="RFX598" s="15"/>
      <c r="RFY598" s="50"/>
      <c r="RFZ598" s="50"/>
      <c r="RGA598" s="46"/>
      <c r="RGB598" s="47"/>
      <c r="RGC598" s="46"/>
      <c r="RGD598" s="48"/>
      <c r="RGE598" s="53"/>
      <c r="RGL598" s="15"/>
      <c r="RGM598" s="50"/>
      <c r="RGN598" s="50"/>
      <c r="RGO598" s="46"/>
      <c r="RGP598" s="47"/>
      <c r="RGQ598" s="46"/>
      <c r="RGR598" s="48"/>
      <c r="RGS598" s="53"/>
      <c r="RGZ598" s="15"/>
      <c r="RHA598" s="50"/>
      <c r="RHB598" s="50"/>
      <c r="RHC598" s="46"/>
      <c r="RHD598" s="47"/>
      <c r="RHE598" s="46"/>
      <c r="RHF598" s="48"/>
      <c r="RHG598" s="53"/>
      <c r="RHN598" s="15"/>
      <c r="RHO598" s="50"/>
      <c r="RHP598" s="50"/>
      <c r="RHQ598" s="46"/>
      <c r="RHR598" s="47"/>
      <c r="RHS598" s="46"/>
      <c r="RHT598" s="48"/>
      <c r="RHU598" s="53"/>
      <c r="RIB598" s="15"/>
      <c r="RIC598" s="50"/>
      <c r="RID598" s="50"/>
      <c r="RIE598" s="46"/>
      <c r="RIF598" s="47"/>
      <c r="RIG598" s="46"/>
      <c r="RIH598" s="48"/>
      <c r="RII598" s="53"/>
      <c r="RIP598" s="15"/>
      <c r="RIQ598" s="50"/>
      <c r="RIR598" s="50"/>
      <c r="RIS598" s="46"/>
      <c r="RIT598" s="47"/>
      <c r="RIU598" s="46"/>
      <c r="RIV598" s="48"/>
      <c r="RIW598" s="53"/>
      <c r="RJD598" s="15"/>
      <c r="RJE598" s="50"/>
      <c r="RJF598" s="50"/>
      <c r="RJG598" s="46"/>
      <c r="RJH598" s="47"/>
      <c r="RJI598" s="46"/>
      <c r="RJJ598" s="48"/>
      <c r="RJK598" s="53"/>
      <c r="RJR598" s="15"/>
      <c r="RJS598" s="50"/>
      <c r="RJT598" s="50"/>
      <c r="RJU598" s="46"/>
      <c r="RJV598" s="47"/>
      <c r="RJW598" s="46"/>
      <c r="RJX598" s="48"/>
      <c r="RJY598" s="53"/>
      <c r="RKF598" s="15"/>
      <c r="RKG598" s="50"/>
      <c r="RKH598" s="50"/>
      <c r="RKI598" s="46"/>
      <c r="RKJ598" s="47"/>
      <c r="RKK598" s="46"/>
      <c r="RKL598" s="48"/>
      <c r="RKM598" s="53"/>
      <c r="RKT598" s="15"/>
      <c r="RKU598" s="50"/>
      <c r="RKV598" s="50"/>
      <c r="RKW598" s="46"/>
      <c r="RKX598" s="47"/>
      <c r="RKY598" s="46"/>
      <c r="RKZ598" s="48"/>
      <c r="RLA598" s="53"/>
      <c r="RLH598" s="15"/>
      <c r="RLI598" s="50"/>
      <c r="RLJ598" s="50"/>
      <c r="RLK598" s="46"/>
      <c r="RLL598" s="47"/>
      <c r="RLM598" s="46"/>
      <c r="RLN598" s="48"/>
      <c r="RLO598" s="53"/>
      <c r="RLV598" s="15"/>
      <c r="RLW598" s="50"/>
      <c r="RLX598" s="50"/>
      <c r="RLY598" s="46"/>
      <c r="RLZ598" s="47"/>
      <c r="RMA598" s="46"/>
      <c r="RMB598" s="48"/>
      <c r="RMC598" s="53"/>
      <c r="RMJ598" s="15"/>
      <c r="RMK598" s="50"/>
      <c r="RML598" s="50"/>
      <c r="RMM598" s="46"/>
      <c r="RMN598" s="47"/>
      <c r="RMO598" s="46"/>
      <c r="RMP598" s="48"/>
      <c r="RMQ598" s="53"/>
      <c r="RMX598" s="15"/>
      <c r="RMY598" s="50"/>
      <c r="RMZ598" s="50"/>
      <c r="RNA598" s="46"/>
      <c r="RNB598" s="47"/>
      <c r="RNC598" s="46"/>
      <c r="RND598" s="48"/>
      <c r="RNE598" s="53"/>
      <c r="RNL598" s="15"/>
      <c r="RNM598" s="50"/>
      <c r="RNN598" s="50"/>
      <c r="RNO598" s="46"/>
      <c r="RNP598" s="47"/>
      <c r="RNQ598" s="46"/>
      <c r="RNR598" s="48"/>
      <c r="RNS598" s="53"/>
      <c r="RNZ598" s="15"/>
      <c r="ROA598" s="50"/>
      <c r="ROB598" s="50"/>
      <c r="ROC598" s="46"/>
      <c r="ROD598" s="47"/>
      <c r="ROE598" s="46"/>
      <c r="ROF598" s="48"/>
      <c r="ROG598" s="53"/>
      <c r="RON598" s="15"/>
      <c r="ROO598" s="50"/>
      <c r="ROP598" s="50"/>
      <c r="ROQ598" s="46"/>
      <c r="ROR598" s="47"/>
      <c r="ROS598" s="46"/>
      <c r="ROT598" s="48"/>
      <c r="ROU598" s="53"/>
      <c r="RPB598" s="15"/>
      <c r="RPC598" s="50"/>
      <c r="RPD598" s="50"/>
      <c r="RPE598" s="46"/>
      <c r="RPF598" s="47"/>
      <c r="RPG598" s="46"/>
      <c r="RPH598" s="48"/>
      <c r="RPI598" s="53"/>
      <c r="RPP598" s="15"/>
      <c r="RPQ598" s="50"/>
      <c r="RPR598" s="50"/>
      <c r="RPS598" s="46"/>
      <c r="RPT598" s="47"/>
      <c r="RPU598" s="46"/>
      <c r="RPV598" s="48"/>
      <c r="RPW598" s="53"/>
      <c r="RQD598" s="15"/>
      <c r="RQE598" s="50"/>
      <c r="RQF598" s="50"/>
      <c r="RQG598" s="46"/>
      <c r="RQH598" s="47"/>
      <c r="RQI598" s="46"/>
      <c r="RQJ598" s="48"/>
      <c r="RQK598" s="53"/>
      <c r="RQR598" s="15"/>
      <c r="RQS598" s="50"/>
      <c r="RQT598" s="50"/>
      <c r="RQU598" s="46"/>
      <c r="RQV598" s="47"/>
      <c r="RQW598" s="46"/>
      <c r="RQX598" s="48"/>
      <c r="RQY598" s="53"/>
      <c r="RRF598" s="15"/>
      <c r="RRG598" s="50"/>
      <c r="RRH598" s="50"/>
      <c r="RRI598" s="46"/>
      <c r="RRJ598" s="47"/>
      <c r="RRK598" s="46"/>
      <c r="RRL598" s="48"/>
      <c r="RRM598" s="53"/>
      <c r="RRT598" s="15"/>
      <c r="RRU598" s="50"/>
      <c r="RRV598" s="50"/>
      <c r="RRW598" s="46"/>
      <c r="RRX598" s="47"/>
      <c r="RRY598" s="46"/>
      <c r="RRZ598" s="48"/>
      <c r="RSA598" s="53"/>
      <c r="RSH598" s="15"/>
      <c r="RSI598" s="50"/>
      <c r="RSJ598" s="50"/>
      <c r="RSK598" s="46"/>
      <c r="RSL598" s="47"/>
      <c r="RSM598" s="46"/>
      <c r="RSN598" s="48"/>
      <c r="RSO598" s="53"/>
      <c r="RSV598" s="15"/>
      <c r="RSW598" s="50"/>
      <c r="RSX598" s="50"/>
      <c r="RSY598" s="46"/>
      <c r="RSZ598" s="47"/>
      <c r="RTA598" s="46"/>
      <c r="RTB598" s="48"/>
      <c r="RTC598" s="53"/>
      <c r="RTJ598" s="15"/>
      <c r="RTK598" s="50"/>
      <c r="RTL598" s="50"/>
      <c r="RTM598" s="46"/>
      <c r="RTN598" s="47"/>
      <c r="RTO598" s="46"/>
      <c r="RTP598" s="48"/>
      <c r="RTQ598" s="53"/>
      <c r="RTX598" s="15"/>
      <c r="RTY598" s="50"/>
      <c r="RTZ598" s="50"/>
      <c r="RUA598" s="46"/>
      <c r="RUB598" s="47"/>
      <c r="RUC598" s="46"/>
      <c r="RUD598" s="48"/>
      <c r="RUE598" s="53"/>
      <c r="RUL598" s="15"/>
      <c r="RUM598" s="50"/>
      <c r="RUN598" s="50"/>
      <c r="RUO598" s="46"/>
      <c r="RUP598" s="47"/>
      <c r="RUQ598" s="46"/>
      <c r="RUR598" s="48"/>
      <c r="RUS598" s="53"/>
      <c r="RUZ598" s="15"/>
      <c r="RVA598" s="50"/>
      <c r="RVB598" s="50"/>
      <c r="RVC598" s="46"/>
      <c r="RVD598" s="47"/>
      <c r="RVE598" s="46"/>
      <c r="RVF598" s="48"/>
      <c r="RVG598" s="53"/>
      <c r="RVN598" s="15"/>
      <c r="RVO598" s="50"/>
      <c r="RVP598" s="50"/>
      <c r="RVQ598" s="46"/>
      <c r="RVR598" s="47"/>
      <c r="RVS598" s="46"/>
      <c r="RVT598" s="48"/>
      <c r="RVU598" s="53"/>
      <c r="RWB598" s="15"/>
      <c r="RWC598" s="50"/>
      <c r="RWD598" s="50"/>
      <c r="RWE598" s="46"/>
      <c r="RWF598" s="47"/>
      <c r="RWG598" s="46"/>
      <c r="RWH598" s="48"/>
      <c r="RWI598" s="53"/>
      <c r="RWP598" s="15"/>
      <c r="RWQ598" s="50"/>
      <c r="RWR598" s="50"/>
      <c r="RWS598" s="46"/>
      <c r="RWT598" s="47"/>
      <c r="RWU598" s="46"/>
      <c r="RWV598" s="48"/>
      <c r="RWW598" s="53"/>
      <c r="RXD598" s="15"/>
      <c r="RXE598" s="50"/>
      <c r="RXF598" s="50"/>
      <c r="RXG598" s="46"/>
      <c r="RXH598" s="47"/>
      <c r="RXI598" s="46"/>
      <c r="RXJ598" s="48"/>
      <c r="RXK598" s="53"/>
      <c r="RXR598" s="15"/>
      <c r="RXS598" s="50"/>
      <c r="RXT598" s="50"/>
      <c r="RXU598" s="46"/>
      <c r="RXV598" s="47"/>
      <c r="RXW598" s="46"/>
      <c r="RXX598" s="48"/>
      <c r="RXY598" s="53"/>
      <c r="RYF598" s="15"/>
      <c r="RYG598" s="50"/>
      <c r="RYH598" s="50"/>
      <c r="RYI598" s="46"/>
      <c r="RYJ598" s="47"/>
      <c r="RYK598" s="46"/>
      <c r="RYL598" s="48"/>
      <c r="RYM598" s="53"/>
      <c r="RYT598" s="15"/>
      <c r="RYU598" s="50"/>
      <c r="RYV598" s="50"/>
      <c r="RYW598" s="46"/>
      <c r="RYX598" s="47"/>
      <c r="RYY598" s="46"/>
      <c r="RYZ598" s="48"/>
      <c r="RZA598" s="53"/>
      <c r="RZH598" s="15"/>
      <c r="RZI598" s="50"/>
      <c r="RZJ598" s="50"/>
      <c r="RZK598" s="46"/>
      <c r="RZL598" s="47"/>
      <c r="RZM598" s="46"/>
      <c r="RZN598" s="48"/>
      <c r="RZO598" s="53"/>
      <c r="RZV598" s="15"/>
      <c r="RZW598" s="50"/>
      <c r="RZX598" s="50"/>
      <c r="RZY598" s="46"/>
      <c r="RZZ598" s="47"/>
      <c r="SAA598" s="46"/>
      <c r="SAB598" s="48"/>
      <c r="SAC598" s="53"/>
      <c r="SAJ598" s="15"/>
      <c r="SAK598" s="50"/>
      <c r="SAL598" s="50"/>
      <c r="SAM598" s="46"/>
      <c r="SAN598" s="47"/>
      <c r="SAO598" s="46"/>
      <c r="SAP598" s="48"/>
      <c r="SAQ598" s="53"/>
      <c r="SAX598" s="15"/>
      <c r="SAY598" s="50"/>
      <c r="SAZ598" s="50"/>
      <c r="SBA598" s="46"/>
      <c r="SBB598" s="47"/>
      <c r="SBC598" s="46"/>
      <c r="SBD598" s="48"/>
      <c r="SBE598" s="53"/>
      <c r="SBL598" s="15"/>
      <c r="SBM598" s="50"/>
      <c r="SBN598" s="50"/>
      <c r="SBO598" s="46"/>
      <c r="SBP598" s="47"/>
      <c r="SBQ598" s="46"/>
      <c r="SBR598" s="48"/>
      <c r="SBS598" s="53"/>
      <c r="SBZ598" s="15"/>
      <c r="SCA598" s="50"/>
      <c r="SCB598" s="50"/>
      <c r="SCC598" s="46"/>
      <c r="SCD598" s="47"/>
      <c r="SCE598" s="46"/>
      <c r="SCF598" s="48"/>
      <c r="SCG598" s="53"/>
      <c r="SCN598" s="15"/>
      <c r="SCO598" s="50"/>
      <c r="SCP598" s="50"/>
      <c r="SCQ598" s="46"/>
      <c r="SCR598" s="47"/>
      <c r="SCS598" s="46"/>
      <c r="SCT598" s="48"/>
      <c r="SCU598" s="53"/>
      <c r="SDB598" s="15"/>
      <c r="SDC598" s="50"/>
      <c r="SDD598" s="50"/>
      <c r="SDE598" s="46"/>
      <c r="SDF598" s="47"/>
      <c r="SDG598" s="46"/>
      <c r="SDH598" s="48"/>
      <c r="SDI598" s="53"/>
      <c r="SDP598" s="15"/>
      <c r="SDQ598" s="50"/>
      <c r="SDR598" s="50"/>
      <c r="SDS598" s="46"/>
      <c r="SDT598" s="47"/>
      <c r="SDU598" s="46"/>
      <c r="SDV598" s="48"/>
      <c r="SDW598" s="53"/>
      <c r="SED598" s="15"/>
      <c r="SEE598" s="50"/>
      <c r="SEF598" s="50"/>
      <c r="SEG598" s="46"/>
      <c r="SEH598" s="47"/>
      <c r="SEI598" s="46"/>
      <c r="SEJ598" s="48"/>
      <c r="SEK598" s="53"/>
      <c r="SER598" s="15"/>
      <c r="SES598" s="50"/>
      <c r="SET598" s="50"/>
      <c r="SEU598" s="46"/>
      <c r="SEV598" s="47"/>
      <c r="SEW598" s="46"/>
      <c r="SEX598" s="48"/>
      <c r="SEY598" s="53"/>
      <c r="SFF598" s="15"/>
      <c r="SFG598" s="50"/>
      <c r="SFH598" s="50"/>
      <c r="SFI598" s="46"/>
      <c r="SFJ598" s="47"/>
      <c r="SFK598" s="46"/>
      <c r="SFL598" s="48"/>
      <c r="SFM598" s="53"/>
      <c r="SFT598" s="15"/>
      <c r="SFU598" s="50"/>
      <c r="SFV598" s="50"/>
      <c r="SFW598" s="46"/>
      <c r="SFX598" s="47"/>
      <c r="SFY598" s="46"/>
      <c r="SFZ598" s="48"/>
      <c r="SGA598" s="53"/>
      <c r="SGH598" s="15"/>
      <c r="SGI598" s="50"/>
      <c r="SGJ598" s="50"/>
      <c r="SGK598" s="46"/>
      <c r="SGL598" s="47"/>
      <c r="SGM598" s="46"/>
      <c r="SGN598" s="48"/>
      <c r="SGO598" s="53"/>
      <c r="SGV598" s="15"/>
      <c r="SGW598" s="50"/>
      <c r="SGX598" s="50"/>
      <c r="SGY598" s="46"/>
      <c r="SGZ598" s="47"/>
      <c r="SHA598" s="46"/>
      <c r="SHB598" s="48"/>
      <c r="SHC598" s="53"/>
      <c r="SHJ598" s="15"/>
      <c r="SHK598" s="50"/>
      <c r="SHL598" s="50"/>
      <c r="SHM598" s="46"/>
      <c r="SHN598" s="47"/>
      <c r="SHO598" s="46"/>
      <c r="SHP598" s="48"/>
      <c r="SHQ598" s="53"/>
      <c r="SHX598" s="15"/>
      <c r="SHY598" s="50"/>
      <c r="SHZ598" s="50"/>
      <c r="SIA598" s="46"/>
      <c r="SIB598" s="47"/>
      <c r="SIC598" s="46"/>
      <c r="SID598" s="48"/>
      <c r="SIE598" s="53"/>
      <c r="SIL598" s="15"/>
      <c r="SIM598" s="50"/>
      <c r="SIN598" s="50"/>
      <c r="SIO598" s="46"/>
      <c r="SIP598" s="47"/>
      <c r="SIQ598" s="46"/>
      <c r="SIR598" s="48"/>
      <c r="SIS598" s="53"/>
      <c r="SIZ598" s="15"/>
      <c r="SJA598" s="50"/>
      <c r="SJB598" s="50"/>
      <c r="SJC598" s="46"/>
      <c r="SJD598" s="47"/>
      <c r="SJE598" s="46"/>
      <c r="SJF598" s="48"/>
      <c r="SJG598" s="53"/>
      <c r="SJN598" s="15"/>
      <c r="SJO598" s="50"/>
      <c r="SJP598" s="50"/>
      <c r="SJQ598" s="46"/>
      <c r="SJR598" s="47"/>
      <c r="SJS598" s="46"/>
      <c r="SJT598" s="48"/>
      <c r="SJU598" s="53"/>
      <c r="SKB598" s="15"/>
      <c r="SKC598" s="50"/>
      <c r="SKD598" s="50"/>
      <c r="SKE598" s="46"/>
      <c r="SKF598" s="47"/>
      <c r="SKG598" s="46"/>
      <c r="SKH598" s="48"/>
      <c r="SKI598" s="53"/>
      <c r="SKP598" s="15"/>
      <c r="SKQ598" s="50"/>
      <c r="SKR598" s="50"/>
      <c r="SKS598" s="46"/>
      <c r="SKT598" s="47"/>
      <c r="SKU598" s="46"/>
      <c r="SKV598" s="48"/>
      <c r="SKW598" s="53"/>
      <c r="SLD598" s="15"/>
      <c r="SLE598" s="50"/>
      <c r="SLF598" s="50"/>
      <c r="SLG598" s="46"/>
      <c r="SLH598" s="47"/>
      <c r="SLI598" s="46"/>
      <c r="SLJ598" s="48"/>
      <c r="SLK598" s="53"/>
      <c r="SLR598" s="15"/>
      <c r="SLS598" s="50"/>
      <c r="SLT598" s="50"/>
      <c r="SLU598" s="46"/>
      <c r="SLV598" s="47"/>
      <c r="SLW598" s="46"/>
      <c r="SLX598" s="48"/>
      <c r="SLY598" s="53"/>
      <c r="SMF598" s="15"/>
      <c r="SMG598" s="50"/>
      <c r="SMH598" s="50"/>
      <c r="SMI598" s="46"/>
      <c r="SMJ598" s="47"/>
      <c r="SMK598" s="46"/>
      <c r="SML598" s="48"/>
      <c r="SMM598" s="53"/>
      <c r="SMT598" s="15"/>
      <c r="SMU598" s="50"/>
      <c r="SMV598" s="50"/>
      <c r="SMW598" s="46"/>
      <c r="SMX598" s="47"/>
      <c r="SMY598" s="46"/>
      <c r="SMZ598" s="48"/>
      <c r="SNA598" s="53"/>
      <c r="SNH598" s="15"/>
      <c r="SNI598" s="50"/>
      <c r="SNJ598" s="50"/>
      <c r="SNK598" s="46"/>
      <c r="SNL598" s="47"/>
      <c r="SNM598" s="46"/>
      <c r="SNN598" s="48"/>
      <c r="SNO598" s="53"/>
      <c r="SNV598" s="15"/>
      <c r="SNW598" s="50"/>
      <c r="SNX598" s="50"/>
      <c r="SNY598" s="46"/>
      <c r="SNZ598" s="47"/>
      <c r="SOA598" s="46"/>
      <c r="SOB598" s="48"/>
      <c r="SOC598" s="53"/>
      <c r="SOJ598" s="15"/>
      <c r="SOK598" s="50"/>
      <c r="SOL598" s="50"/>
      <c r="SOM598" s="46"/>
      <c r="SON598" s="47"/>
      <c r="SOO598" s="46"/>
      <c r="SOP598" s="48"/>
      <c r="SOQ598" s="53"/>
      <c r="SOX598" s="15"/>
      <c r="SOY598" s="50"/>
      <c r="SOZ598" s="50"/>
      <c r="SPA598" s="46"/>
      <c r="SPB598" s="47"/>
      <c r="SPC598" s="46"/>
      <c r="SPD598" s="48"/>
      <c r="SPE598" s="53"/>
      <c r="SPL598" s="15"/>
      <c r="SPM598" s="50"/>
      <c r="SPN598" s="50"/>
      <c r="SPO598" s="46"/>
      <c r="SPP598" s="47"/>
      <c r="SPQ598" s="46"/>
      <c r="SPR598" s="48"/>
      <c r="SPS598" s="53"/>
      <c r="SPZ598" s="15"/>
      <c r="SQA598" s="50"/>
      <c r="SQB598" s="50"/>
      <c r="SQC598" s="46"/>
      <c r="SQD598" s="47"/>
      <c r="SQE598" s="46"/>
      <c r="SQF598" s="48"/>
      <c r="SQG598" s="53"/>
      <c r="SQN598" s="15"/>
      <c r="SQO598" s="50"/>
      <c r="SQP598" s="50"/>
      <c r="SQQ598" s="46"/>
      <c r="SQR598" s="47"/>
      <c r="SQS598" s="46"/>
      <c r="SQT598" s="48"/>
      <c r="SQU598" s="53"/>
      <c r="SRB598" s="15"/>
      <c r="SRC598" s="50"/>
      <c r="SRD598" s="50"/>
      <c r="SRE598" s="46"/>
      <c r="SRF598" s="47"/>
      <c r="SRG598" s="46"/>
      <c r="SRH598" s="48"/>
      <c r="SRI598" s="53"/>
      <c r="SRP598" s="15"/>
      <c r="SRQ598" s="50"/>
      <c r="SRR598" s="50"/>
      <c r="SRS598" s="46"/>
      <c r="SRT598" s="47"/>
      <c r="SRU598" s="46"/>
      <c r="SRV598" s="48"/>
      <c r="SRW598" s="53"/>
      <c r="SSD598" s="15"/>
      <c r="SSE598" s="50"/>
      <c r="SSF598" s="50"/>
      <c r="SSG598" s="46"/>
      <c r="SSH598" s="47"/>
      <c r="SSI598" s="46"/>
      <c r="SSJ598" s="48"/>
      <c r="SSK598" s="53"/>
      <c r="SSR598" s="15"/>
      <c r="SSS598" s="50"/>
      <c r="SST598" s="50"/>
      <c r="SSU598" s="46"/>
      <c r="SSV598" s="47"/>
      <c r="SSW598" s="46"/>
      <c r="SSX598" s="48"/>
      <c r="SSY598" s="53"/>
      <c r="STF598" s="15"/>
      <c r="STG598" s="50"/>
      <c r="STH598" s="50"/>
      <c r="STI598" s="46"/>
      <c r="STJ598" s="47"/>
      <c r="STK598" s="46"/>
      <c r="STL598" s="48"/>
      <c r="STM598" s="53"/>
      <c r="STT598" s="15"/>
      <c r="STU598" s="50"/>
      <c r="STV598" s="50"/>
      <c r="STW598" s="46"/>
      <c r="STX598" s="47"/>
      <c r="STY598" s="46"/>
      <c r="STZ598" s="48"/>
      <c r="SUA598" s="53"/>
      <c r="SUH598" s="15"/>
      <c r="SUI598" s="50"/>
      <c r="SUJ598" s="50"/>
      <c r="SUK598" s="46"/>
      <c r="SUL598" s="47"/>
      <c r="SUM598" s="46"/>
      <c r="SUN598" s="48"/>
      <c r="SUO598" s="53"/>
      <c r="SUV598" s="15"/>
      <c r="SUW598" s="50"/>
      <c r="SUX598" s="50"/>
      <c r="SUY598" s="46"/>
      <c r="SUZ598" s="47"/>
      <c r="SVA598" s="46"/>
      <c r="SVB598" s="48"/>
      <c r="SVC598" s="53"/>
      <c r="SVJ598" s="15"/>
      <c r="SVK598" s="50"/>
      <c r="SVL598" s="50"/>
      <c r="SVM598" s="46"/>
      <c r="SVN598" s="47"/>
      <c r="SVO598" s="46"/>
      <c r="SVP598" s="48"/>
      <c r="SVQ598" s="53"/>
      <c r="SVX598" s="15"/>
      <c r="SVY598" s="50"/>
      <c r="SVZ598" s="50"/>
      <c r="SWA598" s="46"/>
      <c r="SWB598" s="47"/>
      <c r="SWC598" s="46"/>
      <c r="SWD598" s="48"/>
      <c r="SWE598" s="53"/>
      <c r="SWL598" s="15"/>
      <c r="SWM598" s="50"/>
      <c r="SWN598" s="50"/>
      <c r="SWO598" s="46"/>
      <c r="SWP598" s="47"/>
      <c r="SWQ598" s="46"/>
      <c r="SWR598" s="48"/>
      <c r="SWS598" s="53"/>
      <c r="SWZ598" s="15"/>
      <c r="SXA598" s="50"/>
      <c r="SXB598" s="50"/>
      <c r="SXC598" s="46"/>
      <c r="SXD598" s="47"/>
      <c r="SXE598" s="46"/>
      <c r="SXF598" s="48"/>
      <c r="SXG598" s="53"/>
      <c r="SXN598" s="15"/>
      <c r="SXO598" s="50"/>
      <c r="SXP598" s="50"/>
      <c r="SXQ598" s="46"/>
      <c r="SXR598" s="47"/>
      <c r="SXS598" s="46"/>
      <c r="SXT598" s="48"/>
      <c r="SXU598" s="53"/>
      <c r="SYB598" s="15"/>
      <c r="SYC598" s="50"/>
      <c r="SYD598" s="50"/>
      <c r="SYE598" s="46"/>
      <c r="SYF598" s="47"/>
      <c r="SYG598" s="46"/>
      <c r="SYH598" s="48"/>
      <c r="SYI598" s="53"/>
      <c r="SYP598" s="15"/>
      <c r="SYQ598" s="50"/>
      <c r="SYR598" s="50"/>
      <c r="SYS598" s="46"/>
      <c r="SYT598" s="47"/>
      <c r="SYU598" s="46"/>
      <c r="SYV598" s="48"/>
      <c r="SYW598" s="53"/>
      <c r="SZD598" s="15"/>
      <c r="SZE598" s="50"/>
      <c r="SZF598" s="50"/>
      <c r="SZG598" s="46"/>
      <c r="SZH598" s="47"/>
      <c r="SZI598" s="46"/>
      <c r="SZJ598" s="48"/>
      <c r="SZK598" s="53"/>
      <c r="SZR598" s="15"/>
      <c r="SZS598" s="50"/>
      <c r="SZT598" s="50"/>
      <c r="SZU598" s="46"/>
      <c r="SZV598" s="47"/>
      <c r="SZW598" s="46"/>
      <c r="SZX598" s="48"/>
      <c r="SZY598" s="53"/>
      <c r="TAF598" s="15"/>
      <c r="TAG598" s="50"/>
      <c r="TAH598" s="50"/>
      <c r="TAI598" s="46"/>
      <c r="TAJ598" s="47"/>
      <c r="TAK598" s="46"/>
      <c r="TAL598" s="48"/>
      <c r="TAM598" s="53"/>
      <c r="TAT598" s="15"/>
      <c r="TAU598" s="50"/>
      <c r="TAV598" s="50"/>
      <c r="TAW598" s="46"/>
      <c r="TAX598" s="47"/>
      <c r="TAY598" s="46"/>
      <c r="TAZ598" s="48"/>
      <c r="TBA598" s="53"/>
      <c r="TBH598" s="15"/>
      <c r="TBI598" s="50"/>
      <c r="TBJ598" s="50"/>
      <c r="TBK598" s="46"/>
      <c r="TBL598" s="47"/>
      <c r="TBM598" s="46"/>
      <c r="TBN598" s="48"/>
      <c r="TBO598" s="53"/>
      <c r="TBV598" s="15"/>
      <c r="TBW598" s="50"/>
      <c r="TBX598" s="50"/>
      <c r="TBY598" s="46"/>
      <c r="TBZ598" s="47"/>
      <c r="TCA598" s="46"/>
      <c r="TCB598" s="48"/>
      <c r="TCC598" s="53"/>
      <c r="TCJ598" s="15"/>
      <c r="TCK598" s="50"/>
      <c r="TCL598" s="50"/>
      <c r="TCM598" s="46"/>
      <c r="TCN598" s="47"/>
      <c r="TCO598" s="46"/>
      <c r="TCP598" s="48"/>
      <c r="TCQ598" s="53"/>
      <c r="TCX598" s="15"/>
      <c r="TCY598" s="50"/>
      <c r="TCZ598" s="50"/>
      <c r="TDA598" s="46"/>
      <c r="TDB598" s="47"/>
      <c r="TDC598" s="46"/>
      <c r="TDD598" s="48"/>
      <c r="TDE598" s="53"/>
      <c r="TDL598" s="15"/>
      <c r="TDM598" s="50"/>
      <c r="TDN598" s="50"/>
      <c r="TDO598" s="46"/>
      <c r="TDP598" s="47"/>
      <c r="TDQ598" s="46"/>
      <c r="TDR598" s="48"/>
      <c r="TDS598" s="53"/>
      <c r="TDZ598" s="15"/>
      <c r="TEA598" s="50"/>
      <c r="TEB598" s="50"/>
      <c r="TEC598" s="46"/>
      <c r="TED598" s="47"/>
      <c r="TEE598" s="46"/>
      <c r="TEF598" s="48"/>
      <c r="TEG598" s="53"/>
      <c r="TEN598" s="15"/>
      <c r="TEO598" s="50"/>
      <c r="TEP598" s="50"/>
      <c r="TEQ598" s="46"/>
      <c r="TER598" s="47"/>
      <c r="TES598" s="46"/>
      <c r="TET598" s="48"/>
      <c r="TEU598" s="53"/>
      <c r="TFB598" s="15"/>
      <c r="TFC598" s="50"/>
      <c r="TFD598" s="50"/>
      <c r="TFE598" s="46"/>
      <c r="TFF598" s="47"/>
      <c r="TFG598" s="46"/>
      <c r="TFH598" s="48"/>
      <c r="TFI598" s="53"/>
      <c r="TFP598" s="15"/>
      <c r="TFQ598" s="50"/>
      <c r="TFR598" s="50"/>
      <c r="TFS598" s="46"/>
      <c r="TFT598" s="47"/>
      <c r="TFU598" s="46"/>
      <c r="TFV598" s="48"/>
      <c r="TFW598" s="53"/>
      <c r="TGD598" s="15"/>
      <c r="TGE598" s="50"/>
      <c r="TGF598" s="50"/>
      <c r="TGG598" s="46"/>
      <c r="TGH598" s="47"/>
      <c r="TGI598" s="46"/>
      <c r="TGJ598" s="48"/>
      <c r="TGK598" s="53"/>
      <c r="TGR598" s="15"/>
      <c r="TGS598" s="50"/>
      <c r="TGT598" s="50"/>
      <c r="TGU598" s="46"/>
      <c r="TGV598" s="47"/>
      <c r="TGW598" s="46"/>
      <c r="TGX598" s="48"/>
      <c r="TGY598" s="53"/>
      <c r="THF598" s="15"/>
      <c r="THG598" s="50"/>
      <c r="THH598" s="50"/>
      <c r="THI598" s="46"/>
      <c r="THJ598" s="47"/>
      <c r="THK598" s="46"/>
      <c r="THL598" s="48"/>
      <c r="THM598" s="53"/>
      <c r="THT598" s="15"/>
      <c r="THU598" s="50"/>
      <c r="THV598" s="50"/>
      <c r="THW598" s="46"/>
      <c r="THX598" s="47"/>
      <c r="THY598" s="46"/>
      <c r="THZ598" s="48"/>
      <c r="TIA598" s="53"/>
      <c r="TIH598" s="15"/>
      <c r="TII598" s="50"/>
      <c r="TIJ598" s="50"/>
      <c r="TIK598" s="46"/>
      <c r="TIL598" s="47"/>
      <c r="TIM598" s="46"/>
      <c r="TIN598" s="48"/>
      <c r="TIO598" s="53"/>
      <c r="TIV598" s="15"/>
      <c r="TIW598" s="50"/>
      <c r="TIX598" s="50"/>
      <c r="TIY598" s="46"/>
      <c r="TIZ598" s="47"/>
      <c r="TJA598" s="46"/>
      <c r="TJB598" s="48"/>
      <c r="TJC598" s="53"/>
      <c r="TJJ598" s="15"/>
      <c r="TJK598" s="50"/>
      <c r="TJL598" s="50"/>
      <c r="TJM598" s="46"/>
      <c r="TJN598" s="47"/>
      <c r="TJO598" s="46"/>
      <c r="TJP598" s="48"/>
      <c r="TJQ598" s="53"/>
      <c r="TJX598" s="15"/>
      <c r="TJY598" s="50"/>
      <c r="TJZ598" s="50"/>
      <c r="TKA598" s="46"/>
      <c r="TKB598" s="47"/>
      <c r="TKC598" s="46"/>
      <c r="TKD598" s="48"/>
      <c r="TKE598" s="53"/>
      <c r="TKL598" s="15"/>
      <c r="TKM598" s="50"/>
      <c r="TKN598" s="50"/>
      <c r="TKO598" s="46"/>
      <c r="TKP598" s="47"/>
      <c r="TKQ598" s="46"/>
      <c r="TKR598" s="48"/>
      <c r="TKS598" s="53"/>
      <c r="TKZ598" s="15"/>
      <c r="TLA598" s="50"/>
      <c r="TLB598" s="50"/>
      <c r="TLC598" s="46"/>
      <c r="TLD598" s="47"/>
      <c r="TLE598" s="46"/>
      <c r="TLF598" s="48"/>
      <c r="TLG598" s="53"/>
      <c r="TLN598" s="15"/>
      <c r="TLO598" s="50"/>
      <c r="TLP598" s="50"/>
      <c r="TLQ598" s="46"/>
      <c r="TLR598" s="47"/>
      <c r="TLS598" s="46"/>
      <c r="TLT598" s="48"/>
      <c r="TLU598" s="53"/>
      <c r="TMB598" s="15"/>
      <c r="TMC598" s="50"/>
      <c r="TMD598" s="50"/>
      <c r="TME598" s="46"/>
      <c r="TMF598" s="47"/>
      <c r="TMG598" s="46"/>
      <c r="TMH598" s="48"/>
      <c r="TMI598" s="53"/>
      <c r="TMP598" s="15"/>
      <c r="TMQ598" s="50"/>
      <c r="TMR598" s="50"/>
      <c r="TMS598" s="46"/>
      <c r="TMT598" s="47"/>
      <c r="TMU598" s="46"/>
      <c r="TMV598" s="48"/>
      <c r="TMW598" s="53"/>
      <c r="TND598" s="15"/>
      <c r="TNE598" s="50"/>
      <c r="TNF598" s="50"/>
      <c r="TNG598" s="46"/>
      <c r="TNH598" s="47"/>
      <c r="TNI598" s="46"/>
      <c r="TNJ598" s="48"/>
      <c r="TNK598" s="53"/>
      <c r="TNR598" s="15"/>
      <c r="TNS598" s="50"/>
      <c r="TNT598" s="50"/>
      <c r="TNU598" s="46"/>
      <c r="TNV598" s="47"/>
      <c r="TNW598" s="46"/>
      <c r="TNX598" s="48"/>
      <c r="TNY598" s="53"/>
      <c r="TOF598" s="15"/>
      <c r="TOG598" s="50"/>
      <c r="TOH598" s="50"/>
      <c r="TOI598" s="46"/>
      <c r="TOJ598" s="47"/>
      <c r="TOK598" s="46"/>
      <c r="TOL598" s="48"/>
      <c r="TOM598" s="53"/>
      <c r="TOT598" s="15"/>
      <c r="TOU598" s="50"/>
      <c r="TOV598" s="50"/>
      <c r="TOW598" s="46"/>
      <c r="TOX598" s="47"/>
      <c r="TOY598" s="46"/>
      <c r="TOZ598" s="48"/>
      <c r="TPA598" s="53"/>
      <c r="TPH598" s="15"/>
      <c r="TPI598" s="50"/>
      <c r="TPJ598" s="50"/>
      <c r="TPK598" s="46"/>
      <c r="TPL598" s="47"/>
      <c r="TPM598" s="46"/>
      <c r="TPN598" s="48"/>
      <c r="TPO598" s="53"/>
      <c r="TPV598" s="15"/>
      <c r="TPW598" s="50"/>
      <c r="TPX598" s="50"/>
      <c r="TPY598" s="46"/>
      <c r="TPZ598" s="47"/>
      <c r="TQA598" s="46"/>
      <c r="TQB598" s="48"/>
      <c r="TQC598" s="53"/>
      <c r="TQJ598" s="15"/>
      <c r="TQK598" s="50"/>
      <c r="TQL598" s="50"/>
      <c r="TQM598" s="46"/>
      <c r="TQN598" s="47"/>
      <c r="TQO598" s="46"/>
      <c r="TQP598" s="48"/>
      <c r="TQQ598" s="53"/>
      <c r="TQX598" s="15"/>
      <c r="TQY598" s="50"/>
      <c r="TQZ598" s="50"/>
      <c r="TRA598" s="46"/>
      <c r="TRB598" s="47"/>
      <c r="TRC598" s="46"/>
      <c r="TRD598" s="48"/>
      <c r="TRE598" s="53"/>
      <c r="TRL598" s="15"/>
      <c r="TRM598" s="50"/>
      <c r="TRN598" s="50"/>
      <c r="TRO598" s="46"/>
      <c r="TRP598" s="47"/>
      <c r="TRQ598" s="46"/>
      <c r="TRR598" s="48"/>
      <c r="TRS598" s="53"/>
      <c r="TRZ598" s="15"/>
      <c r="TSA598" s="50"/>
      <c r="TSB598" s="50"/>
      <c r="TSC598" s="46"/>
      <c r="TSD598" s="47"/>
      <c r="TSE598" s="46"/>
      <c r="TSF598" s="48"/>
      <c r="TSG598" s="53"/>
      <c r="TSN598" s="15"/>
      <c r="TSO598" s="50"/>
      <c r="TSP598" s="50"/>
      <c r="TSQ598" s="46"/>
      <c r="TSR598" s="47"/>
      <c r="TSS598" s="46"/>
      <c r="TST598" s="48"/>
      <c r="TSU598" s="53"/>
      <c r="TTB598" s="15"/>
      <c r="TTC598" s="50"/>
      <c r="TTD598" s="50"/>
      <c r="TTE598" s="46"/>
      <c r="TTF598" s="47"/>
      <c r="TTG598" s="46"/>
      <c r="TTH598" s="48"/>
      <c r="TTI598" s="53"/>
      <c r="TTP598" s="15"/>
      <c r="TTQ598" s="50"/>
      <c r="TTR598" s="50"/>
      <c r="TTS598" s="46"/>
      <c r="TTT598" s="47"/>
      <c r="TTU598" s="46"/>
      <c r="TTV598" s="48"/>
      <c r="TTW598" s="53"/>
      <c r="TUD598" s="15"/>
      <c r="TUE598" s="50"/>
      <c r="TUF598" s="50"/>
      <c r="TUG598" s="46"/>
      <c r="TUH598" s="47"/>
      <c r="TUI598" s="46"/>
      <c r="TUJ598" s="48"/>
      <c r="TUK598" s="53"/>
      <c r="TUR598" s="15"/>
      <c r="TUS598" s="50"/>
      <c r="TUT598" s="50"/>
      <c r="TUU598" s="46"/>
      <c r="TUV598" s="47"/>
      <c r="TUW598" s="46"/>
      <c r="TUX598" s="48"/>
      <c r="TUY598" s="53"/>
      <c r="TVF598" s="15"/>
      <c r="TVG598" s="50"/>
      <c r="TVH598" s="50"/>
      <c r="TVI598" s="46"/>
      <c r="TVJ598" s="47"/>
      <c r="TVK598" s="46"/>
      <c r="TVL598" s="48"/>
      <c r="TVM598" s="53"/>
      <c r="TVT598" s="15"/>
      <c r="TVU598" s="50"/>
      <c r="TVV598" s="50"/>
      <c r="TVW598" s="46"/>
      <c r="TVX598" s="47"/>
      <c r="TVY598" s="46"/>
      <c r="TVZ598" s="48"/>
      <c r="TWA598" s="53"/>
      <c r="TWH598" s="15"/>
      <c r="TWI598" s="50"/>
      <c r="TWJ598" s="50"/>
      <c r="TWK598" s="46"/>
      <c r="TWL598" s="47"/>
      <c r="TWM598" s="46"/>
      <c r="TWN598" s="48"/>
      <c r="TWO598" s="53"/>
      <c r="TWV598" s="15"/>
      <c r="TWW598" s="50"/>
      <c r="TWX598" s="50"/>
      <c r="TWY598" s="46"/>
      <c r="TWZ598" s="47"/>
      <c r="TXA598" s="46"/>
      <c r="TXB598" s="48"/>
      <c r="TXC598" s="53"/>
      <c r="TXJ598" s="15"/>
      <c r="TXK598" s="50"/>
      <c r="TXL598" s="50"/>
      <c r="TXM598" s="46"/>
      <c r="TXN598" s="47"/>
      <c r="TXO598" s="46"/>
      <c r="TXP598" s="48"/>
      <c r="TXQ598" s="53"/>
      <c r="TXX598" s="15"/>
      <c r="TXY598" s="50"/>
      <c r="TXZ598" s="50"/>
      <c r="TYA598" s="46"/>
      <c r="TYB598" s="47"/>
      <c r="TYC598" s="46"/>
      <c r="TYD598" s="48"/>
      <c r="TYE598" s="53"/>
      <c r="TYL598" s="15"/>
      <c r="TYM598" s="50"/>
      <c r="TYN598" s="50"/>
      <c r="TYO598" s="46"/>
      <c r="TYP598" s="47"/>
      <c r="TYQ598" s="46"/>
      <c r="TYR598" s="48"/>
      <c r="TYS598" s="53"/>
      <c r="TYZ598" s="15"/>
      <c r="TZA598" s="50"/>
      <c r="TZB598" s="50"/>
      <c r="TZC598" s="46"/>
      <c r="TZD598" s="47"/>
      <c r="TZE598" s="46"/>
      <c r="TZF598" s="48"/>
      <c r="TZG598" s="53"/>
      <c r="TZN598" s="15"/>
      <c r="TZO598" s="50"/>
      <c r="TZP598" s="50"/>
      <c r="TZQ598" s="46"/>
      <c r="TZR598" s="47"/>
      <c r="TZS598" s="46"/>
      <c r="TZT598" s="48"/>
      <c r="TZU598" s="53"/>
      <c r="UAB598" s="15"/>
      <c r="UAC598" s="50"/>
      <c r="UAD598" s="50"/>
      <c r="UAE598" s="46"/>
      <c r="UAF598" s="47"/>
      <c r="UAG598" s="46"/>
      <c r="UAH598" s="48"/>
      <c r="UAI598" s="53"/>
      <c r="UAP598" s="15"/>
      <c r="UAQ598" s="50"/>
      <c r="UAR598" s="50"/>
      <c r="UAS598" s="46"/>
      <c r="UAT598" s="47"/>
      <c r="UAU598" s="46"/>
      <c r="UAV598" s="48"/>
      <c r="UAW598" s="53"/>
      <c r="UBD598" s="15"/>
      <c r="UBE598" s="50"/>
      <c r="UBF598" s="50"/>
      <c r="UBG598" s="46"/>
      <c r="UBH598" s="47"/>
      <c r="UBI598" s="46"/>
      <c r="UBJ598" s="48"/>
      <c r="UBK598" s="53"/>
      <c r="UBR598" s="15"/>
      <c r="UBS598" s="50"/>
      <c r="UBT598" s="50"/>
      <c r="UBU598" s="46"/>
      <c r="UBV598" s="47"/>
      <c r="UBW598" s="46"/>
      <c r="UBX598" s="48"/>
      <c r="UBY598" s="53"/>
      <c r="UCF598" s="15"/>
      <c r="UCG598" s="50"/>
      <c r="UCH598" s="50"/>
      <c r="UCI598" s="46"/>
      <c r="UCJ598" s="47"/>
      <c r="UCK598" s="46"/>
      <c r="UCL598" s="48"/>
      <c r="UCM598" s="53"/>
      <c r="UCT598" s="15"/>
      <c r="UCU598" s="50"/>
      <c r="UCV598" s="50"/>
      <c r="UCW598" s="46"/>
      <c r="UCX598" s="47"/>
      <c r="UCY598" s="46"/>
      <c r="UCZ598" s="48"/>
      <c r="UDA598" s="53"/>
      <c r="UDH598" s="15"/>
      <c r="UDI598" s="50"/>
      <c r="UDJ598" s="50"/>
      <c r="UDK598" s="46"/>
      <c r="UDL598" s="47"/>
      <c r="UDM598" s="46"/>
      <c r="UDN598" s="48"/>
      <c r="UDO598" s="53"/>
      <c r="UDV598" s="15"/>
      <c r="UDW598" s="50"/>
      <c r="UDX598" s="50"/>
      <c r="UDY598" s="46"/>
      <c r="UDZ598" s="47"/>
      <c r="UEA598" s="46"/>
      <c r="UEB598" s="48"/>
      <c r="UEC598" s="53"/>
      <c r="UEJ598" s="15"/>
      <c r="UEK598" s="50"/>
      <c r="UEL598" s="50"/>
      <c r="UEM598" s="46"/>
      <c r="UEN598" s="47"/>
      <c r="UEO598" s="46"/>
      <c r="UEP598" s="48"/>
      <c r="UEQ598" s="53"/>
      <c r="UEX598" s="15"/>
      <c r="UEY598" s="50"/>
      <c r="UEZ598" s="50"/>
      <c r="UFA598" s="46"/>
      <c r="UFB598" s="47"/>
      <c r="UFC598" s="46"/>
      <c r="UFD598" s="48"/>
      <c r="UFE598" s="53"/>
      <c r="UFL598" s="15"/>
      <c r="UFM598" s="50"/>
      <c r="UFN598" s="50"/>
      <c r="UFO598" s="46"/>
      <c r="UFP598" s="47"/>
      <c r="UFQ598" s="46"/>
      <c r="UFR598" s="48"/>
      <c r="UFS598" s="53"/>
      <c r="UFZ598" s="15"/>
      <c r="UGA598" s="50"/>
      <c r="UGB598" s="50"/>
      <c r="UGC598" s="46"/>
      <c r="UGD598" s="47"/>
      <c r="UGE598" s="46"/>
      <c r="UGF598" s="48"/>
      <c r="UGG598" s="53"/>
      <c r="UGN598" s="15"/>
      <c r="UGO598" s="50"/>
      <c r="UGP598" s="50"/>
      <c r="UGQ598" s="46"/>
      <c r="UGR598" s="47"/>
      <c r="UGS598" s="46"/>
      <c r="UGT598" s="48"/>
      <c r="UGU598" s="53"/>
      <c r="UHB598" s="15"/>
      <c r="UHC598" s="50"/>
      <c r="UHD598" s="50"/>
      <c r="UHE598" s="46"/>
      <c r="UHF598" s="47"/>
      <c r="UHG598" s="46"/>
      <c r="UHH598" s="48"/>
      <c r="UHI598" s="53"/>
      <c r="UHP598" s="15"/>
      <c r="UHQ598" s="50"/>
      <c r="UHR598" s="50"/>
      <c r="UHS598" s="46"/>
      <c r="UHT598" s="47"/>
      <c r="UHU598" s="46"/>
      <c r="UHV598" s="48"/>
      <c r="UHW598" s="53"/>
      <c r="UID598" s="15"/>
      <c r="UIE598" s="50"/>
      <c r="UIF598" s="50"/>
      <c r="UIG598" s="46"/>
      <c r="UIH598" s="47"/>
      <c r="UII598" s="46"/>
      <c r="UIJ598" s="48"/>
      <c r="UIK598" s="53"/>
      <c r="UIR598" s="15"/>
      <c r="UIS598" s="50"/>
      <c r="UIT598" s="50"/>
      <c r="UIU598" s="46"/>
      <c r="UIV598" s="47"/>
      <c r="UIW598" s="46"/>
      <c r="UIX598" s="48"/>
      <c r="UIY598" s="53"/>
      <c r="UJF598" s="15"/>
      <c r="UJG598" s="50"/>
      <c r="UJH598" s="50"/>
      <c r="UJI598" s="46"/>
      <c r="UJJ598" s="47"/>
      <c r="UJK598" s="46"/>
      <c r="UJL598" s="48"/>
      <c r="UJM598" s="53"/>
      <c r="UJT598" s="15"/>
      <c r="UJU598" s="50"/>
      <c r="UJV598" s="50"/>
      <c r="UJW598" s="46"/>
      <c r="UJX598" s="47"/>
      <c r="UJY598" s="46"/>
      <c r="UJZ598" s="48"/>
      <c r="UKA598" s="53"/>
      <c r="UKH598" s="15"/>
      <c r="UKI598" s="50"/>
      <c r="UKJ598" s="50"/>
      <c r="UKK598" s="46"/>
      <c r="UKL598" s="47"/>
      <c r="UKM598" s="46"/>
      <c r="UKN598" s="48"/>
      <c r="UKO598" s="53"/>
      <c r="UKV598" s="15"/>
      <c r="UKW598" s="50"/>
      <c r="UKX598" s="50"/>
      <c r="UKY598" s="46"/>
      <c r="UKZ598" s="47"/>
      <c r="ULA598" s="46"/>
      <c r="ULB598" s="48"/>
      <c r="ULC598" s="53"/>
      <c r="ULJ598" s="15"/>
      <c r="ULK598" s="50"/>
      <c r="ULL598" s="50"/>
      <c r="ULM598" s="46"/>
      <c r="ULN598" s="47"/>
      <c r="ULO598" s="46"/>
      <c r="ULP598" s="48"/>
      <c r="ULQ598" s="53"/>
      <c r="ULX598" s="15"/>
      <c r="ULY598" s="50"/>
      <c r="ULZ598" s="50"/>
      <c r="UMA598" s="46"/>
      <c r="UMB598" s="47"/>
      <c r="UMC598" s="46"/>
      <c r="UMD598" s="48"/>
      <c r="UME598" s="53"/>
      <c r="UML598" s="15"/>
      <c r="UMM598" s="50"/>
      <c r="UMN598" s="50"/>
      <c r="UMO598" s="46"/>
      <c r="UMP598" s="47"/>
      <c r="UMQ598" s="46"/>
      <c r="UMR598" s="48"/>
      <c r="UMS598" s="53"/>
      <c r="UMZ598" s="15"/>
      <c r="UNA598" s="50"/>
      <c r="UNB598" s="50"/>
      <c r="UNC598" s="46"/>
      <c r="UND598" s="47"/>
      <c r="UNE598" s="46"/>
      <c r="UNF598" s="48"/>
      <c r="UNG598" s="53"/>
      <c r="UNN598" s="15"/>
      <c r="UNO598" s="50"/>
      <c r="UNP598" s="50"/>
      <c r="UNQ598" s="46"/>
      <c r="UNR598" s="47"/>
      <c r="UNS598" s="46"/>
      <c r="UNT598" s="48"/>
      <c r="UNU598" s="53"/>
      <c r="UOB598" s="15"/>
      <c r="UOC598" s="50"/>
      <c r="UOD598" s="50"/>
      <c r="UOE598" s="46"/>
      <c r="UOF598" s="47"/>
      <c r="UOG598" s="46"/>
      <c r="UOH598" s="48"/>
      <c r="UOI598" s="53"/>
      <c r="UOP598" s="15"/>
      <c r="UOQ598" s="50"/>
      <c r="UOR598" s="50"/>
      <c r="UOS598" s="46"/>
      <c r="UOT598" s="47"/>
      <c r="UOU598" s="46"/>
      <c r="UOV598" s="48"/>
      <c r="UOW598" s="53"/>
      <c r="UPD598" s="15"/>
      <c r="UPE598" s="50"/>
      <c r="UPF598" s="50"/>
      <c r="UPG598" s="46"/>
      <c r="UPH598" s="47"/>
      <c r="UPI598" s="46"/>
      <c r="UPJ598" s="48"/>
      <c r="UPK598" s="53"/>
      <c r="UPR598" s="15"/>
      <c r="UPS598" s="50"/>
      <c r="UPT598" s="50"/>
      <c r="UPU598" s="46"/>
      <c r="UPV598" s="47"/>
      <c r="UPW598" s="46"/>
      <c r="UPX598" s="48"/>
      <c r="UPY598" s="53"/>
      <c r="UQF598" s="15"/>
      <c r="UQG598" s="50"/>
      <c r="UQH598" s="50"/>
      <c r="UQI598" s="46"/>
      <c r="UQJ598" s="47"/>
      <c r="UQK598" s="46"/>
      <c r="UQL598" s="48"/>
      <c r="UQM598" s="53"/>
      <c r="UQT598" s="15"/>
      <c r="UQU598" s="50"/>
      <c r="UQV598" s="50"/>
      <c r="UQW598" s="46"/>
      <c r="UQX598" s="47"/>
      <c r="UQY598" s="46"/>
      <c r="UQZ598" s="48"/>
      <c r="URA598" s="53"/>
      <c r="URH598" s="15"/>
      <c r="URI598" s="50"/>
      <c r="URJ598" s="50"/>
      <c r="URK598" s="46"/>
      <c r="URL598" s="47"/>
      <c r="URM598" s="46"/>
      <c r="URN598" s="48"/>
      <c r="URO598" s="53"/>
      <c r="URV598" s="15"/>
      <c r="URW598" s="50"/>
      <c r="URX598" s="50"/>
      <c r="URY598" s="46"/>
      <c r="URZ598" s="47"/>
      <c r="USA598" s="46"/>
      <c r="USB598" s="48"/>
      <c r="USC598" s="53"/>
      <c r="USJ598" s="15"/>
      <c r="USK598" s="50"/>
      <c r="USL598" s="50"/>
      <c r="USM598" s="46"/>
      <c r="USN598" s="47"/>
      <c r="USO598" s="46"/>
      <c r="USP598" s="48"/>
      <c r="USQ598" s="53"/>
      <c r="USX598" s="15"/>
      <c r="USY598" s="50"/>
      <c r="USZ598" s="50"/>
      <c r="UTA598" s="46"/>
      <c r="UTB598" s="47"/>
      <c r="UTC598" s="46"/>
      <c r="UTD598" s="48"/>
      <c r="UTE598" s="53"/>
      <c r="UTL598" s="15"/>
      <c r="UTM598" s="50"/>
      <c r="UTN598" s="50"/>
      <c r="UTO598" s="46"/>
      <c r="UTP598" s="47"/>
      <c r="UTQ598" s="46"/>
      <c r="UTR598" s="48"/>
      <c r="UTS598" s="53"/>
      <c r="UTZ598" s="15"/>
      <c r="UUA598" s="50"/>
      <c r="UUB598" s="50"/>
      <c r="UUC598" s="46"/>
      <c r="UUD598" s="47"/>
      <c r="UUE598" s="46"/>
      <c r="UUF598" s="48"/>
      <c r="UUG598" s="53"/>
      <c r="UUN598" s="15"/>
      <c r="UUO598" s="50"/>
      <c r="UUP598" s="50"/>
      <c r="UUQ598" s="46"/>
      <c r="UUR598" s="47"/>
      <c r="UUS598" s="46"/>
      <c r="UUT598" s="48"/>
      <c r="UUU598" s="53"/>
      <c r="UVB598" s="15"/>
      <c r="UVC598" s="50"/>
      <c r="UVD598" s="50"/>
      <c r="UVE598" s="46"/>
      <c r="UVF598" s="47"/>
      <c r="UVG598" s="46"/>
      <c r="UVH598" s="48"/>
      <c r="UVI598" s="53"/>
      <c r="UVP598" s="15"/>
      <c r="UVQ598" s="50"/>
      <c r="UVR598" s="50"/>
      <c r="UVS598" s="46"/>
      <c r="UVT598" s="47"/>
      <c r="UVU598" s="46"/>
      <c r="UVV598" s="48"/>
      <c r="UVW598" s="53"/>
      <c r="UWD598" s="15"/>
      <c r="UWE598" s="50"/>
      <c r="UWF598" s="50"/>
      <c r="UWG598" s="46"/>
      <c r="UWH598" s="47"/>
      <c r="UWI598" s="46"/>
      <c r="UWJ598" s="48"/>
      <c r="UWK598" s="53"/>
      <c r="UWR598" s="15"/>
      <c r="UWS598" s="50"/>
      <c r="UWT598" s="50"/>
      <c r="UWU598" s="46"/>
      <c r="UWV598" s="47"/>
      <c r="UWW598" s="46"/>
      <c r="UWX598" s="48"/>
      <c r="UWY598" s="53"/>
      <c r="UXF598" s="15"/>
      <c r="UXG598" s="50"/>
      <c r="UXH598" s="50"/>
      <c r="UXI598" s="46"/>
      <c r="UXJ598" s="47"/>
      <c r="UXK598" s="46"/>
      <c r="UXL598" s="48"/>
      <c r="UXM598" s="53"/>
      <c r="UXT598" s="15"/>
      <c r="UXU598" s="50"/>
      <c r="UXV598" s="50"/>
      <c r="UXW598" s="46"/>
      <c r="UXX598" s="47"/>
      <c r="UXY598" s="46"/>
      <c r="UXZ598" s="48"/>
      <c r="UYA598" s="53"/>
      <c r="UYH598" s="15"/>
      <c r="UYI598" s="50"/>
      <c r="UYJ598" s="50"/>
      <c r="UYK598" s="46"/>
      <c r="UYL598" s="47"/>
      <c r="UYM598" s="46"/>
      <c r="UYN598" s="48"/>
      <c r="UYO598" s="53"/>
      <c r="UYV598" s="15"/>
      <c r="UYW598" s="50"/>
      <c r="UYX598" s="50"/>
      <c r="UYY598" s="46"/>
      <c r="UYZ598" s="47"/>
      <c r="UZA598" s="46"/>
      <c r="UZB598" s="48"/>
      <c r="UZC598" s="53"/>
      <c r="UZJ598" s="15"/>
      <c r="UZK598" s="50"/>
      <c r="UZL598" s="50"/>
      <c r="UZM598" s="46"/>
      <c r="UZN598" s="47"/>
      <c r="UZO598" s="46"/>
      <c r="UZP598" s="48"/>
      <c r="UZQ598" s="53"/>
      <c r="UZX598" s="15"/>
      <c r="UZY598" s="50"/>
      <c r="UZZ598" s="50"/>
      <c r="VAA598" s="46"/>
      <c r="VAB598" s="47"/>
      <c r="VAC598" s="46"/>
      <c r="VAD598" s="48"/>
      <c r="VAE598" s="53"/>
      <c r="VAL598" s="15"/>
      <c r="VAM598" s="50"/>
      <c r="VAN598" s="50"/>
      <c r="VAO598" s="46"/>
      <c r="VAP598" s="47"/>
      <c r="VAQ598" s="46"/>
      <c r="VAR598" s="48"/>
      <c r="VAS598" s="53"/>
      <c r="VAZ598" s="15"/>
      <c r="VBA598" s="50"/>
      <c r="VBB598" s="50"/>
      <c r="VBC598" s="46"/>
      <c r="VBD598" s="47"/>
      <c r="VBE598" s="46"/>
      <c r="VBF598" s="48"/>
      <c r="VBG598" s="53"/>
      <c r="VBN598" s="15"/>
      <c r="VBO598" s="50"/>
      <c r="VBP598" s="50"/>
      <c r="VBQ598" s="46"/>
      <c r="VBR598" s="47"/>
      <c r="VBS598" s="46"/>
      <c r="VBT598" s="48"/>
      <c r="VBU598" s="53"/>
      <c r="VCB598" s="15"/>
      <c r="VCC598" s="50"/>
      <c r="VCD598" s="50"/>
      <c r="VCE598" s="46"/>
      <c r="VCF598" s="47"/>
      <c r="VCG598" s="46"/>
      <c r="VCH598" s="48"/>
      <c r="VCI598" s="53"/>
      <c r="VCP598" s="15"/>
      <c r="VCQ598" s="50"/>
      <c r="VCR598" s="50"/>
      <c r="VCS598" s="46"/>
      <c r="VCT598" s="47"/>
      <c r="VCU598" s="46"/>
      <c r="VCV598" s="48"/>
      <c r="VCW598" s="53"/>
      <c r="VDD598" s="15"/>
      <c r="VDE598" s="50"/>
      <c r="VDF598" s="50"/>
      <c r="VDG598" s="46"/>
      <c r="VDH598" s="47"/>
      <c r="VDI598" s="46"/>
      <c r="VDJ598" s="48"/>
      <c r="VDK598" s="53"/>
      <c r="VDR598" s="15"/>
      <c r="VDS598" s="50"/>
      <c r="VDT598" s="50"/>
      <c r="VDU598" s="46"/>
      <c r="VDV598" s="47"/>
      <c r="VDW598" s="46"/>
      <c r="VDX598" s="48"/>
      <c r="VDY598" s="53"/>
      <c r="VEF598" s="15"/>
      <c r="VEG598" s="50"/>
      <c r="VEH598" s="50"/>
      <c r="VEI598" s="46"/>
      <c r="VEJ598" s="47"/>
      <c r="VEK598" s="46"/>
      <c r="VEL598" s="48"/>
      <c r="VEM598" s="53"/>
      <c r="VET598" s="15"/>
      <c r="VEU598" s="50"/>
      <c r="VEV598" s="50"/>
      <c r="VEW598" s="46"/>
      <c r="VEX598" s="47"/>
      <c r="VEY598" s="46"/>
      <c r="VEZ598" s="48"/>
      <c r="VFA598" s="53"/>
      <c r="VFH598" s="15"/>
      <c r="VFI598" s="50"/>
      <c r="VFJ598" s="50"/>
      <c r="VFK598" s="46"/>
      <c r="VFL598" s="47"/>
      <c r="VFM598" s="46"/>
      <c r="VFN598" s="48"/>
      <c r="VFO598" s="53"/>
      <c r="VFV598" s="15"/>
      <c r="VFW598" s="50"/>
      <c r="VFX598" s="50"/>
      <c r="VFY598" s="46"/>
      <c r="VFZ598" s="47"/>
      <c r="VGA598" s="46"/>
      <c r="VGB598" s="48"/>
      <c r="VGC598" s="53"/>
      <c r="VGJ598" s="15"/>
      <c r="VGK598" s="50"/>
      <c r="VGL598" s="50"/>
      <c r="VGM598" s="46"/>
      <c r="VGN598" s="47"/>
      <c r="VGO598" s="46"/>
      <c r="VGP598" s="48"/>
      <c r="VGQ598" s="53"/>
      <c r="VGX598" s="15"/>
      <c r="VGY598" s="50"/>
      <c r="VGZ598" s="50"/>
      <c r="VHA598" s="46"/>
      <c r="VHB598" s="47"/>
      <c r="VHC598" s="46"/>
      <c r="VHD598" s="48"/>
      <c r="VHE598" s="53"/>
      <c r="VHL598" s="15"/>
      <c r="VHM598" s="50"/>
      <c r="VHN598" s="50"/>
      <c r="VHO598" s="46"/>
      <c r="VHP598" s="47"/>
      <c r="VHQ598" s="46"/>
      <c r="VHR598" s="48"/>
      <c r="VHS598" s="53"/>
      <c r="VHZ598" s="15"/>
      <c r="VIA598" s="50"/>
      <c r="VIB598" s="50"/>
      <c r="VIC598" s="46"/>
      <c r="VID598" s="47"/>
      <c r="VIE598" s="46"/>
      <c r="VIF598" s="48"/>
      <c r="VIG598" s="53"/>
      <c r="VIN598" s="15"/>
      <c r="VIO598" s="50"/>
      <c r="VIP598" s="50"/>
      <c r="VIQ598" s="46"/>
      <c r="VIR598" s="47"/>
      <c r="VIS598" s="46"/>
      <c r="VIT598" s="48"/>
      <c r="VIU598" s="53"/>
      <c r="VJB598" s="15"/>
      <c r="VJC598" s="50"/>
      <c r="VJD598" s="50"/>
      <c r="VJE598" s="46"/>
      <c r="VJF598" s="47"/>
      <c r="VJG598" s="46"/>
      <c r="VJH598" s="48"/>
      <c r="VJI598" s="53"/>
      <c r="VJP598" s="15"/>
      <c r="VJQ598" s="50"/>
      <c r="VJR598" s="50"/>
      <c r="VJS598" s="46"/>
      <c r="VJT598" s="47"/>
      <c r="VJU598" s="46"/>
      <c r="VJV598" s="48"/>
      <c r="VJW598" s="53"/>
      <c r="VKD598" s="15"/>
      <c r="VKE598" s="50"/>
      <c r="VKF598" s="50"/>
      <c r="VKG598" s="46"/>
      <c r="VKH598" s="47"/>
      <c r="VKI598" s="46"/>
      <c r="VKJ598" s="48"/>
      <c r="VKK598" s="53"/>
      <c r="VKR598" s="15"/>
      <c r="VKS598" s="50"/>
      <c r="VKT598" s="50"/>
      <c r="VKU598" s="46"/>
      <c r="VKV598" s="47"/>
      <c r="VKW598" s="46"/>
      <c r="VKX598" s="48"/>
      <c r="VKY598" s="53"/>
      <c r="VLF598" s="15"/>
      <c r="VLG598" s="50"/>
      <c r="VLH598" s="50"/>
      <c r="VLI598" s="46"/>
      <c r="VLJ598" s="47"/>
      <c r="VLK598" s="46"/>
      <c r="VLL598" s="48"/>
      <c r="VLM598" s="53"/>
      <c r="VLT598" s="15"/>
      <c r="VLU598" s="50"/>
      <c r="VLV598" s="50"/>
      <c r="VLW598" s="46"/>
      <c r="VLX598" s="47"/>
      <c r="VLY598" s="46"/>
      <c r="VLZ598" s="48"/>
      <c r="VMA598" s="53"/>
      <c r="VMH598" s="15"/>
      <c r="VMI598" s="50"/>
      <c r="VMJ598" s="50"/>
      <c r="VMK598" s="46"/>
      <c r="VML598" s="47"/>
      <c r="VMM598" s="46"/>
      <c r="VMN598" s="48"/>
      <c r="VMO598" s="53"/>
      <c r="VMV598" s="15"/>
      <c r="VMW598" s="50"/>
      <c r="VMX598" s="50"/>
      <c r="VMY598" s="46"/>
      <c r="VMZ598" s="47"/>
      <c r="VNA598" s="46"/>
      <c r="VNB598" s="48"/>
      <c r="VNC598" s="53"/>
      <c r="VNJ598" s="15"/>
      <c r="VNK598" s="50"/>
      <c r="VNL598" s="50"/>
      <c r="VNM598" s="46"/>
      <c r="VNN598" s="47"/>
      <c r="VNO598" s="46"/>
      <c r="VNP598" s="48"/>
      <c r="VNQ598" s="53"/>
      <c r="VNX598" s="15"/>
      <c r="VNY598" s="50"/>
      <c r="VNZ598" s="50"/>
      <c r="VOA598" s="46"/>
      <c r="VOB598" s="47"/>
      <c r="VOC598" s="46"/>
      <c r="VOD598" s="48"/>
      <c r="VOE598" s="53"/>
      <c r="VOL598" s="15"/>
      <c r="VOM598" s="50"/>
      <c r="VON598" s="50"/>
      <c r="VOO598" s="46"/>
      <c r="VOP598" s="47"/>
      <c r="VOQ598" s="46"/>
      <c r="VOR598" s="48"/>
      <c r="VOS598" s="53"/>
      <c r="VOZ598" s="15"/>
      <c r="VPA598" s="50"/>
      <c r="VPB598" s="50"/>
      <c r="VPC598" s="46"/>
      <c r="VPD598" s="47"/>
      <c r="VPE598" s="46"/>
      <c r="VPF598" s="48"/>
      <c r="VPG598" s="53"/>
      <c r="VPN598" s="15"/>
      <c r="VPO598" s="50"/>
      <c r="VPP598" s="50"/>
      <c r="VPQ598" s="46"/>
      <c r="VPR598" s="47"/>
      <c r="VPS598" s="46"/>
      <c r="VPT598" s="48"/>
      <c r="VPU598" s="53"/>
      <c r="VQB598" s="15"/>
      <c r="VQC598" s="50"/>
      <c r="VQD598" s="50"/>
      <c r="VQE598" s="46"/>
      <c r="VQF598" s="47"/>
      <c r="VQG598" s="46"/>
      <c r="VQH598" s="48"/>
      <c r="VQI598" s="53"/>
      <c r="VQP598" s="15"/>
      <c r="VQQ598" s="50"/>
      <c r="VQR598" s="50"/>
      <c r="VQS598" s="46"/>
      <c r="VQT598" s="47"/>
      <c r="VQU598" s="46"/>
      <c r="VQV598" s="48"/>
      <c r="VQW598" s="53"/>
      <c r="VRD598" s="15"/>
      <c r="VRE598" s="50"/>
      <c r="VRF598" s="50"/>
      <c r="VRG598" s="46"/>
      <c r="VRH598" s="47"/>
      <c r="VRI598" s="46"/>
      <c r="VRJ598" s="48"/>
      <c r="VRK598" s="53"/>
      <c r="VRR598" s="15"/>
      <c r="VRS598" s="50"/>
      <c r="VRT598" s="50"/>
      <c r="VRU598" s="46"/>
      <c r="VRV598" s="47"/>
      <c r="VRW598" s="46"/>
      <c r="VRX598" s="48"/>
      <c r="VRY598" s="53"/>
      <c r="VSF598" s="15"/>
      <c r="VSG598" s="50"/>
      <c r="VSH598" s="50"/>
      <c r="VSI598" s="46"/>
      <c r="VSJ598" s="47"/>
      <c r="VSK598" s="46"/>
      <c r="VSL598" s="48"/>
      <c r="VSM598" s="53"/>
      <c r="VST598" s="15"/>
      <c r="VSU598" s="50"/>
      <c r="VSV598" s="50"/>
      <c r="VSW598" s="46"/>
      <c r="VSX598" s="47"/>
      <c r="VSY598" s="46"/>
      <c r="VSZ598" s="48"/>
      <c r="VTA598" s="53"/>
      <c r="VTH598" s="15"/>
      <c r="VTI598" s="50"/>
      <c r="VTJ598" s="50"/>
      <c r="VTK598" s="46"/>
      <c r="VTL598" s="47"/>
      <c r="VTM598" s="46"/>
      <c r="VTN598" s="48"/>
      <c r="VTO598" s="53"/>
      <c r="VTV598" s="15"/>
      <c r="VTW598" s="50"/>
      <c r="VTX598" s="50"/>
      <c r="VTY598" s="46"/>
      <c r="VTZ598" s="47"/>
      <c r="VUA598" s="46"/>
      <c r="VUB598" s="48"/>
      <c r="VUC598" s="53"/>
      <c r="VUJ598" s="15"/>
      <c r="VUK598" s="50"/>
      <c r="VUL598" s="50"/>
      <c r="VUM598" s="46"/>
      <c r="VUN598" s="47"/>
      <c r="VUO598" s="46"/>
      <c r="VUP598" s="48"/>
      <c r="VUQ598" s="53"/>
      <c r="VUX598" s="15"/>
      <c r="VUY598" s="50"/>
      <c r="VUZ598" s="50"/>
      <c r="VVA598" s="46"/>
      <c r="VVB598" s="47"/>
      <c r="VVC598" s="46"/>
      <c r="VVD598" s="48"/>
      <c r="VVE598" s="53"/>
      <c r="VVL598" s="15"/>
      <c r="VVM598" s="50"/>
      <c r="VVN598" s="50"/>
      <c r="VVO598" s="46"/>
      <c r="VVP598" s="47"/>
      <c r="VVQ598" s="46"/>
      <c r="VVR598" s="48"/>
      <c r="VVS598" s="53"/>
      <c r="VVZ598" s="15"/>
      <c r="VWA598" s="50"/>
      <c r="VWB598" s="50"/>
      <c r="VWC598" s="46"/>
      <c r="VWD598" s="47"/>
      <c r="VWE598" s="46"/>
      <c r="VWF598" s="48"/>
      <c r="VWG598" s="53"/>
      <c r="VWN598" s="15"/>
      <c r="VWO598" s="50"/>
      <c r="VWP598" s="50"/>
      <c r="VWQ598" s="46"/>
      <c r="VWR598" s="47"/>
      <c r="VWS598" s="46"/>
      <c r="VWT598" s="48"/>
      <c r="VWU598" s="53"/>
      <c r="VXB598" s="15"/>
      <c r="VXC598" s="50"/>
      <c r="VXD598" s="50"/>
      <c r="VXE598" s="46"/>
      <c r="VXF598" s="47"/>
      <c r="VXG598" s="46"/>
      <c r="VXH598" s="48"/>
      <c r="VXI598" s="53"/>
      <c r="VXP598" s="15"/>
      <c r="VXQ598" s="50"/>
      <c r="VXR598" s="50"/>
      <c r="VXS598" s="46"/>
      <c r="VXT598" s="47"/>
      <c r="VXU598" s="46"/>
      <c r="VXV598" s="48"/>
      <c r="VXW598" s="53"/>
      <c r="VYD598" s="15"/>
      <c r="VYE598" s="50"/>
      <c r="VYF598" s="50"/>
      <c r="VYG598" s="46"/>
      <c r="VYH598" s="47"/>
      <c r="VYI598" s="46"/>
      <c r="VYJ598" s="48"/>
      <c r="VYK598" s="53"/>
      <c r="VYR598" s="15"/>
      <c r="VYS598" s="50"/>
      <c r="VYT598" s="50"/>
      <c r="VYU598" s="46"/>
      <c r="VYV598" s="47"/>
      <c r="VYW598" s="46"/>
      <c r="VYX598" s="48"/>
      <c r="VYY598" s="53"/>
      <c r="VZF598" s="15"/>
      <c r="VZG598" s="50"/>
      <c r="VZH598" s="50"/>
      <c r="VZI598" s="46"/>
      <c r="VZJ598" s="47"/>
      <c r="VZK598" s="46"/>
      <c r="VZL598" s="48"/>
      <c r="VZM598" s="53"/>
      <c r="VZT598" s="15"/>
      <c r="VZU598" s="50"/>
      <c r="VZV598" s="50"/>
      <c r="VZW598" s="46"/>
      <c r="VZX598" s="47"/>
      <c r="VZY598" s="46"/>
      <c r="VZZ598" s="48"/>
      <c r="WAA598" s="53"/>
      <c r="WAH598" s="15"/>
      <c r="WAI598" s="50"/>
      <c r="WAJ598" s="50"/>
      <c r="WAK598" s="46"/>
      <c r="WAL598" s="47"/>
      <c r="WAM598" s="46"/>
      <c r="WAN598" s="48"/>
      <c r="WAO598" s="53"/>
      <c r="WAV598" s="15"/>
      <c r="WAW598" s="50"/>
      <c r="WAX598" s="50"/>
      <c r="WAY598" s="46"/>
      <c r="WAZ598" s="47"/>
      <c r="WBA598" s="46"/>
      <c r="WBB598" s="48"/>
      <c r="WBC598" s="53"/>
      <c r="WBJ598" s="15"/>
      <c r="WBK598" s="50"/>
      <c r="WBL598" s="50"/>
      <c r="WBM598" s="46"/>
      <c r="WBN598" s="47"/>
      <c r="WBO598" s="46"/>
      <c r="WBP598" s="48"/>
      <c r="WBQ598" s="53"/>
      <c r="WBX598" s="15"/>
      <c r="WBY598" s="50"/>
      <c r="WBZ598" s="50"/>
      <c r="WCA598" s="46"/>
      <c r="WCB598" s="47"/>
      <c r="WCC598" s="46"/>
      <c r="WCD598" s="48"/>
      <c r="WCE598" s="53"/>
      <c r="WCL598" s="15"/>
      <c r="WCM598" s="50"/>
      <c r="WCN598" s="50"/>
      <c r="WCO598" s="46"/>
      <c r="WCP598" s="47"/>
      <c r="WCQ598" s="46"/>
      <c r="WCR598" s="48"/>
      <c r="WCS598" s="53"/>
      <c r="WCZ598" s="15"/>
      <c r="WDA598" s="50"/>
      <c r="WDB598" s="50"/>
      <c r="WDC598" s="46"/>
      <c r="WDD598" s="47"/>
      <c r="WDE598" s="46"/>
      <c r="WDF598" s="48"/>
      <c r="WDG598" s="53"/>
      <c r="WDN598" s="15"/>
      <c r="WDO598" s="50"/>
      <c r="WDP598" s="50"/>
      <c r="WDQ598" s="46"/>
      <c r="WDR598" s="47"/>
      <c r="WDS598" s="46"/>
      <c r="WDT598" s="48"/>
      <c r="WDU598" s="53"/>
      <c r="WEB598" s="15"/>
      <c r="WEC598" s="50"/>
      <c r="WED598" s="50"/>
      <c r="WEE598" s="46"/>
      <c r="WEF598" s="47"/>
      <c r="WEG598" s="46"/>
      <c r="WEH598" s="48"/>
      <c r="WEI598" s="53"/>
      <c r="WEP598" s="15"/>
      <c r="WEQ598" s="50"/>
      <c r="WER598" s="50"/>
      <c r="WES598" s="46"/>
      <c r="WET598" s="47"/>
      <c r="WEU598" s="46"/>
      <c r="WEV598" s="48"/>
      <c r="WEW598" s="53"/>
      <c r="WFD598" s="15"/>
      <c r="WFE598" s="50"/>
      <c r="WFF598" s="50"/>
      <c r="WFG598" s="46"/>
      <c r="WFH598" s="47"/>
      <c r="WFI598" s="46"/>
      <c r="WFJ598" s="48"/>
      <c r="WFK598" s="53"/>
      <c r="WFR598" s="15"/>
      <c r="WFS598" s="50"/>
      <c r="WFT598" s="50"/>
      <c r="WFU598" s="46"/>
      <c r="WFV598" s="47"/>
      <c r="WFW598" s="46"/>
      <c r="WFX598" s="48"/>
      <c r="WFY598" s="53"/>
      <c r="WGF598" s="15"/>
      <c r="WGG598" s="50"/>
      <c r="WGH598" s="50"/>
      <c r="WGI598" s="46"/>
      <c r="WGJ598" s="47"/>
      <c r="WGK598" s="46"/>
      <c r="WGL598" s="48"/>
      <c r="WGM598" s="53"/>
      <c r="WGT598" s="15"/>
      <c r="WGU598" s="50"/>
      <c r="WGV598" s="50"/>
      <c r="WGW598" s="46"/>
      <c r="WGX598" s="47"/>
      <c r="WGY598" s="46"/>
      <c r="WGZ598" s="48"/>
      <c r="WHA598" s="53"/>
      <c r="WHH598" s="15"/>
      <c r="WHI598" s="50"/>
      <c r="WHJ598" s="50"/>
      <c r="WHK598" s="46"/>
      <c r="WHL598" s="47"/>
      <c r="WHM598" s="46"/>
      <c r="WHN598" s="48"/>
      <c r="WHO598" s="53"/>
      <c r="WHV598" s="15"/>
      <c r="WHW598" s="50"/>
      <c r="WHX598" s="50"/>
      <c r="WHY598" s="46"/>
      <c r="WHZ598" s="47"/>
      <c r="WIA598" s="46"/>
      <c r="WIB598" s="48"/>
      <c r="WIC598" s="53"/>
      <c r="WIJ598" s="15"/>
      <c r="WIK598" s="50"/>
      <c r="WIL598" s="50"/>
      <c r="WIM598" s="46"/>
      <c r="WIN598" s="47"/>
      <c r="WIO598" s="46"/>
      <c r="WIP598" s="48"/>
      <c r="WIQ598" s="53"/>
      <c r="WIX598" s="15"/>
      <c r="WIY598" s="50"/>
      <c r="WIZ598" s="50"/>
      <c r="WJA598" s="46"/>
      <c r="WJB598" s="47"/>
      <c r="WJC598" s="46"/>
      <c r="WJD598" s="48"/>
      <c r="WJE598" s="53"/>
      <c r="WJL598" s="15"/>
      <c r="WJM598" s="50"/>
      <c r="WJN598" s="50"/>
      <c r="WJO598" s="46"/>
      <c r="WJP598" s="47"/>
      <c r="WJQ598" s="46"/>
      <c r="WJR598" s="48"/>
      <c r="WJS598" s="53"/>
      <c r="WJZ598" s="15"/>
      <c r="WKA598" s="50"/>
      <c r="WKB598" s="50"/>
      <c r="WKC598" s="46"/>
      <c r="WKD598" s="47"/>
      <c r="WKE598" s="46"/>
      <c r="WKF598" s="48"/>
      <c r="WKG598" s="53"/>
      <c r="WKN598" s="15"/>
      <c r="WKO598" s="50"/>
      <c r="WKP598" s="50"/>
      <c r="WKQ598" s="46"/>
      <c r="WKR598" s="47"/>
      <c r="WKS598" s="46"/>
      <c r="WKT598" s="48"/>
      <c r="WKU598" s="53"/>
      <c r="WLB598" s="15"/>
      <c r="WLC598" s="50"/>
      <c r="WLD598" s="50"/>
      <c r="WLE598" s="46"/>
      <c r="WLF598" s="47"/>
      <c r="WLG598" s="46"/>
      <c r="WLH598" s="48"/>
      <c r="WLI598" s="53"/>
      <c r="WLP598" s="15"/>
      <c r="WLQ598" s="50"/>
      <c r="WLR598" s="50"/>
      <c r="WLS598" s="46"/>
      <c r="WLT598" s="47"/>
      <c r="WLU598" s="46"/>
      <c r="WLV598" s="48"/>
      <c r="WLW598" s="53"/>
      <c r="WMD598" s="15"/>
      <c r="WME598" s="50"/>
      <c r="WMF598" s="50"/>
      <c r="WMG598" s="46"/>
      <c r="WMH598" s="47"/>
      <c r="WMI598" s="46"/>
      <c r="WMJ598" s="48"/>
      <c r="WMK598" s="53"/>
      <c r="WMR598" s="15"/>
      <c r="WMS598" s="50"/>
      <c r="WMT598" s="50"/>
      <c r="WMU598" s="46"/>
      <c r="WMV598" s="47"/>
      <c r="WMW598" s="46"/>
      <c r="WMX598" s="48"/>
      <c r="WMY598" s="53"/>
      <c r="WNF598" s="15"/>
      <c r="WNG598" s="50"/>
      <c r="WNH598" s="50"/>
      <c r="WNI598" s="46"/>
      <c r="WNJ598" s="47"/>
      <c r="WNK598" s="46"/>
      <c r="WNL598" s="48"/>
      <c r="WNM598" s="53"/>
      <c r="WNT598" s="15"/>
      <c r="WNU598" s="50"/>
      <c r="WNV598" s="50"/>
      <c r="WNW598" s="46"/>
      <c r="WNX598" s="47"/>
      <c r="WNY598" s="46"/>
      <c r="WNZ598" s="48"/>
      <c r="WOA598" s="53"/>
      <c r="WOH598" s="15"/>
      <c r="WOI598" s="50"/>
      <c r="WOJ598" s="50"/>
      <c r="WOK598" s="46"/>
      <c r="WOL598" s="47"/>
      <c r="WOM598" s="46"/>
      <c r="WON598" s="48"/>
      <c r="WOO598" s="53"/>
      <c r="WOV598" s="15"/>
      <c r="WOW598" s="50"/>
      <c r="WOX598" s="50"/>
      <c r="WOY598" s="46"/>
      <c r="WOZ598" s="47"/>
      <c r="WPA598" s="46"/>
      <c r="WPB598" s="48"/>
      <c r="WPC598" s="53"/>
      <c r="WPJ598" s="15"/>
      <c r="WPK598" s="50"/>
      <c r="WPL598" s="50"/>
      <c r="WPM598" s="46"/>
      <c r="WPN598" s="47"/>
      <c r="WPO598" s="46"/>
      <c r="WPP598" s="48"/>
      <c r="WPQ598" s="53"/>
      <c r="WPX598" s="15"/>
      <c r="WPY598" s="50"/>
      <c r="WPZ598" s="50"/>
      <c r="WQA598" s="46"/>
      <c r="WQB598" s="47"/>
      <c r="WQC598" s="46"/>
      <c r="WQD598" s="48"/>
      <c r="WQE598" s="53"/>
      <c r="WQL598" s="15"/>
      <c r="WQM598" s="50"/>
      <c r="WQN598" s="50"/>
      <c r="WQO598" s="46"/>
      <c r="WQP598" s="47"/>
      <c r="WQQ598" s="46"/>
      <c r="WQR598" s="48"/>
      <c r="WQS598" s="53"/>
      <c r="WQZ598" s="15"/>
      <c r="WRA598" s="50"/>
      <c r="WRB598" s="50"/>
      <c r="WRC598" s="46"/>
      <c r="WRD598" s="47"/>
      <c r="WRE598" s="46"/>
      <c r="WRF598" s="48"/>
      <c r="WRG598" s="53"/>
      <c r="WRN598" s="15"/>
      <c r="WRO598" s="50"/>
      <c r="WRP598" s="50"/>
      <c r="WRQ598" s="46"/>
      <c r="WRR598" s="47"/>
      <c r="WRS598" s="46"/>
      <c r="WRT598" s="48"/>
      <c r="WRU598" s="53"/>
      <c r="WSB598" s="15"/>
      <c r="WSC598" s="50"/>
      <c r="WSD598" s="50"/>
      <c r="WSE598" s="46"/>
      <c r="WSF598" s="47"/>
      <c r="WSG598" s="46"/>
      <c r="WSH598" s="48"/>
      <c r="WSI598" s="53"/>
      <c r="WSP598" s="15"/>
      <c r="WSQ598" s="50"/>
      <c r="WSR598" s="50"/>
      <c r="WSS598" s="46"/>
      <c r="WST598" s="47"/>
      <c r="WSU598" s="46"/>
      <c r="WSV598" s="48"/>
      <c r="WSW598" s="53"/>
      <c r="WTD598" s="15"/>
      <c r="WTE598" s="50"/>
      <c r="WTF598" s="50"/>
      <c r="WTG598" s="46"/>
      <c r="WTH598" s="47"/>
      <c r="WTI598" s="46"/>
      <c r="WTJ598" s="48"/>
      <c r="WTK598" s="53"/>
      <c r="WTR598" s="15"/>
      <c r="WTS598" s="50"/>
      <c r="WTT598" s="50"/>
      <c r="WTU598" s="46"/>
      <c r="WTV598" s="47"/>
      <c r="WTW598" s="46"/>
      <c r="WTX598" s="48"/>
      <c r="WTY598" s="53"/>
      <c r="WUF598" s="15"/>
      <c r="WUG598" s="50"/>
      <c r="WUH598" s="50"/>
      <c r="WUI598" s="46"/>
      <c r="WUJ598" s="47"/>
      <c r="WUK598" s="46"/>
      <c r="WUL598" s="48"/>
      <c r="WUM598" s="53"/>
      <c r="WUT598" s="15"/>
      <c r="WUU598" s="50"/>
      <c r="WUV598" s="50"/>
      <c r="WUW598" s="46"/>
      <c r="WUX598" s="47"/>
      <c r="WUY598" s="46"/>
      <c r="WUZ598" s="48"/>
      <c r="WVA598" s="53"/>
      <c r="WVH598" s="15"/>
      <c r="WVI598" s="50"/>
      <c r="WVJ598" s="50"/>
      <c r="WVK598" s="46"/>
      <c r="WVL598" s="47"/>
      <c r="WVM598" s="46"/>
      <c r="WVN598" s="48"/>
      <c r="WVO598" s="53"/>
      <c r="WVV598" s="15"/>
      <c r="WVW598" s="50"/>
      <c r="WVX598" s="50"/>
      <c r="WVY598" s="46"/>
      <c r="WVZ598" s="47"/>
      <c r="WWA598" s="46"/>
      <c r="WWB598" s="48"/>
      <c r="WWC598" s="53"/>
      <c r="WWJ598" s="15"/>
      <c r="WWK598" s="50"/>
      <c r="WWL598" s="50"/>
      <c r="WWM598" s="46"/>
      <c r="WWN598" s="47"/>
      <c r="WWO598" s="46"/>
      <c r="WWP598" s="48"/>
      <c r="WWQ598" s="53"/>
      <c r="WWX598" s="15"/>
      <c r="WWY598" s="50"/>
      <c r="WWZ598" s="50"/>
      <c r="WXA598" s="46"/>
      <c r="WXB598" s="47"/>
      <c r="WXC598" s="46"/>
      <c r="WXD598" s="48"/>
      <c r="WXE598" s="53"/>
      <c r="WXL598" s="15"/>
      <c r="WXM598" s="50"/>
      <c r="WXN598" s="50"/>
      <c r="WXO598" s="46"/>
      <c r="WXP598" s="47"/>
      <c r="WXQ598" s="46"/>
      <c r="WXR598" s="48"/>
      <c r="WXS598" s="53"/>
      <c r="WXZ598" s="15"/>
      <c r="WYA598" s="50"/>
      <c r="WYB598" s="50"/>
      <c r="WYC598" s="46"/>
      <c r="WYD598" s="47"/>
      <c r="WYE598" s="46"/>
      <c r="WYF598" s="48"/>
      <c r="WYG598" s="53"/>
      <c r="WYN598" s="15"/>
      <c r="WYO598" s="50"/>
      <c r="WYP598" s="50"/>
      <c r="WYQ598" s="46"/>
      <c r="WYR598" s="47"/>
      <c r="WYS598" s="46"/>
      <c r="WYT598" s="48"/>
      <c r="WYU598" s="53"/>
      <c r="WZB598" s="15"/>
      <c r="WZC598" s="50"/>
      <c r="WZD598" s="50"/>
      <c r="WZE598" s="46"/>
      <c r="WZF598" s="47"/>
      <c r="WZG598" s="46"/>
      <c r="WZH598" s="48"/>
      <c r="WZI598" s="53"/>
      <c r="WZP598" s="15"/>
      <c r="WZQ598" s="50"/>
      <c r="WZR598" s="50"/>
      <c r="WZS598" s="46"/>
      <c r="WZT598" s="47"/>
      <c r="WZU598" s="46"/>
      <c r="WZV598" s="48"/>
      <c r="WZW598" s="53"/>
      <c r="XAD598" s="15"/>
      <c r="XAE598" s="50"/>
      <c r="XAF598" s="50"/>
      <c r="XAG598" s="46"/>
      <c r="XAH598" s="47"/>
      <c r="XAI598" s="46"/>
      <c r="XAJ598" s="48"/>
      <c r="XAK598" s="53"/>
      <c r="XAR598" s="15"/>
      <c r="XAS598" s="50"/>
      <c r="XAT598" s="50"/>
      <c r="XAU598" s="46"/>
      <c r="XAV598" s="47"/>
      <c r="XAW598" s="46"/>
      <c r="XAX598" s="48"/>
      <c r="XAY598" s="53"/>
      <c r="XBF598" s="15"/>
      <c r="XBG598" s="50"/>
      <c r="XBH598" s="50"/>
      <c r="XBI598" s="46"/>
      <c r="XBJ598" s="47"/>
      <c r="XBK598" s="46"/>
      <c r="XBL598" s="48"/>
      <c r="XBM598" s="53"/>
      <c r="XBT598" s="15"/>
      <c r="XBU598" s="50"/>
      <c r="XBV598" s="50"/>
      <c r="XBW598" s="46"/>
      <c r="XBX598" s="47"/>
      <c r="XBY598" s="46"/>
      <c r="XBZ598" s="48"/>
      <c r="XCA598" s="53"/>
      <c r="XCH598" s="15"/>
      <c r="XCI598" s="50"/>
      <c r="XCJ598" s="50"/>
      <c r="XCK598" s="46"/>
      <c r="XCL598" s="47"/>
      <c r="XCM598" s="46"/>
      <c r="XCN598" s="48"/>
      <c r="XCO598" s="53"/>
      <c r="XCV598" s="15"/>
      <c r="XCW598" s="50"/>
      <c r="XCX598" s="50"/>
      <c r="XCY598" s="46"/>
      <c r="XCZ598" s="47"/>
      <c r="XDA598" s="46"/>
      <c r="XDB598" s="48"/>
      <c r="XDC598" s="53"/>
      <c r="XDJ598" s="15"/>
      <c r="XDK598" s="50"/>
      <c r="XDL598" s="50"/>
      <c r="XDM598" s="46"/>
      <c r="XDN598" s="47"/>
      <c r="XDO598" s="46"/>
      <c r="XDP598" s="48"/>
      <c r="XDQ598" s="53"/>
      <c r="XDX598" s="15"/>
      <c r="XDY598" s="50"/>
      <c r="XDZ598" s="50"/>
      <c r="XEA598" s="46"/>
      <c r="XEB598" s="47"/>
      <c r="XEC598" s="46"/>
      <c r="XED598" s="48"/>
      <c r="XEE598" s="53"/>
      <c r="XEL598" s="15"/>
      <c r="XEM598" s="50"/>
      <c r="XEN598" s="50"/>
      <c r="XEO598" s="46"/>
      <c r="XEP598" s="47"/>
      <c r="XEQ598" s="46"/>
      <c r="XER598" s="48"/>
      <c r="XES598" s="53"/>
      <c r="XEZ598" s="15"/>
      <c r="XFA598" s="50"/>
      <c r="XFB598" s="50"/>
      <c r="XFC598" s="46"/>
    </row>
    <row r="599" spans="1:4095 4102:5117 5124:6139 6146:11263 11270:12285 12292:13307 13314:16383" ht="16.2" x14ac:dyDescent="0.4">
      <c r="A599" s="15" t="str">
        <f t="shared" si="9"/>
        <v>modesg_inp_emss_nacesub_tipo_atividade_1</v>
      </c>
      <c r="B599" s="54" t="s">
        <v>27</v>
      </c>
      <c r="C599" s="50" t="s">
        <v>29</v>
      </c>
      <c r="D599" s="46" t="s">
        <v>431</v>
      </c>
      <c r="E599" s="47" t="s">
        <v>42</v>
      </c>
      <c r="F599" s="46" t="s">
        <v>489</v>
      </c>
      <c r="G599" s="48" t="s">
        <v>426</v>
      </c>
      <c r="H599" s="48" t="s">
        <v>426</v>
      </c>
      <c r="I599" s="56" t="s">
        <v>482</v>
      </c>
      <c r="J599" s="68" t="s">
        <v>514</v>
      </c>
      <c r="K599" s="68" t="s">
        <v>514</v>
      </c>
      <c r="L599" s="68"/>
      <c r="N599" s="15"/>
      <c r="O599" s="50"/>
      <c r="P599" s="50"/>
      <c r="Q599" s="46"/>
      <c r="R599" s="47"/>
      <c r="S599" s="46"/>
      <c r="T599" s="48"/>
      <c r="U599" s="53"/>
      <c r="AB599" s="15"/>
      <c r="AC599" s="50"/>
      <c r="AD599" s="50"/>
      <c r="AE599" s="46"/>
      <c r="AF599" s="47"/>
      <c r="AG599" s="46"/>
      <c r="AH599" s="48"/>
      <c r="AI599" s="53"/>
      <c r="AP599" s="15"/>
      <c r="AQ599" s="50"/>
      <c r="AR599" s="50"/>
      <c r="AS599" s="46"/>
      <c r="AT599" s="47"/>
      <c r="AU599" s="46"/>
      <c r="AV599" s="48"/>
      <c r="AW599" s="53"/>
      <c r="BD599" s="15"/>
      <c r="BE599" s="50"/>
      <c r="BF599" s="50"/>
      <c r="BG599" s="46"/>
      <c r="BH599" s="47"/>
      <c r="BI599" s="46"/>
      <c r="BJ599" s="48"/>
      <c r="BK599" s="53"/>
      <c r="BR599" s="15"/>
      <c r="BS599" s="50"/>
      <c r="BT599" s="50"/>
      <c r="BU599" s="46"/>
      <c r="BV599" s="47"/>
      <c r="BW599" s="46"/>
      <c r="BX599" s="48"/>
      <c r="BY599" s="53"/>
      <c r="CF599" s="15"/>
      <c r="CG599" s="50"/>
      <c r="CH599" s="50"/>
      <c r="CI599" s="46"/>
      <c r="CJ599" s="47"/>
      <c r="CK599" s="46"/>
      <c r="CL599" s="48"/>
      <c r="CM599" s="53"/>
      <c r="CT599" s="15"/>
      <c r="CU599" s="50"/>
      <c r="CV599" s="50"/>
      <c r="CW599" s="46"/>
      <c r="CX599" s="47"/>
      <c r="CY599" s="46"/>
      <c r="CZ599" s="48"/>
      <c r="DA599" s="53"/>
      <c r="DH599" s="15"/>
      <c r="DI599" s="50"/>
      <c r="DJ599" s="50"/>
      <c r="DK599" s="46"/>
      <c r="DL599" s="47"/>
      <c r="DM599" s="46"/>
      <c r="DN599" s="48"/>
      <c r="DO599" s="53"/>
      <c r="DV599" s="15"/>
      <c r="DW599" s="50"/>
      <c r="DX599" s="50"/>
      <c r="DY599" s="46"/>
      <c r="DZ599" s="47"/>
      <c r="EA599" s="46"/>
      <c r="EB599" s="48"/>
      <c r="EC599" s="53"/>
      <c r="EJ599" s="15"/>
      <c r="EK599" s="50"/>
      <c r="EL599" s="50"/>
      <c r="EM599" s="46"/>
      <c r="EN599" s="47"/>
      <c r="EO599" s="46"/>
      <c r="EP599" s="48"/>
      <c r="EQ599" s="53"/>
      <c r="EX599" s="15"/>
      <c r="EY599" s="50"/>
      <c r="EZ599" s="50"/>
      <c r="FA599" s="46"/>
      <c r="FB599" s="47"/>
      <c r="FC599" s="46"/>
      <c r="FD599" s="48"/>
      <c r="FE599" s="53"/>
      <c r="FL599" s="15"/>
      <c r="FM599" s="50"/>
      <c r="FN599" s="50"/>
      <c r="FO599" s="46"/>
      <c r="FP599" s="47"/>
      <c r="FQ599" s="46"/>
      <c r="FR599" s="48"/>
      <c r="FS599" s="53"/>
      <c r="FZ599" s="15"/>
      <c r="GA599" s="50"/>
      <c r="GB599" s="50"/>
      <c r="GC599" s="46"/>
      <c r="GD599" s="47"/>
      <c r="GE599" s="46"/>
      <c r="GF599" s="48"/>
      <c r="GG599" s="53"/>
      <c r="GN599" s="15"/>
      <c r="GO599" s="50"/>
      <c r="GP599" s="50"/>
      <c r="GQ599" s="46"/>
      <c r="GR599" s="47"/>
      <c r="GS599" s="46"/>
      <c r="GT599" s="48"/>
      <c r="GU599" s="53"/>
      <c r="HB599" s="15"/>
      <c r="HC599" s="50"/>
      <c r="HD599" s="50"/>
      <c r="HE599" s="46"/>
      <c r="HF599" s="47"/>
      <c r="HG599" s="46"/>
      <c r="HH599" s="48"/>
      <c r="HI599" s="53"/>
      <c r="HP599" s="15"/>
      <c r="HQ599" s="50"/>
      <c r="HR599" s="50"/>
      <c r="HS599" s="46"/>
      <c r="HT599" s="47"/>
      <c r="HU599" s="46"/>
      <c r="HV599" s="48"/>
      <c r="HW599" s="53"/>
      <c r="ID599" s="15"/>
      <c r="IE599" s="50"/>
      <c r="IF599" s="50"/>
      <c r="IG599" s="46"/>
      <c r="IH599" s="47"/>
      <c r="II599" s="46"/>
      <c r="IJ599" s="48"/>
      <c r="IK599" s="53"/>
      <c r="IR599" s="15"/>
      <c r="IS599" s="50"/>
      <c r="IT599" s="50"/>
      <c r="IU599" s="46"/>
      <c r="IV599" s="47"/>
      <c r="IW599" s="46"/>
      <c r="IX599" s="48"/>
      <c r="IY599" s="53"/>
      <c r="JF599" s="15"/>
      <c r="JG599" s="50"/>
      <c r="JH599" s="50"/>
      <c r="JI599" s="46"/>
      <c r="JJ599" s="47"/>
      <c r="JK599" s="46"/>
      <c r="JL599" s="48"/>
      <c r="JM599" s="53"/>
      <c r="JT599" s="15"/>
      <c r="JU599" s="50"/>
      <c r="JV599" s="50"/>
      <c r="JW599" s="46"/>
      <c r="JX599" s="47"/>
      <c r="JY599" s="46"/>
      <c r="JZ599" s="48"/>
      <c r="KA599" s="53"/>
      <c r="KH599" s="15"/>
      <c r="KI599" s="50"/>
      <c r="KJ599" s="50"/>
      <c r="KK599" s="46"/>
      <c r="KL599" s="47"/>
      <c r="KM599" s="46"/>
      <c r="KN599" s="48"/>
      <c r="KO599" s="53"/>
      <c r="KV599" s="15"/>
      <c r="KW599" s="50"/>
      <c r="KX599" s="50"/>
      <c r="KY599" s="46"/>
      <c r="KZ599" s="47"/>
      <c r="LA599" s="46"/>
      <c r="LB599" s="48"/>
      <c r="LC599" s="53"/>
      <c r="LJ599" s="15"/>
      <c r="LK599" s="50"/>
      <c r="LL599" s="50"/>
      <c r="LM599" s="46"/>
      <c r="LN599" s="47"/>
      <c r="LO599" s="46"/>
      <c r="LP599" s="48"/>
      <c r="LQ599" s="53"/>
      <c r="LX599" s="15"/>
      <c r="LY599" s="50"/>
      <c r="LZ599" s="50"/>
      <c r="MA599" s="46"/>
      <c r="MB599" s="47"/>
      <c r="MC599" s="46"/>
      <c r="MD599" s="48"/>
      <c r="ME599" s="53"/>
      <c r="ML599" s="15"/>
      <c r="MM599" s="50"/>
      <c r="MN599" s="50"/>
      <c r="MO599" s="46"/>
      <c r="MP599" s="47"/>
      <c r="MQ599" s="46"/>
      <c r="MR599" s="48"/>
      <c r="MS599" s="53"/>
      <c r="MZ599" s="15"/>
      <c r="NA599" s="50"/>
      <c r="NB599" s="50"/>
      <c r="NC599" s="46"/>
      <c r="ND599" s="47"/>
      <c r="NE599" s="46"/>
      <c r="NF599" s="48"/>
      <c r="NG599" s="53"/>
      <c r="NN599" s="15"/>
      <c r="NO599" s="50"/>
      <c r="NP599" s="50"/>
      <c r="NQ599" s="46"/>
      <c r="NR599" s="47"/>
      <c r="NS599" s="46"/>
      <c r="NT599" s="48"/>
      <c r="NU599" s="53"/>
      <c r="OB599" s="15"/>
      <c r="OC599" s="50"/>
      <c r="OD599" s="50"/>
      <c r="OE599" s="46"/>
      <c r="OF599" s="47"/>
      <c r="OG599" s="46"/>
      <c r="OH599" s="48"/>
      <c r="OI599" s="53"/>
      <c r="OP599" s="15"/>
      <c r="OQ599" s="50"/>
      <c r="OR599" s="50"/>
      <c r="OS599" s="46"/>
      <c r="OT599" s="47"/>
      <c r="OU599" s="46"/>
      <c r="OV599" s="48"/>
      <c r="OW599" s="53"/>
      <c r="PD599" s="15"/>
      <c r="PE599" s="50"/>
      <c r="PF599" s="50"/>
      <c r="PG599" s="46"/>
      <c r="PH599" s="47"/>
      <c r="PI599" s="46"/>
      <c r="PJ599" s="48"/>
      <c r="PK599" s="53"/>
      <c r="PR599" s="15"/>
      <c r="PS599" s="50"/>
      <c r="PT599" s="50"/>
      <c r="PU599" s="46"/>
      <c r="PV599" s="47"/>
      <c r="PW599" s="46"/>
      <c r="PX599" s="48"/>
      <c r="PY599" s="53"/>
      <c r="QF599" s="15"/>
      <c r="QG599" s="50"/>
      <c r="QH599" s="50"/>
      <c r="QI599" s="46"/>
      <c r="QJ599" s="47"/>
      <c r="QK599" s="46"/>
      <c r="QL599" s="48"/>
      <c r="QM599" s="53"/>
      <c r="QT599" s="15"/>
      <c r="QU599" s="50"/>
      <c r="QV599" s="50"/>
      <c r="QW599" s="46"/>
      <c r="QX599" s="47"/>
      <c r="QY599" s="46"/>
      <c r="QZ599" s="48"/>
      <c r="RA599" s="53"/>
      <c r="RH599" s="15"/>
      <c r="RI599" s="50"/>
      <c r="RJ599" s="50"/>
      <c r="RK599" s="46"/>
      <c r="RL599" s="47"/>
      <c r="RM599" s="46"/>
      <c r="RN599" s="48"/>
      <c r="RO599" s="53"/>
      <c r="RV599" s="15"/>
      <c r="RW599" s="50"/>
      <c r="RX599" s="50"/>
      <c r="RY599" s="46"/>
      <c r="RZ599" s="47"/>
      <c r="SA599" s="46"/>
      <c r="SB599" s="48"/>
      <c r="SC599" s="53"/>
      <c r="SJ599" s="15"/>
      <c r="SK599" s="50"/>
      <c r="SL599" s="50"/>
      <c r="SM599" s="46"/>
      <c r="SN599" s="47"/>
      <c r="SO599" s="46"/>
      <c r="SP599" s="48"/>
      <c r="SQ599" s="53"/>
      <c r="SX599" s="15"/>
      <c r="SY599" s="50"/>
      <c r="SZ599" s="50"/>
      <c r="TA599" s="46"/>
      <c r="TB599" s="47"/>
      <c r="TC599" s="46"/>
      <c r="TD599" s="48"/>
      <c r="TE599" s="53"/>
      <c r="TL599" s="15"/>
      <c r="TM599" s="50"/>
      <c r="TN599" s="50"/>
      <c r="TO599" s="46"/>
      <c r="TP599" s="47"/>
      <c r="TQ599" s="46"/>
      <c r="TR599" s="48"/>
      <c r="TS599" s="53"/>
      <c r="TZ599" s="15"/>
      <c r="UA599" s="50"/>
      <c r="UB599" s="50"/>
      <c r="UC599" s="46"/>
      <c r="UD599" s="47"/>
      <c r="UE599" s="46"/>
      <c r="UF599" s="48"/>
      <c r="UG599" s="53"/>
      <c r="UN599" s="15"/>
      <c r="UO599" s="50"/>
      <c r="UP599" s="50"/>
      <c r="UQ599" s="46"/>
      <c r="UR599" s="47"/>
      <c r="US599" s="46"/>
      <c r="UT599" s="48"/>
      <c r="UU599" s="53"/>
      <c r="VB599" s="15"/>
      <c r="VC599" s="50"/>
      <c r="VD599" s="50"/>
      <c r="VE599" s="46"/>
      <c r="VF599" s="47"/>
      <c r="VG599" s="46"/>
      <c r="VH599" s="48"/>
      <c r="VI599" s="53"/>
      <c r="VP599" s="15"/>
      <c r="VQ599" s="50"/>
      <c r="VR599" s="50"/>
      <c r="VS599" s="46"/>
      <c r="VT599" s="47"/>
      <c r="VU599" s="46"/>
      <c r="VV599" s="48"/>
      <c r="VW599" s="53"/>
      <c r="WD599" s="15"/>
      <c r="WE599" s="50"/>
      <c r="WF599" s="50"/>
      <c r="WG599" s="46"/>
      <c r="WH599" s="47"/>
      <c r="WI599" s="46"/>
      <c r="WJ599" s="48"/>
      <c r="WK599" s="53"/>
      <c r="WR599" s="15"/>
      <c r="WS599" s="50"/>
      <c r="WT599" s="50"/>
      <c r="WU599" s="46"/>
      <c r="WV599" s="47"/>
      <c r="WW599" s="46"/>
      <c r="WX599" s="48"/>
      <c r="WY599" s="53"/>
      <c r="XF599" s="15"/>
      <c r="XG599" s="50"/>
      <c r="XH599" s="50"/>
      <c r="XI599" s="46"/>
      <c r="XJ599" s="47"/>
      <c r="XK599" s="46"/>
      <c r="XL599" s="48"/>
      <c r="XM599" s="53"/>
      <c r="XT599" s="15"/>
      <c r="XU599" s="50"/>
      <c r="XV599" s="50"/>
      <c r="XW599" s="46"/>
      <c r="XX599" s="47"/>
      <c r="XY599" s="46"/>
      <c r="XZ599" s="48"/>
      <c r="YA599" s="53"/>
      <c r="YH599" s="15"/>
      <c r="YI599" s="50"/>
      <c r="YJ599" s="50"/>
      <c r="YK599" s="46"/>
      <c r="YL599" s="47"/>
      <c r="YM599" s="46"/>
      <c r="YN599" s="48"/>
      <c r="YO599" s="53"/>
      <c r="YV599" s="15"/>
      <c r="YW599" s="50"/>
      <c r="YX599" s="50"/>
      <c r="YY599" s="46"/>
      <c r="YZ599" s="47"/>
      <c r="ZA599" s="46"/>
      <c r="ZB599" s="48"/>
      <c r="ZC599" s="53"/>
      <c r="ZJ599" s="15"/>
      <c r="ZK599" s="50"/>
      <c r="ZL599" s="50"/>
      <c r="ZM599" s="46"/>
      <c r="ZN599" s="47"/>
      <c r="ZO599" s="46"/>
      <c r="ZP599" s="48"/>
      <c r="ZQ599" s="53"/>
      <c r="ZX599" s="15"/>
      <c r="ZY599" s="50"/>
      <c r="ZZ599" s="50"/>
      <c r="AAA599" s="46"/>
      <c r="AAB599" s="47"/>
      <c r="AAC599" s="46"/>
      <c r="AAD599" s="48"/>
      <c r="AAE599" s="53"/>
      <c r="AAL599" s="15"/>
      <c r="AAM599" s="50"/>
      <c r="AAN599" s="50"/>
      <c r="AAO599" s="46"/>
      <c r="AAP599" s="47"/>
      <c r="AAQ599" s="46"/>
      <c r="AAR599" s="48"/>
      <c r="AAS599" s="53"/>
      <c r="AAZ599" s="15"/>
      <c r="ABA599" s="50"/>
      <c r="ABB599" s="50"/>
      <c r="ABC599" s="46"/>
      <c r="ABD599" s="47"/>
      <c r="ABE599" s="46"/>
      <c r="ABF599" s="48"/>
      <c r="ABG599" s="53"/>
      <c r="ABN599" s="15"/>
      <c r="ABO599" s="50"/>
      <c r="ABP599" s="50"/>
      <c r="ABQ599" s="46"/>
      <c r="ABR599" s="47"/>
      <c r="ABS599" s="46"/>
      <c r="ABT599" s="48"/>
      <c r="ABU599" s="53"/>
      <c r="ACB599" s="15"/>
      <c r="ACC599" s="50"/>
      <c r="ACD599" s="50"/>
      <c r="ACE599" s="46"/>
      <c r="ACF599" s="47"/>
      <c r="ACG599" s="46"/>
      <c r="ACH599" s="48"/>
      <c r="ACI599" s="53"/>
      <c r="ACP599" s="15"/>
      <c r="ACQ599" s="50"/>
      <c r="ACR599" s="50"/>
      <c r="ACS599" s="46"/>
      <c r="ACT599" s="47"/>
      <c r="ACU599" s="46"/>
      <c r="ACV599" s="48"/>
      <c r="ACW599" s="53"/>
      <c r="ADD599" s="15"/>
      <c r="ADE599" s="50"/>
      <c r="ADF599" s="50"/>
      <c r="ADG599" s="46"/>
      <c r="ADH599" s="47"/>
      <c r="ADI599" s="46"/>
      <c r="ADJ599" s="48"/>
      <c r="ADK599" s="53"/>
      <c r="ADR599" s="15"/>
      <c r="ADS599" s="50"/>
      <c r="ADT599" s="50"/>
      <c r="ADU599" s="46"/>
      <c r="ADV599" s="47"/>
      <c r="ADW599" s="46"/>
      <c r="ADX599" s="48"/>
      <c r="ADY599" s="53"/>
      <c r="AEF599" s="15"/>
      <c r="AEG599" s="50"/>
      <c r="AEH599" s="50"/>
      <c r="AEI599" s="46"/>
      <c r="AEJ599" s="47"/>
      <c r="AEK599" s="46"/>
      <c r="AEL599" s="48"/>
      <c r="AEM599" s="53"/>
      <c r="AET599" s="15"/>
      <c r="AEU599" s="50"/>
      <c r="AEV599" s="50"/>
      <c r="AEW599" s="46"/>
      <c r="AEX599" s="47"/>
      <c r="AEY599" s="46"/>
      <c r="AEZ599" s="48"/>
      <c r="AFA599" s="53"/>
      <c r="AFH599" s="15"/>
      <c r="AFI599" s="50"/>
      <c r="AFJ599" s="50"/>
      <c r="AFK599" s="46"/>
      <c r="AFL599" s="47"/>
      <c r="AFM599" s="46"/>
      <c r="AFN599" s="48"/>
      <c r="AFO599" s="53"/>
      <c r="AFV599" s="15"/>
      <c r="AFW599" s="50"/>
      <c r="AFX599" s="50"/>
      <c r="AFY599" s="46"/>
      <c r="AFZ599" s="47"/>
      <c r="AGA599" s="46"/>
      <c r="AGB599" s="48"/>
      <c r="AGC599" s="53"/>
      <c r="AGJ599" s="15"/>
      <c r="AGK599" s="50"/>
      <c r="AGL599" s="50"/>
      <c r="AGM599" s="46"/>
      <c r="AGN599" s="47"/>
      <c r="AGO599" s="46"/>
      <c r="AGP599" s="48"/>
      <c r="AGQ599" s="53"/>
      <c r="AGX599" s="15"/>
      <c r="AGY599" s="50"/>
      <c r="AGZ599" s="50"/>
      <c r="AHA599" s="46"/>
      <c r="AHB599" s="47"/>
      <c r="AHC599" s="46"/>
      <c r="AHD599" s="48"/>
      <c r="AHE599" s="53"/>
      <c r="AHL599" s="15"/>
      <c r="AHM599" s="50"/>
      <c r="AHN599" s="50"/>
      <c r="AHO599" s="46"/>
      <c r="AHP599" s="47"/>
      <c r="AHQ599" s="46"/>
      <c r="AHR599" s="48"/>
      <c r="AHS599" s="53"/>
      <c r="AHZ599" s="15"/>
      <c r="AIA599" s="50"/>
      <c r="AIB599" s="50"/>
      <c r="AIC599" s="46"/>
      <c r="AID599" s="47"/>
      <c r="AIE599" s="46"/>
      <c r="AIF599" s="48"/>
      <c r="AIG599" s="53"/>
      <c r="AIN599" s="15"/>
      <c r="AIO599" s="50"/>
      <c r="AIP599" s="50"/>
      <c r="AIQ599" s="46"/>
      <c r="AIR599" s="47"/>
      <c r="AIS599" s="46"/>
      <c r="AIT599" s="48"/>
      <c r="AIU599" s="53"/>
      <c r="AJB599" s="15"/>
      <c r="AJC599" s="50"/>
      <c r="AJD599" s="50"/>
      <c r="AJE599" s="46"/>
      <c r="AJF599" s="47"/>
      <c r="AJG599" s="46"/>
      <c r="AJH599" s="48"/>
      <c r="AJI599" s="53"/>
      <c r="AJP599" s="15"/>
      <c r="AJQ599" s="50"/>
      <c r="AJR599" s="50"/>
      <c r="AJS599" s="46"/>
      <c r="AJT599" s="47"/>
      <c r="AJU599" s="46"/>
      <c r="AJV599" s="48"/>
      <c r="AJW599" s="53"/>
      <c r="AKD599" s="15"/>
      <c r="AKE599" s="50"/>
      <c r="AKF599" s="50"/>
      <c r="AKG599" s="46"/>
      <c r="AKH599" s="47"/>
      <c r="AKI599" s="46"/>
      <c r="AKJ599" s="48"/>
      <c r="AKK599" s="53"/>
      <c r="AKR599" s="15"/>
      <c r="AKS599" s="50"/>
      <c r="AKT599" s="50"/>
      <c r="AKU599" s="46"/>
      <c r="AKV599" s="47"/>
      <c r="AKW599" s="46"/>
      <c r="AKX599" s="48"/>
      <c r="AKY599" s="53"/>
      <c r="ALF599" s="15"/>
      <c r="ALG599" s="50"/>
      <c r="ALH599" s="50"/>
      <c r="ALI599" s="46"/>
      <c r="ALJ599" s="47"/>
      <c r="ALK599" s="46"/>
      <c r="ALL599" s="48"/>
      <c r="ALM599" s="53"/>
      <c r="ALT599" s="15"/>
      <c r="ALU599" s="50"/>
      <c r="ALV599" s="50"/>
      <c r="ALW599" s="46"/>
      <c r="ALX599" s="47"/>
      <c r="ALY599" s="46"/>
      <c r="ALZ599" s="48"/>
      <c r="AMA599" s="53"/>
      <c r="AMH599" s="15"/>
      <c r="AMI599" s="50"/>
      <c r="AMJ599" s="50"/>
      <c r="AMK599" s="46"/>
      <c r="AML599" s="47"/>
      <c r="AMM599" s="46"/>
      <c r="AMN599" s="48"/>
      <c r="AMO599" s="53"/>
      <c r="AMV599" s="15"/>
      <c r="AMW599" s="50"/>
      <c r="AMX599" s="50"/>
      <c r="AMY599" s="46"/>
      <c r="AMZ599" s="47"/>
      <c r="ANA599" s="46"/>
      <c r="ANB599" s="48"/>
      <c r="ANC599" s="53"/>
      <c r="ANJ599" s="15"/>
      <c r="ANK599" s="50"/>
      <c r="ANL599" s="50"/>
      <c r="ANM599" s="46"/>
      <c r="ANN599" s="47"/>
      <c r="ANO599" s="46"/>
      <c r="ANP599" s="48"/>
      <c r="ANQ599" s="53"/>
      <c r="ANX599" s="15"/>
      <c r="ANY599" s="50"/>
      <c r="ANZ599" s="50"/>
      <c r="AOA599" s="46"/>
      <c r="AOB599" s="47"/>
      <c r="AOC599" s="46"/>
      <c r="AOD599" s="48"/>
      <c r="AOE599" s="53"/>
      <c r="AOL599" s="15"/>
      <c r="AOM599" s="50"/>
      <c r="AON599" s="50"/>
      <c r="AOO599" s="46"/>
      <c r="AOP599" s="47"/>
      <c r="AOQ599" s="46"/>
      <c r="AOR599" s="48"/>
      <c r="AOS599" s="53"/>
      <c r="AOZ599" s="15"/>
      <c r="APA599" s="50"/>
      <c r="APB599" s="50"/>
      <c r="APC599" s="46"/>
      <c r="APD599" s="47"/>
      <c r="APE599" s="46"/>
      <c r="APF599" s="48"/>
      <c r="APG599" s="53"/>
      <c r="APN599" s="15"/>
      <c r="APO599" s="50"/>
      <c r="APP599" s="50"/>
      <c r="APQ599" s="46"/>
      <c r="APR599" s="47"/>
      <c r="APS599" s="46"/>
      <c r="APT599" s="48"/>
      <c r="APU599" s="53"/>
      <c r="AQB599" s="15"/>
      <c r="AQC599" s="50"/>
      <c r="AQD599" s="50"/>
      <c r="AQE599" s="46"/>
      <c r="AQF599" s="47"/>
      <c r="AQG599" s="46"/>
      <c r="AQH599" s="48"/>
      <c r="AQI599" s="53"/>
      <c r="AQP599" s="15"/>
      <c r="AQQ599" s="50"/>
      <c r="AQR599" s="50"/>
      <c r="AQS599" s="46"/>
      <c r="AQT599" s="47"/>
      <c r="AQU599" s="46"/>
      <c r="AQV599" s="48"/>
      <c r="AQW599" s="53"/>
      <c r="ARD599" s="15"/>
      <c r="ARE599" s="50"/>
      <c r="ARF599" s="50"/>
      <c r="ARG599" s="46"/>
      <c r="ARH599" s="47"/>
      <c r="ARI599" s="46"/>
      <c r="ARJ599" s="48"/>
      <c r="ARK599" s="53"/>
      <c r="ARR599" s="15"/>
      <c r="ARS599" s="50"/>
      <c r="ART599" s="50"/>
      <c r="ARU599" s="46"/>
      <c r="ARV599" s="47"/>
      <c r="ARW599" s="46"/>
      <c r="ARX599" s="48"/>
      <c r="ARY599" s="53"/>
      <c r="ASF599" s="15"/>
      <c r="ASG599" s="50"/>
      <c r="ASH599" s="50"/>
      <c r="ASI599" s="46"/>
      <c r="ASJ599" s="47"/>
      <c r="ASK599" s="46"/>
      <c r="ASL599" s="48"/>
      <c r="ASM599" s="53"/>
      <c r="AST599" s="15"/>
      <c r="ASU599" s="50"/>
      <c r="ASV599" s="50"/>
      <c r="ASW599" s="46"/>
      <c r="ASX599" s="47"/>
      <c r="ASY599" s="46"/>
      <c r="ASZ599" s="48"/>
      <c r="ATA599" s="53"/>
      <c r="ATH599" s="15"/>
      <c r="ATI599" s="50"/>
      <c r="ATJ599" s="50"/>
      <c r="ATK599" s="46"/>
      <c r="ATL599" s="47"/>
      <c r="ATM599" s="46"/>
      <c r="ATN599" s="48"/>
      <c r="ATO599" s="53"/>
      <c r="ATV599" s="15"/>
      <c r="ATW599" s="50"/>
      <c r="ATX599" s="50"/>
      <c r="ATY599" s="46"/>
      <c r="ATZ599" s="47"/>
      <c r="AUA599" s="46"/>
      <c r="AUB599" s="48"/>
      <c r="AUC599" s="53"/>
      <c r="AUJ599" s="15"/>
      <c r="AUK599" s="50"/>
      <c r="AUL599" s="50"/>
      <c r="AUM599" s="46"/>
      <c r="AUN599" s="47"/>
      <c r="AUO599" s="46"/>
      <c r="AUP599" s="48"/>
      <c r="AUQ599" s="53"/>
      <c r="AUX599" s="15"/>
      <c r="AUY599" s="50"/>
      <c r="AUZ599" s="50"/>
      <c r="AVA599" s="46"/>
      <c r="AVB599" s="47"/>
      <c r="AVC599" s="46"/>
      <c r="AVD599" s="48"/>
      <c r="AVE599" s="53"/>
      <c r="AVL599" s="15"/>
      <c r="AVM599" s="50"/>
      <c r="AVN599" s="50"/>
      <c r="AVO599" s="46"/>
      <c r="AVP599" s="47"/>
      <c r="AVQ599" s="46"/>
      <c r="AVR599" s="48"/>
      <c r="AVS599" s="53"/>
      <c r="AVZ599" s="15"/>
      <c r="AWA599" s="50"/>
      <c r="AWB599" s="50"/>
      <c r="AWC599" s="46"/>
      <c r="AWD599" s="47"/>
      <c r="AWE599" s="46"/>
      <c r="AWF599" s="48"/>
      <c r="AWG599" s="53"/>
      <c r="AWN599" s="15"/>
      <c r="AWO599" s="50"/>
      <c r="AWP599" s="50"/>
      <c r="AWQ599" s="46"/>
      <c r="AWR599" s="47"/>
      <c r="AWS599" s="46"/>
      <c r="AWT599" s="48"/>
      <c r="AWU599" s="53"/>
      <c r="AXB599" s="15"/>
      <c r="AXC599" s="50"/>
      <c r="AXD599" s="50"/>
      <c r="AXE599" s="46"/>
      <c r="AXF599" s="47"/>
      <c r="AXG599" s="46"/>
      <c r="AXH599" s="48"/>
      <c r="AXI599" s="53"/>
      <c r="AXP599" s="15"/>
      <c r="AXQ599" s="50"/>
      <c r="AXR599" s="50"/>
      <c r="AXS599" s="46"/>
      <c r="AXT599" s="47"/>
      <c r="AXU599" s="46"/>
      <c r="AXV599" s="48"/>
      <c r="AXW599" s="53"/>
      <c r="AYD599" s="15"/>
      <c r="AYE599" s="50"/>
      <c r="AYF599" s="50"/>
      <c r="AYG599" s="46"/>
      <c r="AYH599" s="47"/>
      <c r="AYI599" s="46"/>
      <c r="AYJ599" s="48"/>
      <c r="AYK599" s="53"/>
      <c r="AYR599" s="15"/>
      <c r="AYS599" s="50"/>
      <c r="AYT599" s="50"/>
      <c r="AYU599" s="46"/>
      <c r="AYV599" s="47"/>
      <c r="AYW599" s="46"/>
      <c r="AYX599" s="48"/>
      <c r="AYY599" s="53"/>
      <c r="AZF599" s="15"/>
      <c r="AZG599" s="50"/>
      <c r="AZH599" s="50"/>
      <c r="AZI599" s="46"/>
      <c r="AZJ599" s="47"/>
      <c r="AZK599" s="46"/>
      <c r="AZL599" s="48"/>
      <c r="AZM599" s="53"/>
      <c r="AZT599" s="15"/>
      <c r="AZU599" s="50"/>
      <c r="AZV599" s="50"/>
      <c r="AZW599" s="46"/>
      <c r="AZX599" s="47"/>
      <c r="AZY599" s="46"/>
      <c r="AZZ599" s="48"/>
      <c r="BAA599" s="53"/>
      <c r="BAH599" s="15"/>
      <c r="BAI599" s="50"/>
      <c r="BAJ599" s="50"/>
      <c r="BAK599" s="46"/>
      <c r="BAL599" s="47"/>
      <c r="BAM599" s="46"/>
      <c r="BAN599" s="48"/>
      <c r="BAO599" s="53"/>
      <c r="BAV599" s="15"/>
      <c r="BAW599" s="50"/>
      <c r="BAX599" s="50"/>
      <c r="BAY599" s="46"/>
      <c r="BAZ599" s="47"/>
      <c r="BBA599" s="46"/>
      <c r="BBB599" s="48"/>
      <c r="BBC599" s="53"/>
      <c r="BBJ599" s="15"/>
      <c r="BBK599" s="50"/>
      <c r="BBL599" s="50"/>
      <c r="BBM599" s="46"/>
      <c r="BBN599" s="47"/>
      <c r="BBO599" s="46"/>
      <c r="BBP599" s="48"/>
      <c r="BBQ599" s="53"/>
      <c r="BBX599" s="15"/>
      <c r="BBY599" s="50"/>
      <c r="BBZ599" s="50"/>
      <c r="BCA599" s="46"/>
      <c r="BCB599" s="47"/>
      <c r="BCC599" s="46"/>
      <c r="BCD599" s="48"/>
      <c r="BCE599" s="53"/>
      <c r="BCL599" s="15"/>
      <c r="BCM599" s="50"/>
      <c r="BCN599" s="50"/>
      <c r="BCO599" s="46"/>
      <c r="BCP599" s="47"/>
      <c r="BCQ599" s="46"/>
      <c r="BCR599" s="48"/>
      <c r="BCS599" s="53"/>
      <c r="BCZ599" s="15"/>
      <c r="BDA599" s="50"/>
      <c r="BDB599" s="50"/>
      <c r="BDC599" s="46"/>
      <c r="BDD599" s="47"/>
      <c r="BDE599" s="46"/>
      <c r="BDF599" s="48"/>
      <c r="BDG599" s="53"/>
      <c r="BDN599" s="15"/>
      <c r="BDO599" s="50"/>
      <c r="BDP599" s="50"/>
      <c r="BDQ599" s="46"/>
      <c r="BDR599" s="47"/>
      <c r="BDS599" s="46"/>
      <c r="BDT599" s="48"/>
      <c r="BDU599" s="53"/>
      <c r="BEB599" s="15"/>
      <c r="BEC599" s="50"/>
      <c r="BED599" s="50"/>
      <c r="BEE599" s="46"/>
      <c r="BEF599" s="47"/>
      <c r="BEG599" s="46"/>
      <c r="BEH599" s="48"/>
      <c r="BEI599" s="53"/>
      <c r="BEP599" s="15"/>
      <c r="BEQ599" s="50"/>
      <c r="BER599" s="50"/>
      <c r="BES599" s="46"/>
      <c r="BET599" s="47"/>
      <c r="BEU599" s="46"/>
      <c r="BEV599" s="48"/>
      <c r="BEW599" s="53"/>
      <c r="BFD599" s="15"/>
      <c r="BFE599" s="50"/>
      <c r="BFF599" s="50"/>
      <c r="BFG599" s="46"/>
      <c r="BFH599" s="47"/>
      <c r="BFI599" s="46"/>
      <c r="BFJ599" s="48"/>
      <c r="BFK599" s="53"/>
      <c r="BFR599" s="15"/>
      <c r="BFS599" s="50"/>
      <c r="BFT599" s="50"/>
      <c r="BFU599" s="46"/>
      <c r="BFV599" s="47"/>
      <c r="BFW599" s="46"/>
      <c r="BFX599" s="48"/>
      <c r="BFY599" s="53"/>
      <c r="BGF599" s="15"/>
      <c r="BGG599" s="50"/>
      <c r="BGH599" s="50"/>
      <c r="BGI599" s="46"/>
      <c r="BGJ599" s="47"/>
      <c r="BGK599" s="46"/>
      <c r="BGL599" s="48"/>
      <c r="BGM599" s="53"/>
      <c r="BGT599" s="15"/>
      <c r="BGU599" s="50"/>
      <c r="BGV599" s="50"/>
      <c r="BGW599" s="46"/>
      <c r="BGX599" s="47"/>
      <c r="BGY599" s="46"/>
      <c r="BGZ599" s="48"/>
      <c r="BHA599" s="53"/>
      <c r="BHH599" s="15"/>
      <c r="BHI599" s="50"/>
      <c r="BHJ599" s="50"/>
      <c r="BHK599" s="46"/>
      <c r="BHL599" s="47"/>
      <c r="BHM599" s="46"/>
      <c r="BHN599" s="48"/>
      <c r="BHO599" s="53"/>
      <c r="BHV599" s="15"/>
      <c r="BHW599" s="50"/>
      <c r="BHX599" s="50"/>
      <c r="BHY599" s="46"/>
      <c r="BHZ599" s="47"/>
      <c r="BIA599" s="46"/>
      <c r="BIB599" s="48"/>
      <c r="BIC599" s="53"/>
      <c r="BIJ599" s="15"/>
      <c r="BIK599" s="50"/>
      <c r="BIL599" s="50"/>
      <c r="BIM599" s="46"/>
      <c r="BIN599" s="47"/>
      <c r="BIO599" s="46"/>
      <c r="BIP599" s="48"/>
      <c r="BIQ599" s="53"/>
      <c r="BIX599" s="15"/>
      <c r="BIY599" s="50"/>
      <c r="BIZ599" s="50"/>
      <c r="BJA599" s="46"/>
      <c r="BJB599" s="47"/>
      <c r="BJC599" s="46"/>
      <c r="BJD599" s="48"/>
      <c r="BJE599" s="53"/>
      <c r="BJL599" s="15"/>
      <c r="BJM599" s="50"/>
      <c r="BJN599" s="50"/>
      <c r="BJO599" s="46"/>
      <c r="BJP599" s="47"/>
      <c r="BJQ599" s="46"/>
      <c r="BJR599" s="48"/>
      <c r="BJS599" s="53"/>
      <c r="BJZ599" s="15"/>
      <c r="BKA599" s="50"/>
      <c r="BKB599" s="50"/>
      <c r="BKC599" s="46"/>
      <c r="BKD599" s="47"/>
      <c r="BKE599" s="46"/>
      <c r="BKF599" s="48"/>
      <c r="BKG599" s="53"/>
      <c r="BKN599" s="15"/>
      <c r="BKO599" s="50"/>
      <c r="BKP599" s="50"/>
      <c r="BKQ599" s="46"/>
      <c r="BKR599" s="47"/>
      <c r="BKS599" s="46"/>
      <c r="BKT599" s="48"/>
      <c r="BKU599" s="53"/>
      <c r="BLB599" s="15"/>
      <c r="BLC599" s="50"/>
      <c r="BLD599" s="50"/>
      <c r="BLE599" s="46"/>
      <c r="BLF599" s="47"/>
      <c r="BLG599" s="46"/>
      <c r="BLH599" s="48"/>
      <c r="BLI599" s="53"/>
      <c r="BLP599" s="15"/>
      <c r="BLQ599" s="50"/>
      <c r="BLR599" s="50"/>
      <c r="BLS599" s="46"/>
      <c r="BLT599" s="47"/>
      <c r="BLU599" s="46"/>
      <c r="BLV599" s="48"/>
      <c r="BLW599" s="53"/>
      <c r="BMD599" s="15"/>
      <c r="BME599" s="50"/>
      <c r="BMF599" s="50"/>
      <c r="BMG599" s="46"/>
      <c r="BMH599" s="47"/>
      <c r="BMI599" s="46"/>
      <c r="BMJ599" s="48"/>
      <c r="BMK599" s="53"/>
      <c r="BMR599" s="15"/>
      <c r="BMS599" s="50"/>
      <c r="BMT599" s="50"/>
      <c r="BMU599" s="46"/>
      <c r="BMV599" s="47"/>
      <c r="BMW599" s="46"/>
      <c r="BMX599" s="48"/>
      <c r="BMY599" s="53"/>
      <c r="BNF599" s="15"/>
      <c r="BNG599" s="50"/>
      <c r="BNH599" s="50"/>
      <c r="BNI599" s="46"/>
      <c r="BNJ599" s="47"/>
      <c r="BNK599" s="46"/>
      <c r="BNL599" s="48"/>
      <c r="BNM599" s="53"/>
      <c r="BNT599" s="15"/>
      <c r="BNU599" s="50"/>
      <c r="BNV599" s="50"/>
      <c r="BNW599" s="46"/>
      <c r="BNX599" s="47"/>
      <c r="BNY599" s="46"/>
      <c r="BNZ599" s="48"/>
      <c r="BOA599" s="53"/>
      <c r="BOH599" s="15"/>
      <c r="BOI599" s="50"/>
      <c r="BOJ599" s="50"/>
      <c r="BOK599" s="46"/>
      <c r="BOL599" s="47"/>
      <c r="BOM599" s="46"/>
      <c r="BON599" s="48"/>
      <c r="BOO599" s="53"/>
      <c r="BOV599" s="15"/>
      <c r="BOW599" s="50"/>
      <c r="BOX599" s="50"/>
      <c r="BOY599" s="46"/>
      <c r="BOZ599" s="47"/>
      <c r="BPA599" s="46"/>
      <c r="BPB599" s="48"/>
      <c r="BPC599" s="53"/>
      <c r="BPJ599" s="15"/>
      <c r="BPK599" s="50"/>
      <c r="BPL599" s="50"/>
      <c r="BPM599" s="46"/>
      <c r="BPN599" s="47"/>
      <c r="BPO599" s="46"/>
      <c r="BPP599" s="48"/>
      <c r="BPQ599" s="53"/>
      <c r="BPX599" s="15"/>
      <c r="BPY599" s="50"/>
      <c r="BPZ599" s="50"/>
      <c r="BQA599" s="46"/>
      <c r="BQB599" s="47"/>
      <c r="BQC599" s="46"/>
      <c r="BQD599" s="48"/>
      <c r="BQE599" s="53"/>
      <c r="BQL599" s="15"/>
      <c r="BQM599" s="50"/>
      <c r="BQN599" s="50"/>
      <c r="BQO599" s="46"/>
      <c r="BQP599" s="47"/>
      <c r="BQQ599" s="46"/>
      <c r="BQR599" s="48"/>
      <c r="BQS599" s="53"/>
      <c r="BQZ599" s="15"/>
      <c r="BRA599" s="50"/>
      <c r="BRB599" s="50"/>
      <c r="BRC599" s="46"/>
      <c r="BRD599" s="47"/>
      <c r="BRE599" s="46"/>
      <c r="BRF599" s="48"/>
      <c r="BRG599" s="53"/>
      <c r="BRN599" s="15"/>
      <c r="BRO599" s="50"/>
      <c r="BRP599" s="50"/>
      <c r="BRQ599" s="46"/>
      <c r="BRR599" s="47"/>
      <c r="BRS599" s="46"/>
      <c r="BRT599" s="48"/>
      <c r="BRU599" s="53"/>
      <c r="BSB599" s="15"/>
      <c r="BSC599" s="50"/>
      <c r="BSD599" s="50"/>
      <c r="BSE599" s="46"/>
      <c r="BSF599" s="47"/>
      <c r="BSG599" s="46"/>
      <c r="BSH599" s="48"/>
      <c r="BSI599" s="53"/>
      <c r="BSP599" s="15"/>
      <c r="BSQ599" s="50"/>
      <c r="BSR599" s="50"/>
      <c r="BSS599" s="46"/>
      <c r="BST599" s="47"/>
      <c r="BSU599" s="46"/>
      <c r="BSV599" s="48"/>
      <c r="BSW599" s="53"/>
      <c r="BTD599" s="15"/>
      <c r="BTE599" s="50"/>
      <c r="BTF599" s="50"/>
      <c r="BTG599" s="46"/>
      <c r="BTH599" s="47"/>
      <c r="BTI599" s="46"/>
      <c r="BTJ599" s="48"/>
      <c r="BTK599" s="53"/>
      <c r="BTR599" s="15"/>
      <c r="BTS599" s="50"/>
      <c r="BTT599" s="50"/>
      <c r="BTU599" s="46"/>
      <c r="BTV599" s="47"/>
      <c r="BTW599" s="46"/>
      <c r="BTX599" s="48"/>
      <c r="BTY599" s="53"/>
      <c r="BUF599" s="15"/>
      <c r="BUG599" s="50"/>
      <c r="BUH599" s="50"/>
      <c r="BUI599" s="46"/>
      <c r="BUJ599" s="47"/>
      <c r="BUK599" s="46"/>
      <c r="BUL599" s="48"/>
      <c r="BUM599" s="53"/>
      <c r="BUT599" s="15"/>
      <c r="BUU599" s="50"/>
      <c r="BUV599" s="50"/>
      <c r="BUW599" s="46"/>
      <c r="BUX599" s="47"/>
      <c r="BUY599" s="46"/>
      <c r="BUZ599" s="48"/>
      <c r="BVA599" s="53"/>
      <c r="BVH599" s="15"/>
      <c r="BVI599" s="50"/>
      <c r="BVJ599" s="50"/>
      <c r="BVK599" s="46"/>
      <c r="BVL599" s="47"/>
      <c r="BVM599" s="46"/>
      <c r="BVN599" s="48"/>
      <c r="BVO599" s="53"/>
      <c r="BVV599" s="15"/>
      <c r="BVW599" s="50"/>
      <c r="BVX599" s="50"/>
      <c r="BVY599" s="46"/>
      <c r="BVZ599" s="47"/>
      <c r="BWA599" s="46"/>
      <c r="BWB599" s="48"/>
      <c r="BWC599" s="53"/>
      <c r="BWJ599" s="15"/>
      <c r="BWK599" s="50"/>
      <c r="BWL599" s="50"/>
      <c r="BWM599" s="46"/>
      <c r="BWN599" s="47"/>
      <c r="BWO599" s="46"/>
      <c r="BWP599" s="48"/>
      <c r="BWQ599" s="53"/>
      <c r="BWX599" s="15"/>
      <c r="BWY599" s="50"/>
      <c r="BWZ599" s="50"/>
      <c r="BXA599" s="46"/>
      <c r="BXB599" s="47"/>
      <c r="BXC599" s="46"/>
      <c r="BXD599" s="48"/>
      <c r="BXE599" s="53"/>
      <c r="BXL599" s="15"/>
      <c r="BXM599" s="50"/>
      <c r="BXN599" s="50"/>
      <c r="BXO599" s="46"/>
      <c r="BXP599" s="47"/>
      <c r="BXQ599" s="46"/>
      <c r="BXR599" s="48"/>
      <c r="BXS599" s="53"/>
      <c r="BXZ599" s="15"/>
      <c r="BYA599" s="50"/>
      <c r="BYB599" s="50"/>
      <c r="BYC599" s="46"/>
      <c r="BYD599" s="47"/>
      <c r="BYE599" s="46"/>
      <c r="BYF599" s="48"/>
      <c r="BYG599" s="53"/>
      <c r="BYN599" s="15"/>
      <c r="BYO599" s="50"/>
      <c r="BYP599" s="50"/>
      <c r="BYQ599" s="46"/>
      <c r="BYR599" s="47"/>
      <c r="BYS599" s="46"/>
      <c r="BYT599" s="48"/>
      <c r="BYU599" s="53"/>
      <c r="BZB599" s="15"/>
      <c r="BZC599" s="50"/>
      <c r="BZD599" s="50"/>
      <c r="BZE599" s="46"/>
      <c r="BZF599" s="47"/>
      <c r="BZG599" s="46"/>
      <c r="BZH599" s="48"/>
      <c r="BZI599" s="53"/>
      <c r="BZP599" s="15"/>
      <c r="BZQ599" s="50"/>
      <c r="BZR599" s="50"/>
      <c r="BZS599" s="46"/>
      <c r="BZT599" s="47"/>
      <c r="BZU599" s="46"/>
      <c r="BZV599" s="48"/>
      <c r="BZW599" s="53"/>
      <c r="CAD599" s="15"/>
      <c r="CAE599" s="50"/>
      <c r="CAF599" s="50"/>
      <c r="CAG599" s="46"/>
      <c r="CAH599" s="47"/>
      <c r="CAI599" s="46"/>
      <c r="CAJ599" s="48"/>
      <c r="CAK599" s="53"/>
      <c r="CAR599" s="15"/>
      <c r="CAS599" s="50"/>
      <c r="CAT599" s="50"/>
      <c r="CAU599" s="46"/>
      <c r="CAV599" s="47"/>
      <c r="CAW599" s="46"/>
      <c r="CAX599" s="48"/>
      <c r="CAY599" s="53"/>
      <c r="CBF599" s="15"/>
      <c r="CBG599" s="50"/>
      <c r="CBH599" s="50"/>
      <c r="CBI599" s="46"/>
      <c r="CBJ599" s="47"/>
      <c r="CBK599" s="46"/>
      <c r="CBL599" s="48"/>
      <c r="CBM599" s="53"/>
      <c r="CBT599" s="15"/>
      <c r="CBU599" s="50"/>
      <c r="CBV599" s="50"/>
      <c r="CBW599" s="46"/>
      <c r="CBX599" s="47"/>
      <c r="CBY599" s="46"/>
      <c r="CBZ599" s="48"/>
      <c r="CCA599" s="53"/>
      <c r="CCH599" s="15"/>
      <c r="CCI599" s="50"/>
      <c r="CCJ599" s="50"/>
      <c r="CCK599" s="46"/>
      <c r="CCL599" s="47"/>
      <c r="CCM599" s="46"/>
      <c r="CCN599" s="48"/>
      <c r="CCO599" s="53"/>
      <c r="CCV599" s="15"/>
      <c r="CCW599" s="50"/>
      <c r="CCX599" s="50"/>
      <c r="CCY599" s="46"/>
      <c r="CCZ599" s="47"/>
      <c r="CDA599" s="46"/>
      <c r="CDB599" s="48"/>
      <c r="CDC599" s="53"/>
      <c r="CDJ599" s="15"/>
      <c r="CDK599" s="50"/>
      <c r="CDL599" s="50"/>
      <c r="CDM599" s="46"/>
      <c r="CDN599" s="47"/>
      <c r="CDO599" s="46"/>
      <c r="CDP599" s="48"/>
      <c r="CDQ599" s="53"/>
      <c r="CDX599" s="15"/>
      <c r="CDY599" s="50"/>
      <c r="CDZ599" s="50"/>
      <c r="CEA599" s="46"/>
      <c r="CEB599" s="47"/>
      <c r="CEC599" s="46"/>
      <c r="CED599" s="48"/>
      <c r="CEE599" s="53"/>
      <c r="CEL599" s="15"/>
      <c r="CEM599" s="50"/>
      <c r="CEN599" s="50"/>
      <c r="CEO599" s="46"/>
      <c r="CEP599" s="47"/>
      <c r="CEQ599" s="46"/>
      <c r="CER599" s="48"/>
      <c r="CES599" s="53"/>
      <c r="CEZ599" s="15"/>
      <c r="CFA599" s="50"/>
      <c r="CFB599" s="50"/>
      <c r="CFC599" s="46"/>
      <c r="CFD599" s="47"/>
      <c r="CFE599" s="46"/>
      <c r="CFF599" s="48"/>
      <c r="CFG599" s="53"/>
      <c r="CFN599" s="15"/>
      <c r="CFO599" s="50"/>
      <c r="CFP599" s="50"/>
      <c r="CFQ599" s="46"/>
      <c r="CFR599" s="47"/>
      <c r="CFS599" s="46"/>
      <c r="CFT599" s="48"/>
      <c r="CFU599" s="53"/>
      <c r="CGB599" s="15"/>
      <c r="CGC599" s="50"/>
      <c r="CGD599" s="50"/>
      <c r="CGE599" s="46"/>
      <c r="CGF599" s="47"/>
      <c r="CGG599" s="46"/>
      <c r="CGH599" s="48"/>
      <c r="CGI599" s="53"/>
      <c r="CGP599" s="15"/>
      <c r="CGQ599" s="50"/>
      <c r="CGR599" s="50"/>
      <c r="CGS599" s="46"/>
      <c r="CGT599" s="47"/>
      <c r="CGU599" s="46"/>
      <c r="CGV599" s="48"/>
      <c r="CGW599" s="53"/>
      <c r="CHD599" s="15"/>
      <c r="CHE599" s="50"/>
      <c r="CHF599" s="50"/>
      <c r="CHG599" s="46"/>
      <c r="CHH599" s="47"/>
      <c r="CHI599" s="46"/>
      <c r="CHJ599" s="48"/>
      <c r="CHK599" s="53"/>
      <c r="CHR599" s="15"/>
      <c r="CHS599" s="50"/>
      <c r="CHT599" s="50"/>
      <c r="CHU599" s="46"/>
      <c r="CHV599" s="47"/>
      <c r="CHW599" s="46"/>
      <c r="CHX599" s="48"/>
      <c r="CHY599" s="53"/>
      <c r="CIF599" s="15"/>
      <c r="CIG599" s="50"/>
      <c r="CIH599" s="50"/>
      <c r="CII599" s="46"/>
      <c r="CIJ599" s="47"/>
      <c r="CIK599" s="46"/>
      <c r="CIL599" s="48"/>
      <c r="CIM599" s="53"/>
      <c r="CIT599" s="15"/>
      <c r="CIU599" s="50"/>
      <c r="CIV599" s="50"/>
      <c r="CIW599" s="46"/>
      <c r="CIX599" s="47"/>
      <c r="CIY599" s="46"/>
      <c r="CIZ599" s="48"/>
      <c r="CJA599" s="53"/>
      <c r="CJH599" s="15"/>
      <c r="CJI599" s="50"/>
      <c r="CJJ599" s="50"/>
      <c r="CJK599" s="46"/>
      <c r="CJL599" s="47"/>
      <c r="CJM599" s="46"/>
      <c r="CJN599" s="48"/>
      <c r="CJO599" s="53"/>
      <c r="CJV599" s="15"/>
      <c r="CJW599" s="50"/>
      <c r="CJX599" s="50"/>
      <c r="CJY599" s="46"/>
      <c r="CJZ599" s="47"/>
      <c r="CKA599" s="46"/>
      <c r="CKB599" s="48"/>
      <c r="CKC599" s="53"/>
      <c r="CKJ599" s="15"/>
      <c r="CKK599" s="50"/>
      <c r="CKL599" s="50"/>
      <c r="CKM599" s="46"/>
      <c r="CKN599" s="47"/>
      <c r="CKO599" s="46"/>
      <c r="CKP599" s="48"/>
      <c r="CKQ599" s="53"/>
      <c r="CKX599" s="15"/>
      <c r="CKY599" s="50"/>
      <c r="CKZ599" s="50"/>
      <c r="CLA599" s="46"/>
      <c r="CLB599" s="47"/>
      <c r="CLC599" s="46"/>
      <c r="CLD599" s="48"/>
      <c r="CLE599" s="53"/>
      <c r="CLL599" s="15"/>
      <c r="CLM599" s="50"/>
      <c r="CLN599" s="50"/>
      <c r="CLO599" s="46"/>
      <c r="CLP599" s="47"/>
      <c r="CLQ599" s="46"/>
      <c r="CLR599" s="48"/>
      <c r="CLS599" s="53"/>
      <c r="CLZ599" s="15"/>
      <c r="CMA599" s="50"/>
      <c r="CMB599" s="50"/>
      <c r="CMC599" s="46"/>
      <c r="CMD599" s="47"/>
      <c r="CME599" s="46"/>
      <c r="CMF599" s="48"/>
      <c r="CMG599" s="53"/>
      <c r="CMN599" s="15"/>
      <c r="CMO599" s="50"/>
      <c r="CMP599" s="50"/>
      <c r="CMQ599" s="46"/>
      <c r="CMR599" s="47"/>
      <c r="CMS599" s="46"/>
      <c r="CMT599" s="48"/>
      <c r="CMU599" s="53"/>
      <c r="CNB599" s="15"/>
      <c r="CNC599" s="50"/>
      <c r="CND599" s="50"/>
      <c r="CNE599" s="46"/>
      <c r="CNF599" s="47"/>
      <c r="CNG599" s="46"/>
      <c r="CNH599" s="48"/>
      <c r="CNI599" s="53"/>
      <c r="CNP599" s="15"/>
      <c r="CNQ599" s="50"/>
      <c r="CNR599" s="50"/>
      <c r="CNS599" s="46"/>
      <c r="CNT599" s="47"/>
      <c r="CNU599" s="46"/>
      <c r="CNV599" s="48"/>
      <c r="CNW599" s="53"/>
      <c r="COD599" s="15"/>
      <c r="COE599" s="50"/>
      <c r="COF599" s="50"/>
      <c r="COG599" s="46"/>
      <c r="COH599" s="47"/>
      <c r="COI599" s="46"/>
      <c r="COJ599" s="48"/>
      <c r="COK599" s="53"/>
      <c r="COR599" s="15"/>
      <c r="COS599" s="50"/>
      <c r="COT599" s="50"/>
      <c r="COU599" s="46"/>
      <c r="COV599" s="47"/>
      <c r="COW599" s="46"/>
      <c r="COX599" s="48"/>
      <c r="COY599" s="53"/>
      <c r="CPF599" s="15"/>
      <c r="CPG599" s="50"/>
      <c r="CPH599" s="50"/>
      <c r="CPI599" s="46"/>
      <c r="CPJ599" s="47"/>
      <c r="CPK599" s="46"/>
      <c r="CPL599" s="48"/>
      <c r="CPM599" s="53"/>
      <c r="CPT599" s="15"/>
      <c r="CPU599" s="50"/>
      <c r="CPV599" s="50"/>
      <c r="CPW599" s="46"/>
      <c r="CPX599" s="47"/>
      <c r="CPY599" s="46"/>
      <c r="CPZ599" s="48"/>
      <c r="CQA599" s="53"/>
      <c r="CQH599" s="15"/>
      <c r="CQI599" s="50"/>
      <c r="CQJ599" s="50"/>
      <c r="CQK599" s="46"/>
      <c r="CQL599" s="47"/>
      <c r="CQM599" s="46"/>
      <c r="CQN599" s="48"/>
      <c r="CQO599" s="53"/>
      <c r="CQV599" s="15"/>
      <c r="CQW599" s="50"/>
      <c r="CQX599" s="50"/>
      <c r="CQY599" s="46"/>
      <c r="CQZ599" s="47"/>
      <c r="CRA599" s="46"/>
      <c r="CRB599" s="48"/>
      <c r="CRC599" s="53"/>
      <c r="CRJ599" s="15"/>
      <c r="CRK599" s="50"/>
      <c r="CRL599" s="50"/>
      <c r="CRM599" s="46"/>
      <c r="CRN599" s="47"/>
      <c r="CRO599" s="46"/>
      <c r="CRP599" s="48"/>
      <c r="CRQ599" s="53"/>
      <c r="CRX599" s="15"/>
      <c r="CRY599" s="50"/>
      <c r="CRZ599" s="50"/>
      <c r="CSA599" s="46"/>
      <c r="CSB599" s="47"/>
      <c r="CSC599" s="46"/>
      <c r="CSD599" s="48"/>
      <c r="CSE599" s="53"/>
      <c r="CSL599" s="15"/>
      <c r="CSM599" s="50"/>
      <c r="CSN599" s="50"/>
      <c r="CSO599" s="46"/>
      <c r="CSP599" s="47"/>
      <c r="CSQ599" s="46"/>
      <c r="CSR599" s="48"/>
      <c r="CSS599" s="53"/>
      <c r="CSZ599" s="15"/>
      <c r="CTA599" s="50"/>
      <c r="CTB599" s="50"/>
      <c r="CTC599" s="46"/>
      <c r="CTD599" s="47"/>
      <c r="CTE599" s="46"/>
      <c r="CTF599" s="48"/>
      <c r="CTG599" s="53"/>
      <c r="CTN599" s="15"/>
      <c r="CTO599" s="50"/>
      <c r="CTP599" s="50"/>
      <c r="CTQ599" s="46"/>
      <c r="CTR599" s="47"/>
      <c r="CTS599" s="46"/>
      <c r="CTT599" s="48"/>
      <c r="CTU599" s="53"/>
      <c r="CUB599" s="15"/>
      <c r="CUC599" s="50"/>
      <c r="CUD599" s="50"/>
      <c r="CUE599" s="46"/>
      <c r="CUF599" s="47"/>
      <c r="CUG599" s="46"/>
      <c r="CUH599" s="48"/>
      <c r="CUI599" s="53"/>
      <c r="CUP599" s="15"/>
      <c r="CUQ599" s="50"/>
      <c r="CUR599" s="50"/>
      <c r="CUS599" s="46"/>
      <c r="CUT599" s="47"/>
      <c r="CUU599" s="46"/>
      <c r="CUV599" s="48"/>
      <c r="CUW599" s="53"/>
      <c r="CVD599" s="15"/>
      <c r="CVE599" s="50"/>
      <c r="CVF599" s="50"/>
      <c r="CVG599" s="46"/>
      <c r="CVH599" s="47"/>
      <c r="CVI599" s="46"/>
      <c r="CVJ599" s="48"/>
      <c r="CVK599" s="53"/>
      <c r="CVR599" s="15"/>
      <c r="CVS599" s="50"/>
      <c r="CVT599" s="50"/>
      <c r="CVU599" s="46"/>
      <c r="CVV599" s="47"/>
      <c r="CVW599" s="46"/>
      <c r="CVX599" s="48"/>
      <c r="CVY599" s="53"/>
      <c r="CWF599" s="15"/>
      <c r="CWG599" s="50"/>
      <c r="CWH599" s="50"/>
      <c r="CWI599" s="46"/>
      <c r="CWJ599" s="47"/>
      <c r="CWK599" s="46"/>
      <c r="CWL599" s="48"/>
      <c r="CWM599" s="53"/>
      <c r="CWT599" s="15"/>
      <c r="CWU599" s="50"/>
      <c r="CWV599" s="50"/>
      <c r="CWW599" s="46"/>
      <c r="CWX599" s="47"/>
      <c r="CWY599" s="46"/>
      <c r="CWZ599" s="48"/>
      <c r="CXA599" s="53"/>
      <c r="CXH599" s="15"/>
      <c r="CXI599" s="50"/>
      <c r="CXJ599" s="50"/>
      <c r="CXK599" s="46"/>
      <c r="CXL599" s="47"/>
      <c r="CXM599" s="46"/>
      <c r="CXN599" s="48"/>
      <c r="CXO599" s="53"/>
      <c r="CXV599" s="15"/>
      <c r="CXW599" s="50"/>
      <c r="CXX599" s="50"/>
      <c r="CXY599" s="46"/>
      <c r="CXZ599" s="47"/>
      <c r="CYA599" s="46"/>
      <c r="CYB599" s="48"/>
      <c r="CYC599" s="53"/>
      <c r="CYJ599" s="15"/>
      <c r="CYK599" s="50"/>
      <c r="CYL599" s="50"/>
      <c r="CYM599" s="46"/>
      <c r="CYN599" s="47"/>
      <c r="CYO599" s="46"/>
      <c r="CYP599" s="48"/>
      <c r="CYQ599" s="53"/>
      <c r="CYX599" s="15"/>
      <c r="CYY599" s="50"/>
      <c r="CYZ599" s="50"/>
      <c r="CZA599" s="46"/>
      <c r="CZB599" s="47"/>
      <c r="CZC599" s="46"/>
      <c r="CZD599" s="48"/>
      <c r="CZE599" s="53"/>
      <c r="CZL599" s="15"/>
      <c r="CZM599" s="50"/>
      <c r="CZN599" s="50"/>
      <c r="CZO599" s="46"/>
      <c r="CZP599" s="47"/>
      <c r="CZQ599" s="46"/>
      <c r="CZR599" s="48"/>
      <c r="CZS599" s="53"/>
      <c r="CZZ599" s="15"/>
      <c r="DAA599" s="50"/>
      <c r="DAB599" s="50"/>
      <c r="DAC599" s="46"/>
      <c r="DAD599" s="47"/>
      <c r="DAE599" s="46"/>
      <c r="DAF599" s="48"/>
      <c r="DAG599" s="53"/>
      <c r="DAN599" s="15"/>
      <c r="DAO599" s="50"/>
      <c r="DAP599" s="50"/>
      <c r="DAQ599" s="46"/>
      <c r="DAR599" s="47"/>
      <c r="DAS599" s="46"/>
      <c r="DAT599" s="48"/>
      <c r="DAU599" s="53"/>
      <c r="DBB599" s="15"/>
      <c r="DBC599" s="50"/>
      <c r="DBD599" s="50"/>
      <c r="DBE599" s="46"/>
      <c r="DBF599" s="47"/>
      <c r="DBG599" s="46"/>
      <c r="DBH599" s="48"/>
      <c r="DBI599" s="53"/>
      <c r="DBP599" s="15"/>
      <c r="DBQ599" s="50"/>
      <c r="DBR599" s="50"/>
      <c r="DBS599" s="46"/>
      <c r="DBT599" s="47"/>
      <c r="DBU599" s="46"/>
      <c r="DBV599" s="48"/>
      <c r="DBW599" s="53"/>
      <c r="DCD599" s="15"/>
      <c r="DCE599" s="50"/>
      <c r="DCF599" s="50"/>
      <c r="DCG599" s="46"/>
      <c r="DCH599" s="47"/>
      <c r="DCI599" s="46"/>
      <c r="DCJ599" s="48"/>
      <c r="DCK599" s="53"/>
      <c r="DCR599" s="15"/>
      <c r="DCS599" s="50"/>
      <c r="DCT599" s="50"/>
      <c r="DCU599" s="46"/>
      <c r="DCV599" s="47"/>
      <c r="DCW599" s="46"/>
      <c r="DCX599" s="48"/>
      <c r="DCY599" s="53"/>
      <c r="DDF599" s="15"/>
      <c r="DDG599" s="50"/>
      <c r="DDH599" s="50"/>
      <c r="DDI599" s="46"/>
      <c r="DDJ599" s="47"/>
      <c r="DDK599" s="46"/>
      <c r="DDL599" s="48"/>
      <c r="DDM599" s="53"/>
      <c r="DDT599" s="15"/>
      <c r="DDU599" s="50"/>
      <c r="DDV599" s="50"/>
      <c r="DDW599" s="46"/>
      <c r="DDX599" s="47"/>
      <c r="DDY599" s="46"/>
      <c r="DDZ599" s="48"/>
      <c r="DEA599" s="53"/>
      <c r="DEH599" s="15"/>
      <c r="DEI599" s="50"/>
      <c r="DEJ599" s="50"/>
      <c r="DEK599" s="46"/>
      <c r="DEL599" s="47"/>
      <c r="DEM599" s="46"/>
      <c r="DEN599" s="48"/>
      <c r="DEO599" s="53"/>
      <c r="DEV599" s="15"/>
      <c r="DEW599" s="50"/>
      <c r="DEX599" s="50"/>
      <c r="DEY599" s="46"/>
      <c r="DEZ599" s="47"/>
      <c r="DFA599" s="46"/>
      <c r="DFB599" s="48"/>
      <c r="DFC599" s="53"/>
      <c r="DFJ599" s="15"/>
      <c r="DFK599" s="50"/>
      <c r="DFL599" s="50"/>
      <c r="DFM599" s="46"/>
      <c r="DFN599" s="47"/>
      <c r="DFO599" s="46"/>
      <c r="DFP599" s="48"/>
      <c r="DFQ599" s="53"/>
      <c r="DFX599" s="15"/>
      <c r="DFY599" s="50"/>
      <c r="DFZ599" s="50"/>
      <c r="DGA599" s="46"/>
      <c r="DGB599" s="47"/>
      <c r="DGC599" s="46"/>
      <c r="DGD599" s="48"/>
      <c r="DGE599" s="53"/>
      <c r="DGL599" s="15"/>
      <c r="DGM599" s="50"/>
      <c r="DGN599" s="50"/>
      <c r="DGO599" s="46"/>
      <c r="DGP599" s="47"/>
      <c r="DGQ599" s="46"/>
      <c r="DGR599" s="48"/>
      <c r="DGS599" s="53"/>
      <c r="DGZ599" s="15"/>
      <c r="DHA599" s="50"/>
      <c r="DHB599" s="50"/>
      <c r="DHC599" s="46"/>
      <c r="DHD599" s="47"/>
      <c r="DHE599" s="46"/>
      <c r="DHF599" s="48"/>
      <c r="DHG599" s="53"/>
      <c r="DHN599" s="15"/>
      <c r="DHO599" s="50"/>
      <c r="DHP599" s="50"/>
      <c r="DHQ599" s="46"/>
      <c r="DHR599" s="47"/>
      <c r="DHS599" s="46"/>
      <c r="DHT599" s="48"/>
      <c r="DHU599" s="53"/>
      <c r="DIB599" s="15"/>
      <c r="DIC599" s="50"/>
      <c r="DID599" s="50"/>
      <c r="DIE599" s="46"/>
      <c r="DIF599" s="47"/>
      <c r="DIG599" s="46"/>
      <c r="DIH599" s="48"/>
      <c r="DII599" s="53"/>
      <c r="DIP599" s="15"/>
      <c r="DIQ599" s="50"/>
      <c r="DIR599" s="50"/>
      <c r="DIS599" s="46"/>
      <c r="DIT599" s="47"/>
      <c r="DIU599" s="46"/>
      <c r="DIV599" s="48"/>
      <c r="DIW599" s="53"/>
      <c r="DJD599" s="15"/>
      <c r="DJE599" s="50"/>
      <c r="DJF599" s="50"/>
      <c r="DJG599" s="46"/>
      <c r="DJH599" s="47"/>
      <c r="DJI599" s="46"/>
      <c r="DJJ599" s="48"/>
      <c r="DJK599" s="53"/>
      <c r="DJR599" s="15"/>
      <c r="DJS599" s="50"/>
      <c r="DJT599" s="50"/>
      <c r="DJU599" s="46"/>
      <c r="DJV599" s="47"/>
      <c r="DJW599" s="46"/>
      <c r="DJX599" s="48"/>
      <c r="DJY599" s="53"/>
      <c r="DKF599" s="15"/>
      <c r="DKG599" s="50"/>
      <c r="DKH599" s="50"/>
      <c r="DKI599" s="46"/>
      <c r="DKJ599" s="47"/>
      <c r="DKK599" s="46"/>
      <c r="DKL599" s="48"/>
      <c r="DKM599" s="53"/>
      <c r="DKT599" s="15"/>
      <c r="DKU599" s="50"/>
      <c r="DKV599" s="50"/>
      <c r="DKW599" s="46"/>
      <c r="DKX599" s="47"/>
      <c r="DKY599" s="46"/>
      <c r="DKZ599" s="48"/>
      <c r="DLA599" s="53"/>
      <c r="DLH599" s="15"/>
      <c r="DLI599" s="50"/>
      <c r="DLJ599" s="50"/>
      <c r="DLK599" s="46"/>
      <c r="DLL599" s="47"/>
      <c r="DLM599" s="46"/>
      <c r="DLN599" s="48"/>
      <c r="DLO599" s="53"/>
      <c r="DLV599" s="15"/>
      <c r="DLW599" s="50"/>
      <c r="DLX599" s="50"/>
      <c r="DLY599" s="46"/>
      <c r="DLZ599" s="47"/>
      <c r="DMA599" s="46"/>
      <c r="DMB599" s="48"/>
      <c r="DMC599" s="53"/>
      <c r="DMJ599" s="15"/>
      <c r="DMK599" s="50"/>
      <c r="DML599" s="50"/>
      <c r="DMM599" s="46"/>
      <c r="DMN599" s="47"/>
      <c r="DMO599" s="46"/>
      <c r="DMP599" s="48"/>
      <c r="DMQ599" s="53"/>
      <c r="DMX599" s="15"/>
      <c r="DMY599" s="50"/>
      <c r="DMZ599" s="50"/>
      <c r="DNA599" s="46"/>
      <c r="DNB599" s="47"/>
      <c r="DNC599" s="46"/>
      <c r="DND599" s="48"/>
      <c r="DNE599" s="53"/>
      <c r="DNL599" s="15"/>
      <c r="DNM599" s="50"/>
      <c r="DNN599" s="50"/>
      <c r="DNO599" s="46"/>
      <c r="DNP599" s="47"/>
      <c r="DNQ599" s="46"/>
      <c r="DNR599" s="48"/>
      <c r="DNS599" s="53"/>
      <c r="DNZ599" s="15"/>
      <c r="DOA599" s="50"/>
      <c r="DOB599" s="50"/>
      <c r="DOC599" s="46"/>
      <c r="DOD599" s="47"/>
      <c r="DOE599" s="46"/>
      <c r="DOF599" s="48"/>
      <c r="DOG599" s="53"/>
      <c r="DON599" s="15"/>
      <c r="DOO599" s="50"/>
      <c r="DOP599" s="50"/>
      <c r="DOQ599" s="46"/>
      <c r="DOR599" s="47"/>
      <c r="DOS599" s="46"/>
      <c r="DOT599" s="48"/>
      <c r="DOU599" s="53"/>
      <c r="DPB599" s="15"/>
      <c r="DPC599" s="50"/>
      <c r="DPD599" s="50"/>
      <c r="DPE599" s="46"/>
      <c r="DPF599" s="47"/>
      <c r="DPG599" s="46"/>
      <c r="DPH599" s="48"/>
      <c r="DPI599" s="53"/>
      <c r="DPP599" s="15"/>
      <c r="DPQ599" s="50"/>
      <c r="DPR599" s="50"/>
      <c r="DPS599" s="46"/>
      <c r="DPT599" s="47"/>
      <c r="DPU599" s="46"/>
      <c r="DPV599" s="48"/>
      <c r="DPW599" s="53"/>
      <c r="DQD599" s="15"/>
      <c r="DQE599" s="50"/>
      <c r="DQF599" s="50"/>
      <c r="DQG599" s="46"/>
      <c r="DQH599" s="47"/>
      <c r="DQI599" s="46"/>
      <c r="DQJ599" s="48"/>
      <c r="DQK599" s="53"/>
      <c r="DQR599" s="15"/>
      <c r="DQS599" s="50"/>
      <c r="DQT599" s="50"/>
      <c r="DQU599" s="46"/>
      <c r="DQV599" s="47"/>
      <c r="DQW599" s="46"/>
      <c r="DQX599" s="48"/>
      <c r="DQY599" s="53"/>
      <c r="DRF599" s="15"/>
      <c r="DRG599" s="50"/>
      <c r="DRH599" s="50"/>
      <c r="DRI599" s="46"/>
      <c r="DRJ599" s="47"/>
      <c r="DRK599" s="46"/>
      <c r="DRL599" s="48"/>
      <c r="DRM599" s="53"/>
      <c r="DRT599" s="15"/>
      <c r="DRU599" s="50"/>
      <c r="DRV599" s="50"/>
      <c r="DRW599" s="46"/>
      <c r="DRX599" s="47"/>
      <c r="DRY599" s="46"/>
      <c r="DRZ599" s="48"/>
      <c r="DSA599" s="53"/>
      <c r="DSH599" s="15"/>
      <c r="DSI599" s="50"/>
      <c r="DSJ599" s="50"/>
      <c r="DSK599" s="46"/>
      <c r="DSL599" s="47"/>
      <c r="DSM599" s="46"/>
      <c r="DSN599" s="48"/>
      <c r="DSO599" s="53"/>
      <c r="DSV599" s="15"/>
      <c r="DSW599" s="50"/>
      <c r="DSX599" s="50"/>
      <c r="DSY599" s="46"/>
      <c r="DSZ599" s="47"/>
      <c r="DTA599" s="46"/>
      <c r="DTB599" s="48"/>
      <c r="DTC599" s="53"/>
      <c r="DTJ599" s="15"/>
      <c r="DTK599" s="50"/>
      <c r="DTL599" s="50"/>
      <c r="DTM599" s="46"/>
      <c r="DTN599" s="47"/>
      <c r="DTO599" s="46"/>
      <c r="DTP599" s="48"/>
      <c r="DTQ599" s="53"/>
      <c r="DTX599" s="15"/>
      <c r="DTY599" s="50"/>
      <c r="DTZ599" s="50"/>
      <c r="DUA599" s="46"/>
      <c r="DUB599" s="47"/>
      <c r="DUC599" s="46"/>
      <c r="DUD599" s="48"/>
      <c r="DUE599" s="53"/>
      <c r="DUL599" s="15"/>
      <c r="DUM599" s="50"/>
      <c r="DUN599" s="50"/>
      <c r="DUO599" s="46"/>
      <c r="DUP599" s="47"/>
      <c r="DUQ599" s="46"/>
      <c r="DUR599" s="48"/>
      <c r="DUS599" s="53"/>
      <c r="DUZ599" s="15"/>
      <c r="DVA599" s="50"/>
      <c r="DVB599" s="50"/>
      <c r="DVC599" s="46"/>
      <c r="DVD599" s="47"/>
      <c r="DVE599" s="46"/>
      <c r="DVF599" s="48"/>
      <c r="DVG599" s="53"/>
      <c r="DVN599" s="15"/>
      <c r="DVO599" s="50"/>
      <c r="DVP599" s="50"/>
      <c r="DVQ599" s="46"/>
      <c r="DVR599" s="47"/>
      <c r="DVS599" s="46"/>
      <c r="DVT599" s="48"/>
      <c r="DVU599" s="53"/>
      <c r="DWB599" s="15"/>
      <c r="DWC599" s="50"/>
      <c r="DWD599" s="50"/>
      <c r="DWE599" s="46"/>
      <c r="DWF599" s="47"/>
      <c r="DWG599" s="46"/>
      <c r="DWH599" s="48"/>
      <c r="DWI599" s="53"/>
      <c r="DWP599" s="15"/>
      <c r="DWQ599" s="50"/>
      <c r="DWR599" s="50"/>
      <c r="DWS599" s="46"/>
      <c r="DWT599" s="47"/>
      <c r="DWU599" s="46"/>
      <c r="DWV599" s="48"/>
      <c r="DWW599" s="53"/>
      <c r="DXD599" s="15"/>
      <c r="DXE599" s="50"/>
      <c r="DXF599" s="50"/>
      <c r="DXG599" s="46"/>
      <c r="DXH599" s="47"/>
      <c r="DXI599" s="46"/>
      <c r="DXJ599" s="48"/>
      <c r="DXK599" s="53"/>
      <c r="DXR599" s="15"/>
      <c r="DXS599" s="50"/>
      <c r="DXT599" s="50"/>
      <c r="DXU599" s="46"/>
      <c r="DXV599" s="47"/>
      <c r="DXW599" s="46"/>
      <c r="DXX599" s="48"/>
      <c r="DXY599" s="53"/>
      <c r="DYF599" s="15"/>
      <c r="DYG599" s="50"/>
      <c r="DYH599" s="50"/>
      <c r="DYI599" s="46"/>
      <c r="DYJ599" s="47"/>
      <c r="DYK599" s="46"/>
      <c r="DYL599" s="48"/>
      <c r="DYM599" s="53"/>
      <c r="DYT599" s="15"/>
      <c r="DYU599" s="50"/>
      <c r="DYV599" s="50"/>
      <c r="DYW599" s="46"/>
      <c r="DYX599" s="47"/>
      <c r="DYY599" s="46"/>
      <c r="DYZ599" s="48"/>
      <c r="DZA599" s="53"/>
      <c r="DZH599" s="15"/>
      <c r="DZI599" s="50"/>
      <c r="DZJ599" s="50"/>
      <c r="DZK599" s="46"/>
      <c r="DZL599" s="47"/>
      <c r="DZM599" s="46"/>
      <c r="DZN599" s="48"/>
      <c r="DZO599" s="53"/>
      <c r="DZV599" s="15"/>
      <c r="DZW599" s="50"/>
      <c r="DZX599" s="50"/>
      <c r="DZY599" s="46"/>
      <c r="DZZ599" s="47"/>
      <c r="EAA599" s="46"/>
      <c r="EAB599" s="48"/>
      <c r="EAC599" s="53"/>
      <c r="EAJ599" s="15"/>
      <c r="EAK599" s="50"/>
      <c r="EAL599" s="50"/>
      <c r="EAM599" s="46"/>
      <c r="EAN599" s="47"/>
      <c r="EAO599" s="46"/>
      <c r="EAP599" s="48"/>
      <c r="EAQ599" s="53"/>
      <c r="EAX599" s="15"/>
      <c r="EAY599" s="50"/>
      <c r="EAZ599" s="50"/>
      <c r="EBA599" s="46"/>
      <c r="EBB599" s="47"/>
      <c r="EBC599" s="46"/>
      <c r="EBD599" s="48"/>
      <c r="EBE599" s="53"/>
      <c r="EBL599" s="15"/>
      <c r="EBM599" s="50"/>
      <c r="EBN599" s="50"/>
      <c r="EBO599" s="46"/>
      <c r="EBP599" s="47"/>
      <c r="EBQ599" s="46"/>
      <c r="EBR599" s="48"/>
      <c r="EBS599" s="53"/>
      <c r="EBZ599" s="15"/>
      <c r="ECA599" s="50"/>
      <c r="ECB599" s="50"/>
      <c r="ECC599" s="46"/>
      <c r="ECD599" s="47"/>
      <c r="ECE599" s="46"/>
      <c r="ECF599" s="48"/>
      <c r="ECG599" s="53"/>
      <c r="ECN599" s="15"/>
      <c r="ECO599" s="50"/>
      <c r="ECP599" s="50"/>
      <c r="ECQ599" s="46"/>
      <c r="ECR599" s="47"/>
      <c r="ECS599" s="46"/>
      <c r="ECT599" s="48"/>
      <c r="ECU599" s="53"/>
      <c r="EDB599" s="15"/>
      <c r="EDC599" s="50"/>
      <c r="EDD599" s="50"/>
      <c r="EDE599" s="46"/>
      <c r="EDF599" s="47"/>
      <c r="EDG599" s="46"/>
      <c r="EDH599" s="48"/>
      <c r="EDI599" s="53"/>
      <c r="EDP599" s="15"/>
      <c r="EDQ599" s="50"/>
      <c r="EDR599" s="50"/>
      <c r="EDS599" s="46"/>
      <c r="EDT599" s="47"/>
      <c r="EDU599" s="46"/>
      <c r="EDV599" s="48"/>
      <c r="EDW599" s="53"/>
      <c r="EED599" s="15"/>
      <c r="EEE599" s="50"/>
      <c r="EEF599" s="50"/>
      <c r="EEG599" s="46"/>
      <c r="EEH599" s="47"/>
      <c r="EEI599" s="46"/>
      <c r="EEJ599" s="48"/>
      <c r="EEK599" s="53"/>
      <c r="EER599" s="15"/>
      <c r="EES599" s="50"/>
      <c r="EET599" s="50"/>
      <c r="EEU599" s="46"/>
      <c r="EEV599" s="47"/>
      <c r="EEW599" s="46"/>
      <c r="EEX599" s="48"/>
      <c r="EEY599" s="53"/>
      <c r="EFF599" s="15"/>
      <c r="EFG599" s="50"/>
      <c r="EFH599" s="50"/>
      <c r="EFI599" s="46"/>
      <c r="EFJ599" s="47"/>
      <c r="EFK599" s="46"/>
      <c r="EFL599" s="48"/>
      <c r="EFM599" s="53"/>
      <c r="EFT599" s="15"/>
      <c r="EFU599" s="50"/>
      <c r="EFV599" s="50"/>
      <c r="EFW599" s="46"/>
      <c r="EFX599" s="47"/>
      <c r="EFY599" s="46"/>
      <c r="EFZ599" s="48"/>
      <c r="EGA599" s="53"/>
      <c r="EGH599" s="15"/>
      <c r="EGI599" s="50"/>
      <c r="EGJ599" s="50"/>
      <c r="EGK599" s="46"/>
      <c r="EGL599" s="47"/>
      <c r="EGM599" s="46"/>
      <c r="EGN599" s="48"/>
      <c r="EGO599" s="53"/>
      <c r="EGV599" s="15"/>
      <c r="EGW599" s="50"/>
      <c r="EGX599" s="50"/>
      <c r="EGY599" s="46"/>
      <c r="EGZ599" s="47"/>
      <c r="EHA599" s="46"/>
      <c r="EHB599" s="48"/>
      <c r="EHC599" s="53"/>
      <c r="EHJ599" s="15"/>
      <c r="EHK599" s="50"/>
      <c r="EHL599" s="50"/>
      <c r="EHM599" s="46"/>
      <c r="EHN599" s="47"/>
      <c r="EHO599" s="46"/>
      <c r="EHP599" s="48"/>
      <c r="EHQ599" s="53"/>
      <c r="EHX599" s="15"/>
      <c r="EHY599" s="50"/>
      <c r="EHZ599" s="50"/>
      <c r="EIA599" s="46"/>
      <c r="EIB599" s="47"/>
      <c r="EIC599" s="46"/>
      <c r="EID599" s="48"/>
      <c r="EIE599" s="53"/>
      <c r="EIL599" s="15"/>
      <c r="EIM599" s="50"/>
      <c r="EIN599" s="50"/>
      <c r="EIO599" s="46"/>
      <c r="EIP599" s="47"/>
      <c r="EIQ599" s="46"/>
      <c r="EIR599" s="48"/>
      <c r="EIS599" s="53"/>
      <c r="EIZ599" s="15"/>
      <c r="EJA599" s="50"/>
      <c r="EJB599" s="50"/>
      <c r="EJC599" s="46"/>
      <c r="EJD599" s="47"/>
      <c r="EJE599" s="46"/>
      <c r="EJF599" s="48"/>
      <c r="EJG599" s="53"/>
      <c r="EJN599" s="15"/>
      <c r="EJO599" s="50"/>
      <c r="EJP599" s="50"/>
      <c r="EJQ599" s="46"/>
      <c r="EJR599" s="47"/>
      <c r="EJS599" s="46"/>
      <c r="EJT599" s="48"/>
      <c r="EJU599" s="53"/>
      <c r="EKB599" s="15"/>
      <c r="EKC599" s="50"/>
      <c r="EKD599" s="50"/>
      <c r="EKE599" s="46"/>
      <c r="EKF599" s="47"/>
      <c r="EKG599" s="46"/>
      <c r="EKH599" s="48"/>
      <c r="EKI599" s="53"/>
      <c r="EKP599" s="15"/>
      <c r="EKQ599" s="50"/>
      <c r="EKR599" s="50"/>
      <c r="EKS599" s="46"/>
      <c r="EKT599" s="47"/>
      <c r="EKU599" s="46"/>
      <c r="EKV599" s="48"/>
      <c r="EKW599" s="53"/>
      <c r="ELD599" s="15"/>
      <c r="ELE599" s="50"/>
      <c r="ELF599" s="50"/>
      <c r="ELG599" s="46"/>
      <c r="ELH599" s="47"/>
      <c r="ELI599" s="46"/>
      <c r="ELJ599" s="48"/>
      <c r="ELK599" s="53"/>
      <c r="ELR599" s="15"/>
      <c r="ELS599" s="50"/>
      <c r="ELT599" s="50"/>
      <c r="ELU599" s="46"/>
      <c r="ELV599" s="47"/>
      <c r="ELW599" s="46"/>
      <c r="ELX599" s="48"/>
      <c r="ELY599" s="53"/>
      <c r="EMF599" s="15"/>
      <c r="EMG599" s="50"/>
      <c r="EMH599" s="50"/>
      <c r="EMI599" s="46"/>
      <c r="EMJ599" s="47"/>
      <c r="EMK599" s="46"/>
      <c r="EML599" s="48"/>
      <c r="EMM599" s="53"/>
      <c r="EMT599" s="15"/>
      <c r="EMU599" s="50"/>
      <c r="EMV599" s="50"/>
      <c r="EMW599" s="46"/>
      <c r="EMX599" s="47"/>
      <c r="EMY599" s="46"/>
      <c r="EMZ599" s="48"/>
      <c r="ENA599" s="53"/>
      <c r="ENH599" s="15"/>
      <c r="ENI599" s="50"/>
      <c r="ENJ599" s="50"/>
      <c r="ENK599" s="46"/>
      <c r="ENL599" s="47"/>
      <c r="ENM599" s="46"/>
      <c r="ENN599" s="48"/>
      <c r="ENO599" s="53"/>
      <c r="ENV599" s="15"/>
      <c r="ENW599" s="50"/>
      <c r="ENX599" s="50"/>
      <c r="ENY599" s="46"/>
      <c r="ENZ599" s="47"/>
      <c r="EOA599" s="46"/>
      <c r="EOB599" s="48"/>
      <c r="EOC599" s="53"/>
      <c r="EOJ599" s="15"/>
      <c r="EOK599" s="50"/>
      <c r="EOL599" s="50"/>
      <c r="EOM599" s="46"/>
      <c r="EON599" s="47"/>
      <c r="EOO599" s="46"/>
      <c r="EOP599" s="48"/>
      <c r="EOQ599" s="53"/>
      <c r="EOX599" s="15"/>
      <c r="EOY599" s="50"/>
      <c r="EOZ599" s="50"/>
      <c r="EPA599" s="46"/>
      <c r="EPB599" s="47"/>
      <c r="EPC599" s="46"/>
      <c r="EPD599" s="48"/>
      <c r="EPE599" s="53"/>
      <c r="EPL599" s="15"/>
      <c r="EPM599" s="50"/>
      <c r="EPN599" s="50"/>
      <c r="EPO599" s="46"/>
      <c r="EPP599" s="47"/>
      <c r="EPQ599" s="46"/>
      <c r="EPR599" s="48"/>
      <c r="EPS599" s="53"/>
      <c r="EPZ599" s="15"/>
      <c r="EQA599" s="50"/>
      <c r="EQB599" s="50"/>
      <c r="EQC599" s="46"/>
      <c r="EQD599" s="47"/>
      <c r="EQE599" s="46"/>
      <c r="EQF599" s="48"/>
      <c r="EQG599" s="53"/>
      <c r="EQN599" s="15"/>
      <c r="EQO599" s="50"/>
      <c r="EQP599" s="50"/>
      <c r="EQQ599" s="46"/>
      <c r="EQR599" s="47"/>
      <c r="EQS599" s="46"/>
      <c r="EQT599" s="48"/>
      <c r="EQU599" s="53"/>
      <c r="ERB599" s="15"/>
      <c r="ERC599" s="50"/>
      <c r="ERD599" s="50"/>
      <c r="ERE599" s="46"/>
      <c r="ERF599" s="47"/>
      <c r="ERG599" s="46"/>
      <c r="ERH599" s="48"/>
      <c r="ERI599" s="53"/>
      <c r="ERP599" s="15"/>
      <c r="ERQ599" s="50"/>
      <c r="ERR599" s="50"/>
      <c r="ERS599" s="46"/>
      <c r="ERT599" s="47"/>
      <c r="ERU599" s="46"/>
      <c r="ERV599" s="48"/>
      <c r="ERW599" s="53"/>
      <c r="ESD599" s="15"/>
      <c r="ESE599" s="50"/>
      <c r="ESF599" s="50"/>
      <c r="ESG599" s="46"/>
      <c r="ESH599" s="47"/>
      <c r="ESI599" s="46"/>
      <c r="ESJ599" s="48"/>
      <c r="ESK599" s="53"/>
      <c r="ESR599" s="15"/>
      <c r="ESS599" s="50"/>
      <c r="EST599" s="50"/>
      <c r="ESU599" s="46"/>
      <c r="ESV599" s="47"/>
      <c r="ESW599" s="46"/>
      <c r="ESX599" s="48"/>
      <c r="ESY599" s="53"/>
      <c r="ETF599" s="15"/>
      <c r="ETG599" s="50"/>
      <c r="ETH599" s="50"/>
      <c r="ETI599" s="46"/>
      <c r="ETJ599" s="47"/>
      <c r="ETK599" s="46"/>
      <c r="ETL599" s="48"/>
      <c r="ETM599" s="53"/>
      <c r="ETT599" s="15"/>
      <c r="ETU599" s="50"/>
      <c r="ETV599" s="50"/>
      <c r="ETW599" s="46"/>
      <c r="ETX599" s="47"/>
      <c r="ETY599" s="46"/>
      <c r="ETZ599" s="48"/>
      <c r="EUA599" s="53"/>
      <c r="EUH599" s="15"/>
      <c r="EUI599" s="50"/>
      <c r="EUJ599" s="50"/>
      <c r="EUK599" s="46"/>
      <c r="EUL599" s="47"/>
      <c r="EUM599" s="46"/>
      <c r="EUN599" s="48"/>
      <c r="EUO599" s="53"/>
      <c r="EUV599" s="15"/>
      <c r="EUW599" s="50"/>
      <c r="EUX599" s="50"/>
      <c r="EUY599" s="46"/>
      <c r="EUZ599" s="47"/>
      <c r="EVA599" s="46"/>
      <c r="EVB599" s="48"/>
      <c r="EVC599" s="53"/>
      <c r="EVJ599" s="15"/>
      <c r="EVK599" s="50"/>
      <c r="EVL599" s="50"/>
      <c r="EVM599" s="46"/>
      <c r="EVN599" s="47"/>
      <c r="EVO599" s="46"/>
      <c r="EVP599" s="48"/>
      <c r="EVQ599" s="53"/>
      <c r="EVX599" s="15"/>
      <c r="EVY599" s="50"/>
      <c r="EVZ599" s="50"/>
      <c r="EWA599" s="46"/>
      <c r="EWB599" s="47"/>
      <c r="EWC599" s="46"/>
      <c r="EWD599" s="48"/>
      <c r="EWE599" s="53"/>
      <c r="EWL599" s="15"/>
      <c r="EWM599" s="50"/>
      <c r="EWN599" s="50"/>
      <c r="EWO599" s="46"/>
      <c r="EWP599" s="47"/>
      <c r="EWQ599" s="46"/>
      <c r="EWR599" s="48"/>
      <c r="EWS599" s="53"/>
      <c r="EWZ599" s="15"/>
      <c r="EXA599" s="50"/>
      <c r="EXB599" s="50"/>
      <c r="EXC599" s="46"/>
      <c r="EXD599" s="47"/>
      <c r="EXE599" s="46"/>
      <c r="EXF599" s="48"/>
      <c r="EXG599" s="53"/>
      <c r="EXN599" s="15"/>
      <c r="EXO599" s="50"/>
      <c r="EXP599" s="50"/>
      <c r="EXQ599" s="46"/>
      <c r="EXR599" s="47"/>
      <c r="EXS599" s="46"/>
      <c r="EXT599" s="48"/>
      <c r="EXU599" s="53"/>
      <c r="EYB599" s="15"/>
      <c r="EYC599" s="50"/>
      <c r="EYD599" s="50"/>
      <c r="EYE599" s="46"/>
      <c r="EYF599" s="47"/>
      <c r="EYG599" s="46"/>
      <c r="EYH599" s="48"/>
      <c r="EYI599" s="53"/>
      <c r="EYP599" s="15"/>
      <c r="EYQ599" s="50"/>
      <c r="EYR599" s="50"/>
      <c r="EYS599" s="46"/>
      <c r="EYT599" s="47"/>
      <c r="EYU599" s="46"/>
      <c r="EYV599" s="48"/>
      <c r="EYW599" s="53"/>
      <c r="EZD599" s="15"/>
      <c r="EZE599" s="50"/>
      <c r="EZF599" s="50"/>
      <c r="EZG599" s="46"/>
      <c r="EZH599" s="47"/>
      <c r="EZI599" s="46"/>
      <c r="EZJ599" s="48"/>
      <c r="EZK599" s="53"/>
      <c r="EZR599" s="15"/>
      <c r="EZS599" s="50"/>
      <c r="EZT599" s="50"/>
      <c r="EZU599" s="46"/>
      <c r="EZV599" s="47"/>
      <c r="EZW599" s="46"/>
      <c r="EZX599" s="48"/>
      <c r="EZY599" s="53"/>
      <c r="FAF599" s="15"/>
      <c r="FAG599" s="50"/>
      <c r="FAH599" s="50"/>
      <c r="FAI599" s="46"/>
      <c r="FAJ599" s="47"/>
      <c r="FAK599" s="46"/>
      <c r="FAL599" s="48"/>
      <c r="FAM599" s="53"/>
      <c r="FAT599" s="15"/>
      <c r="FAU599" s="50"/>
      <c r="FAV599" s="50"/>
      <c r="FAW599" s="46"/>
      <c r="FAX599" s="47"/>
      <c r="FAY599" s="46"/>
      <c r="FAZ599" s="48"/>
      <c r="FBA599" s="53"/>
      <c r="FBH599" s="15"/>
      <c r="FBI599" s="50"/>
      <c r="FBJ599" s="50"/>
      <c r="FBK599" s="46"/>
      <c r="FBL599" s="47"/>
      <c r="FBM599" s="46"/>
      <c r="FBN599" s="48"/>
      <c r="FBO599" s="53"/>
      <c r="FBV599" s="15"/>
      <c r="FBW599" s="50"/>
      <c r="FBX599" s="50"/>
      <c r="FBY599" s="46"/>
      <c r="FBZ599" s="47"/>
      <c r="FCA599" s="46"/>
      <c r="FCB599" s="48"/>
      <c r="FCC599" s="53"/>
      <c r="FCJ599" s="15"/>
      <c r="FCK599" s="50"/>
      <c r="FCL599" s="50"/>
      <c r="FCM599" s="46"/>
      <c r="FCN599" s="47"/>
      <c r="FCO599" s="46"/>
      <c r="FCP599" s="48"/>
      <c r="FCQ599" s="53"/>
      <c r="FCX599" s="15"/>
      <c r="FCY599" s="50"/>
      <c r="FCZ599" s="50"/>
      <c r="FDA599" s="46"/>
      <c r="FDB599" s="47"/>
      <c r="FDC599" s="46"/>
      <c r="FDD599" s="48"/>
      <c r="FDE599" s="53"/>
      <c r="FDL599" s="15"/>
      <c r="FDM599" s="50"/>
      <c r="FDN599" s="50"/>
      <c r="FDO599" s="46"/>
      <c r="FDP599" s="47"/>
      <c r="FDQ599" s="46"/>
      <c r="FDR599" s="48"/>
      <c r="FDS599" s="53"/>
      <c r="FDZ599" s="15"/>
      <c r="FEA599" s="50"/>
      <c r="FEB599" s="50"/>
      <c r="FEC599" s="46"/>
      <c r="FED599" s="47"/>
      <c r="FEE599" s="46"/>
      <c r="FEF599" s="48"/>
      <c r="FEG599" s="53"/>
      <c r="FEN599" s="15"/>
      <c r="FEO599" s="50"/>
      <c r="FEP599" s="50"/>
      <c r="FEQ599" s="46"/>
      <c r="FER599" s="47"/>
      <c r="FES599" s="46"/>
      <c r="FET599" s="48"/>
      <c r="FEU599" s="53"/>
      <c r="FFB599" s="15"/>
      <c r="FFC599" s="50"/>
      <c r="FFD599" s="50"/>
      <c r="FFE599" s="46"/>
      <c r="FFF599" s="47"/>
      <c r="FFG599" s="46"/>
      <c r="FFH599" s="48"/>
      <c r="FFI599" s="53"/>
      <c r="FFP599" s="15"/>
      <c r="FFQ599" s="50"/>
      <c r="FFR599" s="50"/>
      <c r="FFS599" s="46"/>
      <c r="FFT599" s="47"/>
      <c r="FFU599" s="46"/>
      <c r="FFV599" s="48"/>
      <c r="FFW599" s="53"/>
      <c r="FGD599" s="15"/>
      <c r="FGE599" s="50"/>
      <c r="FGF599" s="50"/>
      <c r="FGG599" s="46"/>
      <c r="FGH599" s="47"/>
      <c r="FGI599" s="46"/>
      <c r="FGJ599" s="48"/>
      <c r="FGK599" s="53"/>
      <c r="FGR599" s="15"/>
      <c r="FGS599" s="50"/>
      <c r="FGT599" s="50"/>
      <c r="FGU599" s="46"/>
      <c r="FGV599" s="47"/>
      <c r="FGW599" s="46"/>
      <c r="FGX599" s="48"/>
      <c r="FGY599" s="53"/>
      <c r="FHF599" s="15"/>
      <c r="FHG599" s="50"/>
      <c r="FHH599" s="50"/>
      <c r="FHI599" s="46"/>
      <c r="FHJ599" s="47"/>
      <c r="FHK599" s="46"/>
      <c r="FHL599" s="48"/>
      <c r="FHM599" s="53"/>
      <c r="FHT599" s="15"/>
      <c r="FHU599" s="50"/>
      <c r="FHV599" s="50"/>
      <c r="FHW599" s="46"/>
      <c r="FHX599" s="47"/>
      <c r="FHY599" s="46"/>
      <c r="FHZ599" s="48"/>
      <c r="FIA599" s="53"/>
      <c r="FIH599" s="15"/>
      <c r="FII599" s="50"/>
      <c r="FIJ599" s="50"/>
      <c r="FIK599" s="46"/>
      <c r="FIL599" s="47"/>
      <c r="FIM599" s="46"/>
      <c r="FIN599" s="48"/>
      <c r="FIO599" s="53"/>
      <c r="FIV599" s="15"/>
      <c r="FIW599" s="50"/>
      <c r="FIX599" s="50"/>
      <c r="FIY599" s="46"/>
      <c r="FIZ599" s="47"/>
      <c r="FJA599" s="46"/>
      <c r="FJB599" s="48"/>
      <c r="FJC599" s="53"/>
      <c r="FJJ599" s="15"/>
      <c r="FJK599" s="50"/>
      <c r="FJL599" s="50"/>
      <c r="FJM599" s="46"/>
      <c r="FJN599" s="47"/>
      <c r="FJO599" s="46"/>
      <c r="FJP599" s="48"/>
      <c r="FJQ599" s="53"/>
      <c r="FJX599" s="15"/>
      <c r="FJY599" s="50"/>
      <c r="FJZ599" s="50"/>
      <c r="FKA599" s="46"/>
      <c r="FKB599" s="47"/>
      <c r="FKC599" s="46"/>
      <c r="FKD599" s="48"/>
      <c r="FKE599" s="53"/>
      <c r="FKL599" s="15"/>
      <c r="FKM599" s="50"/>
      <c r="FKN599" s="50"/>
      <c r="FKO599" s="46"/>
      <c r="FKP599" s="47"/>
      <c r="FKQ599" s="46"/>
      <c r="FKR599" s="48"/>
      <c r="FKS599" s="53"/>
      <c r="FKZ599" s="15"/>
      <c r="FLA599" s="50"/>
      <c r="FLB599" s="50"/>
      <c r="FLC599" s="46"/>
      <c r="FLD599" s="47"/>
      <c r="FLE599" s="46"/>
      <c r="FLF599" s="48"/>
      <c r="FLG599" s="53"/>
      <c r="FLN599" s="15"/>
      <c r="FLO599" s="50"/>
      <c r="FLP599" s="50"/>
      <c r="FLQ599" s="46"/>
      <c r="FLR599" s="47"/>
      <c r="FLS599" s="46"/>
      <c r="FLT599" s="48"/>
      <c r="FLU599" s="53"/>
      <c r="FMB599" s="15"/>
      <c r="FMC599" s="50"/>
      <c r="FMD599" s="50"/>
      <c r="FME599" s="46"/>
      <c r="FMF599" s="47"/>
      <c r="FMG599" s="46"/>
      <c r="FMH599" s="48"/>
      <c r="FMI599" s="53"/>
      <c r="FMP599" s="15"/>
      <c r="FMQ599" s="50"/>
      <c r="FMR599" s="50"/>
      <c r="FMS599" s="46"/>
      <c r="FMT599" s="47"/>
      <c r="FMU599" s="46"/>
      <c r="FMV599" s="48"/>
      <c r="FMW599" s="53"/>
      <c r="FND599" s="15"/>
      <c r="FNE599" s="50"/>
      <c r="FNF599" s="50"/>
      <c r="FNG599" s="46"/>
      <c r="FNH599" s="47"/>
      <c r="FNI599" s="46"/>
      <c r="FNJ599" s="48"/>
      <c r="FNK599" s="53"/>
      <c r="FNR599" s="15"/>
      <c r="FNS599" s="50"/>
      <c r="FNT599" s="50"/>
      <c r="FNU599" s="46"/>
      <c r="FNV599" s="47"/>
      <c r="FNW599" s="46"/>
      <c r="FNX599" s="48"/>
      <c r="FNY599" s="53"/>
      <c r="FOF599" s="15"/>
      <c r="FOG599" s="50"/>
      <c r="FOH599" s="50"/>
      <c r="FOI599" s="46"/>
      <c r="FOJ599" s="47"/>
      <c r="FOK599" s="46"/>
      <c r="FOL599" s="48"/>
      <c r="FOM599" s="53"/>
      <c r="FOT599" s="15"/>
      <c r="FOU599" s="50"/>
      <c r="FOV599" s="50"/>
      <c r="FOW599" s="46"/>
      <c r="FOX599" s="47"/>
      <c r="FOY599" s="46"/>
      <c r="FOZ599" s="48"/>
      <c r="FPA599" s="53"/>
      <c r="FPH599" s="15"/>
      <c r="FPI599" s="50"/>
      <c r="FPJ599" s="50"/>
      <c r="FPK599" s="46"/>
      <c r="FPL599" s="47"/>
      <c r="FPM599" s="46"/>
      <c r="FPN599" s="48"/>
      <c r="FPO599" s="53"/>
      <c r="FPV599" s="15"/>
      <c r="FPW599" s="50"/>
      <c r="FPX599" s="50"/>
      <c r="FPY599" s="46"/>
      <c r="FPZ599" s="47"/>
      <c r="FQA599" s="46"/>
      <c r="FQB599" s="48"/>
      <c r="FQC599" s="53"/>
      <c r="FQJ599" s="15"/>
      <c r="FQK599" s="50"/>
      <c r="FQL599" s="50"/>
      <c r="FQM599" s="46"/>
      <c r="FQN599" s="47"/>
      <c r="FQO599" s="46"/>
      <c r="FQP599" s="48"/>
      <c r="FQQ599" s="53"/>
      <c r="FQX599" s="15"/>
      <c r="FQY599" s="50"/>
      <c r="FQZ599" s="50"/>
      <c r="FRA599" s="46"/>
      <c r="FRB599" s="47"/>
      <c r="FRC599" s="46"/>
      <c r="FRD599" s="48"/>
      <c r="FRE599" s="53"/>
      <c r="FRL599" s="15"/>
      <c r="FRM599" s="50"/>
      <c r="FRN599" s="50"/>
      <c r="FRO599" s="46"/>
      <c r="FRP599" s="47"/>
      <c r="FRQ599" s="46"/>
      <c r="FRR599" s="48"/>
      <c r="FRS599" s="53"/>
      <c r="FRZ599" s="15"/>
      <c r="FSA599" s="50"/>
      <c r="FSB599" s="50"/>
      <c r="FSC599" s="46"/>
      <c r="FSD599" s="47"/>
      <c r="FSE599" s="46"/>
      <c r="FSF599" s="48"/>
      <c r="FSG599" s="53"/>
      <c r="FSN599" s="15"/>
      <c r="FSO599" s="50"/>
      <c r="FSP599" s="50"/>
      <c r="FSQ599" s="46"/>
      <c r="FSR599" s="47"/>
      <c r="FSS599" s="46"/>
      <c r="FST599" s="48"/>
      <c r="FSU599" s="53"/>
      <c r="FTB599" s="15"/>
      <c r="FTC599" s="50"/>
      <c r="FTD599" s="50"/>
      <c r="FTE599" s="46"/>
      <c r="FTF599" s="47"/>
      <c r="FTG599" s="46"/>
      <c r="FTH599" s="48"/>
      <c r="FTI599" s="53"/>
      <c r="FTP599" s="15"/>
      <c r="FTQ599" s="50"/>
      <c r="FTR599" s="50"/>
      <c r="FTS599" s="46"/>
      <c r="FTT599" s="47"/>
      <c r="FTU599" s="46"/>
      <c r="FTV599" s="48"/>
      <c r="FTW599" s="53"/>
      <c r="FUD599" s="15"/>
      <c r="FUE599" s="50"/>
      <c r="FUF599" s="50"/>
      <c r="FUG599" s="46"/>
      <c r="FUH599" s="47"/>
      <c r="FUI599" s="46"/>
      <c r="FUJ599" s="48"/>
      <c r="FUK599" s="53"/>
      <c r="FUR599" s="15"/>
      <c r="FUS599" s="50"/>
      <c r="FUT599" s="50"/>
      <c r="FUU599" s="46"/>
      <c r="FUV599" s="47"/>
      <c r="FUW599" s="46"/>
      <c r="FUX599" s="48"/>
      <c r="FUY599" s="53"/>
      <c r="FVF599" s="15"/>
      <c r="FVG599" s="50"/>
      <c r="FVH599" s="50"/>
      <c r="FVI599" s="46"/>
      <c r="FVJ599" s="47"/>
      <c r="FVK599" s="46"/>
      <c r="FVL599" s="48"/>
      <c r="FVM599" s="53"/>
      <c r="FVT599" s="15"/>
      <c r="FVU599" s="50"/>
      <c r="FVV599" s="50"/>
      <c r="FVW599" s="46"/>
      <c r="FVX599" s="47"/>
      <c r="FVY599" s="46"/>
      <c r="FVZ599" s="48"/>
      <c r="FWA599" s="53"/>
      <c r="FWH599" s="15"/>
      <c r="FWI599" s="50"/>
      <c r="FWJ599" s="50"/>
      <c r="FWK599" s="46"/>
      <c r="FWL599" s="47"/>
      <c r="FWM599" s="46"/>
      <c r="FWN599" s="48"/>
      <c r="FWO599" s="53"/>
      <c r="FWV599" s="15"/>
      <c r="FWW599" s="50"/>
      <c r="FWX599" s="50"/>
      <c r="FWY599" s="46"/>
      <c r="FWZ599" s="47"/>
      <c r="FXA599" s="46"/>
      <c r="FXB599" s="48"/>
      <c r="FXC599" s="53"/>
      <c r="FXJ599" s="15"/>
      <c r="FXK599" s="50"/>
      <c r="FXL599" s="50"/>
      <c r="FXM599" s="46"/>
      <c r="FXN599" s="47"/>
      <c r="FXO599" s="46"/>
      <c r="FXP599" s="48"/>
      <c r="FXQ599" s="53"/>
      <c r="FXX599" s="15"/>
      <c r="FXY599" s="50"/>
      <c r="FXZ599" s="50"/>
      <c r="FYA599" s="46"/>
      <c r="FYB599" s="47"/>
      <c r="FYC599" s="46"/>
      <c r="FYD599" s="48"/>
      <c r="FYE599" s="53"/>
      <c r="FYL599" s="15"/>
      <c r="FYM599" s="50"/>
      <c r="FYN599" s="50"/>
      <c r="FYO599" s="46"/>
      <c r="FYP599" s="47"/>
      <c r="FYQ599" s="46"/>
      <c r="FYR599" s="48"/>
      <c r="FYS599" s="53"/>
      <c r="FYZ599" s="15"/>
      <c r="FZA599" s="50"/>
      <c r="FZB599" s="50"/>
      <c r="FZC599" s="46"/>
      <c r="FZD599" s="47"/>
      <c r="FZE599" s="46"/>
      <c r="FZF599" s="48"/>
      <c r="FZG599" s="53"/>
      <c r="FZN599" s="15"/>
      <c r="FZO599" s="50"/>
      <c r="FZP599" s="50"/>
      <c r="FZQ599" s="46"/>
      <c r="FZR599" s="47"/>
      <c r="FZS599" s="46"/>
      <c r="FZT599" s="48"/>
      <c r="FZU599" s="53"/>
      <c r="GAB599" s="15"/>
      <c r="GAC599" s="50"/>
      <c r="GAD599" s="50"/>
      <c r="GAE599" s="46"/>
      <c r="GAF599" s="47"/>
      <c r="GAG599" s="46"/>
      <c r="GAH599" s="48"/>
      <c r="GAI599" s="53"/>
      <c r="GAP599" s="15"/>
      <c r="GAQ599" s="50"/>
      <c r="GAR599" s="50"/>
      <c r="GAS599" s="46"/>
      <c r="GAT599" s="47"/>
      <c r="GAU599" s="46"/>
      <c r="GAV599" s="48"/>
      <c r="GAW599" s="53"/>
      <c r="GBD599" s="15"/>
      <c r="GBE599" s="50"/>
      <c r="GBF599" s="50"/>
      <c r="GBG599" s="46"/>
      <c r="GBH599" s="47"/>
      <c r="GBI599" s="46"/>
      <c r="GBJ599" s="48"/>
      <c r="GBK599" s="53"/>
      <c r="GBR599" s="15"/>
      <c r="GBS599" s="50"/>
      <c r="GBT599" s="50"/>
      <c r="GBU599" s="46"/>
      <c r="GBV599" s="47"/>
      <c r="GBW599" s="46"/>
      <c r="GBX599" s="48"/>
      <c r="GBY599" s="53"/>
      <c r="GCF599" s="15"/>
      <c r="GCG599" s="50"/>
      <c r="GCH599" s="50"/>
      <c r="GCI599" s="46"/>
      <c r="GCJ599" s="47"/>
      <c r="GCK599" s="46"/>
      <c r="GCL599" s="48"/>
      <c r="GCM599" s="53"/>
      <c r="GCT599" s="15"/>
      <c r="GCU599" s="50"/>
      <c r="GCV599" s="50"/>
      <c r="GCW599" s="46"/>
      <c r="GCX599" s="47"/>
      <c r="GCY599" s="46"/>
      <c r="GCZ599" s="48"/>
      <c r="GDA599" s="53"/>
      <c r="GDH599" s="15"/>
      <c r="GDI599" s="50"/>
      <c r="GDJ599" s="50"/>
      <c r="GDK599" s="46"/>
      <c r="GDL599" s="47"/>
      <c r="GDM599" s="46"/>
      <c r="GDN599" s="48"/>
      <c r="GDO599" s="53"/>
      <c r="GDV599" s="15"/>
      <c r="GDW599" s="50"/>
      <c r="GDX599" s="50"/>
      <c r="GDY599" s="46"/>
      <c r="GDZ599" s="47"/>
      <c r="GEA599" s="46"/>
      <c r="GEB599" s="48"/>
      <c r="GEC599" s="53"/>
      <c r="GEJ599" s="15"/>
      <c r="GEK599" s="50"/>
      <c r="GEL599" s="50"/>
      <c r="GEM599" s="46"/>
      <c r="GEN599" s="47"/>
      <c r="GEO599" s="46"/>
      <c r="GEP599" s="48"/>
      <c r="GEQ599" s="53"/>
      <c r="GEX599" s="15"/>
      <c r="GEY599" s="50"/>
      <c r="GEZ599" s="50"/>
      <c r="GFA599" s="46"/>
      <c r="GFB599" s="47"/>
      <c r="GFC599" s="46"/>
      <c r="GFD599" s="48"/>
      <c r="GFE599" s="53"/>
      <c r="GFL599" s="15"/>
      <c r="GFM599" s="50"/>
      <c r="GFN599" s="50"/>
      <c r="GFO599" s="46"/>
      <c r="GFP599" s="47"/>
      <c r="GFQ599" s="46"/>
      <c r="GFR599" s="48"/>
      <c r="GFS599" s="53"/>
      <c r="GFZ599" s="15"/>
      <c r="GGA599" s="50"/>
      <c r="GGB599" s="50"/>
      <c r="GGC599" s="46"/>
      <c r="GGD599" s="47"/>
      <c r="GGE599" s="46"/>
      <c r="GGF599" s="48"/>
      <c r="GGG599" s="53"/>
      <c r="GGN599" s="15"/>
      <c r="GGO599" s="50"/>
      <c r="GGP599" s="50"/>
      <c r="GGQ599" s="46"/>
      <c r="GGR599" s="47"/>
      <c r="GGS599" s="46"/>
      <c r="GGT599" s="48"/>
      <c r="GGU599" s="53"/>
      <c r="GHB599" s="15"/>
      <c r="GHC599" s="50"/>
      <c r="GHD599" s="50"/>
      <c r="GHE599" s="46"/>
      <c r="GHF599" s="47"/>
      <c r="GHG599" s="46"/>
      <c r="GHH599" s="48"/>
      <c r="GHI599" s="53"/>
      <c r="GHP599" s="15"/>
      <c r="GHQ599" s="50"/>
      <c r="GHR599" s="50"/>
      <c r="GHS599" s="46"/>
      <c r="GHT599" s="47"/>
      <c r="GHU599" s="46"/>
      <c r="GHV599" s="48"/>
      <c r="GHW599" s="53"/>
      <c r="GID599" s="15"/>
      <c r="GIE599" s="50"/>
      <c r="GIF599" s="50"/>
      <c r="GIG599" s="46"/>
      <c r="GIH599" s="47"/>
      <c r="GII599" s="46"/>
      <c r="GIJ599" s="48"/>
      <c r="GIK599" s="53"/>
      <c r="GIR599" s="15"/>
      <c r="GIS599" s="50"/>
      <c r="GIT599" s="50"/>
      <c r="GIU599" s="46"/>
      <c r="GIV599" s="47"/>
      <c r="GIW599" s="46"/>
      <c r="GIX599" s="48"/>
      <c r="GIY599" s="53"/>
      <c r="GJF599" s="15"/>
      <c r="GJG599" s="50"/>
      <c r="GJH599" s="50"/>
      <c r="GJI599" s="46"/>
      <c r="GJJ599" s="47"/>
      <c r="GJK599" s="46"/>
      <c r="GJL599" s="48"/>
      <c r="GJM599" s="53"/>
      <c r="GJT599" s="15"/>
      <c r="GJU599" s="50"/>
      <c r="GJV599" s="50"/>
      <c r="GJW599" s="46"/>
      <c r="GJX599" s="47"/>
      <c r="GJY599" s="46"/>
      <c r="GJZ599" s="48"/>
      <c r="GKA599" s="53"/>
      <c r="GKH599" s="15"/>
      <c r="GKI599" s="50"/>
      <c r="GKJ599" s="50"/>
      <c r="GKK599" s="46"/>
      <c r="GKL599" s="47"/>
      <c r="GKM599" s="46"/>
      <c r="GKN599" s="48"/>
      <c r="GKO599" s="53"/>
      <c r="GKV599" s="15"/>
      <c r="GKW599" s="50"/>
      <c r="GKX599" s="50"/>
      <c r="GKY599" s="46"/>
      <c r="GKZ599" s="47"/>
      <c r="GLA599" s="46"/>
      <c r="GLB599" s="48"/>
      <c r="GLC599" s="53"/>
      <c r="GLJ599" s="15"/>
      <c r="GLK599" s="50"/>
      <c r="GLL599" s="50"/>
      <c r="GLM599" s="46"/>
      <c r="GLN599" s="47"/>
      <c r="GLO599" s="46"/>
      <c r="GLP599" s="48"/>
      <c r="GLQ599" s="53"/>
      <c r="GLX599" s="15"/>
      <c r="GLY599" s="50"/>
      <c r="GLZ599" s="50"/>
      <c r="GMA599" s="46"/>
      <c r="GMB599" s="47"/>
      <c r="GMC599" s="46"/>
      <c r="GMD599" s="48"/>
      <c r="GME599" s="53"/>
      <c r="GML599" s="15"/>
      <c r="GMM599" s="50"/>
      <c r="GMN599" s="50"/>
      <c r="GMO599" s="46"/>
      <c r="GMP599" s="47"/>
      <c r="GMQ599" s="46"/>
      <c r="GMR599" s="48"/>
      <c r="GMS599" s="53"/>
      <c r="GMZ599" s="15"/>
      <c r="GNA599" s="50"/>
      <c r="GNB599" s="50"/>
      <c r="GNC599" s="46"/>
      <c r="GND599" s="47"/>
      <c r="GNE599" s="46"/>
      <c r="GNF599" s="48"/>
      <c r="GNG599" s="53"/>
      <c r="GNN599" s="15"/>
      <c r="GNO599" s="50"/>
      <c r="GNP599" s="50"/>
      <c r="GNQ599" s="46"/>
      <c r="GNR599" s="47"/>
      <c r="GNS599" s="46"/>
      <c r="GNT599" s="48"/>
      <c r="GNU599" s="53"/>
      <c r="GOB599" s="15"/>
      <c r="GOC599" s="50"/>
      <c r="GOD599" s="50"/>
      <c r="GOE599" s="46"/>
      <c r="GOF599" s="47"/>
      <c r="GOG599" s="46"/>
      <c r="GOH599" s="48"/>
      <c r="GOI599" s="53"/>
      <c r="GOP599" s="15"/>
      <c r="GOQ599" s="50"/>
      <c r="GOR599" s="50"/>
      <c r="GOS599" s="46"/>
      <c r="GOT599" s="47"/>
      <c r="GOU599" s="46"/>
      <c r="GOV599" s="48"/>
      <c r="GOW599" s="53"/>
      <c r="GPD599" s="15"/>
      <c r="GPE599" s="50"/>
      <c r="GPF599" s="50"/>
      <c r="GPG599" s="46"/>
      <c r="GPH599" s="47"/>
      <c r="GPI599" s="46"/>
      <c r="GPJ599" s="48"/>
      <c r="GPK599" s="53"/>
      <c r="GPR599" s="15"/>
      <c r="GPS599" s="50"/>
      <c r="GPT599" s="50"/>
      <c r="GPU599" s="46"/>
      <c r="GPV599" s="47"/>
      <c r="GPW599" s="46"/>
      <c r="GPX599" s="48"/>
      <c r="GPY599" s="53"/>
      <c r="GQF599" s="15"/>
      <c r="GQG599" s="50"/>
      <c r="GQH599" s="50"/>
      <c r="GQI599" s="46"/>
      <c r="GQJ599" s="47"/>
      <c r="GQK599" s="46"/>
      <c r="GQL599" s="48"/>
      <c r="GQM599" s="53"/>
      <c r="GQT599" s="15"/>
      <c r="GQU599" s="50"/>
      <c r="GQV599" s="50"/>
      <c r="GQW599" s="46"/>
      <c r="GQX599" s="47"/>
      <c r="GQY599" s="46"/>
      <c r="GQZ599" s="48"/>
      <c r="GRA599" s="53"/>
      <c r="GRH599" s="15"/>
      <c r="GRI599" s="50"/>
      <c r="GRJ599" s="50"/>
      <c r="GRK599" s="46"/>
      <c r="GRL599" s="47"/>
      <c r="GRM599" s="46"/>
      <c r="GRN599" s="48"/>
      <c r="GRO599" s="53"/>
      <c r="GRV599" s="15"/>
      <c r="GRW599" s="50"/>
      <c r="GRX599" s="50"/>
      <c r="GRY599" s="46"/>
      <c r="GRZ599" s="47"/>
      <c r="GSA599" s="46"/>
      <c r="GSB599" s="48"/>
      <c r="GSC599" s="53"/>
      <c r="GSJ599" s="15"/>
      <c r="GSK599" s="50"/>
      <c r="GSL599" s="50"/>
      <c r="GSM599" s="46"/>
      <c r="GSN599" s="47"/>
      <c r="GSO599" s="46"/>
      <c r="GSP599" s="48"/>
      <c r="GSQ599" s="53"/>
      <c r="GSX599" s="15"/>
      <c r="GSY599" s="50"/>
      <c r="GSZ599" s="50"/>
      <c r="GTA599" s="46"/>
      <c r="GTB599" s="47"/>
      <c r="GTC599" s="46"/>
      <c r="GTD599" s="48"/>
      <c r="GTE599" s="53"/>
      <c r="GTL599" s="15"/>
      <c r="GTM599" s="50"/>
      <c r="GTN599" s="50"/>
      <c r="GTO599" s="46"/>
      <c r="GTP599" s="47"/>
      <c r="GTQ599" s="46"/>
      <c r="GTR599" s="48"/>
      <c r="GTS599" s="53"/>
      <c r="GTZ599" s="15"/>
      <c r="GUA599" s="50"/>
      <c r="GUB599" s="50"/>
      <c r="GUC599" s="46"/>
      <c r="GUD599" s="47"/>
      <c r="GUE599" s="46"/>
      <c r="GUF599" s="48"/>
      <c r="GUG599" s="53"/>
      <c r="GUN599" s="15"/>
      <c r="GUO599" s="50"/>
      <c r="GUP599" s="50"/>
      <c r="GUQ599" s="46"/>
      <c r="GUR599" s="47"/>
      <c r="GUS599" s="46"/>
      <c r="GUT599" s="48"/>
      <c r="GUU599" s="53"/>
      <c r="GVB599" s="15"/>
      <c r="GVC599" s="50"/>
      <c r="GVD599" s="50"/>
      <c r="GVE599" s="46"/>
      <c r="GVF599" s="47"/>
      <c r="GVG599" s="46"/>
      <c r="GVH599" s="48"/>
      <c r="GVI599" s="53"/>
      <c r="GVP599" s="15"/>
      <c r="GVQ599" s="50"/>
      <c r="GVR599" s="50"/>
      <c r="GVS599" s="46"/>
      <c r="GVT599" s="47"/>
      <c r="GVU599" s="46"/>
      <c r="GVV599" s="48"/>
      <c r="GVW599" s="53"/>
      <c r="GWD599" s="15"/>
      <c r="GWE599" s="50"/>
      <c r="GWF599" s="50"/>
      <c r="GWG599" s="46"/>
      <c r="GWH599" s="47"/>
      <c r="GWI599" s="46"/>
      <c r="GWJ599" s="48"/>
      <c r="GWK599" s="53"/>
      <c r="GWR599" s="15"/>
      <c r="GWS599" s="50"/>
      <c r="GWT599" s="50"/>
      <c r="GWU599" s="46"/>
      <c r="GWV599" s="47"/>
      <c r="GWW599" s="46"/>
      <c r="GWX599" s="48"/>
      <c r="GWY599" s="53"/>
      <c r="GXF599" s="15"/>
      <c r="GXG599" s="50"/>
      <c r="GXH599" s="50"/>
      <c r="GXI599" s="46"/>
      <c r="GXJ599" s="47"/>
      <c r="GXK599" s="46"/>
      <c r="GXL599" s="48"/>
      <c r="GXM599" s="53"/>
      <c r="GXT599" s="15"/>
      <c r="GXU599" s="50"/>
      <c r="GXV599" s="50"/>
      <c r="GXW599" s="46"/>
      <c r="GXX599" s="47"/>
      <c r="GXY599" s="46"/>
      <c r="GXZ599" s="48"/>
      <c r="GYA599" s="53"/>
      <c r="GYH599" s="15"/>
      <c r="GYI599" s="50"/>
      <c r="GYJ599" s="50"/>
      <c r="GYK599" s="46"/>
      <c r="GYL599" s="47"/>
      <c r="GYM599" s="46"/>
      <c r="GYN599" s="48"/>
      <c r="GYO599" s="53"/>
      <c r="GYV599" s="15"/>
      <c r="GYW599" s="50"/>
      <c r="GYX599" s="50"/>
      <c r="GYY599" s="46"/>
      <c r="GYZ599" s="47"/>
      <c r="GZA599" s="46"/>
      <c r="GZB599" s="48"/>
      <c r="GZC599" s="53"/>
      <c r="GZJ599" s="15"/>
      <c r="GZK599" s="50"/>
      <c r="GZL599" s="50"/>
      <c r="GZM599" s="46"/>
      <c r="GZN599" s="47"/>
      <c r="GZO599" s="46"/>
      <c r="GZP599" s="48"/>
      <c r="GZQ599" s="53"/>
      <c r="GZX599" s="15"/>
      <c r="GZY599" s="50"/>
      <c r="GZZ599" s="50"/>
      <c r="HAA599" s="46"/>
      <c r="HAB599" s="47"/>
      <c r="HAC599" s="46"/>
      <c r="HAD599" s="48"/>
      <c r="HAE599" s="53"/>
      <c r="HAL599" s="15"/>
      <c r="HAM599" s="50"/>
      <c r="HAN599" s="50"/>
      <c r="HAO599" s="46"/>
      <c r="HAP599" s="47"/>
      <c r="HAQ599" s="46"/>
      <c r="HAR599" s="48"/>
      <c r="HAS599" s="53"/>
      <c r="HAZ599" s="15"/>
      <c r="HBA599" s="50"/>
      <c r="HBB599" s="50"/>
      <c r="HBC599" s="46"/>
      <c r="HBD599" s="47"/>
      <c r="HBE599" s="46"/>
      <c r="HBF599" s="48"/>
      <c r="HBG599" s="53"/>
      <c r="HBN599" s="15"/>
      <c r="HBO599" s="50"/>
      <c r="HBP599" s="50"/>
      <c r="HBQ599" s="46"/>
      <c r="HBR599" s="47"/>
      <c r="HBS599" s="46"/>
      <c r="HBT599" s="48"/>
      <c r="HBU599" s="53"/>
      <c r="HCB599" s="15"/>
      <c r="HCC599" s="50"/>
      <c r="HCD599" s="50"/>
      <c r="HCE599" s="46"/>
      <c r="HCF599" s="47"/>
      <c r="HCG599" s="46"/>
      <c r="HCH599" s="48"/>
      <c r="HCI599" s="53"/>
      <c r="HCP599" s="15"/>
      <c r="HCQ599" s="50"/>
      <c r="HCR599" s="50"/>
      <c r="HCS599" s="46"/>
      <c r="HCT599" s="47"/>
      <c r="HCU599" s="46"/>
      <c r="HCV599" s="48"/>
      <c r="HCW599" s="53"/>
      <c r="HDD599" s="15"/>
      <c r="HDE599" s="50"/>
      <c r="HDF599" s="50"/>
      <c r="HDG599" s="46"/>
      <c r="HDH599" s="47"/>
      <c r="HDI599" s="46"/>
      <c r="HDJ599" s="48"/>
      <c r="HDK599" s="53"/>
      <c r="HDR599" s="15"/>
      <c r="HDS599" s="50"/>
      <c r="HDT599" s="50"/>
      <c r="HDU599" s="46"/>
      <c r="HDV599" s="47"/>
      <c r="HDW599" s="46"/>
      <c r="HDX599" s="48"/>
      <c r="HDY599" s="53"/>
      <c r="HEF599" s="15"/>
      <c r="HEG599" s="50"/>
      <c r="HEH599" s="50"/>
      <c r="HEI599" s="46"/>
      <c r="HEJ599" s="47"/>
      <c r="HEK599" s="46"/>
      <c r="HEL599" s="48"/>
      <c r="HEM599" s="53"/>
      <c r="HET599" s="15"/>
      <c r="HEU599" s="50"/>
      <c r="HEV599" s="50"/>
      <c r="HEW599" s="46"/>
      <c r="HEX599" s="47"/>
      <c r="HEY599" s="46"/>
      <c r="HEZ599" s="48"/>
      <c r="HFA599" s="53"/>
      <c r="HFH599" s="15"/>
      <c r="HFI599" s="50"/>
      <c r="HFJ599" s="50"/>
      <c r="HFK599" s="46"/>
      <c r="HFL599" s="47"/>
      <c r="HFM599" s="46"/>
      <c r="HFN599" s="48"/>
      <c r="HFO599" s="53"/>
      <c r="HFV599" s="15"/>
      <c r="HFW599" s="50"/>
      <c r="HFX599" s="50"/>
      <c r="HFY599" s="46"/>
      <c r="HFZ599" s="47"/>
      <c r="HGA599" s="46"/>
      <c r="HGB599" s="48"/>
      <c r="HGC599" s="53"/>
      <c r="HGJ599" s="15"/>
      <c r="HGK599" s="50"/>
      <c r="HGL599" s="50"/>
      <c r="HGM599" s="46"/>
      <c r="HGN599" s="47"/>
      <c r="HGO599" s="46"/>
      <c r="HGP599" s="48"/>
      <c r="HGQ599" s="53"/>
      <c r="HGX599" s="15"/>
      <c r="HGY599" s="50"/>
      <c r="HGZ599" s="50"/>
      <c r="HHA599" s="46"/>
      <c r="HHB599" s="47"/>
      <c r="HHC599" s="46"/>
      <c r="HHD599" s="48"/>
      <c r="HHE599" s="53"/>
      <c r="HHL599" s="15"/>
      <c r="HHM599" s="50"/>
      <c r="HHN599" s="50"/>
      <c r="HHO599" s="46"/>
      <c r="HHP599" s="47"/>
      <c r="HHQ599" s="46"/>
      <c r="HHR599" s="48"/>
      <c r="HHS599" s="53"/>
      <c r="HHZ599" s="15"/>
      <c r="HIA599" s="50"/>
      <c r="HIB599" s="50"/>
      <c r="HIC599" s="46"/>
      <c r="HID599" s="47"/>
      <c r="HIE599" s="46"/>
      <c r="HIF599" s="48"/>
      <c r="HIG599" s="53"/>
      <c r="HIN599" s="15"/>
      <c r="HIO599" s="50"/>
      <c r="HIP599" s="50"/>
      <c r="HIQ599" s="46"/>
      <c r="HIR599" s="47"/>
      <c r="HIS599" s="46"/>
      <c r="HIT599" s="48"/>
      <c r="HIU599" s="53"/>
      <c r="HJB599" s="15"/>
      <c r="HJC599" s="50"/>
      <c r="HJD599" s="50"/>
      <c r="HJE599" s="46"/>
      <c r="HJF599" s="47"/>
      <c r="HJG599" s="46"/>
      <c r="HJH599" s="48"/>
      <c r="HJI599" s="53"/>
      <c r="HJP599" s="15"/>
      <c r="HJQ599" s="50"/>
      <c r="HJR599" s="50"/>
      <c r="HJS599" s="46"/>
      <c r="HJT599" s="47"/>
      <c r="HJU599" s="46"/>
      <c r="HJV599" s="48"/>
      <c r="HJW599" s="53"/>
      <c r="HKD599" s="15"/>
      <c r="HKE599" s="50"/>
      <c r="HKF599" s="50"/>
      <c r="HKG599" s="46"/>
      <c r="HKH599" s="47"/>
      <c r="HKI599" s="46"/>
      <c r="HKJ599" s="48"/>
      <c r="HKK599" s="53"/>
      <c r="HKR599" s="15"/>
      <c r="HKS599" s="50"/>
      <c r="HKT599" s="50"/>
      <c r="HKU599" s="46"/>
      <c r="HKV599" s="47"/>
      <c r="HKW599" s="46"/>
      <c r="HKX599" s="48"/>
      <c r="HKY599" s="53"/>
      <c r="HLF599" s="15"/>
      <c r="HLG599" s="50"/>
      <c r="HLH599" s="50"/>
      <c r="HLI599" s="46"/>
      <c r="HLJ599" s="47"/>
      <c r="HLK599" s="46"/>
      <c r="HLL599" s="48"/>
      <c r="HLM599" s="53"/>
      <c r="HLT599" s="15"/>
      <c r="HLU599" s="50"/>
      <c r="HLV599" s="50"/>
      <c r="HLW599" s="46"/>
      <c r="HLX599" s="47"/>
      <c r="HLY599" s="46"/>
      <c r="HLZ599" s="48"/>
      <c r="HMA599" s="53"/>
      <c r="HMH599" s="15"/>
      <c r="HMI599" s="50"/>
      <c r="HMJ599" s="50"/>
      <c r="HMK599" s="46"/>
      <c r="HML599" s="47"/>
      <c r="HMM599" s="46"/>
      <c r="HMN599" s="48"/>
      <c r="HMO599" s="53"/>
      <c r="HMV599" s="15"/>
      <c r="HMW599" s="50"/>
      <c r="HMX599" s="50"/>
      <c r="HMY599" s="46"/>
      <c r="HMZ599" s="47"/>
      <c r="HNA599" s="46"/>
      <c r="HNB599" s="48"/>
      <c r="HNC599" s="53"/>
      <c r="HNJ599" s="15"/>
      <c r="HNK599" s="50"/>
      <c r="HNL599" s="50"/>
      <c r="HNM599" s="46"/>
      <c r="HNN599" s="47"/>
      <c r="HNO599" s="46"/>
      <c r="HNP599" s="48"/>
      <c r="HNQ599" s="53"/>
      <c r="HNX599" s="15"/>
      <c r="HNY599" s="50"/>
      <c r="HNZ599" s="50"/>
      <c r="HOA599" s="46"/>
      <c r="HOB599" s="47"/>
      <c r="HOC599" s="46"/>
      <c r="HOD599" s="48"/>
      <c r="HOE599" s="53"/>
      <c r="HOL599" s="15"/>
      <c r="HOM599" s="50"/>
      <c r="HON599" s="50"/>
      <c r="HOO599" s="46"/>
      <c r="HOP599" s="47"/>
      <c r="HOQ599" s="46"/>
      <c r="HOR599" s="48"/>
      <c r="HOS599" s="53"/>
      <c r="HOZ599" s="15"/>
      <c r="HPA599" s="50"/>
      <c r="HPB599" s="50"/>
      <c r="HPC599" s="46"/>
      <c r="HPD599" s="47"/>
      <c r="HPE599" s="46"/>
      <c r="HPF599" s="48"/>
      <c r="HPG599" s="53"/>
      <c r="HPN599" s="15"/>
      <c r="HPO599" s="50"/>
      <c r="HPP599" s="50"/>
      <c r="HPQ599" s="46"/>
      <c r="HPR599" s="47"/>
      <c r="HPS599" s="46"/>
      <c r="HPT599" s="48"/>
      <c r="HPU599" s="53"/>
      <c r="HQB599" s="15"/>
      <c r="HQC599" s="50"/>
      <c r="HQD599" s="50"/>
      <c r="HQE599" s="46"/>
      <c r="HQF599" s="47"/>
      <c r="HQG599" s="46"/>
      <c r="HQH599" s="48"/>
      <c r="HQI599" s="53"/>
      <c r="HQP599" s="15"/>
      <c r="HQQ599" s="50"/>
      <c r="HQR599" s="50"/>
      <c r="HQS599" s="46"/>
      <c r="HQT599" s="47"/>
      <c r="HQU599" s="46"/>
      <c r="HQV599" s="48"/>
      <c r="HQW599" s="53"/>
      <c r="HRD599" s="15"/>
      <c r="HRE599" s="50"/>
      <c r="HRF599" s="50"/>
      <c r="HRG599" s="46"/>
      <c r="HRH599" s="47"/>
      <c r="HRI599" s="46"/>
      <c r="HRJ599" s="48"/>
      <c r="HRK599" s="53"/>
      <c r="HRR599" s="15"/>
      <c r="HRS599" s="50"/>
      <c r="HRT599" s="50"/>
      <c r="HRU599" s="46"/>
      <c r="HRV599" s="47"/>
      <c r="HRW599" s="46"/>
      <c r="HRX599" s="48"/>
      <c r="HRY599" s="53"/>
      <c r="HSF599" s="15"/>
      <c r="HSG599" s="50"/>
      <c r="HSH599" s="50"/>
      <c r="HSI599" s="46"/>
      <c r="HSJ599" s="47"/>
      <c r="HSK599" s="46"/>
      <c r="HSL599" s="48"/>
      <c r="HSM599" s="53"/>
      <c r="HST599" s="15"/>
      <c r="HSU599" s="50"/>
      <c r="HSV599" s="50"/>
      <c r="HSW599" s="46"/>
      <c r="HSX599" s="47"/>
      <c r="HSY599" s="46"/>
      <c r="HSZ599" s="48"/>
      <c r="HTA599" s="53"/>
      <c r="HTH599" s="15"/>
      <c r="HTI599" s="50"/>
      <c r="HTJ599" s="50"/>
      <c r="HTK599" s="46"/>
      <c r="HTL599" s="47"/>
      <c r="HTM599" s="46"/>
      <c r="HTN599" s="48"/>
      <c r="HTO599" s="53"/>
      <c r="HTV599" s="15"/>
      <c r="HTW599" s="50"/>
      <c r="HTX599" s="50"/>
      <c r="HTY599" s="46"/>
      <c r="HTZ599" s="47"/>
      <c r="HUA599" s="46"/>
      <c r="HUB599" s="48"/>
      <c r="HUC599" s="53"/>
      <c r="HUJ599" s="15"/>
      <c r="HUK599" s="50"/>
      <c r="HUL599" s="50"/>
      <c r="HUM599" s="46"/>
      <c r="HUN599" s="47"/>
      <c r="HUO599" s="46"/>
      <c r="HUP599" s="48"/>
      <c r="HUQ599" s="53"/>
      <c r="HUX599" s="15"/>
      <c r="HUY599" s="50"/>
      <c r="HUZ599" s="50"/>
      <c r="HVA599" s="46"/>
      <c r="HVB599" s="47"/>
      <c r="HVC599" s="46"/>
      <c r="HVD599" s="48"/>
      <c r="HVE599" s="53"/>
      <c r="HVL599" s="15"/>
      <c r="HVM599" s="50"/>
      <c r="HVN599" s="50"/>
      <c r="HVO599" s="46"/>
      <c r="HVP599" s="47"/>
      <c r="HVQ599" s="46"/>
      <c r="HVR599" s="48"/>
      <c r="HVS599" s="53"/>
      <c r="HVZ599" s="15"/>
      <c r="HWA599" s="50"/>
      <c r="HWB599" s="50"/>
      <c r="HWC599" s="46"/>
      <c r="HWD599" s="47"/>
      <c r="HWE599" s="46"/>
      <c r="HWF599" s="48"/>
      <c r="HWG599" s="53"/>
      <c r="HWN599" s="15"/>
      <c r="HWO599" s="50"/>
      <c r="HWP599" s="50"/>
      <c r="HWQ599" s="46"/>
      <c r="HWR599" s="47"/>
      <c r="HWS599" s="46"/>
      <c r="HWT599" s="48"/>
      <c r="HWU599" s="53"/>
      <c r="HXB599" s="15"/>
      <c r="HXC599" s="50"/>
      <c r="HXD599" s="50"/>
      <c r="HXE599" s="46"/>
      <c r="HXF599" s="47"/>
      <c r="HXG599" s="46"/>
      <c r="HXH599" s="48"/>
      <c r="HXI599" s="53"/>
      <c r="HXP599" s="15"/>
      <c r="HXQ599" s="50"/>
      <c r="HXR599" s="50"/>
      <c r="HXS599" s="46"/>
      <c r="HXT599" s="47"/>
      <c r="HXU599" s="46"/>
      <c r="HXV599" s="48"/>
      <c r="HXW599" s="53"/>
      <c r="HYD599" s="15"/>
      <c r="HYE599" s="50"/>
      <c r="HYF599" s="50"/>
      <c r="HYG599" s="46"/>
      <c r="HYH599" s="47"/>
      <c r="HYI599" s="46"/>
      <c r="HYJ599" s="48"/>
      <c r="HYK599" s="53"/>
      <c r="HYR599" s="15"/>
      <c r="HYS599" s="50"/>
      <c r="HYT599" s="50"/>
      <c r="HYU599" s="46"/>
      <c r="HYV599" s="47"/>
      <c r="HYW599" s="46"/>
      <c r="HYX599" s="48"/>
      <c r="HYY599" s="53"/>
      <c r="HZF599" s="15"/>
      <c r="HZG599" s="50"/>
      <c r="HZH599" s="50"/>
      <c r="HZI599" s="46"/>
      <c r="HZJ599" s="47"/>
      <c r="HZK599" s="46"/>
      <c r="HZL599" s="48"/>
      <c r="HZM599" s="53"/>
      <c r="HZT599" s="15"/>
      <c r="HZU599" s="50"/>
      <c r="HZV599" s="50"/>
      <c r="HZW599" s="46"/>
      <c r="HZX599" s="47"/>
      <c r="HZY599" s="46"/>
      <c r="HZZ599" s="48"/>
      <c r="IAA599" s="53"/>
      <c r="IAH599" s="15"/>
      <c r="IAI599" s="50"/>
      <c r="IAJ599" s="50"/>
      <c r="IAK599" s="46"/>
      <c r="IAL599" s="47"/>
      <c r="IAM599" s="46"/>
      <c r="IAN599" s="48"/>
      <c r="IAO599" s="53"/>
      <c r="IAV599" s="15"/>
      <c r="IAW599" s="50"/>
      <c r="IAX599" s="50"/>
      <c r="IAY599" s="46"/>
      <c r="IAZ599" s="47"/>
      <c r="IBA599" s="46"/>
      <c r="IBB599" s="48"/>
      <c r="IBC599" s="53"/>
      <c r="IBJ599" s="15"/>
      <c r="IBK599" s="50"/>
      <c r="IBL599" s="50"/>
      <c r="IBM599" s="46"/>
      <c r="IBN599" s="47"/>
      <c r="IBO599" s="46"/>
      <c r="IBP599" s="48"/>
      <c r="IBQ599" s="53"/>
      <c r="IBX599" s="15"/>
      <c r="IBY599" s="50"/>
      <c r="IBZ599" s="50"/>
      <c r="ICA599" s="46"/>
      <c r="ICB599" s="47"/>
      <c r="ICC599" s="46"/>
      <c r="ICD599" s="48"/>
      <c r="ICE599" s="53"/>
      <c r="ICL599" s="15"/>
      <c r="ICM599" s="50"/>
      <c r="ICN599" s="50"/>
      <c r="ICO599" s="46"/>
      <c r="ICP599" s="47"/>
      <c r="ICQ599" s="46"/>
      <c r="ICR599" s="48"/>
      <c r="ICS599" s="53"/>
      <c r="ICZ599" s="15"/>
      <c r="IDA599" s="50"/>
      <c r="IDB599" s="50"/>
      <c r="IDC599" s="46"/>
      <c r="IDD599" s="47"/>
      <c r="IDE599" s="46"/>
      <c r="IDF599" s="48"/>
      <c r="IDG599" s="53"/>
      <c r="IDN599" s="15"/>
      <c r="IDO599" s="50"/>
      <c r="IDP599" s="50"/>
      <c r="IDQ599" s="46"/>
      <c r="IDR599" s="47"/>
      <c r="IDS599" s="46"/>
      <c r="IDT599" s="48"/>
      <c r="IDU599" s="53"/>
      <c r="IEB599" s="15"/>
      <c r="IEC599" s="50"/>
      <c r="IED599" s="50"/>
      <c r="IEE599" s="46"/>
      <c r="IEF599" s="47"/>
      <c r="IEG599" s="46"/>
      <c r="IEH599" s="48"/>
      <c r="IEI599" s="53"/>
      <c r="IEP599" s="15"/>
      <c r="IEQ599" s="50"/>
      <c r="IER599" s="50"/>
      <c r="IES599" s="46"/>
      <c r="IET599" s="47"/>
      <c r="IEU599" s="46"/>
      <c r="IEV599" s="48"/>
      <c r="IEW599" s="53"/>
      <c r="IFD599" s="15"/>
      <c r="IFE599" s="50"/>
      <c r="IFF599" s="50"/>
      <c r="IFG599" s="46"/>
      <c r="IFH599" s="47"/>
      <c r="IFI599" s="46"/>
      <c r="IFJ599" s="48"/>
      <c r="IFK599" s="53"/>
      <c r="IFR599" s="15"/>
      <c r="IFS599" s="50"/>
      <c r="IFT599" s="50"/>
      <c r="IFU599" s="46"/>
      <c r="IFV599" s="47"/>
      <c r="IFW599" s="46"/>
      <c r="IFX599" s="48"/>
      <c r="IFY599" s="53"/>
      <c r="IGF599" s="15"/>
      <c r="IGG599" s="50"/>
      <c r="IGH599" s="50"/>
      <c r="IGI599" s="46"/>
      <c r="IGJ599" s="47"/>
      <c r="IGK599" s="46"/>
      <c r="IGL599" s="48"/>
      <c r="IGM599" s="53"/>
      <c r="IGT599" s="15"/>
      <c r="IGU599" s="50"/>
      <c r="IGV599" s="50"/>
      <c r="IGW599" s="46"/>
      <c r="IGX599" s="47"/>
      <c r="IGY599" s="46"/>
      <c r="IGZ599" s="48"/>
      <c r="IHA599" s="53"/>
      <c r="IHH599" s="15"/>
      <c r="IHI599" s="50"/>
      <c r="IHJ599" s="50"/>
      <c r="IHK599" s="46"/>
      <c r="IHL599" s="47"/>
      <c r="IHM599" s="46"/>
      <c r="IHN599" s="48"/>
      <c r="IHO599" s="53"/>
      <c r="IHV599" s="15"/>
      <c r="IHW599" s="50"/>
      <c r="IHX599" s="50"/>
      <c r="IHY599" s="46"/>
      <c r="IHZ599" s="47"/>
      <c r="IIA599" s="46"/>
      <c r="IIB599" s="48"/>
      <c r="IIC599" s="53"/>
      <c r="IIJ599" s="15"/>
      <c r="IIK599" s="50"/>
      <c r="IIL599" s="50"/>
      <c r="IIM599" s="46"/>
      <c r="IIN599" s="47"/>
      <c r="IIO599" s="46"/>
      <c r="IIP599" s="48"/>
      <c r="IIQ599" s="53"/>
      <c r="IIX599" s="15"/>
      <c r="IIY599" s="50"/>
      <c r="IIZ599" s="50"/>
      <c r="IJA599" s="46"/>
      <c r="IJB599" s="47"/>
      <c r="IJC599" s="46"/>
      <c r="IJD599" s="48"/>
      <c r="IJE599" s="53"/>
      <c r="IJL599" s="15"/>
      <c r="IJM599" s="50"/>
      <c r="IJN599" s="50"/>
      <c r="IJO599" s="46"/>
      <c r="IJP599" s="47"/>
      <c r="IJQ599" s="46"/>
      <c r="IJR599" s="48"/>
      <c r="IJS599" s="53"/>
      <c r="IJZ599" s="15"/>
      <c r="IKA599" s="50"/>
      <c r="IKB599" s="50"/>
      <c r="IKC599" s="46"/>
      <c r="IKD599" s="47"/>
      <c r="IKE599" s="46"/>
      <c r="IKF599" s="48"/>
      <c r="IKG599" s="53"/>
      <c r="IKN599" s="15"/>
      <c r="IKO599" s="50"/>
      <c r="IKP599" s="50"/>
      <c r="IKQ599" s="46"/>
      <c r="IKR599" s="47"/>
      <c r="IKS599" s="46"/>
      <c r="IKT599" s="48"/>
      <c r="IKU599" s="53"/>
      <c r="ILB599" s="15"/>
      <c r="ILC599" s="50"/>
      <c r="ILD599" s="50"/>
      <c r="ILE599" s="46"/>
      <c r="ILF599" s="47"/>
      <c r="ILG599" s="46"/>
      <c r="ILH599" s="48"/>
      <c r="ILI599" s="53"/>
      <c r="ILP599" s="15"/>
      <c r="ILQ599" s="50"/>
      <c r="ILR599" s="50"/>
      <c r="ILS599" s="46"/>
      <c r="ILT599" s="47"/>
      <c r="ILU599" s="46"/>
      <c r="ILV599" s="48"/>
      <c r="ILW599" s="53"/>
      <c r="IMD599" s="15"/>
      <c r="IME599" s="50"/>
      <c r="IMF599" s="50"/>
      <c r="IMG599" s="46"/>
      <c r="IMH599" s="47"/>
      <c r="IMI599" s="46"/>
      <c r="IMJ599" s="48"/>
      <c r="IMK599" s="53"/>
      <c r="IMR599" s="15"/>
      <c r="IMS599" s="50"/>
      <c r="IMT599" s="50"/>
      <c r="IMU599" s="46"/>
      <c r="IMV599" s="47"/>
      <c r="IMW599" s="46"/>
      <c r="IMX599" s="48"/>
      <c r="IMY599" s="53"/>
      <c r="INF599" s="15"/>
      <c r="ING599" s="50"/>
      <c r="INH599" s="50"/>
      <c r="INI599" s="46"/>
      <c r="INJ599" s="47"/>
      <c r="INK599" s="46"/>
      <c r="INL599" s="48"/>
      <c r="INM599" s="53"/>
      <c r="INT599" s="15"/>
      <c r="INU599" s="50"/>
      <c r="INV599" s="50"/>
      <c r="INW599" s="46"/>
      <c r="INX599" s="47"/>
      <c r="INY599" s="46"/>
      <c r="INZ599" s="48"/>
      <c r="IOA599" s="53"/>
      <c r="IOH599" s="15"/>
      <c r="IOI599" s="50"/>
      <c r="IOJ599" s="50"/>
      <c r="IOK599" s="46"/>
      <c r="IOL599" s="47"/>
      <c r="IOM599" s="46"/>
      <c r="ION599" s="48"/>
      <c r="IOO599" s="53"/>
      <c r="IOV599" s="15"/>
      <c r="IOW599" s="50"/>
      <c r="IOX599" s="50"/>
      <c r="IOY599" s="46"/>
      <c r="IOZ599" s="47"/>
      <c r="IPA599" s="46"/>
      <c r="IPB599" s="48"/>
      <c r="IPC599" s="53"/>
      <c r="IPJ599" s="15"/>
      <c r="IPK599" s="50"/>
      <c r="IPL599" s="50"/>
      <c r="IPM599" s="46"/>
      <c r="IPN599" s="47"/>
      <c r="IPO599" s="46"/>
      <c r="IPP599" s="48"/>
      <c r="IPQ599" s="53"/>
      <c r="IPX599" s="15"/>
      <c r="IPY599" s="50"/>
      <c r="IPZ599" s="50"/>
      <c r="IQA599" s="46"/>
      <c r="IQB599" s="47"/>
      <c r="IQC599" s="46"/>
      <c r="IQD599" s="48"/>
      <c r="IQE599" s="53"/>
      <c r="IQL599" s="15"/>
      <c r="IQM599" s="50"/>
      <c r="IQN599" s="50"/>
      <c r="IQO599" s="46"/>
      <c r="IQP599" s="47"/>
      <c r="IQQ599" s="46"/>
      <c r="IQR599" s="48"/>
      <c r="IQS599" s="53"/>
      <c r="IQZ599" s="15"/>
      <c r="IRA599" s="50"/>
      <c r="IRB599" s="50"/>
      <c r="IRC599" s="46"/>
      <c r="IRD599" s="47"/>
      <c r="IRE599" s="46"/>
      <c r="IRF599" s="48"/>
      <c r="IRG599" s="53"/>
      <c r="IRN599" s="15"/>
      <c r="IRO599" s="50"/>
      <c r="IRP599" s="50"/>
      <c r="IRQ599" s="46"/>
      <c r="IRR599" s="47"/>
      <c r="IRS599" s="46"/>
      <c r="IRT599" s="48"/>
      <c r="IRU599" s="53"/>
      <c r="ISB599" s="15"/>
      <c r="ISC599" s="50"/>
      <c r="ISD599" s="50"/>
      <c r="ISE599" s="46"/>
      <c r="ISF599" s="47"/>
      <c r="ISG599" s="46"/>
      <c r="ISH599" s="48"/>
      <c r="ISI599" s="53"/>
      <c r="ISP599" s="15"/>
      <c r="ISQ599" s="50"/>
      <c r="ISR599" s="50"/>
      <c r="ISS599" s="46"/>
      <c r="IST599" s="47"/>
      <c r="ISU599" s="46"/>
      <c r="ISV599" s="48"/>
      <c r="ISW599" s="53"/>
      <c r="ITD599" s="15"/>
      <c r="ITE599" s="50"/>
      <c r="ITF599" s="50"/>
      <c r="ITG599" s="46"/>
      <c r="ITH599" s="47"/>
      <c r="ITI599" s="46"/>
      <c r="ITJ599" s="48"/>
      <c r="ITK599" s="53"/>
      <c r="ITR599" s="15"/>
      <c r="ITS599" s="50"/>
      <c r="ITT599" s="50"/>
      <c r="ITU599" s="46"/>
      <c r="ITV599" s="47"/>
      <c r="ITW599" s="46"/>
      <c r="ITX599" s="48"/>
      <c r="ITY599" s="53"/>
      <c r="IUF599" s="15"/>
      <c r="IUG599" s="50"/>
      <c r="IUH599" s="50"/>
      <c r="IUI599" s="46"/>
      <c r="IUJ599" s="47"/>
      <c r="IUK599" s="46"/>
      <c r="IUL599" s="48"/>
      <c r="IUM599" s="53"/>
      <c r="IUT599" s="15"/>
      <c r="IUU599" s="50"/>
      <c r="IUV599" s="50"/>
      <c r="IUW599" s="46"/>
      <c r="IUX599" s="47"/>
      <c r="IUY599" s="46"/>
      <c r="IUZ599" s="48"/>
      <c r="IVA599" s="53"/>
      <c r="IVH599" s="15"/>
      <c r="IVI599" s="50"/>
      <c r="IVJ599" s="50"/>
      <c r="IVK599" s="46"/>
      <c r="IVL599" s="47"/>
      <c r="IVM599" s="46"/>
      <c r="IVN599" s="48"/>
      <c r="IVO599" s="53"/>
      <c r="IVV599" s="15"/>
      <c r="IVW599" s="50"/>
      <c r="IVX599" s="50"/>
      <c r="IVY599" s="46"/>
      <c r="IVZ599" s="47"/>
      <c r="IWA599" s="46"/>
      <c r="IWB599" s="48"/>
      <c r="IWC599" s="53"/>
      <c r="IWJ599" s="15"/>
      <c r="IWK599" s="50"/>
      <c r="IWL599" s="50"/>
      <c r="IWM599" s="46"/>
      <c r="IWN599" s="47"/>
      <c r="IWO599" s="46"/>
      <c r="IWP599" s="48"/>
      <c r="IWQ599" s="53"/>
      <c r="IWX599" s="15"/>
      <c r="IWY599" s="50"/>
      <c r="IWZ599" s="50"/>
      <c r="IXA599" s="46"/>
      <c r="IXB599" s="47"/>
      <c r="IXC599" s="46"/>
      <c r="IXD599" s="48"/>
      <c r="IXE599" s="53"/>
      <c r="IXL599" s="15"/>
      <c r="IXM599" s="50"/>
      <c r="IXN599" s="50"/>
      <c r="IXO599" s="46"/>
      <c r="IXP599" s="47"/>
      <c r="IXQ599" s="46"/>
      <c r="IXR599" s="48"/>
      <c r="IXS599" s="53"/>
      <c r="IXZ599" s="15"/>
      <c r="IYA599" s="50"/>
      <c r="IYB599" s="50"/>
      <c r="IYC599" s="46"/>
      <c r="IYD599" s="47"/>
      <c r="IYE599" s="46"/>
      <c r="IYF599" s="48"/>
      <c r="IYG599" s="53"/>
      <c r="IYN599" s="15"/>
      <c r="IYO599" s="50"/>
      <c r="IYP599" s="50"/>
      <c r="IYQ599" s="46"/>
      <c r="IYR599" s="47"/>
      <c r="IYS599" s="46"/>
      <c r="IYT599" s="48"/>
      <c r="IYU599" s="53"/>
      <c r="IZB599" s="15"/>
      <c r="IZC599" s="50"/>
      <c r="IZD599" s="50"/>
      <c r="IZE599" s="46"/>
      <c r="IZF599" s="47"/>
      <c r="IZG599" s="46"/>
      <c r="IZH599" s="48"/>
      <c r="IZI599" s="53"/>
      <c r="IZP599" s="15"/>
      <c r="IZQ599" s="50"/>
      <c r="IZR599" s="50"/>
      <c r="IZS599" s="46"/>
      <c r="IZT599" s="47"/>
      <c r="IZU599" s="46"/>
      <c r="IZV599" s="48"/>
      <c r="IZW599" s="53"/>
      <c r="JAD599" s="15"/>
      <c r="JAE599" s="50"/>
      <c r="JAF599" s="50"/>
      <c r="JAG599" s="46"/>
      <c r="JAH599" s="47"/>
      <c r="JAI599" s="46"/>
      <c r="JAJ599" s="48"/>
      <c r="JAK599" s="53"/>
      <c r="JAR599" s="15"/>
      <c r="JAS599" s="50"/>
      <c r="JAT599" s="50"/>
      <c r="JAU599" s="46"/>
      <c r="JAV599" s="47"/>
      <c r="JAW599" s="46"/>
      <c r="JAX599" s="48"/>
      <c r="JAY599" s="53"/>
      <c r="JBF599" s="15"/>
      <c r="JBG599" s="50"/>
      <c r="JBH599" s="50"/>
      <c r="JBI599" s="46"/>
      <c r="JBJ599" s="47"/>
      <c r="JBK599" s="46"/>
      <c r="JBL599" s="48"/>
      <c r="JBM599" s="53"/>
      <c r="JBT599" s="15"/>
      <c r="JBU599" s="50"/>
      <c r="JBV599" s="50"/>
      <c r="JBW599" s="46"/>
      <c r="JBX599" s="47"/>
      <c r="JBY599" s="46"/>
      <c r="JBZ599" s="48"/>
      <c r="JCA599" s="53"/>
      <c r="JCH599" s="15"/>
      <c r="JCI599" s="50"/>
      <c r="JCJ599" s="50"/>
      <c r="JCK599" s="46"/>
      <c r="JCL599" s="47"/>
      <c r="JCM599" s="46"/>
      <c r="JCN599" s="48"/>
      <c r="JCO599" s="53"/>
      <c r="JCV599" s="15"/>
      <c r="JCW599" s="50"/>
      <c r="JCX599" s="50"/>
      <c r="JCY599" s="46"/>
      <c r="JCZ599" s="47"/>
      <c r="JDA599" s="46"/>
      <c r="JDB599" s="48"/>
      <c r="JDC599" s="53"/>
      <c r="JDJ599" s="15"/>
      <c r="JDK599" s="50"/>
      <c r="JDL599" s="50"/>
      <c r="JDM599" s="46"/>
      <c r="JDN599" s="47"/>
      <c r="JDO599" s="46"/>
      <c r="JDP599" s="48"/>
      <c r="JDQ599" s="53"/>
      <c r="JDX599" s="15"/>
      <c r="JDY599" s="50"/>
      <c r="JDZ599" s="50"/>
      <c r="JEA599" s="46"/>
      <c r="JEB599" s="47"/>
      <c r="JEC599" s="46"/>
      <c r="JED599" s="48"/>
      <c r="JEE599" s="53"/>
      <c r="JEL599" s="15"/>
      <c r="JEM599" s="50"/>
      <c r="JEN599" s="50"/>
      <c r="JEO599" s="46"/>
      <c r="JEP599" s="47"/>
      <c r="JEQ599" s="46"/>
      <c r="JER599" s="48"/>
      <c r="JES599" s="53"/>
      <c r="JEZ599" s="15"/>
      <c r="JFA599" s="50"/>
      <c r="JFB599" s="50"/>
      <c r="JFC599" s="46"/>
      <c r="JFD599" s="47"/>
      <c r="JFE599" s="46"/>
      <c r="JFF599" s="48"/>
      <c r="JFG599" s="53"/>
      <c r="JFN599" s="15"/>
      <c r="JFO599" s="50"/>
      <c r="JFP599" s="50"/>
      <c r="JFQ599" s="46"/>
      <c r="JFR599" s="47"/>
      <c r="JFS599" s="46"/>
      <c r="JFT599" s="48"/>
      <c r="JFU599" s="53"/>
      <c r="JGB599" s="15"/>
      <c r="JGC599" s="50"/>
      <c r="JGD599" s="50"/>
      <c r="JGE599" s="46"/>
      <c r="JGF599" s="47"/>
      <c r="JGG599" s="46"/>
      <c r="JGH599" s="48"/>
      <c r="JGI599" s="53"/>
      <c r="JGP599" s="15"/>
      <c r="JGQ599" s="50"/>
      <c r="JGR599" s="50"/>
      <c r="JGS599" s="46"/>
      <c r="JGT599" s="47"/>
      <c r="JGU599" s="46"/>
      <c r="JGV599" s="48"/>
      <c r="JGW599" s="53"/>
      <c r="JHD599" s="15"/>
      <c r="JHE599" s="50"/>
      <c r="JHF599" s="50"/>
      <c r="JHG599" s="46"/>
      <c r="JHH599" s="47"/>
      <c r="JHI599" s="46"/>
      <c r="JHJ599" s="48"/>
      <c r="JHK599" s="53"/>
      <c r="JHR599" s="15"/>
      <c r="JHS599" s="50"/>
      <c r="JHT599" s="50"/>
      <c r="JHU599" s="46"/>
      <c r="JHV599" s="47"/>
      <c r="JHW599" s="46"/>
      <c r="JHX599" s="48"/>
      <c r="JHY599" s="53"/>
      <c r="JIF599" s="15"/>
      <c r="JIG599" s="50"/>
      <c r="JIH599" s="50"/>
      <c r="JII599" s="46"/>
      <c r="JIJ599" s="47"/>
      <c r="JIK599" s="46"/>
      <c r="JIL599" s="48"/>
      <c r="JIM599" s="53"/>
      <c r="JIT599" s="15"/>
      <c r="JIU599" s="50"/>
      <c r="JIV599" s="50"/>
      <c r="JIW599" s="46"/>
      <c r="JIX599" s="47"/>
      <c r="JIY599" s="46"/>
      <c r="JIZ599" s="48"/>
      <c r="JJA599" s="53"/>
      <c r="JJH599" s="15"/>
      <c r="JJI599" s="50"/>
      <c r="JJJ599" s="50"/>
      <c r="JJK599" s="46"/>
      <c r="JJL599" s="47"/>
      <c r="JJM599" s="46"/>
      <c r="JJN599" s="48"/>
      <c r="JJO599" s="53"/>
      <c r="JJV599" s="15"/>
      <c r="JJW599" s="50"/>
      <c r="JJX599" s="50"/>
      <c r="JJY599" s="46"/>
      <c r="JJZ599" s="47"/>
      <c r="JKA599" s="46"/>
      <c r="JKB599" s="48"/>
      <c r="JKC599" s="53"/>
      <c r="JKJ599" s="15"/>
      <c r="JKK599" s="50"/>
      <c r="JKL599" s="50"/>
      <c r="JKM599" s="46"/>
      <c r="JKN599" s="47"/>
      <c r="JKO599" s="46"/>
      <c r="JKP599" s="48"/>
      <c r="JKQ599" s="53"/>
      <c r="JKX599" s="15"/>
      <c r="JKY599" s="50"/>
      <c r="JKZ599" s="50"/>
      <c r="JLA599" s="46"/>
      <c r="JLB599" s="47"/>
      <c r="JLC599" s="46"/>
      <c r="JLD599" s="48"/>
      <c r="JLE599" s="53"/>
      <c r="JLL599" s="15"/>
      <c r="JLM599" s="50"/>
      <c r="JLN599" s="50"/>
      <c r="JLO599" s="46"/>
      <c r="JLP599" s="47"/>
      <c r="JLQ599" s="46"/>
      <c r="JLR599" s="48"/>
      <c r="JLS599" s="53"/>
      <c r="JLZ599" s="15"/>
      <c r="JMA599" s="50"/>
      <c r="JMB599" s="50"/>
      <c r="JMC599" s="46"/>
      <c r="JMD599" s="47"/>
      <c r="JME599" s="46"/>
      <c r="JMF599" s="48"/>
      <c r="JMG599" s="53"/>
      <c r="JMN599" s="15"/>
      <c r="JMO599" s="50"/>
      <c r="JMP599" s="50"/>
      <c r="JMQ599" s="46"/>
      <c r="JMR599" s="47"/>
      <c r="JMS599" s="46"/>
      <c r="JMT599" s="48"/>
      <c r="JMU599" s="53"/>
      <c r="JNB599" s="15"/>
      <c r="JNC599" s="50"/>
      <c r="JND599" s="50"/>
      <c r="JNE599" s="46"/>
      <c r="JNF599" s="47"/>
      <c r="JNG599" s="46"/>
      <c r="JNH599" s="48"/>
      <c r="JNI599" s="53"/>
      <c r="JNP599" s="15"/>
      <c r="JNQ599" s="50"/>
      <c r="JNR599" s="50"/>
      <c r="JNS599" s="46"/>
      <c r="JNT599" s="47"/>
      <c r="JNU599" s="46"/>
      <c r="JNV599" s="48"/>
      <c r="JNW599" s="53"/>
      <c r="JOD599" s="15"/>
      <c r="JOE599" s="50"/>
      <c r="JOF599" s="50"/>
      <c r="JOG599" s="46"/>
      <c r="JOH599" s="47"/>
      <c r="JOI599" s="46"/>
      <c r="JOJ599" s="48"/>
      <c r="JOK599" s="53"/>
      <c r="JOR599" s="15"/>
      <c r="JOS599" s="50"/>
      <c r="JOT599" s="50"/>
      <c r="JOU599" s="46"/>
      <c r="JOV599" s="47"/>
      <c r="JOW599" s="46"/>
      <c r="JOX599" s="48"/>
      <c r="JOY599" s="53"/>
      <c r="JPF599" s="15"/>
      <c r="JPG599" s="50"/>
      <c r="JPH599" s="50"/>
      <c r="JPI599" s="46"/>
      <c r="JPJ599" s="47"/>
      <c r="JPK599" s="46"/>
      <c r="JPL599" s="48"/>
      <c r="JPM599" s="53"/>
      <c r="JPT599" s="15"/>
      <c r="JPU599" s="50"/>
      <c r="JPV599" s="50"/>
      <c r="JPW599" s="46"/>
      <c r="JPX599" s="47"/>
      <c r="JPY599" s="46"/>
      <c r="JPZ599" s="48"/>
      <c r="JQA599" s="53"/>
      <c r="JQH599" s="15"/>
      <c r="JQI599" s="50"/>
      <c r="JQJ599" s="50"/>
      <c r="JQK599" s="46"/>
      <c r="JQL599" s="47"/>
      <c r="JQM599" s="46"/>
      <c r="JQN599" s="48"/>
      <c r="JQO599" s="53"/>
      <c r="JQV599" s="15"/>
      <c r="JQW599" s="50"/>
      <c r="JQX599" s="50"/>
      <c r="JQY599" s="46"/>
      <c r="JQZ599" s="47"/>
      <c r="JRA599" s="46"/>
      <c r="JRB599" s="48"/>
      <c r="JRC599" s="53"/>
      <c r="JRJ599" s="15"/>
      <c r="JRK599" s="50"/>
      <c r="JRL599" s="50"/>
      <c r="JRM599" s="46"/>
      <c r="JRN599" s="47"/>
      <c r="JRO599" s="46"/>
      <c r="JRP599" s="48"/>
      <c r="JRQ599" s="53"/>
      <c r="JRX599" s="15"/>
      <c r="JRY599" s="50"/>
      <c r="JRZ599" s="50"/>
      <c r="JSA599" s="46"/>
      <c r="JSB599" s="47"/>
      <c r="JSC599" s="46"/>
      <c r="JSD599" s="48"/>
      <c r="JSE599" s="53"/>
      <c r="JSL599" s="15"/>
      <c r="JSM599" s="50"/>
      <c r="JSN599" s="50"/>
      <c r="JSO599" s="46"/>
      <c r="JSP599" s="47"/>
      <c r="JSQ599" s="46"/>
      <c r="JSR599" s="48"/>
      <c r="JSS599" s="53"/>
      <c r="JSZ599" s="15"/>
      <c r="JTA599" s="50"/>
      <c r="JTB599" s="50"/>
      <c r="JTC599" s="46"/>
      <c r="JTD599" s="47"/>
      <c r="JTE599" s="46"/>
      <c r="JTF599" s="48"/>
      <c r="JTG599" s="53"/>
      <c r="JTN599" s="15"/>
      <c r="JTO599" s="50"/>
      <c r="JTP599" s="50"/>
      <c r="JTQ599" s="46"/>
      <c r="JTR599" s="47"/>
      <c r="JTS599" s="46"/>
      <c r="JTT599" s="48"/>
      <c r="JTU599" s="53"/>
      <c r="JUB599" s="15"/>
      <c r="JUC599" s="50"/>
      <c r="JUD599" s="50"/>
      <c r="JUE599" s="46"/>
      <c r="JUF599" s="47"/>
      <c r="JUG599" s="46"/>
      <c r="JUH599" s="48"/>
      <c r="JUI599" s="53"/>
      <c r="JUP599" s="15"/>
      <c r="JUQ599" s="50"/>
      <c r="JUR599" s="50"/>
      <c r="JUS599" s="46"/>
      <c r="JUT599" s="47"/>
      <c r="JUU599" s="46"/>
      <c r="JUV599" s="48"/>
      <c r="JUW599" s="53"/>
      <c r="JVD599" s="15"/>
      <c r="JVE599" s="50"/>
      <c r="JVF599" s="50"/>
      <c r="JVG599" s="46"/>
      <c r="JVH599" s="47"/>
      <c r="JVI599" s="46"/>
      <c r="JVJ599" s="48"/>
      <c r="JVK599" s="53"/>
      <c r="JVR599" s="15"/>
      <c r="JVS599" s="50"/>
      <c r="JVT599" s="50"/>
      <c r="JVU599" s="46"/>
      <c r="JVV599" s="47"/>
      <c r="JVW599" s="46"/>
      <c r="JVX599" s="48"/>
      <c r="JVY599" s="53"/>
      <c r="JWF599" s="15"/>
      <c r="JWG599" s="50"/>
      <c r="JWH599" s="50"/>
      <c r="JWI599" s="46"/>
      <c r="JWJ599" s="47"/>
      <c r="JWK599" s="46"/>
      <c r="JWL599" s="48"/>
      <c r="JWM599" s="53"/>
      <c r="JWT599" s="15"/>
      <c r="JWU599" s="50"/>
      <c r="JWV599" s="50"/>
      <c r="JWW599" s="46"/>
      <c r="JWX599" s="47"/>
      <c r="JWY599" s="46"/>
      <c r="JWZ599" s="48"/>
      <c r="JXA599" s="53"/>
      <c r="JXH599" s="15"/>
      <c r="JXI599" s="50"/>
      <c r="JXJ599" s="50"/>
      <c r="JXK599" s="46"/>
      <c r="JXL599" s="47"/>
      <c r="JXM599" s="46"/>
      <c r="JXN599" s="48"/>
      <c r="JXO599" s="53"/>
      <c r="JXV599" s="15"/>
      <c r="JXW599" s="50"/>
      <c r="JXX599" s="50"/>
      <c r="JXY599" s="46"/>
      <c r="JXZ599" s="47"/>
      <c r="JYA599" s="46"/>
      <c r="JYB599" s="48"/>
      <c r="JYC599" s="53"/>
      <c r="JYJ599" s="15"/>
      <c r="JYK599" s="50"/>
      <c r="JYL599" s="50"/>
      <c r="JYM599" s="46"/>
      <c r="JYN599" s="47"/>
      <c r="JYO599" s="46"/>
      <c r="JYP599" s="48"/>
      <c r="JYQ599" s="53"/>
      <c r="JYX599" s="15"/>
      <c r="JYY599" s="50"/>
      <c r="JYZ599" s="50"/>
      <c r="JZA599" s="46"/>
      <c r="JZB599" s="47"/>
      <c r="JZC599" s="46"/>
      <c r="JZD599" s="48"/>
      <c r="JZE599" s="53"/>
      <c r="JZL599" s="15"/>
      <c r="JZM599" s="50"/>
      <c r="JZN599" s="50"/>
      <c r="JZO599" s="46"/>
      <c r="JZP599" s="47"/>
      <c r="JZQ599" s="46"/>
      <c r="JZR599" s="48"/>
      <c r="JZS599" s="53"/>
      <c r="JZZ599" s="15"/>
      <c r="KAA599" s="50"/>
      <c r="KAB599" s="50"/>
      <c r="KAC599" s="46"/>
      <c r="KAD599" s="47"/>
      <c r="KAE599" s="46"/>
      <c r="KAF599" s="48"/>
      <c r="KAG599" s="53"/>
      <c r="KAN599" s="15"/>
      <c r="KAO599" s="50"/>
      <c r="KAP599" s="50"/>
      <c r="KAQ599" s="46"/>
      <c r="KAR599" s="47"/>
      <c r="KAS599" s="46"/>
      <c r="KAT599" s="48"/>
      <c r="KAU599" s="53"/>
      <c r="KBB599" s="15"/>
      <c r="KBC599" s="50"/>
      <c r="KBD599" s="50"/>
      <c r="KBE599" s="46"/>
      <c r="KBF599" s="47"/>
      <c r="KBG599" s="46"/>
      <c r="KBH599" s="48"/>
      <c r="KBI599" s="53"/>
      <c r="KBP599" s="15"/>
      <c r="KBQ599" s="50"/>
      <c r="KBR599" s="50"/>
      <c r="KBS599" s="46"/>
      <c r="KBT599" s="47"/>
      <c r="KBU599" s="46"/>
      <c r="KBV599" s="48"/>
      <c r="KBW599" s="53"/>
      <c r="KCD599" s="15"/>
      <c r="KCE599" s="50"/>
      <c r="KCF599" s="50"/>
      <c r="KCG599" s="46"/>
      <c r="KCH599" s="47"/>
      <c r="KCI599" s="46"/>
      <c r="KCJ599" s="48"/>
      <c r="KCK599" s="53"/>
      <c r="KCR599" s="15"/>
      <c r="KCS599" s="50"/>
      <c r="KCT599" s="50"/>
      <c r="KCU599" s="46"/>
      <c r="KCV599" s="47"/>
      <c r="KCW599" s="46"/>
      <c r="KCX599" s="48"/>
      <c r="KCY599" s="53"/>
      <c r="KDF599" s="15"/>
      <c r="KDG599" s="50"/>
      <c r="KDH599" s="50"/>
      <c r="KDI599" s="46"/>
      <c r="KDJ599" s="47"/>
      <c r="KDK599" s="46"/>
      <c r="KDL599" s="48"/>
      <c r="KDM599" s="53"/>
      <c r="KDT599" s="15"/>
      <c r="KDU599" s="50"/>
      <c r="KDV599" s="50"/>
      <c r="KDW599" s="46"/>
      <c r="KDX599" s="47"/>
      <c r="KDY599" s="46"/>
      <c r="KDZ599" s="48"/>
      <c r="KEA599" s="53"/>
      <c r="KEH599" s="15"/>
      <c r="KEI599" s="50"/>
      <c r="KEJ599" s="50"/>
      <c r="KEK599" s="46"/>
      <c r="KEL599" s="47"/>
      <c r="KEM599" s="46"/>
      <c r="KEN599" s="48"/>
      <c r="KEO599" s="53"/>
      <c r="KEV599" s="15"/>
      <c r="KEW599" s="50"/>
      <c r="KEX599" s="50"/>
      <c r="KEY599" s="46"/>
      <c r="KEZ599" s="47"/>
      <c r="KFA599" s="46"/>
      <c r="KFB599" s="48"/>
      <c r="KFC599" s="53"/>
      <c r="KFJ599" s="15"/>
      <c r="KFK599" s="50"/>
      <c r="KFL599" s="50"/>
      <c r="KFM599" s="46"/>
      <c r="KFN599" s="47"/>
      <c r="KFO599" s="46"/>
      <c r="KFP599" s="48"/>
      <c r="KFQ599" s="53"/>
      <c r="KFX599" s="15"/>
      <c r="KFY599" s="50"/>
      <c r="KFZ599" s="50"/>
      <c r="KGA599" s="46"/>
      <c r="KGB599" s="47"/>
      <c r="KGC599" s="46"/>
      <c r="KGD599" s="48"/>
      <c r="KGE599" s="53"/>
      <c r="KGL599" s="15"/>
      <c r="KGM599" s="50"/>
      <c r="KGN599" s="50"/>
      <c r="KGO599" s="46"/>
      <c r="KGP599" s="47"/>
      <c r="KGQ599" s="46"/>
      <c r="KGR599" s="48"/>
      <c r="KGS599" s="53"/>
      <c r="KGZ599" s="15"/>
      <c r="KHA599" s="50"/>
      <c r="KHB599" s="50"/>
      <c r="KHC599" s="46"/>
      <c r="KHD599" s="47"/>
      <c r="KHE599" s="46"/>
      <c r="KHF599" s="48"/>
      <c r="KHG599" s="53"/>
      <c r="KHN599" s="15"/>
      <c r="KHO599" s="50"/>
      <c r="KHP599" s="50"/>
      <c r="KHQ599" s="46"/>
      <c r="KHR599" s="47"/>
      <c r="KHS599" s="46"/>
      <c r="KHT599" s="48"/>
      <c r="KHU599" s="53"/>
      <c r="KIB599" s="15"/>
      <c r="KIC599" s="50"/>
      <c r="KID599" s="50"/>
      <c r="KIE599" s="46"/>
      <c r="KIF599" s="47"/>
      <c r="KIG599" s="46"/>
      <c r="KIH599" s="48"/>
      <c r="KII599" s="53"/>
      <c r="KIP599" s="15"/>
      <c r="KIQ599" s="50"/>
      <c r="KIR599" s="50"/>
      <c r="KIS599" s="46"/>
      <c r="KIT599" s="47"/>
      <c r="KIU599" s="46"/>
      <c r="KIV599" s="48"/>
      <c r="KIW599" s="53"/>
      <c r="KJD599" s="15"/>
      <c r="KJE599" s="50"/>
      <c r="KJF599" s="50"/>
      <c r="KJG599" s="46"/>
      <c r="KJH599" s="47"/>
      <c r="KJI599" s="46"/>
      <c r="KJJ599" s="48"/>
      <c r="KJK599" s="53"/>
      <c r="KJR599" s="15"/>
      <c r="KJS599" s="50"/>
      <c r="KJT599" s="50"/>
      <c r="KJU599" s="46"/>
      <c r="KJV599" s="47"/>
      <c r="KJW599" s="46"/>
      <c r="KJX599" s="48"/>
      <c r="KJY599" s="53"/>
      <c r="KKF599" s="15"/>
      <c r="KKG599" s="50"/>
      <c r="KKH599" s="50"/>
      <c r="KKI599" s="46"/>
      <c r="KKJ599" s="47"/>
      <c r="KKK599" s="46"/>
      <c r="KKL599" s="48"/>
      <c r="KKM599" s="53"/>
      <c r="KKT599" s="15"/>
      <c r="KKU599" s="50"/>
      <c r="KKV599" s="50"/>
      <c r="KKW599" s="46"/>
      <c r="KKX599" s="47"/>
      <c r="KKY599" s="46"/>
      <c r="KKZ599" s="48"/>
      <c r="KLA599" s="53"/>
      <c r="KLH599" s="15"/>
      <c r="KLI599" s="50"/>
      <c r="KLJ599" s="50"/>
      <c r="KLK599" s="46"/>
      <c r="KLL599" s="47"/>
      <c r="KLM599" s="46"/>
      <c r="KLN599" s="48"/>
      <c r="KLO599" s="53"/>
      <c r="KLV599" s="15"/>
      <c r="KLW599" s="50"/>
      <c r="KLX599" s="50"/>
      <c r="KLY599" s="46"/>
      <c r="KLZ599" s="47"/>
      <c r="KMA599" s="46"/>
      <c r="KMB599" s="48"/>
      <c r="KMC599" s="53"/>
      <c r="KMJ599" s="15"/>
      <c r="KMK599" s="50"/>
      <c r="KML599" s="50"/>
      <c r="KMM599" s="46"/>
      <c r="KMN599" s="47"/>
      <c r="KMO599" s="46"/>
      <c r="KMP599" s="48"/>
      <c r="KMQ599" s="53"/>
      <c r="KMX599" s="15"/>
      <c r="KMY599" s="50"/>
      <c r="KMZ599" s="50"/>
      <c r="KNA599" s="46"/>
      <c r="KNB599" s="47"/>
      <c r="KNC599" s="46"/>
      <c r="KND599" s="48"/>
      <c r="KNE599" s="53"/>
      <c r="KNL599" s="15"/>
      <c r="KNM599" s="50"/>
      <c r="KNN599" s="50"/>
      <c r="KNO599" s="46"/>
      <c r="KNP599" s="47"/>
      <c r="KNQ599" s="46"/>
      <c r="KNR599" s="48"/>
      <c r="KNS599" s="53"/>
      <c r="KNZ599" s="15"/>
      <c r="KOA599" s="50"/>
      <c r="KOB599" s="50"/>
      <c r="KOC599" s="46"/>
      <c r="KOD599" s="47"/>
      <c r="KOE599" s="46"/>
      <c r="KOF599" s="48"/>
      <c r="KOG599" s="53"/>
      <c r="KON599" s="15"/>
      <c r="KOO599" s="50"/>
      <c r="KOP599" s="50"/>
      <c r="KOQ599" s="46"/>
      <c r="KOR599" s="47"/>
      <c r="KOS599" s="46"/>
      <c r="KOT599" s="48"/>
      <c r="KOU599" s="53"/>
      <c r="KPB599" s="15"/>
      <c r="KPC599" s="50"/>
      <c r="KPD599" s="50"/>
      <c r="KPE599" s="46"/>
      <c r="KPF599" s="47"/>
      <c r="KPG599" s="46"/>
      <c r="KPH599" s="48"/>
      <c r="KPI599" s="53"/>
      <c r="KPP599" s="15"/>
      <c r="KPQ599" s="50"/>
      <c r="KPR599" s="50"/>
      <c r="KPS599" s="46"/>
      <c r="KPT599" s="47"/>
      <c r="KPU599" s="46"/>
      <c r="KPV599" s="48"/>
      <c r="KPW599" s="53"/>
      <c r="KQD599" s="15"/>
      <c r="KQE599" s="50"/>
      <c r="KQF599" s="50"/>
      <c r="KQG599" s="46"/>
      <c r="KQH599" s="47"/>
      <c r="KQI599" s="46"/>
      <c r="KQJ599" s="48"/>
      <c r="KQK599" s="53"/>
      <c r="KQR599" s="15"/>
      <c r="KQS599" s="50"/>
      <c r="KQT599" s="50"/>
      <c r="KQU599" s="46"/>
      <c r="KQV599" s="47"/>
      <c r="KQW599" s="46"/>
      <c r="KQX599" s="48"/>
      <c r="KQY599" s="53"/>
      <c r="KRF599" s="15"/>
      <c r="KRG599" s="50"/>
      <c r="KRH599" s="50"/>
      <c r="KRI599" s="46"/>
      <c r="KRJ599" s="47"/>
      <c r="KRK599" s="46"/>
      <c r="KRL599" s="48"/>
      <c r="KRM599" s="53"/>
      <c r="KRT599" s="15"/>
      <c r="KRU599" s="50"/>
      <c r="KRV599" s="50"/>
      <c r="KRW599" s="46"/>
      <c r="KRX599" s="47"/>
      <c r="KRY599" s="46"/>
      <c r="KRZ599" s="48"/>
      <c r="KSA599" s="53"/>
      <c r="KSH599" s="15"/>
      <c r="KSI599" s="50"/>
      <c r="KSJ599" s="50"/>
      <c r="KSK599" s="46"/>
      <c r="KSL599" s="47"/>
      <c r="KSM599" s="46"/>
      <c r="KSN599" s="48"/>
      <c r="KSO599" s="53"/>
      <c r="KSV599" s="15"/>
      <c r="KSW599" s="50"/>
      <c r="KSX599" s="50"/>
      <c r="KSY599" s="46"/>
      <c r="KSZ599" s="47"/>
      <c r="KTA599" s="46"/>
      <c r="KTB599" s="48"/>
      <c r="KTC599" s="53"/>
      <c r="KTJ599" s="15"/>
      <c r="KTK599" s="50"/>
      <c r="KTL599" s="50"/>
      <c r="KTM599" s="46"/>
      <c r="KTN599" s="47"/>
      <c r="KTO599" s="46"/>
      <c r="KTP599" s="48"/>
      <c r="KTQ599" s="53"/>
      <c r="KTX599" s="15"/>
      <c r="KTY599" s="50"/>
      <c r="KTZ599" s="50"/>
      <c r="KUA599" s="46"/>
      <c r="KUB599" s="47"/>
      <c r="KUC599" s="46"/>
      <c r="KUD599" s="48"/>
      <c r="KUE599" s="53"/>
      <c r="KUL599" s="15"/>
      <c r="KUM599" s="50"/>
      <c r="KUN599" s="50"/>
      <c r="KUO599" s="46"/>
      <c r="KUP599" s="47"/>
      <c r="KUQ599" s="46"/>
      <c r="KUR599" s="48"/>
      <c r="KUS599" s="53"/>
      <c r="KUZ599" s="15"/>
      <c r="KVA599" s="50"/>
      <c r="KVB599" s="50"/>
      <c r="KVC599" s="46"/>
      <c r="KVD599" s="47"/>
      <c r="KVE599" s="46"/>
      <c r="KVF599" s="48"/>
      <c r="KVG599" s="53"/>
      <c r="KVN599" s="15"/>
      <c r="KVO599" s="50"/>
      <c r="KVP599" s="50"/>
      <c r="KVQ599" s="46"/>
      <c r="KVR599" s="47"/>
      <c r="KVS599" s="46"/>
      <c r="KVT599" s="48"/>
      <c r="KVU599" s="53"/>
      <c r="KWB599" s="15"/>
      <c r="KWC599" s="50"/>
      <c r="KWD599" s="50"/>
      <c r="KWE599" s="46"/>
      <c r="KWF599" s="47"/>
      <c r="KWG599" s="46"/>
      <c r="KWH599" s="48"/>
      <c r="KWI599" s="53"/>
      <c r="KWP599" s="15"/>
      <c r="KWQ599" s="50"/>
      <c r="KWR599" s="50"/>
      <c r="KWS599" s="46"/>
      <c r="KWT599" s="47"/>
      <c r="KWU599" s="46"/>
      <c r="KWV599" s="48"/>
      <c r="KWW599" s="53"/>
      <c r="KXD599" s="15"/>
      <c r="KXE599" s="50"/>
      <c r="KXF599" s="50"/>
      <c r="KXG599" s="46"/>
      <c r="KXH599" s="47"/>
      <c r="KXI599" s="46"/>
      <c r="KXJ599" s="48"/>
      <c r="KXK599" s="53"/>
      <c r="KXR599" s="15"/>
      <c r="KXS599" s="50"/>
      <c r="KXT599" s="50"/>
      <c r="KXU599" s="46"/>
      <c r="KXV599" s="47"/>
      <c r="KXW599" s="46"/>
      <c r="KXX599" s="48"/>
      <c r="KXY599" s="53"/>
      <c r="KYF599" s="15"/>
      <c r="KYG599" s="50"/>
      <c r="KYH599" s="50"/>
      <c r="KYI599" s="46"/>
      <c r="KYJ599" s="47"/>
      <c r="KYK599" s="46"/>
      <c r="KYL599" s="48"/>
      <c r="KYM599" s="53"/>
      <c r="KYT599" s="15"/>
      <c r="KYU599" s="50"/>
      <c r="KYV599" s="50"/>
      <c r="KYW599" s="46"/>
      <c r="KYX599" s="47"/>
      <c r="KYY599" s="46"/>
      <c r="KYZ599" s="48"/>
      <c r="KZA599" s="53"/>
      <c r="KZH599" s="15"/>
      <c r="KZI599" s="50"/>
      <c r="KZJ599" s="50"/>
      <c r="KZK599" s="46"/>
      <c r="KZL599" s="47"/>
      <c r="KZM599" s="46"/>
      <c r="KZN599" s="48"/>
      <c r="KZO599" s="53"/>
      <c r="KZV599" s="15"/>
      <c r="KZW599" s="50"/>
      <c r="KZX599" s="50"/>
      <c r="KZY599" s="46"/>
      <c r="KZZ599" s="47"/>
      <c r="LAA599" s="46"/>
      <c r="LAB599" s="48"/>
      <c r="LAC599" s="53"/>
      <c r="LAJ599" s="15"/>
      <c r="LAK599" s="50"/>
      <c r="LAL599" s="50"/>
      <c r="LAM599" s="46"/>
      <c r="LAN599" s="47"/>
      <c r="LAO599" s="46"/>
      <c r="LAP599" s="48"/>
      <c r="LAQ599" s="53"/>
      <c r="LAX599" s="15"/>
      <c r="LAY599" s="50"/>
      <c r="LAZ599" s="50"/>
      <c r="LBA599" s="46"/>
      <c r="LBB599" s="47"/>
      <c r="LBC599" s="46"/>
      <c r="LBD599" s="48"/>
      <c r="LBE599" s="53"/>
      <c r="LBL599" s="15"/>
      <c r="LBM599" s="50"/>
      <c r="LBN599" s="50"/>
      <c r="LBO599" s="46"/>
      <c r="LBP599" s="47"/>
      <c r="LBQ599" s="46"/>
      <c r="LBR599" s="48"/>
      <c r="LBS599" s="53"/>
      <c r="LBZ599" s="15"/>
      <c r="LCA599" s="50"/>
      <c r="LCB599" s="50"/>
      <c r="LCC599" s="46"/>
      <c r="LCD599" s="47"/>
      <c r="LCE599" s="46"/>
      <c r="LCF599" s="48"/>
      <c r="LCG599" s="53"/>
      <c r="LCN599" s="15"/>
      <c r="LCO599" s="50"/>
      <c r="LCP599" s="50"/>
      <c r="LCQ599" s="46"/>
      <c r="LCR599" s="47"/>
      <c r="LCS599" s="46"/>
      <c r="LCT599" s="48"/>
      <c r="LCU599" s="53"/>
      <c r="LDB599" s="15"/>
      <c r="LDC599" s="50"/>
      <c r="LDD599" s="50"/>
      <c r="LDE599" s="46"/>
      <c r="LDF599" s="47"/>
      <c r="LDG599" s="46"/>
      <c r="LDH599" s="48"/>
      <c r="LDI599" s="53"/>
      <c r="LDP599" s="15"/>
      <c r="LDQ599" s="50"/>
      <c r="LDR599" s="50"/>
      <c r="LDS599" s="46"/>
      <c r="LDT599" s="47"/>
      <c r="LDU599" s="46"/>
      <c r="LDV599" s="48"/>
      <c r="LDW599" s="53"/>
      <c r="LED599" s="15"/>
      <c r="LEE599" s="50"/>
      <c r="LEF599" s="50"/>
      <c r="LEG599" s="46"/>
      <c r="LEH599" s="47"/>
      <c r="LEI599" s="46"/>
      <c r="LEJ599" s="48"/>
      <c r="LEK599" s="53"/>
      <c r="LER599" s="15"/>
      <c r="LES599" s="50"/>
      <c r="LET599" s="50"/>
      <c r="LEU599" s="46"/>
      <c r="LEV599" s="47"/>
      <c r="LEW599" s="46"/>
      <c r="LEX599" s="48"/>
      <c r="LEY599" s="53"/>
      <c r="LFF599" s="15"/>
      <c r="LFG599" s="50"/>
      <c r="LFH599" s="50"/>
      <c r="LFI599" s="46"/>
      <c r="LFJ599" s="47"/>
      <c r="LFK599" s="46"/>
      <c r="LFL599" s="48"/>
      <c r="LFM599" s="53"/>
      <c r="LFT599" s="15"/>
      <c r="LFU599" s="50"/>
      <c r="LFV599" s="50"/>
      <c r="LFW599" s="46"/>
      <c r="LFX599" s="47"/>
      <c r="LFY599" s="46"/>
      <c r="LFZ599" s="48"/>
      <c r="LGA599" s="53"/>
      <c r="LGH599" s="15"/>
      <c r="LGI599" s="50"/>
      <c r="LGJ599" s="50"/>
      <c r="LGK599" s="46"/>
      <c r="LGL599" s="47"/>
      <c r="LGM599" s="46"/>
      <c r="LGN599" s="48"/>
      <c r="LGO599" s="53"/>
      <c r="LGV599" s="15"/>
      <c r="LGW599" s="50"/>
      <c r="LGX599" s="50"/>
      <c r="LGY599" s="46"/>
      <c r="LGZ599" s="47"/>
      <c r="LHA599" s="46"/>
      <c r="LHB599" s="48"/>
      <c r="LHC599" s="53"/>
      <c r="LHJ599" s="15"/>
      <c r="LHK599" s="50"/>
      <c r="LHL599" s="50"/>
      <c r="LHM599" s="46"/>
      <c r="LHN599" s="47"/>
      <c r="LHO599" s="46"/>
      <c r="LHP599" s="48"/>
      <c r="LHQ599" s="53"/>
      <c r="LHX599" s="15"/>
      <c r="LHY599" s="50"/>
      <c r="LHZ599" s="50"/>
      <c r="LIA599" s="46"/>
      <c r="LIB599" s="47"/>
      <c r="LIC599" s="46"/>
      <c r="LID599" s="48"/>
      <c r="LIE599" s="53"/>
      <c r="LIL599" s="15"/>
      <c r="LIM599" s="50"/>
      <c r="LIN599" s="50"/>
      <c r="LIO599" s="46"/>
      <c r="LIP599" s="47"/>
      <c r="LIQ599" s="46"/>
      <c r="LIR599" s="48"/>
      <c r="LIS599" s="53"/>
      <c r="LIZ599" s="15"/>
      <c r="LJA599" s="50"/>
      <c r="LJB599" s="50"/>
      <c r="LJC599" s="46"/>
      <c r="LJD599" s="47"/>
      <c r="LJE599" s="46"/>
      <c r="LJF599" s="48"/>
      <c r="LJG599" s="53"/>
      <c r="LJN599" s="15"/>
      <c r="LJO599" s="50"/>
      <c r="LJP599" s="50"/>
      <c r="LJQ599" s="46"/>
      <c r="LJR599" s="47"/>
      <c r="LJS599" s="46"/>
      <c r="LJT599" s="48"/>
      <c r="LJU599" s="53"/>
      <c r="LKB599" s="15"/>
      <c r="LKC599" s="50"/>
      <c r="LKD599" s="50"/>
      <c r="LKE599" s="46"/>
      <c r="LKF599" s="47"/>
      <c r="LKG599" s="46"/>
      <c r="LKH599" s="48"/>
      <c r="LKI599" s="53"/>
      <c r="LKP599" s="15"/>
      <c r="LKQ599" s="50"/>
      <c r="LKR599" s="50"/>
      <c r="LKS599" s="46"/>
      <c r="LKT599" s="47"/>
      <c r="LKU599" s="46"/>
      <c r="LKV599" s="48"/>
      <c r="LKW599" s="53"/>
      <c r="LLD599" s="15"/>
      <c r="LLE599" s="50"/>
      <c r="LLF599" s="50"/>
      <c r="LLG599" s="46"/>
      <c r="LLH599" s="47"/>
      <c r="LLI599" s="46"/>
      <c r="LLJ599" s="48"/>
      <c r="LLK599" s="53"/>
      <c r="LLR599" s="15"/>
      <c r="LLS599" s="50"/>
      <c r="LLT599" s="50"/>
      <c r="LLU599" s="46"/>
      <c r="LLV599" s="47"/>
      <c r="LLW599" s="46"/>
      <c r="LLX599" s="48"/>
      <c r="LLY599" s="53"/>
      <c r="LMF599" s="15"/>
      <c r="LMG599" s="50"/>
      <c r="LMH599" s="50"/>
      <c r="LMI599" s="46"/>
      <c r="LMJ599" s="47"/>
      <c r="LMK599" s="46"/>
      <c r="LML599" s="48"/>
      <c r="LMM599" s="53"/>
      <c r="LMT599" s="15"/>
      <c r="LMU599" s="50"/>
      <c r="LMV599" s="50"/>
      <c r="LMW599" s="46"/>
      <c r="LMX599" s="47"/>
      <c r="LMY599" s="46"/>
      <c r="LMZ599" s="48"/>
      <c r="LNA599" s="53"/>
      <c r="LNH599" s="15"/>
      <c r="LNI599" s="50"/>
      <c r="LNJ599" s="50"/>
      <c r="LNK599" s="46"/>
      <c r="LNL599" s="47"/>
      <c r="LNM599" s="46"/>
      <c r="LNN599" s="48"/>
      <c r="LNO599" s="53"/>
      <c r="LNV599" s="15"/>
      <c r="LNW599" s="50"/>
      <c r="LNX599" s="50"/>
      <c r="LNY599" s="46"/>
      <c r="LNZ599" s="47"/>
      <c r="LOA599" s="46"/>
      <c r="LOB599" s="48"/>
      <c r="LOC599" s="53"/>
      <c r="LOJ599" s="15"/>
      <c r="LOK599" s="50"/>
      <c r="LOL599" s="50"/>
      <c r="LOM599" s="46"/>
      <c r="LON599" s="47"/>
      <c r="LOO599" s="46"/>
      <c r="LOP599" s="48"/>
      <c r="LOQ599" s="53"/>
      <c r="LOX599" s="15"/>
      <c r="LOY599" s="50"/>
      <c r="LOZ599" s="50"/>
      <c r="LPA599" s="46"/>
      <c r="LPB599" s="47"/>
      <c r="LPC599" s="46"/>
      <c r="LPD599" s="48"/>
      <c r="LPE599" s="53"/>
      <c r="LPL599" s="15"/>
      <c r="LPM599" s="50"/>
      <c r="LPN599" s="50"/>
      <c r="LPO599" s="46"/>
      <c r="LPP599" s="47"/>
      <c r="LPQ599" s="46"/>
      <c r="LPR599" s="48"/>
      <c r="LPS599" s="53"/>
      <c r="LPZ599" s="15"/>
      <c r="LQA599" s="50"/>
      <c r="LQB599" s="50"/>
      <c r="LQC599" s="46"/>
      <c r="LQD599" s="47"/>
      <c r="LQE599" s="46"/>
      <c r="LQF599" s="48"/>
      <c r="LQG599" s="53"/>
      <c r="LQN599" s="15"/>
      <c r="LQO599" s="50"/>
      <c r="LQP599" s="50"/>
      <c r="LQQ599" s="46"/>
      <c r="LQR599" s="47"/>
      <c r="LQS599" s="46"/>
      <c r="LQT599" s="48"/>
      <c r="LQU599" s="53"/>
      <c r="LRB599" s="15"/>
      <c r="LRC599" s="50"/>
      <c r="LRD599" s="50"/>
      <c r="LRE599" s="46"/>
      <c r="LRF599" s="47"/>
      <c r="LRG599" s="46"/>
      <c r="LRH599" s="48"/>
      <c r="LRI599" s="53"/>
      <c r="LRP599" s="15"/>
      <c r="LRQ599" s="50"/>
      <c r="LRR599" s="50"/>
      <c r="LRS599" s="46"/>
      <c r="LRT599" s="47"/>
      <c r="LRU599" s="46"/>
      <c r="LRV599" s="48"/>
      <c r="LRW599" s="53"/>
      <c r="LSD599" s="15"/>
      <c r="LSE599" s="50"/>
      <c r="LSF599" s="50"/>
      <c r="LSG599" s="46"/>
      <c r="LSH599" s="47"/>
      <c r="LSI599" s="46"/>
      <c r="LSJ599" s="48"/>
      <c r="LSK599" s="53"/>
      <c r="LSR599" s="15"/>
      <c r="LSS599" s="50"/>
      <c r="LST599" s="50"/>
      <c r="LSU599" s="46"/>
      <c r="LSV599" s="47"/>
      <c r="LSW599" s="46"/>
      <c r="LSX599" s="48"/>
      <c r="LSY599" s="53"/>
      <c r="LTF599" s="15"/>
      <c r="LTG599" s="50"/>
      <c r="LTH599" s="50"/>
      <c r="LTI599" s="46"/>
      <c r="LTJ599" s="47"/>
      <c r="LTK599" s="46"/>
      <c r="LTL599" s="48"/>
      <c r="LTM599" s="53"/>
      <c r="LTT599" s="15"/>
      <c r="LTU599" s="50"/>
      <c r="LTV599" s="50"/>
      <c r="LTW599" s="46"/>
      <c r="LTX599" s="47"/>
      <c r="LTY599" s="46"/>
      <c r="LTZ599" s="48"/>
      <c r="LUA599" s="53"/>
      <c r="LUH599" s="15"/>
      <c r="LUI599" s="50"/>
      <c r="LUJ599" s="50"/>
      <c r="LUK599" s="46"/>
      <c r="LUL599" s="47"/>
      <c r="LUM599" s="46"/>
      <c r="LUN599" s="48"/>
      <c r="LUO599" s="53"/>
      <c r="LUV599" s="15"/>
      <c r="LUW599" s="50"/>
      <c r="LUX599" s="50"/>
      <c r="LUY599" s="46"/>
      <c r="LUZ599" s="47"/>
      <c r="LVA599" s="46"/>
      <c r="LVB599" s="48"/>
      <c r="LVC599" s="53"/>
      <c r="LVJ599" s="15"/>
      <c r="LVK599" s="50"/>
      <c r="LVL599" s="50"/>
      <c r="LVM599" s="46"/>
      <c r="LVN599" s="47"/>
      <c r="LVO599" s="46"/>
      <c r="LVP599" s="48"/>
      <c r="LVQ599" s="53"/>
      <c r="LVX599" s="15"/>
      <c r="LVY599" s="50"/>
      <c r="LVZ599" s="50"/>
      <c r="LWA599" s="46"/>
      <c r="LWB599" s="47"/>
      <c r="LWC599" s="46"/>
      <c r="LWD599" s="48"/>
      <c r="LWE599" s="53"/>
      <c r="LWL599" s="15"/>
      <c r="LWM599" s="50"/>
      <c r="LWN599" s="50"/>
      <c r="LWO599" s="46"/>
      <c r="LWP599" s="47"/>
      <c r="LWQ599" s="46"/>
      <c r="LWR599" s="48"/>
      <c r="LWS599" s="53"/>
      <c r="LWZ599" s="15"/>
      <c r="LXA599" s="50"/>
      <c r="LXB599" s="50"/>
      <c r="LXC599" s="46"/>
      <c r="LXD599" s="47"/>
      <c r="LXE599" s="46"/>
      <c r="LXF599" s="48"/>
      <c r="LXG599" s="53"/>
      <c r="LXN599" s="15"/>
      <c r="LXO599" s="50"/>
      <c r="LXP599" s="50"/>
      <c r="LXQ599" s="46"/>
      <c r="LXR599" s="47"/>
      <c r="LXS599" s="46"/>
      <c r="LXT599" s="48"/>
      <c r="LXU599" s="53"/>
      <c r="LYB599" s="15"/>
      <c r="LYC599" s="50"/>
      <c r="LYD599" s="50"/>
      <c r="LYE599" s="46"/>
      <c r="LYF599" s="47"/>
      <c r="LYG599" s="46"/>
      <c r="LYH599" s="48"/>
      <c r="LYI599" s="53"/>
      <c r="LYP599" s="15"/>
      <c r="LYQ599" s="50"/>
      <c r="LYR599" s="50"/>
      <c r="LYS599" s="46"/>
      <c r="LYT599" s="47"/>
      <c r="LYU599" s="46"/>
      <c r="LYV599" s="48"/>
      <c r="LYW599" s="53"/>
      <c r="LZD599" s="15"/>
      <c r="LZE599" s="50"/>
      <c r="LZF599" s="50"/>
      <c r="LZG599" s="46"/>
      <c r="LZH599" s="47"/>
      <c r="LZI599" s="46"/>
      <c r="LZJ599" s="48"/>
      <c r="LZK599" s="53"/>
      <c r="LZR599" s="15"/>
      <c r="LZS599" s="50"/>
      <c r="LZT599" s="50"/>
      <c r="LZU599" s="46"/>
      <c r="LZV599" s="47"/>
      <c r="LZW599" s="46"/>
      <c r="LZX599" s="48"/>
      <c r="LZY599" s="53"/>
      <c r="MAF599" s="15"/>
      <c r="MAG599" s="50"/>
      <c r="MAH599" s="50"/>
      <c r="MAI599" s="46"/>
      <c r="MAJ599" s="47"/>
      <c r="MAK599" s="46"/>
      <c r="MAL599" s="48"/>
      <c r="MAM599" s="53"/>
      <c r="MAT599" s="15"/>
      <c r="MAU599" s="50"/>
      <c r="MAV599" s="50"/>
      <c r="MAW599" s="46"/>
      <c r="MAX599" s="47"/>
      <c r="MAY599" s="46"/>
      <c r="MAZ599" s="48"/>
      <c r="MBA599" s="53"/>
      <c r="MBH599" s="15"/>
      <c r="MBI599" s="50"/>
      <c r="MBJ599" s="50"/>
      <c r="MBK599" s="46"/>
      <c r="MBL599" s="47"/>
      <c r="MBM599" s="46"/>
      <c r="MBN599" s="48"/>
      <c r="MBO599" s="53"/>
      <c r="MBV599" s="15"/>
      <c r="MBW599" s="50"/>
      <c r="MBX599" s="50"/>
      <c r="MBY599" s="46"/>
      <c r="MBZ599" s="47"/>
      <c r="MCA599" s="46"/>
      <c r="MCB599" s="48"/>
      <c r="MCC599" s="53"/>
      <c r="MCJ599" s="15"/>
      <c r="MCK599" s="50"/>
      <c r="MCL599" s="50"/>
      <c r="MCM599" s="46"/>
      <c r="MCN599" s="47"/>
      <c r="MCO599" s="46"/>
      <c r="MCP599" s="48"/>
      <c r="MCQ599" s="53"/>
      <c r="MCX599" s="15"/>
      <c r="MCY599" s="50"/>
      <c r="MCZ599" s="50"/>
      <c r="MDA599" s="46"/>
      <c r="MDB599" s="47"/>
      <c r="MDC599" s="46"/>
      <c r="MDD599" s="48"/>
      <c r="MDE599" s="53"/>
      <c r="MDL599" s="15"/>
      <c r="MDM599" s="50"/>
      <c r="MDN599" s="50"/>
      <c r="MDO599" s="46"/>
      <c r="MDP599" s="47"/>
      <c r="MDQ599" s="46"/>
      <c r="MDR599" s="48"/>
      <c r="MDS599" s="53"/>
      <c r="MDZ599" s="15"/>
      <c r="MEA599" s="50"/>
      <c r="MEB599" s="50"/>
      <c r="MEC599" s="46"/>
      <c r="MED599" s="47"/>
      <c r="MEE599" s="46"/>
      <c r="MEF599" s="48"/>
      <c r="MEG599" s="53"/>
      <c r="MEN599" s="15"/>
      <c r="MEO599" s="50"/>
      <c r="MEP599" s="50"/>
      <c r="MEQ599" s="46"/>
      <c r="MER599" s="47"/>
      <c r="MES599" s="46"/>
      <c r="MET599" s="48"/>
      <c r="MEU599" s="53"/>
      <c r="MFB599" s="15"/>
      <c r="MFC599" s="50"/>
      <c r="MFD599" s="50"/>
      <c r="MFE599" s="46"/>
      <c r="MFF599" s="47"/>
      <c r="MFG599" s="46"/>
      <c r="MFH599" s="48"/>
      <c r="MFI599" s="53"/>
      <c r="MFP599" s="15"/>
      <c r="MFQ599" s="50"/>
      <c r="MFR599" s="50"/>
      <c r="MFS599" s="46"/>
      <c r="MFT599" s="47"/>
      <c r="MFU599" s="46"/>
      <c r="MFV599" s="48"/>
      <c r="MFW599" s="53"/>
      <c r="MGD599" s="15"/>
      <c r="MGE599" s="50"/>
      <c r="MGF599" s="50"/>
      <c r="MGG599" s="46"/>
      <c r="MGH599" s="47"/>
      <c r="MGI599" s="46"/>
      <c r="MGJ599" s="48"/>
      <c r="MGK599" s="53"/>
      <c r="MGR599" s="15"/>
      <c r="MGS599" s="50"/>
      <c r="MGT599" s="50"/>
      <c r="MGU599" s="46"/>
      <c r="MGV599" s="47"/>
      <c r="MGW599" s="46"/>
      <c r="MGX599" s="48"/>
      <c r="MGY599" s="53"/>
      <c r="MHF599" s="15"/>
      <c r="MHG599" s="50"/>
      <c r="MHH599" s="50"/>
      <c r="MHI599" s="46"/>
      <c r="MHJ599" s="47"/>
      <c r="MHK599" s="46"/>
      <c r="MHL599" s="48"/>
      <c r="MHM599" s="53"/>
      <c r="MHT599" s="15"/>
      <c r="MHU599" s="50"/>
      <c r="MHV599" s="50"/>
      <c r="MHW599" s="46"/>
      <c r="MHX599" s="47"/>
      <c r="MHY599" s="46"/>
      <c r="MHZ599" s="48"/>
      <c r="MIA599" s="53"/>
      <c r="MIH599" s="15"/>
      <c r="MII599" s="50"/>
      <c r="MIJ599" s="50"/>
      <c r="MIK599" s="46"/>
      <c r="MIL599" s="47"/>
      <c r="MIM599" s="46"/>
      <c r="MIN599" s="48"/>
      <c r="MIO599" s="53"/>
      <c r="MIV599" s="15"/>
      <c r="MIW599" s="50"/>
      <c r="MIX599" s="50"/>
      <c r="MIY599" s="46"/>
      <c r="MIZ599" s="47"/>
      <c r="MJA599" s="46"/>
      <c r="MJB599" s="48"/>
      <c r="MJC599" s="53"/>
      <c r="MJJ599" s="15"/>
      <c r="MJK599" s="50"/>
      <c r="MJL599" s="50"/>
      <c r="MJM599" s="46"/>
      <c r="MJN599" s="47"/>
      <c r="MJO599" s="46"/>
      <c r="MJP599" s="48"/>
      <c r="MJQ599" s="53"/>
      <c r="MJX599" s="15"/>
      <c r="MJY599" s="50"/>
      <c r="MJZ599" s="50"/>
      <c r="MKA599" s="46"/>
      <c r="MKB599" s="47"/>
      <c r="MKC599" s="46"/>
      <c r="MKD599" s="48"/>
      <c r="MKE599" s="53"/>
      <c r="MKL599" s="15"/>
      <c r="MKM599" s="50"/>
      <c r="MKN599" s="50"/>
      <c r="MKO599" s="46"/>
      <c r="MKP599" s="47"/>
      <c r="MKQ599" s="46"/>
      <c r="MKR599" s="48"/>
      <c r="MKS599" s="53"/>
      <c r="MKZ599" s="15"/>
      <c r="MLA599" s="50"/>
      <c r="MLB599" s="50"/>
      <c r="MLC599" s="46"/>
      <c r="MLD599" s="47"/>
      <c r="MLE599" s="46"/>
      <c r="MLF599" s="48"/>
      <c r="MLG599" s="53"/>
      <c r="MLN599" s="15"/>
      <c r="MLO599" s="50"/>
      <c r="MLP599" s="50"/>
      <c r="MLQ599" s="46"/>
      <c r="MLR599" s="47"/>
      <c r="MLS599" s="46"/>
      <c r="MLT599" s="48"/>
      <c r="MLU599" s="53"/>
      <c r="MMB599" s="15"/>
      <c r="MMC599" s="50"/>
      <c r="MMD599" s="50"/>
      <c r="MME599" s="46"/>
      <c r="MMF599" s="47"/>
      <c r="MMG599" s="46"/>
      <c r="MMH599" s="48"/>
      <c r="MMI599" s="53"/>
      <c r="MMP599" s="15"/>
      <c r="MMQ599" s="50"/>
      <c r="MMR599" s="50"/>
      <c r="MMS599" s="46"/>
      <c r="MMT599" s="47"/>
      <c r="MMU599" s="46"/>
      <c r="MMV599" s="48"/>
      <c r="MMW599" s="53"/>
      <c r="MND599" s="15"/>
      <c r="MNE599" s="50"/>
      <c r="MNF599" s="50"/>
      <c r="MNG599" s="46"/>
      <c r="MNH599" s="47"/>
      <c r="MNI599" s="46"/>
      <c r="MNJ599" s="48"/>
      <c r="MNK599" s="53"/>
      <c r="MNR599" s="15"/>
      <c r="MNS599" s="50"/>
      <c r="MNT599" s="50"/>
      <c r="MNU599" s="46"/>
      <c r="MNV599" s="47"/>
      <c r="MNW599" s="46"/>
      <c r="MNX599" s="48"/>
      <c r="MNY599" s="53"/>
      <c r="MOF599" s="15"/>
      <c r="MOG599" s="50"/>
      <c r="MOH599" s="50"/>
      <c r="MOI599" s="46"/>
      <c r="MOJ599" s="47"/>
      <c r="MOK599" s="46"/>
      <c r="MOL599" s="48"/>
      <c r="MOM599" s="53"/>
      <c r="MOT599" s="15"/>
      <c r="MOU599" s="50"/>
      <c r="MOV599" s="50"/>
      <c r="MOW599" s="46"/>
      <c r="MOX599" s="47"/>
      <c r="MOY599" s="46"/>
      <c r="MOZ599" s="48"/>
      <c r="MPA599" s="53"/>
      <c r="MPH599" s="15"/>
      <c r="MPI599" s="50"/>
      <c r="MPJ599" s="50"/>
      <c r="MPK599" s="46"/>
      <c r="MPL599" s="47"/>
      <c r="MPM599" s="46"/>
      <c r="MPN599" s="48"/>
      <c r="MPO599" s="53"/>
      <c r="MPV599" s="15"/>
      <c r="MPW599" s="50"/>
      <c r="MPX599" s="50"/>
      <c r="MPY599" s="46"/>
      <c r="MPZ599" s="47"/>
      <c r="MQA599" s="46"/>
      <c r="MQB599" s="48"/>
      <c r="MQC599" s="53"/>
      <c r="MQJ599" s="15"/>
      <c r="MQK599" s="50"/>
      <c r="MQL599" s="50"/>
      <c r="MQM599" s="46"/>
      <c r="MQN599" s="47"/>
      <c r="MQO599" s="46"/>
      <c r="MQP599" s="48"/>
      <c r="MQQ599" s="53"/>
      <c r="MQX599" s="15"/>
      <c r="MQY599" s="50"/>
      <c r="MQZ599" s="50"/>
      <c r="MRA599" s="46"/>
      <c r="MRB599" s="47"/>
      <c r="MRC599" s="46"/>
      <c r="MRD599" s="48"/>
      <c r="MRE599" s="53"/>
      <c r="MRL599" s="15"/>
      <c r="MRM599" s="50"/>
      <c r="MRN599" s="50"/>
      <c r="MRO599" s="46"/>
      <c r="MRP599" s="47"/>
      <c r="MRQ599" s="46"/>
      <c r="MRR599" s="48"/>
      <c r="MRS599" s="53"/>
      <c r="MRZ599" s="15"/>
      <c r="MSA599" s="50"/>
      <c r="MSB599" s="50"/>
      <c r="MSC599" s="46"/>
      <c r="MSD599" s="47"/>
      <c r="MSE599" s="46"/>
      <c r="MSF599" s="48"/>
      <c r="MSG599" s="53"/>
      <c r="MSN599" s="15"/>
      <c r="MSO599" s="50"/>
      <c r="MSP599" s="50"/>
      <c r="MSQ599" s="46"/>
      <c r="MSR599" s="47"/>
      <c r="MSS599" s="46"/>
      <c r="MST599" s="48"/>
      <c r="MSU599" s="53"/>
      <c r="MTB599" s="15"/>
      <c r="MTC599" s="50"/>
      <c r="MTD599" s="50"/>
      <c r="MTE599" s="46"/>
      <c r="MTF599" s="47"/>
      <c r="MTG599" s="46"/>
      <c r="MTH599" s="48"/>
      <c r="MTI599" s="53"/>
      <c r="MTP599" s="15"/>
      <c r="MTQ599" s="50"/>
      <c r="MTR599" s="50"/>
      <c r="MTS599" s="46"/>
      <c r="MTT599" s="47"/>
      <c r="MTU599" s="46"/>
      <c r="MTV599" s="48"/>
      <c r="MTW599" s="53"/>
      <c r="MUD599" s="15"/>
      <c r="MUE599" s="50"/>
      <c r="MUF599" s="50"/>
      <c r="MUG599" s="46"/>
      <c r="MUH599" s="47"/>
      <c r="MUI599" s="46"/>
      <c r="MUJ599" s="48"/>
      <c r="MUK599" s="53"/>
      <c r="MUR599" s="15"/>
      <c r="MUS599" s="50"/>
      <c r="MUT599" s="50"/>
      <c r="MUU599" s="46"/>
      <c r="MUV599" s="47"/>
      <c r="MUW599" s="46"/>
      <c r="MUX599" s="48"/>
      <c r="MUY599" s="53"/>
      <c r="MVF599" s="15"/>
      <c r="MVG599" s="50"/>
      <c r="MVH599" s="50"/>
      <c r="MVI599" s="46"/>
      <c r="MVJ599" s="47"/>
      <c r="MVK599" s="46"/>
      <c r="MVL599" s="48"/>
      <c r="MVM599" s="53"/>
      <c r="MVT599" s="15"/>
      <c r="MVU599" s="50"/>
      <c r="MVV599" s="50"/>
      <c r="MVW599" s="46"/>
      <c r="MVX599" s="47"/>
      <c r="MVY599" s="46"/>
      <c r="MVZ599" s="48"/>
      <c r="MWA599" s="53"/>
      <c r="MWH599" s="15"/>
      <c r="MWI599" s="50"/>
      <c r="MWJ599" s="50"/>
      <c r="MWK599" s="46"/>
      <c r="MWL599" s="47"/>
      <c r="MWM599" s="46"/>
      <c r="MWN599" s="48"/>
      <c r="MWO599" s="53"/>
      <c r="MWV599" s="15"/>
      <c r="MWW599" s="50"/>
      <c r="MWX599" s="50"/>
      <c r="MWY599" s="46"/>
      <c r="MWZ599" s="47"/>
      <c r="MXA599" s="46"/>
      <c r="MXB599" s="48"/>
      <c r="MXC599" s="53"/>
      <c r="MXJ599" s="15"/>
      <c r="MXK599" s="50"/>
      <c r="MXL599" s="50"/>
      <c r="MXM599" s="46"/>
      <c r="MXN599" s="47"/>
      <c r="MXO599" s="46"/>
      <c r="MXP599" s="48"/>
      <c r="MXQ599" s="53"/>
      <c r="MXX599" s="15"/>
      <c r="MXY599" s="50"/>
      <c r="MXZ599" s="50"/>
      <c r="MYA599" s="46"/>
      <c r="MYB599" s="47"/>
      <c r="MYC599" s="46"/>
      <c r="MYD599" s="48"/>
      <c r="MYE599" s="53"/>
      <c r="MYL599" s="15"/>
      <c r="MYM599" s="50"/>
      <c r="MYN599" s="50"/>
      <c r="MYO599" s="46"/>
      <c r="MYP599" s="47"/>
      <c r="MYQ599" s="46"/>
      <c r="MYR599" s="48"/>
      <c r="MYS599" s="53"/>
      <c r="MYZ599" s="15"/>
      <c r="MZA599" s="50"/>
      <c r="MZB599" s="50"/>
      <c r="MZC599" s="46"/>
      <c r="MZD599" s="47"/>
      <c r="MZE599" s="46"/>
      <c r="MZF599" s="48"/>
      <c r="MZG599" s="53"/>
      <c r="MZN599" s="15"/>
      <c r="MZO599" s="50"/>
      <c r="MZP599" s="50"/>
      <c r="MZQ599" s="46"/>
      <c r="MZR599" s="47"/>
      <c r="MZS599" s="46"/>
      <c r="MZT599" s="48"/>
      <c r="MZU599" s="53"/>
      <c r="NAB599" s="15"/>
      <c r="NAC599" s="50"/>
      <c r="NAD599" s="50"/>
      <c r="NAE599" s="46"/>
      <c r="NAF599" s="47"/>
      <c r="NAG599" s="46"/>
      <c r="NAH599" s="48"/>
      <c r="NAI599" s="53"/>
      <c r="NAP599" s="15"/>
      <c r="NAQ599" s="50"/>
      <c r="NAR599" s="50"/>
      <c r="NAS599" s="46"/>
      <c r="NAT599" s="47"/>
      <c r="NAU599" s="46"/>
      <c r="NAV599" s="48"/>
      <c r="NAW599" s="53"/>
      <c r="NBD599" s="15"/>
      <c r="NBE599" s="50"/>
      <c r="NBF599" s="50"/>
      <c r="NBG599" s="46"/>
      <c r="NBH599" s="47"/>
      <c r="NBI599" s="46"/>
      <c r="NBJ599" s="48"/>
      <c r="NBK599" s="53"/>
      <c r="NBR599" s="15"/>
      <c r="NBS599" s="50"/>
      <c r="NBT599" s="50"/>
      <c r="NBU599" s="46"/>
      <c r="NBV599" s="47"/>
      <c r="NBW599" s="46"/>
      <c r="NBX599" s="48"/>
      <c r="NBY599" s="53"/>
      <c r="NCF599" s="15"/>
      <c r="NCG599" s="50"/>
      <c r="NCH599" s="50"/>
      <c r="NCI599" s="46"/>
      <c r="NCJ599" s="47"/>
      <c r="NCK599" s="46"/>
      <c r="NCL599" s="48"/>
      <c r="NCM599" s="53"/>
      <c r="NCT599" s="15"/>
      <c r="NCU599" s="50"/>
      <c r="NCV599" s="50"/>
      <c r="NCW599" s="46"/>
      <c r="NCX599" s="47"/>
      <c r="NCY599" s="46"/>
      <c r="NCZ599" s="48"/>
      <c r="NDA599" s="53"/>
      <c r="NDH599" s="15"/>
      <c r="NDI599" s="50"/>
      <c r="NDJ599" s="50"/>
      <c r="NDK599" s="46"/>
      <c r="NDL599" s="47"/>
      <c r="NDM599" s="46"/>
      <c r="NDN599" s="48"/>
      <c r="NDO599" s="53"/>
      <c r="NDV599" s="15"/>
      <c r="NDW599" s="50"/>
      <c r="NDX599" s="50"/>
      <c r="NDY599" s="46"/>
      <c r="NDZ599" s="47"/>
      <c r="NEA599" s="46"/>
      <c r="NEB599" s="48"/>
      <c r="NEC599" s="53"/>
      <c r="NEJ599" s="15"/>
      <c r="NEK599" s="50"/>
      <c r="NEL599" s="50"/>
      <c r="NEM599" s="46"/>
      <c r="NEN599" s="47"/>
      <c r="NEO599" s="46"/>
      <c r="NEP599" s="48"/>
      <c r="NEQ599" s="53"/>
      <c r="NEX599" s="15"/>
      <c r="NEY599" s="50"/>
      <c r="NEZ599" s="50"/>
      <c r="NFA599" s="46"/>
      <c r="NFB599" s="47"/>
      <c r="NFC599" s="46"/>
      <c r="NFD599" s="48"/>
      <c r="NFE599" s="53"/>
      <c r="NFL599" s="15"/>
      <c r="NFM599" s="50"/>
      <c r="NFN599" s="50"/>
      <c r="NFO599" s="46"/>
      <c r="NFP599" s="47"/>
      <c r="NFQ599" s="46"/>
      <c r="NFR599" s="48"/>
      <c r="NFS599" s="53"/>
      <c r="NFZ599" s="15"/>
      <c r="NGA599" s="50"/>
      <c r="NGB599" s="50"/>
      <c r="NGC599" s="46"/>
      <c r="NGD599" s="47"/>
      <c r="NGE599" s="46"/>
      <c r="NGF599" s="48"/>
      <c r="NGG599" s="53"/>
      <c r="NGN599" s="15"/>
      <c r="NGO599" s="50"/>
      <c r="NGP599" s="50"/>
      <c r="NGQ599" s="46"/>
      <c r="NGR599" s="47"/>
      <c r="NGS599" s="46"/>
      <c r="NGT599" s="48"/>
      <c r="NGU599" s="53"/>
      <c r="NHB599" s="15"/>
      <c r="NHC599" s="50"/>
      <c r="NHD599" s="50"/>
      <c r="NHE599" s="46"/>
      <c r="NHF599" s="47"/>
      <c r="NHG599" s="46"/>
      <c r="NHH599" s="48"/>
      <c r="NHI599" s="53"/>
      <c r="NHP599" s="15"/>
      <c r="NHQ599" s="50"/>
      <c r="NHR599" s="50"/>
      <c r="NHS599" s="46"/>
      <c r="NHT599" s="47"/>
      <c r="NHU599" s="46"/>
      <c r="NHV599" s="48"/>
      <c r="NHW599" s="53"/>
      <c r="NID599" s="15"/>
      <c r="NIE599" s="50"/>
      <c r="NIF599" s="50"/>
      <c r="NIG599" s="46"/>
      <c r="NIH599" s="47"/>
      <c r="NII599" s="46"/>
      <c r="NIJ599" s="48"/>
      <c r="NIK599" s="53"/>
      <c r="NIR599" s="15"/>
      <c r="NIS599" s="50"/>
      <c r="NIT599" s="50"/>
      <c r="NIU599" s="46"/>
      <c r="NIV599" s="47"/>
      <c r="NIW599" s="46"/>
      <c r="NIX599" s="48"/>
      <c r="NIY599" s="53"/>
      <c r="NJF599" s="15"/>
      <c r="NJG599" s="50"/>
      <c r="NJH599" s="50"/>
      <c r="NJI599" s="46"/>
      <c r="NJJ599" s="47"/>
      <c r="NJK599" s="46"/>
      <c r="NJL599" s="48"/>
      <c r="NJM599" s="53"/>
      <c r="NJT599" s="15"/>
      <c r="NJU599" s="50"/>
      <c r="NJV599" s="50"/>
      <c r="NJW599" s="46"/>
      <c r="NJX599" s="47"/>
      <c r="NJY599" s="46"/>
      <c r="NJZ599" s="48"/>
      <c r="NKA599" s="53"/>
      <c r="NKH599" s="15"/>
      <c r="NKI599" s="50"/>
      <c r="NKJ599" s="50"/>
      <c r="NKK599" s="46"/>
      <c r="NKL599" s="47"/>
      <c r="NKM599" s="46"/>
      <c r="NKN599" s="48"/>
      <c r="NKO599" s="53"/>
      <c r="NKV599" s="15"/>
      <c r="NKW599" s="50"/>
      <c r="NKX599" s="50"/>
      <c r="NKY599" s="46"/>
      <c r="NKZ599" s="47"/>
      <c r="NLA599" s="46"/>
      <c r="NLB599" s="48"/>
      <c r="NLC599" s="53"/>
      <c r="NLJ599" s="15"/>
      <c r="NLK599" s="50"/>
      <c r="NLL599" s="50"/>
      <c r="NLM599" s="46"/>
      <c r="NLN599" s="47"/>
      <c r="NLO599" s="46"/>
      <c r="NLP599" s="48"/>
      <c r="NLQ599" s="53"/>
      <c r="NLX599" s="15"/>
      <c r="NLY599" s="50"/>
      <c r="NLZ599" s="50"/>
      <c r="NMA599" s="46"/>
      <c r="NMB599" s="47"/>
      <c r="NMC599" s="46"/>
      <c r="NMD599" s="48"/>
      <c r="NME599" s="53"/>
      <c r="NML599" s="15"/>
      <c r="NMM599" s="50"/>
      <c r="NMN599" s="50"/>
      <c r="NMO599" s="46"/>
      <c r="NMP599" s="47"/>
      <c r="NMQ599" s="46"/>
      <c r="NMR599" s="48"/>
      <c r="NMS599" s="53"/>
      <c r="NMZ599" s="15"/>
      <c r="NNA599" s="50"/>
      <c r="NNB599" s="50"/>
      <c r="NNC599" s="46"/>
      <c r="NND599" s="47"/>
      <c r="NNE599" s="46"/>
      <c r="NNF599" s="48"/>
      <c r="NNG599" s="53"/>
      <c r="NNN599" s="15"/>
      <c r="NNO599" s="50"/>
      <c r="NNP599" s="50"/>
      <c r="NNQ599" s="46"/>
      <c r="NNR599" s="47"/>
      <c r="NNS599" s="46"/>
      <c r="NNT599" s="48"/>
      <c r="NNU599" s="53"/>
      <c r="NOB599" s="15"/>
      <c r="NOC599" s="50"/>
      <c r="NOD599" s="50"/>
      <c r="NOE599" s="46"/>
      <c r="NOF599" s="47"/>
      <c r="NOG599" s="46"/>
      <c r="NOH599" s="48"/>
      <c r="NOI599" s="53"/>
      <c r="NOP599" s="15"/>
      <c r="NOQ599" s="50"/>
      <c r="NOR599" s="50"/>
      <c r="NOS599" s="46"/>
      <c r="NOT599" s="47"/>
      <c r="NOU599" s="46"/>
      <c r="NOV599" s="48"/>
      <c r="NOW599" s="53"/>
      <c r="NPD599" s="15"/>
      <c r="NPE599" s="50"/>
      <c r="NPF599" s="50"/>
      <c r="NPG599" s="46"/>
      <c r="NPH599" s="47"/>
      <c r="NPI599" s="46"/>
      <c r="NPJ599" s="48"/>
      <c r="NPK599" s="53"/>
      <c r="NPR599" s="15"/>
      <c r="NPS599" s="50"/>
      <c r="NPT599" s="50"/>
      <c r="NPU599" s="46"/>
      <c r="NPV599" s="47"/>
      <c r="NPW599" s="46"/>
      <c r="NPX599" s="48"/>
      <c r="NPY599" s="53"/>
      <c r="NQF599" s="15"/>
      <c r="NQG599" s="50"/>
      <c r="NQH599" s="50"/>
      <c r="NQI599" s="46"/>
      <c r="NQJ599" s="47"/>
      <c r="NQK599" s="46"/>
      <c r="NQL599" s="48"/>
      <c r="NQM599" s="53"/>
      <c r="NQT599" s="15"/>
      <c r="NQU599" s="50"/>
      <c r="NQV599" s="50"/>
      <c r="NQW599" s="46"/>
      <c r="NQX599" s="47"/>
      <c r="NQY599" s="46"/>
      <c r="NQZ599" s="48"/>
      <c r="NRA599" s="53"/>
      <c r="NRH599" s="15"/>
      <c r="NRI599" s="50"/>
      <c r="NRJ599" s="50"/>
      <c r="NRK599" s="46"/>
      <c r="NRL599" s="47"/>
      <c r="NRM599" s="46"/>
      <c r="NRN599" s="48"/>
      <c r="NRO599" s="53"/>
      <c r="NRV599" s="15"/>
      <c r="NRW599" s="50"/>
      <c r="NRX599" s="50"/>
      <c r="NRY599" s="46"/>
      <c r="NRZ599" s="47"/>
      <c r="NSA599" s="46"/>
      <c r="NSB599" s="48"/>
      <c r="NSC599" s="53"/>
      <c r="NSJ599" s="15"/>
      <c r="NSK599" s="50"/>
      <c r="NSL599" s="50"/>
      <c r="NSM599" s="46"/>
      <c r="NSN599" s="47"/>
      <c r="NSO599" s="46"/>
      <c r="NSP599" s="48"/>
      <c r="NSQ599" s="53"/>
      <c r="NSX599" s="15"/>
      <c r="NSY599" s="50"/>
      <c r="NSZ599" s="50"/>
      <c r="NTA599" s="46"/>
      <c r="NTB599" s="47"/>
      <c r="NTC599" s="46"/>
      <c r="NTD599" s="48"/>
      <c r="NTE599" s="53"/>
      <c r="NTL599" s="15"/>
      <c r="NTM599" s="50"/>
      <c r="NTN599" s="50"/>
      <c r="NTO599" s="46"/>
      <c r="NTP599" s="47"/>
      <c r="NTQ599" s="46"/>
      <c r="NTR599" s="48"/>
      <c r="NTS599" s="53"/>
      <c r="NTZ599" s="15"/>
      <c r="NUA599" s="50"/>
      <c r="NUB599" s="50"/>
      <c r="NUC599" s="46"/>
      <c r="NUD599" s="47"/>
      <c r="NUE599" s="46"/>
      <c r="NUF599" s="48"/>
      <c r="NUG599" s="53"/>
      <c r="NUN599" s="15"/>
      <c r="NUO599" s="50"/>
      <c r="NUP599" s="50"/>
      <c r="NUQ599" s="46"/>
      <c r="NUR599" s="47"/>
      <c r="NUS599" s="46"/>
      <c r="NUT599" s="48"/>
      <c r="NUU599" s="53"/>
      <c r="NVB599" s="15"/>
      <c r="NVC599" s="50"/>
      <c r="NVD599" s="50"/>
      <c r="NVE599" s="46"/>
      <c r="NVF599" s="47"/>
      <c r="NVG599" s="46"/>
      <c r="NVH599" s="48"/>
      <c r="NVI599" s="53"/>
      <c r="NVP599" s="15"/>
      <c r="NVQ599" s="50"/>
      <c r="NVR599" s="50"/>
      <c r="NVS599" s="46"/>
      <c r="NVT599" s="47"/>
      <c r="NVU599" s="46"/>
      <c r="NVV599" s="48"/>
      <c r="NVW599" s="53"/>
      <c r="NWD599" s="15"/>
      <c r="NWE599" s="50"/>
      <c r="NWF599" s="50"/>
      <c r="NWG599" s="46"/>
      <c r="NWH599" s="47"/>
      <c r="NWI599" s="46"/>
      <c r="NWJ599" s="48"/>
      <c r="NWK599" s="53"/>
      <c r="NWR599" s="15"/>
      <c r="NWS599" s="50"/>
      <c r="NWT599" s="50"/>
      <c r="NWU599" s="46"/>
      <c r="NWV599" s="47"/>
      <c r="NWW599" s="46"/>
      <c r="NWX599" s="48"/>
      <c r="NWY599" s="53"/>
      <c r="NXF599" s="15"/>
      <c r="NXG599" s="50"/>
      <c r="NXH599" s="50"/>
      <c r="NXI599" s="46"/>
      <c r="NXJ599" s="47"/>
      <c r="NXK599" s="46"/>
      <c r="NXL599" s="48"/>
      <c r="NXM599" s="53"/>
      <c r="NXT599" s="15"/>
      <c r="NXU599" s="50"/>
      <c r="NXV599" s="50"/>
      <c r="NXW599" s="46"/>
      <c r="NXX599" s="47"/>
      <c r="NXY599" s="46"/>
      <c r="NXZ599" s="48"/>
      <c r="NYA599" s="53"/>
      <c r="NYH599" s="15"/>
      <c r="NYI599" s="50"/>
      <c r="NYJ599" s="50"/>
      <c r="NYK599" s="46"/>
      <c r="NYL599" s="47"/>
      <c r="NYM599" s="46"/>
      <c r="NYN599" s="48"/>
      <c r="NYO599" s="53"/>
      <c r="NYV599" s="15"/>
      <c r="NYW599" s="50"/>
      <c r="NYX599" s="50"/>
      <c r="NYY599" s="46"/>
      <c r="NYZ599" s="47"/>
      <c r="NZA599" s="46"/>
      <c r="NZB599" s="48"/>
      <c r="NZC599" s="53"/>
      <c r="NZJ599" s="15"/>
      <c r="NZK599" s="50"/>
      <c r="NZL599" s="50"/>
      <c r="NZM599" s="46"/>
      <c r="NZN599" s="47"/>
      <c r="NZO599" s="46"/>
      <c r="NZP599" s="48"/>
      <c r="NZQ599" s="53"/>
      <c r="NZX599" s="15"/>
      <c r="NZY599" s="50"/>
      <c r="NZZ599" s="50"/>
      <c r="OAA599" s="46"/>
      <c r="OAB599" s="47"/>
      <c r="OAC599" s="46"/>
      <c r="OAD599" s="48"/>
      <c r="OAE599" s="53"/>
      <c r="OAL599" s="15"/>
      <c r="OAM599" s="50"/>
      <c r="OAN599" s="50"/>
      <c r="OAO599" s="46"/>
      <c r="OAP599" s="47"/>
      <c r="OAQ599" s="46"/>
      <c r="OAR599" s="48"/>
      <c r="OAS599" s="53"/>
      <c r="OAZ599" s="15"/>
      <c r="OBA599" s="50"/>
      <c r="OBB599" s="50"/>
      <c r="OBC599" s="46"/>
      <c r="OBD599" s="47"/>
      <c r="OBE599" s="46"/>
      <c r="OBF599" s="48"/>
      <c r="OBG599" s="53"/>
      <c r="OBN599" s="15"/>
      <c r="OBO599" s="50"/>
      <c r="OBP599" s="50"/>
      <c r="OBQ599" s="46"/>
      <c r="OBR599" s="47"/>
      <c r="OBS599" s="46"/>
      <c r="OBT599" s="48"/>
      <c r="OBU599" s="53"/>
      <c r="OCB599" s="15"/>
      <c r="OCC599" s="50"/>
      <c r="OCD599" s="50"/>
      <c r="OCE599" s="46"/>
      <c r="OCF599" s="47"/>
      <c r="OCG599" s="46"/>
      <c r="OCH599" s="48"/>
      <c r="OCI599" s="53"/>
      <c r="OCP599" s="15"/>
      <c r="OCQ599" s="50"/>
      <c r="OCR599" s="50"/>
      <c r="OCS599" s="46"/>
      <c r="OCT599" s="47"/>
      <c r="OCU599" s="46"/>
      <c r="OCV599" s="48"/>
      <c r="OCW599" s="53"/>
      <c r="ODD599" s="15"/>
      <c r="ODE599" s="50"/>
      <c r="ODF599" s="50"/>
      <c r="ODG599" s="46"/>
      <c r="ODH599" s="47"/>
      <c r="ODI599" s="46"/>
      <c r="ODJ599" s="48"/>
      <c r="ODK599" s="53"/>
      <c r="ODR599" s="15"/>
      <c r="ODS599" s="50"/>
      <c r="ODT599" s="50"/>
      <c r="ODU599" s="46"/>
      <c r="ODV599" s="47"/>
      <c r="ODW599" s="46"/>
      <c r="ODX599" s="48"/>
      <c r="ODY599" s="53"/>
      <c r="OEF599" s="15"/>
      <c r="OEG599" s="50"/>
      <c r="OEH599" s="50"/>
      <c r="OEI599" s="46"/>
      <c r="OEJ599" s="47"/>
      <c r="OEK599" s="46"/>
      <c r="OEL599" s="48"/>
      <c r="OEM599" s="53"/>
      <c r="OET599" s="15"/>
      <c r="OEU599" s="50"/>
      <c r="OEV599" s="50"/>
      <c r="OEW599" s="46"/>
      <c r="OEX599" s="47"/>
      <c r="OEY599" s="46"/>
      <c r="OEZ599" s="48"/>
      <c r="OFA599" s="53"/>
      <c r="OFH599" s="15"/>
      <c r="OFI599" s="50"/>
      <c r="OFJ599" s="50"/>
      <c r="OFK599" s="46"/>
      <c r="OFL599" s="47"/>
      <c r="OFM599" s="46"/>
      <c r="OFN599" s="48"/>
      <c r="OFO599" s="53"/>
      <c r="OFV599" s="15"/>
      <c r="OFW599" s="50"/>
      <c r="OFX599" s="50"/>
      <c r="OFY599" s="46"/>
      <c r="OFZ599" s="47"/>
      <c r="OGA599" s="46"/>
      <c r="OGB599" s="48"/>
      <c r="OGC599" s="53"/>
      <c r="OGJ599" s="15"/>
      <c r="OGK599" s="50"/>
      <c r="OGL599" s="50"/>
      <c r="OGM599" s="46"/>
      <c r="OGN599" s="47"/>
      <c r="OGO599" s="46"/>
      <c r="OGP599" s="48"/>
      <c r="OGQ599" s="53"/>
      <c r="OGX599" s="15"/>
      <c r="OGY599" s="50"/>
      <c r="OGZ599" s="50"/>
      <c r="OHA599" s="46"/>
      <c r="OHB599" s="47"/>
      <c r="OHC599" s="46"/>
      <c r="OHD599" s="48"/>
      <c r="OHE599" s="53"/>
      <c r="OHL599" s="15"/>
      <c r="OHM599" s="50"/>
      <c r="OHN599" s="50"/>
      <c r="OHO599" s="46"/>
      <c r="OHP599" s="47"/>
      <c r="OHQ599" s="46"/>
      <c r="OHR599" s="48"/>
      <c r="OHS599" s="53"/>
      <c r="OHZ599" s="15"/>
      <c r="OIA599" s="50"/>
      <c r="OIB599" s="50"/>
      <c r="OIC599" s="46"/>
      <c r="OID599" s="47"/>
      <c r="OIE599" s="46"/>
      <c r="OIF599" s="48"/>
      <c r="OIG599" s="53"/>
      <c r="OIN599" s="15"/>
      <c r="OIO599" s="50"/>
      <c r="OIP599" s="50"/>
      <c r="OIQ599" s="46"/>
      <c r="OIR599" s="47"/>
      <c r="OIS599" s="46"/>
      <c r="OIT599" s="48"/>
      <c r="OIU599" s="53"/>
      <c r="OJB599" s="15"/>
      <c r="OJC599" s="50"/>
      <c r="OJD599" s="50"/>
      <c r="OJE599" s="46"/>
      <c r="OJF599" s="47"/>
      <c r="OJG599" s="46"/>
      <c r="OJH599" s="48"/>
      <c r="OJI599" s="53"/>
      <c r="OJP599" s="15"/>
      <c r="OJQ599" s="50"/>
      <c r="OJR599" s="50"/>
      <c r="OJS599" s="46"/>
      <c r="OJT599" s="47"/>
      <c r="OJU599" s="46"/>
      <c r="OJV599" s="48"/>
      <c r="OJW599" s="53"/>
      <c r="OKD599" s="15"/>
      <c r="OKE599" s="50"/>
      <c r="OKF599" s="50"/>
      <c r="OKG599" s="46"/>
      <c r="OKH599" s="47"/>
      <c r="OKI599" s="46"/>
      <c r="OKJ599" s="48"/>
      <c r="OKK599" s="53"/>
      <c r="OKR599" s="15"/>
      <c r="OKS599" s="50"/>
      <c r="OKT599" s="50"/>
      <c r="OKU599" s="46"/>
      <c r="OKV599" s="47"/>
      <c r="OKW599" s="46"/>
      <c r="OKX599" s="48"/>
      <c r="OKY599" s="53"/>
      <c r="OLF599" s="15"/>
      <c r="OLG599" s="50"/>
      <c r="OLH599" s="50"/>
      <c r="OLI599" s="46"/>
      <c r="OLJ599" s="47"/>
      <c r="OLK599" s="46"/>
      <c r="OLL599" s="48"/>
      <c r="OLM599" s="53"/>
      <c r="OLT599" s="15"/>
      <c r="OLU599" s="50"/>
      <c r="OLV599" s="50"/>
      <c r="OLW599" s="46"/>
      <c r="OLX599" s="47"/>
      <c r="OLY599" s="46"/>
      <c r="OLZ599" s="48"/>
      <c r="OMA599" s="53"/>
      <c r="OMH599" s="15"/>
      <c r="OMI599" s="50"/>
      <c r="OMJ599" s="50"/>
      <c r="OMK599" s="46"/>
      <c r="OML599" s="47"/>
      <c r="OMM599" s="46"/>
      <c r="OMN599" s="48"/>
      <c r="OMO599" s="53"/>
      <c r="OMV599" s="15"/>
      <c r="OMW599" s="50"/>
      <c r="OMX599" s="50"/>
      <c r="OMY599" s="46"/>
      <c r="OMZ599" s="47"/>
      <c r="ONA599" s="46"/>
      <c r="ONB599" s="48"/>
      <c r="ONC599" s="53"/>
      <c r="ONJ599" s="15"/>
      <c r="ONK599" s="50"/>
      <c r="ONL599" s="50"/>
      <c r="ONM599" s="46"/>
      <c r="ONN599" s="47"/>
      <c r="ONO599" s="46"/>
      <c r="ONP599" s="48"/>
      <c r="ONQ599" s="53"/>
      <c r="ONX599" s="15"/>
      <c r="ONY599" s="50"/>
      <c r="ONZ599" s="50"/>
      <c r="OOA599" s="46"/>
      <c r="OOB599" s="47"/>
      <c r="OOC599" s="46"/>
      <c r="OOD599" s="48"/>
      <c r="OOE599" s="53"/>
      <c r="OOL599" s="15"/>
      <c r="OOM599" s="50"/>
      <c r="OON599" s="50"/>
      <c r="OOO599" s="46"/>
      <c r="OOP599" s="47"/>
      <c r="OOQ599" s="46"/>
      <c r="OOR599" s="48"/>
      <c r="OOS599" s="53"/>
      <c r="OOZ599" s="15"/>
      <c r="OPA599" s="50"/>
      <c r="OPB599" s="50"/>
      <c r="OPC599" s="46"/>
      <c r="OPD599" s="47"/>
      <c r="OPE599" s="46"/>
      <c r="OPF599" s="48"/>
      <c r="OPG599" s="53"/>
      <c r="OPN599" s="15"/>
      <c r="OPO599" s="50"/>
      <c r="OPP599" s="50"/>
      <c r="OPQ599" s="46"/>
      <c r="OPR599" s="47"/>
      <c r="OPS599" s="46"/>
      <c r="OPT599" s="48"/>
      <c r="OPU599" s="53"/>
      <c r="OQB599" s="15"/>
      <c r="OQC599" s="50"/>
      <c r="OQD599" s="50"/>
      <c r="OQE599" s="46"/>
      <c r="OQF599" s="47"/>
      <c r="OQG599" s="46"/>
      <c r="OQH599" s="48"/>
      <c r="OQI599" s="53"/>
      <c r="OQP599" s="15"/>
      <c r="OQQ599" s="50"/>
      <c r="OQR599" s="50"/>
      <c r="OQS599" s="46"/>
      <c r="OQT599" s="47"/>
      <c r="OQU599" s="46"/>
      <c r="OQV599" s="48"/>
      <c r="OQW599" s="53"/>
      <c r="ORD599" s="15"/>
      <c r="ORE599" s="50"/>
      <c r="ORF599" s="50"/>
      <c r="ORG599" s="46"/>
      <c r="ORH599" s="47"/>
      <c r="ORI599" s="46"/>
      <c r="ORJ599" s="48"/>
      <c r="ORK599" s="53"/>
      <c r="ORR599" s="15"/>
      <c r="ORS599" s="50"/>
      <c r="ORT599" s="50"/>
      <c r="ORU599" s="46"/>
      <c r="ORV599" s="47"/>
      <c r="ORW599" s="46"/>
      <c r="ORX599" s="48"/>
      <c r="ORY599" s="53"/>
      <c r="OSF599" s="15"/>
      <c r="OSG599" s="50"/>
      <c r="OSH599" s="50"/>
      <c r="OSI599" s="46"/>
      <c r="OSJ599" s="47"/>
      <c r="OSK599" s="46"/>
      <c r="OSL599" s="48"/>
      <c r="OSM599" s="53"/>
      <c r="OST599" s="15"/>
      <c r="OSU599" s="50"/>
      <c r="OSV599" s="50"/>
      <c r="OSW599" s="46"/>
      <c r="OSX599" s="47"/>
      <c r="OSY599" s="46"/>
      <c r="OSZ599" s="48"/>
      <c r="OTA599" s="53"/>
      <c r="OTH599" s="15"/>
      <c r="OTI599" s="50"/>
      <c r="OTJ599" s="50"/>
      <c r="OTK599" s="46"/>
      <c r="OTL599" s="47"/>
      <c r="OTM599" s="46"/>
      <c r="OTN599" s="48"/>
      <c r="OTO599" s="53"/>
      <c r="OTV599" s="15"/>
      <c r="OTW599" s="50"/>
      <c r="OTX599" s="50"/>
      <c r="OTY599" s="46"/>
      <c r="OTZ599" s="47"/>
      <c r="OUA599" s="46"/>
      <c r="OUB599" s="48"/>
      <c r="OUC599" s="53"/>
      <c r="OUJ599" s="15"/>
      <c r="OUK599" s="50"/>
      <c r="OUL599" s="50"/>
      <c r="OUM599" s="46"/>
      <c r="OUN599" s="47"/>
      <c r="OUO599" s="46"/>
      <c r="OUP599" s="48"/>
      <c r="OUQ599" s="53"/>
      <c r="OUX599" s="15"/>
      <c r="OUY599" s="50"/>
      <c r="OUZ599" s="50"/>
      <c r="OVA599" s="46"/>
      <c r="OVB599" s="47"/>
      <c r="OVC599" s="46"/>
      <c r="OVD599" s="48"/>
      <c r="OVE599" s="53"/>
      <c r="OVL599" s="15"/>
      <c r="OVM599" s="50"/>
      <c r="OVN599" s="50"/>
      <c r="OVO599" s="46"/>
      <c r="OVP599" s="47"/>
      <c r="OVQ599" s="46"/>
      <c r="OVR599" s="48"/>
      <c r="OVS599" s="53"/>
      <c r="OVZ599" s="15"/>
      <c r="OWA599" s="50"/>
      <c r="OWB599" s="50"/>
      <c r="OWC599" s="46"/>
      <c r="OWD599" s="47"/>
      <c r="OWE599" s="46"/>
      <c r="OWF599" s="48"/>
      <c r="OWG599" s="53"/>
      <c r="OWN599" s="15"/>
      <c r="OWO599" s="50"/>
      <c r="OWP599" s="50"/>
      <c r="OWQ599" s="46"/>
      <c r="OWR599" s="47"/>
      <c r="OWS599" s="46"/>
      <c r="OWT599" s="48"/>
      <c r="OWU599" s="53"/>
      <c r="OXB599" s="15"/>
      <c r="OXC599" s="50"/>
      <c r="OXD599" s="50"/>
      <c r="OXE599" s="46"/>
      <c r="OXF599" s="47"/>
      <c r="OXG599" s="46"/>
      <c r="OXH599" s="48"/>
      <c r="OXI599" s="53"/>
      <c r="OXP599" s="15"/>
      <c r="OXQ599" s="50"/>
      <c r="OXR599" s="50"/>
      <c r="OXS599" s="46"/>
      <c r="OXT599" s="47"/>
      <c r="OXU599" s="46"/>
      <c r="OXV599" s="48"/>
      <c r="OXW599" s="53"/>
      <c r="OYD599" s="15"/>
      <c r="OYE599" s="50"/>
      <c r="OYF599" s="50"/>
      <c r="OYG599" s="46"/>
      <c r="OYH599" s="47"/>
      <c r="OYI599" s="46"/>
      <c r="OYJ599" s="48"/>
      <c r="OYK599" s="53"/>
      <c r="OYR599" s="15"/>
      <c r="OYS599" s="50"/>
      <c r="OYT599" s="50"/>
      <c r="OYU599" s="46"/>
      <c r="OYV599" s="47"/>
      <c r="OYW599" s="46"/>
      <c r="OYX599" s="48"/>
      <c r="OYY599" s="53"/>
      <c r="OZF599" s="15"/>
      <c r="OZG599" s="50"/>
      <c r="OZH599" s="50"/>
      <c r="OZI599" s="46"/>
      <c r="OZJ599" s="47"/>
      <c r="OZK599" s="46"/>
      <c r="OZL599" s="48"/>
      <c r="OZM599" s="53"/>
      <c r="OZT599" s="15"/>
      <c r="OZU599" s="50"/>
      <c r="OZV599" s="50"/>
      <c r="OZW599" s="46"/>
      <c r="OZX599" s="47"/>
      <c r="OZY599" s="46"/>
      <c r="OZZ599" s="48"/>
      <c r="PAA599" s="53"/>
      <c r="PAH599" s="15"/>
      <c r="PAI599" s="50"/>
      <c r="PAJ599" s="50"/>
      <c r="PAK599" s="46"/>
      <c r="PAL599" s="47"/>
      <c r="PAM599" s="46"/>
      <c r="PAN599" s="48"/>
      <c r="PAO599" s="53"/>
      <c r="PAV599" s="15"/>
      <c r="PAW599" s="50"/>
      <c r="PAX599" s="50"/>
      <c r="PAY599" s="46"/>
      <c r="PAZ599" s="47"/>
      <c r="PBA599" s="46"/>
      <c r="PBB599" s="48"/>
      <c r="PBC599" s="53"/>
      <c r="PBJ599" s="15"/>
      <c r="PBK599" s="50"/>
      <c r="PBL599" s="50"/>
      <c r="PBM599" s="46"/>
      <c r="PBN599" s="47"/>
      <c r="PBO599" s="46"/>
      <c r="PBP599" s="48"/>
      <c r="PBQ599" s="53"/>
      <c r="PBX599" s="15"/>
      <c r="PBY599" s="50"/>
      <c r="PBZ599" s="50"/>
      <c r="PCA599" s="46"/>
      <c r="PCB599" s="47"/>
      <c r="PCC599" s="46"/>
      <c r="PCD599" s="48"/>
      <c r="PCE599" s="53"/>
      <c r="PCL599" s="15"/>
      <c r="PCM599" s="50"/>
      <c r="PCN599" s="50"/>
      <c r="PCO599" s="46"/>
      <c r="PCP599" s="47"/>
      <c r="PCQ599" s="46"/>
      <c r="PCR599" s="48"/>
      <c r="PCS599" s="53"/>
      <c r="PCZ599" s="15"/>
      <c r="PDA599" s="50"/>
      <c r="PDB599" s="50"/>
      <c r="PDC599" s="46"/>
      <c r="PDD599" s="47"/>
      <c r="PDE599" s="46"/>
      <c r="PDF599" s="48"/>
      <c r="PDG599" s="53"/>
      <c r="PDN599" s="15"/>
      <c r="PDO599" s="50"/>
      <c r="PDP599" s="50"/>
      <c r="PDQ599" s="46"/>
      <c r="PDR599" s="47"/>
      <c r="PDS599" s="46"/>
      <c r="PDT599" s="48"/>
      <c r="PDU599" s="53"/>
      <c r="PEB599" s="15"/>
      <c r="PEC599" s="50"/>
      <c r="PED599" s="50"/>
      <c r="PEE599" s="46"/>
      <c r="PEF599" s="47"/>
      <c r="PEG599" s="46"/>
      <c r="PEH599" s="48"/>
      <c r="PEI599" s="53"/>
      <c r="PEP599" s="15"/>
      <c r="PEQ599" s="50"/>
      <c r="PER599" s="50"/>
      <c r="PES599" s="46"/>
      <c r="PET599" s="47"/>
      <c r="PEU599" s="46"/>
      <c r="PEV599" s="48"/>
      <c r="PEW599" s="53"/>
      <c r="PFD599" s="15"/>
      <c r="PFE599" s="50"/>
      <c r="PFF599" s="50"/>
      <c r="PFG599" s="46"/>
      <c r="PFH599" s="47"/>
      <c r="PFI599" s="46"/>
      <c r="PFJ599" s="48"/>
      <c r="PFK599" s="53"/>
      <c r="PFR599" s="15"/>
      <c r="PFS599" s="50"/>
      <c r="PFT599" s="50"/>
      <c r="PFU599" s="46"/>
      <c r="PFV599" s="47"/>
      <c r="PFW599" s="46"/>
      <c r="PFX599" s="48"/>
      <c r="PFY599" s="53"/>
      <c r="PGF599" s="15"/>
      <c r="PGG599" s="50"/>
      <c r="PGH599" s="50"/>
      <c r="PGI599" s="46"/>
      <c r="PGJ599" s="47"/>
      <c r="PGK599" s="46"/>
      <c r="PGL599" s="48"/>
      <c r="PGM599" s="53"/>
      <c r="PGT599" s="15"/>
      <c r="PGU599" s="50"/>
      <c r="PGV599" s="50"/>
      <c r="PGW599" s="46"/>
      <c r="PGX599" s="47"/>
      <c r="PGY599" s="46"/>
      <c r="PGZ599" s="48"/>
      <c r="PHA599" s="53"/>
      <c r="PHH599" s="15"/>
      <c r="PHI599" s="50"/>
      <c r="PHJ599" s="50"/>
      <c r="PHK599" s="46"/>
      <c r="PHL599" s="47"/>
      <c r="PHM599" s="46"/>
      <c r="PHN599" s="48"/>
      <c r="PHO599" s="53"/>
      <c r="PHV599" s="15"/>
      <c r="PHW599" s="50"/>
      <c r="PHX599" s="50"/>
      <c r="PHY599" s="46"/>
      <c r="PHZ599" s="47"/>
      <c r="PIA599" s="46"/>
      <c r="PIB599" s="48"/>
      <c r="PIC599" s="53"/>
      <c r="PIJ599" s="15"/>
      <c r="PIK599" s="50"/>
      <c r="PIL599" s="50"/>
      <c r="PIM599" s="46"/>
      <c r="PIN599" s="47"/>
      <c r="PIO599" s="46"/>
      <c r="PIP599" s="48"/>
      <c r="PIQ599" s="53"/>
      <c r="PIX599" s="15"/>
      <c r="PIY599" s="50"/>
      <c r="PIZ599" s="50"/>
      <c r="PJA599" s="46"/>
      <c r="PJB599" s="47"/>
      <c r="PJC599" s="46"/>
      <c r="PJD599" s="48"/>
      <c r="PJE599" s="53"/>
      <c r="PJL599" s="15"/>
      <c r="PJM599" s="50"/>
      <c r="PJN599" s="50"/>
      <c r="PJO599" s="46"/>
      <c r="PJP599" s="47"/>
      <c r="PJQ599" s="46"/>
      <c r="PJR599" s="48"/>
      <c r="PJS599" s="53"/>
      <c r="PJZ599" s="15"/>
      <c r="PKA599" s="50"/>
      <c r="PKB599" s="50"/>
      <c r="PKC599" s="46"/>
      <c r="PKD599" s="47"/>
      <c r="PKE599" s="46"/>
      <c r="PKF599" s="48"/>
      <c r="PKG599" s="53"/>
      <c r="PKN599" s="15"/>
      <c r="PKO599" s="50"/>
      <c r="PKP599" s="50"/>
      <c r="PKQ599" s="46"/>
      <c r="PKR599" s="47"/>
      <c r="PKS599" s="46"/>
      <c r="PKT599" s="48"/>
      <c r="PKU599" s="53"/>
      <c r="PLB599" s="15"/>
      <c r="PLC599" s="50"/>
      <c r="PLD599" s="50"/>
      <c r="PLE599" s="46"/>
      <c r="PLF599" s="47"/>
      <c r="PLG599" s="46"/>
      <c r="PLH599" s="48"/>
      <c r="PLI599" s="53"/>
      <c r="PLP599" s="15"/>
      <c r="PLQ599" s="50"/>
      <c r="PLR599" s="50"/>
      <c r="PLS599" s="46"/>
      <c r="PLT599" s="47"/>
      <c r="PLU599" s="46"/>
      <c r="PLV599" s="48"/>
      <c r="PLW599" s="53"/>
      <c r="PMD599" s="15"/>
      <c r="PME599" s="50"/>
      <c r="PMF599" s="50"/>
      <c r="PMG599" s="46"/>
      <c r="PMH599" s="47"/>
      <c r="PMI599" s="46"/>
      <c r="PMJ599" s="48"/>
      <c r="PMK599" s="53"/>
      <c r="PMR599" s="15"/>
      <c r="PMS599" s="50"/>
      <c r="PMT599" s="50"/>
      <c r="PMU599" s="46"/>
      <c r="PMV599" s="47"/>
      <c r="PMW599" s="46"/>
      <c r="PMX599" s="48"/>
      <c r="PMY599" s="53"/>
      <c r="PNF599" s="15"/>
      <c r="PNG599" s="50"/>
      <c r="PNH599" s="50"/>
      <c r="PNI599" s="46"/>
      <c r="PNJ599" s="47"/>
      <c r="PNK599" s="46"/>
      <c r="PNL599" s="48"/>
      <c r="PNM599" s="53"/>
      <c r="PNT599" s="15"/>
      <c r="PNU599" s="50"/>
      <c r="PNV599" s="50"/>
      <c r="PNW599" s="46"/>
      <c r="PNX599" s="47"/>
      <c r="PNY599" s="46"/>
      <c r="PNZ599" s="48"/>
      <c r="POA599" s="53"/>
      <c r="POH599" s="15"/>
      <c r="POI599" s="50"/>
      <c r="POJ599" s="50"/>
      <c r="POK599" s="46"/>
      <c r="POL599" s="47"/>
      <c r="POM599" s="46"/>
      <c r="PON599" s="48"/>
      <c r="POO599" s="53"/>
      <c r="POV599" s="15"/>
      <c r="POW599" s="50"/>
      <c r="POX599" s="50"/>
      <c r="POY599" s="46"/>
      <c r="POZ599" s="47"/>
      <c r="PPA599" s="46"/>
      <c r="PPB599" s="48"/>
      <c r="PPC599" s="53"/>
      <c r="PPJ599" s="15"/>
      <c r="PPK599" s="50"/>
      <c r="PPL599" s="50"/>
      <c r="PPM599" s="46"/>
      <c r="PPN599" s="47"/>
      <c r="PPO599" s="46"/>
      <c r="PPP599" s="48"/>
      <c r="PPQ599" s="53"/>
      <c r="PPX599" s="15"/>
      <c r="PPY599" s="50"/>
      <c r="PPZ599" s="50"/>
      <c r="PQA599" s="46"/>
      <c r="PQB599" s="47"/>
      <c r="PQC599" s="46"/>
      <c r="PQD599" s="48"/>
      <c r="PQE599" s="53"/>
      <c r="PQL599" s="15"/>
      <c r="PQM599" s="50"/>
      <c r="PQN599" s="50"/>
      <c r="PQO599" s="46"/>
      <c r="PQP599" s="47"/>
      <c r="PQQ599" s="46"/>
      <c r="PQR599" s="48"/>
      <c r="PQS599" s="53"/>
      <c r="PQZ599" s="15"/>
      <c r="PRA599" s="50"/>
      <c r="PRB599" s="50"/>
      <c r="PRC599" s="46"/>
      <c r="PRD599" s="47"/>
      <c r="PRE599" s="46"/>
      <c r="PRF599" s="48"/>
      <c r="PRG599" s="53"/>
      <c r="PRN599" s="15"/>
      <c r="PRO599" s="50"/>
      <c r="PRP599" s="50"/>
      <c r="PRQ599" s="46"/>
      <c r="PRR599" s="47"/>
      <c r="PRS599" s="46"/>
      <c r="PRT599" s="48"/>
      <c r="PRU599" s="53"/>
      <c r="PSB599" s="15"/>
      <c r="PSC599" s="50"/>
      <c r="PSD599" s="50"/>
      <c r="PSE599" s="46"/>
      <c r="PSF599" s="47"/>
      <c r="PSG599" s="46"/>
      <c r="PSH599" s="48"/>
      <c r="PSI599" s="53"/>
      <c r="PSP599" s="15"/>
      <c r="PSQ599" s="50"/>
      <c r="PSR599" s="50"/>
      <c r="PSS599" s="46"/>
      <c r="PST599" s="47"/>
      <c r="PSU599" s="46"/>
      <c r="PSV599" s="48"/>
      <c r="PSW599" s="53"/>
      <c r="PTD599" s="15"/>
      <c r="PTE599" s="50"/>
      <c r="PTF599" s="50"/>
      <c r="PTG599" s="46"/>
      <c r="PTH599" s="47"/>
      <c r="PTI599" s="46"/>
      <c r="PTJ599" s="48"/>
      <c r="PTK599" s="53"/>
      <c r="PTR599" s="15"/>
      <c r="PTS599" s="50"/>
      <c r="PTT599" s="50"/>
      <c r="PTU599" s="46"/>
      <c r="PTV599" s="47"/>
      <c r="PTW599" s="46"/>
      <c r="PTX599" s="48"/>
      <c r="PTY599" s="53"/>
      <c r="PUF599" s="15"/>
      <c r="PUG599" s="50"/>
      <c r="PUH599" s="50"/>
      <c r="PUI599" s="46"/>
      <c r="PUJ599" s="47"/>
      <c r="PUK599" s="46"/>
      <c r="PUL599" s="48"/>
      <c r="PUM599" s="53"/>
      <c r="PUT599" s="15"/>
      <c r="PUU599" s="50"/>
      <c r="PUV599" s="50"/>
      <c r="PUW599" s="46"/>
      <c r="PUX599" s="47"/>
      <c r="PUY599" s="46"/>
      <c r="PUZ599" s="48"/>
      <c r="PVA599" s="53"/>
      <c r="PVH599" s="15"/>
      <c r="PVI599" s="50"/>
      <c r="PVJ599" s="50"/>
      <c r="PVK599" s="46"/>
      <c r="PVL599" s="47"/>
      <c r="PVM599" s="46"/>
      <c r="PVN599" s="48"/>
      <c r="PVO599" s="53"/>
      <c r="PVV599" s="15"/>
      <c r="PVW599" s="50"/>
      <c r="PVX599" s="50"/>
      <c r="PVY599" s="46"/>
      <c r="PVZ599" s="47"/>
      <c r="PWA599" s="46"/>
      <c r="PWB599" s="48"/>
      <c r="PWC599" s="53"/>
      <c r="PWJ599" s="15"/>
      <c r="PWK599" s="50"/>
      <c r="PWL599" s="50"/>
      <c r="PWM599" s="46"/>
      <c r="PWN599" s="47"/>
      <c r="PWO599" s="46"/>
      <c r="PWP599" s="48"/>
      <c r="PWQ599" s="53"/>
      <c r="PWX599" s="15"/>
      <c r="PWY599" s="50"/>
      <c r="PWZ599" s="50"/>
      <c r="PXA599" s="46"/>
      <c r="PXB599" s="47"/>
      <c r="PXC599" s="46"/>
      <c r="PXD599" s="48"/>
      <c r="PXE599" s="53"/>
      <c r="PXL599" s="15"/>
      <c r="PXM599" s="50"/>
      <c r="PXN599" s="50"/>
      <c r="PXO599" s="46"/>
      <c r="PXP599" s="47"/>
      <c r="PXQ599" s="46"/>
      <c r="PXR599" s="48"/>
      <c r="PXS599" s="53"/>
      <c r="PXZ599" s="15"/>
      <c r="PYA599" s="50"/>
      <c r="PYB599" s="50"/>
      <c r="PYC599" s="46"/>
      <c r="PYD599" s="47"/>
      <c r="PYE599" s="46"/>
      <c r="PYF599" s="48"/>
      <c r="PYG599" s="53"/>
      <c r="PYN599" s="15"/>
      <c r="PYO599" s="50"/>
      <c r="PYP599" s="50"/>
      <c r="PYQ599" s="46"/>
      <c r="PYR599" s="47"/>
      <c r="PYS599" s="46"/>
      <c r="PYT599" s="48"/>
      <c r="PYU599" s="53"/>
      <c r="PZB599" s="15"/>
      <c r="PZC599" s="50"/>
      <c r="PZD599" s="50"/>
      <c r="PZE599" s="46"/>
      <c r="PZF599" s="47"/>
      <c r="PZG599" s="46"/>
      <c r="PZH599" s="48"/>
      <c r="PZI599" s="53"/>
      <c r="PZP599" s="15"/>
      <c r="PZQ599" s="50"/>
      <c r="PZR599" s="50"/>
      <c r="PZS599" s="46"/>
      <c r="PZT599" s="47"/>
      <c r="PZU599" s="46"/>
      <c r="PZV599" s="48"/>
      <c r="PZW599" s="53"/>
      <c r="QAD599" s="15"/>
      <c r="QAE599" s="50"/>
      <c r="QAF599" s="50"/>
      <c r="QAG599" s="46"/>
      <c r="QAH599" s="47"/>
      <c r="QAI599" s="46"/>
      <c r="QAJ599" s="48"/>
      <c r="QAK599" s="53"/>
      <c r="QAR599" s="15"/>
      <c r="QAS599" s="50"/>
      <c r="QAT599" s="50"/>
      <c r="QAU599" s="46"/>
      <c r="QAV599" s="47"/>
      <c r="QAW599" s="46"/>
      <c r="QAX599" s="48"/>
      <c r="QAY599" s="53"/>
      <c r="QBF599" s="15"/>
      <c r="QBG599" s="50"/>
      <c r="QBH599" s="50"/>
      <c r="QBI599" s="46"/>
      <c r="QBJ599" s="47"/>
      <c r="QBK599" s="46"/>
      <c r="QBL599" s="48"/>
      <c r="QBM599" s="53"/>
      <c r="QBT599" s="15"/>
      <c r="QBU599" s="50"/>
      <c r="QBV599" s="50"/>
      <c r="QBW599" s="46"/>
      <c r="QBX599" s="47"/>
      <c r="QBY599" s="46"/>
      <c r="QBZ599" s="48"/>
      <c r="QCA599" s="53"/>
      <c r="QCH599" s="15"/>
      <c r="QCI599" s="50"/>
      <c r="QCJ599" s="50"/>
      <c r="QCK599" s="46"/>
      <c r="QCL599" s="47"/>
      <c r="QCM599" s="46"/>
      <c r="QCN599" s="48"/>
      <c r="QCO599" s="53"/>
      <c r="QCV599" s="15"/>
      <c r="QCW599" s="50"/>
      <c r="QCX599" s="50"/>
      <c r="QCY599" s="46"/>
      <c r="QCZ599" s="47"/>
      <c r="QDA599" s="46"/>
      <c r="QDB599" s="48"/>
      <c r="QDC599" s="53"/>
      <c r="QDJ599" s="15"/>
      <c r="QDK599" s="50"/>
      <c r="QDL599" s="50"/>
      <c r="QDM599" s="46"/>
      <c r="QDN599" s="47"/>
      <c r="QDO599" s="46"/>
      <c r="QDP599" s="48"/>
      <c r="QDQ599" s="53"/>
      <c r="QDX599" s="15"/>
      <c r="QDY599" s="50"/>
      <c r="QDZ599" s="50"/>
      <c r="QEA599" s="46"/>
      <c r="QEB599" s="47"/>
      <c r="QEC599" s="46"/>
      <c r="QED599" s="48"/>
      <c r="QEE599" s="53"/>
      <c r="QEL599" s="15"/>
      <c r="QEM599" s="50"/>
      <c r="QEN599" s="50"/>
      <c r="QEO599" s="46"/>
      <c r="QEP599" s="47"/>
      <c r="QEQ599" s="46"/>
      <c r="QER599" s="48"/>
      <c r="QES599" s="53"/>
      <c r="QEZ599" s="15"/>
      <c r="QFA599" s="50"/>
      <c r="QFB599" s="50"/>
      <c r="QFC599" s="46"/>
      <c r="QFD599" s="47"/>
      <c r="QFE599" s="46"/>
      <c r="QFF599" s="48"/>
      <c r="QFG599" s="53"/>
      <c r="QFN599" s="15"/>
      <c r="QFO599" s="50"/>
      <c r="QFP599" s="50"/>
      <c r="QFQ599" s="46"/>
      <c r="QFR599" s="47"/>
      <c r="QFS599" s="46"/>
      <c r="QFT599" s="48"/>
      <c r="QFU599" s="53"/>
      <c r="QGB599" s="15"/>
      <c r="QGC599" s="50"/>
      <c r="QGD599" s="50"/>
      <c r="QGE599" s="46"/>
      <c r="QGF599" s="47"/>
      <c r="QGG599" s="46"/>
      <c r="QGH599" s="48"/>
      <c r="QGI599" s="53"/>
      <c r="QGP599" s="15"/>
      <c r="QGQ599" s="50"/>
      <c r="QGR599" s="50"/>
      <c r="QGS599" s="46"/>
      <c r="QGT599" s="47"/>
      <c r="QGU599" s="46"/>
      <c r="QGV599" s="48"/>
      <c r="QGW599" s="53"/>
      <c r="QHD599" s="15"/>
      <c r="QHE599" s="50"/>
      <c r="QHF599" s="50"/>
      <c r="QHG599" s="46"/>
      <c r="QHH599" s="47"/>
      <c r="QHI599" s="46"/>
      <c r="QHJ599" s="48"/>
      <c r="QHK599" s="53"/>
      <c r="QHR599" s="15"/>
      <c r="QHS599" s="50"/>
      <c r="QHT599" s="50"/>
      <c r="QHU599" s="46"/>
      <c r="QHV599" s="47"/>
      <c r="QHW599" s="46"/>
      <c r="QHX599" s="48"/>
      <c r="QHY599" s="53"/>
      <c r="QIF599" s="15"/>
      <c r="QIG599" s="50"/>
      <c r="QIH599" s="50"/>
      <c r="QII599" s="46"/>
      <c r="QIJ599" s="47"/>
      <c r="QIK599" s="46"/>
      <c r="QIL599" s="48"/>
      <c r="QIM599" s="53"/>
      <c r="QIT599" s="15"/>
      <c r="QIU599" s="50"/>
      <c r="QIV599" s="50"/>
      <c r="QIW599" s="46"/>
      <c r="QIX599" s="47"/>
      <c r="QIY599" s="46"/>
      <c r="QIZ599" s="48"/>
      <c r="QJA599" s="53"/>
      <c r="QJH599" s="15"/>
      <c r="QJI599" s="50"/>
      <c r="QJJ599" s="50"/>
      <c r="QJK599" s="46"/>
      <c r="QJL599" s="47"/>
      <c r="QJM599" s="46"/>
      <c r="QJN599" s="48"/>
      <c r="QJO599" s="53"/>
      <c r="QJV599" s="15"/>
      <c r="QJW599" s="50"/>
      <c r="QJX599" s="50"/>
      <c r="QJY599" s="46"/>
      <c r="QJZ599" s="47"/>
      <c r="QKA599" s="46"/>
      <c r="QKB599" s="48"/>
      <c r="QKC599" s="53"/>
      <c r="QKJ599" s="15"/>
      <c r="QKK599" s="50"/>
      <c r="QKL599" s="50"/>
      <c r="QKM599" s="46"/>
      <c r="QKN599" s="47"/>
      <c r="QKO599" s="46"/>
      <c r="QKP599" s="48"/>
      <c r="QKQ599" s="53"/>
      <c r="QKX599" s="15"/>
      <c r="QKY599" s="50"/>
      <c r="QKZ599" s="50"/>
      <c r="QLA599" s="46"/>
      <c r="QLB599" s="47"/>
      <c r="QLC599" s="46"/>
      <c r="QLD599" s="48"/>
      <c r="QLE599" s="53"/>
      <c r="QLL599" s="15"/>
      <c r="QLM599" s="50"/>
      <c r="QLN599" s="50"/>
      <c r="QLO599" s="46"/>
      <c r="QLP599" s="47"/>
      <c r="QLQ599" s="46"/>
      <c r="QLR599" s="48"/>
      <c r="QLS599" s="53"/>
      <c r="QLZ599" s="15"/>
      <c r="QMA599" s="50"/>
      <c r="QMB599" s="50"/>
      <c r="QMC599" s="46"/>
      <c r="QMD599" s="47"/>
      <c r="QME599" s="46"/>
      <c r="QMF599" s="48"/>
      <c r="QMG599" s="53"/>
      <c r="QMN599" s="15"/>
      <c r="QMO599" s="50"/>
      <c r="QMP599" s="50"/>
      <c r="QMQ599" s="46"/>
      <c r="QMR599" s="47"/>
      <c r="QMS599" s="46"/>
      <c r="QMT599" s="48"/>
      <c r="QMU599" s="53"/>
      <c r="QNB599" s="15"/>
      <c r="QNC599" s="50"/>
      <c r="QND599" s="50"/>
      <c r="QNE599" s="46"/>
      <c r="QNF599" s="47"/>
      <c r="QNG599" s="46"/>
      <c r="QNH599" s="48"/>
      <c r="QNI599" s="53"/>
      <c r="QNP599" s="15"/>
      <c r="QNQ599" s="50"/>
      <c r="QNR599" s="50"/>
      <c r="QNS599" s="46"/>
      <c r="QNT599" s="47"/>
      <c r="QNU599" s="46"/>
      <c r="QNV599" s="48"/>
      <c r="QNW599" s="53"/>
      <c r="QOD599" s="15"/>
      <c r="QOE599" s="50"/>
      <c r="QOF599" s="50"/>
      <c r="QOG599" s="46"/>
      <c r="QOH599" s="47"/>
      <c r="QOI599" s="46"/>
      <c r="QOJ599" s="48"/>
      <c r="QOK599" s="53"/>
      <c r="QOR599" s="15"/>
      <c r="QOS599" s="50"/>
      <c r="QOT599" s="50"/>
      <c r="QOU599" s="46"/>
      <c r="QOV599" s="47"/>
      <c r="QOW599" s="46"/>
      <c r="QOX599" s="48"/>
      <c r="QOY599" s="53"/>
      <c r="QPF599" s="15"/>
      <c r="QPG599" s="50"/>
      <c r="QPH599" s="50"/>
      <c r="QPI599" s="46"/>
      <c r="QPJ599" s="47"/>
      <c r="QPK599" s="46"/>
      <c r="QPL599" s="48"/>
      <c r="QPM599" s="53"/>
      <c r="QPT599" s="15"/>
      <c r="QPU599" s="50"/>
      <c r="QPV599" s="50"/>
      <c r="QPW599" s="46"/>
      <c r="QPX599" s="47"/>
      <c r="QPY599" s="46"/>
      <c r="QPZ599" s="48"/>
      <c r="QQA599" s="53"/>
      <c r="QQH599" s="15"/>
      <c r="QQI599" s="50"/>
      <c r="QQJ599" s="50"/>
      <c r="QQK599" s="46"/>
      <c r="QQL599" s="47"/>
      <c r="QQM599" s="46"/>
      <c r="QQN599" s="48"/>
      <c r="QQO599" s="53"/>
      <c r="QQV599" s="15"/>
      <c r="QQW599" s="50"/>
      <c r="QQX599" s="50"/>
      <c r="QQY599" s="46"/>
      <c r="QQZ599" s="47"/>
      <c r="QRA599" s="46"/>
      <c r="QRB599" s="48"/>
      <c r="QRC599" s="53"/>
      <c r="QRJ599" s="15"/>
      <c r="QRK599" s="50"/>
      <c r="QRL599" s="50"/>
      <c r="QRM599" s="46"/>
      <c r="QRN599" s="47"/>
      <c r="QRO599" s="46"/>
      <c r="QRP599" s="48"/>
      <c r="QRQ599" s="53"/>
      <c r="QRX599" s="15"/>
      <c r="QRY599" s="50"/>
      <c r="QRZ599" s="50"/>
      <c r="QSA599" s="46"/>
      <c r="QSB599" s="47"/>
      <c r="QSC599" s="46"/>
      <c r="QSD599" s="48"/>
      <c r="QSE599" s="53"/>
      <c r="QSL599" s="15"/>
      <c r="QSM599" s="50"/>
      <c r="QSN599" s="50"/>
      <c r="QSO599" s="46"/>
      <c r="QSP599" s="47"/>
      <c r="QSQ599" s="46"/>
      <c r="QSR599" s="48"/>
      <c r="QSS599" s="53"/>
      <c r="QSZ599" s="15"/>
      <c r="QTA599" s="50"/>
      <c r="QTB599" s="50"/>
      <c r="QTC599" s="46"/>
      <c r="QTD599" s="47"/>
      <c r="QTE599" s="46"/>
      <c r="QTF599" s="48"/>
      <c r="QTG599" s="53"/>
      <c r="QTN599" s="15"/>
      <c r="QTO599" s="50"/>
      <c r="QTP599" s="50"/>
      <c r="QTQ599" s="46"/>
      <c r="QTR599" s="47"/>
      <c r="QTS599" s="46"/>
      <c r="QTT599" s="48"/>
      <c r="QTU599" s="53"/>
      <c r="QUB599" s="15"/>
      <c r="QUC599" s="50"/>
      <c r="QUD599" s="50"/>
      <c r="QUE599" s="46"/>
      <c r="QUF599" s="47"/>
      <c r="QUG599" s="46"/>
      <c r="QUH599" s="48"/>
      <c r="QUI599" s="53"/>
      <c r="QUP599" s="15"/>
      <c r="QUQ599" s="50"/>
      <c r="QUR599" s="50"/>
      <c r="QUS599" s="46"/>
      <c r="QUT599" s="47"/>
      <c r="QUU599" s="46"/>
      <c r="QUV599" s="48"/>
      <c r="QUW599" s="53"/>
      <c r="QVD599" s="15"/>
      <c r="QVE599" s="50"/>
      <c r="QVF599" s="50"/>
      <c r="QVG599" s="46"/>
      <c r="QVH599" s="47"/>
      <c r="QVI599" s="46"/>
      <c r="QVJ599" s="48"/>
      <c r="QVK599" s="53"/>
      <c r="QVR599" s="15"/>
      <c r="QVS599" s="50"/>
      <c r="QVT599" s="50"/>
      <c r="QVU599" s="46"/>
      <c r="QVV599" s="47"/>
      <c r="QVW599" s="46"/>
      <c r="QVX599" s="48"/>
      <c r="QVY599" s="53"/>
      <c r="QWF599" s="15"/>
      <c r="QWG599" s="50"/>
      <c r="QWH599" s="50"/>
      <c r="QWI599" s="46"/>
      <c r="QWJ599" s="47"/>
      <c r="QWK599" s="46"/>
      <c r="QWL599" s="48"/>
      <c r="QWM599" s="53"/>
      <c r="QWT599" s="15"/>
      <c r="QWU599" s="50"/>
      <c r="QWV599" s="50"/>
      <c r="QWW599" s="46"/>
      <c r="QWX599" s="47"/>
      <c r="QWY599" s="46"/>
      <c r="QWZ599" s="48"/>
      <c r="QXA599" s="53"/>
      <c r="QXH599" s="15"/>
      <c r="QXI599" s="50"/>
      <c r="QXJ599" s="50"/>
      <c r="QXK599" s="46"/>
      <c r="QXL599" s="47"/>
      <c r="QXM599" s="46"/>
      <c r="QXN599" s="48"/>
      <c r="QXO599" s="53"/>
      <c r="QXV599" s="15"/>
      <c r="QXW599" s="50"/>
      <c r="QXX599" s="50"/>
      <c r="QXY599" s="46"/>
      <c r="QXZ599" s="47"/>
      <c r="QYA599" s="46"/>
      <c r="QYB599" s="48"/>
      <c r="QYC599" s="53"/>
      <c r="QYJ599" s="15"/>
      <c r="QYK599" s="50"/>
      <c r="QYL599" s="50"/>
      <c r="QYM599" s="46"/>
      <c r="QYN599" s="47"/>
      <c r="QYO599" s="46"/>
      <c r="QYP599" s="48"/>
      <c r="QYQ599" s="53"/>
      <c r="QYX599" s="15"/>
      <c r="QYY599" s="50"/>
      <c r="QYZ599" s="50"/>
      <c r="QZA599" s="46"/>
      <c r="QZB599" s="47"/>
      <c r="QZC599" s="46"/>
      <c r="QZD599" s="48"/>
      <c r="QZE599" s="53"/>
      <c r="QZL599" s="15"/>
      <c r="QZM599" s="50"/>
      <c r="QZN599" s="50"/>
      <c r="QZO599" s="46"/>
      <c r="QZP599" s="47"/>
      <c r="QZQ599" s="46"/>
      <c r="QZR599" s="48"/>
      <c r="QZS599" s="53"/>
      <c r="QZZ599" s="15"/>
      <c r="RAA599" s="50"/>
      <c r="RAB599" s="50"/>
      <c r="RAC599" s="46"/>
      <c r="RAD599" s="47"/>
      <c r="RAE599" s="46"/>
      <c r="RAF599" s="48"/>
      <c r="RAG599" s="53"/>
      <c r="RAN599" s="15"/>
      <c r="RAO599" s="50"/>
      <c r="RAP599" s="50"/>
      <c r="RAQ599" s="46"/>
      <c r="RAR599" s="47"/>
      <c r="RAS599" s="46"/>
      <c r="RAT599" s="48"/>
      <c r="RAU599" s="53"/>
      <c r="RBB599" s="15"/>
      <c r="RBC599" s="50"/>
      <c r="RBD599" s="50"/>
      <c r="RBE599" s="46"/>
      <c r="RBF599" s="47"/>
      <c r="RBG599" s="46"/>
      <c r="RBH599" s="48"/>
      <c r="RBI599" s="53"/>
      <c r="RBP599" s="15"/>
      <c r="RBQ599" s="50"/>
      <c r="RBR599" s="50"/>
      <c r="RBS599" s="46"/>
      <c r="RBT599" s="47"/>
      <c r="RBU599" s="46"/>
      <c r="RBV599" s="48"/>
      <c r="RBW599" s="53"/>
      <c r="RCD599" s="15"/>
      <c r="RCE599" s="50"/>
      <c r="RCF599" s="50"/>
      <c r="RCG599" s="46"/>
      <c r="RCH599" s="47"/>
      <c r="RCI599" s="46"/>
      <c r="RCJ599" s="48"/>
      <c r="RCK599" s="53"/>
      <c r="RCR599" s="15"/>
      <c r="RCS599" s="50"/>
      <c r="RCT599" s="50"/>
      <c r="RCU599" s="46"/>
      <c r="RCV599" s="47"/>
      <c r="RCW599" s="46"/>
      <c r="RCX599" s="48"/>
      <c r="RCY599" s="53"/>
      <c r="RDF599" s="15"/>
      <c r="RDG599" s="50"/>
      <c r="RDH599" s="50"/>
      <c r="RDI599" s="46"/>
      <c r="RDJ599" s="47"/>
      <c r="RDK599" s="46"/>
      <c r="RDL599" s="48"/>
      <c r="RDM599" s="53"/>
      <c r="RDT599" s="15"/>
      <c r="RDU599" s="50"/>
      <c r="RDV599" s="50"/>
      <c r="RDW599" s="46"/>
      <c r="RDX599" s="47"/>
      <c r="RDY599" s="46"/>
      <c r="RDZ599" s="48"/>
      <c r="REA599" s="53"/>
      <c r="REH599" s="15"/>
      <c r="REI599" s="50"/>
      <c r="REJ599" s="50"/>
      <c r="REK599" s="46"/>
      <c r="REL599" s="47"/>
      <c r="REM599" s="46"/>
      <c r="REN599" s="48"/>
      <c r="REO599" s="53"/>
      <c r="REV599" s="15"/>
      <c r="REW599" s="50"/>
      <c r="REX599" s="50"/>
      <c r="REY599" s="46"/>
      <c r="REZ599" s="47"/>
      <c r="RFA599" s="46"/>
      <c r="RFB599" s="48"/>
      <c r="RFC599" s="53"/>
      <c r="RFJ599" s="15"/>
      <c r="RFK599" s="50"/>
      <c r="RFL599" s="50"/>
      <c r="RFM599" s="46"/>
      <c r="RFN599" s="47"/>
      <c r="RFO599" s="46"/>
      <c r="RFP599" s="48"/>
      <c r="RFQ599" s="53"/>
      <c r="RFX599" s="15"/>
      <c r="RFY599" s="50"/>
      <c r="RFZ599" s="50"/>
      <c r="RGA599" s="46"/>
      <c r="RGB599" s="47"/>
      <c r="RGC599" s="46"/>
      <c r="RGD599" s="48"/>
      <c r="RGE599" s="53"/>
      <c r="RGL599" s="15"/>
      <c r="RGM599" s="50"/>
      <c r="RGN599" s="50"/>
      <c r="RGO599" s="46"/>
      <c r="RGP599" s="47"/>
      <c r="RGQ599" s="46"/>
      <c r="RGR599" s="48"/>
      <c r="RGS599" s="53"/>
      <c r="RGZ599" s="15"/>
      <c r="RHA599" s="50"/>
      <c r="RHB599" s="50"/>
      <c r="RHC599" s="46"/>
      <c r="RHD599" s="47"/>
      <c r="RHE599" s="46"/>
      <c r="RHF599" s="48"/>
      <c r="RHG599" s="53"/>
      <c r="RHN599" s="15"/>
      <c r="RHO599" s="50"/>
      <c r="RHP599" s="50"/>
      <c r="RHQ599" s="46"/>
      <c r="RHR599" s="47"/>
      <c r="RHS599" s="46"/>
      <c r="RHT599" s="48"/>
      <c r="RHU599" s="53"/>
      <c r="RIB599" s="15"/>
      <c r="RIC599" s="50"/>
      <c r="RID599" s="50"/>
      <c r="RIE599" s="46"/>
      <c r="RIF599" s="47"/>
      <c r="RIG599" s="46"/>
      <c r="RIH599" s="48"/>
      <c r="RII599" s="53"/>
      <c r="RIP599" s="15"/>
      <c r="RIQ599" s="50"/>
      <c r="RIR599" s="50"/>
      <c r="RIS599" s="46"/>
      <c r="RIT599" s="47"/>
      <c r="RIU599" s="46"/>
      <c r="RIV599" s="48"/>
      <c r="RIW599" s="53"/>
      <c r="RJD599" s="15"/>
      <c r="RJE599" s="50"/>
      <c r="RJF599" s="50"/>
      <c r="RJG599" s="46"/>
      <c r="RJH599" s="47"/>
      <c r="RJI599" s="46"/>
      <c r="RJJ599" s="48"/>
      <c r="RJK599" s="53"/>
      <c r="RJR599" s="15"/>
      <c r="RJS599" s="50"/>
      <c r="RJT599" s="50"/>
      <c r="RJU599" s="46"/>
      <c r="RJV599" s="47"/>
      <c r="RJW599" s="46"/>
      <c r="RJX599" s="48"/>
      <c r="RJY599" s="53"/>
      <c r="RKF599" s="15"/>
      <c r="RKG599" s="50"/>
      <c r="RKH599" s="50"/>
      <c r="RKI599" s="46"/>
      <c r="RKJ599" s="47"/>
      <c r="RKK599" s="46"/>
      <c r="RKL599" s="48"/>
      <c r="RKM599" s="53"/>
      <c r="RKT599" s="15"/>
      <c r="RKU599" s="50"/>
      <c r="RKV599" s="50"/>
      <c r="RKW599" s="46"/>
      <c r="RKX599" s="47"/>
      <c r="RKY599" s="46"/>
      <c r="RKZ599" s="48"/>
      <c r="RLA599" s="53"/>
      <c r="RLH599" s="15"/>
      <c r="RLI599" s="50"/>
      <c r="RLJ599" s="50"/>
      <c r="RLK599" s="46"/>
      <c r="RLL599" s="47"/>
      <c r="RLM599" s="46"/>
      <c r="RLN599" s="48"/>
      <c r="RLO599" s="53"/>
      <c r="RLV599" s="15"/>
      <c r="RLW599" s="50"/>
      <c r="RLX599" s="50"/>
      <c r="RLY599" s="46"/>
      <c r="RLZ599" s="47"/>
      <c r="RMA599" s="46"/>
      <c r="RMB599" s="48"/>
      <c r="RMC599" s="53"/>
      <c r="RMJ599" s="15"/>
      <c r="RMK599" s="50"/>
      <c r="RML599" s="50"/>
      <c r="RMM599" s="46"/>
      <c r="RMN599" s="47"/>
      <c r="RMO599" s="46"/>
      <c r="RMP599" s="48"/>
      <c r="RMQ599" s="53"/>
      <c r="RMX599" s="15"/>
      <c r="RMY599" s="50"/>
      <c r="RMZ599" s="50"/>
      <c r="RNA599" s="46"/>
      <c r="RNB599" s="47"/>
      <c r="RNC599" s="46"/>
      <c r="RND599" s="48"/>
      <c r="RNE599" s="53"/>
      <c r="RNL599" s="15"/>
      <c r="RNM599" s="50"/>
      <c r="RNN599" s="50"/>
      <c r="RNO599" s="46"/>
      <c r="RNP599" s="47"/>
      <c r="RNQ599" s="46"/>
      <c r="RNR599" s="48"/>
      <c r="RNS599" s="53"/>
      <c r="RNZ599" s="15"/>
      <c r="ROA599" s="50"/>
      <c r="ROB599" s="50"/>
      <c r="ROC599" s="46"/>
      <c r="ROD599" s="47"/>
      <c r="ROE599" s="46"/>
      <c r="ROF599" s="48"/>
      <c r="ROG599" s="53"/>
      <c r="RON599" s="15"/>
      <c r="ROO599" s="50"/>
      <c r="ROP599" s="50"/>
      <c r="ROQ599" s="46"/>
      <c r="ROR599" s="47"/>
      <c r="ROS599" s="46"/>
      <c r="ROT599" s="48"/>
      <c r="ROU599" s="53"/>
      <c r="RPB599" s="15"/>
      <c r="RPC599" s="50"/>
      <c r="RPD599" s="50"/>
      <c r="RPE599" s="46"/>
      <c r="RPF599" s="47"/>
      <c r="RPG599" s="46"/>
      <c r="RPH599" s="48"/>
      <c r="RPI599" s="53"/>
      <c r="RPP599" s="15"/>
      <c r="RPQ599" s="50"/>
      <c r="RPR599" s="50"/>
      <c r="RPS599" s="46"/>
      <c r="RPT599" s="47"/>
      <c r="RPU599" s="46"/>
      <c r="RPV599" s="48"/>
      <c r="RPW599" s="53"/>
      <c r="RQD599" s="15"/>
      <c r="RQE599" s="50"/>
      <c r="RQF599" s="50"/>
      <c r="RQG599" s="46"/>
      <c r="RQH599" s="47"/>
      <c r="RQI599" s="46"/>
      <c r="RQJ599" s="48"/>
      <c r="RQK599" s="53"/>
      <c r="RQR599" s="15"/>
      <c r="RQS599" s="50"/>
      <c r="RQT599" s="50"/>
      <c r="RQU599" s="46"/>
      <c r="RQV599" s="47"/>
      <c r="RQW599" s="46"/>
      <c r="RQX599" s="48"/>
      <c r="RQY599" s="53"/>
      <c r="RRF599" s="15"/>
      <c r="RRG599" s="50"/>
      <c r="RRH599" s="50"/>
      <c r="RRI599" s="46"/>
      <c r="RRJ599" s="47"/>
      <c r="RRK599" s="46"/>
      <c r="RRL599" s="48"/>
      <c r="RRM599" s="53"/>
      <c r="RRT599" s="15"/>
      <c r="RRU599" s="50"/>
      <c r="RRV599" s="50"/>
      <c r="RRW599" s="46"/>
      <c r="RRX599" s="47"/>
      <c r="RRY599" s="46"/>
      <c r="RRZ599" s="48"/>
      <c r="RSA599" s="53"/>
      <c r="RSH599" s="15"/>
      <c r="RSI599" s="50"/>
      <c r="RSJ599" s="50"/>
      <c r="RSK599" s="46"/>
      <c r="RSL599" s="47"/>
      <c r="RSM599" s="46"/>
      <c r="RSN599" s="48"/>
      <c r="RSO599" s="53"/>
      <c r="RSV599" s="15"/>
      <c r="RSW599" s="50"/>
      <c r="RSX599" s="50"/>
      <c r="RSY599" s="46"/>
      <c r="RSZ599" s="47"/>
      <c r="RTA599" s="46"/>
      <c r="RTB599" s="48"/>
      <c r="RTC599" s="53"/>
      <c r="RTJ599" s="15"/>
      <c r="RTK599" s="50"/>
      <c r="RTL599" s="50"/>
      <c r="RTM599" s="46"/>
      <c r="RTN599" s="47"/>
      <c r="RTO599" s="46"/>
      <c r="RTP599" s="48"/>
      <c r="RTQ599" s="53"/>
      <c r="RTX599" s="15"/>
      <c r="RTY599" s="50"/>
      <c r="RTZ599" s="50"/>
      <c r="RUA599" s="46"/>
      <c r="RUB599" s="47"/>
      <c r="RUC599" s="46"/>
      <c r="RUD599" s="48"/>
      <c r="RUE599" s="53"/>
      <c r="RUL599" s="15"/>
      <c r="RUM599" s="50"/>
      <c r="RUN599" s="50"/>
      <c r="RUO599" s="46"/>
      <c r="RUP599" s="47"/>
      <c r="RUQ599" s="46"/>
      <c r="RUR599" s="48"/>
      <c r="RUS599" s="53"/>
      <c r="RUZ599" s="15"/>
      <c r="RVA599" s="50"/>
      <c r="RVB599" s="50"/>
      <c r="RVC599" s="46"/>
      <c r="RVD599" s="47"/>
      <c r="RVE599" s="46"/>
      <c r="RVF599" s="48"/>
      <c r="RVG599" s="53"/>
      <c r="RVN599" s="15"/>
      <c r="RVO599" s="50"/>
      <c r="RVP599" s="50"/>
      <c r="RVQ599" s="46"/>
      <c r="RVR599" s="47"/>
      <c r="RVS599" s="46"/>
      <c r="RVT599" s="48"/>
      <c r="RVU599" s="53"/>
      <c r="RWB599" s="15"/>
      <c r="RWC599" s="50"/>
      <c r="RWD599" s="50"/>
      <c r="RWE599" s="46"/>
      <c r="RWF599" s="47"/>
      <c r="RWG599" s="46"/>
      <c r="RWH599" s="48"/>
      <c r="RWI599" s="53"/>
      <c r="RWP599" s="15"/>
      <c r="RWQ599" s="50"/>
      <c r="RWR599" s="50"/>
      <c r="RWS599" s="46"/>
      <c r="RWT599" s="47"/>
      <c r="RWU599" s="46"/>
      <c r="RWV599" s="48"/>
      <c r="RWW599" s="53"/>
      <c r="RXD599" s="15"/>
      <c r="RXE599" s="50"/>
      <c r="RXF599" s="50"/>
      <c r="RXG599" s="46"/>
      <c r="RXH599" s="47"/>
      <c r="RXI599" s="46"/>
      <c r="RXJ599" s="48"/>
      <c r="RXK599" s="53"/>
      <c r="RXR599" s="15"/>
      <c r="RXS599" s="50"/>
      <c r="RXT599" s="50"/>
      <c r="RXU599" s="46"/>
      <c r="RXV599" s="47"/>
      <c r="RXW599" s="46"/>
      <c r="RXX599" s="48"/>
      <c r="RXY599" s="53"/>
      <c r="RYF599" s="15"/>
      <c r="RYG599" s="50"/>
      <c r="RYH599" s="50"/>
      <c r="RYI599" s="46"/>
      <c r="RYJ599" s="47"/>
      <c r="RYK599" s="46"/>
      <c r="RYL599" s="48"/>
      <c r="RYM599" s="53"/>
      <c r="RYT599" s="15"/>
      <c r="RYU599" s="50"/>
      <c r="RYV599" s="50"/>
      <c r="RYW599" s="46"/>
      <c r="RYX599" s="47"/>
      <c r="RYY599" s="46"/>
      <c r="RYZ599" s="48"/>
      <c r="RZA599" s="53"/>
      <c r="RZH599" s="15"/>
      <c r="RZI599" s="50"/>
      <c r="RZJ599" s="50"/>
      <c r="RZK599" s="46"/>
      <c r="RZL599" s="47"/>
      <c r="RZM599" s="46"/>
      <c r="RZN599" s="48"/>
      <c r="RZO599" s="53"/>
      <c r="RZV599" s="15"/>
      <c r="RZW599" s="50"/>
      <c r="RZX599" s="50"/>
      <c r="RZY599" s="46"/>
      <c r="RZZ599" s="47"/>
      <c r="SAA599" s="46"/>
      <c r="SAB599" s="48"/>
      <c r="SAC599" s="53"/>
      <c r="SAJ599" s="15"/>
      <c r="SAK599" s="50"/>
      <c r="SAL599" s="50"/>
      <c r="SAM599" s="46"/>
      <c r="SAN599" s="47"/>
      <c r="SAO599" s="46"/>
      <c r="SAP599" s="48"/>
      <c r="SAQ599" s="53"/>
      <c r="SAX599" s="15"/>
      <c r="SAY599" s="50"/>
      <c r="SAZ599" s="50"/>
      <c r="SBA599" s="46"/>
      <c r="SBB599" s="47"/>
      <c r="SBC599" s="46"/>
      <c r="SBD599" s="48"/>
      <c r="SBE599" s="53"/>
      <c r="SBL599" s="15"/>
      <c r="SBM599" s="50"/>
      <c r="SBN599" s="50"/>
      <c r="SBO599" s="46"/>
      <c r="SBP599" s="47"/>
      <c r="SBQ599" s="46"/>
      <c r="SBR599" s="48"/>
      <c r="SBS599" s="53"/>
      <c r="SBZ599" s="15"/>
      <c r="SCA599" s="50"/>
      <c r="SCB599" s="50"/>
      <c r="SCC599" s="46"/>
      <c r="SCD599" s="47"/>
      <c r="SCE599" s="46"/>
      <c r="SCF599" s="48"/>
      <c r="SCG599" s="53"/>
      <c r="SCN599" s="15"/>
      <c r="SCO599" s="50"/>
      <c r="SCP599" s="50"/>
      <c r="SCQ599" s="46"/>
      <c r="SCR599" s="47"/>
      <c r="SCS599" s="46"/>
      <c r="SCT599" s="48"/>
      <c r="SCU599" s="53"/>
      <c r="SDB599" s="15"/>
      <c r="SDC599" s="50"/>
      <c r="SDD599" s="50"/>
      <c r="SDE599" s="46"/>
      <c r="SDF599" s="47"/>
      <c r="SDG599" s="46"/>
      <c r="SDH599" s="48"/>
      <c r="SDI599" s="53"/>
      <c r="SDP599" s="15"/>
      <c r="SDQ599" s="50"/>
      <c r="SDR599" s="50"/>
      <c r="SDS599" s="46"/>
      <c r="SDT599" s="47"/>
      <c r="SDU599" s="46"/>
      <c r="SDV599" s="48"/>
      <c r="SDW599" s="53"/>
      <c r="SED599" s="15"/>
      <c r="SEE599" s="50"/>
      <c r="SEF599" s="50"/>
      <c r="SEG599" s="46"/>
      <c r="SEH599" s="47"/>
      <c r="SEI599" s="46"/>
      <c r="SEJ599" s="48"/>
      <c r="SEK599" s="53"/>
      <c r="SER599" s="15"/>
      <c r="SES599" s="50"/>
      <c r="SET599" s="50"/>
      <c r="SEU599" s="46"/>
      <c r="SEV599" s="47"/>
      <c r="SEW599" s="46"/>
      <c r="SEX599" s="48"/>
      <c r="SEY599" s="53"/>
      <c r="SFF599" s="15"/>
      <c r="SFG599" s="50"/>
      <c r="SFH599" s="50"/>
      <c r="SFI599" s="46"/>
      <c r="SFJ599" s="47"/>
      <c r="SFK599" s="46"/>
      <c r="SFL599" s="48"/>
      <c r="SFM599" s="53"/>
      <c r="SFT599" s="15"/>
      <c r="SFU599" s="50"/>
      <c r="SFV599" s="50"/>
      <c r="SFW599" s="46"/>
      <c r="SFX599" s="47"/>
      <c r="SFY599" s="46"/>
      <c r="SFZ599" s="48"/>
      <c r="SGA599" s="53"/>
      <c r="SGH599" s="15"/>
      <c r="SGI599" s="50"/>
      <c r="SGJ599" s="50"/>
      <c r="SGK599" s="46"/>
      <c r="SGL599" s="47"/>
      <c r="SGM599" s="46"/>
      <c r="SGN599" s="48"/>
      <c r="SGO599" s="53"/>
      <c r="SGV599" s="15"/>
      <c r="SGW599" s="50"/>
      <c r="SGX599" s="50"/>
      <c r="SGY599" s="46"/>
      <c r="SGZ599" s="47"/>
      <c r="SHA599" s="46"/>
      <c r="SHB599" s="48"/>
      <c r="SHC599" s="53"/>
      <c r="SHJ599" s="15"/>
      <c r="SHK599" s="50"/>
      <c r="SHL599" s="50"/>
      <c r="SHM599" s="46"/>
      <c r="SHN599" s="47"/>
      <c r="SHO599" s="46"/>
      <c r="SHP599" s="48"/>
      <c r="SHQ599" s="53"/>
      <c r="SHX599" s="15"/>
      <c r="SHY599" s="50"/>
      <c r="SHZ599" s="50"/>
      <c r="SIA599" s="46"/>
      <c r="SIB599" s="47"/>
      <c r="SIC599" s="46"/>
      <c r="SID599" s="48"/>
      <c r="SIE599" s="53"/>
      <c r="SIL599" s="15"/>
      <c r="SIM599" s="50"/>
      <c r="SIN599" s="50"/>
      <c r="SIO599" s="46"/>
      <c r="SIP599" s="47"/>
      <c r="SIQ599" s="46"/>
      <c r="SIR599" s="48"/>
      <c r="SIS599" s="53"/>
      <c r="SIZ599" s="15"/>
      <c r="SJA599" s="50"/>
      <c r="SJB599" s="50"/>
      <c r="SJC599" s="46"/>
      <c r="SJD599" s="47"/>
      <c r="SJE599" s="46"/>
      <c r="SJF599" s="48"/>
      <c r="SJG599" s="53"/>
      <c r="SJN599" s="15"/>
      <c r="SJO599" s="50"/>
      <c r="SJP599" s="50"/>
      <c r="SJQ599" s="46"/>
      <c r="SJR599" s="47"/>
      <c r="SJS599" s="46"/>
      <c r="SJT599" s="48"/>
      <c r="SJU599" s="53"/>
      <c r="SKB599" s="15"/>
      <c r="SKC599" s="50"/>
      <c r="SKD599" s="50"/>
      <c r="SKE599" s="46"/>
      <c r="SKF599" s="47"/>
      <c r="SKG599" s="46"/>
      <c r="SKH599" s="48"/>
      <c r="SKI599" s="53"/>
      <c r="SKP599" s="15"/>
      <c r="SKQ599" s="50"/>
      <c r="SKR599" s="50"/>
      <c r="SKS599" s="46"/>
      <c r="SKT599" s="47"/>
      <c r="SKU599" s="46"/>
      <c r="SKV599" s="48"/>
      <c r="SKW599" s="53"/>
      <c r="SLD599" s="15"/>
      <c r="SLE599" s="50"/>
      <c r="SLF599" s="50"/>
      <c r="SLG599" s="46"/>
      <c r="SLH599" s="47"/>
      <c r="SLI599" s="46"/>
      <c r="SLJ599" s="48"/>
      <c r="SLK599" s="53"/>
      <c r="SLR599" s="15"/>
      <c r="SLS599" s="50"/>
      <c r="SLT599" s="50"/>
      <c r="SLU599" s="46"/>
      <c r="SLV599" s="47"/>
      <c r="SLW599" s="46"/>
      <c r="SLX599" s="48"/>
      <c r="SLY599" s="53"/>
      <c r="SMF599" s="15"/>
      <c r="SMG599" s="50"/>
      <c r="SMH599" s="50"/>
      <c r="SMI599" s="46"/>
      <c r="SMJ599" s="47"/>
      <c r="SMK599" s="46"/>
      <c r="SML599" s="48"/>
      <c r="SMM599" s="53"/>
      <c r="SMT599" s="15"/>
      <c r="SMU599" s="50"/>
      <c r="SMV599" s="50"/>
      <c r="SMW599" s="46"/>
      <c r="SMX599" s="47"/>
      <c r="SMY599" s="46"/>
      <c r="SMZ599" s="48"/>
      <c r="SNA599" s="53"/>
      <c r="SNH599" s="15"/>
      <c r="SNI599" s="50"/>
      <c r="SNJ599" s="50"/>
      <c r="SNK599" s="46"/>
      <c r="SNL599" s="47"/>
      <c r="SNM599" s="46"/>
      <c r="SNN599" s="48"/>
      <c r="SNO599" s="53"/>
      <c r="SNV599" s="15"/>
      <c r="SNW599" s="50"/>
      <c r="SNX599" s="50"/>
      <c r="SNY599" s="46"/>
      <c r="SNZ599" s="47"/>
      <c r="SOA599" s="46"/>
      <c r="SOB599" s="48"/>
      <c r="SOC599" s="53"/>
      <c r="SOJ599" s="15"/>
      <c r="SOK599" s="50"/>
      <c r="SOL599" s="50"/>
      <c r="SOM599" s="46"/>
      <c r="SON599" s="47"/>
      <c r="SOO599" s="46"/>
      <c r="SOP599" s="48"/>
      <c r="SOQ599" s="53"/>
      <c r="SOX599" s="15"/>
      <c r="SOY599" s="50"/>
      <c r="SOZ599" s="50"/>
      <c r="SPA599" s="46"/>
      <c r="SPB599" s="47"/>
      <c r="SPC599" s="46"/>
      <c r="SPD599" s="48"/>
      <c r="SPE599" s="53"/>
      <c r="SPL599" s="15"/>
      <c r="SPM599" s="50"/>
      <c r="SPN599" s="50"/>
      <c r="SPO599" s="46"/>
      <c r="SPP599" s="47"/>
      <c r="SPQ599" s="46"/>
      <c r="SPR599" s="48"/>
      <c r="SPS599" s="53"/>
      <c r="SPZ599" s="15"/>
      <c r="SQA599" s="50"/>
      <c r="SQB599" s="50"/>
      <c r="SQC599" s="46"/>
      <c r="SQD599" s="47"/>
      <c r="SQE599" s="46"/>
      <c r="SQF599" s="48"/>
      <c r="SQG599" s="53"/>
      <c r="SQN599" s="15"/>
      <c r="SQO599" s="50"/>
      <c r="SQP599" s="50"/>
      <c r="SQQ599" s="46"/>
      <c r="SQR599" s="47"/>
      <c r="SQS599" s="46"/>
      <c r="SQT599" s="48"/>
      <c r="SQU599" s="53"/>
      <c r="SRB599" s="15"/>
      <c r="SRC599" s="50"/>
      <c r="SRD599" s="50"/>
      <c r="SRE599" s="46"/>
      <c r="SRF599" s="47"/>
      <c r="SRG599" s="46"/>
      <c r="SRH599" s="48"/>
      <c r="SRI599" s="53"/>
      <c r="SRP599" s="15"/>
      <c r="SRQ599" s="50"/>
      <c r="SRR599" s="50"/>
      <c r="SRS599" s="46"/>
      <c r="SRT599" s="47"/>
      <c r="SRU599" s="46"/>
      <c r="SRV599" s="48"/>
      <c r="SRW599" s="53"/>
      <c r="SSD599" s="15"/>
      <c r="SSE599" s="50"/>
      <c r="SSF599" s="50"/>
      <c r="SSG599" s="46"/>
      <c r="SSH599" s="47"/>
      <c r="SSI599" s="46"/>
      <c r="SSJ599" s="48"/>
      <c r="SSK599" s="53"/>
      <c r="SSR599" s="15"/>
      <c r="SSS599" s="50"/>
      <c r="SST599" s="50"/>
      <c r="SSU599" s="46"/>
      <c r="SSV599" s="47"/>
      <c r="SSW599" s="46"/>
      <c r="SSX599" s="48"/>
      <c r="SSY599" s="53"/>
      <c r="STF599" s="15"/>
      <c r="STG599" s="50"/>
      <c r="STH599" s="50"/>
      <c r="STI599" s="46"/>
      <c r="STJ599" s="47"/>
      <c r="STK599" s="46"/>
      <c r="STL599" s="48"/>
      <c r="STM599" s="53"/>
      <c r="STT599" s="15"/>
      <c r="STU599" s="50"/>
      <c r="STV599" s="50"/>
      <c r="STW599" s="46"/>
      <c r="STX599" s="47"/>
      <c r="STY599" s="46"/>
      <c r="STZ599" s="48"/>
      <c r="SUA599" s="53"/>
      <c r="SUH599" s="15"/>
      <c r="SUI599" s="50"/>
      <c r="SUJ599" s="50"/>
      <c r="SUK599" s="46"/>
      <c r="SUL599" s="47"/>
      <c r="SUM599" s="46"/>
      <c r="SUN599" s="48"/>
      <c r="SUO599" s="53"/>
      <c r="SUV599" s="15"/>
      <c r="SUW599" s="50"/>
      <c r="SUX599" s="50"/>
      <c r="SUY599" s="46"/>
      <c r="SUZ599" s="47"/>
      <c r="SVA599" s="46"/>
      <c r="SVB599" s="48"/>
      <c r="SVC599" s="53"/>
      <c r="SVJ599" s="15"/>
      <c r="SVK599" s="50"/>
      <c r="SVL599" s="50"/>
      <c r="SVM599" s="46"/>
      <c r="SVN599" s="47"/>
      <c r="SVO599" s="46"/>
      <c r="SVP599" s="48"/>
      <c r="SVQ599" s="53"/>
      <c r="SVX599" s="15"/>
      <c r="SVY599" s="50"/>
      <c r="SVZ599" s="50"/>
      <c r="SWA599" s="46"/>
      <c r="SWB599" s="47"/>
      <c r="SWC599" s="46"/>
      <c r="SWD599" s="48"/>
      <c r="SWE599" s="53"/>
      <c r="SWL599" s="15"/>
      <c r="SWM599" s="50"/>
      <c r="SWN599" s="50"/>
      <c r="SWO599" s="46"/>
      <c r="SWP599" s="47"/>
      <c r="SWQ599" s="46"/>
      <c r="SWR599" s="48"/>
      <c r="SWS599" s="53"/>
      <c r="SWZ599" s="15"/>
      <c r="SXA599" s="50"/>
      <c r="SXB599" s="50"/>
      <c r="SXC599" s="46"/>
      <c r="SXD599" s="47"/>
      <c r="SXE599" s="46"/>
      <c r="SXF599" s="48"/>
      <c r="SXG599" s="53"/>
      <c r="SXN599" s="15"/>
      <c r="SXO599" s="50"/>
      <c r="SXP599" s="50"/>
      <c r="SXQ599" s="46"/>
      <c r="SXR599" s="47"/>
      <c r="SXS599" s="46"/>
      <c r="SXT599" s="48"/>
      <c r="SXU599" s="53"/>
      <c r="SYB599" s="15"/>
      <c r="SYC599" s="50"/>
      <c r="SYD599" s="50"/>
      <c r="SYE599" s="46"/>
      <c r="SYF599" s="47"/>
      <c r="SYG599" s="46"/>
      <c r="SYH599" s="48"/>
      <c r="SYI599" s="53"/>
      <c r="SYP599" s="15"/>
      <c r="SYQ599" s="50"/>
      <c r="SYR599" s="50"/>
      <c r="SYS599" s="46"/>
      <c r="SYT599" s="47"/>
      <c r="SYU599" s="46"/>
      <c r="SYV599" s="48"/>
      <c r="SYW599" s="53"/>
      <c r="SZD599" s="15"/>
      <c r="SZE599" s="50"/>
      <c r="SZF599" s="50"/>
      <c r="SZG599" s="46"/>
      <c r="SZH599" s="47"/>
      <c r="SZI599" s="46"/>
      <c r="SZJ599" s="48"/>
      <c r="SZK599" s="53"/>
      <c r="SZR599" s="15"/>
      <c r="SZS599" s="50"/>
      <c r="SZT599" s="50"/>
      <c r="SZU599" s="46"/>
      <c r="SZV599" s="47"/>
      <c r="SZW599" s="46"/>
      <c r="SZX599" s="48"/>
      <c r="SZY599" s="53"/>
      <c r="TAF599" s="15"/>
      <c r="TAG599" s="50"/>
      <c r="TAH599" s="50"/>
      <c r="TAI599" s="46"/>
      <c r="TAJ599" s="47"/>
      <c r="TAK599" s="46"/>
      <c r="TAL599" s="48"/>
      <c r="TAM599" s="53"/>
      <c r="TAT599" s="15"/>
      <c r="TAU599" s="50"/>
      <c r="TAV599" s="50"/>
      <c r="TAW599" s="46"/>
      <c r="TAX599" s="47"/>
      <c r="TAY599" s="46"/>
      <c r="TAZ599" s="48"/>
      <c r="TBA599" s="53"/>
      <c r="TBH599" s="15"/>
      <c r="TBI599" s="50"/>
      <c r="TBJ599" s="50"/>
      <c r="TBK599" s="46"/>
      <c r="TBL599" s="47"/>
      <c r="TBM599" s="46"/>
      <c r="TBN599" s="48"/>
      <c r="TBO599" s="53"/>
      <c r="TBV599" s="15"/>
      <c r="TBW599" s="50"/>
      <c r="TBX599" s="50"/>
      <c r="TBY599" s="46"/>
      <c r="TBZ599" s="47"/>
      <c r="TCA599" s="46"/>
      <c r="TCB599" s="48"/>
      <c r="TCC599" s="53"/>
      <c r="TCJ599" s="15"/>
      <c r="TCK599" s="50"/>
      <c r="TCL599" s="50"/>
      <c r="TCM599" s="46"/>
      <c r="TCN599" s="47"/>
      <c r="TCO599" s="46"/>
      <c r="TCP599" s="48"/>
      <c r="TCQ599" s="53"/>
      <c r="TCX599" s="15"/>
      <c r="TCY599" s="50"/>
      <c r="TCZ599" s="50"/>
      <c r="TDA599" s="46"/>
      <c r="TDB599" s="47"/>
      <c r="TDC599" s="46"/>
      <c r="TDD599" s="48"/>
      <c r="TDE599" s="53"/>
      <c r="TDL599" s="15"/>
      <c r="TDM599" s="50"/>
      <c r="TDN599" s="50"/>
      <c r="TDO599" s="46"/>
      <c r="TDP599" s="47"/>
      <c r="TDQ599" s="46"/>
      <c r="TDR599" s="48"/>
      <c r="TDS599" s="53"/>
      <c r="TDZ599" s="15"/>
      <c r="TEA599" s="50"/>
      <c r="TEB599" s="50"/>
      <c r="TEC599" s="46"/>
      <c r="TED599" s="47"/>
      <c r="TEE599" s="46"/>
      <c r="TEF599" s="48"/>
      <c r="TEG599" s="53"/>
      <c r="TEN599" s="15"/>
      <c r="TEO599" s="50"/>
      <c r="TEP599" s="50"/>
      <c r="TEQ599" s="46"/>
      <c r="TER599" s="47"/>
      <c r="TES599" s="46"/>
      <c r="TET599" s="48"/>
      <c r="TEU599" s="53"/>
      <c r="TFB599" s="15"/>
      <c r="TFC599" s="50"/>
      <c r="TFD599" s="50"/>
      <c r="TFE599" s="46"/>
      <c r="TFF599" s="47"/>
      <c r="TFG599" s="46"/>
      <c r="TFH599" s="48"/>
      <c r="TFI599" s="53"/>
      <c r="TFP599" s="15"/>
      <c r="TFQ599" s="50"/>
      <c r="TFR599" s="50"/>
      <c r="TFS599" s="46"/>
      <c r="TFT599" s="47"/>
      <c r="TFU599" s="46"/>
      <c r="TFV599" s="48"/>
      <c r="TFW599" s="53"/>
      <c r="TGD599" s="15"/>
      <c r="TGE599" s="50"/>
      <c r="TGF599" s="50"/>
      <c r="TGG599" s="46"/>
      <c r="TGH599" s="47"/>
      <c r="TGI599" s="46"/>
      <c r="TGJ599" s="48"/>
      <c r="TGK599" s="53"/>
      <c r="TGR599" s="15"/>
      <c r="TGS599" s="50"/>
      <c r="TGT599" s="50"/>
      <c r="TGU599" s="46"/>
      <c r="TGV599" s="47"/>
      <c r="TGW599" s="46"/>
      <c r="TGX599" s="48"/>
      <c r="TGY599" s="53"/>
      <c r="THF599" s="15"/>
      <c r="THG599" s="50"/>
      <c r="THH599" s="50"/>
      <c r="THI599" s="46"/>
      <c r="THJ599" s="47"/>
      <c r="THK599" s="46"/>
      <c r="THL599" s="48"/>
      <c r="THM599" s="53"/>
      <c r="THT599" s="15"/>
      <c r="THU599" s="50"/>
      <c r="THV599" s="50"/>
      <c r="THW599" s="46"/>
      <c r="THX599" s="47"/>
      <c r="THY599" s="46"/>
      <c r="THZ599" s="48"/>
      <c r="TIA599" s="53"/>
      <c r="TIH599" s="15"/>
      <c r="TII599" s="50"/>
      <c r="TIJ599" s="50"/>
      <c r="TIK599" s="46"/>
      <c r="TIL599" s="47"/>
      <c r="TIM599" s="46"/>
      <c r="TIN599" s="48"/>
      <c r="TIO599" s="53"/>
      <c r="TIV599" s="15"/>
      <c r="TIW599" s="50"/>
      <c r="TIX599" s="50"/>
      <c r="TIY599" s="46"/>
      <c r="TIZ599" s="47"/>
      <c r="TJA599" s="46"/>
      <c r="TJB599" s="48"/>
      <c r="TJC599" s="53"/>
      <c r="TJJ599" s="15"/>
      <c r="TJK599" s="50"/>
      <c r="TJL599" s="50"/>
      <c r="TJM599" s="46"/>
      <c r="TJN599" s="47"/>
      <c r="TJO599" s="46"/>
      <c r="TJP599" s="48"/>
      <c r="TJQ599" s="53"/>
      <c r="TJX599" s="15"/>
      <c r="TJY599" s="50"/>
      <c r="TJZ599" s="50"/>
      <c r="TKA599" s="46"/>
      <c r="TKB599" s="47"/>
      <c r="TKC599" s="46"/>
      <c r="TKD599" s="48"/>
      <c r="TKE599" s="53"/>
      <c r="TKL599" s="15"/>
      <c r="TKM599" s="50"/>
      <c r="TKN599" s="50"/>
      <c r="TKO599" s="46"/>
      <c r="TKP599" s="47"/>
      <c r="TKQ599" s="46"/>
      <c r="TKR599" s="48"/>
      <c r="TKS599" s="53"/>
      <c r="TKZ599" s="15"/>
      <c r="TLA599" s="50"/>
      <c r="TLB599" s="50"/>
      <c r="TLC599" s="46"/>
      <c r="TLD599" s="47"/>
      <c r="TLE599" s="46"/>
      <c r="TLF599" s="48"/>
      <c r="TLG599" s="53"/>
      <c r="TLN599" s="15"/>
      <c r="TLO599" s="50"/>
      <c r="TLP599" s="50"/>
      <c r="TLQ599" s="46"/>
      <c r="TLR599" s="47"/>
      <c r="TLS599" s="46"/>
      <c r="TLT599" s="48"/>
      <c r="TLU599" s="53"/>
      <c r="TMB599" s="15"/>
      <c r="TMC599" s="50"/>
      <c r="TMD599" s="50"/>
      <c r="TME599" s="46"/>
      <c r="TMF599" s="47"/>
      <c r="TMG599" s="46"/>
      <c r="TMH599" s="48"/>
      <c r="TMI599" s="53"/>
      <c r="TMP599" s="15"/>
      <c r="TMQ599" s="50"/>
      <c r="TMR599" s="50"/>
      <c r="TMS599" s="46"/>
      <c r="TMT599" s="47"/>
      <c r="TMU599" s="46"/>
      <c r="TMV599" s="48"/>
      <c r="TMW599" s="53"/>
      <c r="TND599" s="15"/>
      <c r="TNE599" s="50"/>
      <c r="TNF599" s="50"/>
      <c r="TNG599" s="46"/>
      <c r="TNH599" s="47"/>
      <c r="TNI599" s="46"/>
      <c r="TNJ599" s="48"/>
      <c r="TNK599" s="53"/>
      <c r="TNR599" s="15"/>
      <c r="TNS599" s="50"/>
      <c r="TNT599" s="50"/>
      <c r="TNU599" s="46"/>
      <c r="TNV599" s="47"/>
      <c r="TNW599" s="46"/>
      <c r="TNX599" s="48"/>
      <c r="TNY599" s="53"/>
      <c r="TOF599" s="15"/>
      <c r="TOG599" s="50"/>
      <c r="TOH599" s="50"/>
      <c r="TOI599" s="46"/>
      <c r="TOJ599" s="47"/>
      <c r="TOK599" s="46"/>
      <c r="TOL599" s="48"/>
      <c r="TOM599" s="53"/>
      <c r="TOT599" s="15"/>
      <c r="TOU599" s="50"/>
      <c r="TOV599" s="50"/>
      <c r="TOW599" s="46"/>
      <c r="TOX599" s="47"/>
      <c r="TOY599" s="46"/>
      <c r="TOZ599" s="48"/>
      <c r="TPA599" s="53"/>
      <c r="TPH599" s="15"/>
      <c r="TPI599" s="50"/>
      <c r="TPJ599" s="50"/>
      <c r="TPK599" s="46"/>
      <c r="TPL599" s="47"/>
      <c r="TPM599" s="46"/>
      <c r="TPN599" s="48"/>
      <c r="TPO599" s="53"/>
      <c r="TPV599" s="15"/>
      <c r="TPW599" s="50"/>
      <c r="TPX599" s="50"/>
      <c r="TPY599" s="46"/>
      <c r="TPZ599" s="47"/>
      <c r="TQA599" s="46"/>
      <c r="TQB599" s="48"/>
      <c r="TQC599" s="53"/>
      <c r="TQJ599" s="15"/>
      <c r="TQK599" s="50"/>
      <c r="TQL599" s="50"/>
      <c r="TQM599" s="46"/>
      <c r="TQN599" s="47"/>
      <c r="TQO599" s="46"/>
      <c r="TQP599" s="48"/>
      <c r="TQQ599" s="53"/>
      <c r="TQX599" s="15"/>
      <c r="TQY599" s="50"/>
      <c r="TQZ599" s="50"/>
      <c r="TRA599" s="46"/>
      <c r="TRB599" s="47"/>
      <c r="TRC599" s="46"/>
      <c r="TRD599" s="48"/>
      <c r="TRE599" s="53"/>
      <c r="TRL599" s="15"/>
      <c r="TRM599" s="50"/>
      <c r="TRN599" s="50"/>
      <c r="TRO599" s="46"/>
      <c r="TRP599" s="47"/>
      <c r="TRQ599" s="46"/>
      <c r="TRR599" s="48"/>
      <c r="TRS599" s="53"/>
      <c r="TRZ599" s="15"/>
      <c r="TSA599" s="50"/>
      <c r="TSB599" s="50"/>
      <c r="TSC599" s="46"/>
      <c r="TSD599" s="47"/>
      <c r="TSE599" s="46"/>
      <c r="TSF599" s="48"/>
      <c r="TSG599" s="53"/>
      <c r="TSN599" s="15"/>
      <c r="TSO599" s="50"/>
      <c r="TSP599" s="50"/>
      <c r="TSQ599" s="46"/>
      <c r="TSR599" s="47"/>
      <c r="TSS599" s="46"/>
      <c r="TST599" s="48"/>
      <c r="TSU599" s="53"/>
      <c r="TTB599" s="15"/>
      <c r="TTC599" s="50"/>
      <c r="TTD599" s="50"/>
      <c r="TTE599" s="46"/>
      <c r="TTF599" s="47"/>
      <c r="TTG599" s="46"/>
      <c r="TTH599" s="48"/>
      <c r="TTI599" s="53"/>
      <c r="TTP599" s="15"/>
      <c r="TTQ599" s="50"/>
      <c r="TTR599" s="50"/>
      <c r="TTS599" s="46"/>
      <c r="TTT599" s="47"/>
      <c r="TTU599" s="46"/>
      <c r="TTV599" s="48"/>
      <c r="TTW599" s="53"/>
      <c r="TUD599" s="15"/>
      <c r="TUE599" s="50"/>
      <c r="TUF599" s="50"/>
      <c r="TUG599" s="46"/>
      <c r="TUH599" s="47"/>
      <c r="TUI599" s="46"/>
      <c r="TUJ599" s="48"/>
      <c r="TUK599" s="53"/>
      <c r="TUR599" s="15"/>
      <c r="TUS599" s="50"/>
      <c r="TUT599" s="50"/>
      <c r="TUU599" s="46"/>
      <c r="TUV599" s="47"/>
      <c r="TUW599" s="46"/>
      <c r="TUX599" s="48"/>
      <c r="TUY599" s="53"/>
      <c r="TVF599" s="15"/>
      <c r="TVG599" s="50"/>
      <c r="TVH599" s="50"/>
      <c r="TVI599" s="46"/>
      <c r="TVJ599" s="47"/>
      <c r="TVK599" s="46"/>
      <c r="TVL599" s="48"/>
      <c r="TVM599" s="53"/>
      <c r="TVT599" s="15"/>
      <c r="TVU599" s="50"/>
      <c r="TVV599" s="50"/>
      <c r="TVW599" s="46"/>
      <c r="TVX599" s="47"/>
      <c r="TVY599" s="46"/>
      <c r="TVZ599" s="48"/>
      <c r="TWA599" s="53"/>
      <c r="TWH599" s="15"/>
      <c r="TWI599" s="50"/>
      <c r="TWJ599" s="50"/>
      <c r="TWK599" s="46"/>
      <c r="TWL599" s="47"/>
      <c r="TWM599" s="46"/>
      <c r="TWN599" s="48"/>
      <c r="TWO599" s="53"/>
      <c r="TWV599" s="15"/>
      <c r="TWW599" s="50"/>
      <c r="TWX599" s="50"/>
      <c r="TWY599" s="46"/>
      <c r="TWZ599" s="47"/>
      <c r="TXA599" s="46"/>
      <c r="TXB599" s="48"/>
      <c r="TXC599" s="53"/>
      <c r="TXJ599" s="15"/>
      <c r="TXK599" s="50"/>
      <c r="TXL599" s="50"/>
      <c r="TXM599" s="46"/>
      <c r="TXN599" s="47"/>
      <c r="TXO599" s="46"/>
      <c r="TXP599" s="48"/>
      <c r="TXQ599" s="53"/>
      <c r="TXX599" s="15"/>
      <c r="TXY599" s="50"/>
      <c r="TXZ599" s="50"/>
      <c r="TYA599" s="46"/>
      <c r="TYB599" s="47"/>
      <c r="TYC599" s="46"/>
      <c r="TYD599" s="48"/>
      <c r="TYE599" s="53"/>
      <c r="TYL599" s="15"/>
      <c r="TYM599" s="50"/>
      <c r="TYN599" s="50"/>
      <c r="TYO599" s="46"/>
      <c r="TYP599" s="47"/>
      <c r="TYQ599" s="46"/>
      <c r="TYR599" s="48"/>
      <c r="TYS599" s="53"/>
      <c r="TYZ599" s="15"/>
      <c r="TZA599" s="50"/>
      <c r="TZB599" s="50"/>
      <c r="TZC599" s="46"/>
      <c r="TZD599" s="47"/>
      <c r="TZE599" s="46"/>
      <c r="TZF599" s="48"/>
      <c r="TZG599" s="53"/>
      <c r="TZN599" s="15"/>
      <c r="TZO599" s="50"/>
      <c r="TZP599" s="50"/>
      <c r="TZQ599" s="46"/>
      <c r="TZR599" s="47"/>
      <c r="TZS599" s="46"/>
      <c r="TZT599" s="48"/>
      <c r="TZU599" s="53"/>
      <c r="UAB599" s="15"/>
      <c r="UAC599" s="50"/>
      <c r="UAD599" s="50"/>
      <c r="UAE599" s="46"/>
      <c r="UAF599" s="47"/>
      <c r="UAG599" s="46"/>
      <c r="UAH599" s="48"/>
      <c r="UAI599" s="53"/>
      <c r="UAP599" s="15"/>
      <c r="UAQ599" s="50"/>
      <c r="UAR599" s="50"/>
      <c r="UAS599" s="46"/>
      <c r="UAT599" s="47"/>
      <c r="UAU599" s="46"/>
      <c r="UAV599" s="48"/>
      <c r="UAW599" s="53"/>
      <c r="UBD599" s="15"/>
      <c r="UBE599" s="50"/>
      <c r="UBF599" s="50"/>
      <c r="UBG599" s="46"/>
      <c r="UBH599" s="47"/>
      <c r="UBI599" s="46"/>
      <c r="UBJ599" s="48"/>
      <c r="UBK599" s="53"/>
      <c r="UBR599" s="15"/>
      <c r="UBS599" s="50"/>
      <c r="UBT599" s="50"/>
      <c r="UBU599" s="46"/>
      <c r="UBV599" s="47"/>
      <c r="UBW599" s="46"/>
      <c r="UBX599" s="48"/>
      <c r="UBY599" s="53"/>
      <c r="UCF599" s="15"/>
      <c r="UCG599" s="50"/>
      <c r="UCH599" s="50"/>
      <c r="UCI599" s="46"/>
      <c r="UCJ599" s="47"/>
      <c r="UCK599" s="46"/>
      <c r="UCL599" s="48"/>
      <c r="UCM599" s="53"/>
      <c r="UCT599" s="15"/>
      <c r="UCU599" s="50"/>
      <c r="UCV599" s="50"/>
      <c r="UCW599" s="46"/>
      <c r="UCX599" s="47"/>
      <c r="UCY599" s="46"/>
      <c r="UCZ599" s="48"/>
      <c r="UDA599" s="53"/>
      <c r="UDH599" s="15"/>
      <c r="UDI599" s="50"/>
      <c r="UDJ599" s="50"/>
      <c r="UDK599" s="46"/>
      <c r="UDL599" s="47"/>
      <c r="UDM599" s="46"/>
      <c r="UDN599" s="48"/>
      <c r="UDO599" s="53"/>
      <c r="UDV599" s="15"/>
      <c r="UDW599" s="50"/>
      <c r="UDX599" s="50"/>
      <c r="UDY599" s="46"/>
      <c r="UDZ599" s="47"/>
      <c r="UEA599" s="46"/>
      <c r="UEB599" s="48"/>
      <c r="UEC599" s="53"/>
      <c r="UEJ599" s="15"/>
      <c r="UEK599" s="50"/>
      <c r="UEL599" s="50"/>
      <c r="UEM599" s="46"/>
      <c r="UEN599" s="47"/>
      <c r="UEO599" s="46"/>
      <c r="UEP599" s="48"/>
      <c r="UEQ599" s="53"/>
      <c r="UEX599" s="15"/>
      <c r="UEY599" s="50"/>
      <c r="UEZ599" s="50"/>
      <c r="UFA599" s="46"/>
      <c r="UFB599" s="47"/>
      <c r="UFC599" s="46"/>
      <c r="UFD599" s="48"/>
      <c r="UFE599" s="53"/>
      <c r="UFL599" s="15"/>
      <c r="UFM599" s="50"/>
      <c r="UFN599" s="50"/>
      <c r="UFO599" s="46"/>
      <c r="UFP599" s="47"/>
      <c r="UFQ599" s="46"/>
      <c r="UFR599" s="48"/>
      <c r="UFS599" s="53"/>
      <c r="UFZ599" s="15"/>
      <c r="UGA599" s="50"/>
      <c r="UGB599" s="50"/>
      <c r="UGC599" s="46"/>
      <c r="UGD599" s="47"/>
      <c r="UGE599" s="46"/>
      <c r="UGF599" s="48"/>
      <c r="UGG599" s="53"/>
      <c r="UGN599" s="15"/>
      <c r="UGO599" s="50"/>
      <c r="UGP599" s="50"/>
      <c r="UGQ599" s="46"/>
      <c r="UGR599" s="47"/>
      <c r="UGS599" s="46"/>
      <c r="UGT599" s="48"/>
      <c r="UGU599" s="53"/>
      <c r="UHB599" s="15"/>
      <c r="UHC599" s="50"/>
      <c r="UHD599" s="50"/>
      <c r="UHE599" s="46"/>
      <c r="UHF599" s="47"/>
      <c r="UHG599" s="46"/>
      <c r="UHH599" s="48"/>
      <c r="UHI599" s="53"/>
      <c r="UHP599" s="15"/>
      <c r="UHQ599" s="50"/>
      <c r="UHR599" s="50"/>
      <c r="UHS599" s="46"/>
      <c r="UHT599" s="47"/>
      <c r="UHU599" s="46"/>
      <c r="UHV599" s="48"/>
      <c r="UHW599" s="53"/>
      <c r="UID599" s="15"/>
      <c r="UIE599" s="50"/>
      <c r="UIF599" s="50"/>
      <c r="UIG599" s="46"/>
      <c r="UIH599" s="47"/>
      <c r="UII599" s="46"/>
      <c r="UIJ599" s="48"/>
      <c r="UIK599" s="53"/>
      <c r="UIR599" s="15"/>
      <c r="UIS599" s="50"/>
      <c r="UIT599" s="50"/>
      <c r="UIU599" s="46"/>
      <c r="UIV599" s="47"/>
      <c r="UIW599" s="46"/>
      <c r="UIX599" s="48"/>
      <c r="UIY599" s="53"/>
      <c r="UJF599" s="15"/>
      <c r="UJG599" s="50"/>
      <c r="UJH599" s="50"/>
      <c r="UJI599" s="46"/>
      <c r="UJJ599" s="47"/>
      <c r="UJK599" s="46"/>
      <c r="UJL599" s="48"/>
      <c r="UJM599" s="53"/>
      <c r="UJT599" s="15"/>
      <c r="UJU599" s="50"/>
      <c r="UJV599" s="50"/>
      <c r="UJW599" s="46"/>
      <c r="UJX599" s="47"/>
      <c r="UJY599" s="46"/>
      <c r="UJZ599" s="48"/>
      <c r="UKA599" s="53"/>
      <c r="UKH599" s="15"/>
      <c r="UKI599" s="50"/>
      <c r="UKJ599" s="50"/>
      <c r="UKK599" s="46"/>
      <c r="UKL599" s="47"/>
      <c r="UKM599" s="46"/>
      <c r="UKN599" s="48"/>
      <c r="UKO599" s="53"/>
      <c r="UKV599" s="15"/>
      <c r="UKW599" s="50"/>
      <c r="UKX599" s="50"/>
      <c r="UKY599" s="46"/>
      <c r="UKZ599" s="47"/>
      <c r="ULA599" s="46"/>
      <c r="ULB599" s="48"/>
      <c r="ULC599" s="53"/>
      <c r="ULJ599" s="15"/>
      <c r="ULK599" s="50"/>
      <c r="ULL599" s="50"/>
      <c r="ULM599" s="46"/>
      <c r="ULN599" s="47"/>
      <c r="ULO599" s="46"/>
      <c r="ULP599" s="48"/>
      <c r="ULQ599" s="53"/>
      <c r="ULX599" s="15"/>
      <c r="ULY599" s="50"/>
      <c r="ULZ599" s="50"/>
      <c r="UMA599" s="46"/>
      <c r="UMB599" s="47"/>
      <c r="UMC599" s="46"/>
      <c r="UMD599" s="48"/>
      <c r="UME599" s="53"/>
      <c r="UML599" s="15"/>
      <c r="UMM599" s="50"/>
      <c r="UMN599" s="50"/>
      <c r="UMO599" s="46"/>
      <c r="UMP599" s="47"/>
      <c r="UMQ599" s="46"/>
      <c r="UMR599" s="48"/>
      <c r="UMS599" s="53"/>
      <c r="UMZ599" s="15"/>
      <c r="UNA599" s="50"/>
      <c r="UNB599" s="50"/>
      <c r="UNC599" s="46"/>
      <c r="UND599" s="47"/>
      <c r="UNE599" s="46"/>
      <c r="UNF599" s="48"/>
      <c r="UNG599" s="53"/>
      <c r="UNN599" s="15"/>
      <c r="UNO599" s="50"/>
      <c r="UNP599" s="50"/>
      <c r="UNQ599" s="46"/>
      <c r="UNR599" s="47"/>
      <c r="UNS599" s="46"/>
      <c r="UNT599" s="48"/>
      <c r="UNU599" s="53"/>
      <c r="UOB599" s="15"/>
      <c r="UOC599" s="50"/>
      <c r="UOD599" s="50"/>
      <c r="UOE599" s="46"/>
      <c r="UOF599" s="47"/>
      <c r="UOG599" s="46"/>
      <c r="UOH599" s="48"/>
      <c r="UOI599" s="53"/>
      <c r="UOP599" s="15"/>
      <c r="UOQ599" s="50"/>
      <c r="UOR599" s="50"/>
      <c r="UOS599" s="46"/>
      <c r="UOT599" s="47"/>
      <c r="UOU599" s="46"/>
      <c r="UOV599" s="48"/>
      <c r="UOW599" s="53"/>
      <c r="UPD599" s="15"/>
      <c r="UPE599" s="50"/>
      <c r="UPF599" s="50"/>
      <c r="UPG599" s="46"/>
      <c r="UPH599" s="47"/>
      <c r="UPI599" s="46"/>
      <c r="UPJ599" s="48"/>
      <c r="UPK599" s="53"/>
      <c r="UPR599" s="15"/>
      <c r="UPS599" s="50"/>
      <c r="UPT599" s="50"/>
      <c r="UPU599" s="46"/>
      <c r="UPV599" s="47"/>
      <c r="UPW599" s="46"/>
      <c r="UPX599" s="48"/>
      <c r="UPY599" s="53"/>
      <c r="UQF599" s="15"/>
      <c r="UQG599" s="50"/>
      <c r="UQH599" s="50"/>
      <c r="UQI599" s="46"/>
      <c r="UQJ599" s="47"/>
      <c r="UQK599" s="46"/>
      <c r="UQL599" s="48"/>
      <c r="UQM599" s="53"/>
      <c r="UQT599" s="15"/>
      <c r="UQU599" s="50"/>
      <c r="UQV599" s="50"/>
      <c r="UQW599" s="46"/>
      <c r="UQX599" s="47"/>
      <c r="UQY599" s="46"/>
      <c r="UQZ599" s="48"/>
      <c r="URA599" s="53"/>
      <c r="URH599" s="15"/>
      <c r="URI599" s="50"/>
      <c r="URJ599" s="50"/>
      <c r="URK599" s="46"/>
      <c r="URL599" s="47"/>
      <c r="URM599" s="46"/>
      <c r="URN599" s="48"/>
      <c r="URO599" s="53"/>
      <c r="URV599" s="15"/>
      <c r="URW599" s="50"/>
      <c r="URX599" s="50"/>
      <c r="URY599" s="46"/>
      <c r="URZ599" s="47"/>
      <c r="USA599" s="46"/>
      <c r="USB599" s="48"/>
      <c r="USC599" s="53"/>
      <c r="USJ599" s="15"/>
      <c r="USK599" s="50"/>
      <c r="USL599" s="50"/>
      <c r="USM599" s="46"/>
      <c r="USN599" s="47"/>
      <c r="USO599" s="46"/>
      <c r="USP599" s="48"/>
      <c r="USQ599" s="53"/>
      <c r="USX599" s="15"/>
      <c r="USY599" s="50"/>
      <c r="USZ599" s="50"/>
      <c r="UTA599" s="46"/>
      <c r="UTB599" s="47"/>
      <c r="UTC599" s="46"/>
      <c r="UTD599" s="48"/>
      <c r="UTE599" s="53"/>
      <c r="UTL599" s="15"/>
      <c r="UTM599" s="50"/>
      <c r="UTN599" s="50"/>
      <c r="UTO599" s="46"/>
      <c r="UTP599" s="47"/>
      <c r="UTQ599" s="46"/>
      <c r="UTR599" s="48"/>
      <c r="UTS599" s="53"/>
      <c r="UTZ599" s="15"/>
      <c r="UUA599" s="50"/>
      <c r="UUB599" s="50"/>
      <c r="UUC599" s="46"/>
      <c r="UUD599" s="47"/>
      <c r="UUE599" s="46"/>
      <c r="UUF599" s="48"/>
      <c r="UUG599" s="53"/>
      <c r="UUN599" s="15"/>
      <c r="UUO599" s="50"/>
      <c r="UUP599" s="50"/>
      <c r="UUQ599" s="46"/>
      <c r="UUR599" s="47"/>
      <c r="UUS599" s="46"/>
      <c r="UUT599" s="48"/>
      <c r="UUU599" s="53"/>
      <c r="UVB599" s="15"/>
      <c r="UVC599" s="50"/>
      <c r="UVD599" s="50"/>
      <c r="UVE599" s="46"/>
      <c r="UVF599" s="47"/>
      <c r="UVG599" s="46"/>
      <c r="UVH599" s="48"/>
      <c r="UVI599" s="53"/>
      <c r="UVP599" s="15"/>
      <c r="UVQ599" s="50"/>
      <c r="UVR599" s="50"/>
      <c r="UVS599" s="46"/>
      <c r="UVT599" s="47"/>
      <c r="UVU599" s="46"/>
      <c r="UVV599" s="48"/>
      <c r="UVW599" s="53"/>
      <c r="UWD599" s="15"/>
      <c r="UWE599" s="50"/>
      <c r="UWF599" s="50"/>
      <c r="UWG599" s="46"/>
      <c r="UWH599" s="47"/>
      <c r="UWI599" s="46"/>
      <c r="UWJ599" s="48"/>
      <c r="UWK599" s="53"/>
      <c r="UWR599" s="15"/>
      <c r="UWS599" s="50"/>
      <c r="UWT599" s="50"/>
      <c r="UWU599" s="46"/>
      <c r="UWV599" s="47"/>
      <c r="UWW599" s="46"/>
      <c r="UWX599" s="48"/>
      <c r="UWY599" s="53"/>
      <c r="UXF599" s="15"/>
      <c r="UXG599" s="50"/>
      <c r="UXH599" s="50"/>
      <c r="UXI599" s="46"/>
      <c r="UXJ599" s="47"/>
      <c r="UXK599" s="46"/>
      <c r="UXL599" s="48"/>
      <c r="UXM599" s="53"/>
      <c r="UXT599" s="15"/>
      <c r="UXU599" s="50"/>
      <c r="UXV599" s="50"/>
      <c r="UXW599" s="46"/>
      <c r="UXX599" s="47"/>
      <c r="UXY599" s="46"/>
      <c r="UXZ599" s="48"/>
      <c r="UYA599" s="53"/>
      <c r="UYH599" s="15"/>
      <c r="UYI599" s="50"/>
      <c r="UYJ599" s="50"/>
      <c r="UYK599" s="46"/>
      <c r="UYL599" s="47"/>
      <c r="UYM599" s="46"/>
      <c r="UYN599" s="48"/>
      <c r="UYO599" s="53"/>
      <c r="UYV599" s="15"/>
      <c r="UYW599" s="50"/>
      <c r="UYX599" s="50"/>
      <c r="UYY599" s="46"/>
      <c r="UYZ599" s="47"/>
      <c r="UZA599" s="46"/>
      <c r="UZB599" s="48"/>
      <c r="UZC599" s="53"/>
      <c r="UZJ599" s="15"/>
      <c r="UZK599" s="50"/>
      <c r="UZL599" s="50"/>
      <c r="UZM599" s="46"/>
      <c r="UZN599" s="47"/>
      <c r="UZO599" s="46"/>
      <c r="UZP599" s="48"/>
      <c r="UZQ599" s="53"/>
      <c r="UZX599" s="15"/>
      <c r="UZY599" s="50"/>
      <c r="UZZ599" s="50"/>
      <c r="VAA599" s="46"/>
      <c r="VAB599" s="47"/>
      <c r="VAC599" s="46"/>
      <c r="VAD599" s="48"/>
      <c r="VAE599" s="53"/>
      <c r="VAL599" s="15"/>
      <c r="VAM599" s="50"/>
      <c r="VAN599" s="50"/>
      <c r="VAO599" s="46"/>
      <c r="VAP599" s="47"/>
      <c r="VAQ599" s="46"/>
      <c r="VAR599" s="48"/>
      <c r="VAS599" s="53"/>
      <c r="VAZ599" s="15"/>
      <c r="VBA599" s="50"/>
      <c r="VBB599" s="50"/>
      <c r="VBC599" s="46"/>
      <c r="VBD599" s="47"/>
      <c r="VBE599" s="46"/>
      <c r="VBF599" s="48"/>
      <c r="VBG599" s="53"/>
      <c r="VBN599" s="15"/>
      <c r="VBO599" s="50"/>
      <c r="VBP599" s="50"/>
      <c r="VBQ599" s="46"/>
      <c r="VBR599" s="47"/>
      <c r="VBS599" s="46"/>
      <c r="VBT599" s="48"/>
      <c r="VBU599" s="53"/>
      <c r="VCB599" s="15"/>
      <c r="VCC599" s="50"/>
      <c r="VCD599" s="50"/>
      <c r="VCE599" s="46"/>
      <c r="VCF599" s="47"/>
      <c r="VCG599" s="46"/>
      <c r="VCH599" s="48"/>
      <c r="VCI599" s="53"/>
      <c r="VCP599" s="15"/>
      <c r="VCQ599" s="50"/>
      <c r="VCR599" s="50"/>
      <c r="VCS599" s="46"/>
      <c r="VCT599" s="47"/>
      <c r="VCU599" s="46"/>
      <c r="VCV599" s="48"/>
      <c r="VCW599" s="53"/>
      <c r="VDD599" s="15"/>
      <c r="VDE599" s="50"/>
      <c r="VDF599" s="50"/>
      <c r="VDG599" s="46"/>
      <c r="VDH599" s="47"/>
      <c r="VDI599" s="46"/>
      <c r="VDJ599" s="48"/>
      <c r="VDK599" s="53"/>
      <c r="VDR599" s="15"/>
      <c r="VDS599" s="50"/>
      <c r="VDT599" s="50"/>
      <c r="VDU599" s="46"/>
      <c r="VDV599" s="47"/>
      <c r="VDW599" s="46"/>
      <c r="VDX599" s="48"/>
      <c r="VDY599" s="53"/>
      <c r="VEF599" s="15"/>
      <c r="VEG599" s="50"/>
      <c r="VEH599" s="50"/>
      <c r="VEI599" s="46"/>
      <c r="VEJ599" s="47"/>
      <c r="VEK599" s="46"/>
      <c r="VEL599" s="48"/>
      <c r="VEM599" s="53"/>
      <c r="VET599" s="15"/>
      <c r="VEU599" s="50"/>
      <c r="VEV599" s="50"/>
      <c r="VEW599" s="46"/>
      <c r="VEX599" s="47"/>
      <c r="VEY599" s="46"/>
      <c r="VEZ599" s="48"/>
      <c r="VFA599" s="53"/>
      <c r="VFH599" s="15"/>
      <c r="VFI599" s="50"/>
      <c r="VFJ599" s="50"/>
      <c r="VFK599" s="46"/>
      <c r="VFL599" s="47"/>
      <c r="VFM599" s="46"/>
      <c r="VFN599" s="48"/>
      <c r="VFO599" s="53"/>
      <c r="VFV599" s="15"/>
      <c r="VFW599" s="50"/>
      <c r="VFX599" s="50"/>
      <c r="VFY599" s="46"/>
      <c r="VFZ599" s="47"/>
      <c r="VGA599" s="46"/>
      <c r="VGB599" s="48"/>
      <c r="VGC599" s="53"/>
      <c r="VGJ599" s="15"/>
      <c r="VGK599" s="50"/>
      <c r="VGL599" s="50"/>
      <c r="VGM599" s="46"/>
      <c r="VGN599" s="47"/>
      <c r="VGO599" s="46"/>
      <c r="VGP599" s="48"/>
      <c r="VGQ599" s="53"/>
      <c r="VGX599" s="15"/>
      <c r="VGY599" s="50"/>
      <c r="VGZ599" s="50"/>
      <c r="VHA599" s="46"/>
      <c r="VHB599" s="47"/>
      <c r="VHC599" s="46"/>
      <c r="VHD599" s="48"/>
      <c r="VHE599" s="53"/>
      <c r="VHL599" s="15"/>
      <c r="VHM599" s="50"/>
      <c r="VHN599" s="50"/>
      <c r="VHO599" s="46"/>
      <c r="VHP599" s="47"/>
      <c r="VHQ599" s="46"/>
      <c r="VHR599" s="48"/>
      <c r="VHS599" s="53"/>
      <c r="VHZ599" s="15"/>
      <c r="VIA599" s="50"/>
      <c r="VIB599" s="50"/>
      <c r="VIC599" s="46"/>
      <c r="VID599" s="47"/>
      <c r="VIE599" s="46"/>
      <c r="VIF599" s="48"/>
      <c r="VIG599" s="53"/>
      <c r="VIN599" s="15"/>
      <c r="VIO599" s="50"/>
      <c r="VIP599" s="50"/>
      <c r="VIQ599" s="46"/>
      <c r="VIR599" s="47"/>
      <c r="VIS599" s="46"/>
      <c r="VIT599" s="48"/>
      <c r="VIU599" s="53"/>
      <c r="VJB599" s="15"/>
      <c r="VJC599" s="50"/>
      <c r="VJD599" s="50"/>
      <c r="VJE599" s="46"/>
      <c r="VJF599" s="47"/>
      <c r="VJG599" s="46"/>
      <c r="VJH599" s="48"/>
      <c r="VJI599" s="53"/>
      <c r="VJP599" s="15"/>
      <c r="VJQ599" s="50"/>
      <c r="VJR599" s="50"/>
      <c r="VJS599" s="46"/>
      <c r="VJT599" s="47"/>
      <c r="VJU599" s="46"/>
      <c r="VJV599" s="48"/>
      <c r="VJW599" s="53"/>
      <c r="VKD599" s="15"/>
      <c r="VKE599" s="50"/>
      <c r="VKF599" s="50"/>
      <c r="VKG599" s="46"/>
      <c r="VKH599" s="47"/>
      <c r="VKI599" s="46"/>
      <c r="VKJ599" s="48"/>
      <c r="VKK599" s="53"/>
      <c r="VKR599" s="15"/>
      <c r="VKS599" s="50"/>
      <c r="VKT599" s="50"/>
      <c r="VKU599" s="46"/>
      <c r="VKV599" s="47"/>
      <c r="VKW599" s="46"/>
      <c r="VKX599" s="48"/>
      <c r="VKY599" s="53"/>
      <c r="VLF599" s="15"/>
      <c r="VLG599" s="50"/>
      <c r="VLH599" s="50"/>
      <c r="VLI599" s="46"/>
      <c r="VLJ599" s="47"/>
      <c r="VLK599" s="46"/>
      <c r="VLL599" s="48"/>
      <c r="VLM599" s="53"/>
      <c r="VLT599" s="15"/>
      <c r="VLU599" s="50"/>
      <c r="VLV599" s="50"/>
      <c r="VLW599" s="46"/>
      <c r="VLX599" s="47"/>
      <c r="VLY599" s="46"/>
      <c r="VLZ599" s="48"/>
      <c r="VMA599" s="53"/>
      <c r="VMH599" s="15"/>
      <c r="VMI599" s="50"/>
      <c r="VMJ599" s="50"/>
      <c r="VMK599" s="46"/>
      <c r="VML599" s="47"/>
      <c r="VMM599" s="46"/>
      <c r="VMN599" s="48"/>
      <c r="VMO599" s="53"/>
      <c r="VMV599" s="15"/>
      <c r="VMW599" s="50"/>
      <c r="VMX599" s="50"/>
      <c r="VMY599" s="46"/>
      <c r="VMZ599" s="47"/>
      <c r="VNA599" s="46"/>
      <c r="VNB599" s="48"/>
      <c r="VNC599" s="53"/>
      <c r="VNJ599" s="15"/>
      <c r="VNK599" s="50"/>
      <c r="VNL599" s="50"/>
      <c r="VNM599" s="46"/>
      <c r="VNN599" s="47"/>
      <c r="VNO599" s="46"/>
      <c r="VNP599" s="48"/>
      <c r="VNQ599" s="53"/>
      <c r="VNX599" s="15"/>
      <c r="VNY599" s="50"/>
      <c r="VNZ599" s="50"/>
      <c r="VOA599" s="46"/>
      <c r="VOB599" s="47"/>
      <c r="VOC599" s="46"/>
      <c r="VOD599" s="48"/>
      <c r="VOE599" s="53"/>
      <c r="VOL599" s="15"/>
      <c r="VOM599" s="50"/>
      <c r="VON599" s="50"/>
      <c r="VOO599" s="46"/>
      <c r="VOP599" s="47"/>
      <c r="VOQ599" s="46"/>
      <c r="VOR599" s="48"/>
      <c r="VOS599" s="53"/>
      <c r="VOZ599" s="15"/>
      <c r="VPA599" s="50"/>
      <c r="VPB599" s="50"/>
      <c r="VPC599" s="46"/>
      <c r="VPD599" s="47"/>
      <c r="VPE599" s="46"/>
      <c r="VPF599" s="48"/>
      <c r="VPG599" s="53"/>
      <c r="VPN599" s="15"/>
      <c r="VPO599" s="50"/>
      <c r="VPP599" s="50"/>
      <c r="VPQ599" s="46"/>
      <c r="VPR599" s="47"/>
      <c r="VPS599" s="46"/>
      <c r="VPT599" s="48"/>
      <c r="VPU599" s="53"/>
      <c r="VQB599" s="15"/>
      <c r="VQC599" s="50"/>
      <c r="VQD599" s="50"/>
      <c r="VQE599" s="46"/>
      <c r="VQF599" s="47"/>
      <c r="VQG599" s="46"/>
      <c r="VQH599" s="48"/>
      <c r="VQI599" s="53"/>
      <c r="VQP599" s="15"/>
      <c r="VQQ599" s="50"/>
      <c r="VQR599" s="50"/>
      <c r="VQS599" s="46"/>
      <c r="VQT599" s="47"/>
      <c r="VQU599" s="46"/>
      <c r="VQV599" s="48"/>
      <c r="VQW599" s="53"/>
      <c r="VRD599" s="15"/>
      <c r="VRE599" s="50"/>
      <c r="VRF599" s="50"/>
      <c r="VRG599" s="46"/>
      <c r="VRH599" s="47"/>
      <c r="VRI599" s="46"/>
      <c r="VRJ599" s="48"/>
      <c r="VRK599" s="53"/>
      <c r="VRR599" s="15"/>
      <c r="VRS599" s="50"/>
      <c r="VRT599" s="50"/>
      <c r="VRU599" s="46"/>
      <c r="VRV599" s="47"/>
      <c r="VRW599" s="46"/>
      <c r="VRX599" s="48"/>
      <c r="VRY599" s="53"/>
      <c r="VSF599" s="15"/>
      <c r="VSG599" s="50"/>
      <c r="VSH599" s="50"/>
      <c r="VSI599" s="46"/>
      <c r="VSJ599" s="47"/>
      <c r="VSK599" s="46"/>
      <c r="VSL599" s="48"/>
      <c r="VSM599" s="53"/>
      <c r="VST599" s="15"/>
      <c r="VSU599" s="50"/>
      <c r="VSV599" s="50"/>
      <c r="VSW599" s="46"/>
      <c r="VSX599" s="47"/>
      <c r="VSY599" s="46"/>
      <c r="VSZ599" s="48"/>
      <c r="VTA599" s="53"/>
      <c r="VTH599" s="15"/>
      <c r="VTI599" s="50"/>
      <c r="VTJ599" s="50"/>
      <c r="VTK599" s="46"/>
      <c r="VTL599" s="47"/>
      <c r="VTM599" s="46"/>
      <c r="VTN599" s="48"/>
      <c r="VTO599" s="53"/>
      <c r="VTV599" s="15"/>
      <c r="VTW599" s="50"/>
      <c r="VTX599" s="50"/>
      <c r="VTY599" s="46"/>
      <c r="VTZ599" s="47"/>
      <c r="VUA599" s="46"/>
      <c r="VUB599" s="48"/>
      <c r="VUC599" s="53"/>
      <c r="VUJ599" s="15"/>
      <c r="VUK599" s="50"/>
      <c r="VUL599" s="50"/>
      <c r="VUM599" s="46"/>
      <c r="VUN599" s="47"/>
      <c r="VUO599" s="46"/>
      <c r="VUP599" s="48"/>
      <c r="VUQ599" s="53"/>
      <c r="VUX599" s="15"/>
      <c r="VUY599" s="50"/>
      <c r="VUZ599" s="50"/>
      <c r="VVA599" s="46"/>
      <c r="VVB599" s="47"/>
      <c r="VVC599" s="46"/>
      <c r="VVD599" s="48"/>
      <c r="VVE599" s="53"/>
      <c r="VVL599" s="15"/>
      <c r="VVM599" s="50"/>
      <c r="VVN599" s="50"/>
      <c r="VVO599" s="46"/>
      <c r="VVP599" s="47"/>
      <c r="VVQ599" s="46"/>
      <c r="VVR599" s="48"/>
      <c r="VVS599" s="53"/>
      <c r="VVZ599" s="15"/>
      <c r="VWA599" s="50"/>
      <c r="VWB599" s="50"/>
      <c r="VWC599" s="46"/>
      <c r="VWD599" s="47"/>
      <c r="VWE599" s="46"/>
      <c r="VWF599" s="48"/>
      <c r="VWG599" s="53"/>
      <c r="VWN599" s="15"/>
      <c r="VWO599" s="50"/>
      <c r="VWP599" s="50"/>
      <c r="VWQ599" s="46"/>
      <c r="VWR599" s="47"/>
      <c r="VWS599" s="46"/>
      <c r="VWT599" s="48"/>
      <c r="VWU599" s="53"/>
      <c r="VXB599" s="15"/>
      <c r="VXC599" s="50"/>
      <c r="VXD599" s="50"/>
      <c r="VXE599" s="46"/>
      <c r="VXF599" s="47"/>
      <c r="VXG599" s="46"/>
      <c r="VXH599" s="48"/>
      <c r="VXI599" s="53"/>
      <c r="VXP599" s="15"/>
      <c r="VXQ599" s="50"/>
      <c r="VXR599" s="50"/>
      <c r="VXS599" s="46"/>
      <c r="VXT599" s="47"/>
      <c r="VXU599" s="46"/>
      <c r="VXV599" s="48"/>
      <c r="VXW599" s="53"/>
      <c r="VYD599" s="15"/>
      <c r="VYE599" s="50"/>
      <c r="VYF599" s="50"/>
      <c r="VYG599" s="46"/>
      <c r="VYH599" s="47"/>
      <c r="VYI599" s="46"/>
      <c r="VYJ599" s="48"/>
      <c r="VYK599" s="53"/>
      <c r="VYR599" s="15"/>
      <c r="VYS599" s="50"/>
      <c r="VYT599" s="50"/>
      <c r="VYU599" s="46"/>
      <c r="VYV599" s="47"/>
      <c r="VYW599" s="46"/>
      <c r="VYX599" s="48"/>
      <c r="VYY599" s="53"/>
      <c r="VZF599" s="15"/>
      <c r="VZG599" s="50"/>
      <c r="VZH599" s="50"/>
      <c r="VZI599" s="46"/>
      <c r="VZJ599" s="47"/>
      <c r="VZK599" s="46"/>
      <c r="VZL599" s="48"/>
      <c r="VZM599" s="53"/>
      <c r="VZT599" s="15"/>
      <c r="VZU599" s="50"/>
      <c r="VZV599" s="50"/>
      <c r="VZW599" s="46"/>
      <c r="VZX599" s="47"/>
      <c r="VZY599" s="46"/>
      <c r="VZZ599" s="48"/>
      <c r="WAA599" s="53"/>
      <c r="WAH599" s="15"/>
      <c r="WAI599" s="50"/>
      <c r="WAJ599" s="50"/>
      <c r="WAK599" s="46"/>
      <c r="WAL599" s="47"/>
      <c r="WAM599" s="46"/>
      <c r="WAN599" s="48"/>
      <c r="WAO599" s="53"/>
      <c r="WAV599" s="15"/>
      <c r="WAW599" s="50"/>
      <c r="WAX599" s="50"/>
      <c r="WAY599" s="46"/>
      <c r="WAZ599" s="47"/>
      <c r="WBA599" s="46"/>
      <c r="WBB599" s="48"/>
      <c r="WBC599" s="53"/>
      <c r="WBJ599" s="15"/>
      <c r="WBK599" s="50"/>
      <c r="WBL599" s="50"/>
      <c r="WBM599" s="46"/>
      <c r="WBN599" s="47"/>
      <c r="WBO599" s="46"/>
      <c r="WBP599" s="48"/>
      <c r="WBQ599" s="53"/>
      <c r="WBX599" s="15"/>
      <c r="WBY599" s="50"/>
      <c r="WBZ599" s="50"/>
      <c r="WCA599" s="46"/>
      <c r="WCB599" s="47"/>
      <c r="WCC599" s="46"/>
      <c r="WCD599" s="48"/>
      <c r="WCE599" s="53"/>
      <c r="WCL599" s="15"/>
      <c r="WCM599" s="50"/>
      <c r="WCN599" s="50"/>
      <c r="WCO599" s="46"/>
      <c r="WCP599" s="47"/>
      <c r="WCQ599" s="46"/>
      <c r="WCR599" s="48"/>
      <c r="WCS599" s="53"/>
      <c r="WCZ599" s="15"/>
      <c r="WDA599" s="50"/>
      <c r="WDB599" s="50"/>
      <c r="WDC599" s="46"/>
      <c r="WDD599" s="47"/>
      <c r="WDE599" s="46"/>
      <c r="WDF599" s="48"/>
      <c r="WDG599" s="53"/>
      <c r="WDN599" s="15"/>
      <c r="WDO599" s="50"/>
      <c r="WDP599" s="50"/>
      <c r="WDQ599" s="46"/>
      <c r="WDR599" s="47"/>
      <c r="WDS599" s="46"/>
      <c r="WDT599" s="48"/>
      <c r="WDU599" s="53"/>
      <c r="WEB599" s="15"/>
      <c r="WEC599" s="50"/>
      <c r="WED599" s="50"/>
      <c r="WEE599" s="46"/>
      <c r="WEF599" s="47"/>
      <c r="WEG599" s="46"/>
      <c r="WEH599" s="48"/>
      <c r="WEI599" s="53"/>
      <c r="WEP599" s="15"/>
      <c r="WEQ599" s="50"/>
      <c r="WER599" s="50"/>
      <c r="WES599" s="46"/>
      <c r="WET599" s="47"/>
      <c r="WEU599" s="46"/>
      <c r="WEV599" s="48"/>
      <c r="WEW599" s="53"/>
      <c r="WFD599" s="15"/>
      <c r="WFE599" s="50"/>
      <c r="WFF599" s="50"/>
      <c r="WFG599" s="46"/>
      <c r="WFH599" s="47"/>
      <c r="WFI599" s="46"/>
      <c r="WFJ599" s="48"/>
      <c r="WFK599" s="53"/>
      <c r="WFR599" s="15"/>
      <c r="WFS599" s="50"/>
      <c r="WFT599" s="50"/>
      <c r="WFU599" s="46"/>
      <c r="WFV599" s="47"/>
      <c r="WFW599" s="46"/>
      <c r="WFX599" s="48"/>
      <c r="WFY599" s="53"/>
      <c r="WGF599" s="15"/>
      <c r="WGG599" s="50"/>
      <c r="WGH599" s="50"/>
      <c r="WGI599" s="46"/>
      <c r="WGJ599" s="47"/>
      <c r="WGK599" s="46"/>
      <c r="WGL599" s="48"/>
      <c r="WGM599" s="53"/>
      <c r="WGT599" s="15"/>
      <c r="WGU599" s="50"/>
      <c r="WGV599" s="50"/>
      <c r="WGW599" s="46"/>
      <c r="WGX599" s="47"/>
      <c r="WGY599" s="46"/>
      <c r="WGZ599" s="48"/>
      <c r="WHA599" s="53"/>
      <c r="WHH599" s="15"/>
      <c r="WHI599" s="50"/>
      <c r="WHJ599" s="50"/>
      <c r="WHK599" s="46"/>
      <c r="WHL599" s="47"/>
      <c r="WHM599" s="46"/>
      <c r="WHN599" s="48"/>
      <c r="WHO599" s="53"/>
      <c r="WHV599" s="15"/>
      <c r="WHW599" s="50"/>
      <c r="WHX599" s="50"/>
      <c r="WHY599" s="46"/>
      <c r="WHZ599" s="47"/>
      <c r="WIA599" s="46"/>
      <c r="WIB599" s="48"/>
      <c r="WIC599" s="53"/>
      <c r="WIJ599" s="15"/>
      <c r="WIK599" s="50"/>
      <c r="WIL599" s="50"/>
      <c r="WIM599" s="46"/>
      <c r="WIN599" s="47"/>
      <c r="WIO599" s="46"/>
      <c r="WIP599" s="48"/>
      <c r="WIQ599" s="53"/>
      <c r="WIX599" s="15"/>
      <c r="WIY599" s="50"/>
      <c r="WIZ599" s="50"/>
      <c r="WJA599" s="46"/>
      <c r="WJB599" s="47"/>
      <c r="WJC599" s="46"/>
      <c r="WJD599" s="48"/>
      <c r="WJE599" s="53"/>
      <c r="WJL599" s="15"/>
      <c r="WJM599" s="50"/>
      <c r="WJN599" s="50"/>
      <c r="WJO599" s="46"/>
      <c r="WJP599" s="47"/>
      <c r="WJQ599" s="46"/>
      <c r="WJR599" s="48"/>
      <c r="WJS599" s="53"/>
      <c r="WJZ599" s="15"/>
      <c r="WKA599" s="50"/>
      <c r="WKB599" s="50"/>
      <c r="WKC599" s="46"/>
      <c r="WKD599" s="47"/>
      <c r="WKE599" s="46"/>
      <c r="WKF599" s="48"/>
      <c r="WKG599" s="53"/>
      <c r="WKN599" s="15"/>
      <c r="WKO599" s="50"/>
      <c r="WKP599" s="50"/>
      <c r="WKQ599" s="46"/>
      <c r="WKR599" s="47"/>
      <c r="WKS599" s="46"/>
      <c r="WKT599" s="48"/>
      <c r="WKU599" s="53"/>
      <c r="WLB599" s="15"/>
      <c r="WLC599" s="50"/>
      <c r="WLD599" s="50"/>
      <c r="WLE599" s="46"/>
      <c r="WLF599" s="47"/>
      <c r="WLG599" s="46"/>
      <c r="WLH599" s="48"/>
      <c r="WLI599" s="53"/>
      <c r="WLP599" s="15"/>
      <c r="WLQ599" s="50"/>
      <c r="WLR599" s="50"/>
      <c r="WLS599" s="46"/>
      <c r="WLT599" s="47"/>
      <c r="WLU599" s="46"/>
      <c r="WLV599" s="48"/>
      <c r="WLW599" s="53"/>
      <c r="WMD599" s="15"/>
      <c r="WME599" s="50"/>
      <c r="WMF599" s="50"/>
      <c r="WMG599" s="46"/>
      <c r="WMH599" s="47"/>
      <c r="WMI599" s="46"/>
      <c r="WMJ599" s="48"/>
      <c r="WMK599" s="53"/>
      <c r="WMR599" s="15"/>
      <c r="WMS599" s="50"/>
      <c r="WMT599" s="50"/>
      <c r="WMU599" s="46"/>
      <c r="WMV599" s="47"/>
      <c r="WMW599" s="46"/>
      <c r="WMX599" s="48"/>
      <c r="WMY599" s="53"/>
      <c r="WNF599" s="15"/>
      <c r="WNG599" s="50"/>
      <c r="WNH599" s="50"/>
      <c r="WNI599" s="46"/>
      <c r="WNJ599" s="47"/>
      <c r="WNK599" s="46"/>
      <c r="WNL599" s="48"/>
      <c r="WNM599" s="53"/>
      <c r="WNT599" s="15"/>
      <c r="WNU599" s="50"/>
      <c r="WNV599" s="50"/>
      <c r="WNW599" s="46"/>
      <c r="WNX599" s="47"/>
      <c r="WNY599" s="46"/>
      <c r="WNZ599" s="48"/>
      <c r="WOA599" s="53"/>
      <c r="WOH599" s="15"/>
      <c r="WOI599" s="50"/>
      <c r="WOJ599" s="50"/>
      <c r="WOK599" s="46"/>
      <c r="WOL599" s="47"/>
      <c r="WOM599" s="46"/>
      <c r="WON599" s="48"/>
      <c r="WOO599" s="53"/>
      <c r="WOV599" s="15"/>
      <c r="WOW599" s="50"/>
      <c r="WOX599" s="50"/>
      <c r="WOY599" s="46"/>
      <c r="WOZ599" s="47"/>
      <c r="WPA599" s="46"/>
      <c r="WPB599" s="48"/>
      <c r="WPC599" s="53"/>
      <c r="WPJ599" s="15"/>
      <c r="WPK599" s="50"/>
      <c r="WPL599" s="50"/>
      <c r="WPM599" s="46"/>
      <c r="WPN599" s="47"/>
      <c r="WPO599" s="46"/>
      <c r="WPP599" s="48"/>
      <c r="WPQ599" s="53"/>
      <c r="WPX599" s="15"/>
      <c r="WPY599" s="50"/>
      <c r="WPZ599" s="50"/>
      <c r="WQA599" s="46"/>
      <c r="WQB599" s="47"/>
      <c r="WQC599" s="46"/>
      <c r="WQD599" s="48"/>
      <c r="WQE599" s="53"/>
      <c r="WQL599" s="15"/>
      <c r="WQM599" s="50"/>
      <c r="WQN599" s="50"/>
      <c r="WQO599" s="46"/>
      <c r="WQP599" s="47"/>
      <c r="WQQ599" s="46"/>
      <c r="WQR599" s="48"/>
      <c r="WQS599" s="53"/>
      <c r="WQZ599" s="15"/>
      <c r="WRA599" s="50"/>
      <c r="WRB599" s="50"/>
      <c r="WRC599" s="46"/>
      <c r="WRD599" s="47"/>
      <c r="WRE599" s="46"/>
      <c r="WRF599" s="48"/>
      <c r="WRG599" s="53"/>
      <c r="WRN599" s="15"/>
      <c r="WRO599" s="50"/>
      <c r="WRP599" s="50"/>
      <c r="WRQ599" s="46"/>
      <c r="WRR599" s="47"/>
      <c r="WRS599" s="46"/>
      <c r="WRT599" s="48"/>
      <c r="WRU599" s="53"/>
      <c r="WSB599" s="15"/>
      <c r="WSC599" s="50"/>
      <c r="WSD599" s="50"/>
      <c r="WSE599" s="46"/>
      <c r="WSF599" s="47"/>
      <c r="WSG599" s="46"/>
      <c r="WSH599" s="48"/>
      <c r="WSI599" s="53"/>
      <c r="WSP599" s="15"/>
      <c r="WSQ599" s="50"/>
      <c r="WSR599" s="50"/>
      <c r="WSS599" s="46"/>
      <c r="WST599" s="47"/>
      <c r="WSU599" s="46"/>
      <c r="WSV599" s="48"/>
      <c r="WSW599" s="53"/>
      <c r="WTD599" s="15"/>
      <c r="WTE599" s="50"/>
      <c r="WTF599" s="50"/>
      <c r="WTG599" s="46"/>
      <c r="WTH599" s="47"/>
      <c r="WTI599" s="46"/>
      <c r="WTJ599" s="48"/>
      <c r="WTK599" s="53"/>
      <c r="WTR599" s="15"/>
      <c r="WTS599" s="50"/>
      <c r="WTT599" s="50"/>
      <c r="WTU599" s="46"/>
      <c r="WTV599" s="47"/>
      <c r="WTW599" s="46"/>
      <c r="WTX599" s="48"/>
      <c r="WTY599" s="53"/>
      <c r="WUF599" s="15"/>
      <c r="WUG599" s="50"/>
      <c r="WUH599" s="50"/>
      <c r="WUI599" s="46"/>
      <c r="WUJ599" s="47"/>
      <c r="WUK599" s="46"/>
      <c r="WUL599" s="48"/>
      <c r="WUM599" s="53"/>
      <c r="WUT599" s="15"/>
      <c r="WUU599" s="50"/>
      <c r="WUV599" s="50"/>
      <c r="WUW599" s="46"/>
      <c r="WUX599" s="47"/>
      <c r="WUY599" s="46"/>
      <c r="WUZ599" s="48"/>
      <c r="WVA599" s="53"/>
      <c r="WVH599" s="15"/>
      <c r="WVI599" s="50"/>
      <c r="WVJ599" s="50"/>
      <c r="WVK599" s="46"/>
      <c r="WVL599" s="47"/>
      <c r="WVM599" s="46"/>
      <c r="WVN599" s="48"/>
      <c r="WVO599" s="53"/>
      <c r="WVV599" s="15"/>
      <c r="WVW599" s="50"/>
      <c r="WVX599" s="50"/>
      <c r="WVY599" s="46"/>
      <c r="WVZ599" s="47"/>
      <c r="WWA599" s="46"/>
      <c r="WWB599" s="48"/>
      <c r="WWC599" s="53"/>
      <c r="WWJ599" s="15"/>
      <c r="WWK599" s="50"/>
      <c r="WWL599" s="50"/>
      <c r="WWM599" s="46"/>
      <c r="WWN599" s="47"/>
      <c r="WWO599" s="46"/>
      <c r="WWP599" s="48"/>
      <c r="WWQ599" s="53"/>
      <c r="WWX599" s="15"/>
      <c r="WWY599" s="50"/>
      <c r="WWZ599" s="50"/>
      <c r="WXA599" s="46"/>
      <c r="WXB599" s="47"/>
      <c r="WXC599" s="46"/>
      <c r="WXD599" s="48"/>
      <c r="WXE599" s="53"/>
      <c r="WXL599" s="15"/>
      <c r="WXM599" s="50"/>
      <c r="WXN599" s="50"/>
      <c r="WXO599" s="46"/>
      <c r="WXP599" s="47"/>
      <c r="WXQ599" s="46"/>
      <c r="WXR599" s="48"/>
      <c r="WXS599" s="53"/>
      <c r="WXZ599" s="15"/>
      <c r="WYA599" s="50"/>
      <c r="WYB599" s="50"/>
      <c r="WYC599" s="46"/>
      <c r="WYD599" s="47"/>
      <c r="WYE599" s="46"/>
      <c r="WYF599" s="48"/>
      <c r="WYG599" s="53"/>
      <c r="WYN599" s="15"/>
      <c r="WYO599" s="50"/>
      <c r="WYP599" s="50"/>
      <c r="WYQ599" s="46"/>
      <c r="WYR599" s="47"/>
      <c r="WYS599" s="46"/>
      <c r="WYT599" s="48"/>
      <c r="WYU599" s="53"/>
      <c r="WZB599" s="15"/>
      <c r="WZC599" s="50"/>
      <c r="WZD599" s="50"/>
      <c r="WZE599" s="46"/>
      <c r="WZF599" s="47"/>
      <c r="WZG599" s="46"/>
      <c r="WZH599" s="48"/>
      <c r="WZI599" s="53"/>
      <c r="WZP599" s="15"/>
      <c r="WZQ599" s="50"/>
      <c r="WZR599" s="50"/>
      <c r="WZS599" s="46"/>
      <c r="WZT599" s="47"/>
      <c r="WZU599" s="46"/>
      <c r="WZV599" s="48"/>
      <c r="WZW599" s="53"/>
      <c r="XAD599" s="15"/>
      <c r="XAE599" s="50"/>
      <c r="XAF599" s="50"/>
      <c r="XAG599" s="46"/>
      <c r="XAH599" s="47"/>
      <c r="XAI599" s="46"/>
      <c r="XAJ599" s="48"/>
      <c r="XAK599" s="53"/>
      <c r="XAR599" s="15"/>
      <c r="XAS599" s="50"/>
      <c r="XAT599" s="50"/>
      <c r="XAU599" s="46"/>
      <c r="XAV599" s="47"/>
      <c r="XAW599" s="46"/>
      <c r="XAX599" s="48"/>
      <c r="XAY599" s="53"/>
      <c r="XBF599" s="15"/>
      <c r="XBG599" s="50"/>
      <c r="XBH599" s="50"/>
      <c r="XBI599" s="46"/>
      <c r="XBJ599" s="47"/>
      <c r="XBK599" s="46"/>
      <c r="XBL599" s="48"/>
      <c r="XBM599" s="53"/>
      <c r="XBT599" s="15"/>
      <c r="XBU599" s="50"/>
      <c r="XBV599" s="50"/>
      <c r="XBW599" s="46"/>
      <c r="XBX599" s="47"/>
      <c r="XBY599" s="46"/>
      <c r="XBZ599" s="48"/>
      <c r="XCA599" s="53"/>
      <c r="XCH599" s="15"/>
      <c r="XCI599" s="50"/>
      <c r="XCJ599" s="50"/>
      <c r="XCK599" s="46"/>
      <c r="XCL599" s="47"/>
      <c r="XCM599" s="46"/>
      <c r="XCN599" s="48"/>
      <c r="XCO599" s="53"/>
      <c r="XCV599" s="15"/>
      <c r="XCW599" s="50"/>
      <c r="XCX599" s="50"/>
      <c r="XCY599" s="46"/>
      <c r="XCZ599" s="47"/>
      <c r="XDA599" s="46"/>
      <c r="XDB599" s="48"/>
      <c r="XDC599" s="53"/>
      <c r="XDJ599" s="15"/>
      <c r="XDK599" s="50"/>
      <c r="XDL599" s="50"/>
      <c r="XDM599" s="46"/>
      <c r="XDN599" s="47"/>
      <c r="XDO599" s="46"/>
      <c r="XDP599" s="48"/>
      <c r="XDQ599" s="53"/>
      <c r="XDX599" s="15"/>
      <c r="XDY599" s="50"/>
      <c r="XDZ599" s="50"/>
      <c r="XEA599" s="46"/>
      <c r="XEB599" s="47"/>
      <c r="XEC599" s="46"/>
      <c r="XED599" s="48"/>
      <c r="XEE599" s="53"/>
      <c r="XEL599" s="15"/>
      <c r="XEM599" s="50"/>
      <c r="XEN599" s="50"/>
      <c r="XEO599" s="46"/>
      <c r="XEP599" s="47"/>
      <c r="XEQ599" s="46"/>
      <c r="XER599" s="48"/>
      <c r="XES599" s="53"/>
      <c r="XEZ599" s="15"/>
      <c r="XFA599" s="50"/>
      <c r="XFB599" s="50"/>
      <c r="XFC599" s="46"/>
    </row>
    <row r="600" spans="1:4095 4102:5117 5124:6139 6146:11263 11270:12285 12292:13307 13314:16383" ht="16.2" x14ac:dyDescent="0.4">
      <c r="A600" s="15" t="str">
        <f t="shared" si="9"/>
        <v>modesg_inp_emss_nacesub_tipo_atividade_2</v>
      </c>
      <c r="B600" s="54" t="s">
        <v>27</v>
      </c>
      <c r="C600" s="50" t="s">
        <v>29</v>
      </c>
      <c r="D600" s="46" t="s">
        <v>431</v>
      </c>
      <c r="E600" s="47" t="s">
        <v>42</v>
      </c>
      <c r="F600" s="46" t="s">
        <v>490</v>
      </c>
      <c r="G600" s="48" t="s">
        <v>426</v>
      </c>
      <c r="H600" s="48" t="s">
        <v>426</v>
      </c>
      <c r="I600" s="56" t="s">
        <v>482</v>
      </c>
      <c r="J600" s="68" t="s">
        <v>514</v>
      </c>
      <c r="K600" s="68" t="s">
        <v>514</v>
      </c>
      <c r="L600" s="68"/>
      <c r="N600" s="15"/>
      <c r="O600" s="50"/>
      <c r="P600" s="50"/>
      <c r="Q600" s="46"/>
      <c r="R600" s="47"/>
      <c r="S600" s="46"/>
      <c r="T600" s="48"/>
      <c r="U600" s="53"/>
      <c r="AB600" s="15"/>
      <c r="AC600" s="50"/>
      <c r="AD600" s="50"/>
      <c r="AE600" s="46"/>
      <c r="AF600" s="47"/>
      <c r="AG600" s="46"/>
      <c r="AH600" s="48"/>
      <c r="AI600" s="53"/>
      <c r="AP600" s="15"/>
      <c r="AQ600" s="50"/>
      <c r="AR600" s="50"/>
      <c r="AS600" s="46"/>
      <c r="AT600" s="47"/>
      <c r="AU600" s="46"/>
      <c r="AV600" s="48"/>
      <c r="AW600" s="53"/>
      <c r="BD600" s="15"/>
      <c r="BE600" s="50"/>
      <c r="BF600" s="50"/>
      <c r="BG600" s="46"/>
      <c r="BH600" s="47"/>
      <c r="BI600" s="46"/>
      <c r="BJ600" s="48"/>
      <c r="BK600" s="53"/>
      <c r="BR600" s="15"/>
      <c r="BS600" s="50"/>
      <c r="BT600" s="50"/>
      <c r="BU600" s="46"/>
      <c r="BV600" s="47"/>
      <c r="BW600" s="46"/>
      <c r="BX600" s="48"/>
      <c r="BY600" s="53"/>
      <c r="CF600" s="15"/>
      <c r="CG600" s="50"/>
      <c r="CH600" s="50"/>
      <c r="CI600" s="46"/>
      <c r="CJ600" s="47"/>
      <c r="CK600" s="46"/>
      <c r="CL600" s="48"/>
      <c r="CM600" s="53"/>
      <c r="CT600" s="15"/>
      <c r="CU600" s="50"/>
      <c r="CV600" s="50"/>
      <c r="CW600" s="46"/>
      <c r="CX600" s="47"/>
      <c r="CY600" s="46"/>
      <c r="CZ600" s="48"/>
      <c r="DA600" s="53"/>
      <c r="DH600" s="15"/>
      <c r="DI600" s="50"/>
      <c r="DJ600" s="50"/>
      <c r="DK600" s="46"/>
      <c r="DL600" s="47"/>
      <c r="DM600" s="46"/>
      <c r="DN600" s="48"/>
      <c r="DO600" s="53"/>
      <c r="DV600" s="15"/>
      <c r="DW600" s="50"/>
      <c r="DX600" s="50"/>
      <c r="DY600" s="46"/>
      <c r="DZ600" s="47"/>
      <c r="EA600" s="46"/>
      <c r="EB600" s="48"/>
      <c r="EC600" s="53"/>
      <c r="EJ600" s="15"/>
      <c r="EK600" s="50"/>
      <c r="EL600" s="50"/>
      <c r="EM600" s="46"/>
      <c r="EN600" s="47"/>
      <c r="EO600" s="46"/>
      <c r="EP600" s="48"/>
      <c r="EQ600" s="53"/>
      <c r="EX600" s="15"/>
      <c r="EY600" s="50"/>
      <c r="EZ600" s="50"/>
      <c r="FA600" s="46"/>
      <c r="FB600" s="47"/>
      <c r="FC600" s="46"/>
      <c r="FD600" s="48"/>
      <c r="FE600" s="53"/>
      <c r="FL600" s="15"/>
      <c r="FM600" s="50"/>
      <c r="FN600" s="50"/>
      <c r="FO600" s="46"/>
      <c r="FP600" s="47"/>
      <c r="FQ600" s="46"/>
      <c r="FR600" s="48"/>
      <c r="FS600" s="53"/>
      <c r="FZ600" s="15"/>
      <c r="GA600" s="50"/>
      <c r="GB600" s="50"/>
      <c r="GC600" s="46"/>
      <c r="GD600" s="47"/>
      <c r="GE600" s="46"/>
      <c r="GF600" s="48"/>
      <c r="GG600" s="53"/>
      <c r="GN600" s="15"/>
      <c r="GO600" s="50"/>
      <c r="GP600" s="50"/>
      <c r="GQ600" s="46"/>
      <c r="GR600" s="47"/>
      <c r="GS600" s="46"/>
      <c r="GT600" s="48"/>
      <c r="GU600" s="53"/>
      <c r="HB600" s="15"/>
      <c r="HC600" s="50"/>
      <c r="HD600" s="50"/>
      <c r="HE600" s="46"/>
      <c r="HF600" s="47"/>
      <c r="HG600" s="46"/>
      <c r="HH600" s="48"/>
      <c r="HI600" s="53"/>
      <c r="HP600" s="15"/>
      <c r="HQ600" s="50"/>
      <c r="HR600" s="50"/>
      <c r="HS600" s="46"/>
      <c r="HT600" s="47"/>
      <c r="HU600" s="46"/>
      <c r="HV600" s="48"/>
      <c r="HW600" s="53"/>
      <c r="ID600" s="15"/>
      <c r="IE600" s="50"/>
      <c r="IF600" s="50"/>
      <c r="IG600" s="46"/>
      <c r="IH600" s="47"/>
      <c r="II600" s="46"/>
      <c r="IJ600" s="48"/>
      <c r="IK600" s="53"/>
      <c r="IR600" s="15"/>
      <c r="IS600" s="50"/>
      <c r="IT600" s="50"/>
      <c r="IU600" s="46"/>
      <c r="IV600" s="47"/>
      <c r="IW600" s="46"/>
      <c r="IX600" s="48"/>
      <c r="IY600" s="53"/>
      <c r="JF600" s="15"/>
      <c r="JG600" s="50"/>
      <c r="JH600" s="50"/>
      <c r="JI600" s="46"/>
      <c r="JJ600" s="47"/>
      <c r="JK600" s="46"/>
      <c r="JL600" s="48"/>
      <c r="JM600" s="53"/>
      <c r="JT600" s="15"/>
      <c r="JU600" s="50"/>
      <c r="JV600" s="50"/>
      <c r="JW600" s="46"/>
      <c r="JX600" s="47"/>
      <c r="JY600" s="46"/>
      <c r="JZ600" s="48"/>
      <c r="KA600" s="53"/>
      <c r="KH600" s="15"/>
      <c r="KI600" s="50"/>
      <c r="KJ600" s="50"/>
      <c r="KK600" s="46"/>
      <c r="KL600" s="47"/>
      <c r="KM600" s="46"/>
      <c r="KN600" s="48"/>
      <c r="KO600" s="53"/>
      <c r="KV600" s="15"/>
      <c r="KW600" s="50"/>
      <c r="KX600" s="50"/>
      <c r="KY600" s="46"/>
      <c r="KZ600" s="47"/>
      <c r="LA600" s="46"/>
      <c r="LB600" s="48"/>
      <c r="LC600" s="53"/>
      <c r="LJ600" s="15"/>
      <c r="LK600" s="50"/>
      <c r="LL600" s="50"/>
      <c r="LM600" s="46"/>
      <c r="LN600" s="47"/>
      <c r="LO600" s="46"/>
      <c r="LP600" s="48"/>
      <c r="LQ600" s="53"/>
      <c r="LX600" s="15"/>
      <c r="LY600" s="50"/>
      <c r="LZ600" s="50"/>
      <c r="MA600" s="46"/>
      <c r="MB600" s="47"/>
      <c r="MC600" s="46"/>
      <c r="MD600" s="48"/>
      <c r="ME600" s="53"/>
      <c r="ML600" s="15"/>
      <c r="MM600" s="50"/>
      <c r="MN600" s="50"/>
      <c r="MO600" s="46"/>
      <c r="MP600" s="47"/>
      <c r="MQ600" s="46"/>
      <c r="MR600" s="48"/>
      <c r="MS600" s="53"/>
      <c r="MZ600" s="15"/>
      <c r="NA600" s="50"/>
      <c r="NB600" s="50"/>
      <c r="NC600" s="46"/>
      <c r="ND600" s="47"/>
      <c r="NE600" s="46"/>
      <c r="NF600" s="48"/>
      <c r="NG600" s="53"/>
      <c r="NN600" s="15"/>
      <c r="NO600" s="50"/>
      <c r="NP600" s="50"/>
      <c r="NQ600" s="46"/>
      <c r="NR600" s="47"/>
      <c r="NS600" s="46"/>
      <c r="NT600" s="48"/>
      <c r="NU600" s="53"/>
      <c r="OB600" s="15"/>
      <c r="OC600" s="50"/>
      <c r="OD600" s="50"/>
      <c r="OE600" s="46"/>
      <c r="OF600" s="47"/>
      <c r="OG600" s="46"/>
      <c r="OH600" s="48"/>
      <c r="OI600" s="53"/>
      <c r="OP600" s="15"/>
      <c r="OQ600" s="50"/>
      <c r="OR600" s="50"/>
      <c r="OS600" s="46"/>
      <c r="OT600" s="47"/>
      <c r="OU600" s="46"/>
      <c r="OV600" s="48"/>
      <c r="OW600" s="53"/>
      <c r="PD600" s="15"/>
      <c r="PE600" s="50"/>
      <c r="PF600" s="50"/>
      <c r="PG600" s="46"/>
      <c r="PH600" s="47"/>
      <c r="PI600" s="46"/>
      <c r="PJ600" s="48"/>
      <c r="PK600" s="53"/>
      <c r="PR600" s="15"/>
      <c r="PS600" s="50"/>
      <c r="PT600" s="50"/>
      <c r="PU600" s="46"/>
      <c r="PV600" s="47"/>
      <c r="PW600" s="46"/>
      <c r="PX600" s="48"/>
      <c r="PY600" s="53"/>
      <c r="QF600" s="15"/>
      <c r="QG600" s="50"/>
      <c r="QH600" s="50"/>
      <c r="QI600" s="46"/>
      <c r="QJ600" s="47"/>
      <c r="QK600" s="46"/>
      <c r="QL600" s="48"/>
      <c r="QM600" s="53"/>
      <c r="QT600" s="15"/>
      <c r="QU600" s="50"/>
      <c r="QV600" s="50"/>
      <c r="QW600" s="46"/>
      <c r="QX600" s="47"/>
      <c r="QY600" s="46"/>
      <c r="QZ600" s="48"/>
      <c r="RA600" s="53"/>
      <c r="RH600" s="15"/>
      <c r="RI600" s="50"/>
      <c r="RJ600" s="50"/>
      <c r="RK600" s="46"/>
      <c r="RL600" s="47"/>
      <c r="RM600" s="46"/>
      <c r="RN600" s="48"/>
      <c r="RO600" s="53"/>
      <c r="RV600" s="15"/>
      <c r="RW600" s="50"/>
      <c r="RX600" s="50"/>
      <c r="RY600" s="46"/>
      <c r="RZ600" s="47"/>
      <c r="SA600" s="46"/>
      <c r="SB600" s="48"/>
      <c r="SC600" s="53"/>
      <c r="SJ600" s="15"/>
      <c r="SK600" s="50"/>
      <c r="SL600" s="50"/>
      <c r="SM600" s="46"/>
      <c r="SN600" s="47"/>
      <c r="SO600" s="46"/>
      <c r="SP600" s="48"/>
      <c r="SQ600" s="53"/>
      <c r="SX600" s="15"/>
      <c r="SY600" s="50"/>
      <c r="SZ600" s="50"/>
      <c r="TA600" s="46"/>
      <c r="TB600" s="47"/>
      <c r="TC600" s="46"/>
      <c r="TD600" s="48"/>
      <c r="TE600" s="53"/>
      <c r="TL600" s="15"/>
      <c r="TM600" s="50"/>
      <c r="TN600" s="50"/>
      <c r="TO600" s="46"/>
      <c r="TP600" s="47"/>
      <c r="TQ600" s="46"/>
      <c r="TR600" s="48"/>
      <c r="TS600" s="53"/>
      <c r="TZ600" s="15"/>
      <c r="UA600" s="50"/>
      <c r="UB600" s="50"/>
      <c r="UC600" s="46"/>
      <c r="UD600" s="47"/>
      <c r="UE600" s="46"/>
      <c r="UF600" s="48"/>
      <c r="UG600" s="53"/>
      <c r="UN600" s="15"/>
      <c r="UO600" s="50"/>
      <c r="UP600" s="50"/>
      <c r="UQ600" s="46"/>
      <c r="UR600" s="47"/>
      <c r="US600" s="46"/>
      <c r="UT600" s="48"/>
      <c r="UU600" s="53"/>
      <c r="VB600" s="15"/>
      <c r="VC600" s="50"/>
      <c r="VD600" s="50"/>
      <c r="VE600" s="46"/>
      <c r="VF600" s="47"/>
      <c r="VG600" s="46"/>
      <c r="VH600" s="48"/>
      <c r="VI600" s="53"/>
      <c r="VP600" s="15"/>
      <c r="VQ600" s="50"/>
      <c r="VR600" s="50"/>
      <c r="VS600" s="46"/>
      <c r="VT600" s="47"/>
      <c r="VU600" s="46"/>
      <c r="VV600" s="48"/>
      <c r="VW600" s="53"/>
      <c r="WD600" s="15"/>
      <c r="WE600" s="50"/>
      <c r="WF600" s="50"/>
      <c r="WG600" s="46"/>
      <c r="WH600" s="47"/>
      <c r="WI600" s="46"/>
      <c r="WJ600" s="48"/>
      <c r="WK600" s="53"/>
      <c r="WR600" s="15"/>
      <c r="WS600" s="50"/>
      <c r="WT600" s="50"/>
      <c r="WU600" s="46"/>
      <c r="WV600" s="47"/>
      <c r="WW600" s="46"/>
      <c r="WX600" s="48"/>
      <c r="WY600" s="53"/>
      <c r="XF600" s="15"/>
      <c r="XG600" s="50"/>
      <c r="XH600" s="50"/>
      <c r="XI600" s="46"/>
      <c r="XJ600" s="47"/>
      <c r="XK600" s="46"/>
      <c r="XL600" s="48"/>
      <c r="XM600" s="53"/>
      <c r="XT600" s="15"/>
      <c r="XU600" s="50"/>
      <c r="XV600" s="50"/>
      <c r="XW600" s="46"/>
      <c r="XX600" s="47"/>
      <c r="XY600" s="46"/>
      <c r="XZ600" s="48"/>
      <c r="YA600" s="53"/>
      <c r="YH600" s="15"/>
      <c r="YI600" s="50"/>
      <c r="YJ600" s="50"/>
      <c r="YK600" s="46"/>
      <c r="YL600" s="47"/>
      <c r="YM600" s="46"/>
      <c r="YN600" s="48"/>
      <c r="YO600" s="53"/>
      <c r="YV600" s="15"/>
      <c r="YW600" s="50"/>
      <c r="YX600" s="50"/>
      <c r="YY600" s="46"/>
      <c r="YZ600" s="47"/>
      <c r="ZA600" s="46"/>
      <c r="ZB600" s="48"/>
      <c r="ZC600" s="53"/>
      <c r="ZJ600" s="15"/>
      <c r="ZK600" s="50"/>
      <c r="ZL600" s="50"/>
      <c r="ZM600" s="46"/>
      <c r="ZN600" s="47"/>
      <c r="ZO600" s="46"/>
      <c r="ZP600" s="48"/>
      <c r="ZQ600" s="53"/>
      <c r="ZX600" s="15"/>
      <c r="ZY600" s="50"/>
      <c r="ZZ600" s="50"/>
      <c r="AAA600" s="46"/>
      <c r="AAB600" s="47"/>
      <c r="AAC600" s="46"/>
      <c r="AAD600" s="48"/>
      <c r="AAE600" s="53"/>
      <c r="AAL600" s="15"/>
      <c r="AAM600" s="50"/>
      <c r="AAN600" s="50"/>
      <c r="AAO600" s="46"/>
      <c r="AAP600" s="47"/>
      <c r="AAQ600" s="46"/>
      <c r="AAR600" s="48"/>
      <c r="AAS600" s="53"/>
      <c r="AAZ600" s="15"/>
      <c r="ABA600" s="50"/>
      <c r="ABB600" s="50"/>
      <c r="ABC600" s="46"/>
      <c r="ABD600" s="47"/>
      <c r="ABE600" s="46"/>
      <c r="ABF600" s="48"/>
      <c r="ABG600" s="53"/>
      <c r="ABN600" s="15"/>
      <c r="ABO600" s="50"/>
      <c r="ABP600" s="50"/>
      <c r="ABQ600" s="46"/>
      <c r="ABR600" s="47"/>
      <c r="ABS600" s="46"/>
      <c r="ABT600" s="48"/>
      <c r="ABU600" s="53"/>
      <c r="ACB600" s="15"/>
      <c r="ACC600" s="50"/>
      <c r="ACD600" s="50"/>
      <c r="ACE600" s="46"/>
      <c r="ACF600" s="47"/>
      <c r="ACG600" s="46"/>
      <c r="ACH600" s="48"/>
      <c r="ACI600" s="53"/>
      <c r="ACP600" s="15"/>
      <c r="ACQ600" s="50"/>
      <c r="ACR600" s="50"/>
      <c r="ACS600" s="46"/>
      <c r="ACT600" s="47"/>
      <c r="ACU600" s="46"/>
      <c r="ACV600" s="48"/>
      <c r="ACW600" s="53"/>
      <c r="ADD600" s="15"/>
      <c r="ADE600" s="50"/>
      <c r="ADF600" s="50"/>
      <c r="ADG600" s="46"/>
      <c r="ADH600" s="47"/>
      <c r="ADI600" s="46"/>
      <c r="ADJ600" s="48"/>
      <c r="ADK600" s="53"/>
      <c r="ADR600" s="15"/>
      <c r="ADS600" s="50"/>
      <c r="ADT600" s="50"/>
      <c r="ADU600" s="46"/>
      <c r="ADV600" s="47"/>
      <c r="ADW600" s="46"/>
      <c r="ADX600" s="48"/>
      <c r="ADY600" s="53"/>
      <c r="AEF600" s="15"/>
      <c r="AEG600" s="50"/>
      <c r="AEH600" s="50"/>
      <c r="AEI600" s="46"/>
      <c r="AEJ600" s="47"/>
      <c r="AEK600" s="46"/>
      <c r="AEL600" s="48"/>
      <c r="AEM600" s="53"/>
      <c r="AET600" s="15"/>
      <c r="AEU600" s="50"/>
      <c r="AEV600" s="50"/>
      <c r="AEW600" s="46"/>
      <c r="AEX600" s="47"/>
      <c r="AEY600" s="46"/>
      <c r="AEZ600" s="48"/>
      <c r="AFA600" s="53"/>
      <c r="AFH600" s="15"/>
      <c r="AFI600" s="50"/>
      <c r="AFJ600" s="50"/>
      <c r="AFK600" s="46"/>
      <c r="AFL600" s="47"/>
      <c r="AFM600" s="46"/>
      <c r="AFN600" s="48"/>
      <c r="AFO600" s="53"/>
      <c r="AFV600" s="15"/>
      <c r="AFW600" s="50"/>
      <c r="AFX600" s="50"/>
      <c r="AFY600" s="46"/>
      <c r="AFZ600" s="47"/>
      <c r="AGA600" s="46"/>
      <c r="AGB600" s="48"/>
      <c r="AGC600" s="53"/>
      <c r="AGJ600" s="15"/>
      <c r="AGK600" s="50"/>
      <c r="AGL600" s="50"/>
      <c r="AGM600" s="46"/>
      <c r="AGN600" s="47"/>
      <c r="AGO600" s="46"/>
      <c r="AGP600" s="48"/>
      <c r="AGQ600" s="53"/>
      <c r="AGX600" s="15"/>
      <c r="AGY600" s="50"/>
      <c r="AGZ600" s="50"/>
      <c r="AHA600" s="46"/>
      <c r="AHB600" s="47"/>
      <c r="AHC600" s="46"/>
      <c r="AHD600" s="48"/>
      <c r="AHE600" s="53"/>
      <c r="AHL600" s="15"/>
      <c r="AHM600" s="50"/>
      <c r="AHN600" s="50"/>
      <c r="AHO600" s="46"/>
      <c r="AHP600" s="47"/>
      <c r="AHQ600" s="46"/>
      <c r="AHR600" s="48"/>
      <c r="AHS600" s="53"/>
      <c r="AHZ600" s="15"/>
      <c r="AIA600" s="50"/>
      <c r="AIB600" s="50"/>
      <c r="AIC600" s="46"/>
      <c r="AID600" s="47"/>
      <c r="AIE600" s="46"/>
      <c r="AIF600" s="48"/>
      <c r="AIG600" s="53"/>
      <c r="AIN600" s="15"/>
      <c r="AIO600" s="50"/>
      <c r="AIP600" s="50"/>
      <c r="AIQ600" s="46"/>
      <c r="AIR600" s="47"/>
      <c r="AIS600" s="46"/>
      <c r="AIT600" s="48"/>
      <c r="AIU600" s="53"/>
      <c r="AJB600" s="15"/>
      <c r="AJC600" s="50"/>
      <c r="AJD600" s="50"/>
      <c r="AJE600" s="46"/>
      <c r="AJF600" s="47"/>
      <c r="AJG600" s="46"/>
      <c r="AJH600" s="48"/>
      <c r="AJI600" s="53"/>
      <c r="AJP600" s="15"/>
      <c r="AJQ600" s="50"/>
      <c r="AJR600" s="50"/>
      <c r="AJS600" s="46"/>
      <c r="AJT600" s="47"/>
      <c r="AJU600" s="46"/>
      <c r="AJV600" s="48"/>
      <c r="AJW600" s="53"/>
      <c r="AKD600" s="15"/>
      <c r="AKE600" s="50"/>
      <c r="AKF600" s="50"/>
      <c r="AKG600" s="46"/>
      <c r="AKH600" s="47"/>
      <c r="AKI600" s="46"/>
      <c r="AKJ600" s="48"/>
      <c r="AKK600" s="53"/>
      <c r="AKR600" s="15"/>
      <c r="AKS600" s="50"/>
      <c r="AKT600" s="50"/>
      <c r="AKU600" s="46"/>
      <c r="AKV600" s="47"/>
      <c r="AKW600" s="46"/>
      <c r="AKX600" s="48"/>
      <c r="AKY600" s="53"/>
      <c r="ALF600" s="15"/>
      <c r="ALG600" s="50"/>
      <c r="ALH600" s="50"/>
      <c r="ALI600" s="46"/>
      <c r="ALJ600" s="47"/>
      <c r="ALK600" s="46"/>
      <c r="ALL600" s="48"/>
      <c r="ALM600" s="53"/>
      <c r="ALT600" s="15"/>
      <c r="ALU600" s="50"/>
      <c r="ALV600" s="50"/>
      <c r="ALW600" s="46"/>
      <c r="ALX600" s="47"/>
      <c r="ALY600" s="46"/>
      <c r="ALZ600" s="48"/>
      <c r="AMA600" s="53"/>
      <c r="AMH600" s="15"/>
      <c r="AMI600" s="50"/>
      <c r="AMJ600" s="50"/>
      <c r="AMK600" s="46"/>
      <c r="AML600" s="47"/>
      <c r="AMM600" s="46"/>
      <c r="AMN600" s="48"/>
      <c r="AMO600" s="53"/>
      <c r="AMV600" s="15"/>
      <c r="AMW600" s="50"/>
      <c r="AMX600" s="50"/>
      <c r="AMY600" s="46"/>
      <c r="AMZ600" s="47"/>
      <c r="ANA600" s="46"/>
      <c r="ANB600" s="48"/>
      <c r="ANC600" s="53"/>
      <c r="ANJ600" s="15"/>
      <c r="ANK600" s="50"/>
      <c r="ANL600" s="50"/>
      <c r="ANM600" s="46"/>
      <c r="ANN600" s="47"/>
      <c r="ANO600" s="46"/>
      <c r="ANP600" s="48"/>
      <c r="ANQ600" s="53"/>
      <c r="ANX600" s="15"/>
      <c r="ANY600" s="50"/>
      <c r="ANZ600" s="50"/>
      <c r="AOA600" s="46"/>
      <c r="AOB600" s="47"/>
      <c r="AOC600" s="46"/>
      <c r="AOD600" s="48"/>
      <c r="AOE600" s="53"/>
      <c r="AOL600" s="15"/>
      <c r="AOM600" s="50"/>
      <c r="AON600" s="50"/>
      <c r="AOO600" s="46"/>
      <c r="AOP600" s="47"/>
      <c r="AOQ600" s="46"/>
      <c r="AOR600" s="48"/>
      <c r="AOS600" s="53"/>
      <c r="AOZ600" s="15"/>
      <c r="APA600" s="50"/>
      <c r="APB600" s="50"/>
      <c r="APC600" s="46"/>
      <c r="APD600" s="47"/>
      <c r="APE600" s="46"/>
      <c r="APF600" s="48"/>
      <c r="APG600" s="53"/>
      <c r="APN600" s="15"/>
      <c r="APO600" s="50"/>
      <c r="APP600" s="50"/>
      <c r="APQ600" s="46"/>
      <c r="APR600" s="47"/>
      <c r="APS600" s="46"/>
      <c r="APT600" s="48"/>
      <c r="APU600" s="53"/>
      <c r="AQB600" s="15"/>
      <c r="AQC600" s="50"/>
      <c r="AQD600" s="50"/>
      <c r="AQE600" s="46"/>
      <c r="AQF600" s="47"/>
      <c r="AQG600" s="46"/>
      <c r="AQH600" s="48"/>
      <c r="AQI600" s="53"/>
      <c r="AQP600" s="15"/>
      <c r="AQQ600" s="50"/>
      <c r="AQR600" s="50"/>
      <c r="AQS600" s="46"/>
      <c r="AQT600" s="47"/>
      <c r="AQU600" s="46"/>
      <c r="AQV600" s="48"/>
      <c r="AQW600" s="53"/>
      <c r="ARD600" s="15"/>
      <c r="ARE600" s="50"/>
      <c r="ARF600" s="50"/>
      <c r="ARG600" s="46"/>
      <c r="ARH600" s="47"/>
      <c r="ARI600" s="46"/>
      <c r="ARJ600" s="48"/>
      <c r="ARK600" s="53"/>
      <c r="ARR600" s="15"/>
      <c r="ARS600" s="50"/>
      <c r="ART600" s="50"/>
      <c r="ARU600" s="46"/>
      <c r="ARV600" s="47"/>
      <c r="ARW600" s="46"/>
      <c r="ARX600" s="48"/>
      <c r="ARY600" s="53"/>
      <c r="ASF600" s="15"/>
      <c r="ASG600" s="50"/>
      <c r="ASH600" s="50"/>
      <c r="ASI600" s="46"/>
      <c r="ASJ600" s="47"/>
      <c r="ASK600" s="46"/>
      <c r="ASL600" s="48"/>
      <c r="ASM600" s="53"/>
      <c r="AST600" s="15"/>
      <c r="ASU600" s="50"/>
      <c r="ASV600" s="50"/>
      <c r="ASW600" s="46"/>
      <c r="ASX600" s="47"/>
      <c r="ASY600" s="46"/>
      <c r="ASZ600" s="48"/>
      <c r="ATA600" s="53"/>
      <c r="ATH600" s="15"/>
      <c r="ATI600" s="50"/>
      <c r="ATJ600" s="50"/>
      <c r="ATK600" s="46"/>
      <c r="ATL600" s="47"/>
      <c r="ATM600" s="46"/>
      <c r="ATN600" s="48"/>
      <c r="ATO600" s="53"/>
      <c r="ATV600" s="15"/>
      <c r="ATW600" s="50"/>
      <c r="ATX600" s="50"/>
      <c r="ATY600" s="46"/>
      <c r="ATZ600" s="47"/>
      <c r="AUA600" s="46"/>
      <c r="AUB600" s="48"/>
      <c r="AUC600" s="53"/>
      <c r="AUJ600" s="15"/>
      <c r="AUK600" s="50"/>
      <c r="AUL600" s="50"/>
      <c r="AUM600" s="46"/>
      <c r="AUN600" s="47"/>
      <c r="AUO600" s="46"/>
      <c r="AUP600" s="48"/>
      <c r="AUQ600" s="53"/>
      <c r="AUX600" s="15"/>
      <c r="AUY600" s="50"/>
      <c r="AUZ600" s="50"/>
      <c r="AVA600" s="46"/>
      <c r="AVB600" s="47"/>
      <c r="AVC600" s="46"/>
      <c r="AVD600" s="48"/>
      <c r="AVE600" s="53"/>
      <c r="AVL600" s="15"/>
      <c r="AVM600" s="50"/>
      <c r="AVN600" s="50"/>
      <c r="AVO600" s="46"/>
      <c r="AVP600" s="47"/>
      <c r="AVQ600" s="46"/>
      <c r="AVR600" s="48"/>
      <c r="AVS600" s="53"/>
      <c r="AVZ600" s="15"/>
      <c r="AWA600" s="50"/>
      <c r="AWB600" s="50"/>
      <c r="AWC600" s="46"/>
      <c r="AWD600" s="47"/>
      <c r="AWE600" s="46"/>
      <c r="AWF600" s="48"/>
      <c r="AWG600" s="53"/>
      <c r="AWN600" s="15"/>
      <c r="AWO600" s="50"/>
      <c r="AWP600" s="50"/>
      <c r="AWQ600" s="46"/>
      <c r="AWR600" s="47"/>
      <c r="AWS600" s="46"/>
      <c r="AWT600" s="48"/>
      <c r="AWU600" s="53"/>
      <c r="AXB600" s="15"/>
      <c r="AXC600" s="50"/>
      <c r="AXD600" s="50"/>
      <c r="AXE600" s="46"/>
      <c r="AXF600" s="47"/>
      <c r="AXG600" s="46"/>
      <c r="AXH600" s="48"/>
      <c r="AXI600" s="53"/>
      <c r="AXP600" s="15"/>
      <c r="AXQ600" s="50"/>
      <c r="AXR600" s="50"/>
      <c r="AXS600" s="46"/>
      <c r="AXT600" s="47"/>
      <c r="AXU600" s="46"/>
      <c r="AXV600" s="48"/>
      <c r="AXW600" s="53"/>
      <c r="AYD600" s="15"/>
      <c r="AYE600" s="50"/>
      <c r="AYF600" s="50"/>
      <c r="AYG600" s="46"/>
      <c r="AYH600" s="47"/>
      <c r="AYI600" s="46"/>
      <c r="AYJ600" s="48"/>
      <c r="AYK600" s="53"/>
      <c r="AYR600" s="15"/>
      <c r="AYS600" s="50"/>
      <c r="AYT600" s="50"/>
      <c r="AYU600" s="46"/>
      <c r="AYV600" s="47"/>
      <c r="AYW600" s="46"/>
      <c r="AYX600" s="48"/>
      <c r="AYY600" s="53"/>
      <c r="AZF600" s="15"/>
      <c r="AZG600" s="50"/>
      <c r="AZH600" s="50"/>
      <c r="AZI600" s="46"/>
      <c r="AZJ600" s="47"/>
      <c r="AZK600" s="46"/>
      <c r="AZL600" s="48"/>
      <c r="AZM600" s="53"/>
      <c r="AZT600" s="15"/>
      <c r="AZU600" s="50"/>
      <c r="AZV600" s="50"/>
      <c r="AZW600" s="46"/>
      <c r="AZX600" s="47"/>
      <c r="AZY600" s="46"/>
      <c r="AZZ600" s="48"/>
      <c r="BAA600" s="53"/>
      <c r="BAH600" s="15"/>
      <c r="BAI600" s="50"/>
      <c r="BAJ600" s="50"/>
      <c r="BAK600" s="46"/>
      <c r="BAL600" s="47"/>
      <c r="BAM600" s="46"/>
      <c r="BAN600" s="48"/>
      <c r="BAO600" s="53"/>
      <c r="BAV600" s="15"/>
      <c r="BAW600" s="50"/>
      <c r="BAX600" s="50"/>
      <c r="BAY600" s="46"/>
      <c r="BAZ600" s="47"/>
      <c r="BBA600" s="46"/>
      <c r="BBB600" s="48"/>
      <c r="BBC600" s="53"/>
      <c r="BBJ600" s="15"/>
      <c r="BBK600" s="50"/>
      <c r="BBL600" s="50"/>
      <c r="BBM600" s="46"/>
      <c r="BBN600" s="47"/>
      <c r="BBO600" s="46"/>
      <c r="BBP600" s="48"/>
      <c r="BBQ600" s="53"/>
      <c r="BBX600" s="15"/>
      <c r="BBY600" s="50"/>
      <c r="BBZ600" s="50"/>
      <c r="BCA600" s="46"/>
      <c r="BCB600" s="47"/>
      <c r="BCC600" s="46"/>
      <c r="BCD600" s="48"/>
      <c r="BCE600" s="53"/>
      <c r="BCL600" s="15"/>
      <c r="BCM600" s="50"/>
      <c r="BCN600" s="50"/>
      <c r="BCO600" s="46"/>
      <c r="BCP600" s="47"/>
      <c r="BCQ600" s="46"/>
      <c r="BCR600" s="48"/>
      <c r="BCS600" s="53"/>
      <c r="BCZ600" s="15"/>
      <c r="BDA600" s="50"/>
      <c r="BDB600" s="50"/>
      <c r="BDC600" s="46"/>
      <c r="BDD600" s="47"/>
      <c r="BDE600" s="46"/>
      <c r="BDF600" s="48"/>
      <c r="BDG600" s="53"/>
      <c r="BDN600" s="15"/>
      <c r="BDO600" s="50"/>
      <c r="BDP600" s="50"/>
      <c r="BDQ600" s="46"/>
      <c r="BDR600" s="47"/>
      <c r="BDS600" s="46"/>
      <c r="BDT600" s="48"/>
      <c r="BDU600" s="53"/>
      <c r="BEB600" s="15"/>
      <c r="BEC600" s="50"/>
      <c r="BED600" s="50"/>
      <c r="BEE600" s="46"/>
      <c r="BEF600" s="47"/>
      <c r="BEG600" s="46"/>
      <c r="BEH600" s="48"/>
      <c r="BEI600" s="53"/>
      <c r="BEP600" s="15"/>
      <c r="BEQ600" s="50"/>
      <c r="BER600" s="50"/>
      <c r="BES600" s="46"/>
      <c r="BET600" s="47"/>
      <c r="BEU600" s="46"/>
      <c r="BEV600" s="48"/>
      <c r="BEW600" s="53"/>
      <c r="BFD600" s="15"/>
      <c r="BFE600" s="50"/>
      <c r="BFF600" s="50"/>
      <c r="BFG600" s="46"/>
      <c r="BFH600" s="47"/>
      <c r="BFI600" s="46"/>
      <c r="BFJ600" s="48"/>
      <c r="BFK600" s="53"/>
      <c r="BFR600" s="15"/>
      <c r="BFS600" s="50"/>
      <c r="BFT600" s="50"/>
      <c r="BFU600" s="46"/>
      <c r="BFV600" s="47"/>
      <c r="BFW600" s="46"/>
      <c r="BFX600" s="48"/>
      <c r="BFY600" s="53"/>
      <c r="BGF600" s="15"/>
      <c r="BGG600" s="50"/>
      <c r="BGH600" s="50"/>
      <c r="BGI600" s="46"/>
      <c r="BGJ600" s="47"/>
      <c r="BGK600" s="46"/>
      <c r="BGL600" s="48"/>
      <c r="BGM600" s="53"/>
      <c r="BGT600" s="15"/>
      <c r="BGU600" s="50"/>
      <c r="BGV600" s="50"/>
      <c r="BGW600" s="46"/>
      <c r="BGX600" s="47"/>
      <c r="BGY600" s="46"/>
      <c r="BGZ600" s="48"/>
      <c r="BHA600" s="53"/>
      <c r="BHH600" s="15"/>
      <c r="BHI600" s="50"/>
      <c r="BHJ600" s="50"/>
      <c r="BHK600" s="46"/>
      <c r="BHL600" s="47"/>
      <c r="BHM600" s="46"/>
      <c r="BHN600" s="48"/>
      <c r="BHO600" s="53"/>
      <c r="BHV600" s="15"/>
      <c r="BHW600" s="50"/>
      <c r="BHX600" s="50"/>
      <c r="BHY600" s="46"/>
      <c r="BHZ600" s="47"/>
      <c r="BIA600" s="46"/>
      <c r="BIB600" s="48"/>
      <c r="BIC600" s="53"/>
      <c r="BIJ600" s="15"/>
      <c r="BIK600" s="50"/>
      <c r="BIL600" s="50"/>
      <c r="BIM600" s="46"/>
      <c r="BIN600" s="47"/>
      <c r="BIO600" s="46"/>
      <c r="BIP600" s="48"/>
      <c r="BIQ600" s="53"/>
      <c r="BIX600" s="15"/>
      <c r="BIY600" s="50"/>
      <c r="BIZ600" s="50"/>
      <c r="BJA600" s="46"/>
      <c r="BJB600" s="47"/>
      <c r="BJC600" s="46"/>
      <c r="BJD600" s="48"/>
      <c r="BJE600" s="53"/>
      <c r="BJL600" s="15"/>
      <c r="BJM600" s="50"/>
      <c r="BJN600" s="50"/>
      <c r="BJO600" s="46"/>
      <c r="BJP600" s="47"/>
      <c r="BJQ600" s="46"/>
      <c r="BJR600" s="48"/>
      <c r="BJS600" s="53"/>
      <c r="BJZ600" s="15"/>
      <c r="BKA600" s="50"/>
      <c r="BKB600" s="50"/>
      <c r="BKC600" s="46"/>
      <c r="BKD600" s="47"/>
      <c r="BKE600" s="46"/>
      <c r="BKF600" s="48"/>
      <c r="BKG600" s="53"/>
      <c r="BKN600" s="15"/>
      <c r="BKO600" s="50"/>
      <c r="BKP600" s="50"/>
      <c r="BKQ600" s="46"/>
      <c r="BKR600" s="47"/>
      <c r="BKS600" s="46"/>
      <c r="BKT600" s="48"/>
      <c r="BKU600" s="53"/>
      <c r="BLB600" s="15"/>
      <c r="BLC600" s="50"/>
      <c r="BLD600" s="50"/>
      <c r="BLE600" s="46"/>
      <c r="BLF600" s="47"/>
      <c r="BLG600" s="46"/>
      <c r="BLH600" s="48"/>
      <c r="BLI600" s="53"/>
      <c r="BLP600" s="15"/>
      <c r="BLQ600" s="50"/>
      <c r="BLR600" s="50"/>
      <c r="BLS600" s="46"/>
      <c r="BLT600" s="47"/>
      <c r="BLU600" s="46"/>
      <c r="BLV600" s="48"/>
      <c r="BLW600" s="53"/>
      <c r="BMD600" s="15"/>
      <c r="BME600" s="50"/>
      <c r="BMF600" s="50"/>
      <c r="BMG600" s="46"/>
      <c r="BMH600" s="47"/>
      <c r="BMI600" s="46"/>
      <c r="BMJ600" s="48"/>
      <c r="BMK600" s="53"/>
      <c r="BMR600" s="15"/>
      <c r="BMS600" s="50"/>
      <c r="BMT600" s="50"/>
      <c r="BMU600" s="46"/>
      <c r="BMV600" s="47"/>
      <c r="BMW600" s="46"/>
      <c r="BMX600" s="48"/>
      <c r="BMY600" s="53"/>
      <c r="BNF600" s="15"/>
      <c r="BNG600" s="50"/>
      <c r="BNH600" s="50"/>
      <c r="BNI600" s="46"/>
      <c r="BNJ600" s="47"/>
      <c r="BNK600" s="46"/>
      <c r="BNL600" s="48"/>
      <c r="BNM600" s="53"/>
      <c r="BNT600" s="15"/>
      <c r="BNU600" s="50"/>
      <c r="BNV600" s="50"/>
      <c r="BNW600" s="46"/>
      <c r="BNX600" s="47"/>
      <c r="BNY600" s="46"/>
      <c r="BNZ600" s="48"/>
      <c r="BOA600" s="53"/>
      <c r="BOH600" s="15"/>
      <c r="BOI600" s="50"/>
      <c r="BOJ600" s="50"/>
      <c r="BOK600" s="46"/>
      <c r="BOL600" s="47"/>
      <c r="BOM600" s="46"/>
      <c r="BON600" s="48"/>
      <c r="BOO600" s="53"/>
      <c r="BOV600" s="15"/>
      <c r="BOW600" s="50"/>
      <c r="BOX600" s="50"/>
      <c r="BOY600" s="46"/>
      <c r="BOZ600" s="47"/>
      <c r="BPA600" s="46"/>
      <c r="BPB600" s="48"/>
      <c r="BPC600" s="53"/>
      <c r="BPJ600" s="15"/>
      <c r="BPK600" s="50"/>
      <c r="BPL600" s="50"/>
      <c r="BPM600" s="46"/>
      <c r="BPN600" s="47"/>
      <c r="BPO600" s="46"/>
      <c r="BPP600" s="48"/>
      <c r="BPQ600" s="53"/>
      <c r="BPX600" s="15"/>
      <c r="BPY600" s="50"/>
      <c r="BPZ600" s="50"/>
      <c r="BQA600" s="46"/>
      <c r="BQB600" s="47"/>
      <c r="BQC600" s="46"/>
      <c r="BQD600" s="48"/>
      <c r="BQE600" s="53"/>
      <c r="BQL600" s="15"/>
      <c r="BQM600" s="50"/>
      <c r="BQN600" s="50"/>
      <c r="BQO600" s="46"/>
      <c r="BQP600" s="47"/>
      <c r="BQQ600" s="46"/>
      <c r="BQR600" s="48"/>
      <c r="BQS600" s="53"/>
      <c r="BQZ600" s="15"/>
      <c r="BRA600" s="50"/>
      <c r="BRB600" s="50"/>
      <c r="BRC600" s="46"/>
      <c r="BRD600" s="47"/>
      <c r="BRE600" s="46"/>
      <c r="BRF600" s="48"/>
      <c r="BRG600" s="53"/>
      <c r="BRN600" s="15"/>
      <c r="BRO600" s="50"/>
      <c r="BRP600" s="50"/>
      <c r="BRQ600" s="46"/>
      <c r="BRR600" s="47"/>
      <c r="BRS600" s="46"/>
      <c r="BRT600" s="48"/>
      <c r="BRU600" s="53"/>
      <c r="BSB600" s="15"/>
      <c r="BSC600" s="50"/>
      <c r="BSD600" s="50"/>
      <c r="BSE600" s="46"/>
      <c r="BSF600" s="47"/>
      <c r="BSG600" s="46"/>
      <c r="BSH600" s="48"/>
      <c r="BSI600" s="53"/>
      <c r="BSP600" s="15"/>
      <c r="BSQ600" s="50"/>
      <c r="BSR600" s="50"/>
      <c r="BSS600" s="46"/>
      <c r="BST600" s="47"/>
      <c r="BSU600" s="46"/>
      <c r="BSV600" s="48"/>
      <c r="BSW600" s="53"/>
      <c r="BTD600" s="15"/>
      <c r="BTE600" s="50"/>
      <c r="BTF600" s="50"/>
      <c r="BTG600" s="46"/>
      <c r="BTH600" s="47"/>
      <c r="BTI600" s="46"/>
      <c r="BTJ600" s="48"/>
      <c r="BTK600" s="53"/>
      <c r="BTR600" s="15"/>
      <c r="BTS600" s="50"/>
      <c r="BTT600" s="50"/>
      <c r="BTU600" s="46"/>
      <c r="BTV600" s="47"/>
      <c r="BTW600" s="46"/>
      <c r="BTX600" s="48"/>
      <c r="BTY600" s="53"/>
      <c r="BUF600" s="15"/>
      <c r="BUG600" s="50"/>
      <c r="BUH600" s="50"/>
      <c r="BUI600" s="46"/>
      <c r="BUJ600" s="47"/>
      <c r="BUK600" s="46"/>
      <c r="BUL600" s="48"/>
      <c r="BUM600" s="53"/>
      <c r="BUT600" s="15"/>
      <c r="BUU600" s="50"/>
      <c r="BUV600" s="50"/>
      <c r="BUW600" s="46"/>
      <c r="BUX600" s="47"/>
      <c r="BUY600" s="46"/>
      <c r="BUZ600" s="48"/>
      <c r="BVA600" s="53"/>
      <c r="BVH600" s="15"/>
      <c r="BVI600" s="50"/>
      <c r="BVJ600" s="50"/>
      <c r="BVK600" s="46"/>
      <c r="BVL600" s="47"/>
      <c r="BVM600" s="46"/>
      <c r="BVN600" s="48"/>
      <c r="BVO600" s="53"/>
      <c r="BVV600" s="15"/>
      <c r="BVW600" s="50"/>
      <c r="BVX600" s="50"/>
      <c r="BVY600" s="46"/>
      <c r="BVZ600" s="47"/>
      <c r="BWA600" s="46"/>
      <c r="BWB600" s="48"/>
      <c r="BWC600" s="53"/>
      <c r="BWJ600" s="15"/>
      <c r="BWK600" s="50"/>
      <c r="BWL600" s="50"/>
      <c r="BWM600" s="46"/>
      <c r="BWN600" s="47"/>
      <c r="BWO600" s="46"/>
      <c r="BWP600" s="48"/>
      <c r="BWQ600" s="53"/>
      <c r="BWX600" s="15"/>
      <c r="BWY600" s="50"/>
      <c r="BWZ600" s="50"/>
      <c r="BXA600" s="46"/>
      <c r="BXB600" s="47"/>
      <c r="BXC600" s="46"/>
      <c r="BXD600" s="48"/>
      <c r="BXE600" s="53"/>
      <c r="BXL600" s="15"/>
      <c r="BXM600" s="50"/>
      <c r="BXN600" s="50"/>
      <c r="BXO600" s="46"/>
      <c r="BXP600" s="47"/>
      <c r="BXQ600" s="46"/>
      <c r="BXR600" s="48"/>
      <c r="BXS600" s="53"/>
      <c r="BXZ600" s="15"/>
      <c r="BYA600" s="50"/>
      <c r="BYB600" s="50"/>
      <c r="BYC600" s="46"/>
      <c r="BYD600" s="47"/>
      <c r="BYE600" s="46"/>
      <c r="BYF600" s="48"/>
      <c r="BYG600" s="53"/>
      <c r="BYN600" s="15"/>
      <c r="BYO600" s="50"/>
      <c r="BYP600" s="50"/>
      <c r="BYQ600" s="46"/>
      <c r="BYR600" s="47"/>
      <c r="BYS600" s="46"/>
      <c r="BYT600" s="48"/>
      <c r="BYU600" s="53"/>
      <c r="BZB600" s="15"/>
      <c r="BZC600" s="50"/>
      <c r="BZD600" s="50"/>
      <c r="BZE600" s="46"/>
      <c r="BZF600" s="47"/>
      <c r="BZG600" s="46"/>
      <c r="BZH600" s="48"/>
      <c r="BZI600" s="53"/>
      <c r="BZP600" s="15"/>
      <c r="BZQ600" s="50"/>
      <c r="BZR600" s="50"/>
      <c r="BZS600" s="46"/>
      <c r="BZT600" s="47"/>
      <c r="BZU600" s="46"/>
      <c r="BZV600" s="48"/>
      <c r="BZW600" s="53"/>
      <c r="CAD600" s="15"/>
      <c r="CAE600" s="50"/>
      <c r="CAF600" s="50"/>
      <c r="CAG600" s="46"/>
      <c r="CAH600" s="47"/>
      <c r="CAI600" s="46"/>
      <c r="CAJ600" s="48"/>
      <c r="CAK600" s="53"/>
      <c r="CAR600" s="15"/>
      <c r="CAS600" s="50"/>
      <c r="CAT600" s="50"/>
      <c r="CAU600" s="46"/>
      <c r="CAV600" s="47"/>
      <c r="CAW600" s="46"/>
      <c r="CAX600" s="48"/>
      <c r="CAY600" s="53"/>
      <c r="CBF600" s="15"/>
      <c r="CBG600" s="50"/>
      <c r="CBH600" s="50"/>
      <c r="CBI600" s="46"/>
      <c r="CBJ600" s="47"/>
      <c r="CBK600" s="46"/>
      <c r="CBL600" s="48"/>
      <c r="CBM600" s="53"/>
      <c r="CBT600" s="15"/>
      <c r="CBU600" s="50"/>
      <c r="CBV600" s="50"/>
      <c r="CBW600" s="46"/>
      <c r="CBX600" s="47"/>
      <c r="CBY600" s="46"/>
      <c r="CBZ600" s="48"/>
      <c r="CCA600" s="53"/>
      <c r="CCH600" s="15"/>
      <c r="CCI600" s="50"/>
      <c r="CCJ600" s="50"/>
      <c r="CCK600" s="46"/>
      <c r="CCL600" s="47"/>
      <c r="CCM600" s="46"/>
      <c r="CCN600" s="48"/>
      <c r="CCO600" s="53"/>
      <c r="CCV600" s="15"/>
      <c r="CCW600" s="50"/>
      <c r="CCX600" s="50"/>
      <c r="CCY600" s="46"/>
      <c r="CCZ600" s="47"/>
      <c r="CDA600" s="46"/>
      <c r="CDB600" s="48"/>
      <c r="CDC600" s="53"/>
      <c r="CDJ600" s="15"/>
      <c r="CDK600" s="50"/>
      <c r="CDL600" s="50"/>
      <c r="CDM600" s="46"/>
      <c r="CDN600" s="47"/>
      <c r="CDO600" s="46"/>
      <c r="CDP600" s="48"/>
      <c r="CDQ600" s="53"/>
      <c r="CDX600" s="15"/>
      <c r="CDY600" s="50"/>
      <c r="CDZ600" s="50"/>
      <c r="CEA600" s="46"/>
      <c r="CEB600" s="47"/>
      <c r="CEC600" s="46"/>
      <c r="CED600" s="48"/>
      <c r="CEE600" s="53"/>
      <c r="CEL600" s="15"/>
      <c r="CEM600" s="50"/>
      <c r="CEN600" s="50"/>
      <c r="CEO600" s="46"/>
      <c r="CEP600" s="47"/>
      <c r="CEQ600" s="46"/>
      <c r="CER600" s="48"/>
      <c r="CES600" s="53"/>
      <c r="CEZ600" s="15"/>
      <c r="CFA600" s="50"/>
      <c r="CFB600" s="50"/>
      <c r="CFC600" s="46"/>
      <c r="CFD600" s="47"/>
      <c r="CFE600" s="46"/>
      <c r="CFF600" s="48"/>
      <c r="CFG600" s="53"/>
      <c r="CFN600" s="15"/>
      <c r="CFO600" s="50"/>
      <c r="CFP600" s="50"/>
      <c r="CFQ600" s="46"/>
      <c r="CFR600" s="47"/>
      <c r="CFS600" s="46"/>
      <c r="CFT600" s="48"/>
      <c r="CFU600" s="53"/>
      <c r="CGB600" s="15"/>
      <c r="CGC600" s="50"/>
      <c r="CGD600" s="50"/>
      <c r="CGE600" s="46"/>
      <c r="CGF600" s="47"/>
      <c r="CGG600" s="46"/>
      <c r="CGH600" s="48"/>
      <c r="CGI600" s="53"/>
      <c r="CGP600" s="15"/>
      <c r="CGQ600" s="50"/>
      <c r="CGR600" s="50"/>
      <c r="CGS600" s="46"/>
      <c r="CGT600" s="47"/>
      <c r="CGU600" s="46"/>
      <c r="CGV600" s="48"/>
      <c r="CGW600" s="53"/>
      <c r="CHD600" s="15"/>
      <c r="CHE600" s="50"/>
      <c r="CHF600" s="50"/>
      <c r="CHG600" s="46"/>
      <c r="CHH600" s="47"/>
      <c r="CHI600" s="46"/>
      <c r="CHJ600" s="48"/>
      <c r="CHK600" s="53"/>
      <c r="CHR600" s="15"/>
      <c r="CHS600" s="50"/>
      <c r="CHT600" s="50"/>
      <c r="CHU600" s="46"/>
      <c r="CHV600" s="47"/>
      <c r="CHW600" s="46"/>
      <c r="CHX600" s="48"/>
      <c r="CHY600" s="53"/>
      <c r="CIF600" s="15"/>
      <c r="CIG600" s="50"/>
      <c r="CIH600" s="50"/>
      <c r="CII600" s="46"/>
      <c r="CIJ600" s="47"/>
      <c r="CIK600" s="46"/>
      <c r="CIL600" s="48"/>
      <c r="CIM600" s="53"/>
      <c r="CIT600" s="15"/>
      <c r="CIU600" s="50"/>
      <c r="CIV600" s="50"/>
      <c r="CIW600" s="46"/>
      <c r="CIX600" s="47"/>
      <c r="CIY600" s="46"/>
      <c r="CIZ600" s="48"/>
      <c r="CJA600" s="53"/>
      <c r="CJH600" s="15"/>
      <c r="CJI600" s="50"/>
      <c r="CJJ600" s="50"/>
      <c r="CJK600" s="46"/>
      <c r="CJL600" s="47"/>
      <c r="CJM600" s="46"/>
      <c r="CJN600" s="48"/>
      <c r="CJO600" s="53"/>
      <c r="CJV600" s="15"/>
      <c r="CJW600" s="50"/>
      <c r="CJX600" s="50"/>
      <c r="CJY600" s="46"/>
      <c r="CJZ600" s="47"/>
      <c r="CKA600" s="46"/>
      <c r="CKB600" s="48"/>
      <c r="CKC600" s="53"/>
      <c r="CKJ600" s="15"/>
      <c r="CKK600" s="50"/>
      <c r="CKL600" s="50"/>
      <c r="CKM600" s="46"/>
      <c r="CKN600" s="47"/>
      <c r="CKO600" s="46"/>
      <c r="CKP600" s="48"/>
      <c r="CKQ600" s="53"/>
      <c r="CKX600" s="15"/>
      <c r="CKY600" s="50"/>
      <c r="CKZ600" s="50"/>
      <c r="CLA600" s="46"/>
      <c r="CLB600" s="47"/>
      <c r="CLC600" s="46"/>
      <c r="CLD600" s="48"/>
      <c r="CLE600" s="53"/>
      <c r="CLL600" s="15"/>
      <c r="CLM600" s="50"/>
      <c r="CLN600" s="50"/>
      <c r="CLO600" s="46"/>
      <c r="CLP600" s="47"/>
      <c r="CLQ600" s="46"/>
      <c r="CLR600" s="48"/>
      <c r="CLS600" s="53"/>
      <c r="CLZ600" s="15"/>
      <c r="CMA600" s="50"/>
      <c r="CMB600" s="50"/>
      <c r="CMC600" s="46"/>
      <c r="CMD600" s="47"/>
      <c r="CME600" s="46"/>
      <c r="CMF600" s="48"/>
      <c r="CMG600" s="53"/>
      <c r="CMN600" s="15"/>
      <c r="CMO600" s="50"/>
      <c r="CMP600" s="50"/>
      <c r="CMQ600" s="46"/>
      <c r="CMR600" s="47"/>
      <c r="CMS600" s="46"/>
      <c r="CMT600" s="48"/>
      <c r="CMU600" s="53"/>
      <c r="CNB600" s="15"/>
      <c r="CNC600" s="50"/>
      <c r="CND600" s="50"/>
      <c r="CNE600" s="46"/>
      <c r="CNF600" s="47"/>
      <c r="CNG600" s="46"/>
      <c r="CNH600" s="48"/>
      <c r="CNI600" s="53"/>
      <c r="CNP600" s="15"/>
      <c r="CNQ600" s="50"/>
      <c r="CNR600" s="50"/>
      <c r="CNS600" s="46"/>
      <c r="CNT600" s="47"/>
      <c r="CNU600" s="46"/>
      <c r="CNV600" s="48"/>
      <c r="CNW600" s="53"/>
      <c r="COD600" s="15"/>
      <c r="COE600" s="50"/>
      <c r="COF600" s="50"/>
      <c r="COG600" s="46"/>
      <c r="COH600" s="47"/>
      <c r="COI600" s="46"/>
      <c r="COJ600" s="48"/>
      <c r="COK600" s="53"/>
      <c r="COR600" s="15"/>
      <c r="COS600" s="50"/>
      <c r="COT600" s="50"/>
      <c r="COU600" s="46"/>
      <c r="COV600" s="47"/>
      <c r="COW600" s="46"/>
      <c r="COX600" s="48"/>
      <c r="COY600" s="53"/>
      <c r="CPF600" s="15"/>
      <c r="CPG600" s="50"/>
      <c r="CPH600" s="50"/>
      <c r="CPI600" s="46"/>
      <c r="CPJ600" s="47"/>
      <c r="CPK600" s="46"/>
      <c r="CPL600" s="48"/>
      <c r="CPM600" s="53"/>
      <c r="CPT600" s="15"/>
      <c r="CPU600" s="50"/>
      <c r="CPV600" s="50"/>
      <c r="CPW600" s="46"/>
      <c r="CPX600" s="47"/>
      <c r="CPY600" s="46"/>
      <c r="CPZ600" s="48"/>
      <c r="CQA600" s="53"/>
      <c r="CQH600" s="15"/>
      <c r="CQI600" s="50"/>
      <c r="CQJ600" s="50"/>
      <c r="CQK600" s="46"/>
      <c r="CQL600" s="47"/>
      <c r="CQM600" s="46"/>
      <c r="CQN600" s="48"/>
      <c r="CQO600" s="53"/>
      <c r="CQV600" s="15"/>
      <c r="CQW600" s="50"/>
      <c r="CQX600" s="50"/>
      <c r="CQY600" s="46"/>
      <c r="CQZ600" s="47"/>
      <c r="CRA600" s="46"/>
      <c r="CRB600" s="48"/>
      <c r="CRC600" s="53"/>
      <c r="CRJ600" s="15"/>
      <c r="CRK600" s="50"/>
      <c r="CRL600" s="50"/>
      <c r="CRM600" s="46"/>
      <c r="CRN600" s="47"/>
      <c r="CRO600" s="46"/>
      <c r="CRP600" s="48"/>
      <c r="CRQ600" s="53"/>
      <c r="CRX600" s="15"/>
      <c r="CRY600" s="50"/>
      <c r="CRZ600" s="50"/>
      <c r="CSA600" s="46"/>
      <c r="CSB600" s="47"/>
      <c r="CSC600" s="46"/>
      <c r="CSD600" s="48"/>
      <c r="CSE600" s="53"/>
      <c r="CSL600" s="15"/>
      <c r="CSM600" s="50"/>
      <c r="CSN600" s="50"/>
      <c r="CSO600" s="46"/>
      <c r="CSP600" s="47"/>
      <c r="CSQ600" s="46"/>
      <c r="CSR600" s="48"/>
      <c r="CSS600" s="53"/>
      <c r="CSZ600" s="15"/>
      <c r="CTA600" s="50"/>
      <c r="CTB600" s="50"/>
      <c r="CTC600" s="46"/>
      <c r="CTD600" s="47"/>
      <c r="CTE600" s="46"/>
      <c r="CTF600" s="48"/>
      <c r="CTG600" s="53"/>
      <c r="CTN600" s="15"/>
      <c r="CTO600" s="50"/>
      <c r="CTP600" s="50"/>
      <c r="CTQ600" s="46"/>
      <c r="CTR600" s="47"/>
      <c r="CTS600" s="46"/>
      <c r="CTT600" s="48"/>
      <c r="CTU600" s="53"/>
      <c r="CUB600" s="15"/>
      <c r="CUC600" s="50"/>
      <c r="CUD600" s="50"/>
      <c r="CUE600" s="46"/>
      <c r="CUF600" s="47"/>
      <c r="CUG600" s="46"/>
      <c r="CUH600" s="48"/>
      <c r="CUI600" s="53"/>
      <c r="CUP600" s="15"/>
      <c r="CUQ600" s="50"/>
      <c r="CUR600" s="50"/>
      <c r="CUS600" s="46"/>
      <c r="CUT600" s="47"/>
      <c r="CUU600" s="46"/>
      <c r="CUV600" s="48"/>
      <c r="CUW600" s="53"/>
      <c r="CVD600" s="15"/>
      <c r="CVE600" s="50"/>
      <c r="CVF600" s="50"/>
      <c r="CVG600" s="46"/>
      <c r="CVH600" s="47"/>
      <c r="CVI600" s="46"/>
      <c r="CVJ600" s="48"/>
      <c r="CVK600" s="53"/>
      <c r="CVR600" s="15"/>
      <c r="CVS600" s="50"/>
      <c r="CVT600" s="50"/>
      <c r="CVU600" s="46"/>
      <c r="CVV600" s="47"/>
      <c r="CVW600" s="46"/>
      <c r="CVX600" s="48"/>
      <c r="CVY600" s="53"/>
      <c r="CWF600" s="15"/>
      <c r="CWG600" s="50"/>
      <c r="CWH600" s="50"/>
      <c r="CWI600" s="46"/>
      <c r="CWJ600" s="47"/>
      <c r="CWK600" s="46"/>
      <c r="CWL600" s="48"/>
      <c r="CWM600" s="53"/>
      <c r="CWT600" s="15"/>
      <c r="CWU600" s="50"/>
      <c r="CWV600" s="50"/>
      <c r="CWW600" s="46"/>
      <c r="CWX600" s="47"/>
      <c r="CWY600" s="46"/>
      <c r="CWZ600" s="48"/>
      <c r="CXA600" s="53"/>
      <c r="CXH600" s="15"/>
      <c r="CXI600" s="50"/>
      <c r="CXJ600" s="50"/>
      <c r="CXK600" s="46"/>
      <c r="CXL600" s="47"/>
      <c r="CXM600" s="46"/>
      <c r="CXN600" s="48"/>
      <c r="CXO600" s="53"/>
      <c r="CXV600" s="15"/>
      <c r="CXW600" s="50"/>
      <c r="CXX600" s="50"/>
      <c r="CXY600" s="46"/>
      <c r="CXZ600" s="47"/>
      <c r="CYA600" s="46"/>
      <c r="CYB600" s="48"/>
      <c r="CYC600" s="53"/>
      <c r="CYJ600" s="15"/>
      <c r="CYK600" s="50"/>
      <c r="CYL600" s="50"/>
      <c r="CYM600" s="46"/>
      <c r="CYN600" s="47"/>
      <c r="CYO600" s="46"/>
      <c r="CYP600" s="48"/>
      <c r="CYQ600" s="53"/>
      <c r="CYX600" s="15"/>
      <c r="CYY600" s="50"/>
      <c r="CYZ600" s="50"/>
      <c r="CZA600" s="46"/>
      <c r="CZB600" s="47"/>
      <c r="CZC600" s="46"/>
      <c r="CZD600" s="48"/>
      <c r="CZE600" s="53"/>
      <c r="CZL600" s="15"/>
      <c r="CZM600" s="50"/>
      <c r="CZN600" s="50"/>
      <c r="CZO600" s="46"/>
      <c r="CZP600" s="47"/>
      <c r="CZQ600" s="46"/>
      <c r="CZR600" s="48"/>
      <c r="CZS600" s="53"/>
      <c r="CZZ600" s="15"/>
      <c r="DAA600" s="50"/>
      <c r="DAB600" s="50"/>
      <c r="DAC600" s="46"/>
      <c r="DAD600" s="47"/>
      <c r="DAE600" s="46"/>
      <c r="DAF600" s="48"/>
      <c r="DAG600" s="53"/>
      <c r="DAN600" s="15"/>
      <c r="DAO600" s="50"/>
      <c r="DAP600" s="50"/>
      <c r="DAQ600" s="46"/>
      <c r="DAR600" s="47"/>
      <c r="DAS600" s="46"/>
      <c r="DAT600" s="48"/>
      <c r="DAU600" s="53"/>
      <c r="DBB600" s="15"/>
      <c r="DBC600" s="50"/>
      <c r="DBD600" s="50"/>
      <c r="DBE600" s="46"/>
      <c r="DBF600" s="47"/>
      <c r="DBG600" s="46"/>
      <c r="DBH600" s="48"/>
      <c r="DBI600" s="53"/>
      <c r="DBP600" s="15"/>
      <c r="DBQ600" s="50"/>
      <c r="DBR600" s="50"/>
      <c r="DBS600" s="46"/>
      <c r="DBT600" s="47"/>
      <c r="DBU600" s="46"/>
      <c r="DBV600" s="48"/>
      <c r="DBW600" s="53"/>
      <c r="DCD600" s="15"/>
      <c r="DCE600" s="50"/>
      <c r="DCF600" s="50"/>
      <c r="DCG600" s="46"/>
      <c r="DCH600" s="47"/>
      <c r="DCI600" s="46"/>
      <c r="DCJ600" s="48"/>
      <c r="DCK600" s="53"/>
      <c r="DCR600" s="15"/>
      <c r="DCS600" s="50"/>
      <c r="DCT600" s="50"/>
      <c r="DCU600" s="46"/>
      <c r="DCV600" s="47"/>
      <c r="DCW600" s="46"/>
      <c r="DCX600" s="48"/>
      <c r="DCY600" s="53"/>
      <c r="DDF600" s="15"/>
      <c r="DDG600" s="50"/>
      <c r="DDH600" s="50"/>
      <c r="DDI600" s="46"/>
      <c r="DDJ600" s="47"/>
      <c r="DDK600" s="46"/>
      <c r="DDL600" s="48"/>
      <c r="DDM600" s="53"/>
      <c r="DDT600" s="15"/>
      <c r="DDU600" s="50"/>
      <c r="DDV600" s="50"/>
      <c r="DDW600" s="46"/>
      <c r="DDX600" s="47"/>
      <c r="DDY600" s="46"/>
      <c r="DDZ600" s="48"/>
      <c r="DEA600" s="53"/>
      <c r="DEH600" s="15"/>
      <c r="DEI600" s="50"/>
      <c r="DEJ600" s="50"/>
      <c r="DEK600" s="46"/>
      <c r="DEL600" s="47"/>
      <c r="DEM600" s="46"/>
      <c r="DEN600" s="48"/>
      <c r="DEO600" s="53"/>
      <c r="DEV600" s="15"/>
      <c r="DEW600" s="50"/>
      <c r="DEX600" s="50"/>
      <c r="DEY600" s="46"/>
      <c r="DEZ600" s="47"/>
      <c r="DFA600" s="46"/>
      <c r="DFB600" s="48"/>
      <c r="DFC600" s="53"/>
      <c r="DFJ600" s="15"/>
      <c r="DFK600" s="50"/>
      <c r="DFL600" s="50"/>
      <c r="DFM600" s="46"/>
      <c r="DFN600" s="47"/>
      <c r="DFO600" s="46"/>
      <c r="DFP600" s="48"/>
      <c r="DFQ600" s="53"/>
      <c r="DFX600" s="15"/>
      <c r="DFY600" s="50"/>
      <c r="DFZ600" s="50"/>
      <c r="DGA600" s="46"/>
      <c r="DGB600" s="47"/>
      <c r="DGC600" s="46"/>
      <c r="DGD600" s="48"/>
      <c r="DGE600" s="53"/>
      <c r="DGL600" s="15"/>
      <c r="DGM600" s="50"/>
      <c r="DGN600" s="50"/>
      <c r="DGO600" s="46"/>
      <c r="DGP600" s="47"/>
      <c r="DGQ600" s="46"/>
      <c r="DGR600" s="48"/>
      <c r="DGS600" s="53"/>
      <c r="DGZ600" s="15"/>
      <c r="DHA600" s="50"/>
      <c r="DHB600" s="50"/>
      <c r="DHC600" s="46"/>
      <c r="DHD600" s="47"/>
      <c r="DHE600" s="46"/>
      <c r="DHF600" s="48"/>
      <c r="DHG600" s="53"/>
      <c r="DHN600" s="15"/>
      <c r="DHO600" s="50"/>
      <c r="DHP600" s="50"/>
      <c r="DHQ600" s="46"/>
      <c r="DHR600" s="47"/>
      <c r="DHS600" s="46"/>
      <c r="DHT600" s="48"/>
      <c r="DHU600" s="53"/>
      <c r="DIB600" s="15"/>
      <c r="DIC600" s="50"/>
      <c r="DID600" s="50"/>
      <c r="DIE600" s="46"/>
      <c r="DIF600" s="47"/>
      <c r="DIG600" s="46"/>
      <c r="DIH600" s="48"/>
      <c r="DII600" s="53"/>
      <c r="DIP600" s="15"/>
      <c r="DIQ600" s="50"/>
      <c r="DIR600" s="50"/>
      <c r="DIS600" s="46"/>
      <c r="DIT600" s="47"/>
      <c r="DIU600" s="46"/>
      <c r="DIV600" s="48"/>
      <c r="DIW600" s="53"/>
      <c r="DJD600" s="15"/>
      <c r="DJE600" s="50"/>
      <c r="DJF600" s="50"/>
      <c r="DJG600" s="46"/>
      <c r="DJH600" s="47"/>
      <c r="DJI600" s="46"/>
      <c r="DJJ600" s="48"/>
      <c r="DJK600" s="53"/>
      <c r="DJR600" s="15"/>
      <c r="DJS600" s="50"/>
      <c r="DJT600" s="50"/>
      <c r="DJU600" s="46"/>
      <c r="DJV600" s="47"/>
      <c r="DJW600" s="46"/>
      <c r="DJX600" s="48"/>
      <c r="DJY600" s="53"/>
      <c r="DKF600" s="15"/>
      <c r="DKG600" s="50"/>
      <c r="DKH600" s="50"/>
      <c r="DKI600" s="46"/>
      <c r="DKJ600" s="47"/>
      <c r="DKK600" s="46"/>
      <c r="DKL600" s="48"/>
      <c r="DKM600" s="53"/>
      <c r="DKT600" s="15"/>
      <c r="DKU600" s="50"/>
      <c r="DKV600" s="50"/>
      <c r="DKW600" s="46"/>
      <c r="DKX600" s="47"/>
      <c r="DKY600" s="46"/>
      <c r="DKZ600" s="48"/>
      <c r="DLA600" s="53"/>
      <c r="DLH600" s="15"/>
      <c r="DLI600" s="50"/>
      <c r="DLJ600" s="50"/>
      <c r="DLK600" s="46"/>
      <c r="DLL600" s="47"/>
      <c r="DLM600" s="46"/>
      <c r="DLN600" s="48"/>
      <c r="DLO600" s="53"/>
      <c r="DLV600" s="15"/>
      <c r="DLW600" s="50"/>
      <c r="DLX600" s="50"/>
      <c r="DLY600" s="46"/>
      <c r="DLZ600" s="47"/>
      <c r="DMA600" s="46"/>
      <c r="DMB600" s="48"/>
      <c r="DMC600" s="53"/>
      <c r="DMJ600" s="15"/>
      <c r="DMK600" s="50"/>
      <c r="DML600" s="50"/>
      <c r="DMM600" s="46"/>
      <c r="DMN600" s="47"/>
      <c r="DMO600" s="46"/>
      <c r="DMP600" s="48"/>
      <c r="DMQ600" s="53"/>
      <c r="DMX600" s="15"/>
      <c r="DMY600" s="50"/>
      <c r="DMZ600" s="50"/>
      <c r="DNA600" s="46"/>
      <c r="DNB600" s="47"/>
      <c r="DNC600" s="46"/>
      <c r="DND600" s="48"/>
      <c r="DNE600" s="53"/>
      <c r="DNL600" s="15"/>
      <c r="DNM600" s="50"/>
      <c r="DNN600" s="50"/>
      <c r="DNO600" s="46"/>
      <c r="DNP600" s="47"/>
      <c r="DNQ600" s="46"/>
      <c r="DNR600" s="48"/>
      <c r="DNS600" s="53"/>
      <c r="DNZ600" s="15"/>
      <c r="DOA600" s="50"/>
      <c r="DOB600" s="50"/>
      <c r="DOC600" s="46"/>
      <c r="DOD600" s="47"/>
      <c r="DOE600" s="46"/>
      <c r="DOF600" s="48"/>
      <c r="DOG600" s="53"/>
      <c r="DON600" s="15"/>
      <c r="DOO600" s="50"/>
      <c r="DOP600" s="50"/>
      <c r="DOQ600" s="46"/>
      <c r="DOR600" s="47"/>
      <c r="DOS600" s="46"/>
      <c r="DOT600" s="48"/>
      <c r="DOU600" s="53"/>
      <c r="DPB600" s="15"/>
      <c r="DPC600" s="50"/>
      <c r="DPD600" s="50"/>
      <c r="DPE600" s="46"/>
      <c r="DPF600" s="47"/>
      <c r="DPG600" s="46"/>
      <c r="DPH600" s="48"/>
      <c r="DPI600" s="53"/>
      <c r="DPP600" s="15"/>
      <c r="DPQ600" s="50"/>
      <c r="DPR600" s="50"/>
      <c r="DPS600" s="46"/>
      <c r="DPT600" s="47"/>
      <c r="DPU600" s="46"/>
      <c r="DPV600" s="48"/>
      <c r="DPW600" s="53"/>
      <c r="DQD600" s="15"/>
      <c r="DQE600" s="50"/>
      <c r="DQF600" s="50"/>
      <c r="DQG600" s="46"/>
      <c r="DQH600" s="47"/>
      <c r="DQI600" s="46"/>
      <c r="DQJ600" s="48"/>
      <c r="DQK600" s="53"/>
      <c r="DQR600" s="15"/>
      <c r="DQS600" s="50"/>
      <c r="DQT600" s="50"/>
      <c r="DQU600" s="46"/>
      <c r="DQV600" s="47"/>
      <c r="DQW600" s="46"/>
      <c r="DQX600" s="48"/>
      <c r="DQY600" s="53"/>
      <c r="DRF600" s="15"/>
      <c r="DRG600" s="50"/>
      <c r="DRH600" s="50"/>
      <c r="DRI600" s="46"/>
      <c r="DRJ600" s="47"/>
      <c r="DRK600" s="46"/>
      <c r="DRL600" s="48"/>
      <c r="DRM600" s="53"/>
      <c r="DRT600" s="15"/>
      <c r="DRU600" s="50"/>
      <c r="DRV600" s="50"/>
      <c r="DRW600" s="46"/>
      <c r="DRX600" s="47"/>
      <c r="DRY600" s="46"/>
      <c r="DRZ600" s="48"/>
      <c r="DSA600" s="53"/>
      <c r="DSH600" s="15"/>
      <c r="DSI600" s="50"/>
      <c r="DSJ600" s="50"/>
      <c r="DSK600" s="46"/>
      <c r="DSL600" s="47"/>
      <c r="DSM600" s="46"/>
      <c r="DSN600" s="48"/>
      <c r="DSO600" s="53"/>
      <c r="DSV600" s="15"/>
      <c r="DSW600" s="50"/>
      <c r="DSX600" s="50"/>
      <c r="DSY600" s="46"/>
      <c r="DSZ600" s="47"/>
      <c r="DTA600" s="46"/>
      <c r="DTB600" s="48"/>
      <c r="DTC600" s="53"/>
      <c r="DTJ600" s="15"/>
      <c r="DTK600" s="50"/>
      <c r="DTL600" s="50"/>
      <c r="DTM600" s="46"/>
      <c r="DTN600" s="47"/>
      <c r="DTO600" s="46"/>
      <c r="DTP600" s="48"/>
      <c r="DTQ600" s="53"/>
      <c r="DTX600" s="15"/>
      <c r="DTY600" s="50"/>
      <c r="DTZ600" s="50"/>
      <c r="DUA600" s="46"/>
      <c r="DUB600" s="47"/>
      <c r="DUC600" s="46"/>
      <c r="DUD600" s="48"/>
      <c r="DUE600" s="53"/>
      <c r="DUL600" s="15"/>
      <c r="DUM600" s="50"/>
      <c r="DUN600" s="50"/>
      <c r="DUO600" s="46"/>
      <c r="DUP600" s="47"/>
      <c r="DUQ600" s="46"/>
      <c r="DUR600" s="48"/>
      <c r="DUS600" s="53"/>
      <c r="DUZ600" s="15"/>
      <c r="DVA600" s="50"/>
      <c r="DVB600" s="50"/>
      <c r="DVC600" s="46"/>
      <c r="DVD600" s="47"/>
      <c r="DVE600" s="46"/>
      <c r="DVF600" s="48"/>
      <c r="DVG600" s="53"/>
      <c r="DVN600" s="15"/>
      <c r="DVO600" s="50"/>
      <c r="DVP600" s="50"/>
      <c r="DVQ600" s="46"/>
      <c r="DVR600" s="47"/>
      <c r="DVS600" s="46"/>
      <c r="DVT600" s="48"/>
      <c r="DVU600" s="53"/>
      <c r="DWB600" s="15"/>
      <c r="DWC600" s="50"/>
      <c r="DWD600" s="50"/>
      <c r="DWE600" s="46"/>
      <c r="DWF600" s="47"/>
      <c r="DWG600" s="46"/>
      <c r="DWH600" s="48"/>
      <c r="DWI600" s="53"/>
      <c r="DWP600" s="15"/>
      <c r="DWQ600" s="50"/>
      <c r="DWR600" s="50"/>
      <c r="DWS600" s="46"/>
      <c r="DWT600" s="47"/>
      <c r="DWU600" s="46"/>
      <c r="DWV600" s="48"/>
      <c r="DWW600" s="53"/>
      <c r="DXD600" s="15"/>
      <c r="DXE600" s="50"/>
      <c r="DXF600" s="50"/>
      <c r="DXG600" s="46"/>
      <c r="DXH600" s="47"/>
      <c r="DXI600" s="46"/>
      <c r="DXJ600" s="48"/>
      <c r="DXK600" s="53"/>
      <c r="DXR600" s="15"/>
      <c r="DXS600" s="50"/>
      <c r="DXT600" s="50"/>
      <c r="DXU600" s="46"/>
      <c r="DXV600" s="47"/>
      <c r="DXW600" s="46"/>
      <c r="DXX600" s="48"/>
      <c r="DXY600" s="53"/>
      <c r="DYF600" s="15"/>
      <c r="DYG600" s="50"/>
      <c r="DYH600" s="50"/>
      <c r="DYI600" s="46"/>
      <c r="DYJ600" s="47"/>
      <c r="DYK600" s="46"/>
      <c r="DYL600" s="48"/>
      <c r="DYM600" s="53"/>
      <c r="DYT600" s="15"/>
      <c r="DYU600" s="50"/>
      <c r="DYV600" s="50"/>
      <c r="DYW600" s="46"/>
      <c r="DYX600" s="47"/>
      <c r="DYY600" s="46"/>
      <c r="DYZ600" s="48"/>
      <c r="DZA600" s="53"/>
      <c r="DZH600" s="15"/>
      <c r="DZI600" s="50"/>
      <c r="DZJ600" s="50"/>
      <c r="DZK600" s="46"/>
      <c r="DZL600" s="47"/>
      <c r="DZM600" s="46"/>
      <c r="DZN600" s="48"/>
      <c r="DZO600" s="53"/>
      <c r="DZV600" s="15"/>
      <c r="DZW600" s="50"/>
      <c r="DZX600" s="50"/>
      <c r="DZY600" s="46"/>
      <c r="DZZ600" s="47"/>
      <c r="EAA600" s="46"/>
      <c r="EAB600" s="48"/>
      <c r="EAC600" s="53"/>
      <c r="EAJ600" s="15"/>
      <c r="EAK600" s="50"/>
      <c r="EAL600" s="50"/>
      <c r="EAM600" s="46"/>
      <c r="EAN600" s="47"/>
      <c r="EAO600" s="46"/>
      <c r="EAP600" s="48"/>
      <c r="EAQ600" s="53"/>
      <c r="EAX600" s="15"/>
      <c r="EAY600" s="50"/>
      <c r="EAZ600" s="50"/>
      <c r="EBA600" s="46"/>
      <c r="EBB600" s="47"/>
      <c r="EBC600" s="46"/>
      <c r="EBD600" s="48"/>
      <c r="EBE600" s="53"/>
      <c r="EBL600" s="15"/>
      <c r="EBM600" s="50"/>
      <c r="EBN600" s="50"/>
      <c r="EBO600" s="46"/>
      <c r="EBP600" s="47"/>
      <c r="EBQ600" s="46"/>
      <c r="EBR600" s="48"/>
      <c r="EBS600" s="53"/>
      <c r="EBZ600" s="15"/>
      <c r="ECA600" s="50"/>
      <c r="ECB600" s="50"/>
      <c r="ECC600" s="46"/>
      <c r="ECD600" s="47"/>
      <c r="ECE600" s="46"/>
      <c r="ECF600" s="48"/>
      <c r="ECG600" s="53"/>
      <c r="ECN600" s="15"/>
      <c r="ECO600" s="50"/>
      <c r="ECP600" s="50"/>
      <c r="ECQ600" s="46"/>
      <c r="ECR600" s="47"/>
      <c r="ECS600" s="46"/>
      <c r="ECT600" s="48"/>
      <c r="ECU600" s="53"/>
      <c r="EDB600" s="15"/>
      <c r="EDC600" s="50"/>
      <c r="EDD600" s="50"/>
      <c r="EDE600" s="46"/>
      <c r="EDF600" s="47"/>
      <c r="EDG600" s="46"/>
      <c r="EDH600" s="48"/>
      <c r="EDI600" s="53"/>
      <c r="EDP600" s="15"/>
      <c r="EDQ600" s="50"/>
      <c r="EDR600" s="50"/>
      <c r="EDS600" s="46"/>
      <c r="EDT600" s="47"/>
      <c r="EDU600" s="46"/>
      <c r="EDV600" s="48"/>
      <c r="EDW600" s="53"/>
      <c r="EED600" s="15"/>
      <c r="EEE600" s="50"/>
      <c r="EEF600" s="50"/>
      <c r="EEG600" s="46"/>
      <c r="EEH600" s="47"/>
      <c r="EEI600" s="46"/>
      <c r="EEJ600" s="48"/>
      <c r="EEK600" s="53"/>
      <c r="EER600" s="15"/>
      <c r="EES600" s="50"/>
      <c r="EET600" s="50"/>
      <c r="EEU600" s="46"/>
      <c r="EEV600" s="47"/>
      <c r="EEW600" s="46"/>
      <c r="EEX600" s="48"/>
      <c r="EEY600" s="53"/>
      <c r="EFF600" s="15"/>
      <c r="EFG600" s="50"/>
      <c r="EFH600" s="50"/>
      <c r="EFI600" s="46"/>
      <c r="EFJ600" s="47"/>
      <c r="EFK600" s="46"/>
      <c r="EFL600" s="48"/>
      <c r="EFM600" s="53"/>
      <c r="EFT600" s="15"/>
      <c r="EFU600" s="50"/>
      <c r="EFV600" s="50"/>
      <c r="EFW600" s="46"/>
      <c r="EFX600" s="47"/>
      <c r="EFY600" s="46"/>
      <c r="EFZ600" s="48"/>
      <c r="EGA600" s="53"/>
      <c r="EGH600" s="15"/>
      <c r="EGI600" s="50"/>
      <c r="EGJ600" s="50"/>
      <c r="EGK600" s="46"/>
      <c r="EGL600" s="47"/>
      <c r="EGM600" s="46"/>
      <c r="EGN600" s="48"/>
      <c r="EGO600" s="53"/>
      <c r="EGV600" s="15"/>
      <c r="EGW600" s="50"/>
      <c r="EGX600" s="50"/>
      <c r="EGY600" s="46"/>
      <c r="EGZ600" s="47"/>
      <c r="EHA600" s="46"/>
      <c r="EHB600" s="48"/>
      <c r="EHC600" s="53"/>
      <c r="EHJ600" s="15"/>
      <c r="EHK600" s="50"/>
      <c r="EHL600" s="50"/>
      <c r="EHM600" s="46"/>
      <c r="EHN600" s="47"/>
      <c r="EHO600" s="46"/>
      <c r="EHP600" s="48"/>
      <c r="EHQ600" s="53"/>
      <c r="EHX600" s="15"/>
      <c r="EHY600" s="50"/>
      <c r="EHZ600" s="50"/>
      <c r="EIA600" s="46"/>
      <c r="EIB600" s="47"/>
      <c r="EIC600" s="46"/>
      <c r="EID600" s="48"/>
      <c r="EIE600" s="53"/>
      <c r="EIL600" s="15"/>
      <c r="EIM600" s="50"/>
      <c r="EIN600" s="50"/>
      <c r="EIO600" s="46"/>
      <c r="EIP600" s="47"/>
      <c r="EIQ600" s="46"/>
      <c r="EIR600" s="48"/>
      <c r="EIS600" s="53"/>
      <c r="EIZ600" s="15"/>
      <c r="EJA600" s="50"/>
      <c r="EJB600" s="50"/>
      <c r="EJC600" s="46"/>
      <c r="EJD600" s="47"/>
      <c r="EJE600" s="46"/>
      <c r="EJF600" s="48"/>
      <c r="EJG600" s="53"/>
      <c r="EJN600" s="15"/>
      <c r="EJO600" s="50"/>
      <c r="EJP600" s="50"/>
      <c r="EJQ600" s="46"/>
      <c r="EJR600" s="47"/>
      <c r="EJS600" s="46"/>
      <c r="EJT600" s="48"/>
      <c r="EJU600" s="53"/>
      <c r="EKB600" s="15"/>
      <c r="EKC600" s="50"/>
      <c r="EKD600" s="50"/>
      <c r="EKE600" s="46"/>
      <c r="EKF600" s="47"/>
      <c r="EKG600" s="46"/>
      <c r="EKH600" s="48"/>
      <c r="EKI600" s="53"/>
      <c r="EKP600" s="15"/>
      <c r="EKQ600" s="50"/>
      <c r="EKR600" s="50"/>
      <c r="EKS600" s="46"/>
      <c r="EKT600" s="47"/>
      <c r="EKU600" s="46"/>
      <c r="EKV600" s="48"/>
      <c r="EKW600" s="53"/>
      <c r="ELD600" s="15"/>
      <c r="ELE600" s="50"/>
      <c r="ELF600" s="50"/>
      <c r="ELG600" s="46"/>
      <c r="ELH600" s="47"/>
      <c r="ELI600" s="46"/>
      <c r="ELJ600" s="48"/>
      <c r="ELK600" s="53"/>
      <c r="ELR600" s="15"/>
      <c r="ELS600" s="50"/>
      <c r="ELT600" s="50"/>
      <c r="ELU600" s="46"/>
      <c r="ELV600" s="47"/>
      <c r="ELW600" s="46"/>
      <c r="ELX600" s="48"/>
      <c r="ELY600" s="53"/>
      <c r="EMF600" s="15"/>
      <c r="EMG600" s="50"/>
      <c r="EMH600" s="50"/>
      <c r="EMI600" s="46"/>
      <c r="EMJ600" s="47"/>
      <c r="EMK600" s="46"/>
      <c r="EML600" s="48"/>
      <c r="EMM600" s="53"/>
      <c r="EMT600" s="15"/>
      <c r="EMU600" s="50"/>
      <c r="EMV600" s="50"/>
      <c r="EMW600" s="46"/>
      <c r="EMX600" s="47"/>
      <c r="EMY600" s="46"/>
      <c r="EMZ600" s="48"/>
      <c r="ENA600" s="53"/>
      <c r="ENH600" s="15"/>
      <c r="ENI600" s="50"/>
      <c r="ENJ600" s="50"/>
      <c r="ENK600" s="46"/>
      <c r="ENL600" s="47"/>
      <c r="ENM600" s="46"/>
      <c r="ENN600" s="48"/>
      <c r="ENO600" s="53"/>
      <c r="ENV600" s="15"/>
      <c r="ENW600" s="50"/>
      <c r="ENX600" s="50"/>
      <c r="ENY600" s="46"/>
      <c r="ENZ600" s="47"/>
      <c r="EOA600" s="46"/>
      <c r="EOB600" s="48"/>
      <c r="EOC600" s="53"/>
      <c r="EOJ600" s="15"/>
      <c r="EOK600" s="50"/>
      <c r="EOL600" s="50"/>
      <c r="EOM600" s="46"/>
      <c r="EON600" s="47"/>
      <c r="EOO600" s="46"/>
      <c r="EOP600" s="48"/>
      <c r="EOQ600" s="53"/>
      <c r="EOX600" s="15"/>
      <c r="EOY600" s="50"/>
      <c r="EOZ600" s="50"/>
      <c r="EPA600" s="46"/>
      <c r="EPB600" s="47"/>
      <c r="EPC600" s="46"/>
      <c r="EPD600" s="48"/>
      <c r="EPE600" s="53"/>
      <c r="EPL600" s="15"/>
      <c r="EPM600" s="50"/>
      <c r="EPN600" s="50"/>
      <c r="EPO600" s="46"/>
      <c r="EPP600" s="47"/>
      <c r="EPQ600" s="46"/>
      <c r="EPR600" s="48"/>
      <c r="EPS600" s="53"/>
      <c r="EPZ600" s="15"/>
      <c r="EQA600" s="50"/>
      <c r="EQB600" s="50"/>
      <c r="EQC600" s="46"/>
      <c r="EQD600" s="47"/>
      <c r="EQE600" s="46"/>
      <c r="EQF600" s="48"/>
      <c r="EQG600" s="53"/>
      <c r="EQN600" s="15"/>
      <c r="EQO600" s="50"/>
      <c r="EQP600" s="50"/>
      <c r="EQQ600" s="46"/>
      <c r="EQR600" s="47"/>
      <c r="EQS600" s="46"/>
      <c r="EQT600" s="48"/>
      <c r="EQU600" s="53"/>
      <c r="ERB600" s="15"/>
      <c r="ERC600" s="50"/>
      <c r="ERD600" s="50"/>
      <c r="ERE600" s="46"/>
      <c r="ERF600" s="47"/>
      <c r="ERG600" s="46"/>
      <c r="ERH600" s="48"/>
      <c r="ERI600" s="53"/>
      <c r="ERP600" s="15"/>
      <c r="ERQ600" s="50"/>
      <c r="ERR600" s="50"/>
      <c r="ERS600" s="46"/>
      <c r="ERT600" s="47"/>
      <c r="ERU600" s="46"/>
      <c r="ERV600" s="48"/>
      <c r="ERW600" s="53"/>
      <c r="ESD600" s="15"/>
      <c r="ESE600" s="50"/>
      <c r="ESF600" s="50"/>
      <c r="ESG600" s="46"/>
      <c r="ESH600" s="47"/>
      <c r="ESI600" s="46"/>
      <c r="ESJ600" s="48"/>
      <c r="ESK600" s="53"/>
      <c r="ESR600" s="15"/>
      <c r="ESS600" s="50"/>
      <c r="EST600" s="50"/>
      <c r="ESU600" s="46"/>
      <c r="ESV600" s="47"/>
      <c r="ESW600" s="46"/>
      <c r="ESX600" s="48"/>
      <c r="ESY600" s="53"/>
      <c r="ETF600" s="15"/>
      <c r="ETG600" s="50"/>
      <c r="ETH600" s="50"/>
      <c r="ETI600" s="46"/>
      <c r="ETJ600" s="47"/>
      <c r="ETK600" s="46"/>
      <c r="ETL600" s="48"/>
      <c r="ETM600" s="53"/>
      <c r="ETT600" s="15"/>
      <c r="ETU600" s="50"/>
      <c r="ETV600" s="50"/>
      <c r="ETW600" s="46"/>
      <c r="ETX600" s="47"/>
      <c r="ETY600" s="46"/>
      <c r="ETZ600" s="48"/>
      <c r="EUA600" s="53"/>
      <c r="EUH600" s="15"/>
      <c r="EUI600" s="50"/>
      <c r="EUJ600" s="50"/>
      <c r="EUK600" s="46"/>
      <c r="EUL600" s="47"/>
      <c r="EUM600" s="46"/>
      <c r="EUN600" s="48"/>
      <c r="EUO600" s="53"/>
      <c r="EUV600" s="15"/>
      <c r="EUW600" s="50"/>
      <c r="EUX600" s="50"/>
      <c r="EUY600" s="46"/>
      <c r="EUZ600" s="47"/>
      <c r="EVA600" s="46"/>
      <c r="EVB600" s="48"/>
      <c r="EVC600" s="53"/>
      <c r="EVJ600" s="15"/>
      <c r="EVK600" s="50"/>
      <c r="EVL600" s="50"/>
      <c r="EVM600" s="46"/>
      <c r="EVN600" s="47"/>
      <c r="EVO600" s="46"/>
      <c r="EVP600" s="48"/>
      <c r="EVQ600" s="53"/>
      <c r="EVX600" s="15"/>
      <c r="EVY600" s="50"/>
      <c r="EVZ600" s="50"/>
      <c r="EWA600" s="46"/>
      <c r="EWB600" s="47"/>
      <c r="EWC600" s="46"/>
      <c r="EWD600" s="48"/>
      <c r="EWE600" s="53"/>
      <c r="EWL600" s="15"/>
      <c r="EWM600" s="50"/>
      <c r="EWN600" s="50"/>
      <c r="EWO600" s="46"/>
      <c r="EWP600" s="47"/>
      <c r="EWQ600" s="46"/>
      <c r="EWR600" s="48"/>
      <c r="EWS600" s="53"/>
      <c r="EWZ600" s="15"/>
      <c r="EXA600" s="50"/>
      <c r="EXB600" s="50"/>
      <c r="EXC600" s="46"/>
      <c r="EXD600" s="47"/>
      <c r="EXE600" s="46"/>
      <c r="EXF600" s="48"/>
      <c r="EXG600" s="53"/>
      <c r="EXN600" s="15"/>
      <c r="EXO600" s="50"/>
      <c r="EXP600" s="50"/>
      <c r="EXQ600" s="46"/>
      <c r="EXR600" s="47"/>
      <c r="EXS600" s="46"/>
      <c r="EXT600" s="48"/>
      <c r="EXU600" s="53"/>
      <c r="EYB600" s="15"/>
      <c r="EYC600" s="50"/>
      <c r="EYD600" s="50"/>
      <c r="EYE600" s="46"/>
      <c r="EYF600" s="47"/>
      <c r="EYG600" s="46"/>
      <c r="EYH600" s="48"/>
      <c r="EYI600" s="53"/>
      <c r="EYP600" s="15"/>
      <c r="EYQ600" s="50"/>
      <c r="EYR600" s="50"/>
      <c r="EYS600" s="46"/>
      <c r="EYT600" s="47"/>
      <c r="EYU600" s="46"/>
      <c r="EYV600" s="48"/>
      <c r="EYW600" s="53"/>
      <c r="EZD600" s="15"/>
      <c r="EZE600" s="50"/>
      <c r="EZF600" s="50"/>
      <c r="EZG600" s="46"/>
      <c r="EZH600" s="47"/>
      <c r="EZI600" s="46"/>
      <c r="EZJ600" s="48"/>
      <c r="EZK600" s="53"/>
      <c r="EZR600" s="15"/>
      <c r="EZS600" s="50"/>
      <c r="EZT600" s="50"/>
      <c r="EZU600" s="46"/>
      <c r="EZV600" s="47"/>
      <c r="EZW600" s="46"/>
      <c r="EZX600" s="48"/>
      <c r="EZY600" s="53"/>
      <c r="FAF600" s="15"/>
      <c r="FAG600" s="50"/>
      <c r="FAH600" s="50"/>
      <c r="FAI600" s="46"/>
      <c r="FAJ600" s="47"/>
      <c r="FAK600" s="46"/>
      <c r="FAL600" s="48"/>
      <c r="FAM600" s="53"/>
      <c r="FAT600" s="15"/>
      <c r="FAU600" s="50"/>
      <c r="FAV600" s="50"/>
      <c r="FAW600" s="46"/>
      <c r="FAX600" s="47"/>
      <c r="FAY600" s="46"/>
      <c r="FAZ600" s="48"/>
      <c r="FBA600" s="53"/>
      <c r="FBH600" s="15"/>
      <c r="FBI600" s="50"/>
      <c r="FBJ600" s="50"/>
      <c r="FBK600" s="46"/>
      <c r="FBL600" s="47"/>
      <c r="FBM600" s="46"/>
      <c r="FBN600" s="48"/>
      <c r="FBO600" s="53"/>
      <c r="FBV600" s="15"/>
      <c r="FBW600" s="50"/>
      <c r="FBX600" s="50"/>
      <c r="FBY600" s="46"/>
      <c r="FBZ600" s="47"/>
      <c r="FCA600" s="46"/>
      <c r="FCB600" s="48"/>
      <c r="FCC600" s="53"/>
      <c r="FCJ600" s="15"/>
      <c r="FCK600" s="50"/>
      <c r="FCL600" s="50"/>
      <c r="FCM600" s="46"/>
      <c r="FCN600" s="47"/>
      <c r="FCO600" s="46"/>
      <c r="FCP600" s="48"/>
      <c r="FCQ600" s="53"/>
      <c r="FCX600" s="15"/>
      <c r="FCY600" s="50"/>
      <c r="FCZ600" s="50"/>
      <c r="FDA600" s="46"/>
      <c r="FDB600" s="47"/>
      <c r="FDC600" s="46"/>
      <c r="FDD600" s="48"/>
      <c r="FDE600" s="53"/>
      <c r="FDL600" s="15"/>
      <c r="FDM600" s="50"/>
      <c r="FDN600" s="50"/>
      <c r="FDO600" s="46"/>
      <c r="FDP600" s="47"/>
      <c r="FDQ600" s="46"/>
      <c r="FDR600" s="48"/>
      <c r="FDS600" s="53"/>
      <c r="FDZ600" s="15"/>
      <c r="FEA600" s="50"/>
      <c r="FEB600" s="50"/>
      <c r="FEC600" s="46"/>
      <c r="FED600" s="47"/>
      <c r="FEE600" s="46"/>
      <c r="FEF600" s="48"/>
      <c r="FEG600" s="53"/>
      <c r="FEN600" s="15"/>
      <c r="FEO600" s="50"/>
      <c r="FEP600" s="50"/>
      <c r="FEQ600" s="46"/>
      <c r="FER600" s="47"/>
      <c r="FES600" s="46"/>
      <c r="FET600" s="48"/>
      <c r="FEU600" s="53"/>
      <c r="FFB600" s="15"/>
      <c r="FFC600" s="50"/>
      <c r="FFD600" s="50"/>
      <c r="FFE600" s="46"/>
      <c r="FFF600" s="47"/>
      <c r="FFG600" s="46"/>
      <c r="FFH600" s="48"/>
      <c r="FFI600" s="53"/>
      <c r="FFP600" s="15"/>
      <c r="FFQ600" s="50"/>
      <c r="FFR600" s="50"/>
      <c r="FFS600" s="46"/>
      <c r="FFT600" s="47"/>
      <c r="FFU600" s="46"/>
      <c r="FFV600" s="48"/>
      <c r="FFW600" s="53"/>
      <c r="FGD600" s="15"/>
      <c r="FGE600" s="50"/>
      <c r="FGF600" s="50"/>
      <c r="FGG600" s="46"/>
      <c r="FGH600" s="47"/>
      <c r="FGI600" s="46"/>
      <c r="FGJ600" s="48"/>
      <c r="FGK600" s="53"/>
      <c r="FGR600" s="15"/>
      <c r="FGS600" s="50"/>
      <c r="FGT600" s="50"/>
      <c r="FGU600" s="46"/>
      <c r="FGV600" s="47"/>
      <c r="FGW600" s="46"/>
      <c r="FGX600" s="48"/>
      <c r="FGY600" s="53"/>
      <c r="FHF600" s="15"/>
      <c r="FHG600" s="50"/>
      <c r="FHH600" s="50"/>
      <c r="FHI600" s="46"/>
      <c r="FHJ600" s="47"/>
      <c r="FHK600" s="46"/>
      <c r="FHL600" s="48"/>
      <c r="FHM600" s="53"/>
      <c r="FHT600" s="15"/>
      <c r="FHU600" s="50"/>
      <c r="FHV600" s="50"/>
      <c r="FHW600" s="46"/>
      <c r="FHX600" s="47"/>
      <c r="FHY600" s="46"/>
      <c r="FHZ600" s="48"/>
      <c r="FIA600" s="53"/>
      <c r="FIH600" s="15"/>
      <c r="FII600" s="50"/>
      <c r="FIJ600" s="50"/>
      <c r="FIK600" s="46"/>
      <c r="FIL600" s="47"/>
      <c r="FIM600" s="46"/>
      <c r="FIN600" s="48"/>
      <c r="FIO600" s="53"/>
      <c r="FIV600" s="15"/>
      <c r="FIW600" s="50"/>
      <c r="FIX600" s="50"/>
      <c r="FIY600" s="46"/>
      <c r="FIZ600" s="47"/>
      <c r="FJA600" s="46"/>
      <c r="FJB600" s="48"/>
      <c r="FJC600" s="53"/>
      <c r="FJJ600" s="15"/>
      <c r="FJK600" s="50"/>
      <c r="FJL600" s="50"/>
      <c r="FJM600" s="46"/>
      <c r="FJN600" s="47"/>
      <c r="FJO600" s="46"/>
      <c r="FJP600" s="48"/>
      <c r="FJQ600" s="53"/>
      <c r="FJX600" s="15"/>
      <c r="FJY600" s="50"/>
      <c r="FJZ600" s="50"/>
      <c r="FKA600" s="46"/>
      <c r="FKB600" s="47"/>
      <c r="FKC600" s="46"/>
      <c r="FKD600" s="48"/>
      <c r="FKE600" s="53"/>
      <c r="FKL600" s="15"/>
      <c r="FKM600" s="50"/>
      <c r="FKN600" s="50"/>
      <c r="FKO600" s="46"/>
      <c r="FKP600" s="47"/>
      <c r="FKQ600" s="46"/>
      <c r="FKR600" s="48"/>
      <c r="FKS600" s="53"/>
      <c r="FKZ600" s="15"/>
      <c r="FLA600" s="50"/>
      <c r="FLB600" s="50"/>
      <c r="FLC600" s="46"/>
      <c r="FLD600" s="47"/>
      <c r="FLE600" s="46"/>
      <c r="FLF600" s="48"/>
      <c r="FLG600" s="53"/>
      <c r="FLN600" s="15"/>
      <c r="FLO600" s="50"/>
      <c r="FLP600" s="50"/>
      <c r="FLQ600" s="46"/>
      <c r="FLR600" s="47"/>
      <c r="FLS600" s="46"/>
      <c r="FLT600" s="48"/>
      <c r="FLU600" s="53"/>
      <c r="FMB600" s="15"/>
      <c r="FMC600" s="50"/>
      <c r="FMD600" s="50"/>
      <c r="FME600" s="46"/>
      <c r="FMF600" s="47"/>
      <c r="FMG600" s="46"/>
      <c r="FMH600" s="48"/>
      <c r="FMI600" s="53"/>
      <c r="FMP600" s="15"/>
      <c r="FMQ600" s="50"/>
      <c r="FMR600" s="50"/>
      <c r="FMS600" s="46"/>
      <c r="FMT600" s="47"/>
      <c r="FMU600" s="46"/>
      <c r="FMV600" s="48"/>
      <c r="FMW600" s="53"/>
      <c r="FND600" s="15"/>
      <c r="FNE600" s="50"/>
      <c r="FNF600" s="50"/>
      <c r="FNG600" s="46"/>
      <c r="FNH600" s="47"/>
      <c r="FNI600" s="46"/>
      <c r="FNJ600" s="48"/>
      <c r="FNK600" s="53"/>
      <c r="FNR600" s="15"/>
      <c r="FNS600" s="50"/>
      <c r="FNT600" s="50"/>
      <c r="FNU600" s="46"/>
      <c r="FNV600" s="47"/>
      <c r="FNW600" s="46"/>
      <c r="FNX600" s="48"/>
      <c r="FNY600" s="53"/>
      <c r="FOF600" s="15"/>
      <c r="FOG600" s="50"/>
      <c r="FOH600" s="50"/>
      <c r="FOI600" s="46"/>
      <c r="FOJ600" s="47"/>
      <c r="FOK600" s="46"/>
      <c r="FOL600" s="48"/>
      <c r="FOM600" s="53"/>
      <c r="FOT600" s="15"/>
      <c r="FOU600" s="50"/>
      <c r="FOV600" s="50"/>
      <c r="FOW600" s="46"/>
      <c r="FOX600" s="47"/>
      <c r="FOY600" s="46"/>
      <c r="FOZ600" s="48"/>
      <c r="FPA600" s="53"/>
      <c r="FPH600" s="15"/>
      <c r="FPI600" s="50"/>
      <c r="FPJ600" s="50"/>
      <c r="FPK600" s="46"/>
      <c r="FPL600" s="47"/>
      <c r="FPM600" s="46"/>
      <c r="FPN600" s="48"/>
      <c r="FPO600" s="53"/>
      <c r="FPV600" s="15"/>
      <c r="FPW600" s="50"/>
      <c r="FPX600" s="50"/>
      <c r="FPY600" s="46"/>
      <c r="FPZ600" s="47"/>
      <c r="FQA600" s="46"/>
      <c r="FQB600" s="48"/>
      <c r="FQC600" s="53"/>
      <c r="FQJ600" s="15"/>
      <c r="FQK600" s="50"/>
      <c r="FQL600" s="50"/>
      <c r="FQM600" s="46"/>
      <c r="FQN600" s="47"/>
      <c r="FQO600" s="46"/>
      <c r="FQP600" s="48"/>
      <c r="FQQ600" s="53"/>
      <c r="FQX600" s="15"/>
      <c r="FQY600" s="50"/>
      <c r="FQZ600" s="50"/>
      <c r="FRA600" s="46"/>
      <c r="FRB600" s="47"/>
      <c r="FRC600" s="46"/>
      <c r="FRD600" s="48"/>
      <c r="FRE600" s="53"/>
      <c r="FRL600" s="15"/>
      <c r="FRM600" s="50"/>
      <c r="FRN600" s="50"/>
      <c r="FRO600" s="46"/>
      <c r="FRP600" s="47"/>
      <c r="FRQ600" s="46"/>
      <c r="FRR600" s="48"/>
      <c r="FRS600" s="53"/>
      <c r="FRZ600" s="15"/>
      <c r="FSA600" s="50"/>
      <c r="FSB600" s="50"/>
      <c r="FSC600" s="46"/>
      <c r="FSD600" s="47"/>
      <c r="FSE600" s="46"/>
      <c r="FSF600" s="48"/>
      <c r="FSG600" s="53"/>
      <c r="FSN600" s="15"/>
      <c r="FSO600" s="50"/>
      <c r="FSP600" s="50"/>
      <c r="FSQ600" s="46"/>
      <c r="FSR600" s="47"/>
      <c r="FSS600" s="46"/>
      <c r="FST600" s="48"/>
      <c r="FSU600" s="53"/>
      <c r="FTB600" s="15"/>
      <c r="FTC600" s="50"/>
      <c r="FTD600" s="50"/>
      <c r="FTE600" s="46"/>
      <c r="FTF600" s="47"/>
      <c r="FTG600" s="46"/>
      <c r="FTH600" s="48"/>
      <c r="FTI600" s="53"/>
      <c r="FTP600" s="15"/>
      <c r="FTQ600" s="50"/>
      <c r="FTR600" s="50"/>
      <c r="FTS600" s="46"/>
      <c r="FTT600" s="47"/>
      <c r="FTU600" s="46"/>
      <c r="FTV600" s="48"/>
      <c r="FTW600" s="53"/>
      <c r="FUD600" s="15"/>
      <c r="FUE600" s="50"/>
      <c r="FUF600" s="50"/>
      <c r="FUG600" s="46"/>
      <c r="FUH600" s="47"/>
      <c r="FUI600" s="46"/>
      <c r="FUJ600" s="48"/>
      <c r="FUK600" s="53"/>
      <c r="FUR600" s="15"/>
      <c r="FUS600" s="50"/>
      <c r="FUT600" s="50"/>
      <c r="FUU600" s="46"/>
      <c r="FUV600" s="47"/>
      <c r="FUW600" s="46"/>
      <c r="FUX600" s="48"/>
      <c r="FUY600" s="53"/>
      <c r="FVF600" s="15"/>
      <c r="FVG600" s="50"/>
      <c r="FVH600" s="50"/>
      <c r="FVI600" s="46"/>
      <c r="FVJ600" s="47"/>
      <c r="FVK600" s="46"/>
      <c r="FVL600" s="48"/>
      <c r="FVM600" s="53"/>
      <c r="FVT600" s="15"/>
      <c r="FVU600" s="50"/>
      <c r="FVV600" s="50"/>
      <c r="FVW600" s="46"/>
      <c r="FVX600" s="47"/>
      <c r="FVY600" s="46"/>
      <c r="FVZ600" s="48"/>
      <c r="FWA600" s="53"/>
      <c r="FWH600" s="15"/>
      <c r="FWI600" s="50"/>
      <c r="FWJ600" s="50"/>
      <c r="FWK600" s="46"/>
      <c r="FWL600" s="47"/>
      <c r="FWM600" s="46"/>
      <c r="FWN600" s="48"/>
      <c r="FWO600" s="53"/>
      <c r="FWV600" s="15"/>
      <c r="FWW600" s="50"/>
      <c r="FWX600" s="50"/>
      <c r="FWY600" s="46"/>
      <c r="FWZ600" s="47"/>
      <c r="FXA600" s="46"/>
      <c r="FXB600" s="48"/>
      <c r="FXC600" s="53"/>
      <c r="FXJ600" s="15"/>
      <c r="FXK600" s="50"/>
      <c r="FXL600" s="50"/>
      <c r="FXM600" s="46"/>
      <c r="FXN600" s="47"/>
      <c r="FXO600" s="46"/>
      <c r="FXP600" s="48"/>
      <c r="FXQ600" s="53"/>
      <c r="FXX600" s="15"/>
      <c r="FXY600" s="50"/>
      <c r="FXZ600" s="50"/>
      <c r="FYA600" s="46"/>
      <c r="FYB600" s="47"/>
      <c r="FYC600" s="46"/>
      <c r="FYD600" s="48"/>
      <c r="FYE600" s="53"/>
      <c r="FYL600" s="15"/>
      <c r="FYM600" s="50"/>
      <c r="FYN600" s="50"/>
      <c r="FYO600" s="46"/>
      <c r="FYP600" s="47"/>
      <c r="FYQ600" s="46"/>
      <c r="FYR600" s="48"/>
      <c r="FYS600" s="53"/>
      <c r="FYZ600" s="15"/>
      <c r="FZA600" s="50"/>
      <c r="FZB600" s="50"/>
      <c r="FZC600" s="46"/>
      <c r="FZD600" s="47"/>
      <c r="FZE600" s="46"/>
      <c r="FZF600" s="48"/>
      <c r="FZG600" s="53"/>
      <c r="FZN600" s="15"/>
      <c r="FZO600" s="50"/>
      <c r="FZP600" s="50"/>
      <c r="FZQ600" s="46"/>
      <c r="FZR600" s="47"/>
      <c r="FZS600" s="46"/>
      <c r="FZT600" s="48"/>
      <c r="FZU600" s="53"/>
      <c r="GAB600" s="15"/>
      <c r="GAC600" s="50"/>
      <c r="GAD600" s="50"/>
      <c r="GAE600" s="46"/>
      <c r="GAF600" s="47"/>
      <c r="GAG600" s="46"/>
      <c r="GAH600" s="48"/>
      <c r="GAI600" s="53"/>
      <c r="GAP600" s="15"/>
      <c r="GAQ600" s="50"/>
      <c r="GAR600" s="50"/>
      <c r="GAS600" s="46"/>
      <c r="GAT600" s="47"/>
      <c r="GAU600" s="46"/>
      <c r="GAV600" s="48"/>
      <c r="GAW600" s="53"/>
      <c r="GBD600" s="15"/>
      <c r="GBE600" s="50"/>
      <c r="GBF600" s="50"/>
      <c r="GBG600" s="46"/>
      <c r="GBH600" s="47"/>
      <c r="GBI600" s="46"/>
      <c r="GBJ600" s="48"/>
      <c r="GBK600" s="53"/>
      <c r="GBR600" s="15"/>
      <c r="GBS600" s="50"/>
      <c r="GBT600" s="50"/>
      <c r="GBU600" s="46"/>
      <c r="GBV600" s="47"/>
      <c r="GBW600" s="46"/>
      <c r="GBX600" s="48"/>
      <c r="GBY600" s="53"/>
      <c r="GCF600" s="15"/>
      <c r="GCG600" s="50"/>
      <c r="GCH600" s="50"/>
      <c r="GCI600" s="46"/>
      <c r="GCJ600" s="47"/>
      <c r="GCK600" s="46"/>
      <c r="GCL600" s="48"/>
      <c r="GCM600" s="53"/>
      <c r="GCT600" s="15"/>
      <c r="GCU600" s="50"/>
      <c r="GCV600" s="50"/>
      <c r="GCW600" s="46"/>
      <c r="GCX600" s="47"/>
      <c r="GCY600" s="46"/>
      <c r="GCZ600" s="48"/>
      <c r="GDA600" s="53"/>
      <c r="GDH600" s="15"/>
      <c r="GDI600" s="50"/>
      <c r="GDJ600" s="50"/>
      <c r="GDK600" s="46"/>
      <c r="GDL600" s="47"/>
      <c r="GDM600" s="46"/>
      <c r="GDN600" s="48"/>
      <c r="GDO600" s="53"/>
      <c r="GDV600" s="15"/>
      <c r="GDW600" s="50"/>
      <c r="GDX600" s="50"/>
      <c r="GDY600" s="46"/>
      <c r="GDZ600" s="47"/>
      <c r="GEA600" s="46"/>
      <c r="GEB600" s="48"/>
      <c r="GEC600" s="53"/>
      <c r="GEJ600" s="15"/>
      <c r="GEK600" s="50"/>
      <c r="GEL600" s="50"/>
      <c r="GEM600" s="46"/>
      <c r="GEN600" s="47"/>
      <c r="GEO600" s="46"/>
      <c r="GEP600" s="48"/>
      <c r="GEQ600" s="53"/>
      <c r="GEX600" s="15"/>
      <c r="GEY600" s="50"/>
      <c r="GEZ600" s="50"/>
      <c r="GFA600" s="46"/>
      <c r="GFB600" s="47"/>
      <c r="GFC600" s="46"/>
      <c r="GFD600" s="48"/>
      <c r="GFE600" s="53"/>
      <c r="GFL600" s="15"/>
      <c r="GFM600" s="50"/>
      <c r="GFN600" s="50"/>
      <c r="GFO600" s="46"/>
      <c r="GFP600" s="47"/>
      <c r="GFQ600" s="46"/>
      <c r="GFR600" s="48"/>
      <c r="GFS600" s="53"/>
      <c r="GFZ600" s="15"/>
      <c r="GGA600" s="50"/>
      <c r="GGB600" s="50"/>
      <c r="GGC600" s="46"/>
      <c r="GGD600" s="47"/>
      <c r="GGE600" s="46"/>
      <c r="GGF600" s="48"/>
      <c r="GGG600" s="53"/>
      <c r="GGN600" s="15"/>
      <c r="GGO600" s="50"/>
      <c r="GGP600" s="50"/>
      <c r="GGQ600" s="46"/>
      <c r="GGR600" s="47"/>
      <c r="GGS600" s="46"/>
      <c r="GGT600" s="48"/>
      <c r="GGU600" s="53"/>
      <c r="GHB600" s="15"/>
      <c r="GHC600" s="50"/>
      <c r="GHD600" s="50"/>
      <c r="GHE600" s="46"/>
      <c r="GHF600" s="47"/>
      <c r="GHG600" s="46"/>
      <c r="GHH600" s="48"/>
      <c r="GHI600" s="53"/>
      <c r="GHP600" s="15"/>
      <c r="GHQ600" s="50"/>
      <c r="GHR600" s="50"/>
      <c r="GHS600" s="46"/>
      <c r="GHT600" s="47"/>
      <c r="GHU600" s="46"/>
      <c r="GHV600" s="48"/>
      <c r="GHW600" s="53"/>
      <c r="GID600" s="15"/>
      <c r="GIE600" s="50"/>
      <c r="GIF600" s="50"/>
      <c r="GIG600" s="46"/>
      <c r="GIH600" s="47"/>
      <c r="GII600" s="46"/>
      <c r="GIJ600" s="48"/>
      <c r="GIK600" s="53"/>
      <c r="GIR600" s="15"/>
      <c r="GIS600" s="50"/>
      <c r="GIT600" s="50"/>
      <c r="GIU600" s="46"/>
      <c r="GIV600" s="47"/>
      <c r="GIW600" s="46"/>
      <c r="GIX600" s="48"/>
      <c r="GIY600" s="53"/>
      <c r="GJF600" s="15"/>
      <c r="GJG600" s="50"/>
      <c r="GJH600" s="50"/>
      <c r="GJI600" s="46"/>
      <c r="GJJ600" s="47"/>
      <c r="GJK600" s="46"/>
      <c r="GJL600" s="48"/>
      <c r="GJM600" s="53"/>
      <c r="GJT600" s="15"/>
      <c r="GJU600" s="50"/>
      <c r="GJV600" s="50"/>
      <c r="GJW600" s="46"/>
      <c r="GJX600" s="47"/>
      <c r="GJY600" s="46"/>
      <c r="GJZ600" s="48"/>
      <c r="GKA600" s="53"/>
      <c r="GKH600" s="15"/>
      <c r="GKI600" s="50"/>
      <c r="GKJ600" s="50"/>
      <c r="GKK600" s="46"/>
      <c r="GKL600" s="47"/>
      <c r="GKM600" s="46"/>
      <c r="GKN600" s="48"/>
      <c r="GKO600" s="53"/>
      <c r="GKV600" s="15"/>
      <c r="GKW600" s="50"/>
      <c r="GKX600" s="50"/>
      <c r="GKY600" s="46"/>
      <c r="GKZ600" s="47"/>
      <c r="GLA600" s="46"/>
      <c r="GLB600" s="48"/>
      <c r="GLC600" s="53"/>
      <c r="GLJ600" s="15"/>
      <c r="GLK600" s="50"/>
      <c r="GLL600" s="50"/>
      <c r="GLM600" s="46"/>
      <c r="GLN600" s="47"/>
      <c r="GLO600" s="46"/>
      <c r="GLP600" s="48"/>
      <c r="GLQ600" s="53"/>
      <c r="GLX600" s="15"/>
      <c r="GLY600" s="50"/>
      <c r="GLZ600" s="50"/>
      <c r="GMA600" s="46"/>
      <c r="GMB600" s="47"/>
      <c r="GMC600" s="46"/>
      <c r="GMD600" s="48"/>
      <c r="GME600" s="53"/>
      <c r="GML600" s="15"/>
      <c r="GMM600" s="50"/>
      <c r="GMN600" s="50"/>
      <c r="GMO600" s="46"/>
      <c r="GMP600" s="47"/>
      <c r="GMQ600" s="46"/>
      <c r="GMR600" s="48"/>
      <c r="GMS600" s="53"/>
      <c r="GMZ600" s="15"/>
      <c r="GNA600" s="50"/>
      <c r="GNB600" s="50"/>
      <c r="GNC600" s="46"/>
      <c r="GND600" s="47"/>
      <c r="GNE600" s="46"/>
      <c r="GNF600" s="48"/>
      <c r="GNG600" s="53"/>
      <c r="GNN600" s="15"/>
      <c r="GNO600" s="50"/>
      <c r="GNP600" s="50"/>
      <c r="GNQ600" s="46"/>
      <c r="GNR600" s="47"/>
      <c r="GNS600" s="46"/>
      <c r="GNT600" s="48"/>
      <c r="GNU600" s="53"/>
      <c r="GOB600" s="15"/>
      <c r="GOC600" s="50"/>
      <c r="GOD600" s="50"/>
      <c r="GOE600" s="46"/>
      <c r="GOF600" s="47"/>
      <c r="GOG600" s="46"/>
      <c r="GOH600" s="48"/>
      <c r="GOI600" s="53"/>
      <c r="GOP600" s="15"/>
      <c r="GOQ600" s="50"/>
      <c r="GOR600" s="50"/>
      <c r="GOS600" s="46"/>
      <c r="GOT600" s="47"/>
      <c r="GOU600" s="46"/>
      <c r="GOV600" s="48"/>
      <c r="GOW600" s="53"/>
      <c r="GPD600" s="15"/>
      <c r="GPE600" s="50"/>
      <c r="GPF600" s="50"/>
      <c r="GPG600" s="46"/>
      <c r="GPH600" s="47"/>
      <c r="GPI600" s="46"/>
      <c r="GPJ600" s="48"/>
      <c r="GPK600" s="53"/>
      <c r="GPR600" s="15"/>
      <c r="GPS600" s="50"/>
      <c r="GPT600" s="50"/>
      <c r="GPU600" s="46"/>
      <c r="GPV600" s="47"/>
      <c r="GPW600" s="46"/>
      <c r="GPX600" s="48"/>
      <c r="GPY600" s="53"/>
      <c r="GQF600" s="15"/>
      <c r="GQG600" s="50"/>
      <c r="GQH600" s="50"/>
      <c r="GQI600" s="46"/>
      <c r="GQJ600" s="47"/>
      <c r="GQK600" s="46"/>
      <c r="GQL600" s="48"/>
      <c r="GQM600" s="53"/>
      <c r="GQT600" s="15"/>
      <c r="GQU600" s="50"/>
      <c r="GQV600" s="50"/>
      <c r="GQW600" s="46"/>
      <c r="GQX600" s="47"/>
      <c r="GQY600" s="46"/>
      <c r="GQZ600" s="48"/>
      <c r="GRA600" s="53"/>
      <c r="GRH600" s="15"/>
      <c r="GRI600" s="50"/>
      <c r="GRJ600" s="50"/>
      <c r="GRK600" s="46"/>
      <c r="GRL600" s="47"/>
      <c r="GRM600" s="46"/>
      <c r="GRN600" s="48"/>
      <c r="GRO600" s="53"/>
      <c r="GRV600" s="15"/>
      <c r="GRW600" s="50"/>
      <c r="GRX600" s="50"/>
      <c r="GRY600" s="46"/>
      <c r="GRZ600" s="47"/>
      <c r="GSA600" s="46"/>
      <c r="GSB600" s="48"/>
      <c r="GSC600" s="53"/>
      <c r="GSJ600" s="15"/>
      <c r="GSK600" s="50"/>
      <c r="GSL600" s="50"/>
      <c r="GSM600" s="46"/>
      <c r="GSN600" s="47"/>
      <c r="GSO600" s="46"/>
      <c r="GSP600" s="48"/>
      <c r="GSQ600" s="53"/>
      <c r="GSX600" s="15"/>
      <c r="GSY600" s="50"/>
      <c r="GSZ600" s="50"/>
      <c r="GTA600" s="46"/>
      <c r="GTB600" s="47"/>
      <c r="GTC600" s="46"/>
      <c r="GTD600" s="48"/>
      <c r="GTE600" s="53"/>
      <c r="GTL600" s="15"/>
      <c r="GTM600" s="50"/>
      <c r="GTN600" s="50"/>
      <c r="GTO600" s="46"/>
      <c r="GTP600" s="47"/>
      <c r="GTQ600" s="46"/>
      <c r="GTR600" s="48"/>
      <c r="GTS600" s="53"/>
      <c r="GTZ600" s="15"/>
      <c r="GUA600" s="50"/>
      <c r="GUB600" s="50"/>
      <c r="GUC600" s="46"/>
      <c r="GUD600" s="47"/>
      <c r="GUE600" s="46"/>
      <c r="GUF600" s="48"/>
      <c r="GUG600" s="53"/>
      <c r="GUN600" s="15"/>
      <c r="GUO600" s="50"/>
      <c r="GUP600" s="50"/>
      <c r="GUQ600" s="46"/>
      <c r="GUR600" s="47"/>
      <c r="GUS600" s="46"/>
      <c r="GUT600" s="48"/>
      <c r="GUU600" s="53"/>
      <c r="GVB600" s="15"/>
      <c r="GVC600" s="50"/>
      <c r="GVD600" s="50"/>
      <c r="GVE600" s="46"/>
      <c r="GVF600" s="47"/>
      <c r="GVG600" s="46"/>
      <c r="GVH600" s="48"/>
      <c r="GVI600" s="53"/>
      <c r="GVP600" s="15"/>
      <c r="GVQ600" s="50"/>
      <c r="GVR600" s="50"/>
      <c r="GVS600" s="46"/>
      <c r="GVT600" s="47"/>
      <c r="GVU600" s="46"/>
      <c r="GVV600" s="48"/>
      <c r="GVW600" s="53"/>
      <c r="GWD600" s="15"/>
      <c r="GWE600" s="50"/>
      <c r="GWF600" s="50"/>
      <c r="GWG600" s="46"/>
      <c r="GWH600" s="47"/>
      <c r="GWI600" s="46"/>
      <c r="GWJ600" s="48"/>
      <c r="GWK600" s="53"/>
      <c r="GWR600" s="15"/>
      <c r="GWS600" s="50"/>
      <c r="GWT600" s="50"/>
      <c r="GWU600" s="46"/>
      <c r="GWV600" s="47"/>
      <c r="GWW600" s="46"/>
      <c r="GWX600" s="48"/>
      <c r="GWY600" s="53"/>
      <c r="GXF600" s="15"/>
      <c r="GXG600" s="50"/>
      <c r="GXH600" s="50"/>
      <c r="GXI600" s="46"/>
      <c r="GXJ600" s="47"/>
      <c r="GXK600" s="46"/>
      <c r="GXL600" s="48"/>
      <c r="GXM600" s="53"/>
      <c r="GXT600" s="15"/>
      <c r="GXU600" s="50"/>
      <c r="GXV600" s="50"/>
      <c r="GXW600" s="46"/>
      <c r="GXX600" s="47"/>
      <c r="GXY600" s="46"/>
      <c r="GXZ600" s="48"/>
      <c r="GYA600" s="53"/>
      <c r="GYH600" s="15"/>
      <c r="GYI600" s="50"/>
      <c r="GYJ600" s="50"/>
      <c r="GYK600" s="46"/>
      <c r="GYL600" s="47"/>
      <c r="GYM600" s="46"/>
      <c r="GYN600" s="48"/>
      <c r="GYO600" s="53"/>
      <c r="GYV600" s="15"/>
      <c r="GYW600" s="50"/>
      <c r="GYX600" s="50"/>
      <c r="GYY600" s="46"/>
      <c r="GYZ600" s="47"/>
      <c r="GZA600" s="46"/>
      <c r="GZB600" s="48"/>
      <c r="GZC600" s="53"/>
      <c r="GZJ600" s="15"/>
      <c r="GZK600" s="50"/>
      <c r="GZL600" s="50"/>
      <c r="GZM600" s="46"/>
      <c r="GZN600" s="47"/>
      <c r="GZO600" s="46"/>
      <c r="GZP600" s="48"/>
      <c r="GZQ600" s="53"/>
      <c r="GZX600" s="15"/>
      <c r="GZY600" s="50"/>
      <c r="GZZ600" s="50"/>
      <c r="HAA600" s="46"/>
      <c r="HAB600" s="47"/>
      <c r="HAC600" s="46"/>
      <c r="HAD600" s="48"/>
      <c r="HAE600" s="53"/>
      <c r="HAL600" s="15"/>
      <c r="HAM600" s="50"/>
      <c r="HAN600" s="50"/>
      <c r="HAO600" s="46"/>
      <c r="HAP600" s="47"/>
      <c r="HAQ600" s="46"/>
      <c r="HAR600" s="48"/>
      <c r="HAS600" s="53"/>
      <c r="HAZ600" s="15"/>
      <c r="HBA600" s="50"/>
      <c r="HBB600" s="50"/>
      <c r="HBC600" s="46"/>
      <c r="HBD600" s="47"/>
      <c r="HBE600" s="46"/>
      <c r="HBF600" s="48"/>
      <c r="HBG600" s="53"/>
      <c r="HBN600" s="15"/>
      <c r="HBO600" s="50"/>
      <c r="HBP600" s="50"/>
      <c r="HBQ600" s="46"/>
      <c r="HBR600" s="47"/>
      <c r="HBS600" s="46"/>
      <c r="HBT600" s="48"/>
      <c r="HBU600" s="53"/>
      <c r="HCB600" s="15"/>
      <c r="HCC600" s="50"/>
      <c r="HCD600" s="50"/>
      <c r="HCE600" s="46"/>
      <c r="HCF600" s="47"/>
      <c r="HCG600" s="46"/>
      <c r="HCH600" s="48"/>
      <c r="HCI600" s="53"/>
      <c r="HCP600" s="15"/>
      <c r="HCQ600" s="50"/>
      <c r="HCR600" s="50"/>
      <c r="HCS600" s="46"/>
      <c r="HCT600" s="47"/>
      <c r="HCU600" s="46"/>
      <c r="HCV600" s="48"/>
      <c r="HCW600" s="53"/>
      <c r="HDD600" s="15"/>
      <c r="HDE600" s="50"/>
      <c r="HDF600" s="50"/>
      <c r="HDG600" s="46"/>
      <c r="HDH600" s="47"/>
      <c r="HDI600" s="46"/>
      <c r="HDJ600" s="48"/>
      <c r="HDK600" s="53"/>
      <c r="HDR600" s="15"/>
      <c r="HDS600" s="50"/>
      <c r="HDT600" s="50"/>
      <c r="HDU600" s="46"/>
      <c r="HDV600" s="47"/>
      <c r="HDW600" s="46"/>
      <c r="HDX600" s="48"/>
      <c r="HDY600" s="53"/>
      <c r="HEF600" s="15"/>
      <c r="HEG600" s="50"/>
      <c r="HEH600" s="50"/>
      <c r="HEI600" s="46"/>
      <c r="HEJ600" s="47"/>
      <c r="HEK600" s="46"/>
      <c r="HEL600" s="48"/>
      <c r="HEM600" s="53"/>
      <c r="HET600" s="15"/>
      <c r="HEU600" s="50"/>
      <c r="HEV600" s="50"/>
      <c r="HEW600" s="46"/>
      <c r="HEX600" s="47"/>
      <c r="HEY600" s="46"/>
      <c r="HEZ600" s="48"/>
      <c r="HFA600" s="53"/>
      <c r="HFH600" s="15"/>
      <c r="HFI600" s="50"/>
      <c r="HFJ600" s="50"/>
      <c r="HFK600" s="46"/>
      <c r="HFL600" s="47"/>
      <c r="HFM600" s="46"/>
      <c r="HFN600" s="48"/>
      <c r="HFO600" s="53"/>
      <c r="HFV600" s="15"/>
      <c r="HFW600" s="50"/>
      <c r="HFX600" s="50"/>
      <c r="HFY600" s="46"/>
      <c r="HFZ600" s="47"/>
      <c r="HGA600" s="46"/>
      <c r="HGB600" s="48"/>
      <c r="HGC600" s="53"/>
      <c r="HGJ600" s="15"/>
      <c r="HGK600" s="50"/>
      <c r="HGL600" s="50"/>
      <c r="HGM600" s="46"/>
      <c r="HGN600" s="47"/>
      <c r="HGO600" s="46"/>
      <c r="HGP600" s="48"/>
      <c r="HGQ600" s="53"/>
      <c r="HGX600" s="15"/>
      <c r="HGY600" s="50"/>
      <c r="HGZ600" s="50"/>
      <c r="HHA600" s="46"/>
      <c r="HHB600" s="47"/>
      <c r="HHC600" s="46"/>
      <c r="HHD600" s="48"/>
      <c r="HHE600" s="53"/>
      <c r="HHL600" s="15"/>
      <c r="HHM600" s="50"/>
      <c r="HHN600" s="50"/>
      <c r="HHO600" s="46"/>
      <c r="HHP600" s="47"/>
      <c r="HHQ600" s="46"/>
      <c r="HHR600" s="48"/>
      <c r="HHS600" s="53"/>
      <c r="HHZ600" s="15"/>
      <c r="HIA600" s="50"/>
      <c r="HIB600" s="50"/>
      <c r="HIC600" s="46"/>
      <c r="HID600" s="47"/>
      <c r="HIE600" s="46"/>
      <c r="HIF600" s="48"/>
      <c r="HIG600" s="53"/>
      <c r="HIN600" s="15"/>
      <c r="HIO600" s="50"/>
      <c r="HIP600" s="50"/>
      <c r="HIQ600" s="46"/>
      <c r="HIR600" s="47"/>
      <c r="HIS600" s="46"/>
      <c r="HIT600" s="48"/>
      <c r="HIU600" s="53"/>
      <c r="HJB600" s="15"/>
      <c r="HJC600" s="50"/>
      <c r="HJD600" s="50"/>
      <c r="HJE600" s="46"/>
      <c r="HJF600" s="47"/>
      <c r="HJG600" s="46"/>
      <c r="HJH600" s="48"/>
      <c r="HJI600" s="53"/>
      <c r="HJP600" s="15"/>
      <c r="HJQ600" s="50"/>
      <c r="HJR600" s="50"/>
      <c r="HJS600" s="46"/>
      <c r="HJT600" s="47"/>
      <c r="HJU600" s="46"/>
      <c r="HJV600" s="48"/>
      <c r="HJW600" s="53"/>
      <c r="HKD600" s="15"/>
      <c r="HKE600" s="50"/>
      <c r="HKF600" s="50"/>
      <c r="HKG600" s="46"/>
      <c r="HKH600" s="47"/>
      <c r="HKI600" s="46"/>
      <c r="HKJ600" s="48"/>
      <c r="HKK600" s="53"/>
      <c r="HKR600" s="15"/>
      <c r="HKS600" s="50"/>
      <c r="HKT600" s="50"/>
      <c r="HKU600" s="46"/>
      <c r="HKV600" s="47"/>
      <c r="HKW600" s="46"/>
      <c r="HKX600" s="48"/>
      <c r="HKY600" s="53"/>
      <c r="HLF600" s="15"/>
      <c r="HLG600" s="50"/>
      <c r="HLH600" s="50"/>
      <c r="HLI600" s="46"/>
      <c r="HLJ600" s="47"/>
      <c r="HLK600" s="46"/>
      <c r="HLL600" s="48"/>
      <c r="HLM600" s="53"/>
      <c r="HLT600" s="15"/>
      <c r="HLU600" s="50"/>
      <c r="HLV600" s="50"/>
      <c r="HLW600" s="46"/>
      <c r="HLX600" s="47"/>
      <c r="HLY600" s="46"/>
      <c r="HLZ600" s="48"/>
      <c r="HMA600" s="53"/>
      <c r="HMH600" s="15"/>
      <c r="HMI600" s="50"/>
      <c r="HMJ600" s="50"/>
      <c r="HMK600" s="46"/>
      <c r="HML600" s="47"/>
      <c r="HMM600" s="46"/>
      <c r="HMN600" s="48"/>
      <c r="HMO600" s="53"/>
      <c r="HMV600" s="15"/>
      <c r="HMW600" s="50"/>
      <c r="HMX600" s="50"/>
      <c r="HMY600" s="46"/>
      <c r="HMZ600" s="47"/>
      <c r="HNA600" s="46"/>
      <c r="HNB600" s="48"/>
      <c r="HNC600" s="53"/>
      <c r="HNJ600" s="15"/>
      <c r="HNK600" s="50"/>
      <c r="HNL600" s="50"/>
      <c r="HNM600" s="46"/>
      <c r="HNN600" s="47"/>
      <c r="HNO600" s="46"/>
      <c r="HNP600" s="48"/>
      <c r="HNQ600" s="53"/>
      <c r="HNX600" s="15"/>
      <c r="HNY600" s="50"/>
      <c r="HNZ600" s="50"/>
      <c r="HOA600" s="46"/>
      <c r="HOB600" s="47"/>
      <c r="HOC600" s="46"/>
      <c r="HOD600" s="48"/>
      <c r="HOE600" s="53"/>
      <c r="HOL600" s="15"/>
      <c r="HOM600" s="50"/>
      <c r="HON600" s="50"/>
      <c r="HOO600" s="46"/>
      <c r="HOP600" s="47"/>
      <c r="HOQ600" s="46"/>
      <c r="HOR600" s="48"/>
      <c r="HOS600" s="53"/>
      <c r="HOZ600" s="15"/>
      <c r="HPA600" s="50"/>
      <c r="HPB600" s="50"/>
      <c r="HPC600" s="46"/>
      <c r="HPD600" s="47"/>
      <c r="HPE600" s="46"/>
      <c r="HPF600" s="48"/>
      <c r="HPG600" s="53"/>
      <c r="HPN600" s="15"/>
      <c r="HPO600" s="50"/>
      <c r="HPP600" s="50"/>
      <c r="HPQ600" s="46"/>
      <c r="HPR600" s="47"/>
      <c r="HPS600" s="46"/>
      <c r="HPT600" s="48"/>
      <c r="HPU600" s="53"/>
      <c r="HQB600" s="15"/>
      <c r="HQC600" s="50"/>
      <c r="HQD600" s="50"/>
      <c r="HQE600" s="46"/>
      <c r="HQF600" s="47"/>
      <c r="HQG600" s="46"/>
      <c r="HQH600" s="48"/>
      <c r="HQI600" s="53"/>
      <c r="HQP600" s="15"/>
      <c r="HQQ600" s="50"/>
      <c r="HQR600" s="50"/>
      <c r="HQS600" s="46"/>
      <c r="HQT600" s="47"/>
      <c r="HQU600" s="46"/>
      <c r="HQV600" s="48"/>
      <c r="HQW600" s="53"/>
      <c r="HRD600" s="15"/>
      <c r="HRE600" s="50"/>
      <c r="HRF600" s="50"/>
      <c r="HRG600" s="46"/>
      <c r="HRH600" s="47"/>
      <c r="HRI600" s="46"/>
      <c r="HRJ600" s="48"/>
      <c r="HRK600" s="53"/>
      <c r="HRR600" s="15"/>
      <c r="HRS600" s="50"/>
      <c r="HRT600" s="50"/>
      <c r="HRU600" s="46"/>
      <c r="HRV600" s="47"/>
      <c r="HRW600" s="46"/>
      <c r="HRX600" s="48"/>
      <c r="HRY600" s="53"/>
      <c r="HSF600" s="15"/>
      <c r="HSG600" s="50"/>
      <c r="HSH600" s="50"/>
      <c r="HSI600" s="46"/>
      <c r="HSJ600" s="47"/>
      <c r="HSK600" s="46"/>
      <c r="HSL600" s="48"/>
      <c r="HSM600" s="53"/>
      <c r="HST600" s="15"/>
      <c r="HSU600" s="50"/>
      <c r="HSV600" s="50"/>
      <c r="HSW600" s="46"/>
      <c r="HSX600" s="47"/>
      <c r="HSY600" s="46"/>
      <c r="HSZ600" s="48"/>
      <c r="HTA600" s="53"/>
      <c r="HTH600" s="15"/>
      <c r="HTI600" s="50"/>
      <c r="HTJ600" s="50"/>
      <c r="HTK600" s="46"/>
      <c r="HTL600" s="47"/>
      <c r="HTM600" s="46"/>
      <c r="HTN600" s="48"/>
      <c r="HTO600" s="53"/>
      <c r="HTV600" s="15"/>
      <c r="HTW600" s="50"/>
      <c r="HTX600" s="50"/>
      <c r="HTY600" s="46"/>
      <c r="HTZ600" s="47"/>
      <c r="HUA600" s="46"/>
      <c r="HUB600" s="48"/>
      <c r="HUC600" s="53"/>
      <c r="HUJ600" s="15"/>
      <c r="HUK600" s="50"/>
      <c r="HUL600" s="50"/>
      <c r="HUM600" s="46"/>
      <c r="HUN600" s="47"/>
      <c r="HUO600" s="46"/>
      <c r="HUP600" s="48"/>
      <c r="HUQ600" s="53"/>
      <c r="HUX600" s="15"/>
      <c r="HUY600" s="50"/>
      <c r="HUZ600" s="50"/>
      <c r="HVA600" s="46"/>
      <c r="HVB600" s="47"/>
      <c r="HVC600" s="46"/>
      <c r="HVD600" s="48"/>
      <c r="HVE600" s="53"/>
      <c r="HVL600" s="15"/>
      <c r="HVM600" s="50"/>
      <c r="HVN600" s="50"/>
      <c r="HVO600" s="46"/>
      <c r="HVP600" s="47"/>
      <c r="HVQ600" s="46"/>
      <c r="HVR600" s="48"/>
      <c r="HVS600" s="53"/>
      <c r="HVZ600" s="15"/>
      <c r="HWA600" s="50"/>
      <c r="HWB600" s="50"/>
      <c r="HWC600" s="46"/>
      <c r="HWD600" s="47"/>
      <c r="HWE600" s="46"/>
      <c r="HWF600" s="48"/>
      <c r="HWG600" s="53"/>
      <c r="HWN600" s="15"/>
      <c r="HWO600" s="50"/>
      <c r="HWP600" s="50"/>
      <c r="HWQ600" s="46"/>
      <c r="HWR600" s="47"/>
      <c r="HWS600" s="46"/>
      <c r="HWT600" s="48"/>
      <c r="HWU600" s="53"/>
      <c r="HXB600" s="15"/>
      <c r="HXC600" s="50"/>
      <c r="HXD600" s="50"/>
      <c r="HXE600" s="46"/>
      <c r="HXF600" s="47"/>
      <c r="HXG600" s="46"/>
      <c r="HXH600" s="48"/>
      <c r="HXI600" s="53"/>
      <c r="HXP600" s="15"/>
      <c r="HXQ600" s="50"/>
      <c r="HXR600" s="50"/>
      <c r="HXS600" s="46"/>
      <c r="HXT600" s="47"/>
      <c r="HXU600" s="46"/>
      <c r="HXV600" s="48"/>
      <c r="HXW600" s="53"/>
      <c r="HYD600" s="15"/>
      <c r="HYE600" s="50"/>
      <c r="HYF600" s="50"/>
      <c r="HYG600" s="46"/>
      <c r="HYH600" s="47"/>
      <c r="HYI600" s="46"/>
      <c r="HYJ600" s="48"/>
      <c r="HYK600" s="53"/>
      <c r="HYR600" s="15"/>
      <c r="HYS600" s="50"/>
      <c r="HYT600" s="50"/>
      <c r="HYU600" s="46"/>
      <c r="HYV600" s="47"/>
      <c r="HYW600" s="46"/>
      <c r="HYX600" s="48"/>
      <c r="HYY600" s="53"/>
      <c r="HZF600" s="15"/>
      <c r="HZG600" s="50"/>
      <c r="HZH600" s="50"/>
      <c r="HZI600" s="46"/>
      <c r="HZJ600" s="47"/>
      <c r="HZK600" s="46"/>
      <c r="HZL600" s="48"/>
      <c r="HZM600" s="53"/>
      <c r="HZT600" s="15"/>
      <c r="HZU600" s="50"/>
      <c r="HZV600" s="50"/>
      <c r="HZW600" s="46"/>
      <c r="HZX600" s="47"/>
      <c r="HZY600" s="46"/>
      <c r="HZZ600" s="48"/>
      <c r="IAA600" s="53"/>
      <c r="IAH600" s="15"/>
      <c r="IAI600" s="50"/>
      <c r="IAJ600" s="50"/>
      <c r="IAK600" s="46"/>
      <c r="IAL600" s="47"/>
      <c r="IAM600" s="46"/>
      <c r="IAN600" s="48"/>
      <c r="IAO600" s="53"/>
      <c r="IAV600" s="15"/>
      <c r="IAW600" s="50"/>
      <c r="IAX600" s="50"/>
      <c r="IAY600" s="46"/>
      <c r="IAZ600" s="47"/>
      <c r="IBA600" s="46"/>
      <c r="IBB600" s="48"/>
      <c r="IBC600" s="53"/>
      <c r="IBJ600" s="15"/>
      <c r="IBK600" s="50"/>
      <c r="IBL600" s="50"/>
      <c r="IBM600" s="46"/>
      <c r="IBN600" s="47"/>
      <c r="IBO600" s="46"/>
      <c r="IBP600" s="48"/>
      <c r="IBQ600" s="53"/>
      <c r="IBX600" s="15"/>
      <c r="IBY600" s="50"/>
      <c r="IBZ600" s="50"/>
      <c r="ICA600" s="46"/>
      <c r="ICB600" s="47"/>
      <c r="ICC600" s="46"/>
      <c r="ICD600" s="48"/>
      <c r="ICE600" s="53"/>
      <c r="ICL600" s="15"/>
      <c r="ICM600" s="50"/>
      <c r="ICN600" s="50"/>
      <c r="ICO600" s="46"/>
      <c r="ICP600" s="47"/>
      <c r="ICQ600" s="46"/>
      <c r="ICR600" s="48"/>
      <c r="ICS600" s="53"/>
      <c r="ICZ600" s="15"/>
      <c r="IDA600" s="50"/>
      <c r="IDB600" s="50"/>
      <c r="IDC600" s="46"/>
      <c r="IDD600" s="47"/>
      <c r="IDE600" s="46"/>
      <c r="IDF600" s="48"/>
      <c r="IDG600" s="53"/>
      <c r="IDN600" s="15"/>
      <c r="IDO600" s="50"/>
      <c r="IDP600" s="50"/>
      <c r="IDQ600" s="46"/>
      <c r="IDR600" s="47"/>
      <c r="IDS600" s="46"/>
      <c r="IDT600" s="48"/>
      <c r="IDU600" s="53"/>
      <c r="IEB600" s="15"/>
      <c r="IEC600" s="50"/>
      <c r="IED600" s="50"/>
      <c r="IEE600" s="46"/>
      <c r="IEF600" s="47"/>
      <c r="IEG600" s="46"/>
      <c r="IEH600" s="48"/>
      <c r="IEI600" s="53"/>
      <c r="IEP600" s="15"/>
      <c r="IEQ600" s="50"/>
      <c r="IER600" s="50"/>
      <c r="IES600" s="46"/>
      <c r="IET600" s="47"/>
      <c r="IEU600" s="46"/>
      <c r="IEV600" s="48"/>
      <c r="IEW600" s="53"/>
      <c r="IFD600" s="15"/>
      <c r="IFE600" s="50"/>
      <c r="IFF600" s="50"/>
      <c r="IFG600" s="46"/>
      <c r="IFH600" s="47"/>
      <c r="IFI600" s="46"/>
      <c r="IFJ600" s="48"/>
      <c r="IFK600" s="53"/>
      <c r="IFR600" s="15"/>
      <c r="IFS600" s="50"/>
      <c r="IFT600" s="50"/>
      <c r="IFU600" s="46"/>
      <c r="IFV600" s="47"/>
      <c r="IFW600" s="46"/>
      <c r="IFX600" s="48"/>
      <c r="IFY600" s="53"/>
      <c r="IGF600" s="15"/>
      <c r="IGG600" s="50"/>
      <c r="IGH600" s="50"/>
      <c r="IGI600" s="46"/>
      <c r="IGJ600" s="47"/>
      <c r="IGK600" s="46"/>
      <c r="IGL600" s="48"/>
      <c r="IGM600" s="53"/>
      <c r="IGT600" s="15"/>
      <c r="IGU600" s="50"/>
      <c r="IGV600" s="50"/>
      <c r="IGW600" s="46"/>
      <c r="IGX600" s="47"/>
      <c r="IGY600" s="46"/>
      <c r="IGZ600" s="48"/>
      <c r="IHA600" s="53"/>
      <c r="IHH600" s="15"/>
      <c r="IHI600" s="50"/>
      <c r="IHJ600" s="50"/>
      <c r="IHK600" s="46"/>
      <c r="IHL600" s="47"/>
      <c r="IHM600" s="46"/>
      <c r="IHN600" s="48"/>
      <c r="IHO600" s="53"/>
      <c r="IHV600" s="15"/>
      <c r="IHW600" s="50"/>
      <c r="IHX600" s="50"/>
      <c r="IHY600" s="46"/>
      <c r="IHZ600" s="47"/>
      <c r="IIA600" s="46"/>
      <c r="IIB600" s="48"/>
      <c r="IIC600" s="53"/>
      <c r="IIJ600" s="15"/>
      <c r="IIK600" s="50"/>
      <c r="IIL600" s="50"/>
      <c r="IIM600" s="46"/>
      <c r="IIN600" s="47"/>
      <c r="IIO600" s="46"/>
      <c r="IIP600" s="48"/>
      <c r="IIQ600" s="53"/>
      <c r="IIX600" s="15"/>
      <c r="IIY600" s="50"/>
      <c r="IIZ600" s="50"/>
      <c r="IJA600" s="46"/>
      <c r="IJB600" s="47"/>
      <c r="IJC600" s="46"/>
      <c r="IJD600" s="48"/>
      <c r="IJE600" s="53"/>
      <c r="IJL600" s="15"/>
      <c r="IJM600" s="50"/>
      <c r="IJN600" s="50"/>
      <c r="IJO600" s="46"/>
      <c r="IJP600" s="47"/>
      <c r="IJQ600" s="46"/>
      <c r="IJR600" s="48"/>
      <c r="IJS600" s="53"/>
      <c r="IJZ600" s="15"/>
      <c r="IKA600" s="50"/>
      <c r="IKB600" s="50"/>
      <c r="IKC600" s="46"/>
      <c r="IKD600" s="47"/>
      <c r="IKE600" s="46"/>
      <c r="IKF600" s="48"/>
      <c r="IKG600" s="53"/>
      <c r="IKN600" s="15"/>
      <c r="IKO600" s="50"/>
      <c r="IKP600" s="50"/>
      <c r="IKQ600" s="46"/>
      <c r="IKR600" s="47"/>
      <c r="IKS600" s="46"/>
      <c r="IKT600" s="48"/>
      <c r="IKU600" s="53"/>
      <c r="ILB600" s="15"/>
      <c r="ILC600" s="50"/>
      <c r="ILD600" s="50"/>
      <c r="ILE600" s="46"/>
      <c r="ILF600" s="47"/>
      <c r="ILG600" s="46"/>
      <c r="ILH600" s="48"/>
      <c r="ILI600" s="53"/>
      <c r="ILP600" s="15"/>
      <c r="ILQ600" s="50"/>
      <c r="ILR600" s="50"/>
      <c r="ILS600" s="46"/>
      <c r="ILT600" s="47"/>
      <c r="ILU600" s="46"/>
      <c r="ILV600" s="48"/>
      <c r="ILW600" s="53"/>
      <c r="IMD600" s="15"/>
      <c r="IME600" s="50"/>
      <c r="IMF600" s="50"/>
      <c r="IMG600" s="46"/>
      <c r="IMH600" s="47"/>
      <c r="IMI600" s="46"/>
      <c r="IMJ600" s="48"/>
      <c r="IMK600" s="53"/>
      <c r="IMR600" s="15"/>
      <c r="IMS600" s="50"/>
      <c r="IMT600" s="50"/>
      <c r="IMU600" s="46"/>
      <c r="IMV600" s="47"/>
      <c r="IMW600" s="46"/>
      <c r="IMX600" s="48"/>
      <c r="IMY600" s="53"/>
      <c r="INF600" s="15"/>
      <c r="ING600" s="50"/>
      <c r="INH600" s="50"/>
      <c r="INI600" s="46"/>
      <c r="INJ600" s="47"/>
      <c r="INK600" s="46"/>
      <c r="INL600" s="48"/>
      <c r="INM600" s="53"/>
      <c r="INT600" s="15"/>
      <c r="INU600" s="50"/>
      <c r="INV600" s="50"/>
      <c r="INW600" s="46"/>
      <c r="INX600" s="47"/>
      <c r="INY600" s="46"/>
      <c r="INZ600" s="48"/>
      <c r="IOA600" s="53"/>
      <c r="IOH600" s="15"/>
      <c r="IOI600" s="50"/>
      <c r="IOJ600" s="50"/>
      <c r="IOK600" s="46"/>
      <c r="IOL600" s="47"/>
      <c r="IOM600" s="46"/>
      <c r="ION600" s="48"/>
      <c r="IOO600" s="53"/>
      <c r="IOV600" s="15"/>
      <c r="IOW600" s="50"/>
      <c r="IOX600" s="50"/>
      <c r="IOY600" s="46"/>
      <c r="IOZ600" s="47"/>
      <c r="IPA600" s="46"/>
      <c r="IPB600" s="48"/>
      <c r="IPC600" s="53"/>
      <c r="IPJ600" s="15"/>
      <c r="IPK600" s="50"/>
      <c r="IPL600" s="50"/>
      <c r="IPM600" s="46"/>
      <c r="IPN600" s="47"/>
      <c r="IPO600" s="46"/>
      <c r="IPP600" s="48"/>
      <c r="IPQ600" s="53"/>
      <c r="IPX600" s="15"/>
      <c r="IPY600" s="50"/>
      <c r="IPZ600" s="50"/>
      <c r="IQA600" s="46"/>
      <c r="IQB600" s="47"/>
      <c r="IQC600" s="46"/>
      <c r="IQD600" s="48"/>
      <c r="IQE600" s="53"/>
      <c r="IQL600" s="15"/>
      <c r="IQM600" s="50"/>
      <c r="IQN600" s="50"/>
      <c r="IQO600" s="46"/>
      <c r="IQP600" s="47"/>
      <c r="IQQ600" s="46"/>
      <c r="IQR600" s="48"/>
      <c r="IQS600" s="53"/>
      <c r="IQZ600" s="15"/>
      <c r="IRA600" s="50"/>
      <c r="IRB600" s="50"/>
      <c r="IRC600" s="46"/>
      <c r="IRD600" s="47"/>
      <c r="IRE600" s="46"/>
      <c r="IRF600" s="48"/>
      <c r="IRG600" s="53"/>
      <c r="IRN600" s="15"/>
      <c r="IRO600" s="50"/>
      <c r="IRP600" s="50"/>
      <c r="IRQ600" s="46"/>
      <c r="IRR600" s="47"/>
      <c r="IRS600" s="46"/>
      <c r="IRT600" s="48"/>
      <c r="IRU600" s="53"/>
      <c r="ISB600" s="15"/>
      <c r="ISC600" s="50"/>
      <c r="ISD600" s="50"/>
      <c r="ISE600" s="46"/>
      <c r="ISF600" s="47"/>
      <c r="ISG600" s="46"/>
      <c r="ISH600" s="48"/>
      <c r="ISI600" s="53"/>
      <c r="ISP600" s="15"/>
      <c r="ISQ600" s="50"/>
      <c r="ISR600" s="50"/>
      <c r="ISS600" s="46"/>
      <c r="IST600" s="47"/>
      <c r="ISU600" s="46"/>
      <c r="ISV600" s="48"/>
      <c r="ISW600" s="53"/>
      <c r="ITD600" s="15"/>
      <c r="ITE600" s="50"/>
      <c r="ITF600" s="50"/>
      <c r="ITG600" s="46"/>
      <c r="ITH600" s="47"/>
      <c r="ITI600" s="46"/>
      <c r="ITJ600" s="48"/>
      <c r="ITK600" s="53"/>
      <c r="ITR600" s="15"/>
      <c r="ITS600" s="50"/>
      <c r="ITT600" s="50"/>
      <c r="ITU600" s="46"/>
      <c r="ITV600" s="47"/>
      <c r="ITW600" s="46"/>
      <c r="ITX600" s="48"/>
      <c r="ITY600" s="53"/>
      <c r="IUF600" s="15"/>
      <c r="IUG600" s="50"/>
      <c r="IUH600" s="50"/>
      <c r="IUI600" s="46"/>
      <c r="IUJ600" s="47"/>
      <c r="IUK600" s="46"/>
      <c r="IUL600" s="48"/>
      <c r="IUM600" s="53"/>
      <c r="IUT600" s="15"/>
      <c r="IUU600" s="50"/>
      <c r="IUV600" s="50"/>
      <c r="IUW600" s="46"/>
      <c r="IUX600" s="47"/>
      <c r="IUY600" s="46"/>
      <c r="IUZ600" s="48"/>
      <c r="IVA600" s="53"/>
      <c r="IVH600" s="15"/>
      <c r="IVI600" s="50"/>
      <c r="IVJ600" s="50"/>
      <c r="IVK600" s="46"/>
      <c r="IVL600" s="47"/>
      <c r="IVM600" s="46"/>
      <c r="IVN600" s="48"/>
      <c r="IVO600" s="53"/>
      <c r="IVV600" s="15"/>
      <c r="IVW600" s="50"/>
      <c r="IVX600" s="50"/>
      <c r="IVY600" s="46"/>
      <c r="IVZ600" s="47"/>
      <c r="IWA600" s="46"/>
      <c r="IWB600" s="48"/>
      <c r="IWC600" s="53"/>
      <c r="IWJ600" s="15"/>
      <c r="IWK600" s="50"/>
      <c r="IWL600" s="50"/>
      <c r="IWM600" s="46"/>
      <c r="IWN600" s="47"/>
      <c r="IWO600" s="46"/>
      <c r="IWP600" s="48"/>
      <c r="IWQ600" s="53"/>
      <c r="IWX600" s="15"/>
      <c r="IWY600" s="50"/>
      <c r="IWZ600" s="50"/>
      <c r="IXA600" s="46"/>
      <c r="IXB600" s="47"/>
      <c r="IXC600" s="46"/>
      <c r="IXD600" s="48"/>
      <c r="IXE600" s="53"/>
      <c r="IXL600" s="15"/>
      <c r="IXM600" s="50"/>
      <c r="IXN600" s="50"/>
      <c r="IXO600" s="46"/>
      <c r="IXP600" s="47"/>
      <c r="IXQ600" s="46"/>
      <c r="IXR600" s="48"/>
      <c r="IXS600" s="53"/>
      <c r="IXZ600" s="15"/>
      <c r="IYA600" s="50"/>
      <c r="IYB600" s="50"/>
      <c r="IYC600" s="46"/>
      <c r="IYD600" s="47"/>
      <c r="IYE600" s="46"/>
      <c r="IYF600" s="48"/>
      <c r="IYG600" s="53"/>
      <c r="IYN600" s="15"/>
      <c r="IYO600" s="50"/>
      <c r="IYP600" s="50"/>
      <c r="IYQ600" s="46"/>
      <c r="IYR600" s="47"/>
      <c r="IYS600" s="46"/>
      <c r="IYT600" s="48"/>
      <c r="IYU600" s="53"/>
      <c r="IZB600" s="15"/>
      <c r="IZC600" s="50"/>
      <c r="IZD600" s="50"/>
      <c r="IZE600" s="46"/>
      <c r="IZF600" s="47"/>
      <c r="IZG600" s="46"/>
      <c r="IZH600" s="48"/>
      <c r="IZI600" s="53"/>
      <c r="IZP600" s="15"/>
      <c r="IZQ600" s="50"/>
      <c r="IZR600" s="50"/>
      <c r="IZS600" s="46"/>
      <c r="IZT600" s="47"/>
      <c r="IZU600" s="46"/>
      <c r="IZV600" s="48"/>
      <c r="IZW600" s="53"/>
      <c r="JAD600" s="15"/>
      <c r="JAE600" s="50"/>
      <c r="JAF600" s="50"/>
      <c r="JAG600" s="46"/>
      <c r="JAH600" s="47"/>
      <c r="JAI600" s="46"/>
      <c r="JAJ600" s="48"/>
      <c r="JAK600" s="53"/>
      <c r="JAR600" s="15"/>
      <c r="JAS600" s="50"/>
      <c r="JAT600" s="50"/>
      <c r="JAU600" s="46"/>
      <c r="JAV600" s="47"/>
      <c r="JAW600" s="46"/>
      <c r="JAX600" s="48"/>
      <c r="JAY600" s="53"/>
      <c r="JBF600" s="15"/>
      <c r="JBG600" s="50"/>
      <c r="JBH600" s="50"/>
      <c r="JBI600" s="46"/>
      <c r="JBJ600" s="47"/>
      <c r="JBK600" s="46"/>
      <c r="JBL600" s="48"/>
      <c r="JBM600" s="53"/>
      <c r="JBT600" s="15"/>
      <c r="JBU600" s="50"/>
      <c r="JBV600" s="50"/>
      <c r="JBW600" s="46"/>
      <c r="JBX600" s="47"/>
      <c r="JBY600" s="46"/>
      <c r="JBZ600" s="48"/>
      <c r="JCA600" s="53"/>
      <c r="JCH600" s="15"/>
      <c r="JCI600" s="50"/>
      <c r="JCJ600" s="50"/>
      <c r="JCK600" s="46"/>
      <c r="JCL600" s="47"/>
      <c r="JCM600" s="46"/>
      <c r="JCN600" s="48"/>
      <c r="JCO600" s="53"/>
      <c r="JCV600" s="15"/>
      <c r="JCW600" s="50"/>
      <c r="JCX600" s="50"/>
      <c r="JCY600" s="46"/>
      <c r="JCZ600" s="47"/>
      <c r="JDA600" s="46"/>
      <c r="JDB600" s="48"/>
      <c r="JDC600" s="53"/>
      <c r="JDJ600" s="15"/>
      <c r="JDK600" s="50"/>
      <c r="JDL600" s="50"/>
      <c r="JDM600" s="46"/>
      <c r="JDN600" s="47"/>
      <c r="JDO600" s="46"/>
      <c r="JDP600" s="48"/>
      <c r="JDQ600" s="53"/>
      <c r="JDX600" s="15"/>
      <c r="JDY600" s="50"/>
      <c r="JDZ600" s="50"/>
      <c r="JEA600" s="46"/>
      <c r="JEB600" s="47"/>
      <c r="JEC600" s="46"/>
      <c r="JED600" s="48"/>
      <c r="JEE600" s="53"/>
      <c r="JEL600" s="15"/>
      <c r="JEM600" s="50"/>
      <c r="JEN600" s="50"/>
      <c r="JEO600" s="46"/>
      <c r="JEP600" s="47"/>
      <c r="JEQ600" s="46"/>
      <c r="JER600" s="48"/>
      <c r="JES600" s="53"/>
      <c r="JEZ600" s="15"/>
      <c r="JFA600" s="50"/>
      <c r="JFB600" s="50"/>
      <c r="JFC600" s="46"/>
      <c r="JFD600" s="47"/>
      <c r="JFE600" s="46"/>
      <c r="JFF600" s="48"/>
      <c r="JFG600" s="53"/>
      <c r="JFN600" s="15"/>
      <c r="JFO600" s="50"/>
      <c r="JFP600" s="50"/>
      <c r="JFQ600" s="46"/>
      <c r="JFR600" s="47"/>
      <c r="JFS600" s="46"/>
      <c r="JFT600" s="48"/>
      <c r="JFU600" s="53"/>
      <c r="JGB600" s="15"/>
      <c r="JGC600" s="50"/>
      <c r="JGD600" s="50"/>
      <c r="JGE600" s="46"/>
      <c r="JGF600" s="47"/>
      <c r="JGG600" s="46"/>
      <c r="JGH600" s="48"/>
      <c r="JGI600" s="53"/>
      <c r="JGP600" s="15"/>
      <c r="JGQ600" s="50"/>
      <c r="JGR600" s="50"/>
      <c r="JGS600" s="46"/>
      <c r="JGT600" s="47"/>
      <c r="JGU600" s="46"/>
      <c r="JGV600" s="48"/>
      <c r="JGW600" s="53"/>
      <c r="JHD600" s="15"/>
      <c r="JHE600" s="50"/>
      <c r="JHF600" s="50"/>
      <c r="JHG600" s="46"/>
      <c r="JHH600" s="47"/>
      <c r="JHI600" s="46"/>
      <c r="JHJ600" s="48"/>
      <c r="JHK600" s="53"/>
      <c r="JHR600" s="15"/>
      <c r="JHS600" s="50"/>
      <c r="JHT600" s="50"/>
      <c r="JHU600" s="46"/>
      <c r="JHV600" s="47"/>
      <c r="JHW600" s="46"/>
      <c r="JHX600" s="48"/>
      <c r="JHY600" s="53"/>
      <c r="JIF600" s="15"/>
      <c r="JIG600" s="50"/>
      <c r="JIH600" s="50"/>
      <c r="JII600" s="46"/>
      <c r="JIJ600" s="47"/>
      <c r="JIK600" s="46"/>
      <c r="JIL600" s="48"/>
      <c r="JIM600" s="53"/>
      <c r="JIT600" s="15"/>
      <c r="JIU600" s="50"/>
      <c r="JIV600" s="50"/>
      <c r="JIW600" s="46"/>
      <c r="JIX600" s="47"/>
      <c r="JIY600" s="46"/>
      <c r="JIZ600" s="48"/>
      <c r="JJA600" s="53"/>
      <c r="JJH600" s="15"/>
      <c r="JJI600" s="50"/>
      <c r="JJJ600" s="50"/>
      <c r="JJK600" s="46"/>
      <c r="JJL600" s="47"/>
      <c r="JJM600" s="46"/>
      <c r="JJN600" s="48"/>
      <c r="JJO600" s="53"/>
      <c r="JJV600" s="15"/>
      <c r="JJW600" s="50"/>
      <c r="JJX600" s="50"/>
      <c r="JJY600" s="46"/>
      <c r="JJZ600" s="47"/>
      <c r="JKA600" s="46"/>
      <c r="JKB600" s="48"/>
      <c r="JKC600" s="53"/>
      <c r="JKJ600" s="15"/>
      <c r="JKK600" s="50"/>
      <c r="JKL600" s="50"/>
      <c r="JKM600" s="46"/>
      <c r="JKN600" s="47"/>
      <c r="JKO600" s="46"/>
      <c r="JKP600" s="48"/>
      <c r="JKQ600" s="53"/>
      <c r="JKX600" s="15"/>
      <c r="JKY600" s="50"/>
      <c r="JKZ600" s="50"/>
      <c r="JLA600" s="46"/>
      <c r="JLB600" s="47"/>
      <c r="JLC600" s="46"/>
      <c r="JLD600" s="48"/>
      <c r="JLE600" s="53"/>
      <c r="JLL600" s="15"/>
      <c r="JLM600" s="50"/>
      <c r="JLN600" s="50"/>
      <c r="JLO600" s="46"/>
      <c r="JLP600" s="47"/>
      <c r="JLQ600" s="46"/>
      <c r="JLR600" s="48"/>
      <c r="JLS600" s="53"/>
      <c r="JLZ600" s="15"/>
      <c r="JMA600" s="50"/>
      <c r="JMB600" s="50"/>
      <c r="JMC600" s="46"/>
      <c r="JMD600" s="47"/>
      <c r="JME600" s="46"/>
      <c r="JMF600" s="48"/>
      <c r="JMG600" s="53"/>
      <c r="JMN600" s="15"/>
      <c r="JMO600" s="50"/>
      <c r="JMP600" s="50"/>
      <c r="JMQ600" s="46"/>
      <c r="JMR600" s="47"/>
      <c r="JMS600" s="46"/>
      <c r="JMT600" s="48"/>
      <c r="JMU600" s="53"/>
      <c r="JNB600" s="15"/>
      <c r="JNC600" s="50"/>
      <c r="JND600" s="50"/>
      <c r="JNE600" s="46"/>
      <c r="JNF600" s="47"/>
      <c r="JNG600" s="46"/>
      <c r="JNH600" s="48"/>
      <c r="JNI600" s="53"/>
      <c r="JNP600" s="15"/>
      <c r="JNQ600" s="50"/>
      <c r="JNR600" s="50"/>
      <c r="JNS600" s="46"/>
      <c r="JNT600" s="47"/>
      <c r="JNU600" s="46"/>
      <c r="JNV600" s="48"/>
      <c r="JNW600" s="53"/>
      <c r="JOD600" s="15"/>
      <c r="JOE600" s="50"/>
      <c r="JOF600" s="50"/>
      <c r="JOG600" s="46"/>
      <c r="JOH600" s="47"/>
      <c r="JOI600" s="46"/>
      <c r="JOJ600" s="48"/>
      <c r="JOK600" s="53"/>
      <c r="JOR600" s="15"/>
      <c r="JOS600" s="50"/>
      <c r="JOT600" s="50"/>
      <c r="JOU600" s="46"/>
      <c r="JOV600" s="47"/>
      <c r="JOW600" s="46"/>
      <c r="JOX600" s="48"/>
      <c r="JOY600" s="53"/>
      <c r="JPF600" s="15"/>
      <c r="JPG600" s="50"/>
      <c r="JPH600" s="50"/>
      <c r="JPI600" s="46"/>
      <c r="JPJ600" s="47"/>
      <c r="JPK600" s="46"/>
      <c r="JPL600" s="48"/>
      <c r="JPM600" s="53"/>
      <c r="JPT600" s="15"/>
      <c r="JPU600" s="50"/>
      <c r="JPV600" s="50"/>
      <c r="JPW600" s="46"/>
      <c r="JPX600" s="47"/>
      <c r="JPY600" s="46"/>
      <c r="JPZ600" s="48"/>
      <c r="JQA600" s="53"/>
      <c r="JQH600" s="15"/>
      <c r="JQI600" s="50"/>
      <c r="JQJ600" s="50"/>
      <c r="JQK600" s="46"/>
      <c r="JQL600" s="47"/>
      <c r="JQM600" s="46"/>
      <c r="JQN600" s="48"/>
      <c r="JQO600" s="53"/>
      <c r="JQV600" s="15"/>
      <c r="JQW600" s="50"/>
      <c r="JQX600" s="50"/>
      <c r="JQY600" s="46"/>
      <c r="JQZ600" s="47"/>
      <c r="JRA600" s="46"/>
      <c r="JRB600" s="48"/>
      <c r="JRC600" s="53"/>
      <c r="JRJ600" s="15"/>
      <c r="JRK600" s="50"/>
      <c r="JRL600" s="50"/>
      <c r="JRM600" s="46"/>
      <c r="JRN600" s="47"/>
      <c r="JRO600" s="46"/>
      <c r="JRP600" s="48"/>
      <c r="JRQ600" s="53"/>
      <c r="JRX600" s="15"/>
      <c r="JRY600" s="50"/>
      <c r="JRZ600" s="50"/>
      <c r="JSA600" s="46"/>
      <c r="JSB600" s="47"/>
      <c r="JSC600" s="46"/>
      <c r="JSD600" s="48"/>
      <c r="JSE600" s="53"/>
      <c r="JSL600" s="15"/>
      <c r="JSM600" s="50"/>
      <c r="JSN600" s="50"/>
      <c r="JSO600" s="46"/>
      <c r="JSP600" s="47"/>
      <c r="JSQ600" s="46"/>
      <c r="JSR600" s="48"/>
      <c r="JSS600" s="53"/>
      <c r="JSZ600" s="15"/>
      <c r="JTA600" s="50"/>
      <c r="JTB600" s="50"/>
      <c r="JTC600" s="46"/>
      <c r="JTD600" s="47"/>
      <c r="JTE600" s="46"/>
      <c r="JTF600" s="48"/>
      <c r="JTG600" s="53"/>
      <c r="JTN600" s="15"/>
      <c r="JTO600" s="50"/>
      <c r="JTP600" s="50"/>
      <c r="JTQ600" s="46"/>
      <c r="JTR600" s="47"/>
      <c r="JTS600" s="46"/>
      <c r="JTT600" s="48"/>
      <c r="JTU600" s="53"/>
      <c r="JUB600" s="15"/>
      <c r="JUC600" s="50"/>
      <c r="JUD600" s="50"/>
      <c r="JUE600" s="46"/>
      <c r="JUF600" s="47"/>
      <c r="JUG600" s="46"/>
      <c r="JUH600" s="48"/>
      <c r="JUI600" s="53"/>
      <c r="JUP600" s="15"/>
      <c r="JUQ600" s="50"/>
      <c r="JUR600" s="50"/>
      <c r="JUS600" s="46"/>
      <c r="JUT600" s="47"/>
      <c r="JUU600" s="46"/>
      <c r="JUV600" s="48"/>
      <c r="JUW600" s="53"/>
      <c r="JVD600" s="15"/>
      <c r="JVE600" s="50"/>
      <c r="JVF600" s="50"/>
      <c r="JVG600" s="46"/>
      <c r="JVH600" s="47"/>
      <c r="JVI600" s="46"/>
      <c r="JVJ600" s="48"/>
      <c r="JVK600" s="53"/>
      <c r="JVR600" s="15"/>
      <c r="JVS600" s="50"/>
      <c r="JVT600" s="50"/>
      <c r="JVU600" s="46"/>
      <c r="JVV600" s="47"/>
      <c r="JVW600" s="46"/>
      <c r="JVX600" s="48"/>
      <c r="JVY600" s="53"/>
      <c r="JWF600" s="15"/>
      <c r="JWG600" s="50"/>
      <c r="JWH600" s="50"/>
      <c r="JWI600" s="46"/>
      <c r="JWJ600" s="47"/>
      <c r="JWK600" s="46"/>
      <c r="JWL600" s="48"/>
      <c r="JWM600" s="53"/>
      <c r="JWT600" s="15"/>
      <c r="JWU600" s="50"/>
      <c r="JWV600" s="50"/>
      <c r="JWW600" s="46"/>
      <c r="JWX600" s="47"/>
      <c r="JWY600" s="46"/>
      <c r="JWZ600" s="48"/>
      <c r="JXA600" s="53"/>
      <c r="JXH600" s="15"/>
      <c r="JXI600" s="50"/>
      <c r="JXJ600" s="50"/>
      <c r="JXK600" s="46"/>
      <c r="JXL600" s="47"/>
      <c r="JXM600" s="46"/>
      <c r="JXN600" s="48"/>
      <c r="JXO600" s="53"/>
      <c r="JXV600" s="15"/>
      <c r="JXW600" s="50"/>
      <c r="JXX600" s="50"/>
      <c r="JXY600" s="46"/>
      <c r="JXZ600" s="47"/>
      <c r="JYA600" s="46"/>
      <c r="JYB600" s="48"/>
      <c r="JYC600" s="53"/>
      <c r="JYJ600" s="15"/>
      <c r="JYK600" s="50"/>
      <c r="JYL600" s="50"/>
      <c r="JYM600" s="46"/>
      <c r="JYN600" s="47"/>
      <c r="JYO600" s="46"/>
      <c r="JYP600" s="48"/>
      <c r="JYQ600" s="53"/>
      <c r="JYX600" s="15"/>
      <c r="JYY600" s="50"/>
      <c r="JYZ600" s="50"/>
      <c r="JZA600" s="46"/>
      <c r="JZB600" s="47"/>
      <c r="JZC600" s="46"/>
      <c r="JZD600" s="48"/>
      <c r="JZE600" s="53"/>
      <c r="JZL600" s="15"/>
      <c r="JZM600" s="50"/>
      <c r="JZN600" s="50"/>
      <c r="JZO600" s="46"/>
      <c r="JZP600" s="47"/>
      <c r="JZQ600" s="46"/>
      <c r="JZR600" s="48"/>
      <c r="JZS600" s="53"/>
      <c r="JZZ600" s="15"/>
      <c r="KAA600" s="50"/>
      <c r="KAB600" s="50"/>
      <c r="KAC600" s="46"/>
      <c r="KAD600" s="47"/>
      <c r="KAE600" s="46"/>
      <c r="KAF600" s="48"/>
      <c r="KAG600" s="53"/>
      <c r="KAN600" s="15"/>
      <c r="KAO600" s="50"/>
      <c r="KAP600" s="50"/>
      <c r="KAQ600" s="46"/>
      <c r="KAR600" s="47"/>
      <c r="KAS600" s="46"/>
      <c r="KAT600" s="48"/>
      <c r="KAU600" s="53"/>
      <c r="KBB600" s="15"/>
      <c r="KBC600" s="50"/>
      <c r="KBD600" s="50"/>
      <c r="KBE600" s="46"/>
      <c r="KBF600" s="47"/>
      <c r="KBG600" s="46"/>
      <c r="KBH600" s="48"/>
      <c r="KBI600" s="53"/>
      <c r="KBP600" s="15"/>
      <c r="KBQ600" s="50"/>
      <c r="KBR600" s="50"/>
      <c r="KBS600" s="46"/>
      <c r="KBT600" s="47"/>
      <c r="KBU600" s="46"/>
      <c r="KBV600" s="48"/>
      <c r="KBW600" s="53"/>
      <c r="KCD600" s="15"/>
      <c r="KCE600" s="50"/>
      <c r="KCF600" s="50"/>
      <c r="KCG600" s="46"/>
      <c r="KCH600" s="47"/>
      <c r="KCI600" s="46"/>
      <c r="KCJ600" s="48"/>
      <c r="KCK600" s="53"/>
      <c r="KCR600" s="15"/>
      <c r="KCS600" s="50"/>
      <c r="KCT600" s="50"/>
      <c r="KCU600" s="46"/>
      <c r="KCV600" s="47"/>
      <c r="KCW600" s="46"/>
      <c r="KCX600" s="48"/>
      <c r="KCY600" s="53"/>
      <c r="KDF600" s="15"/>
      <c r="KDG600" s="50"/>
      <c r="KDH600" s="50"/>
      <c r="KDI600" s="46"/>
      <c r="KDJ600" s="47"/>
      <c r="KDK600" s="46"/>
      <c r="KDL600" s="48"/>
      <c r="KDM600" s="53"/>
      <c r="KDT600" s="15"/>
      <c r="KDU600" s="50"/>
      <c r="KDV600" s="50"/>
      <c r="KDW600" s="46"/>
      <c r="KDX600" s="47"/>
      <c r="KDY600" s="46"/>
      <c r="KDZ600" s="48"/>
      <c r="KEA600" s="53"/>
      <c r="KEH600" s="15"/>
      <c r="KEI600" s="50"/>
      <c r="KEJ600" s="50"/>
      <c r="KEK600" s="46"/>
      <c r="KEL600" s="47"/>
      <c r="KEM600" s="46"/>
      <c r="KEN600" s="48"/>
      <c r="KEO600" s="53"/>
      <c r="KEV600" s="15"/>
      <c r="KEW600" s="50"/>
      <c r="KEX600" s="50"/>
      <c r="KEY600" s="46"/>
      <c r="KEZ600" s="47"/>
      <c r="KFA600" s="46"/>
      <c r="KFB600" s="48"/>
      <c r="KFC600" s="53"/>
      <c r="KFJ600" s="15"/>
      <c r="KFK600" s="50"/>
      <c r="KFL600" s="50"/>
      <c r="KFM600" s="46"/>
      <c r="KFN600" s="47"/>
      <c r="KFO600" s="46"/>
      <c r="KFP600" s="48"/>
      <c r="KFQ600" s="53"/>
      <c r="KFX600" s="15"/>
      <c r="KFY600" s="50"/>
      <c r="KFZ600" s="50"/>
      <c r="KGA600" s="46"/>
      <c r="KGB600" s="47"/>
      <c r="KGC600" s="46"/>
      <c r="KGD600" s="48"/>
      <c r="KGE600" s="53"/>
      <c r="KGL600" s="15"/>
      <c r="KGM600" s="50"/>
      <c r="KGN600" s="50"/>
      <c r="KGO600" s="46"/>
      <c r="KGP600" s="47"/>
      <c r="KGQ600" s="46"/>
      <c r="KGR600" s="48"/>
      <c r="KGS600" s="53"/>
      <c r="KGZ600" s="15"/>
      <c r="KHA600" s="50"/>
      <c r="KHB600" s="50"/>
      <c r="KHC600" s="46"/>
      <c r="KHD600" s="47"/>
      <c r="KHE600" s="46"/>
      <c r="KHF600" s="48"/>
      <c r="KHG600" s="53"/>
      <c r="KHN600" s="15"/>
      <c r="KHO600" s="50"/>
      <c r="KHP600" s="50"/>
      <c r="KHQ600" s="46"/>
      <c r="KHR600" s="47"/>
      <c r="KHS600" s="46"/>
      <c r="KHT600" s="48"/>
      <c r="KHU600" s="53"/>
      <c r="KIB600" s="15"/>
      <c r="KIC600" s="50"/>
      <c r="KID600" s="50"/>
      <c r="KIE600" s="46"/>
      <c r="KIF600" s="47"/>
      <c r="KIG600" s="46"/>
      <c r="KIH600" s="48"/>
      <c r="KII600" s="53"/>
      <c r="KIP600" s="15"/>
      <c r="KIQ600" s="50"/>
      <c r="KIR600" s="50"/>
      <c r="KIS600" s="46"/>
      <c r="KIT600" s="47"/>
      <c r="KIU600" s="46"/>
      <c r="KIV600" s="48"/>
      <c r="KIW600" s="53"/>
      <c r="KJD600" s="15"/>
      <c r="KJE600" s="50"/>
      <c r="KJF600" s="50"/>
      <c r="KJG600" s="46"/>
      <c r="KJH600" s="47"/>
      <c r="KJI600" s="46"/>
      <c r="KJJ600" s="48"/>
      <c r="KJK600" s="53"/>
      <c r="KJR600" s="15"/>
      <c r="KJS600" s="50"/>
      <c r="KJT600" s="50"/>
      <c r="KJU600" s="46"/>
      <c r="KJV600" s="47"/>
      <c r="KJW600" s="46"/>
      <c r="KJX600" s="48"/>
      <c r="KJY600" s="53"/>
      <c r="KKF600" s="15"/>
      <c r="KKG600" s="50"/>
      <c r="KKH600" s="50"/>
      <c r="KKI600" s="46"/>
      <c r="KKJ600" s="47"/>
      <c r="KKK600" s="46"/>
      <c r="KKL600" s="48"/>
      <c r="KKM600" s="53"/>
      <c r="KKT600" s="15"/>
      <c r="KKU600" s="50"/>
      <c r="KKV600" s="50"/>
      <c r="KKW600" s="46"/>
      <c r="KKX600" s="47"/>
      <c r="KKY600" s="46"/>
      <c r="KKZ600" s="48"/>
      <c r="KLA600" s="53"/>
      <c r="KLH600" s="15"/>
      <c r="KLI600" s="50"/>
      <c r="KLJ600" s="50"/>
      <c r="KLK600" s="46"/>
      <c r="KLL600" s="47"/>
      <c r="KLM600" s="46"/>
      <c r="KLN600" s="48"/>
      <c r="KLO600" s="53"/>
      <c r="KLV600" s="15"/>
      <c r="KLW600" s="50"/>
      <c r="KLX600" s="50"/>
      <c r="KLY600" s="46"/>
      <c r="KLZ600" s="47"/>
      <c r="KMA600" s="46"/>
      <c r="KMB600" s="48"/>
      <c r="KMC600" s="53"/>
      <c r="KMJ600" s="15"/>
      <c r="KMK600" s="50"/>
      <c r="KML600" s="50"/>
      <c r="KMM600" s="46"/>
      <c r="KMN600" s="47"/>
      <c r="KMO600" s="46"/>
      <c r="KMP600" s="48"/>
      <c r="KMQ600" s="53"/>
      <c r="KMX600" s="15"/>
      <c r="KMY600" s="50"/>
      <c r="KMZ600" s="50"/>
      <c r="KNA600" s="46"/>
      <c r="KNB600" s="47"/>
      <c r="KNC600" s="46"/>
      <c r="KND600" s="48"/>
      <c r="KNE600" s="53"/>
      <c r="KNL600" s="15"/>
      <c r="KNM600" s="50"/>
      <c r="KNN600" s="50"/>
      <c r="KNO600" s="46"/>
      <c r="KNP600" s="47"/>
      <c r="KNQ600" s="46"/>
      <c r="KNR600" s="48"/>
      <c r="KNS600" s="53"/>
      <c r="KNZ600" s="15"/>
      <c r="KOA600" s="50"/>
      <c r="KOB600" s="50"/>
      <c r="KOC600" s="46"/>
      <c r="KOD600" s="47"/>
      <c r="KOE600" s="46"/>
      <c r="KOF600" s="48"/>
      <c r="KOG600" s="53"/>
      <c r="KON600" s="15"/>
      <c r="KOO600" s="50"/>
      <c r="KOP600" s="50"/>
      <c r="KOQ600" s="46"/>
      <c r="KOR600" s="47"/>
      <c r="KOS600" s="46"/>
      <c r="KOT600" s="48"/>
      <c r="KOU600" s="53"/>
      <c r="KPB600" s="15"/>
      <c r="KPC600" s="50"/>
      <c r="KPD600" s="50"/>
      <c r="KPE600" s="46"/>
      <c r="KPF600" s="47"/>
      <c r="KPG600" s="46"/>
      <c r="KPH600" s="48"/>
      <c r="KPI600" s="53"/>
      <c r="KPP600" s="15"/>
      <c r="KPQ600" s="50"/>
      <c r="KPR600" s="50"/>
      <c r="KPS600" s="46"/>
      <c r="KPT600" s="47"/>
      <c r="KPU600" s="46"/>
      <c r="KPV600" s="48"/>
      <c r="KPW600" s="53"/>
      <c r="KQD600" s="15"/>
      <c r="KQE600" s="50"/>
      <c r="KQF600" s="50"/>
      <c r="KQG600" s="46"/>
      <c r="KQH600" s="47"/>
      <c r="KQI600" s="46"/>
      <c r="KQJ600" s="48"/>
      <c r="KQK600" s="53"/>
      <c r="KQR600" s="15"/>
      <c r="KQS600" s="50"/>
      <c r="KQT600" s="50"/>
      <c r="KQU600" s="46"/>
      <c r="KQV600" s="47"/>
      <c r="KQW600" s="46"/>
      <c r="KQX600" s="48"/>
      <c r="KQY600" s="53"/>
      <c r="KRF600" s="15"/>
      <c r="KRG600" s="50"/>
      <c r="KRH600" s="50"/>
      <c r="KRI600" s="46"/>
      <c r="KRJ600" s="47"/>
      <c r="KRK600" s="46"/>
      <c r="KRL600" s="48"/>
      <c r="KRM600" s="53"/>
      <c r="KRT600" s="15"/>
      <c r="KRU600" s="50"/>
      <c r="KRV600" s="50"/>
      <c r="KRW600" s="46"/>
      <c r="KRX600" s="47"/>
      <c r="KRY600" s="46"/>
      <c r="KRZ600" s="48"/>
      <c r="KSA600" s="53"/>
      <c r="KSH600" s="15"/>
      <c r="KSI600" s="50"/>
      <c r="KSJ600" s="50"/>
      <c r="KSK600" s="46"/>
      <c r="KSL600" s="47"/>
      <c r="KSM600" s="46"/>
      <c r="KSN600" s="48"/>
      <c r="KSO600" s="53"/>
      <c r="KSV600" s="15"/>
      <c r="KSW600" s="50"/>
      <c r="KSX600" s="50"/>
      <c r="KSY600" s="46"/>
      <c r="KSZ600" s="47"/>
      <c r="KTA600" s="46"/>
      <c r="KTB600" s="48"/>
      <c r="KTC600" s="53"/>
      <c r="KTJ600" s="15"/>
      <c r="KTK600" s="50"/>
      <c r="KTL600" s="50"/>
      <c r="KTM600" s="46"/>
      <c r="KTN600" s="47"/>
      <c r="KTO600" s="46"/>
      <c r="KTP600" s="48"/>
      <c r="KTQ600" s="53"/>
      <c r="KTX600" s="15"/>
      <c r="KTY600" s="50"/>
      <c r="KTZ600" s="50"/>
      <c r="KUA600" s="46"/>
      <c r="KUB600" s="47"/>
      <c r="KUC600" s="46"/>
      <c r="KUD600" s="48"/>
      <c r="KUE600" s="53"/>
      <c r="KUL600" s="15"/>
      <c r="KUM600" s="50"/>
      <c r="KUN600" s="50"/>
      <c r="KUO600" s="46"/>
      <c r="KUP600" s="47"/>
      <c r="KUQ600" s="46"/>
      <c r="KUR600" s="48"/>
      <c r="KUS600" s="53"/>
      <c r="KUZ600" s="15"/>
      <c r="KVA600" s="50"/>
      <c r="KVB600" s="50"/>
      <c r="KVC600" s="46"/>
      <c r="KVD600" s="47"/>
      <c r="KVE600" s="46"/>
      <c r="KVF600" s="48"/>
      <c r="KVG600" s="53"/>
      <c r="KVN600" s="15"/>
      <c r="KVO600" s="50"/>
      <c r="KVP600" s="50"/>
      <c r="KVQ600" s="46"/>
      <c r="KVR600" s="47"/>
      <c r="KVS600" s="46"/>
      <c r="KVT600" s="48"/>
      <c r="KVU600" s="53"/>
      <c r="KWB600" s="15"/>
      <c r="KWC600" s="50"/>
      <c r="KWD600" s="50"/>
      <c r="KWE600" s="46"/>
      <c r="KWF600" s="47"/>
      <c r="KWG600" s="46"/>
      <c r="KWH600" s="48"/>
      <c r="KWI600" s="53"/>
      <c r="KWP600" s="15"/>
      <c r="KWQ600" s="50"/>
      <c r="KWR600" s="50"/>
      <c r="KWS600" s="46"/>
      <c r="KWT600" s="47"/>
      <c r="KWU600" s="46"/>
      <c r="KWV600" s="48"/>
      <c r="KWW600" s="53"/>
      <c r="KXD600" s="15"/>
      <c r="KXE600" s="50"/>
      <c r="KXF600" s="50"/>
      <c r="KXG600" s="46"/>
      <c r="KXH600" s="47"/>
      <c r="KXI600" s="46"/>
      <c r="KXJ600" s="48"/>
      <c r="KXK600" s="53"/>
      <c r="KXR600" s="15"/>
      <c r="KXS600" s="50"/>
      <c r="KXT600" s="50"/>
      <c r="KXU600" s="46"/>
      <c r="KXV600" s="47"/>
      <c r="KXW600" s="46"/>
      <c r="KXX600" s="48"/>
      <c r="KXY600" s="53"/>
      <c r="KYF600" s="15"/>
      <c r="KYG600" s="50"/>
      <c r="KYH600" s="50"/>
      <c r="KYI600" s="46"/>
      <c r="KYJ600" s="47"/>
      <c r="KYK600" s="46"/>
      <c r="KYL600" s="48"/>
      <c r="KYM600" s="53"/>
      <c r="KYT600" s="15"/>
      <c r="KYU600" s="50"/>
      <c r="KYV600" s="50"/>
      <c r="KYW600" s="46"/>
      <c r="KYX600" s="47"/>
      <c r="KYY600" s="46"/>
      <c r="KYZ600" s="48"/>
      <c r="KZA600" s="53"/>
      <c r="KZH600" s="15"/>
      <c r="KZI600" s="50"/>
      <c r="KZJ600" s="50"/>
      <c r="KZK600" s="46"/>
      <c r="KZL600" s="47"/>
      <c r="KZM600" s="46"/>
      <c r="KZN600" s="48"/>
      <c r="KZO600" s="53"/>
      <c r="KZV600" s="15"/>
      <c r="KZW600" s="50"/>
      <c r="KZX600" s="50"/>
      <c r="KZY600" s="46"/>
      <c r="KZZ600" s="47"/>
      <c r="LAA600" s="46"/>
      <c r="LAB600" s="48"/>
      <c r="LAC600" s="53"/>
      <c r="LAJ600" s="15"/>
      <c r="LAK600" s="50"/>
      <c r="LAL600" s="50"/>
      <c r="LAM600" s="46"/>
      <c r="LAN600" s="47"/>
      <c r="LAO600" s="46"/>
      <c r="LAP600" s="48"/>
      <c r="LAQ600" s="53"/>
      <c r="LAX600" s="15"/>
      <c r="LAY600" s="50"/>
      <c r="LAZ600" s="50"/>
      <c r="LBA600" s="46"/>
      <c r="LBB600" s="47"/>
      <c r="LBC600" s="46"/>
      <c r="LBD600" s="48"/>
      <c r="LBE600" s="53"/>
      <c r="LBL600" s="15"/>
      <c r="LBM600" s="50"/>
      <c r="LBN600" s="50"/>
      <c r="LBO600" s="46"/>
      <c r="LBP600" s="47"/>
      <c r="LBQ600" s="46"/>
      <c r="LBR600" s="48"/>
      <c r="LBS600" s="53"/>
      <c r="LBZ600" s="15"/>
      <c r="LCA600" s="50"/>
      <c r="LCB600" s="50"/>
      <c r="LCC600" s="46"/>
      <c r="LCD600" s="47"/>
      <c r="LCE600" s="46"/>
      <c r="LCF600" s="48"/>
      <c r="LCG600" s="53"/>
      <c r="LCN600" s="15"/>
      <c r="LCO600" s="50"/>
      <c r="LCP600" s="50"/>
      <c r="LCQ600" s="46"/>
      <c r="LCR600" s="47"/>
      <c r="LCS600" s="46"/>
      <c r="LCT600" s="48"/>
      <c r="LCU600" s="53"/>
      <c r="LDB600" s="15"/>
      <c r="LDC600" s="50"/>
      <c r="LDD600" s="50"/>
      <c r="LDE600" s="46"/>
      <c r="LDF600" s="47"/>
      <c r="LDG600" s="46"/>
      <c r="LDH600" s="48"/>
      <c r="LDI600" s="53"/>
      <c r="LDP600" s="15"/>
      <c r="LDQ600" s="50"/>
      <c r="LDR600" s="50"/>
      <c r="LDS600" s="46"/>
      <c r="LDT600" s="47"/>
      <c r="LDU600" s="46"/>
      <c r="LDV600" s="48"/>
      <c r="LDW600" s="53"/>
      <c r="LED600" s="15"/>
      <c r="LEE600" s="50"/>
      <c r="LEF600" s="50"/>
      <c r="LEG600" s="46"/>
      <c r="LEH600" s="47"/>
      <c r="LEI600" s="46"/>
      <c r="LEJ600" s="48"/>
      <c r="LEK600" s="53"/>
      <c r="LER600" s="15"/>
      <c r="LES600" s="50"/>
      <c r="LET600" s="50"/>
      <c r="LEU600" s="46"/>
      <c r="LEV600" s="47"/>
      <c r="LEW600" s="46"/>
      <c r="LEX600" s="48"/>
      <c r="LEY600" s="53"/>
      <c r="LFF600" s="15"/>
      <c r="LFG600" s="50"/>
      <c r="LFH600" s="50"/>
      <c r="LFI600" s="46"/>
      <c r="LFJ600" s="47"/>
      <c r="LFK600" s="46"/>
      <c r="LFL600" s="48"/>
      <c r="LFM600" s="53"/>
      <c r="LFT600" s="15"/>
      <c r="LFU600" s="50"/>
      <c r="LFV600" s="50"/>
      <c r="LFW600" s="46"/>
      <c r="LFX600" s="47"/>
      <c r="LFY600" s="46"/>
      <c r="LFZ600" s="48"/>
      <c r="LGA600" s="53"/>
      <c r="LGH600" s="15"/>
      <c r="LGI600" s="50"/>
      <c r="LGJ600" s="50"/>
      <c r="LGK600" s="46"/>
      <c r="LGL600" s="47"/>
      <c r="LGM600" s="46"/>
      <c r="LGN600" s="48"/>
      <c r="LGO600" s="53"/>
      <c r="LGV600" s="15"/>
      <c r="LGW600" s="50"/>
      <c r="LGX600" s="50"/>
      <c r="LGY600" s="46"/>
      <c r="LGZ600" s="47"/>
      <c r="LHA600" s="46"/>
      <c r="LHB600" s="48"/>
      <c r="LHC600" s="53"/>
      <c r="LHJ600" s="15"/>
      <c r="LHK600" s="50"/>
      <c r="LHL600" s="50"/>
      <c r="LHM600" s="46"/>
      <c r="LHN600" s="47"/>
      <c r="LHO600" s="46"/>
      <c r="LHP600" s="48"/>
      <c r="LHQ600" s="53"/>
      <c r="LHX600" s="15"/>
      <c r="LHY600" s="50"/>
      <c r="LHZ600" s="50"/>
      <c r="LIA600" s="46"/>
      <c r="LIB600" s="47"/>
      <c r="LIC600" s="46"/>
      <c r="LID600" s="48"/>
      <c r="LIE600" s="53"/>
      <c r="LIL600" s="15"/>
      <c r="LIM600" s="50"/>
      <c r="LIN600" s="50"/>
      <c r="LIO600" s="46"/>
      <c r="LIP600" s="47"/>
      <c r="LIQ600" s="46"/>
      <c r="LIR600" s="48"/>
      <c r="LIS600" s="53"/>
      <c r="LIZ600" s="15"/>
      <c r="LJA600" s="50"/>
      <c r="LJB600" s="50"/>
      <c r="LJC600" s="46"/>
      <c r="LJD600" s="47"/>
      <c r="LJE600" s="46"/>
      <c r="LJF600" s="48"/>
      <c r="LJG600" s="53"/>
      <c r="LJN600" s="15"/>
      <c r="LJO600" s="50"/>
      <c r="LJP600" s="50"/>
      <c r="LJQ600" s="46"/>
      <c r="LJR600" s="47"/>
      <c r="LJS600" s="46"/>
      <c r="LJT600" s="48"/>
      <c r="LJU600" s="53"/>
      <c r="LKB600" s="15"/>
      <c r="LKC600" s="50"/>
      <c r="LKD600" s="50"/>
      <c r="LKE600" s="46"/>
      <c r="LKF600" s="47"/>
      <c r="LKG600" s="46"/>
      <c r="LKH600" s="48"/>
      <c r="LKI600" s="53"/>
      <c r="LKP600" s="15"/>
      <c r="LKQ600" s="50"/>
      <c r="LKR600" s="50"/>
      <c r="LKS600" s="46"/>
      <c r="LKT600" s="47"/>
      <c r="LKU600" s="46"/>
      <c r="LKV600" s="48"/>
      <c r="LKW600" s="53"/>
      <c r="LLD600" s="15"/>
      <c r="LLE600" s="50"/>
      <c r="LLF600" s="50"/>
      <c r="LLG600" s="46"/>
      <c r="LLH600" s="47"/>
      <c r="LLI600" s="46"/>
      <c r="LLJ600" s="48"/>
      <c r="LLK600" s="53"/>
      <c r="LLR600" s="15"/>
      <c r="LLS600" s="50"/>
      <c r="LLT600" s="50"/>
      <c r="LLU600" s="46"/>
      <c r="LLV600" s="47"/>
      <c r="LLW600" s="46"/>
      <c r="LLX600" s="48"/>
      <c r="LLY600" s="53"/>
      <c r="LMF600" s="15"/>
      <c r="LMG600" s="50"/>
      <c r="LMH600" s="50"/>
      <c r="LMI600" s="46"/>
      <c r="LMJ600" s="47"/>
      <c r="LMK600" s="46"/>
      <c r="LML600" s="48"/>
      <c r="LMM600" s="53"/>
      <c r="LMT600" s="15"/>
      <c r="LMU600" s="50"/>
      <c r="LMV600" s="50"/>
      <c r="LMW600" s="46"/>
      <c r="LMX600" s="47"/>
      <c r="LMY600" s="46"/>
      <c r="LMZ600" s="48"/>
      <c r="LNA600" s="53"/>
      <c r="LNH600" s="15"/>
      <c r="LNI600" s="50"/>
      <c r="LNJ600" s="50"/>
      <c r="LNK600" s="46"/>
      <c r="LNL600" s="47"/>
      <c r="LNM600" s="46"/>
      <c r="LNN600" s="48"/>
      <c r="LNO600" s="53"/>
      <c r="LNV600" s="15"/>
      <c r="LNW600" s="50"/>
      <c r="LNX600" s="50"/>
      <c r="LNY600" s="46"/>
      <c r="LNZ600" s="47"/>
      <c r="LOA600" s="46"/>
      <c r="LOB600" s="48"/>
      <c r="LOC600" s="53"/>
      <c r="LOJ600" s="15"/>
      <c r="LOK600" s="50"/>
      <c r="LOL600" s="50"/>
      <c r="LOM600" s="46"/>
      <c r="LON600" s="47"/>
      <c r="LOO600" s="46"/>
      <c r="LOP600" s="48"/>
      <c r="LOQ600" s="53"/>
      <c r="LOX600" s="15"/>
      <c r="LOY600" s="50"/>
      <c r="LOZ600" s="50"/>
      <c r="LPA600" s="46"/>
      <c r="LPB600" s="47"/>
      <c r="LPC600" s="46"/>
      <c r="LPD600" s="48"/>
      <c r="LPE600" s="53"/>
      <c r="LPL600" s="15"/>
      <c r="LPM600" s="50"/>
      <c r="LPN600" s="50"/>
      <c r="LPO600" s="46"/>
      <c r="LPP600" s="47"/>
      <c r="LPQ600" s="46"/>
      <c r="LPR600" s="48"/>
      <c r="LPS600" s="53"/>
      <c r="LPZ600" s="15"/>
      <c r="LQA600" s="50"/>
      <c r="LQB600" s="50"/>
      <c r="LQC600" s="46"/>
      <c r="LQD600" s="47"/>
      <c r="LQE600" s="46"/>
      <c r="LQF600" s="48"/>
      <c r="LQG600" s="53"/>
      <c r="LQN600" s="15"/>
      <c r="LQO600" s="50"/>
      <c r="LQP600" s="50"/>
      <c r="LQQ600" s="46"/>
      <c r="LQR600" s="47"/>
      <c r="LQS600" s="46"/>
      <c r="LQT600" s="48"/>
      <c r="LQU600" s="53"/>
      <c r="LRB600" s="15"/>
      <c r="LRC600" s="50"/>
      <c r="LRD600" s="50"/>
      <c r="LRE600" s="46"/>
      <c r="LRF600" s="47"/>
      <c r="LRG600" s="46"/>
      <c r="LRH600" s="48"/>
      <c r="LRI600" s="53"/>
      <c r="LRP600" s="15"/>
      <c r="LRQ600" s="50"/>
      <c r="LRR600" s="50"/>
      <c r="LRS600" s="46"/>
      <c r="LRT600" s="47"/>
      <c r="LRU600" s="46"/>
      <c r="LRV600" s="48"/>
      <c r="LRW600" s="53"/>
      <c r="LSD600" s="15"/>
      <c r="LSE600" s="50"/>
      <c r="LSF600" s="50"/>
      <c r="LSG600" s="46"/>
      <c r="LSH600" s="47"/>
      <c r="LSI600" s="46"/>
      <c r="LSJ600" s="48"/>
      <c r="LSK600" s="53"/>
      <c r="LSR600" s="15"/>
      <c r="LSS600" s="50"/>
      <c r="LST600" s="50"/>
      <c r="LSU600" s="46"/>
      <c r="LSV600" s="47"/>
      <c r="LSW600" s="46"/>
      <c r="LSX600" s="48"/>
      <c r="LSY600" s="53"/>
      <c r="LTF600" s="15"/>
      <c r="LTG600" s="50"/>
      <c r="LTH600" s="50"/>
      <c r="LTI600" s="46"/>
      <c r="LTJ600" s="47"/>
      <c r="LTK600" s="46"/>
      <c r="LTL600" s="48"/>
      <c r="LTM600" s="53"/>
      <c r="LTT600" s="15"/>
      <c r="LTU600" s="50"/>
      <c r="LTV600" s="50"/>
      <c r="LTW600" s="46"/>
      <c r="LTX600" s="47"/>
      <c r="LTY600" s="46"/>
      <c r="LTZ600" s="48"/>
      <c r="LUA600" s="53"/>
      <c r="LUH600" s="15"/>
      <c r="LUI600" s="50"/>
      <c r="LUJ600" s="50"/>
      <c r="LUK600" s="46"/>
      <c r="LUL600" s="47"/>
      <c r="LUM600" s="46"/>
      <c r="LUN600" s="48"/>
      <c r="LUO600" s="53"/>
      <c r="LUV600" s="15"/>
      <c r="LUW600" s="50"/>
      <c r="LUX600" s="50"/>
      <c r="LUY600" s="46"/>
      <c r="LUZ600" s="47"/>
      <c r="LVA600" s="46"/>
      <c r="LVB600" s="48"/>
      <c r="LVC600" s="53"/>
      <c r="LVJ600" s="15"/>
      <c r="LVK600" s="50"/>
      <c r="LVL600" s="50"/>
      <c r="LVM600" s="46"/>
      <c r="LVN600" s="47"/>
      <c r="LVO600" s="46"/>
      <c r="LVP600" s="48"/>
      <c r="LVQ600" s="53"/>
      <c r="LVX600" s="15"/>
      <c r="LVY600" s="50"/>
      <c r="LVZ600" s="50"/>
      <c r="LWA600" s="46"/>
      <c r="LWB600" s="47"/>
      <c r="LWC600" s="46"/>
      <c r="LWD600" s="48"/>
      <c r="LWE600" s="53"/>
      <c r="LWL600" s="15"/>
      <c r="LWM600" s="50"/>
      <c r="LWN600" s="50"/>
      <c r="LWO600" s="46"/>
      <c r="LWP600" s="47"/>
      <c r="LWQ600" s="46"/>
      <c r="LWR600" s="48"/>
      <c r="LWS600" s="53"/>
      <c r="LWZ600" s="15"/>
      <c r="LXA600" s="50"/>
      <c r="LXB600" s="50"/>
      <c r="LXC600" s="46"/>
      <c r="LXD600" s="47"/>
      <c r="LXE600" s="46"/>
      <c r="LXF600" s="48"/>
      <c r="LXG600" s="53"/>
      <c r="LXN600" s="15"/>
      <c r="LXO600" s="50"/>
      <c r="LXP600" s="50"/>
      <c r="LXQ600" s="46"/>
      <c r="LXR600" s="47"/>
      <c r="LXS600" s="46"/>
      <c r="LXT600" s="48"/>
      <c r="LXU600" s="53"/>
      <c r="LYB600" s="15"/>
      <c r="LYC600" s="50"/>
      <c r="LYD600" s="50"/>
      <c r="LYE600" s="46"/>
      <c r="LYF600" s="47"/>
      <c r="LYG600" s="46"/>
      <c r="LYH600" s="48"/>
      <c r="LYI600" s="53"/>
      <c r="LYP600" s="15"/>
      <c r="LYQ600" s="50"/>
      <c r="LYR600" s="50"/>
      <c r="LYS600" s="46"/>
      <c r="LYT600" s="47"/>
      <c r="LYU600" s="46"/>
      <c r="LYV600" s="48"/>
      <c r="LYW600" s="53"/>
      <c r="LZD600" s="15"/>
      <c r="LZE600" s="50"/>
      <c r="LZF600" s="50"/>
      <c r="LZG600" s="46"/>
      <c r="LZH600" s="47"/>
      <c r="LZI600" s="46"/>
      <c r="LZJ600" s="48"/>
      <c r="LZK600" s="53"/>
      <c r="LZR600" s="15"/>
      <c r="LZS600" s="50"/>
      <c r="LZT600" s="50"/>
      <c r="LZU600" s="46"/>
      <c r="LZV600" s="47"/>
      <c r="LZW600" s="46"/>
      <c r="LZX600" s="48"/>
      <c r="LZY600" s="53"/>
      <c r="MAF600" s="15"/>
      <c r="MAG600" s="50"/>
      <c r="MAH600" s="50"/>
      <c r="MAI600" s="46"/>
      <c r="MAJ600" s="47"/>
      <c r="MAK600" s="46"/>
      <c r="MAL600" s="48"/>
      <c r="MAM600" s="53"/>
      <c r="MAT600" s="15"/>
      <c r="MAU600" s="50"/>
      <c r="MAV600" s="50"/>
      <c r="MAW600" s="46"/>
      <c r="MAX600" s="47"/>
      <c r="MAY600" s="46"/>
      <c r="MAZ600" s="48"/>
      <c r="MBA600" s="53"/>
      <c r="MBH600" s="15"/>
      <c r="MBI600" s="50"/>
      <c r="MBJ600" s="50"/>
      <c r="MBK600" s="46"/>
      <c r="MBL600" s="47"/>
      <c r="MBM600" s="46"/>
      <c r="MBN600" s="48"/>
      <c r="MBO600" s="53"/>
      <c r="MBV600" s="15"/>
      <c r="MBW600" s="50"/>
      <c r="MBX600" s="50"/>
      <c r="MBY600" s="46"/>
      <c r="MBZ600" s="47"/>
      <c r="MCA600" s="46"/>
      <c r="MCB600" s="48"/>
      <c r="MCC600" s="53"/>
      <c r="MCJ600" s="15"/>
      <c r="MCK600" s="50"/>
      <c r="MCL600" s="50"/>
      <c r="MCM600" s="46"/>
      <c r="MCN600" s="47"/>
      <c r="MCO600" s="46"/>
      <c r="MCP600" s="48"/>
      <c r="MCQ600" s="53"/>
      <c r="MCX600" s="15"/>
      <c r="MCY600" s="50"/>
      <c r="MCZ600" s="50"/>
      <c r="MDA600" s="46"/>
      <c r="MDB600" s="47"/>
      <c r="MDC600" s="46"/>
      <c r="MDD600" s="48"/>
      <c r="MDE600" s="53"/>
      <c r="MDL600" s="15"/>
      <c r="MDM600" s="50"/>
      <c r="MDN600" s="50"/>
      <c r="MDO600" s="46"/>
      <c r="MDP600" s="47"/>
      <c r="MDQ600" s="46"/>
      <c r="MDR600" s="48"/>
      <c r="MDS600" s="53"/>
      <c r="MDZ600" s="15"/>
      <c r="MEA600" s="50"/>
      <c r="MEB600" s="50"/>
      <c r="MEC600" s="46"/>
      <c r="MED600" s="47"/>
      <c r="MEE600" s="46"/>
      <c r="MEF600" s="48"/>
      <c r="MEG600" s="53"/>
      <c r="MEN600" s="15"/>
      <c r="MEO600" s="50"/>
      <c r="MEP600" s="50"/>
      <c r="MEQ600" s="46"/>
      <c r="MER600" s="47"/>
      <c r="MES600" s="46"/>
      <c r="MET600" s="48"/>
      <c r="MEU600" s="53"/>
      <c r="MFB600" s="15"/>
      <c r="MFC600" s="50"/>
      <c r="MFD600" s="50"/>
      <c r="MFE600" s="46"/>
      <c r="MFF600" s="47"/>
      <c r="MFG600" s="46"/>
      <c r="MFH600" s="48"/>
      <c r="MFI600" s="53"/>
      <c r="MFP600" s="15"/>
      <c r="MFQ600" s="50"/>
      <c r="MFR600" s="50"/>
      <c r="MFS600" s="46"/>
      <c r="MFT600" s="47"/>
      <c r="MFU600" s="46"/>
      <c r="MFV600" s="48"/>
      <c r="MFW600" s="53"/>
      <c r="MGD600" s="15"/>
      <c r="MGE600" s="50"/>
      <c r="MGF600" s="50"/>
      <c r="MGG600" s="46"/>
      <c r="MGH600" s="47"/>
      <c r="MGI600" s="46"/>
      <c r="MGJ600" s="48"/>
      <c r="MGK600" s="53"/>
      <c r="MGR600" s="15"/>
      <c r="MGS600" s="50"/>
      <c r="MGT600" s="50"/>
      <c r="MGU600" s="46"/>
      <c r="MGV600" s="47"/>
      <c r="MGW600" s="46"/>
      <c r="MGX600" s="48"/>
      <c r="MGY600" s="53"/>
      <c r="MHF600" s="15"/>
      <c r="MHG600" s="50"/>
      <c r="MHH600" s="50"/>
      <c r="MHI600" s="46"/>
      <c r="MHJ600" s="47"/>
      <c r="MHK600" s="46"/>
      <c r="MHL600" s="48"/>
      <c r="MHM600" s="53"/>
      <c r="MHT600" s="15"/>
      <c r="MHU600" s="50"/>
      <c r="MHV600" s="50"/>
      <c r="MHW600" s="46"/>
      <c r="MHX600" s="47"/>
      <c r="MHY600" s="46"/>
      <c r="MHZ600" s="48"/>
      <c r="MIA600" s="53"/>
      <c r="MIH600" s="15"/>
      <c r="MII600" s="50"/>
      <c r="MIJ600" s="50"/>
      <c r="MIK600" s="46"/>
      <c r="MIL600" s="47"/>
      <c r="MIM600" s="46"/>
      <c r="MIN600" s="48"/>
      <c r="MIO600" s="53"/>
      <c r="MIV600" s="15"/>
      <c r="MIW600" s="50"/>
      <c r="MIX600" s="50"/>
      <c r="MIY600" s="46"/>
      <c r="MIZ600" s="47"/>
      <c r="MJA600" s="46"/>
      <c r="MJB600" s="48"/>
      <c r="MJC600" s="53"/>
      <c r="MJJ600" s="15"/>
      <c r="MJK600" s="50"/>
      <c r="MJL600" s="50"/>
      <c r="MJM600" s="46"/>
      <c r="MJN600" s="47"/>
      <c r="MJO600" s="46"/>
      <c r="MJP600" s="48"/>
      <c r="MJQ600" s="53"/>
      <c r="MJX600" s="15"/>
      <c r="MJY600" s="50"/>
      <c r="MJZ600" s="50"/>
      <c r="MKA600" s="46"/>
      <c r="MKB600" s="47"/>
      <c r="MKC600" s="46"/>
      <c r="MKD600" s="48"/>
      <c r="MKE600" s="53"/>
      <c r="MKL600" s="15"/>
      <c r="MKM600" s="50"/>
      <c r="MKN600" s="50"/>
      <c r="MKO600" s="46"/>
      <c r="MKP600" s="47"/>
      <c r="MKQ600" s="46"/>
      <c r="MKR600" s="48"/>
      <c r="MKS600" s="53"/>
      <c r="MKZ600" s="15"/>
      <c r="MLA600" s="50"/>
      <c r="MLB600" s="50"/>
      <c r="MLC600" s="46"/>
      <c r="MLD600" s="47"/>
      <c r="MLE600" s="46"/>
      <c r="MLF600" s="48"/>
      <c r="MLG600" s="53"/>
      <c r="MLN600" s="15"/>
      <c r="MLO600" s="50"/>
      <c r="MLP600" s="50"/>
      <c r="MLQ600" s="46"/>
      <c r="MLR600" s="47"/>
      <c r="MLS600" s="46"/>
      <c r="MLT600" s="48"/>
      <c r="MLU600" s="53"/>
      <c r="MMB600" s="15"/>
      <c r="MMC600" s="50"/>
      <c r="MMD600" s="50"/>
      <c r="MME600" s="46"/>
      <c r="MMF600" s="47"/>
      <c r="MMG600" s="46"/>
      <c r="MMH600" s="48"/>
      <c r="MMI600" s="53"/>
      <c r="MMP600" s="15"/>
      <c r="MMQ600" s="50"/>
      <c r="MMR600" s="50"/>
      <c r="MMS600" s="46"/>
      <c r="MMT600" s="47"/>
      <c r="MMU600" s="46"/>
      <c r="MMV600" s="48"/>
      <c r="MMW600" s="53"/>
      <c r="MND600" s="15"/>
      <c r="MNE600" s="50"/>
      <c r="MNF600" s="50"/>
      <c r="MNG600" s="46"/>
      <c r="MNH600" s="47"/>
      <c r="MNI600" s="46"/>
      <c r="MNJ600" s="48"/>
      <c r="MNK600" s="53"/>
      <c r="MNR600" s="15"/>
      <c r="MNS600" s="50"/>
      <c r="MNT600" s="50"/>
      <c r="MNU600" s="46"/>
      <c r="MNV600" s="47"/>
      <c r="MNW600" s="46"/>
      <c r="MNX600" s="48"/>
      <c r="MNY600" s="53"/>
      <c r="MOF600" s="15"/>
      <c r="MOG600" s="50"/>
      <c r="MOH600" s="50"/>
      <c r="MOI600" s="46"/>
      <c r="MOJ600" s="47"/>
      <c r="MOK600" s="46"/>
      <c r="MOL600" s="48"/>
      <c r="MOM600" s="53"/>
      <c r="MOT600" s="15"/>
      <c r="MOU600" s="50"/>
      <c r="MOV600" s="50"/>
      <c r="MOW600" s="46"/>
      <c r="MOX600" s="47"/>
      <c r="MOY600" s="46"/>
      <c r="MOZ600" s="48"/>
      <c r="MPA600" s="53"/>
      <c r="MPH600" s="15"/>
      <c r="MPI600" s="50"/>
      <c r="MPJ600" s="50"/>
      <c r="MPK600" s="46"/>
      <c r="MPL600" s="47"/>
      <c r="MPM600" s="46"/>
      <c r="MPN600" s="48"/>
      <c r="MPO600" s="53"/>
      <c r="MPV600" s="15"/>
      <c r="MPW600" s="50"/>
      <c r="MPX600" s="50"/>
      <c r="MPY600" s="46"/>
      <c r="MPZ600" s="47"/>
      <c r="MQA600" s="46"/>
      <c r="MQB600" s="48"/>
      <c r="MQC600" s="53"/>
      <c r="MQJ600" s="15"/>
      <c r="MQK600" s="50"/>
      <c r="MQL600" s="50"/>
      <c r="MQM600" s="46"/>
      <c r="MQN600" s="47"/>
      <c r="MQO600" s="46"/>
      <c r="MQP600" s="48"/>
      <c r="MQQ600" s="53"/>
      <c r="MQX600" s="15"/>
      <c r="MQY600" s="50"/>
      <c r="MQZ600" s="50"/>
      <c r="MRA600" s="46"/>
      <c r="MRB600" s="47"/>
      <c r="MRC600" s="46"/>
      <c r="MRD600" s="48"/>
      <c r="MRE600" s="53"/>
      <c r="MRL600" s="15"/>
      <c r="MRM600" s="50"/>
      <c r="MRN600" s="50"/>
      <c r="MRO600" s="46"/>
      <c r="MRP600" s="47"/>
      <c r="MRQ600" s="46"/>
      <c r="MRR600" s="48"/>
      <c r="MRS600" s="53"/>
      <c r="MRZ600" s="15"/>
      <c r="MSA600" s="50"/>
      <c r="MSB600" s="50"/>
      <c r="MSC600" s="46"/>
      <c r="MSD600" s="47"/>
      <c r="MSE600" s="46"/>
      <c r="MSF600" s="48"/>
      <c r="MSG600" s="53"/>
      <c r="MSN600" s="15"/>
      <c r="MSO600" s="50"/>
      <c r="MSP600" s="50"/>
      <c r="MSQ600" s="46"/>
      <c r="MSR600" s="47"/>
      <c r="MSS600" s="46"/>
      <c r="MST600" s="48"/>
      <c r="MSU600" s="53"/>
      <c r="MTB600" s="15"/>
      <c r="MTC600" s="50"/>
      <c r="MTD600" s="50"/>
      <c r="MTE600" s="46"/>
      <c r="MTF600" s="47"/>
      <c r="MTG600" s="46"/>
      <c r="MTH600" s="48"/>
      <c r="MTI600" s="53"/>
      <c r="MTP600" s="15"/>
      <c r="MTQ600" s="50"/>
      <c r="MTR600" s="50"/>
      <c r="MTS600" s="46"/>
      <c r="MTT600" s="47"/>
      <c r="MTU600" s="46"/>
      <c r="MTV600" s="48"/>
      <c r="MTW600" s="53"/>
      <c r="MUD600" s="15"/>
      <c r="MUE600" s="50"/>
      <c r="MUF600" s="50"/>
      <c r="MUG600" s="46"/>
      <c r="MUH600" s="47"/>
      <c r="MUI600" s="46"/>
      <c r="MUJ600" s="48"/>
      <c r="MUK600" s="53"/>
      <c r="MUR600" s="15"/>
      <c r="MUS600" s="50"/>
      <c r="MUT600" s="50"/>
      <c r="MUU600" s="46"/>
      <c r="MUV600" s="47"/>
      <c r="MUW600" s="46"/>
      <c r="MUX600" s="48"/>
      <c r="MUY600" s="53"/>
      <c r="MVF600" s="15"/>
      <c r="MVG600" s="50"/>
      <c r="MVH600" s="50"/>
      <c r="MVI600" s="46"/>
      <c r="MVJ600" s="47"/>
      <c r="MVK600" s="46"/>
      <c r="MVL600" s="48"/>
      <c r="MVM600" s="53"/>
      <c r="MVT600" s="15"/>
      <c r="MVU600" s="50"/>
      <c r="MVV600" s="50"/>
      <c r="MVW600" s="46"/>
      <c r="MVX600" s="47"/>
      <c r="MVY600" s="46"/>
      <c r="MVZ600" s="48"/>
      <c r="MWA600" s="53"/>
      <c r="MWH600" s="15"/>
      <c r="MWI600" s="50"/>
      <c r="MWJ600" s="50"/>
      <c r="MWK600" s="46"/>
      <c r="MWL600" s="47"/>
      <c r="MWM600" s="46"/>
      <c r="MWN600" s="48"/>
      <c r="MWO600" s="53"/>
      <c r="MWV600" s="15"/>
      <c r="MWW600" s="50"/>
      <c r="MWX600" s="50"/>
      <c r="MWY600" s="46"/>
      <c r="MWZ600" s="47"/>
      <c r="MXA600" s="46"/>
      <c r="MXB600" s="48"/>
      <c r="MXC600" s="53"/>
      <c r="MXJ600" s="15"/>
      <c r="MXK600" s="50"/>
      <c r="MXL600" s="50"/>
      <c r="MXM600" s="46"/>
      <c r="MXN600" s="47"/>
      <c r="MXO600" s="46"/>
      <c r="MXP600" s="48"/>
      <c r="MXQ600" s="53"/>
      <c r="MXX600" s="15"/>
      <c r="MXY600" s="50"/>
      <c r="MXZ600" s="50"/>
      <c r="MYA600" s="46"/>
      <c r="MYB600" s="47"/>
      <c r="MYC600" s="46"/>
      <c r="MYD600" s="48"/>
      <c r="MYE600" s="53"/>
      <c r="MYL600" s="15"/>
      <c r="MYM600" s="50"/>
      <c r="MYN600" s="50"/>
      <c r="MYO600" s="46"/>
      <c r="MYP600" s="47"/>
      <c r="MYQ600" s="46"/>
      <c r="MYR600" s="48"/>
      <c r="MYS600" s="53"/>
      <c r="MYZ600" s="15"/>
      <c r="MZA600" s="50"/>
      <c r="MZB600" s="50"/>
      <c r="MZC600" s="46"/>
      <c r="MZD600" s="47"/>
      <c r="MZE600" s="46"/>
      <c r="MZF600" s="48"/>
      <c r="MZG600" s="53"/>
      <c r="MZN600" s="15"/>
      <c r="MZO600" s="50"/>
      <c r="MZP600" s="50"/>
      <c r="MZQ600" s="46"/>
      <c r="MZR600" s="47"/>
      <c r="MZS600" s="46"/>
      <c r="MZT600" s="48"/>
      <c r="MZU600" s="53"/>
      <c r="NAB600" s="15"/>
      <c r="NAC600" s="50"/>
      <c r="NAD600" s="50"/>
      <c r="NAE600" s="46"/>
      <c r="NAF600" s="47"/>
      <c r="NAG600" s="46"/>
      <c r="NAH600" s="48"/>
      <c r="NAI600" s="53"/>
      <c r="NAP600" s="15"/>
      <c r="NAQ600" s="50"/>
      <c r="NAR600" s="50"/>
      <c r="NAS600" s="46"/>
      <c r="NAT600" s="47"/>
      <c r="NAU600" s="46"/>
      <c r="NAV600" s="48"/>
      <c r="NAW600" s="53"/>
      <c r="NBD600" s="15"/>
      <c r="NBE600" s="50"/>
      <c r="NBF600" s="50"/>
      <c r="NBG600" s="46"/>
      <c r="NBH600" s="47"/>
      <c r="NBI600" s="46"/>
      <c r="NBJ600" s="48"/>
      <c r="NBK600" s="53"/>
      <c r="NBR600" s="15"/>
      <c r="NBS600" s="50"/>
      <c r="NBT600" s="50"/>
      <c r="NBU600" s="46"/>
      <c r="NBV600" s="47"/>
      <c r="NBW600" s="46"/>
      <c r="NBX600" s="48"/>
      <c r="NBY600" s="53"/>
      <c r="NCF600" s="15"/>
      <c r="NCG600" s="50"/>
      <c r="NCH600" s="50"/>
      <c r="NCI600" s="46"/>
      <c r="NCJ600" s="47"/>
      <c r="NCK600" s="46"/>
      <c r="NCL600" s="48"/>
      <c r="NCM600" s="53"/>
      <c r="NCT600" s="15"/>
      <c r="NCU600" s="50"/>
      <c r="NCV600" s="50"/>
      <c r="NCW600" s="46"/>
      <c r="NCX600" s="47"/>
      <c r="NCY600" s="46"/>
      <c r="NCZ600" s="48"/>
      <c r="NDA600" s="53"/>
      <c r="NDH600" s="15"/>
      <c r="NDI600" s="50"/>
      <c r="NDJ600" s="50"/>
      <c r="NDK600" s="46"/>
      <c r="NDL600" s="47"/>
      <c r="NDM600" s="46"/>
      <c r="NDN600" s="48"/>
      <c r="NDO600" s="53"/>
      <c r="NDV600" s="15"/>
      <c r="NDW600" s="50"/>
      <c r="NDX600" s="50"/>
      <c r="NDY600" s="46"/>
      <c r="NDZ600" s="47"/>
      <c r="NEA600" s="46"/>
      <c r="NEB600" s="48"/>
      <c r="NEC600" s="53"/>
      <c r="NEJ600" s="15"/>
      <c r="NEK600" s="50"/>
      <c r="NEL600" s="50"/>
      <c r="NEM600" s="46"/>
      <c r="NEN600" s="47"/>
      <c r="NEO600" s="46"/>
      <c r="NEP600" s="48"/>
      <c r="NEQ600" s="53"/>
      <c r="NEX600" s="15"/>
      <c r="NEY600" s="50"/>
      <c r="NEZ600" s="50"/>
      <c r="NFA600" s="46"/>
      <c r="NFB600" s="47"/>
      <c r="NFC600" s="46"/>
      <c r="NFD600" s="48"/>
      <c r="NFE600" s="53"/>
      <c r="NFL600" s="15"/>
      <c r="NFM600" s="50"/>
      <c r="NFN600" s="50"/>
      <c r="NFO600" s="46"/>
      <c r="NFP600" s="47"/>
      <c r="NFQ600" s="46"/>
      <c r="NFR600" s="48"/>
      <c r="NFS600" s="53"/>
      <c r="NFZ600" s="15"/>
      <c r="NGA600" s="50"/>
      <c r="NGB600" s="50"/>
      <c r="NGC600" s="46"/>
      <c r="NGD600" s="47"/>
      <c r="NGE600" s="46"/>
      <c r="NGF600" s="48"/>
      <c r="NGG600" s="53"/>
      <c r="NGN600" s="15"/>
      <c r="NGO600" s="50"/>
      <c r="NGP600" s="50"/>
      <c r="NGQ600" s="46"/>
      <c r="NGR600" s="47"/>
      <c r="NGS600" s="46"/>
      <c r="NGT600" s="48"/>
      <c r="NGU600" s="53"/>
      <c r="NHB600" s="15"/>
      <c r="NHC600" s="50"/>
      <c r="NHD600" s="50"/>
      <c r="NHE600" s="46"/>
      <c r="NHF600" s="47"/>
      <c r="NHG600" s="46"/>
      <c r="NHH600" s="48"/>
      <c r="NHI600" s="53"/>
      <c r="NHP600" s="15"/>
      <c r="NHQ600" s="50"/>
      <c r="NHR600" s="50"/>
      <c r="NHS600" s="46"/>
      <c r="NHT600" s="47"/>
      <c r="NHU600" s="46"/>
      <c r="NHV600" s="48"/>
      <c r="NHW600" s="53"/>
      <c r="NID600" s="15"/>
      <c r="NIE600" s="50"/>
      <c r="NIF600" s="50"/>
      <c r="NIG600" s="46"/>
      <c r="NIH600" s="47"/>
      <c r="NII600" s="46"/>
      <c r="NIJ600" s="48"/>
      <c r="NIK600" s="53"/>
      <c r="NIR600" s="15"/>
      <c r="NIS600" s="50"/>
      <c r="NIT600" s="50"/>
      <c r="NIU600" s="46"/>
      <c r="NIV600" s="47"/>
      <c r="NIW600" s="46"/>
      <c r="NIX600" s="48"/>
      <c r="NIY600" s="53"/>
      <c r="NJF600" s="15"/>
      <c r="NJG600" s="50"/>
      <c r="NJH600" s="50"/>
      <c r="NJI600" s="46"/>
      <c r="NJJ600" s="47"/>
      <c r="NJK600" s="46"/>
      <c r="NJL600" s="48"/>
      <c r="NJM600" s="53"/>
      <c r="NJT600" s="15"/>
      <c r="NJU600" s="50"/>
      <c r="NJV600" s="50"/>
      <c r="NJW600" s="46"/>
      <c r="NJX600" s="47"/>
      <c r="NJY600" s="46"/>
      <c r="NJZ600" s="48"/>
      <c r="NKA600" s="53"/>
      <c r="NKH600" s="15"/>
      <c r="NKI600" s="50"/>
      <c r="NKJ600" s="50"/>
      <c r="NKK600" s="46"/>
      <c r="NKL600" s="47"/>
      <c r="NKM600" s="46"/>
      <c r="NKN600" s="48"/>
      <c r="NKO600" s="53"/>
      <c r="NKV600" s="15"/>
      <c r="NKW600" s="50"/>
      <c r="NKX600" s="50"/>
      <c r="NKY600" s="46"/>
      <c r="NKZ600" s="47"/>
      <c r="NLA600" s="46"/>
      <c r="NLB600" s="48"/>
      <c r="NLC600" s="53"/>
      <c r="NLJ600" s="15"/>
      <c r="NLK600" s="50"/>
      <c r="NLL600" s="50"/>
      <c r="NLM600" s="46"/>
      <c r="NLN600" s="47"/>
      <c r="NLO600" s="46"/>
      <c r="NLP600" s="48"/>
      <c r="NLQ600" s="53"/>
      <c r="NLX600" s="15"/>
      <c r="NLY600" s="50"/>
      <c r="NLZ600" s="50"/>
      <c r="NMA600" s="46"/>
      <c r="NMB600" s="47"/>
      <c r="NMC600" s="46"/>
      <c r="NMD600" s="48"/>
      <c r="NME600" s="53"/>
      <c r="NML600" s="15"/>
      <c r="NMM600" s="50"/>
      <c r="NMN600" s="50"/>
      <c r="NMO600" s="46"/>
      <c r="NMP600" s="47"/>
      <c r="NMQ600" s="46"/>
      <c r="NMR600" s="48"/>
      <c r="NMS600" s="53"/>
      <c r="NMZ600" s="15"/>
      <c r="NNA600" s="50"/>
      <c r="NNB600" s="50"/>
      <c r="NNC600" s="46"/>
      <c r="NND600" s="47"/>
      <c r="NNE600" s="46"/>
      <c r="NNF600" s="48"/>
      <c r="NNG600" s="53"/>
      <c r="NNN600" s="15"/>
      <c r="NNO600" s="50"/>
      <c r="NNP600" s="50"/>
      <c r="NNQ600" s="46"/>
      <c r="NNR600" s="47"/>
      <c r="NNS600" s="46"/>
      <c r="NNT600" s="48"/>
      <c r="NNU600" s="53"/>
      <c r="NOB600" s="15"/>
      <c r="NOC600" s="50"/>
      <c r="NOD600" s="50"/>
      <c r="NOE600" s="46"/>
      <c r="NOF600" s="47"/>
      <c r="NOG600" s="46"/>
      <c r="NOH600" s="48"/>
      <c r="NOI600" s="53"/>
      <c r="NOP600" s="15"/>
      <c r="NOQ600" s="50"/>
      <c r="NOR600" s="50"/>
      <c r="NOS600" s="46"/>
      <c r="NOT600" s="47"/>
      <c r="NOU600" s="46"/>
      <c r="NOV600" s="48"/>
      <c r="NOW600" s="53"/>
      <c r="NPD600" s="15"/>
      <c r="NPE600" s="50"/>
      <c r="NPF600" s="50"/>
      <c r="NPG600" s="46"/>
      <c r="NPH600" s="47"/>
      <c r="NPI600" s="46"/>
      <c r="NPJ600" s="48"/>
      <c r="NPK600" s="53"/>
      <c r="NPR600" s="15"/>
      <c r="NPS600" s="50"/>
      <c r="NPT600" s="50"/>
      <c r="NPU600" s="46"/>
      <c r="NPV600" s="47"/>
      <c r="NPW600" s="46"/>
      <c r="NPX600" s="48"/>
      <c r="NPY600" s="53"/>
      <c r="NQF600" s="15"/>
      <c r="NQG600" s="50"/>
      <c r="NQH600" s="50"/>
      <c r="NQI600" s="46"/>
      <c r="NQJ600" s="47"/>
      <c r="NQK600" s="46"/>
      <c r="NQL600" s="48"/>
      <c r="NQM600" s="53"/>
      <c r="NQT600" s="15"/>
      <c r="NQU600" s="50"/>
      <c r="NQV600" s="50"/>
      <c r="NQW600" s="46"/>
      <c r="NQX600" s="47"/>
      <c r="NQY600" s="46"/>
      <c r="NQZ600" s="48"/>
      <c r="NRA600" s="53"/>
      <c r="NRH600" s="15"/>
      <c r="NRI600" s="50"/>
      <c r="NRJ600" s="50"/>
      <c r="NRK600" s="46"/>
      <c r="NRL600" s="47"/>
      <c r="NRM600" s="46"/>
      <c r="NRN600" s="48"/>
      <c r="NRO600" s="53"/>
      <c r="NRV600" s="15"/>
      <c r="NRW600" s="50"/>
      <c r="NRX600" s="50"/>
      <c r="NRY600" s="46"/>
      <c r="NRZ600" s="47"/>
      <c r="NSA600" s="46"/>
      <c r="NSB600" s="48"/>
      <c r="NSC600" s="53"/>
      <c r="NSJ600" s="15"/>
      <c r="NSK600" s="50"/>
      <c r="NSL600" s="50"/>
      <c r="NSM600" s="46"/>
      <c r="NSN600" s="47"/>
      <c r="NSO600" s="46"/>
      <c r="NSP600" s="48"/>
      <c r="NSQ600" s="53"/>
      <c r="NSX600" s="15"/>
      <c r="NSY600" s="50"/>
      <c r="NSZ600" s="50"/>
      <c r="NTA600" s="46"/>
      <c r="NTB600" s="47"/>
      <c r="NTC600" s="46"/>
      <c r="NTD600" s="48"/>
      <c r="NTE600" s="53"/>
      <c r="NTL600" s="15"/>
      <c r="NTM600" s="50"/>
      <c r="NTN600" s="50"/>
      <c r="NTO600" s="46"/>
      <c r="NTP600" s="47"/>
      <c r="NTQ600" s="46"/>
      <c r="NTR600" s="48"/>
      <c r="NTS600" s="53"/>
      <c r="NTZ600" s="15"/>
      <c r="NUA600" s="50"/>
      <c r="NUB600" s="50"/>
      <c r="NUC600" s="46"/>
      <c r="NUD600" s="47"/>
      <c r="NUE600" s="46"/>
      <c r="NUF600" s="48"/>
      <c r="NUG600" s="53"/>
      <c r="NUN600" s="15"/>
      <c r="NUO600" s="50"/>
      <c r="NUP600" s="50"/>
      <c r="NUQ600" s="46"/>
      <c r="NUR600" s="47"/>
      <c r="NUS600" s="46"/>
      <c r="NUT600" s="48"/>
      <c r="NUU600" s="53"/>
      <c r="NVB600" s="15"/>
      <c r="NVC600" s="50"/>
      <c r="NVD600" s="50"/>
      <c r="NVE600" s="46"/>
      <c r="NVF600" s="47"/>
      <c r="NVG600" s="46"/>
      <c r="NVH600" s="48"/>
      <c r="NVI600" s="53"/>
      <c r="NVP600" s="15"/>
      <c r="NVQ600" s="50"/>
      <c r="NVR600" s="50"/>
      <c r="NVS600" s="46"/>
      <c r="NVT600" s="47"/>
      <c r="NVU600" s="46"/>
      <c r="NVV600" s="48"/>
      <c r="NVW600" s="53"/>
      <c r="NWD600" s="15"/>
      <c r="NWE600" s="50"/>
      <c r="NWF600" s="50"/>
      <c r="NWG600" s="46"/>
      <c r="NWH600" s="47"/>
      <c r="NWI600" s="46"/>
      <c r="NWJ600" s="48"/>
      <c r="NWK600" s="53"/>
      <c r="NWR600" s="15"/>
      <c r="NWS600" s="50"/>
      <c r="NWT600" s="50"/>
      <c r="NWU600" s="46"/>
      <c r="NWV600" s="47"/>
      <c r="NWW600" s="46"/>
      <c r="NWX600" s="48"/>
      <c r="NWY600" s="53"/>
      <c r="NXF600" s="15"/>
      <c r="NXG600" s="50"/>
      <c r="NXH600" s="50"/>
      <c r="NXI600" s="46"/>
      <c r="NXJ600" s="47"/>
      <c r="NXK600" s="46"/>
      <c r="NXL600" s="48"/>
      <c r="NXM600" s="53"/>
      <c r="NXT600" s="15"/>
      <c r="NXU600" s="50"/>
      <c r="NXV600" s="50"/>
      <c r="NXW600" s="46"/>
      <c r="NXX600" s="47"/>
      <c r="NXY600" s="46"/>
      <c r="NXZ600" s="48"/>
      <c r="NYA600" s="53"/>
      <c r="NYH600" s="15"/>
      <c r="NYI600" s="50"/>
      <c r="NYJ600" s="50"/>
      <c r="NYK600" s="46"/>
      <c r="NYL600" s="47"/>
      <c r="NYM600" s="46"/>
      <c r="NYN600" s="48"/>
      <c r="NYO600" s="53"/>
      <c r="NYV600" s="15"/>
      <c r="NYW600" s="50"/>
      <c r="NYX600" s="50"/>
      <c r="NYY600" s="46"/>
      <c r="NYZ600" s="47"/>
      <c r="NZA600" s="46"/>
      <c r="NZB600" s="48"/>
      <c r="NZC600" s="53"/>
      <c r="NZJ600" s="15"/>
      <c r="NZK600" s="50"/>
      <c r="NZL600" s="50"/>
      <c r="NZM600" s="46"/>
      <c r="NZN600" s="47"/>
      <c r="NZO600" s="46"/>
      <c r="NZP600" s="48"/>
      <c r="NZQ600" s="53"/>
      <c r="NZX600" s="15"/>
      <c r="NZY600" s="50"/>
      <c r="NZZ600" s="50"/>
      <c r="OAA600" s="46"/>
      <c r="OAB600" s="47"/>
      <c r="OAC600" s="46"/>
      <c r="OAD600" s="48"/>
      <c r="OAE600" s="53"/>
      <c r="OAL600" s="15"/>
      <c r="OAM600" s="50"/>
      <c r="OAN600" s="50"/>
      <c r="OAO600" s="46"/>
      <c r="OAP600" s="47"/>
      <c r="OAQ600" s="46"/>
      <c r="OAR600" s="48"/>
      <c r="OAS600" s="53"/>
      <c r="OAZ600" s="15"/>
      <c r="OBA600" s="50"/>
      <c r="OBB600" s="50"/>
      <c r="OBC600" s="46"/>
      <c r="OBD600" s="47"/>
      <c r="OBE600" s="46"/>
      <c r="OBF600" s="48"/>
      <c r="OBG600" s="53"/>
      <c r="OBN600" s="15"/>
      <c r="OBO600" s="50"/>
      <c r="OBP600" s="50"/>
      <c r="OBQ600" s="46"/>
      <c r="OBR600" s="47"/>
      <c r="OBS600" s="46"/>
      <c r="OBT600" s="48"/>
      <c r="OBU600" s="53"/>
      <c r="OCB600" s="15"/>
      <c r="OCC600" s="50"/>
      <c r="OCD600" s="50"/>
      <c r="OCE600" s="46"/>
      <c r="OCF600" s="47"/>
      <c r="OCG600" s="46"/>
      <c r="OCH600" s="48"/>
      <c r="OCI600" s="53"/>
      <c r="OCP600" s="15"/>
      <c r="OCQ600" s="50"/>
      <c r="OCR600" s="50"/>
      <c r="OCS600" s="46"/>
      <c r="OCT600" s="47"/>
      <c r="OCU600" s="46"/>
      <c r="OCV600" s="48"/>
      <c r="OCW600" s="53"/>
      <c r="ODD600" s="15"/>
      <c r="ODE600" s="50"/>
      <c r="ODF600" s="50"/>
      <c r="ODG600" s="46"/>
      <c r="ODH600" s="47"/>
      <c r="ODI600" s="46"/>
      <c r="ODJ600" s="48"/>
      <c r="ODK600" s="53"/>
      <c r="ODR600" s="15"/>
      <c r="ODS600" s="50"/>
      <c r="ODT600" s="50"/>
      <c r="ODU600" s="46"/>
      <c r="ODV600" s="47"/>
      <c r="ODW600" s="46"/>
      <c r="ODX600" s="48"/>
      <c r="ODY600" s="53"/>
      <c r="OEF600" s="15"/>
      <c r="OEG600" s="50"/>
      <c r="OEH600" s="50"/>
      <c r="OEI600" s="46"/>
      <c r="OEJ600" s="47"/>
      <c r="OEK600" s="46"/>
      <c r="OEL600" s="48"/>
      <c r="OEM600" s="53"/>
      <c r="OET600" s="15"/>
      <c r="OEU600" s="50"/>
      <c r="OEV600" s="50"/>
      <c r="OEW600" s="46"/>
      <c r="OEX600" s="47"/>
      <c r="OEY600" s="46"/>
      <c r="OEZ600" s="48"/>
      <c r="OFA600" s="53"/>
      <c r="OFH600" s="15"/>
      <c r="OFI600" s="50"/>
      <c r="OFJ600" s="50"/>
      <c r="OFK600" s="46"/>
      <c r="OFL600" s="47"/>
      <c r="OFM600" s="46"/>
      <c r="OFN600" s="48"/>
      <c r="OFO600" s="53"/>
      <c r="OFV600" s="15"/>
      <c r="OFW600" s="50"/>
      <c r="OFX600" s="50"/>
      <c r="OFY600" s="46"/>
      <c r="OFZ600" s="47"/>
      <c r="OGA600" s="46"/>
      <c r="OGB600" s="48"/>
      <c r="OGC600" s="53"/>
      <c r="OGJ600" s="15"/>
      <c r="OGK600" s="50"/>
      <c r="OGL600" s="50"/>
      <c r="OGM600" s="46"/>
      <c r="OGN600" s="47"/>
      <c r="OGO600" s="46"/>
      <c r="OGP600" s="48"/>
      <c r="OGQ600" s="53"/>
      <c r="OGX600" s="15"/>
      <c r="OGY600" s="50"/>
      <c r="OGZ600" s="50"/>
      <c r="OHA600" s="46"/>
      <c r="OHB600" s="47"/>
      <c r="OHC600" s="46"/>
      <c r="OHD600" s="48"/>
      <c r="OHE600" s="53"/>
      <c r="OHL600" s="15"/>
      <c r="OHM600" s="50"/>
      <c r="OHN600" s="50"/>
      <c r="OHO600" s="46"/>
      <c r="OHP600" s="47"/>
      <c r="OHQ600" s="46"/>
      <c r="OHR600" s="48"/>
      <c r="OHS600" s="53"/>
      <c r="OHZ600" s="15"/>
      <c r="OIA600" s="50"/>
      <c r="OIB600" s="50"/>
      <c r="OIC600" s="46"/>
      <c r="OID600" s="47"/>
      <c r="OIE600" s="46"/>
      <c r="OIF600" s="48"/>
      <c r="OIG600" s="53"/>
      <c r="OIN600" s="15"/>
      <c r="OIO600" s="50"/>
      <c r="OIP600" s="50"/>
      <c r="OIQ600" s="46"/>
      <c r="OIR600" s="47"/>
      <c r="OIS600" s="46"/>
      <c r="OIT600" s="48"/>
      <c r="OIU600" s="53"/>
      <c r="OJB600" s="15"/>
      <c r="OJC600" s="50"/>
      <c r="OJD600" s="50"/>
      <c r="OJE600" s="46"/>
      <c r="OJF600" s="47"/>
      <c r="OJG600" s="46"/>
      <c r="OJH600" s="48"/>
      <c r="OJI600" s="53"/>
      <c r="OJP600" s="15"/>
      <c r="OJQ600" s="50"/>
      <c r="OJR600" s="50"/>
      <c r="OJS600" s="46"/>
      <c r="OJT600" s="47"/>
      <c r="OJU600" s="46"/>
      <c r="OJV600" s="48"/>
      <c r="OJW600" s="53"/>
      <c r="OKD600" s="15"/>
      <c r="OKE600" s="50"/>
      <c r="OKF600" s="50"/>
      <c r="OKG600" s="46"/>
      <c r="OKH600" s="47"/>
      <c r="OKI600" s="46"/>
      <c r="OKJ600" s="48"/>
      <c r="OKK600" s="53"/>
      <c r="OKR600" s="15"/>
      <c r="OKS600" s="50"/>
      <c r="OKT600" s="50"/>
      <c r="OKU600" s="46"/>
      <c r="OKV600" s="47"/>
      <c r="OKW600" s="46"/>
      <c r="OKX600" s="48"/>
      <c r="OKY600" s="53"/>
      <c r="OLF600" s="15"/>
      <c r="OLG600" s="50"/>
      <c r="OLH600" s="50"/>
      <c r="OLI600" s="46"/>
      <c r="OLJ600" s="47"/>
      <c r="OLK600" s="46"/>
      <c r="OLL600" s="48"/>
      <c r="OLM600" s="53"/>
      <c r="OLT600" s="15"/>
      <c r="OLU600" s="50"/>
      <c r="OLV600" s="50"/>
      <c r="OLW600" s="46"/>
      <c r="OLX600" s="47"/>
      <c r="OLY600" s="46"/>
      <c r="OLZ600" s="48"/>
      <c r="OMA600" s="53"/>
      <c r="OMH600" s="15"/>
      <c r="OMI600" s="50"/>
      <c r="OMJ600" s="50"/>
      <c r="OMK600" s="46"/>
      <c r="OML600" s="47"/>
      <c r="OMM600" s="46"/>
      <c r="OMN600" s="48"/>
      <c r="OMO600" s="53"/>
      <c r="OMV600" s="15"/>
      <c r="OMW600" s="50"/>
      <c r="OMX600" s="50"/>
      <c r="OMY600" s="46"/>
      <c r="OMZ600" s="47"/>
      <c r="ONA600" s="46"/>
      <c r="ONB600" s="48"/>
      <c r="ONC600" s="53"/>
      <c r="ONJ600" s="15"/>
      <c r="ONK600" s="50"/>
      <c r="ONL600" s="50"/>
      <c r="ONM600" s="46"/>
      <c r="ONN600" s="47"/>
      <c r="ONO600" s="46"/>
      <c r="ONP600" s="48"/>
      <c r="ONQ600" s="53"/>
      <c r="ONX600" s="15"/>
      <c r="ONY600" s="50"/>
      <c r="ONZ600" s="50"/>
      <c r="OOA600" s="46"/>
      <c r="OOB600" s="47"/>
      <c r="OOC600" s="46"/>
      <c r="OOD600" s="48"/>
      <c r="OOE600" s="53"/>
      <c r="OOL600" s="15"/>
      <c r="OOM600" s="50"/>
      <c r="OON600" s="50"/>
      <c r="OOO600" s="46"/>
      <c r="OOP600" s="47"/>
      <c r="OOQ600" s="46"/>
      <c r="OOR600" s="48"/>
      <c r="OOS600" s="53"/>
      <c r="OOZ600" s="15"/>
      <c r="OPA600" s="50"/>
      <c r="OPB600" s="50"/>
      <c r="OPC600" s="46"/>
      <c r="OPD600" s="47"/>
      <c r="OPE600" s="46"/>
      <c r="OPF600" s="48"/>
      <c r="OPG600" s="53"/>
      <c r="OPN600" s="15"/>
      <c r="OPO600" s="50"/>
      <c r="OPP600" s="50"/>
      <c r="OPQ600" s="46"/>
      <c r="OPR600" s="47"/>
      <c r="OPS600" s="46"/>
      <c r="OPT600" s="48"/>
      <c r="OPU600" s="53"/>
      <c r="OQB600" s="15"/>
      <c r="OQC600" s="50"/>
      <c r="OQD600" s="50"/>
      <c r="OQE600" s="46"/>
      <c r="OQF600" s="47"/>
      <c r="OQG600" s="46"/>
      <c r="OQH600" s="48"/>
      <c r="OQI600" s="53"/>
      <c r="OQP600" s="15"/>
      <c r="OQQ600" s="50"/>
      <c r="OQR600" s="50"/>
      <c r="OQS600" s="46"/>
      <c r="OQT600" s="47"/>
      <c r="OQU600" s="46"/>
      <c r="OQV600" s="48"/>
      <c r="OQW600" s="53"/>
      <c r="ORD600" s="15"/>
      <c r="ORE600" s="50"/>
      <c r="ORF600" s="50"/>
      <c r="ORG600" s="46"/>
      <c r="ORH600" s="47"/>
      <c r="ORI600" s="46"/>
      <c r="ORJ600" s="48"/>
      <c r="ORK600" s="53"/>
      <c r="ORR600" s="15"/>
      <c r="ORS600" s="50"/>
      <c r="ORT600" s="50"/>
      <c r="ORU600" s="46"/>
      <c r="ORV600" s="47"/>
      <c r="ORW600" s="46"/>
      <c r="ORX600" s="48"/>
      <c r="ORY600" s="53"/>
      <c r="OSF600" s="15"/>
      <c r="OSG600" s="50"/>
      <c r="OSH600" s="50"/>
      <c r="OSI600" s="46"/>
      <c r="OSJ600" s="47"/>
      <c r="OSK600" s="46"/>
      <c r="OSL600" s="48"/>
      <c r="OSM600" s="53"/>
      <c r="OST600" s="15"/>
      <c r="OSU600" s="50"/>
      <c r="OSV600" s="50"/>
      <c r="OSW600" s="46"/>
      <c r="OSX600" s="47"/>
      <c r="OSY600" s="46"/>
      <c r="OSZ600" s="48"/>
      <c r="OTA600" s="53"/>
      <c r="OTH600" s="15"/>
      <c r="OTI600" s="50"/>
      <c r="OTJ600" s="50"/>
      <c r="OTK600" s="46"/>
      <c r="OTL600" s="47"/>
      <c r="OTM600" s="46"/>
      <c r="OTN600" s="48"/>
      <c r="OTO600" s="53"/>
      <c r="OTV600" s="15"/>
      <c r="OTW600" s="50"/>
      <c r="OTX600" s="50"/>
      <c r="OTY600" s="46"/>
      <c r="OTZ600" s="47"/>
      <c r="OUA600" s="46"/>
      <c r="OUB600" s="48"/>
      <c r="OUC600" s="53"/>
      <c r="OUJ600" s="15"/>
      <c r="OUK600" s="50"/>
      <c r="OUL600" s="50"/>
      <c r="OUM600" s="46"/>
      <c r="OUN600" s="47"/>
      <c r="OUO600" s="46"/>
      <c r="OUP600" s="48"/>
      <c r="OUQ600" s="53"/>
      <c r="OUX600" s="15"/>
      <c r="OUY600" s="50"/>
      <c r="OUZ600" s="50"/>
      <c r="OVA600" s="46"/>
      <c r="OVB600" s="47"/>
      <c r="OVC600" s="46"/>
      <c r="OVD600" s="48"/>
      <c r="OVE600" s="53"/>
      <c r="OVL600" s="15"/>
      <c r="OVM600" s="50"/>
      <c r="OVN600" s="50"/>
      <c r="OVO600" s="46"/>
      <c r="OVP600" s="47"/>
      <c r="OVQ600" s="46"/>
      <c r="OVR600" s="48"/>
      <c r="OVS600" s="53"/>
      <c r="OVZ600" s="15"/>
      <c r="OWA600" s="50"/>
      <c r="OWB600" s="50"/>
      <c r="OWC600" s="46"/>
      <c r="OWD600" s="47"/>
      <c r="OWE600" s="46"/>
      <c r="OWF600" s="48"/>
      <c r="OWG600" s="53"/>
      <c r="OWN600" s="15"/>
      <c r="OWO600" s="50"/>
      <c r="OWP600" s="50"/>
      <c r="OWQ600" s="46"/>
      <c r="OWR600" s="47"/>
      <c r="OWS600" s="46"/>
      <c r="OWT600" s="48"/>
      <c r="OWU600" s="53"/>
      <c r="OXB600" s="15"/>
      <c r="OXC600" s="50"/>
      <c r="OXD600" s="50"/>
      <c r="OXE600" s="46"/>
      <c r="OXF600" s="47"/>
      <c r="OXG600" s="46"/>
      <c r="OXH600" s="48"/>
      <c r="OXI600" s="53"/>
      <c r="OXP600" s="15"/>
      <c r="OXQ600" s="50"/>
      <c r="OXR600" s="50"/>
      <c r="OXS600" s="46"/>
      <c r="OXT600" s="47"/>
      <c r="OXU600" s="46"/>
      <c r="OXV600" s="48"/>
      <c r="OXW600" s="53"/>
      <c r="OYD600" s="15"/>
      <c r="OYE600" s="50"/>
      <c r="OYF600" s="50"/>
      <c r="OYG600" s="46"/>
      <c r="OYH600" s="47"/>
      <c r="OYI600" s="46"/>
      <c r="OYJ600" s="48"/>
      <c r="OYK600" s="53"/>
      <c r="OYR600" s="15"/>
      <c r="OYS600" s="50"/>
      <c r="OYT600" s="50"/>
      <c r="OYU600" s="46"/>
      <c r="OYV600" s="47"/>
      <c r="OYW600" s="46"/>
      <c r="OYX600" s="48"/>
      <c r="OYY600" s="53"/>
      <c r="OZF600" s="15"/>
      <c r="OZG600" s="50"/>
      <c r="OZH600" s="50"/>
      <c r="OZI600" s="46"/>
      <c r="OZJ600" s="47"/>
      <c r="OZK600" s="46"/>
      <c r="OZL600" s="48"/>
      <c r="OZM600" s="53"/>
      <c r="OZT600" s="15"/>
      <c r="OZU600" s="50"/>
      <c r="OZV600" s="50"/>
      <c r="OZW600" s="46"/>
      <c r="OZX600" s="47"/>
      <c r="OZY600" s="46"/>
      <c r="OZZ600" s="48"/>
      <c r="PAA600" s="53"/>
      <c r="PAH600" s="15"/>
      <c r="PAI600" s="50"/>
      <c r="PAJ600" s="50"/>
      <c r="PAK600" s="46"/>
      <c r="PAL600" s="47"/>
      <c r="PAM600" s="46"/>
      <c r="PAN600" s="48"/>
      <c r="PAO600" s="53"/>
      <c r="PAV600" s="15"/>
      <c r="PAW600" s="50"/>
      <c r="PAX600" s="50"/>
      <c r="PAY600" s="46"/>
      <c r="PAZ600" s="47"/>
      <c r="PBA600" s="46"/>
      <c r="PBB600" s="48"/>
      <c r="PBC600" s="53"/>
      <c r="PBJ600" s="15"/>
      <c r="PBK600" s="50"/>
      <c r="PBL600" s="50"/>
      <c r="PBM600" s="46"/>
      <c r="PBN600" s="47"/>
      <c r="PBO600" s="46"/>
      <c r="PBP600" s="48"/>
      <c r="PBQ600" s="53"/>
      <c r="PBX600" s="15"/>
      <c r="PBY600" s="50"/>
      <c r="PBZ600" s="50"/>
      <c r="PCA600" s="46"/>
      <c r="PCB600" s="47"/>
      <c r="PCC600" s="46"/>
      <c r="PCD600" s="48"/>
      <c r="PCE600" s="53"/>
      <c r="PCL600" s="15"/>
      <c r="PCM600" s="50"/>
      <c r="PCN600" s="50"/>
      <c r="PCO600" s="46"/>
      <c r="PCP600" s="47"/>
      <c r="PCQ600" s="46"/>
      <c r="PCR600" s="48"/>
      <c r="PCS600" s="53"/>
      <c r="PCZ600" s="15"/>
      <c r="PDA600" s="50"/>
      <c r="PDB600" s="50"/>
      <c r="PDC600" s="46"/>
      <c r="PDD600" s="47"/>
      <c r="PDE600" s="46"/>
      <c r="PDF600" s="48"/>
      <c r="PDG600" s="53"/>
      <c r="PDN600" s="15"/>
      <c r="PDO600" s="50"/>
      <c r="PDP600" s="50"/>
      <c r="PDQ600" s="46"/>
      <c r="PDR600" s="47"/>
      <c r="PDS600" s="46"/>
      <c r="PDT600" s="48"/>
      <c r="PDU600" s="53"/>
      <c r="PEB600" s="15"/>
      <c r="PEC600" s="50"/>
      <c r="PED600" s="50"/>
      <c r="PEE600" s="46"/>
      <c r="PEF600" s="47"/>
      <c r="PEG600" s="46"/>
      <c r="PEH600" s="48"/>
      <c r="PEI600" s="53"/>
      <c r="PEP600" s="15"/>
      <c r="PEQ600" s="50"/>
      <c r="PER600" s="50"/>
      <c r="PES600" s="46"/>
      <c r="PET600" s="47"/>
      <c r="PEU600" s="46"/>
      <c r="PEV600" s="48"/>
      <c r="PEW600" s="53"/>
      <c r="PFD600" s="15"/>
      <c r="PFE600" s="50"/>
      <c r="PFF600" s="50"/>
      <c r="PFG600" s="46"/>
      <c r="PFH600" s="47"/>
      <c r="PFI600" s="46"/>
      <c r="PFJ600" s="48"/>
      <c r="PFK600" s="53"/>
      <c r="PFR600" s="15"/>
      <c r="PFS600" s="50"/>
      <c r="PFT600" s="50"/>
      <c r="PFU600" s="46"/>
      <c r="PFV600" s="47"/>
      <c r="PFW600" s="46"/>
      <c r="PFX600" s="48"/>
      <c r="PFY600" s="53"/>
      <c r="PGF600" s="15"/>
      <c r="PGG600" s="50"/>
      <c r="PGH600" s="50"/>
      <c r="PGI600" s="46"/>
      <c r="PGJ600" s="47"/>
      <c r="PGK600" s="46"/>
      <c r="PGL600" s="48"/>
      <c r="PGM600" s="53"/>
      <c r="PGT600" s="15"/>
      <c r="PGU600" s="50"/>
      <c r="PGV600" s="50"/>
      <c r="PGW600" s="46"/>
      <c r="PGX600" s="47"/>
      <c r="PGY600" s="46"/>
      <c r="PGZ600" s="48"/>
      <c r="PHA600" s="53"/>
      <c r="PHH600" s="15"/>
      <c r="PHI600" s="50"/>
      <c r="PHJ600" s="50"/>
      <c r="PHK600" s="46"/>
      <c r="PHL600" s="47"/>
      <c r="PHM600" s="46"/>
      <c r="PHN600" s="48"/>
      <c r="PHO600" s="53"/>
      <c r="PHV600" s="15"/>
      <c r="PHW600" s="50"/>
      <c r="PHX600" s="50"/>
      <c r="PHY600" s="46"/>
      <c r="PHZ600" s="47"/>
      <c r="PIA600" s="46"/>
      <c r="PIB600" s="48"/>
      <c r="PIC600" s="53"/>
      <c r="PIJ600" s="15"/>
      <c r="PIK600" s="50"/>
      <c r="PIL600" s="50"/>
      <c r="PIM600" s="46"/>
      <c r="PIN600" s="47"/>
      <c r="PIO600" s="46"/>
      <c r="PIP600" s="48"/>
      <c r="PIQ600" s="53"/>
      <c r="PIX600" s="15"/>
      <c r="PIY600" s="50"/>
      <c r="PIZ600" s="50"/>
      <c r="PJA600" s="46"/>
      <c r="PJB600" s="47"/>
      <c r="PJC600" s="46"/>
      <c r="PJD600" s="48"/>
      <c r="PJE600" s="53"/>
      <c r="PJL600" s="15"/>
      <c r="PJM600" s="50"/>
      <c r="PJN600" s="50"/>
      <c r="PJO600" s="46"/>
      <c r="PJP600" s="47"/>
      <c r="PJQ600" s="46"/>
      <c r="PJR600" s="48"/>
      <c r="PJS600" s="53"/>
      <c r="PJZ600" s="15"/>
      <c r="PKA600" s="50"/>
      <c r="PKB600" s="50"/>
      <c r="PKC600" s="46"/>
      <c r="PKD600" s="47"/>
      <c r="PKE600" s="46"/>
      <c r="PKF600" s="48"/>
      <c r="PKG600" s="53"/>
      <c r="PKN600" s="15"/>
      <c r="PKO600" s="50"/>
      <c r="PKP600" s="50"/>
      <c r="PKQ600" s="46"/>
      <c r="PKR600" s="47"/>
      <c r="PKS600" s="46"/>
      <c r="PKT600" s="48"/>
      <c r="PKU600" s="53"/>
      <c r="PLB600" s="15"/>
      <c r="PLC600" s="50"/>
      <c r="PLD600" s="50"/>
      <c r="PLE600" s="46"/>
      <c r="PLF600" s="47"/>
      <c r="PLG600" s="46"/>
      <c r="PLH600" s="48"/>
      <c r="PLI600" s="53"/>
      <c r="PLP600" s="15"/>
      <c r="PLQ600" s="50"/>
      <c r="PLR600" s="50"/>
      <c r="PLS600" s="46"/>
      <c r="PLT600" s="47"/>
      <c r="PLU600" s="46"/>
      <c r="PLV600" s="48"/>
      <c r="PLW600" s="53"/>
      <c r="PMD600" s="15"/>
      <c r="PME600" s="50"/>
      <c r="PMF600" s="50"/>
      <c r="PMG600" s="46"/>
      <c r="PMH600" s="47"/>
      <c r="PMI600" s="46"/>
      <c r="PMJ600" s="48"/>
      <c r="PMK600" s="53"/>
      <c r="PMR600" s="15"/>
      <c r="PMS600" s="50"/>
      <c r="PMT600" s="50"/>
      <c r="PMU600" s="46"/>
      <c r="PMV600" s="47"/>
      <c r="PMW600" s="46"/>
      <c r="PMX600" s="48"/>
      <c r="PMY600" s="53"/>
      <c r="PNF600" s="15"/>
      <c r="PNG600" s="50"/>
      <c r="PNH600" s="50"/>
      <c r="PNI600" s="46"/>
      <c r="PNJ600" s="47"/>
      <c r="PNK600" s="46"/>
      <c r="PNL600" s="48"/>
      <c r="PNM600" s="53"/>
      <c r="PNT600" s="15"/>
      <c r="PNU600" s="50"/>
      <c r="PNV600" s="50"/>
      <c r="PNW600" s="46"/>
      <c r="PNX600" s="47"/>
      <c r="PNY600" s="46"/>
      <c r="PNZ600" s="48"/>
      <c r="POA600" s="53"/>
      <c r="POH600" s="15"/>
      <c r="POI600" s="50"/>
      <c r="POJ600" s="50"/>
      <c r="POK600" s="46"/>
      <c r="POL600" s="47"/>
      <c r="POM600" s="46"/>
      <c r="PON600" s="48"/>
      <c r="POO600" s="53"/>
      <c r="POV600" s="15"/>
      <c r="POW600" s="50"/>
      <c r="POX600" s="50"/>
      <c r="POY600" s="46"/>
      <c r="POZ600" s="47"/>
      <c r="PPA600" s="46"/>
      <c r="PPB600" s="48"/>
      <c r="PPC600" s="53"/>
      <c r="PPJ600" s="15"/>
      <c r="PPK600" s="50"/>
      <c r="PPL600" s="50"/>
      <c r="PPM600" s="46"/>
      <c r="PPN600" s="47"/>
      <c r="PPO600" s="46"/>
      <c r="PPP600" s="48"/>
      <c r="PPQ600" s="53"/>
      <c r="PPX600" s="15"/>
      <c r="PPY600" s="50"/>
      <c r="PPZ600" s="50"/>
      <c r="PQA600" s="46"/>
      <c r="PQB600" s="47"/>
      <c r="PQC600" s="46"/>
      <c r="PQD600" s="48"/>
      <c r="PQE600" s="53"/>
      <c r="PQL600" s="15"/>
      <c r="PQM600" s="50"/>
      <c r="PQN600" s="50"/>
      <c r="PQO600" s="46"/>
      <c r="PQP600" s="47"/>
      <c r="PQQ600" s="46"/>
      <c r="PQR600" s="48"/>
      <c r="PQS600" s="53"/>
      <c r="PQZ600" s="15"/>
      <c r="PRA600" s="50"/>
      <c r="PRB600" s="50"/>
      <c r="PRC600" s="46"/>
      <c r="PRD600" s="47"/>
      <c r="PRE600" s="46"/>
      <c r="PRF600" s="48"/>
      <c r="PRG600" s="53"/>
      <c r="PRN600" s="15"/>
      <c r="PRO600" s="50"/>
      <c r="PRP600" s="50"/>
      <c r="PRQ600" s="46"/>
      <c r="PRR600" s="47"/>
      <c r="PRS600" s="46"/>
      <c r="PRT600" s="48"/>
      <c r="PRU600" s="53"/>
      <c r="PSB600" s="15"/>
      <c r="PSC600" s="50"/>
      <c r="PSD600" s="50"/>
      <c r="PSE600" s="46"/>
      <c r="PSF600" s="47"/>
      <c r="PSG600" s="46"/>
      <c r="PSH600" s="48"/>
      <c r="PSI600" s="53"/>
      <c r="PSP600" s="15"/>
      <c r="PSQ600" s="50"/>
      <c r="PSR600" s="50"/>
      <c r="PSS600" s="46"/>
      <c r="PST600" s="47"/>
      <c r="PSU600" s="46"/>
      <c r="PSV600" s="48"/>
      <c r="PSW600" s="53"/>
      <c r="PTD600" s="15"/>
      <c r="PTE600" s="50"/>
      <c r="PTF600" s="50"/>
      <c r="PTG600" s="46"/>
      <c r="PTH600" s="47"/>
      <c r="PTI600" s="46"/>
      <c r="PTJ600" s="48"/>
      <c r="PTK600" s="53"/>
      <c r="PTR600" s="15"/>
      <c r="PTS600" s="50"/>
      <c r="PTT600" s="50"/>
      <c r="PTU600" s="46"/>
      <c r="PTV600" s="47"/>
      <c r="PTW600" s="46"/>
      <c r="PTX600" s="48"/>
      <c r="PTY600" s="53"/>
      <c r="PUF600" s="15"/>
      <c r="PUG600" s="50"/>
      <c r="PUH600" s="50"/>
      <c r="PUI600" s="46"/>
      <c r="PUJ600" s="47"/>
      <c r="PUK600" s="46"/>
      <c r="PUL600" s="48"/>
      <c r="PUM600" s="53"/>
      <c r="PUT600" s="15"/>
      <c r="PUU600" s="50"/>
      <c r="PUV600" s="50"/>
      <c r="PUW600" s="46"/>
      <c r="PUX600" s="47"/>
      <c r="PUY600" s="46"/>
      <c r="PUZ600" s="48"/>
      <c r="PVA600" s="53"/>
      <c r="PVH600" s="15"/>
      <c r="PVI600" s="50"/>
      <c r="PVJ600" s="50"/>
      <c r="PVK600" s="46"/>
      <c r="PVL600" s="47"/>
      <c r="PVM600" s="46"/>
      <c r="PVN600" s="48"/>
      <c r="PVO600" s="53"/>
      <c r="PVV600" s="15"/>
      <c r="PVW600" s="50"/>
      <c r="PVX600" s="50"/>
      <c r="PVY600" s="46"/>
      <c r="PVZ600" s="47"/>
      <c r="PWA600" s="46"/>
      <c r="PWB600" s="48"/>
      <c r="PWC600" s="53"/>
      <c r="PWJ600" s="15"/>
      <c r="PWK600" s="50"/>
      <c r="PWL600" s="50"/>
      <c r="PWM600" s="46"/>
      <c r="PWN600" s="47"/>
      <c r="PWO600" s="46"/>
      <c r="PWP600" s="48"/>
      <c r="PWQ600" s="53"/>
      <c r="PWX600" s="15"/>
      <c r="PWY600" s="50"/>
      <c r="PWZ600" s="50"/>
      <c r="PXA600" s="46"/>
      <c r="PXB600" s="47"/>
      <c r="PXC600" s="46"/>
      <c r="PXD600" s="48"/>
      <c r="PXE600" s="53"/>
      <c r="PXL600" s="15"/>
      <c r="PXM600" s="50"/>
      <c r="PXN600" s="50"/>
      <c r="PXO600" s="46"/>
      <c r="PXP600" s="47"/>
      <c r="PXQ600" s="46"/>
      <c r="PXR600" s="48"/>
      <c r="PXS600" s="53"/>
      <c r="PXZ600" s="15"/>
      <c r="PYA600" s="50"/>
      <c r="PYB600" s="50"/>
      <c r="PYC600" s="46"/>
      <c r="PYD600" s="47"/>
      <c r="PYE600" s="46"/>
      <c r="PYF600" s="48"/>
      <c r="PYG600" s="53"/>
      <c r="PYN600" s="15"/>
      <c r="PYO600" s="50"/>
      <c r="PYP600" s="50"/>
      <c r="PYQ600" s="46"/>
      <c r="PYR600" s="47"/>
      <c r="PYS600" s="46"/>
      <c r="PYT600" s="48"/>
      <c r="PYU600" s="53"/>
      <c r="PZB600" s="15"/>
      <c r="PZC600" s="50"/>
      <c r="PZD600" s="50"/>
      <c r="PZE600" s="46"/>
      <c r="PZF600" s="47"/>
      <c r="PZG600" s="46"/>
      <c r="PZH600" s="48"/>
      <c r="PZI600" s="53"/>
      <c r="PZP600" s="15"/>
      <c r="PZQ600" s="50"/>
      <c r="PZR600" s="50"/>
      <c r="PZS600" s="46"/>
      <c r="PZT600" s="47"/>
      <c r="PZU600" s="46"/>
      <c r="PZV600" s="48"/>
      <c r="PZW600" s="53"/>
      <c r="QAD600" s="15"/>
      <c r="QAE600" s="50"/>
      <c r="QAF600" s="50"/>
      <c r="QAG600" s="46"/>
      <c r="QAH600" s="47"/>
      <c r="QAI600" s="46"/>
      <c r="QAJ600" s="48"/>
      <c r="QAK600" s="53"/>
      <c r="QAR600" s="15"/>
      <c r="QAS600" s="50"/>
      <c r="QAT600" s="50"/>
      <c r="QAU600" s="46"/>
      <c r="QAV600" s="47"/>
      <c r="QAW600" s="46"/>
      <c r="QAX600" s="48"/>
      <c r="QAY600" s="53"/>
      <c r="QBF600" s="15"/>
      <c r="QBG600" s="50"/>
      <c r="QBH600" s="50"/>
      <c r="QBI600" s="46"/>
      <c r="QBJ600" s="47"/>
      <c r="QBK600" s="46"/>
      <c r="QBL600" s="48"/>
      <c r="QBM600" s="53"/>
      <c r="QBT600" s="15"/>
      <c r="QBU600" s="50"/>
      <c r="QBV600" s="50"/>
      <c r="QBW600" s="46"/>
      <c r="QBX600" s="47"/>
      <c r="QBY600" s="46"/>
      <c r="QBZ600" s="48"/>
      <c r="QCA600" s="53"/>
      <c r="QCH600" s="15"/>
      <c r="QCI600" s="50"/>
      <c r="QCJ600" s="50"/>
      <c r="QCK600" s="46"/>
      <c r="QCL600" s="47"/>
      <c r="QCM600" s="46"/>
      <c r="QCN600" s="48"/>
      <c r="QCO600" s="53"/>
      <c r="QCV600" s="15"/>
      <c r="QCW600" s="50"/>
      <c r="QCX600" s="50"/>
      <c r="QCY600" s="46"/>
      <c r="QCZ600" s="47"/>
      <c r="QDA600" s="46"/>
      <c r="QDB600" s="48"/>
      <c r="QDC600" s="53"/>
      <c r="QDJ600" s="15"/>
      <c r="QDK600" s="50"/>
      <c r="QDL600" s="50"/>
      <c r="QDM600" s="46"/>
      <c r="QDN600" s="47"/>
      <c r="QDO600" s="46"/>
      <c r="QDP600" s="48"/>
      <c r="QDQ600" s="53"/>
      <c r="QDX600" s="15"/>
      <c r="QDY600" s="50"/>
      <c r="QDZ600" s="50"/>
      <c r="QEA600" s="46"/>
      <c r="QEB600" s="47"/>
      <c r="QEC600" s="46"/>
      <c r="QED600" s="48"/>
      <c r="QEE600" s="53"/>
      <c r="QEL600" s="15"/>
      <c r="QEM600" s="50"/>
      <c r="QEN600" s="50"/>
      <c r="QEO600" s="46"/>
      <c r="QEP600" s="47"/>
      <c r="QEQ600" s="46"/>
      <c r="QER600" s="48"/>
      <c r="QES600" s="53"/>
      <c r="QEZ600" s="15"/>
      <c r="QFA600" s="50"/>
      <c r="QFB600" s="50"/>
      <c r="QFC600" s="46"/>
      <c r="QFD600" s="47"/>
      <c r="QFE600" s="46"/>
      <c r="QFF600" s="48"/>
      <c r="QFG600" s="53"/>
      <c r="QFN600" s="15"/>
      <c r="QFO600" s="50"/>
      <c r="QFP600" s="50"/>
      <c r="QFQ600" s="46"/>
      <c r="QFR600" s="47"/>
      <c r="QFS600" s="46"/>
      <c r="QFT600" s="48"/>
      <c r="QFU600" s="53"/>
      <c r="QGB600" s="15"/>
      <c r="QGC600" s="50"/>
      <c r="QGD600" s="50"/>
      <c r="QGE600" s="46"/>
      <c r="QGF600" s="47"/>
      <c r="QGG600" s="46"/>
      <c r="QGH600" s="48"/>
      <c r="QGI600" s="53"/>
      <c r="QGP600" s="15"/>
      <c r="QGQ600" s="50"/>
      <c r="QGR600" s="50"/>
      <c r="QGS600" s="46"/>
      <c r="QGT600" s="47"/>
      <c r="QGU600" s="46"/>
      <c r="QGV600" s="48"/>
      <c r="QGW600" s="53"/>
      <c r="QHD600" s="15"/>
      <c r="QHE600" s="50"/>
      <c r="QHF600" s="50"/>
      <c r="QHG600" s="46"/>
      <c r="QHH600" s="47"/>
      <c r="QHI600" s="46"/>
      <c r="QHJ600" s="48"/>
      <c r="QHK600" s="53"/>
      <c r="QHR600" s="15"/>
      <c r="QHS600" s="50"/>
      <c r="QHT600" s="50"/>
      <c r="QHU600" s="46"/>
      <c r="QHV600" s="47"/>
      <c r="QHW600" s="46"/>
      <c r="QHX600" s="48"/>
      <c r="QHY600" s="53"/>
      <c r="QIF600" s="15"/>
      <c r="QIG600" s="50"/>
      <c r="QIH600" s="50"/>
      <c r="QII600" s="46"/>
      <c r="QIJ600" s="47"/>
      <c r="QIK600" s="46"/>
      <c r="QIL600" s="48"/>
      <c r="QIM600" s="53"/>
      <c r="QIT600" s="15"/>
      <c r="QIU600" s="50"/>
      <c r="QIV600" s="50"/>
      <c r="QIW600" s="46"/>
      <c r="QIX600" s="47"/>
      <c r="QIY600" s="46"/>
      <c r="QIZ600" s="48"/>
      <c r="QJA600" s="53"/>
      <c r="QJH600" s="15"/>
      <c r="QJI600" s="50"/>
      <c r="QJJ600" s="50"/>
      <c r="QJK600" s="46"/>
      <c r="QJL600" s="47"/>
      <c r="QJM600" s="46"/>
      <c r="QJN600" s="48"/>
      <c r="QJO600" s="53"/>
      <c r="QJV600" s="15"/>
      <c r="QJW600" s="50"/>
      <c r="QJX600" s="50"/>
      <c r="QJY600" s="46"/>
      <c r="QJZ600" s="47"/>
      <c r="QKA600" s="46"/>
      <c r="QKB600" s="48"/>
      <c r="QKC600" s="53"/>
      <c r="QKJ600" s="15"/>
      <c r="QKK600" s="50"/>
      <c r="QKL600" s="50"/>
      <c r="QKM600" s="46"/>
      <c r="QKN600" s="47"/>
      <c r="QKO600" s="46"/>
      <c r="QKP600" s="48"/>
      <c r="QKQ600" s="53"/>
      <c r="QKX600" s="15"/>
      <c r="QKY600" s="50"/>
      <c r="QKZ600" s="50"/>
      <c r="QLA600" s="46"/>
      <c r="QLB600" s="47"/>
      <c r="QLC600" s="46"/>
      <c r="QLD600" s="48"/>
      <c r="QLE600" s="53"/>
      <c r="QLL600" s="15"/>
      <c r="QLM600" s="50"/>
      <c r="QLN600" s="50"/>
      <c r="QLO600" s="46"/>
      <c r="QLP600" s="47"/>
      <c r="QLQ600" s="46"/>
      <c r="QLR600" s="48"/>
      <c r="QLS600" s="53"/>
      <c r="QLZ600" s="15"/>
      <c r="QMA600" s="50"/>
      <c r="QMB600" s="50"/>
      <c r="QMC600" s="46"/>
      <c r="QMD600" s="47"/>
      <c r="QME600" s="46"/>
      <c r="QMF600" s="48"/>
      <c r="QMG600" s="53"/>
      <c r="QMN600" s="15"/>
      <c r="QMO600" s="50"/>
      <c r="QMP600" s="50"/>
      <c r="QMQ600" s="46"/>
      <c r="QMR600" s="47"/>
      <c r="QMS600" s="46"/>
      <c r="QMT600" s="48"/>
      <c r="QMU600" s="53"/>
      <c r="QNB600" s="15"/>
      <c r="QNC600" s="50"/>
      <c r="QND600" s="50"/>
      <c r="QNE600" s="46"/>
      <c r="QNF600" s="47"/>
      <c r="QNG600" s="46"/>
      <c r="QNH600" s="48"/>
      <c r="QNI600" s="53"/>
      <c r="QNP600" s="15"/>
      <c r="QNQ600" s="50"/>
      <c r="QNR600" s="50"/>
      <c r="QNS600" s="46"/>
      <c r="QNT600" s="47"/>
      <c r="QNU600" s="46"/>
      <c r="QNV600" s="48"/>
      <c r="QNW600" s="53"/>
      <c r="QOD600" s="15"/>
      <c r="QOE600" s="50"/>
      <c r="QOF600" s="50"/>
      <c r="QOG600" s="46"/>
      <c r="QOH600" s="47"/>
      <c r="QOI600" s="46"/>
      <c r="QOJ600" s="48"/>
      <c r="QOK600" s="53"/>
      <c r="QOR600" s="15"/>
      <c r="QOS600" s="50"/>
      <c r="QOT600" s="50"/>
      <c r="QOU600" s="46"/>
      <c r="QOV600" s="47"/>
      <c r="QOW600" s="46"/>
      <c r="QOX600" s="48"/>
      <c r="QOY600" s="53"/>
      <c r="QPF600" s="15"/>
      <c r="QPG600" s="50"/>
      <c r="QPH600" s="50"/>
      <c r="QPI600" s="46"/>
      <c r="QPJ600" s="47"/>
      <c r="QPK600" s="46"/>
      <c r="QPL600" s="48"/>
      <c r="QPM600" s="53"/>
      <c r="QPT600" s="15"/>
      <c r="QPU600" s="50"/>
      <c r="QPV600" s="50"/>
      <c r="QPW600" s="46"/>
      <c r="QPX600" s="47"/>
      <c r="QPY600" s="46"/>
      <c r="QPZ600" s="48"/>
      <c r="QQA600" s="53"/>
      <c r="QQH600" s="15"/>
      <c r="QQI600" s="50"/>
      <c r="QQJ600" s="50"/>
      <c r="QQK600" s="46"/>
      <c r="QQL600" s="47"/>
      <c r="QQM600" s="46"/>
      <c r="QQN600" s="48"/>
      <c r="QQO600" s="53"/>
      <c r="QQV600" s="15"/>
      <c r="QQW600" s="50"/>
      <c r="QQX600" s="50"/>
      <c r="QQY600" s="46"/>
      <c r="QQZ600" s="47"/>
      <c r="QRA600" s="46"/>
      <c r="QRB600" s="48"/>
      <c r="QRC600" s="53"/>
      <c r="QRJ600" s="15"/>
      <c r="QRK600" s="50"/>
      <c r="QRL600" s="50"/>
      <c r="QRM600" s="46"/>
      <c r="QRN600" s="47"/>
      <c r="QRO600" s="46"/>
      <c r="QRP600" s="48"/>
      <c r="QRQ600" s="53"/>
      <c r="QRX600" s="15"/>
      <c r="QRY600" s="50"/>
      <c r="QRZ600" s="50"/>
      <c r="QSA600" s="46"/>
      <c r="QSB600" s="47"/>
      <c r="QSC600" s="46"/>
      <c r="QSD600" s="48"/>
      <c r="QSE600" s="53"/>
      <c r="QSL600" s="15"/>
      <c r="QSM600" s="50"/>
      <c r="QSN600" s="50"/>
      <c r="QSO600" s="46"/>
      <c r="QSP600" s="47"/>
      <c r="QSQ600" s="46"/>
      <c r="QSR600" s="48"/>
      <c r="QSS600" s="53"/>
      <c r="QSZ600" s="15"/>
      <c r="QTA600" s="50"/>
      <c r="QTB600" s="50"/>
      <c r="QTC600" s="46"/>
      <c r="QTD600" s="47"/>
      <c r="QTE600" s="46"/>
      <c r="QTF600" s="48"/>
      <c r="QTG600" s="53"/>
      <c r="QTN600" s="15"/>
      <c r="QTO600" s="50"/>
      <c r="QTP600" s="50"/>
      <c r="QTQ600" s="46"/>
      <c r="QTR600" s="47"/>
      <c r="QTS600" s="46"/>
      <c r="QTT600" s="48"/>
      <c r="QTU600" s="53"/>
      <c r="QUB600" s="15"/>
      <c r="QUC600" s="50"/>
      <c r="QUD600" s="50"/>
      <c r="QUE600" s="46"/>
      <c r="QUF600" s="47"/>
      <c r="QUG600" s="46"/>
      <c r="QUH600" s="48"/>
      <c r="QUI600" s="53"/>
      <c r="QUP600" s="15"/>
      <c r="QUQ600" s="50"/>
      <c r="QUR600" s="50"/>
      <c r="QUS600" s="46"/>
      <c r="QUT600" s="47"/>
      <c r="QUU600" s="46"/>
      <c r="QUV600" s="48"/>
      <c r="QUW600" s="53"/>
      <c r="QVD600" s="15"/>
      <c r="QVE600" s="50"/>
      <c r="QVF600" s="50"/>
      <c r="QVG600" s="46"/>
      <c r="QVH600" s="47"/>
      <c r="QVI600" s="46"/>
      <c r="QVJ600" s="48"/>
      <c r="QVK600" s="53"/>
      <c r="QVR600" s="15"/>
      <c r="QVS600" s="50"/>
      <c r="QVT600" s="50"/>
      <c r="QVU600" s="46"/>
      <c r="QVV600" s="47"/>
      <c r="QVW600" s="46"/>
      <c r="QVX600" s="48"/>
      <c r="QVY600" s="53"/>
      <c r="QWF600" s="15"/>
      <c r="QWG600" s="50"/>
      <c r="QWH600" s="50"/>
      <c r="QWI600" s="46"/>
      <c r="QWJ600" s="47"/>
      <c r="QWK600" s="46"/>
      <c r="QWL600" s="48"/>
      <c r="QWM600" s="53"/>
      <c r="QWT600" s="15"/>
      <c r="QWU600" s="50"/>
      <c r="QWV600" s="50"/>
      <c r="QWW600" s="46"/>
      <c r="QWX600" s="47"/>
      <c r="QWY600" s="46"/>
      <c r="QWZ600" s="48"/>
      <c r="QXA600" s="53"/>
      <c r="QXH600" s="15"/>
      <c r="QXI600" s="50"/>
      <c r="QXJ600" s="50"/>
      <c r="QXK600" s="46"/>
      <c r="QXL600" s="47"/>
      <c r="QXM600" s="46"/>
      <c r="QXN600" s="48"/>
      <c r="QXO600" s="53"/>
      <c r="QXV600" s="15"/>
      <c r="QXW600" s="50"/>
      <c r="QXX600" s="50"/>
      <c r="QXY600" s="46"/>
      <c r="QXZ600" s="47"/>
      <c r="QYA600" s="46"/>
      <c r="QYB600" s="48"/>
      <c r="QYC600" s="53"/>
      <c r="QYJ600" s="15"/>
      <c r="QYK600" s="50"/>
      <c r="QYL600" s="50"/>
      <c r="QYM600" s="46"/>
      <c r="QYN600" s="47"/>
      <c r="QYO600" s="46"/>
      <c r="QYP600" s="48"/>
      <c r="QYQ600" s="53"/>
      <c r="QYX600" s="15"/>
      <c r="QYY600" s="50"/>
      <c r="QYZ600" s="50"/>
      <c r="QZA600" s="46"/>
      <c r="QZB600" s="47"/>
      <c r="QZC600" s="46"/>
      <c r="QZD600" s="48"/>
      <c r="QZE600" s="53"/>
      <c r="QZL600" s="15"/>
      <c r="QZM600" s="50"/>
      <c r="QZN600" s="50"/>
      <c r="QZO600" s="46"/>
      <c r="QZP600" s="47"/>
      <c r="QZQ600" s="46"/>
      <c r="QZR600" s="48"/>
      <c r="QZS600" s="53"/>
      <c r="QZZ600" s="15"/>
      <c r="RAA600" s="50"/>
      <c r="RAB600" s="50"/>
      <c r="RAC600" s="46"/>
      <c r="RAD600" s="47"/>
      <c r="RAE600" s="46"/>
      <c r="RAF600" s="48"/>
      <c r="RAG600" s="53"/>
      <c r="RAN600" s="15"/>
      <c r="RAO600" s="50"/>
      <c r="RAP600" s="50"/>
      <c r="RAQ600" s="46"/>
      <c r="RAR600" s="47"/>
      <c r="RAS600" s="46"/>
      <c r="RAT600" s="48"/>
      <c r="RAU600" s="53"/>
      <c r="RBB600" s="15"/>
      <c r="RBC600" s="50"/>
      <c r="RBD600" s="50"/>
      <c r="RBE600" s="46"/>
      <c r="RBF600" s="47"/>
      <c r="RBG600" s="46"/>
      <c r="RBH600" s="48"/>
      <c r="RBI600" s="53"/>
      <c r="RBP600" s="15"/>
      <c r="RBQ600" s="50"/>
      <c r="RBR600" s="50"/>
      <c r="RBS600" s="46"/>
      <c r="RBT600" s="47"/>
      <c r="RBU600" s="46"/>
      <c r="RBV600" s="48"/>
      <c r="RBW600" s="53"/>
      <c r="RCD600" s="15"/>
      <c r="RCE600" s="50"/>
      <c r="RCF600" s="50"/>
      <c r="RCG600" s="46"/>
      <c r="RCH600" s="47"/>
      <c r="RCI600" s="46"/>
      <c r="RCJ600" s="48"/>
      <c r="RCK600" s="53"/>
      <c r="RCR600" s="15"/>
      <c r="RCS600" s="50"/>
      <c r="RCT600" s="50"/>
      <c r="RCU600" s="46"/>
      <c r="RCV600" s="47"/>
      <c r="RCW600" s="46"/>
      <c r="RCX600" s="48"/>
      <c r="RCY600" s="53"/>
      <c r="RDF600" s="15"/>
      <c r="RDG600" s="50"/>
      <c r="RDH600" s="50"/>
      <c r="RDI600" s="46"/>
      <c r="RDJ600" s="47"/>
      <c r="RDK600" s="46"/>
      <c r="RDL600" s="48"/>
      <c r="RDM600" s="53"/>
      <c r="RDT600" s="15"/>
      <c r="RDU600" s="50"/>
      <c r="RDV600" s="50"/>
      <c r="RDW600" s="46"/>
      <c r="RDX600" s="47"/>
      <c r="RDY600" s="46"/>
      <c r="RDZ600" s="48"/>
      <c r="REA600" s="53"/>
      <c r="REH600" s="15"/>
      <c r="REI600" s="50"/>
      <c r="REJ600" s="50"/>
      <c r="REK600" s="46"/>
      <c r="REL600" s="47"/>
      <c r="REM600" s="46"/>
      <c r="REN600" s="48"/>
      <c r="REO600" s="53"/>
      <c r="REV600" s="15"/>
      <c r="REW600" s="50"/>
      <c r="REX600" s="50"/>
      <c r="REY600" s="46"/>
      <c r="REZ600" s="47"/>
      <c r="RFA600" s="46"/>
      <c r="RFB600" s="48"/>
      <c r="RFC600" s="53"/>
      <c r="RFJ600" s="15"/>
      <c r="RFK600" s="50"/>
      <c r="RFL600" s="50"/>
      <c r="RFM600" s="46"/>
      <c r="RFN600" s="47"/>
      <c r="RFO600" s="46"/>
      <c r="RFP600" s="48"/>
      <c r="RFQ600" s="53"/>
      <c r="RFX600" s="15"/>
      <c r="RFY600" s="50"/>
      <c r="RFZ600" s="50"/>
      <c r="RGA600" s="46"/>
      <c r="RGB600" s="47"/>
      <c r="RGC600" s="46"/>
      <c r="RGD600" s="48"/>
      <c r="RGE600" s="53"/>
      <c r="RGL600" s="15"/>
      <c r="RGM600" s="50"/>
      <c r="RGN600" s="50"/>
      <c r="RGO600" s="46"/>
      <c r="RGP600" s="47"/>
      <c r="RGQ600" s="46"/>
      <c r="RGR600" s="48"/>
      <c r="RGS600" s="53"/>
      <c r="RGZ600" s="15"/>
      <c r="RHA600" s="50"/>
      <c r="RHB600" s="50"/>
      <c r="RHC600" s="46"/>
      <c r="RHD600" s="47"/>
      <c r="RHE600" s="46"/>
      <c r="RHF600" s="48"/>
      <c r="RHG600" s="53"/>
      <c r="RHN600" s="15"/>
      <c r="RHO600" s="50"/>
      <c r="RHP600" s="50"/>
      <c r="RHQ600" s="46"/>
      <c r="RHR600" s="47"/>
      <c r="RHS600" s="46"/>
      <c r="RHT600" s="48"/>
      <c r="RHU600" s="53"/>
      <c r="RIB600" s="15"/>
      <c r="RIC600" s="50"/>
      <c r="RID600" s="50"/>
      <c r="RIE600" s="46"/>
      <c r="RIF600" s="47"/>
      <c r="RIG600" s="46"/>
      <c r="RIH600" s="48"/>
      <c r="RII600" s="53"/>
      <c r="RIP600" s="15"/>
      <c r="RIQ600" s="50"/>
      <c r="RIR600" s="50"/>
      <c r="RIS600" s="46"/>
      <c r="RIT600" s="47"/>
      <c r="RIU600" s="46"/>
      <c r="RIV600" s="48"/>
      <c r="RIW600" s="53"/>
      <c r="RJD600" s="15"/>
      <c r="RJE600" s="50"/>
      <c r="RJF600" s="50"/>
      <c r="RJG600" s="46"/>
      <c r="RJH600" s="47"/>
      <c r="RJI600" s="46"/>
      <c r="RJJ600" s="48"/>
      <c r="RJK600" s="53"/>
      <c r="RJR600" s="15"/>
      <c r="RJS600" s="50"/>
      <c r="RJT600" s="50"/>
      <c r="RJU600" s="46"/>
      <c r="RJV600" s="47"/>
      <c r="RJW600" s="46"/>
      <c r="RJX600" s="48"/>
      <c r="RJY600" s="53"/>
      <c r="RKF600" s="15"/>
      <c r="RKG600" s="50"/>
      <c r="RKH600" s="50"/>
      <c r="RKI600" s="46"/>
      <c r="RKJ600" s="47"/>
      <c r="RKK600" s="46"/>
      <c r="RKL600" s="48"/>
      <c r="RKM600" s="53"/>
      <c r="RKT600" s="15"/>
      <c r="RKU600" s="50"/>
      <c r="RKV600" s="50"/>
      <c r="RKW600" s="46"/>
      <c r="RKX600" s="47"/>
      <c r="RKY600" s="46"/>
      <c r="RKZ600" s="48"/>
      <c r="RLA600" s="53"/>
      <c r="RLH600" s="15"/>
      <c r="RLI600" s="50"/>
      <c r="RLJ600" s="50"/>
      <c r="RLK600" s="46"/>
      <c r="RLL600" s="47"/>
      <c r="RLM600" s="46"/>
      <c r="RLN600" s="48"/>
      <c r="RLO600" s="53"/>
      <c r="RLV600" s="15"/>
      <c r="RLW600" s="50"/>
      <c r="RLX600" s="50"/>
      <c r="RLY600" s="46"/>
      <c r="RLZ600" s="47"/>
      <c r="RMA600" s="46"/>
      <c r="RMB600" s="48"/>
      <c r="RMC600" s="53"/>
      <c r="RMJ600" s="15"/>
      <c r="RMK600" s="50"/>
      <c r="RML600" s="50"/>
      <c r="RMM600" s="46"/>
      <c r="RMN600" s="47"/>
      <c r="RMO600" s="46"/>
      <c r="RMP600" s="48"/>
      <c r="RMQ600" s="53"/>
      <c r="RMX600" s="15"/>
      <c r="RMY600" s="50"/>
      <c r="RMZ600" s="50"/>
      <c r="RNA600" s="46"/>
      <c r="RNB600" s="47"/>
      <c r="RNC600" s="46"/>
      <c r="RND600" s="48"/>
      <c r="RNE600" s="53"/>
      <c r="RNL600" s="15"/>
      <c r="RNM600" s="50"/>
      <c r="RNN600" s="50"/>
      <c r="RNO600" s="46"/>
      <c r="RNP600" s="47"/>
      <c r="RNQ600" s="46"/>
      <c r="RNR600" s="48"/>
      <c r="RNS600" s="53"/>
      <c r="RNZ600" s="15"/>
      <c r="ROA600" s="50"/>
      <c r="ROB600" s="50"/>
      <c r="ROC600" s="46"/>
      <c r="ROD600" s="47"/>
      <c r="ROE600" s="46"/>
      <c r="ROF600" s="48"/>
      <c r="ROG600" s="53"/>
      <c r="RON600" s="15"/>
      <c r="ROO600" s="50"/>
      <c r="ROP600" s="50"/>
      <c r="ROQ600" s="46"/>
      <c r="ROR600" s="47"/>
      <c r="ROS600" s="46"/>
      <c r="ROT600" s="48"/>
      <c r="ROU600" s="53"/>
      <c r="RPB600" s="15"/>
      <c r="RPC600" s="50"/>
      <c r="RPD600" s="50"/>
      <c r="RPE600" s="46"/>
      <c r="RPF600" s="47"/>
      <c r="RPG600" s="46"/>
      <c r="RPH600" s="48"/>
      <c r="RPI600" s="53"/>
      <c r="RPP600" s="15"/>
      <c r="RPQ600" s="50"/>
      <c r="RPR600" s="50"/>
      <c r="RPS600" s="46"/>
      <c r="RPT600" s="47"/>
      <c r="RPU600" s="46"/>
      <c r="RPV600" s="48"/>
      <c r="RPW600" s="53"/>
      <c r="RQD600" s="15"/>
      <c r="RQE600" s="50"/>
      <c r="RQF600" s="50"/>
      <c r="RQG600" s="46"/>
      <c r="RQH600" s="47"/>
      <c r="RQI600" s="46"/>
      <c r="RQJ600" s="48"/>
      <c r="RQK600" s="53"/>
      <c r="RQR600" s="15"/>
      <c r="RQS600" s="50"/>
      <c r="RQT600" s="50"/>
      <c r="RQU600" s="46"/>
      <c r="RQV600" s="47"/>
      <c r="RQW600" s="46"/>
      <c r="RQX600" s="48"/>
      <c r="RQY600" s="53"/>
      <c r="RRF600" s="15"/>
      <c r="RRG600" s="50"/>
      <c r="RRH600" s="50"/>
      <c r="RRI600" s="46"/>
      <c r="RRJ600" s="47"/>
      <c r="RRK600" s="46"/>
      <c r="RRL600" s="48"/>
      <c r="RRM600" s="53"/>
      <c r="RRT600" s="15"/>
      <c r="RRU600" s="50"/>
      <c r="RRV600" s="50"/>
      <c r="RRW600" s="46"/>
      <c r="RRX600" s="47"/>
      <c r="RRY600" s="46"/>
      <c r="RRZ600" s="48"/>
      <c r="RSA600" s="53"/>
      <c r="RSH600" s="15"/>
      <c r="RSI600" s="50"/>
      <c r="RSJ600" s="50"/>
      <c r="RSK600" s="46"/>
      <c r="RSL600" s="47"/>
      <c r="RSM600" s="46"/>
      <c r="RSN600" s="48"/>
      <c r="RSO600" s="53"/>
      <c r="RSV600" s="15"/>
      <c r="RSW600" s="50"/>
      <c r="RSX600" s="50"/>
      <c r="RSY600" s="46"/>
      <c r="RSZ600" s="47"/>
      <c r="RTA600" s="46"/>
      <c r="RTB600" s="48"/>
      <c r="RTC600" s="53"/>
      <c r="RTJ600" s="15"/>
      <c r="RTK600" s="50"/>
      <c r="RTL600" s="50"/>
      <c r="RTM600" s="46"/>
      <c r="RTN600" s="47"/>
      <c r="RTO600" s="46"/>
      <c r="RTP600" s="48"/>
      <c r="RTQ600" s="53"/>
      <c r="RTX600" s="15"/>
      <c r="RTY600" s="50"/>
      <c r="RTZ600" s="50"/>
      <c r="RUA600" s="46"/>
      <c r="RUB600" s="47"/>
      <c r="RUC600" s="46"/>
      <c r="RUD600" s="48"/>
      <c r="RUE600" s="53"/>
      <c r="RUL600" s="15"/>
      <c r="RUM600" s="50"/>
      <c r="RUN600" s="50"/>
      <c r="RUO600" s="46"/>
      <c r="RUP600" s="47"/>
      <c r="RUQ600" s="46"/>
      <c r="RUR600" s="48"/>
      <c r="RUS600" s="53"/>
      <c r="RUZ600" s="15"/>
      <c r="RVA600" s="50"/>
      <c r="RVB600" s="50"/>
      <c r="RVC600" s="46"/>
      <c r="RVD600" s="47"/>
      <c r="RVE600" s="46"/>
      <c r="RVF600" s="48"/>
      <c r="RVG600" s="53"/>
      <c r="RVN600" s="15"/>
      <c r="RVO600" s="50"/>
      <c r="RVP600" s="50"/>
      <c r="RVQ600" s="46"/>
      <c r="RVR600" s="47"/>
      <c r="RVS600" s="46"/>
      <c r="RVT600" s="48"/>
      <c r="RVU600" s="53"/>
      <c r="RWB600" s="15"/>
      <c r="RWC600" s="50"/>
      <c r="RWD600" s="50"/>
      <c r="RWE600" s="46"/>
      <c r="RWF600" s="47"/>
      <c r="RWG600" s="46"/>
      <c r="RWH600" s="48"/>
      <c r="RWI600" s="53"/>
      <c r="RWP600" s="15"/>
      <c r="RWQ600" s="50"/>
      <c r="RWR600" s="50"/>
      <c r="RWS600" s="46"/>
      <c r="RWT600" s="47"/>
      <c r="RWU600" s="46"/>
      <c r="RWV600" s="48"/>
      <c r="RWW600" s="53"/>
      <c r="RXD600" s="15"/>
      <c r="RXE600" s="50"/>
      <c r="RXF600" s="50"/>
      <c r="RXG600" s="46"/>
      <c r="RXH600" s="47"/>
      <c r="RXI600" s="46"/>
      <c r="RXJ600" s="48"/>
      <c r="RXK600" s="53"/>
      <c r="RXR600" s="15"/>
      <c r="RXS600" s="50"/>
      <c r="RXT600" s="50"/>
      <c r="RXU600" s="46"/>
      <c r="RXV600" s="47"/>
      <c r="RXW600" s="46"/>
      <c r="RXX600" s="48"/>
      <c r="RXY600" s="53"/>
      <c r="RYF600" s="15"/>
      <c r="RYG600" s="50"/>
      <c r="RYH600" s="50"/>
      <c r="RYI600" s="46"/>
      <c r="RYJ600" s="47"/>
      <c r="RYK600" s="46"/>
      <c r="RYL600" s="48"/>
      <c r="RYM600" s="53"/>
      <c r="RYT600" s="15"/>
      <c r="RYU600" s="50"/>
      <c r="RYV600" s="50"/>
      <c r="RYW600" s="46"/>
      <c r="RYX600" s="47"/>
      <c r="RYY600" s="46"/>
      <c r="RYZ600" s="48"/>
      <c r="RZA600" s="53"/>
      <c r="RZH600" s="15"/>
      <c r="RZI600" s="50"/>
      <c r="RZJ600" s="50"/>
      <c r="RZK600" s="46"/>
      <c r="RZL600" s="47"/>
      <c r="RZM600" s="46"/>
      <c r="RZN600" s="48"/>
      <c r="RZO600" s="53"/>
      <c r="RZV600" s="15"/>
      <c r="RZW600" s="50"/>
      <c r="RZX600" s="50"/>
      <c r="RZY600" s="46"/>
      <c r="RZZ600" s="47"/>
      <c r="SAA600" s="46"/>
      <c r="SAB600" s="48"/>
      <c r="SAC600" s="53"/>
      <c r="SAJ600" s="15"/>
      <c r="SAK600" s="50"/>
      <c r="SAL600" s="50"/>
      <c r="SAM600" s="46"/>
      <c r="SAN600" s="47"/>
      <c r="SAO600" s="46"/>
      <c r="SAP600" s="48"/>
      <c r="SAQ600" s="53"/>
      <c r="SAX600" s="15"/>
      <c r="SAY600" s="50"/>
      <c r="SAZ600" s="50"/>
      <c r="SBA600" s="46"/>
      <c r="SBB600" s="47"/>
      <c r="SBC600" s="46"/>
      <c r="SBD600" s="48"/>
      <c r="SBE600" s="53"/>
      <c r="SBL600" s="15"/>
      <c r="SBM600" s="50"/>
      <c r="SBN600" s="50"/>
      <c r="SBO600" s="46"/>
      <c r="SBP600" s="47"/>
      <c r="SBQ600" s="46"/>
      <c r="SBR600" s="48"/>
      <c r="SBS600" s="53"/>
      <c r="SBZ600" s="15"/>
      <c r="SCA600" s="50"/>
      <c r="SCB600" s="50"/>
      <c r="SCC600" s="46"/>
      <c r="SCD600" s="47"/>
      <c r="SCE600" s="46"/>
      <c r="SCF600" s="48"/>
      <c r="SCG600" s="53"/>
      <c r="SCN600" s="15"/>
      <c r="SCO600" s="50"/>
      <c r="SCP600" s="50"/>
      <c r="SCQ600" s="46"/>
      <c r="SCR600" s="47"/>
      <c r="SCS600" s="46"/>
      <c r="SCT600" s="48"/>
      <c r="SCU600" s="53"/>
      <c r="SDB600" s="15"/>
      <c r="SDC600" s="50"/>
      <c r="SDD600" s="50"/>
      <c r="SDE600" s="46"/>
      <c r="SDF600" s="47"/>
      <c r="SDG600" s="46"/>
      <c r="SDH600" s="48"/>
      <c r="SDI600" s="53"/>
      <c r="SDP600" s="15"/>
      <c r="SDQ600" s="50"/>
      <c r="SDR600" s="50"/>
      <c r="SDS600" s="46"/>
      <c r="SDT600" s="47"/>
      <c r="SDU600" s="46"/>
      <c r="SDV600" s="48"/>
      <c r="SDW600" s="53"/>
      <c r="SED600" s="15"/>
      <c r="SEE600" s="50"/>
      <c r="SEF600" s="50"/>
      <c r="SEG600" s="46"/>
      <c r="SEH600" s="47"/>
      <c r="SEI600" s="46"/>
      <c r="SEJ600" s="48"/>
      <c r="SEK600" s="53"/>
      <c r="SER600" s="15"/>
      <c r="SES600" s="50"/>
      <c r="SET600" s="50"/>
      <c r="SEU600" s="46"/>
      <c r="SEV600" s="47"/>
      <c r="SEW600" s="46"/>
      <c r="SEX600" s="48"/>
      <c r="SEY600" s="53"/>
      <c r="SFF600" s="15"/>
      <c r="SFG600" s="50"/>
      <c r="SFH600" s="50"/>
      <c r="SFI600" s="46"/>
      <c r="SFJ600" s="47"/>
      <c r="SFK600" s="46"/>
      <c r="SFL600" s="48"/>
      <c r="SFM600" s="53"/>
      <c r="SFT600" s="15"/>
      <c r="SFU600" s="50"/>
      <c r="SFV600" s="50"/>
      <c r="SFW600" s="46"/>
      <c r="SFX600" s="47"/>
      <c r="SFY600" s="46"/>
      <c r="SFZ600" s="48"/>
      <c r="SGA600" s="53"/>
      <c r="SGH600" s="15"/>
      <c r="SGI600" s="50"/>
      <c r="SGJ600" s="50"/>
      <c r="SGK600" s="46"/>
      <c r="SGL600" s="47"/>
      <c r="SGM600" s="46"/>
      <c r="SGN600" s="48"/>
      <c r="SGO600" s="53"/>
      <c r="SGV600" s="15"/>
      <c r="SGW600" s="50"/>
      <c r="SGX600" s="50"/>
      <c r="SGY600" s="46"/>
      <c r="SGZ600" s="47"/>
      <c r="SHA600" s="46"/>
      <c r="SHB600" s="48"/>
      <c r="SHC600" s="53"/>
      <c r="SHJ600" s="15"/>
      <c r="SHK600" s="50"/>
      <c r="SHL600" s="50"/>
      <c r="SHM600" s="46"/>
      <c r="SHN600" s="47"/>
      <c r="SHO600" s="46"/>
      <c r="SHP600" s="48"/>
      <c r="SHQ600" s="53"/>
      <c r="SHX600" s="15"/>
      <c r="SHY600" s="50"/>
      <c r="SHZ600" s="50"/>
      <c r="SIA600" s="46"/>
      <c r="SIB600" s="47"/>
      <c r="SIC600" s="46"/>
      <c r="SID600" s="48"/>
      <c r="SIE600" s="53"/>
      <c r="SIL600" s="15"/>
      <c r="SIM600" s="50"/>
      <c r="SIN600" s="50"/>
      <c r="SIO600" s="46"/>
      <c r="SIP600" s="47"/>
      <c r="SIQ600" s="46"/>
      <c r="SIR600" s="48"/>
      <c r="SIS600" s="53"/>
      <c r="SIZ600" s="15"/>
      <c r="SJA600" s="50"/>
      <c r="SJB600" s="50"/>
      <c r="SJC600" s="46"/>
      <c r="SJD600" s="47"/>
      <c r="SJE600" s="46"/>
      <c r="SJF600" s="48"/>
      <c r="SJG600" s="53"/>
      <c r="SJN600" s="15"/>
      <c r="SJO600" s="50"/>
      <c r="SJP600" s="50"/>
      <c r="SJQ600" s="46"/>
      <c r="SJR600" s="47"/>
      <c r="SJS600" s="46"/>
      <c r="SJT600" s="48"/>
      <c r="SJU600" s="53"/>
      <c r="SKB600" s="15"/>
      <c r="SKC600" s="50"/>
      <c r="SKD600" s="50"/>
      <c r="SKE600" s="46"/>
      <c r="SKF600" s="47"/>
      <c r="SKG600" s="46"/>
      <c r="SKH600" s="48"/>
      <c r="SKI600" s="53"/>
      <c r="SKP600" s="15"/>
      <c r="SKQ600" s="50"/>
      <c r="SKR600" s="50"/>
      <c r="SKS600" s="46"/>
      <c r="SKT600" s="47"/>
      <c r="SKU600" s="46"/>
      <c r="SKV600" s="48"/>
      <c r="SKW600" s="53"/>
      <c r="SLD600" s="15"/>
      <c r="SLE600" s="50"/>
      <c r="SLF600" s="50"/>
      <c r="SLG600" s="46"/>
      <c r="SLH600" s="47"/>
      <c r="SLI600" s="46"/>
      <c r="SLJ600" s="48"/>
      <c r="SLK600" s="53"/>
      <c r="SLR600" s="15"/>
      <c r="SLS600" s="50"/>
      <c r="SLT600" s="50"/>
      <c r="SLU600" s="46"/>
      <c r="SLV600" s="47"/>
      <c r="SLW600" s="46"/>
      <c r="SLX600" s="48"/>
      <c r="SLY600" s="53"/>
      <c r="SMF600" s="15"/>
      <c r="SMG600" s="50"/>
      <c r="SMH600" s="50"/>
      <c r="SMI600" s="46"/>
      <c r="SMJ600" s="47"/>
      <c r="SMK600" s="46"/>
      <c r="SML600" s="48"/>
      <c r="SMM600" s="53"/>
      <c r="SMT600" s="15"/>
      <c r="SMU600" s="50"/>
      <c r="SMV600" s="50"/>
      <c r="SMW600" s="46"/>
      <c r="SMX600" s="47"/>
      <c r="SMY600" s="46"/>
      <c r="SMZ600" s="48"/>
      <c r="SNA600" s="53"/>
      <c r="SNH600" s="15"/>
      <c r="SNI600" s="50"/>
      <c r="SNJ600" s="50"/>
      <c r="SNK600" s="46"/>
      <c r="SNL600" s="47"/>
      <c r="SNM600" s="46"/>
      <c r="SNN600" s="48"/>
      <c r="SNO600" s="53"/>
      <c r="SNV600" s="15"/>
      <c r="SNW600" s="50"/>
      <c r="SNX600" s="50"/>
      <c r="SNY600" s="46"/>
      <c r="SNZ600" s="47"/>
      <c r="SOA600" s="46"/>
      <c r="SOB600" s="48"/>
      <c r="SOC600" s="53"/>
      <c r="SOJ600" s="15"/>
      <c r="SOK600" s="50"/>
      <c r="SOL600" s="50"/>
      <c r="SOM600" s="46"/>
      <c r="SON600" s="47"/>
      <c r="SOO600" s="46"/>
      <c r="SOP600" s="48"/>
      <c r="SOQ600" s="53"/>
      <c r="SOX600" s="15"/>
      <c r="SOY600" s="50"/>
      <c r="SOZ600" s="50"/>
      <c r="SPA600" s="46"/>
      <c r="SPB600" s="47"/>
      <c r="SPC600" s="46"/>
      <c r="SPD600" s="48"/>
      <c r="SPE600" s="53"/>
      <c r="SPL600" s="15"/>
      <c r="SPM600" s="50"/>
      <c r="SPN600" s="50"/>
      <c r="SPO600" s="46"/>
      <c r="SPP600" s="47"/>
      <c r="SPQ600" s="46"/>
      <c r="SPR600" s="48"/>
      <c r="SPS600" s="53"/>
      <c r="SPZ600" s="15"/>
      <c r="SQA600" s="50"/>
      <c r="SQB600" s="50"/>
      <c r="SQC600" s="46"/>
      <c r="SQD600" s="47"/>
      <c r="SQE600" s="46"/>
      <c r="SQF600" s="48"/>
      <c r="SQG600" s="53"/>
      <c r="SQN600" s="15"/>
      <c r="SQO600" s="50"/>
      <c r="SQP600" s="50"/>
      <c r="SQQ600" s="46"/>
      <c r="SQR600" s="47"/>
      <c r="SQS600" s="46"/>
      <c r="SQT600" s="48"/>
      <c r="SQU600" s="53"/>
      <c r="SRB600" s="15"/>
      <c r="SRC600" s="50"/>
      <c r="SRD600" s="50"/>
      <c r="SRE600" s="46"/>
      <c r="SRF600" s="47"/>
      <c r="SRG600" s="46"/>
      <c r="SRH600" s="48"/>
      <c r="SRI600" s="53"/>
      <c r="SRP600" s="15"/>
      <c r="SRQ600" s="50"/>
      <c r="SRR600" s="50"/>
      <c r="SRS600" s="46"/>
      <c r="SRT600" s="47"/>
      <c r="SRU600" s="46"/>
      <c r="SRV600" s="48"/>
      <c r="SRW600" s="53"/>
      <c r="SSD600" s="15"/>
      <c r="SSE600" s="50"/>
      <c r="SSF600" s="50"/>
      <c r="SSG600" s="46"/>
      <c r="SSH600" s="47"/>
      <c r="SSI600" s="46"/>
      <c r="SSJ600" s="48"/>
      <c r="SSK600" s="53"/>
      <c r="SSR600" s="15"/>
      <c r="SSS600" s="50"/>
      <c r="SST600" s="50"/>
      <c r="SSU600" s="46"/>
      <c r="SSV600" s="47"/>
      <c r="SSW600" s="46"/>
      <c r="SSX600" s="48"/>
      <c r="SSY600" s="53"/>
      <c r="STF600" s="15"/>
      <c r="STG600" s="50"/>
      <c r="STH600" s="50"/>
      <c r="STI600" s="46"/>
      <c r="STJ600" s="47"/>
      <c r="STK600" s="46"/>
      <c r="STL600" s="48"/>
      <c r="STM600" s="53"/>
      <c r="STT600" s="15"/>
      <c r="STU600" s="50"/>
      <c r="STV600" s="50"/>
      <c r="STW600" s="46"/>
      <c r="STX600" s="47"/>
      <c r="STY600" s="46"/>
      <c r="STZ600" s="48"/>
      <c r="SUA600" s="53"/>
      <c r="SUH600" s="15"/>
      <c r="SUI600" s="50"/>
      <c r="SUJ600" s="50"/>
      <c r="SUK600" s="46"/>
      <c r="SUL600" s="47"/>
      <c r="SUM600" s="46"/>
      <c r="SUN600" s="48"/>
      <c r="SUO600" s="53"/>
      <c r="SUV600" s="15"/>
      <c r="SUW600" s="50"/>
      <c r="SUX600" s="50"/>
      <c r="SUY600" s="46"/>
      <c r="SUZ600" s="47"/>
      <c r="SVA600" s="46"/>
      <c r="SVB600" s="48"/>
      <c r="SVC600" s="53"/>
      <c r="SVJ600" s="15"/>
      <c r="SVK600" s="50"/>
      <c r="SVL600" s="50"/>
      <c r="SVM600" s="46"/>
      <c r="SVN600" s="47"/>
      <c r="SVO600" s="46"/>
      <c r="SVP600" s="48"/>
      <c r="SVQ600" s="53"/>
      <c r="SVX600" s="15"/>
      <c r="SVY600" s="50"/>
      <c r="SVZ600" s="50"/>
      <c r="SWA600" s="46"/>
      <c r="SWB600" s="47"/>
      <c r="SWC600" s="46"/>
      <c r="SWD600" s="48"/>
      <c r="SWE600" s="53"/>
      <c r="SWL600" s="15"/>
      <c r="SWM600" s="50"/>
      <c r="SWN600" s="50"/>
      <c r="SWO600" s="46"/>
      <c r="SWP600" s="47"/>
      <c r="SWQ600" s="46"/>
      <c r="SWR600" s="48"/>
      <c r="SWS600" s="53"/>
      <c r="SWZ600" s="15"/>
      <c r="SXA600" s="50"/>
      <c r="SXB600" s="50"/>
      <c r="SXC600" s="46"/>
      <c r="SXD600" s="47"/>
      <c r="SXE600" s="46"/>
      <c r="SXF600" s="48"/>
      <c r="SXG600" s="53"/>
      <c r="SXN600" s="15"/>
      <c r="SXO600" s="50"/>
      <c r="SXP600" s="50"/>
      <c r="SXQ600" s="46"/>
      <c r="SXR600" s="47"/>
      <c r="SXS600" s="46"/>
      <c r="SXT600" s="48"/>
      <c r="SXU600" s="53"/>
      <c r="SYB600" s="15"/>
      <c r="SYC600" s="50"/>
      <c r="SYD600" s="50"/>
      <c r="SYE600" s="46"/>
      <c r="SYF600" s="47"/>
      <c r="SYG600" s="46"/>
      <c r="SYH600" s="48"/>
      <c r="SYI600" s="53"/>
      <c r="SYP600" s="15"/>
      <c r="SYQ600" s="50"/>
      <c r="SYR600" s="50"/>
      <c r="SYS600" s="46"/>
      <c r="SYT600" s="47"/>
      <c r="SYU600" s="46"/>
      <c r="SYV600" s="48"/>
      <c r="SYW600" s="53"/>
      <c r="SZD600" s="15"/>
      <c r="SZE600" s="50"/>
      <c r="SZF600" s="50"/>
      <c r="SZG600" s="46"/>
      <c r="SZH600" s="47"/>
      <c r="SZI600" s="46"/>
      <c r="SZJ600" s="48"/>
      <c r="SZK600" s="53"/>
      <c r="SZR600" s="15"/>
      <c r="SZS600" s="50"/>
      <c r="SZT600" s="50"/>
      <c r="SZU600" s="46"/>
      <c r="SZV600" s="47"/>
      <c r="SZW600" s="46"/>
      <c r="SZX600" s="48"/>
      <c r="SZY600" s="53"/>
      <c r="TAF600" s="15"/>
      <c r="TAG600" s="50"/>
      <c r="TAH600" s="50"/>
      <c r="TAI600" s="46"/>
      <c r="TAJ600" s="47"/>
      <c r="TAK600" s="46"/>
      <c r="TAL600" s="48"/>
      <c r="TAM600" s="53"/>
      <c r="TAT600" s="15"/>
      <c r="TAU600" s="50"/>
      <c r="TAV600" s="50"/>
      <c r="TAW600" s="46"/>
      <c r="TAX600" s="47"/>
      <c r="TAY600" s="46"/>
      <c r="TAZ600" s="48"/>
      <c r="TBA600" s="53"/>
      <c r="TBH600" s="15"/>
      <c r="TBI600" s="50"/>
      <c r="TBJ600" s="50"/>
      <c r="TBK600" s="46"/>
      <c r="TBL600" s="47"/>
      <c r="TBM600" s="46"/>
      <c r="TBN600" s="48"/>
      <c r="TBO600" s="53"/>
      <c r="TBV600" s="15"/>
      <c r="TBW600" s="50"/>
      <c r="TBX600" s="50"/>
      <c r="TBY600" s="46"/>
      <c r="TBZ600" s="47"/>
      <c r="TCA600" s="46"/>
      <c r="TCB600" s="48"/>
      <c r="TCC600" s="53"/>
      <c r="TCJ600" s="15"/>
      <c r="TCK600" s="50"/>
      <c r="TCL600" s="50"/>
      <c r="TCM600" s="46"/>
      <c r="TCN600" s="47"/>
      <c r="TCO600" s="46"/>
      <c r="TCP600" s="48"/>
      <c r="TCQ600" s="53"/>
      <c r="TCX600" s="15"/>
      <c r="TCY600" s="50"/>
      <c r="TCZ600" s="50"/>
      <c r="TDA600" s="46"/>
      <c r="TDB600" s="47"/>
      <c r="TDC600" s="46"/>
      <c r="TDD600" s="48"/>
      <c r="TDE600" s="53"/>
      <c r="TDL600" s="15"/>
      <c r="TDM600" s="50"/>
      <c r="TDN600" s="50"/>
      <c r="TDO600" s="46"/>
      <c r="TDP600" s="47"/>
      <c r="TDQ600" s="46"/>
      <c r="TDR600" s="48"/>
      <c r="TDS600" s="53"/>
      <c r="TDZ600" s="15"/>
      <c r="TEA600" s="50"/>
      <c r="TEB600" s="50"/>
      <c r="TEC600" s="46"/>
      <c r="TED600" s="47"/>
      <c r="TEE600" s="46"/>
      <c r="TEF600" s="48"/>
      <c r="TEG600" s="53"/>
      <c r="TEN600" s="15"/>
      <c r="TEO600" s="50"/>
      <c r="TEP600" s="50"/>
      <c r="TEQ600" s="46"/>
      <c r="TER600" s="47"/>
      <c r="TES600" s="46"/>
      <c r="TET600" s="48"/>
      <c r="TEU600" s="53"/>
      <c r="TFB600" s="15"/>
      <c r="TFC600" s="50"/>
      <c r="TFD600" s="50"/>
      <c r="TFE600" s="46"/>
      <c r="TFF600" s="47"/>
      <c r="TFG600" s="46"/>
      <c r="TFH600" s="48"/>
      <c r="TFI600" s="53"/>
      <c r="TFP600" s="15"/>
      <c r="TFQ600" s="50"/>
      <c r="TFR600" s="50"/>
      <c r="TFS600" s="46"/>
      <c r="TFT600" s="47"/>
      <c r="TFU600" s="46"/>
      <c r="TFV600" s="48"/>
      <c r="TFW600" s="53"/>
      <c r="TGD600" s="15"/>
      <c r="TGE600" s="50"/>
      <c r="TGF600" s="50"/>
      <c r="TGG600" s="46"/>
      <c r="TGH600" s="47"/>
      <c r="TGI600" s="46"/>
      <c r="TGJ600" s="48"/>
      <c r="TGK600" s="53"/>
      <c r="TGR600" s="15"/>
      <c r="TGS600" s="50"/>
      <c r="TGT600" s="50"/>
      <c r="TGU600" s="46"/>
      <c r="TGV600" s="47"/>
      <c r="TGW600" s="46"/>
      <c r="TGX600" s="48"/>
      <c r="TGY600" s="53"/>
      <c r="THF600" s="15"/>
      <c r="THG600" s="50"/>
      <c r="THH600" s="50"/>
      <c r="THI600" s="46"/>
      <c r="THJ600" s="47"/>
      <c r="THK600" s="46"/>
      <c r="THL600" s="48"/>
      <c r="THM600" s="53"/>
      <c r="THT600" s="15"/>
      <c r="THU600" s="50"/>
      <c r="THV600" s="50"/>
      <c r="THW600" s="46"/>
      <c r="THX600" s="47"/>
      <c r="THY600" s="46"/>
      <c r="THZ600" s="48"/>
      <c r="TIA600" s="53"/>
      <c r="TIH600" s="15"/>
      <c r="TII600" s="50"/>
      <c r="TIJ600" s="50"/>
      <c r="TIK600" s="46"/>
      <c r="TIL600" s="47"/>
      <c r="TIM600" s="46"/>
      <c r="TIN600" s="48"/>
      <c r="TIO600" s="53"/>
      <c r="TIV600" s="15"/>
      <c r="TIW600" s="50"/>
      <c r="TIX600" s="50"/>
      <c r="TIY600" s="46"/>
      <c r="TIZ600" s="47"/>
      <c r="TJA600" s="46"/>
      <c r="TJB600" s="48"/>
      <c r="TJC600" s="53"/>
      <c r="TJJ600" s="15"/>
      <c r="TJK600" s="50"/>
      <c r="TJL600" s="50"/>
      <c r="TJM600" s="46"/>
      <c r="TJN600" s="47"/>
      <c r="TJO600" s="46"/>
      <c r="TJP600" s="48"/>
      <c r="TJQ600" s="53"/>
      <c r="TJX600" s="15"/>
      <c r="TJY600" s="50"/>
      <c r="TJZ600" s="50"/>
      <c r="TKA600" s="46"/>
      <c r="TKB600" s="47"/>
      <c r="TKC600" s="46"/>
      <c r="TKD600" s="48"/>
      <c r="TKE600" s="53"/>
      <c r="TKL600" s="15"/>
      <c r="TKM600" s="50"/>
      <c r="TKN600" s="50"/>
      <c r="TKO600" s="46"/>
      <c r="TKP600" s="47"/>
      <c r="TKQ600" s="46"/>
      <c r="TKR600" s="48"/>
      <c r="TKS600" s="53"/>
      <c r="TKZ600" s="15"/>
      <c r="TLA600" s="50"/>
      <c r="TLB600" s="50"/>
      <c r="TLC600" s="46"/>
      <c r="TLD600" s="47"/>
      <c r="TLE600" s="46"/>
      <c r="TLF600" s="48"/>
      <c r="TLG600" s="53"/>
      <c r="TLN600" s="15"/>
      <c r="TLO600" s="50"/>
      <c r="TLP600" s="50"/>
      <c r="TLQ600" s="46"/>
      <c r="TLR600" s="47"/>
      <c r="TLS600" s="46"/>
      <c r="TLT600" s="48"/>
      <c r="TLU600" s="53"/>
      <c r="TMB600" s="15"/>
      <c r="TMC600" s="50"/>
      <c r="TMD600" s="50"/>
      <c r="TME600" s="46"/>
      <c r="TMF600" s="47"/>
      <c r="TMG600" s="46"/>
      <c r="TMH600" s="48"/>
      <c r="TMI600" s="53"/>
      <c r="TMP600" s="15"/>
      <c r="TMQ600" s="50"/>
      <c r="TMR600" s="50"/>
      <c r="TMS600" s="46"/>
      <c r="TMT600" s="47"/>
      <c r="TMU600" s="46"/>
      <c r="TMV600" s="48"/>
      <c r="TMW600" s="53"/>
      <c r="TND600" s="15"/>
      <c r="TNE600" s="50"/>
      <c r="TNF600" s="50"/>
      <c r="TNG600" s="46"/>
      <c r="TNH600" s="47"/>
      <c r="TNI600" s="46"/>
      <c r="TNJ600" s="48"/>
      <c r="TNK600" s="53"/>
      <c r="TNR600" s="15"/>
      <c r="TNS600" s="50"/>
      <c r="TNT600" s="50"/>
      <c r="TNU600" s="46"/>
      <c r="TNV600" s="47"/>
      <c r="TNW600" s="46"/>
      <c r="TNX600" s="48"/>
      <c r="TNY600" s="53"/>
      <c r="TOF600" s="15"/>
      <c r="TOG600" s="50"/>
      <c r="TOH600" s="50"/>
      <c r="TOI600" s="46"/>
      <c r="TOJ600" s="47"/>
      <c r="TOK600" s="46"/>
      <c r="TOL600" s="48"/>
      <c r="TOM600" s="53"/>
      <c r="TOT600" s="15"/>
      <c r="TOU600" s="50"/>
      <c r="TOV600" s="50"/>
      <c r="TOW600" s="46"/>
      <c r="TOX600" s="47"/>
      <c r="TOY600" s="46"/>
      <c r="TOZ600" s="48"/>
      <c r="TPA600" s="53"/>
      <c r="TPH600" s="15"/>
      <c r="TPI600" s="50"/>
      <c r="TPJ600" s="50"/>
      <c r="TPK600" s="46"/>
      <c r="TPL600" s="47"/>
      <c r="TPM600" s="46"/>
      <c r="TPN600" s="48"/>
      <c r="TPO600" s="53"/>
      <c r="TPV600" s="15"/>
      <c r="TPW600" s="50"/>
      <c r="TPX600" s="50"/>
      <c r="TPY600" s="46"/>
      <c r="TPZ600" s="47"/>
      <c r="TQA600" s="46"/>
      <c r="TQB600" s="48"/>
      <c r="TQC600" s="53"/>
      <c r="TQJ600" s="15"/>
      <c r="TQK600" s="50"/>
      <c r="TQL600" s="50"/>
      <c r="TQM600" s="46"/>
      <c r="TQN600" s="47"/>
      <c r="TQO600" s="46"/>
      <c r="TQP600" s="48"/>
      <c r="TQQ600" s="53"/>
      <c r="TQX600" s="15"/>
      <c r="TQY600" s="50"/>
      <c r="TQZ600" s="50"/>
      <c r="TRA600" s="46"/>
      <c r="TRB600" s="47"/>
      <c r="TRC600" s="46"/>
      <c r="TRD600" s="48"/>
      <c r="TRE600" s="53"/>
      <c r="TRL600" s="15"/>
      <c r="TRM600" s="50"/>
      <c r="TRN600" s="50"/>
      <c r="TRO600" s="46"/>
      <c r="TRP600" s="47"/>
      <c r="TRQ600" s="46"/>
      <c r="TRR600" s="48"/>
      <c r="TRS600" s="53"/>
      <c r="TRZ600" s="15"/>
      <c r="TSA600" s="50"/>
      <c r="TSB600" s="50"/>
      <c r="TSC600" s="46"/>
      <c r="TSD600" s="47"/>
      <c r="TSE600" s="46"/>
      <c r="TSF600" s="48"/>
      <c r="TSG600" s="53"/>
      <c r="TSN600" s="15"/>
      <c r="TSO600" s="50"/>
      <c r="TSP600" s="50"/>
      <c r="TSQ600" s="46"/>
      <c r="TSR600" s="47"/>
      <c r="TSS600" s="46"/>
      <c r="TST600" s="48"/>
      <c r="TSU600" s="53"/>
      <c r="TTB600" s="15"/>
      <c r="TTC600" s="50"/>
      <c r="TTD600" s="50"/>
      <c r="TTE600" s="46"/>
      <c r="TTF600" s="47"/>
      <c r="TTG600" s="46"/>
      <c r="TTH600" s="48"/>
      <c r="TTI600" s="53"/>
      <c r="TTP600" s="15"/>
      <c r="TTQ600" s="50"/>
      <c r="TTR600" s="50"/>
      <c r="TTS600" s="46"/>
      <c r="TTT600" s="47"/>
      <c r="TTU600" s="46"/>
      <c r="TTV600" s="48"/>
      <c r="TTW600" s="53"/>
      <c r="TUD600" s="15"/>
      <c r="TUE600" s="50"/>
      <c r="TUF600" s="50"/>
      <c r="TUG600" s="46"/>
      <c r="TUH600" s="47"/>
      <c r="TUI600" s="46"/>
      <c r="TUJ600" s="48"/>
      <c r="TUK600" s="53"/>
      <c r="TUR600" s="15"/>
      <c r="TUS600" s="50"/>
      <c r="TUT600" s="50"/>
      <c r="TUU600" s="46"/>
      <c r="TUV600" s="47"/>
      <c r="TUW600" s="46"/>
      <c r="TUX600" s="48"/>
      <c r="TUY600" s="53"/>
      <c r="TVF600" s="15"/>
      <c r="TVG600" s="50"/>
      <c r="TVH600" s="50"/>
      <c r="TVI600" s="46"/>
      <c r="TVJ600" s="47"/>
      <c r="TVK600" s="46"/>
      <c r="TVL600" s="48"/>
      <c r="TVM600" s="53"/>
      <c r="TVT600" s="15"/>
      <c r="TVU600" s="50"/>
      <c r="TVV600" s="50"/>
      <c r="TVW600" s="46"/>
      <c r="TVX600" s="47"/>
      <c r="TVY600" s="46"/>
      <c r="TVZ600" s="48"/>
      <c r="TWA600" s="53"/>
      <c r="TWH600" s="15"/>
      <c r="TWI600" s="50"/>
      <c r="TWJ600" s="50"/>
      <c r="TWK600" s="46"/>
      <c r="TWL600" s="47"/>
      <c r="TWM600" s="46"/>
      <c r="TWN600" s="48"/>
      <c r="TWO600" s="53"/>
      <c r="TWV600" s="15"/>
      <c r="TWW600" s="50"/>
      <c r="TWX600" s="50"/>
      <c r="TWY600" s="46"/>
      <c r="TWZ600" s="47"/>
      <c r="TXA600" s="46"/>
      <c r="TXB600" s="48"/>
      <c r="TXC600" s="53"/>
      <c r="TXJ600" s="15"/>
      <c r="TXK600" s="50"/>
      <c r="TXL600" s="50"/>
      <c r="TXM600" s="46"/>
      <c r="TXN600" s="47"/>
      <c r="TXO600" s="46"/>
      <c r="TXP600" s="48"/>
      <c r="TXQ600" s="53"/>
      <c r="TXX600" s="15"/>
      <c r="TXY600" s="50"/>
      <c r="TXZ600" s="50"/>
      <c r="TYA600" s="46"/>
      <c r="TYB600" s="47"/>
      <c r="TYC600" s="46"/>
      <c r="TYD600" s="48"/>
      <c r="TYE600" s="53"/>
      <c r="TYL600" s="15"/>
      <c r="TYM600" s="50"/>
      <c r="TYN600" s="50"/>
      <c r="TYO600" s="46"/>
      <c r="TYP600" s="47"/>
      <c r="TYQ600" s="46"/>
      <c r="TYR600" s="48"/>
      <c r="TYS600" s="53"/>
      <c r="TYZ600" s="15"/>
      <c r="TZA600" s="50"/>
      <c r="TZB600" s="50"/>
      <c r="TZC600" s="46"/>
      <c r="TZD600" s="47"/>
      <c r="TZE600" s="46"/>
      <c r="TZF600" s="48"/>
      <c r="TZG600" s="53"/>
      <c r="TZN600" s="15"/>
      <c r="TZO600" s="50"/>
      <c r="TZP600" s="50"/>
      <c r="TZQ600" s="46"/>
      <c r="TZR600" s="47"/>
      <c r="TZS600" s="46"/>
      <c r="TZT600" s="48"/>
      <c r="TZU600" s="53"/>
      <c r="UAB600" s="15"/>
      <c r="UAC600" s="50"/>
      <c r="UAD600" s="50"/>
      <c r="UAE600" s="46"/>
      <c r="UAF600" s="47"/>
      <c r="UAG600" s="46"/>
      <c r="UAH600" s="48"/>
      <c r="UAI600" s="53"/>
      <c r="UAP600" s="15"/>
      <c r="UAQ600" s="50"/>
      <c r="UAR600" s="50"/>
      <c r="UAS600" s="46"/>
      <c r="UAT600" s="47"/>
      <c r="UAU600" s="46"/>
      <c r="UAV600" s="48"/>
      <c r="UAW600" s="53"/>
      <c r="UBD600" s="15"/>
      <c r="UBE600" s="50"/>
      <c r="UBF600" s="50"/>
      <c r="UBG600" s="46"/>
      <c r="UBH600" s="47"/>
      <c r="UBI600" s="46"/>
      <c r="UBJ600" s="48"/>
      <c r="UBK600" s="53"/>
      <c r="UBR600" s="15"/>
      <c r="UBS600" s="50"/>
      <c r="UBT600" s="50"/>
      <c r="UBU600" s="46"/>
      <c r="UBV600" s="47"/>
      <c r="UBW600" s="46"/>
      <c r="UBX600" s="48"/>
      <c r="UBY600" s="53"/>
      <c r="UCF600" s="15"/>
      <c r="UCG600" s="50"/>
      <c r="UCH600" s="50"/>
      <c r="UCI600" s="46"/>
      <c r="UCJ600" s="47"/>
      <c r="UCK600" s="46"/>
      <c r="UCL600" s="48"/>
      <c r="UCM600" s="53"/>
      <c r="UCT600" s="15"/>
      <c r="UCU600" s="50"/>
      <c r="UCV600" s="50"/>
      <c r="UCW600" s="46"/>
      <c r="UCX600" s="47"/>
      <c r="UCY600" s="46"/>
      <c r="UCZ600" s="48"/>
      <c r="UDA600" s="53"/>
      <c r="UDH600" s="15"/>
      <c r="UDI600" s="50"/>
      <c r="UDJ600" s="50"/>
      <c r="UDK600" s="46"/>
      <c r="UDL600" s="47"/>
      <c r="UDM600" s="46"/>
      <c r="UDN600" s="48"/>
      <c r="UDO600" s="53"/>
      <c r="UDV600" s="15"/>
      <c r="UDW600" s="50"/>
      <c r="UDX600" s="50"/>
      <c r="UDY600" s="46"/>
      <c r="UDZ600" s="47"/>
      <c r="UEA600" s="46"/>
      <c r="UEB600" s="48"/>
      <c r="UEC600" s="53"/>
      <c r="UEJ600" s="15"/>
      <c r="UEK600" s="50"/>
      <c r="UEL600" s="50"/>
      <c r="UEM600" s="46"/>
      <c r="UEN600" s="47"/>
      <c r="UEO600" s="46"/>
      <c r="UEP600" s="48"/>
      <c r="UEQ600" s="53"/>
      <c r="UEX600" s="15"/>
      <c r="UEY600" s="50"/>
      <c r="UEZ600" s="50"/>
      <c r="UFA600" s="46"/>
      <c r="UFB600" s="47"/>
      <c r="UFC600" s="46"/>
      <c r="UFD600" s="48"/>
      <c r="UFE600" s="53"/>
      <c r="UFL600" s="15"/>
      <c r="UFM600" s="50"/>
      <c r="UFN600" s="50"/>
      <c r="UFO600" s="46"/>
      <c r="UFP600" s="47"/>
      <c r="UFQ600" s="46"/>
      <c r="UFR600" s="48"/>
      <c r="UFS600" s="53"/>
      <c r="UFZ600" s="15"/>
      <c r="UGA600" s="50"/>
      <c r="UGB600" s="50"/>
      <c r="UGC600" s="46"/>
      <c r="UGD600" s="47"/>
      <c r="UGE600" s="46"/>
      <c r="UGF600" s="48"/>
      <c r="UGG600" s="53"/>
      <c r="UGN600" s="15"/>
      <c r="UGO600" s="50"/>
      <c r="UGP600" s="50"/>
      <c r="UGQ600" s="46"/>
      <c r="UGR600" s="47"/>
      <c r="UGS600" s="46"/>
      <c r="UGT600" s="48"/>
      <c r="UGU600" s="53"/>
      <c r="UHB600" s="15"/>
      <c r="UHC600" s="50"/>
      <c r="UHD600" s="50"/>
      <c r="UHE600" s="46"/>
      <c r="UHF600" s="47"/>
      <c r="UHG600" s="46"/>
      <c r="UHH600" s="48"/>
      <c r="UHI600" s="53"/>
      <c r="UHP600" s="15"/>
      <c r="UHQ600" s="50"/>
      <c r="UHR600" s="50"/>
      <c r="UHS600" s="46"/>
      <c r="UHT600" s="47"/>
      <c r="UHU600" s="46"/>
      <c r="UHV600" s="48"/>
      <c r="UHW600" s="53"/>
      <c r="UID600" s="15"/>
      <c r="UIE600" s="50"/>
      <c r="UIF600" s="50"/>
      <c r="UIG600" s="46"/>
      <c r="UIH600" s="47"/>
      <c r="UII600" s="46"/>
      <c r="UIJ600" s="48"/>
      <c r="UIK600" s="53"/>
      <c r="UIR600" s="15"/>
      <c r="UIS600" s="50"/>
      <c r="UIT600" s="50"/>
      <c r="UIU600" s="46"/>
      <c r="UIV600" s="47"/>
      <c r="UIW600" s="46"/>
      <c r="UIX600" s="48"/>
      <c r="UIY600" s="53"/>
      <c r="UJF600" s="15"/>
      <c r="UJG600" s="50"/>
      <c r="UJH600" s="50"/>
      <c r="UJI600" s="46"/>
      <c r="UJJ600" s="47"/>
      <c r="UJK600" s="46"/>
      <c r="UJL600" s="48"/>
      <c r="UJM600" s="53"/>
      <c r="UJT600" s="15"/>
      <c r="UJU600" s="50"/>
      <c r="UJV600" s="50"/>
      <c r="UJW600" s="46"/>
      <c r="UJX600" s="47"/>
      <c r="UJY600" s="46"/>
      <c r="UJZ600" s="48"/>
      <c r="UKA600" s="53"/>
      <c r="UKH600" s="15"/>
      <c r="UKI600" s="50"/>
      <c r="UKJ600" s="50"/>
      <c r="UKK600" s="46"/>
      <c r="UKL600" s="47"/>
      <c r="UKM600" s="46"/>
      <c r="UKN600" s="48"/>
      <c r="UKO600" s="53"/>
      <c r="UKV600" s="15"/>
      <c r="UKW600" s="50"/>
      <c r="UKX600" s="50"/>
      <c r="UKY600" s="46"/>
      <c r="UKZ600" s="47"/>
      <c r="ULA600" s="46"/>
      <c r="ULB600" s="48"/>
      <c r="ULC600" s="53"/>
      <c r="ULJ600" s="15"/>
      <c r="ULK600" s="50"/>
      <c r="ULL600" s="50"/>
      <c r="ULM600" s="46"/>
      <c r="ULN600" s="47"/>
      <c r="ULO600" s="46"/>
      <c r="ULP600" s="48"/>
      <c r="ULQ600" s="53"/>
      <c r="ULX600" s="15"/>
      <c r="ULY600" s="50"/>
      <c r="ULZ600" s="50"/>
      <c r="UMA600" s="46"/>
      <c r="UMB600" s="47"/>
      <c r="UMC600" s="46"/>
      <c r="UMD600" s="48"/>
      <c r="UME600" s="53"/>
      <c r="UML600" s="15"/>
      <c r="UMM600" s="50"/>
      <c r="UMN600" s="50"/>
      <c r="UMO600" s="46"/>
      <c r="UMP600" s="47"/>
      <c r="UMQ600" s="46"/>
      <c r="UMR600" s="48"/>
      <c r="UMS600" s="53"/>
      <c r="UMZ600" s="15"/>
      <c r="UNA600" s="50"/>
      <c r="UNB600" s="50"/>
      <c r="UNC600" s="46"/>
      <c r="UND600" s="47"/>
      <c r="UNE600" s="46"/>
      <c r="UNF600" s="48"/>
      <c r="UNG600" s="53"/>
      <c r="UNN600" s="15"/>
      <c r="UNO600" s="50"/>
      <c r="UNP600" s="50"/>
      <c r="UNQ600" s="46"/>
      <c r="UNR600" s="47"/>
      <c r="UNS600" s="46"/>
      <c r="UNT600" s="48"/>
      <c r="UNU600" s="53"/>
      <c r="UOB600" s="15"/>
      <c r="UOC600" s="50"/>
      <c r="UOD600" s="50"/>
      <c r="UOE600" s="46"/>
      <c r="UOF600" s="47"/>
      <c r="UOG600" s="46"/>
      <c r="UOH600" s="48"/>
      <c r="UOI600" s="53"/>
      <c r="UOP600" s="15"/>
      <c r="UOQ600" s="50"/>
      <c r="UOR600" s="50"/>
      <c r="UOS600" s="46"/>
      <c r="UOT600" s="47"/>
      <c r="UOU600" s="46"/>
      <c r="UOV600" s="48"/>
      <c r="UOW600" s="53"/>
      <c r="UPD600" s="15"/>
      <c r="UPE600" s="50"/>
      <c r="UPF600" s="50"/>
      <c r="UPG600" s="46"/>
      <c r="UPH600" s="47"/>
      <c r="UPI600" s="46"/>
      <c r="UPJ600" s="48"/>
      <c r="UPK600" s="53"/>
      <c r="UPR600" s="15"/>
      <c r="UPS600" s="50"/>
      <c r="UPT600" s="50"/>
      <c r="UPU600" s="46"/>
      <c r="UPV600" s="47"/>
      <c r="UPW600" s="46"/>
      <c r="UPX600" s="48"/>
      <c r="UPY600" s="53"/>
      <c r="UQF600" s="15"/>
      <c r="UQG600" s="50"/>
      <c r="UQH600" s="50"/>
      <c r="UQI600" s="46"/>
      <c r="UQJ600" s="47"/>
      <c r="UQK600" s="46"/>
      <c r="UQL600" s="48"/>
      <c r="UQM600" s="53"/>
      <c r="UQT600" s="15"/>
      <c r="UQU600" s="50"/>
      <c r="UQV600" s="50"/>
      <c r="UQW600" s="46"/>
      <c r="UQX600" s="47"/>
      <c r="UQY600" s="46"/>
      <c r="UQZ600" s="48"/>
      <c r="URA600" s="53"/>
      <c r="URH600" s="15"/>
      <c r="URI600" s="50"/>
      <c r="URJ600" s="50"/>
      <c r="URK600" s="46"/>
      <c r="URL600" s="47"/>
      <c r="URM600" s="46"/>
      <c r="URN600" s="48"/>
      <c r="URO600" s="53"/>
      <c r="URV600" s="15"/>
      <c r="URW600" s="50"/>
      <c r="URX600" s="50"/>
      <c r="URY600" s="46"/>
      <c r="URZ600" s="47"/>
      <c r="USA600" s="46"/>
      <c r="USB600" s="48"/>
      <c r="USC600" s="53"/>
      <c r="USJ600" s="15"/>
      <c r="USK600" s="50"/>
      <c r="USL600" s="50"/>
      <c r="USM600" s="46"/>
      <c r="USN600" s="47"/>
      <c r="USO600" s="46"/>
      <c r="USP600" s="48"/>
      <c r="USQ600" s="53"/>
      <c r="USX600" s="15"/>
      <c r="USY600" s="50"/>
      <c r="USZ600" s="50"/>
      <c r="UTA600" s="46"/>
      <c r="UTB600" s="47"/>
      <c r="UTC600" s="46"/>
      <c r="UTD600" s="48"/>
      <c r="UTE600" s="53"/>
      <c r="UTL600" s="15"/>
      <c r="UTM600" s="50"/>
      <c r="UTN600" s="50"/>
      <c r="UTO600" s="46"/>
      <c r="UTP600" s="47"/>
      <c r="UTQ600" s="46"/>
      <c r="UTR600" s="48"/>
      <c r="UTS600" s="53"/>
      <c r="UTZ600" s="15"/>
      <c r="UUA600" s="50"/>
      <c r="UUB600" s="50"/>
      <c r="UUC600" s="46"/>
      <c r="UUD600" s="47"/>
      <c r="UUE600" s="46"/>
      <c r="UUF600" s="48"/>
      <c r="UUG600" s="53"/>
      <c r="UUN600" s="15"/>
      <c r="UUO600" s="50"/>
      <c r="UUP600" s="50"/>
      <c r="UUQ600" s="46"/>
      <c r="UUR600" s="47"/>
      <c r="UUS600" s="46"/>
      <c r="UUT600" s="48"/>
      <c r="UUU600" s="53"/>
      <c r="UVB600" s="15"/>
      <c r="UVC600" s="50"/>
      <c r="UVD600" s="50"/>
      <c r="UVE600" s="46"/>
      <c r="UVF600" s="47"/>
      <c r="UVG600" s="46"/>
      <c r="UVH600" s="48"/>
      <c r="UVI600" s="53"/>
      <c r="UVP600" s="15"/>
      <c r="UVQ600" s="50"/>
      <c r="UVR600" s="50"/>
      <c r="UVS600" s="46"/>
      <c r="UVT600" s="47"/>
      <c r="UVU600" s="46"/>
      <c r="UVV600" s="48"/>
      <c r="UVW600" s="53"/>
      <c r="UWD600" s="15"/>
      <c r="UWE600" s="50"/>
      <c r="UWF600" s="50"/>
      <c r="UWG600" s="46"/>
      <c r="UWH600" s="47"/>
      <c r="UWI600" s="46"/>
      <c r="UWJ600" s="48"/>
      <c r="UWK600" s="53"/>
      <c r="UWR600" s="15"/>
      <c r="UWS600" s="50"/>
      <c r="UWT600" s="50"/>
      <c r="UWU600" s="46"/>
      <c r="UWV600" s="47"/>
      <c r="UWW600" s="46"/>
      <c r="UWX600" s="48"/>
      <c r="UWY600" s="53"/>
      <c r="UXF600" s="15"/>
      <c r="UXG600" s="50"/>
      <c r="UXH600" s="50"/>
      <c r="UXI600" s="46"/>
      <c r="UXJ600" s="47"/>
      <c r="UXK600" s="46"/>
      <c r="UXL600" s="48"/>
      <c r="UXM600" s="53"/>
      <c r="UXT600" s="15"/>
      <c r="UXU600" s="50"/>
      <c r="UXV600" s="50"/>
      <c r="UXW600" s="46"/>
      <c r="UXX600" s="47"/>
      <c r="UXY600" s="46"/>
      <c r="UXZ600" s="48"/>
      <c r="UYA600" s="53"/>
      <c r="UYH600" s="15"/>
      <c r="UYI600" s="50"/>
      <c r="UYJ600" s="50"/>
      <c r="UYK600" s="46"/>
      <c r="UYL600" s="47"/>
      <c r="UYM600" s="46"/>
      <c r="UYN600" s="48"/>
      <c r="UYO600" s="53"/>
      <c r="UYV600" s="15"/>
      <c r="UYW600" s="50"/>
      <c r="UYX600" s="50"/>
      <c r="UYY600" s="46"/>
      <c r="UYZ600" s="47"/>
      <c r="UZA600" s="46"/>
      <c r="UZB600" s="48"/>
      <c r="UZC600" s="53"/>
      <c r="UZJ600" s="15"/>
      <c r="UZK600" s="50"/>
      <c r="UZL600" s="50"/>
      <c r="UZM600" s="46"/>
      <c r="UZN600" s="47"/>
      <c r="UZO600" s="46"/>
      <c r="UZP600" s="48"/>
      <c r="UZQ600" s="53"/>
      <c r="UZX600" s="15"/>
      <c r="UZY600" s="50"/>
      <c r="UZZ600" s="50"/>
      <c r="VAA600" s="46"/>
      <c r="VAB600" s="47"/>
      <c r="VAC600" s="46"/>
      <c r="VAD600" s="48"/>
      <c r="VAE600" s="53"/>
      <c r="VAL600" s="15"/>
      <c r="VAM600" s="50"/>
      <c r="VAN600" s="50"/>
      <c r="VAO600" s="46"/>
      <c r="VAP600" s="47"/>
      <c r="VAQ600" s="46"/>
      <c r="VAR600" s="48"/>
      <c r="VAS600" s="53"/>
      <c r="VAZ600" s="15"/>
      <c r="VBA600" s="50"/>
      <c r="VBB600" s="50"/>
      <c r="VBC600" s="46"/>
      <c r="VBD600" s="47"/>
      <c r="VBE600" s="46"/>
      <c r="VBF600" s="48"/>
      <c r="VBG600" s="53"/>
      <c r="VBN600" s="15"/>
      <c r="VBO600" s="50"/>
      <c r="VBP600" s="50"/>
      <c r="VBQ600" s="46"/>
      <c r="VBR600" s="47"/>
      <c r="VBS600" s="46"/>
      <c r="VBT600" s="48"/>
      <c r="VBU600" s="53"/>
      <c r="VCB600" s="15"/>
      <c r="VCC600" s="50"/>
      <c r="VCD600" s="50"/>
      <c r="VCE600" s="46"/>
      <c r="VCF600" s="47"/>
      <c r="VCG600" s="46"/>
      <c r="VCH600" s="48"/>
      <c r="VCI600" s="53"/>
      <c r="VCP600" s="15"/>
      <c r="VCQ600" s="50"/>
      <c r="VCR600" s="50"/>
      <c r="VCS600" s="46"/>
      <c r="VCT600" s="47"/>
      <c r="VCU600" s="46"/>
      <c r="VCV600" s="48"/>
      <c r="VCW600" s="53"/>
      <c r="VDD600" s="15"/>
      <c r="VDE600" s="50"/>
      <c r="VDF600" s="50"/>
      <c r="VDG600" s="46"/>
      <c r="VDH600" s="47"/>
      <c r="VDI600" s="46"/>
      <c r="VDJ600" s="48"/>
      <c r="VDK600" s="53"/>
      <c r="VDR600" s="15"/>
      <c r="VDS600" s="50"/>
      <c r="VDT600" s="50"/>
      <c r="VDU600" s="46"/>
      <c r="VDV600" s="47"/>
      <c r="VDW600" s="46"/>
      <c r="VDX600" s="48"/>
      <c r="VDY600" s="53"/>
      <c r="VEF600" s="15"/>
      <c r="VEG600" s="50"/>
      <c r="VEH600" s="50"/>
      <c r="VEI600" s="46"/>
      <c r="VEJ600" s="47"/>
      <c r="VEK600" s="46"/>
      <c r="VEL600" s="48"/>
      <c r="VEM600" s="53"/>
      <c r="VET600" s="15"/>
      <c r="VEU600" s="50"/>
      <c r="VEV600" s="50"/>
      <c r="VEW600" s="46"/>
      <c r="VEX600" s="47"/>
      <c r="VEY600" s="46"/>
      <c r="VEZ600" s="48"/>
      <c r="VFA600" s="53"/>
      <c r="VFH600" s="15"/>
      <c r="VFI600" s="50"/>
      <c r="VFJ600" s="50"/>
      <c r="VFK600" s="46"/>
      <c r="VFL600" s="47"/>
      <c r="VFM600" s="46"/>
      <c r="VFN600" s="48"/>
      <c r="VFO600" s="53"/>
      <c r="VFV600" s="15"/>
      <c r="VFW600" s="50"/>
      <c r="VFX600" s="50"/>
      <c r="VFY600" s="46"/>
      <c r="VFZ600" s="47"/>
      <c r="VGA600" s="46"/>
      <c r="VGB600" s="48"/>
      <c r="VGC600" s="53"/>
      <c r="VGJ600" s="15"/>
      <c r="VGK600" s="50"/>
      <c r="VGL600" s="50"/>
      <c r="VGM600" s="46"/>
      <c r="VGN600" s="47"/>
      <c r="VGO600" s="46"/>
      <c r="VGP600" s="48"/>
      <c r="VGQ600" s="53"/>
      <c r="VGX600" s="15"/>
      <c r="VGY600" s="50"/>
      <c r="VGZ600" s="50"/>
      <c r="VHA600" s="46"/>
      <c r="VHB600" s="47"/>
      <c r="VHC600" s="46"/>
      <c r="VHD600" s="48"/>
      <c r="VHE600" s="53"/>
      <c r="VHL600" s="15"/>
      <c r="VHM600" s="50"/>
      <c r="VHN600" s="50"/>
      <c r="VHO600" s="46"/>
      <c r="VHP600" s="47"/>
      <c r="VHQ600" s="46"/>
      <c r="VHR600" s="48"/>
      <c r="VHS600" s="53"/>
      <c r="VHZ600" s="15"/>
      <c r="VIA600" s="50"/>
      <c r="VIB600" s="50"/>
      <c r="VIC600" s="46"/>
      <c r="VID600" s="47"/>
      <c r="VIE600" s="46"/>
      <c r="VIF600" s="48"/>
      <c r="VIG600" s="53"/>
      <c r="VIN600" s="15"/>
      <c r="VIO600" s="50"/>
      <c r="VIP600" s="50"/>
      <c r="VIQ600" s="46"/>
      <c r="VIR600" s="47"/>
      <c r="VIS600" s="46"/>
      <c r="VIT600" s="48"/>
      <c r="VIU600" s="53"/>
      <c r="VJB600" s="15"/>
      <c r="VJC600" s="50"/>
      <c r="VJD600" s="50"/>
      <c r="VJE600" s="46"/>
      <c r="VJF600" s="47"/>
      <c r="VJG600" s="46"/>
      <c r="VJH600" s="48"/>
      <c r="VJI600" s="53"/>
      <c r="VJP600" s="15"/>
      <c r="VJQ600" s="50"/>
      <c r="VJR600" s="50"/>
      <c r="VJS600" s="46"/>
      <c r="VJT600" s="47"/>
      <c r="VJU600" s="46"/>
      <c r="VJV600" s="48"/>
      <c r="VJW600" s="53"/>
      <c r="VKD600" s="15"/>
      <c r="VKE600" s="50"/>
      <c r="VKF600" s="50"/>
      <c r="VKG600" s="46"/>
      <c r="VKH600" s="47"/>
      <c r="VKI600" s="46"/>
      <c r="VKJ600" s="48"/>
      <c r="VKK600" s="53"/>
      <c r="VKR600" s="15"/>
      <c r="VKS600" s="50"/>
      <c r="VKT600" s="50"/>
      <c r="VKU600" s="46"/>
      <c r="VKV600" s="47"/>
      <c r="VKW600" s="46"/>
      <c r="VKX600" s="48"/>
      <c r="VKY600" s="53"/>
      <c r="VLF600" s="15"/>
      <c r="VLG600" s="50"/>
      <c r="VLH600" s="50"/>
      <c r="VLI600" s="46"/>
      <c r="VLJ600" s="47"/>
      <c r="VLK600" s="46"/>
      <c r="VLL600" s="48"/>
      <c r="VLM600" s="53"/>
      <c r="VLT600" s="15"/>
      <c r="VLU600" s="50"/>
      <c r="VLV600" s="50"/>
      <c r="VLW600" s="46"/>
      <c r="VLX600" s="47"/>
      <c r="VLY600" s="46"/>
      <c r="VLZ600" s="48"/>
      <c r="VMA600" s="53"/>
      <c r="VMH600" s="15"/>
      <c r="VMI600" s="50"/>
      <c r="VMJ600" s="50"/>
      <c r="VMK600" s="46"/>
      <c r="VML600" s="47"/>
      <c r="VMM600" s="46"/>
      <c r="VMN600" s="48"/>
      <c r="VMO600" s="53"/>
      <c r="VMV600" s="15"/>
      <c r="VMW600" s="50"/>
      <c r="VMX600" s="50"/>
      <c r="VMY600" s="46"/>
      <c r="VMZ600" s="47"/>
      <c r="VNA600" s="46"/>
      <c r="VNB600" s="48"/>
      <c r="VNC600" s="53"/>
      <c r="VNJ600" s="15"/>
      <c r="VNK600" s="50"/>
      <c r="VNL600" s="50"/>
      <c r="VNM600" s="46"/>
      <c r="VNN600" s="47"/>
      <c r="VNO600" s="46"/>
      <c r="VNP600" s="48"/>
      <c r="VNQ600" s="53"/>
      <c r="VNX600" s="15"/>
      <c r="VNY600" s="50"/>
      <c r="VNZ600" s="50"/>
      <c r="VOA600" s="46"/>
      <c r="VOB600" s="47"/>
      <c r="VOC600" s="46"/>
      <c r="VOD600" s="48"/>
      <c r="VOE600" s="53"/>
      <c r="VOL600" s="15"/>
      <c r="VOM600" s="50"/>
      <c r="VON600" s="50"/>
      <c r="VOO600" s="46"/>
      <c r="VOP600" s="47"/>
      <c r="VOQ600" s="46"/>
      <c r="VOR600" s="48"/>
      <c r="VOS600" s="53"/>
      <c r="VOZ600" s="15"/>
      <c r="VPA600" s="50"/>
      <c r="VPB600" s="50"/>
      <c r="VPC600" s="46"/>
      <c r="VPD600" s="47"/>
      <c r="VPE600" s="46"/>
      <c r="VPF600" s="48"/>
      <c r="VPG600" s="53"/>
      <c r="VPN600" s="15"/>
      <c r="VPO600" s="50"/>
      <c r="VPP600" s="50"/>
      <c r="VPQ600" s="46"/>
      <c r="VPR600" s="47"/>
      <c r="VPS600" s="46"/>
      <c r="VPT600" s="48"/>
      <c r="VPU600" s="53"/>
      <c r="VQB600" s="15"/>
      <c r="VQC600" s="50"/>
      <c r="VQD600" s="50"/>
      <c r="VQE600" s="46"/>
      <c r="VQF600" s="47"/>
      <c r="VQG600" s="46"/>
      <c r="VQH600" s="48"/>
      <c r="VQI600" s="53"/>
      <c r="VQP600" s="15"/>
      <c r="VQQ600" s="50"/>
      <c r="VQR600" s="50"/>
      <c r="VQS600" s="46"/>
      <c r="VQT600" s="47"/>
      <c r="VQU600" s="46"/>
      <c r="VQV600" s="48"/>
      <c r="VQW600" s="53"/>
      <c r="VRD600" s="15"/>
      <c r="VRE600" s="50"/>
      <c r="VRF600" s="50"/>
      <c r="VRG600" s="46"/>
      <c r="VRH600" s="47"/>
      <c r="VRI600" s="46"/>
      <c r="VRJ600" s="48"/>
      <c r="VRK600" s="53"/>
      <c r="VRR600" s="15"/>
      <c r="VRS600" s="50"/>
      <c r="VRT600" s="50"/>
      <c r="VRU600" s="46"/>
      <c r="VRV600" s="47"/>
      <c r="VRW600" s="46"/>
      <c r="VRX600" s="48"/>
      <c r="VRY600" s="53"/>
      <c r="VSF600" s="15"/>
      <c r="VSG600" s="50"/>
      <c r="VSH600" s="50"/>
      <c r="VSI600" s="46"/>
      <c r="VSJ600" s="47"/>
      <c r="VSK600" s="46"/>
      <c r="VSL600" s="48"/>
      <c r="VSM600" s="53"/>
      <c r="VST600" s="15"/>
      <c r="VSU600" s="50"/>
      <c r="VSV600" s="50"/>
      <c r="VSW600" s="46"/>
      <c r="VSX600" s="47"/>
      <c r="VSY600" s="46"/>
      <c r="VSZ600" s="48"/>
      <c r="VTA600" s="53"/>
      <c r="VTH600" s="15"/>
      <c r="VTI600" s="50"/>
      <c r="VTJ600" s="50"/>
      <c r="VTK600" s="46"/>
      <c r="VTL600" s="47"/>
      <c r="VTM600" s="46"/>
      <c r="VTN600" s="48"/>
      <c r="VTO600" s="53"/>
      <c r="VTV600" s="15"/>
      <c r="VTW600" s="50"/>
      <c r="VTX600" s="50"/>
      <c r="VTY600" s="46"/>
      <c r="VTZ600" s="47"/>
      <c r="VUA600" s="46"/>
      <c r="VUB600" s="48"/>
      <c r="VUC600" s="53"/>
      <c r="VUJ600" s="15"/>
      <c r="VUK600" s="50"/>
      <c r="VUL600" s="50"/>
      <c r="VUM600" s="46"/>
      <c r="VUN600" s="47"/>
      <c r="VUO600" s="46"/>
      <c r="VUP600" s="48"/>
      <c r="VUQ600" s="53"/>
      <c r="VUX600" s="15"/>
      <c r="VUY600" s="50"/>
      <c r="VUZ600" s="50"/>
      <c r="VVA600" s="46"/>
      <c r="VVB600" s="47"/>
      <c r="VVC600" s="46"/>
      <c r="VVD600" s="48"/>
      <c r="VVE600" s="53"/>
      <c r="VVL600" s="15"/>
      <c r="VVM600" s="50"/>
      <c r="VVN600" s="50"/>
      <c r="VVO600" s="46"/>
      <c r="VVP600" s="47"/>
      <c r="VVQ600" s="46"/>
      <c r="VVR600" s="48"/>
      <c r="VVS600" s="53"/>
      <c r="VVZ600" s="15"/>
      <c r="VWA600" s="50"/>
      <c r="VWB600" s="50"/>
      <c r="VWC600" s="46"/>
      <c r="VWD600" s="47"/>
      <c r="VWE600" s="46"/>
      <c r="VWF600" s="48"/>
      <c r="VWG600" s="53"/>
      <c r="VWN600" s="15"/>
      <c r="VWO600" s="50"/>
      <c r="VWP600" s="50"/>
      <c r="VWQ600" s="46"/>
      <c r="VWR600" s="47"/>
      <c r="VWS600" s="46"/>
      <c r="VWT600" s="48"/>
      <c r="VWU600" s="53"/>
      <c r="VXB600" s="15"/>
      <c r="VXC600" s="50"/>
      <c r="VXD600" s="50"/>
      <c r="VXE600" s="46"/>
      <c r="VXF600" s="47"/>
      <c r="VXG600" s="46"/>
      <c r="VXH600" s="48"/>
      <c r="VXI600" s="53"/>
      <c r="VXP600" s="15"/>
      <c r="VXQ600" s="50"/>
      <c r="VXR600" s="50"/>
      <c r="VXS600" s="46"/>
      <c r="VXT600" s="47"/>
      <c r="VXU600" s="46"/>
      <c r="VXV600" s="48"/>
      <c r="VXW600" s="53"/>
      <c r="VYD600" s="15"/>
      <c r="VYE600" s="50"/>
      <c r="VYF600" s="50"/>
      <c r="VYG600" s="46"/>
      <c r="VYH600" s="47"/>
      <c r="VYI600" s="46"/>
      <c r="VYJ600" s="48"/>
      <c r="VYK600" s="53"/>
      <c r="VYR600" s="15"/>
      <c r="VYS600" s="50"/>
      <c r="VYT600" s="50"/>
      <c r="VYU600" s="46"/>
      <c r="VYV600" s="47"/>
      <c r="VYW600" s="46"/>
      <c r="VYX600" s="48"/>
      <c r="VYY600" s="53"/>
      <c r="VZF600" s="15"/>
      <c r="VZG600" s="50"/>
      <c r="VZH600" s="50"/>
      <c r="VZI600" s="46"/>
      <c r="VZJ600" s="47"/>
      <c r="VZK600" s="46"/>
      <c r="VZL600" s="48"/>
      <c r="VZM600" s="53"/>
      <c r="VZT600" s="15"/>
      <c r="VZU600" s="50"/>
      <c r="VZV600" s="50"/>
      <c r="VZW600" s="46"/>
      <c r="VZX600" s="47"/>
      <c r="VZY600" s="46"/>
      <c r="VZZ600" s="48"/>
      <c r="WAA600" s="53"/>
      <c r="WAH600" s="15"/>
      <c r="WAI600" s="50"/>
      <c r="WAJ600" s="50"/>
      <c r="WAK600" s="46"/>
      <c r="WAL600" s="47"/>
      <c r="WAM600" s="46"/>
      <c r="WAN600" s="48"/>
      <c r="WAO600" s="53"/>
      <c r="WAV600" s="15"/>
      <c r="WAW600" s="50"/>
      <c r="WAX600" s="50"/>
      <c r="WAY600" s="46"/>
      <c r="WAZ600" s="47"/>
      <c r="WBA600" s="46"/>
      <c r="WBB600" s="48"/>
      <c r="WBC600" s="53"/>
      <c r="WBJ600" s="15"/>
      <c r="WBK600" s="50"/>
      <c r="WBL600" s="50"/>
      <c r="WBM600" s="46"/>
      <c r="WBN600" s="47"/>
      <c r="WBO600" s="46"/>
      <c r="WBP600" s="48"/>
      <c r="WBQ600" s="53"/>
      <c r="WBX600" s="15"/>
      <c r="WBY600" s="50"/>
      <c r="WBZ600" s="50"/>
      <c r="WCA600" s="46"/>
      <c r="WCB600" s="47"/>
      <c r="WCC600" s="46"/>
      <c r="WCD600" s="48"/>
      <c r="WCE600" s="53"/>
      <c r="WCL600" s="15"/>
      <c r="WCM600" s="50"/>
      <c r="WCN600" s="50"/>
      <c r="WCO600" s="46"/>
      <c r="WCP600" s="47"/>
      <c r="WCQ600" s="46"/>
      <c r="WCR600" s="48"/>
      <c r="WCS600" s="53"/>
      <c r="WCZ600" s="15"/>
      <c r="WDA600" s="50"/>
      <c r="WDB600" s="50"/>
      <c r="WDC600" s="46"/>
      <c r="WDD600" s="47"/>
      <c r="WDE600" s="46"/>
      <c r="WDF600" s="48"/>
      <c r="WDG600" s="53"/>
      <c r="WDN600" s="15"/>
      <c r="WDO600" s="50"/>
      <c r="WDP600" s="50"/>
      <c r="WDQ600" s="46"/>
      <c r="WDR600" s="47"/>
      <c r="WDS600" s="46"/>
      <c r="WDT600" s="48"/>
      <c r="WDU600" s="53"/>
      <c r="WEB600" s="15"/>
      <c r="WEC600" s="50"/>
      <c r="WED600" s="50"/>
      <c r="WEE600" s="46"/>
      <c r="WEF600" s="47"/>
      <c r="WEG600" s="46"/>
      <c r="WEH600" s="48"/>
      <c r="WEI600" s="53"/>
      <c r="WEP600" s="15"/>
      <c r="WEQ600" s="50"/>
      <c r="WER600" s="50"/>
      <c r="WES600" s="46"/>
      <c r="WET600" s="47"/>
      <c r="WEU600" s="46"/>
      <c r="WEV600" s="48"/>
      <c r="WEW600" s="53"/>
      <c r="WFD600" s="15"/>
      <c r="WFE600" s="50"/>
      <c r="WFF600" s="50"/>
      <c r="WFG600" s="46"/>
      <c r="WFH600" s="47"/>
      <c r="WFI600" s="46"/>
      <c r="WFJ600" s="48"/>
      <c r="WFK600" s="53"/>
      <c r="WFR600" s="15"/>
      <c r="WFS600" s="50"/>
      <c r="WFT600" s="50"/>
      <c r="WFU600" s="46"/>
      <c r="WFV600" s="47"/>
      <c r="WFW600" s="46"/>
      <c r="WFX600" s="48"/>
      <c r="WFY600" s="53"/>
      <c r="WGF600" s="15"/>
      <c r="WGG600" s="50"/>
      <c r="WGH600" s="50"/>
      <c r="WGI600" s="46"/>
      <c r="WGJ600" s="47"/>
      <c r="WGK600" s="46"/>
      <c r="WGL600" s="48"/>
      <c r="WGM600" s="53"/>
      <c r="WGT600" s="15"/>
      <c r="WGU600" s="50"/>
      <c r="WGV600" s="50"/>
      <c r="WGW600" s="46"/>
      <c r="WGX600" s="47"/>
      <c r="WGY600" s="46"/>
      <c r="WGZ600" s="48"/>
      <c r="WHA600" s="53"/>
      <c r="WHH600" s="15"/>
      <c r="WHI600" s="50"/>
      <c r="WHJ600" s="50"/>
      <c r="WHK600" s="46"/>
      <c r="WHL600" s="47"/>
      <c r="WHM600" s="46"/>
      <c r="WHN600" s="48"/>
      <c r="WHO600" s="53"/>
      <c r="WHV600" s="15"/>
      <c r="WHW600" s="50"/>
      <c r="WHX600" s="50"/>
      <c r="WHY600" s="46"/>
      <c r="WHZ600" s="47"/>
      <c r="WIA600" s="46"/>
      <c r="WIB600" s="48"/>
      <c r="WIC600" s="53"/>
      <c r="WIJ600" s="15"/>
      <c r="WIK600" s="50"/>
      <c r="WIL600" s="50"/>
      <c r="WIM600" s="46"/>
      <c r="WIN600" s="47"/>
      <c r="WIO600" s="46"/>
      <c r="WIP600" s="48"/>
      <c r="WIQ600" s="53"/>
      <c r="WIX600" s="15"/>
      <c r="WIY600" s="50"/>
      <c r="WIZ600" s="50"/>
      <c r="WJA600" s="46"/>
      <c r="WJB600" s="47"/>
      <c r="WJC600" s="46"/>
      <c r="WJD600" s="48"/>
      <c r="WJE600" s="53"/>
      <c r="WJL600" s="15"/>
      <c r="WJM600" s="50"/>
      <c r="WJN600" s="50"/>
      <c r="WJO600" s="46"/>
      <c r="WJP600" s="47"/>
      <c r="WJQ600" s="46"/>
      <c r="WJR600" s="48"/>
      <c r="WJS600" s="53"/>
      <c r="WJZ600" s="15"/>
      <c r="WKA600" s="50"/>
      <c r="WKB600" s="50"/>
      <c r="WKC600" s="46"/>
      <c r="WKD600" s="47"/>
      <c r="WKE600" s="46"/>
      <c r="WKF600" s="48"/>
      <c r="WKG600" s="53"/>
      <c r="WKN600" s="15"/>
      <c r="WKO600" s="50"/>
      <c r="WKP600" s="50"/>
      <c r="WKQ600" s="46"/>
      <c r="WKR600" s="47"/>
      <c r="WKS600" s="46"/>
      <c r="WKT600" s="48"/>
      <c r="WKU600" s="53"/>
      <c r="WLB600" s="15"/>
      <c r="WLC600" s="50"/>
      <c r="WLD600" s="50"/>
      <c r="WLE600" s="46"/>
      <c r="WLF600" s="47"/>
      <c r="WLG600" s="46"/>
      <c r="WLH600" s="48"/>
      <c r="WLI600" s="53"/>
      <c r="WLP600" s="15"/>
      <c r="WLQ600" s="50"/>
      <c r="WLR600" s="50"/>
      <c r="WLS600" s="46"/>
      <c r="WLT600" s="47"/>
      <c r="WLU600" s="46"/>
      <c r="WLV600" s="48"/>
      <c r="WLW600" s="53"/>
      <c r="WMD600" s="15"/>
      <c r="WME600" s="50"/>
      <c r="WMF600" s="50"/>
      <c r="WMG600" s="46"/>
      <c r="WMH600" s="47"/>
      <c r="WMI600" s="46"/>
      <c r="WMJ600" s="48"/>
      <c r="WMK600" s="53"/>
      <c r="WMR600" s="15"/>
      <c r="WMS600" s="50"/>
      <c r="WMT600" s="50"/>
      <c r="WMU600" s="46"/>
      <c r="WMV600" s="47"/>
      <c r="WMW600" s="46"/>
      <c r="WMX600" s="48"/>
      <c r="WMY600" s="53"/>
      <c r="WNF600" s="15"/>
      <c r="WNG600" s="50"/>
      <c r="WNH600" s="50"/>
      <c r="WNI600" s="46"/>
      <c r="WNJ600" s="47"/>
      <c r="WNK600" s="46"/>
      <c r="WNL600" s="48"/>
      <c r="WNM600" s="53"/>
      <c r="WNT600" s="15"/>
      <c r="WNU600" s="50"/>
      <c r="WNV600" s="50"/>
      <c r="WNW600" s="46"/>
      <c r="WNX600" s="47"/>
      <c r="WNY600" s="46"/>
      <c r="WNZ600" s="48"/>
      <c r="WOA600" s="53"/>
      <c r="WOH600" s="15"/>
      <c r="WOI600" s="50"/>
      <c r="WOJ600" s="50"/>
      <c r="WOK600" s="46"/>
      <c r="WOL600" s="47"/>
      <c r="WOM600" s="46"/>
      <c r="WON600" s="48"/>
      <c r="WOO600" s="53"/>
      <c r="WOV600" s="15"/>
      <c r="WOW600" s="50"/>
      <c r="WOX600" s="50"/>
      <c r="WOY600" s="46"/>
      <c r="WOZ600" s="47"/>
      <c r="WPA600" s="46"/>
      <c r="WPB600" s="48"/>
      <c r="WPC600" s="53"/>
      <c r="WPJ600" s="15"/>
      <c r="WPK600" s="50"/>
      <c r="WPL600" s="50"/>
      <c r="WPM600" s="46"/>
      <c r="WPN600" s="47"/>
      <c r="WPO600" s="46"/>
      <c r="WPP600" s="48"/>
      <c r="WPQ600" s="53"/>
      <c r="WPX600" s="15"/>
      <c r="WPY600" s="50"/>
      <c r="WPZ600" s="50"/>
      <c r="WQA600" s="46"/>
      <c r="WQB600" s="47"/>
      <c r="WQC600" s="46"/>
      <c r="WQD600" s="48"/>
      <c r="WQE600" s="53"/>
      <c r="WQL600" s="15"/>
      <c r="WQM600" s="50"/>
      <c r="WQN600" s="50"/>
      <c r="WQO600" s="46"/>
      <c r="WQP600" s="47"/>
      <c r="WQQ600" s="46"/>
      <c r="WQR600" s="48"/>
      <c r="WQS600" s="53"/>
      <c r="WQZ600" s="15"/>
      <c r="WRA600" s="50"/>
      <c r="WRB600" s="50"/>
      <c r="WRC600" s="46"/>
      <c r="WRD600" s="47"/>
      <c r="WRE600" s="46"/>
      <c r="WRF600" s="48"/>
      <c r="WRG600" s="53"/>
      <c r="WRN600" s="15"/>
      <c r="WRO600" s="50"/>
      <c r="WRP600" s="50"/>
      <c r="WRQ600" s="46"/>
      <c r="WRR600" s="47"/>
      <c r="WRS600" s="46"/>
      <c r="WRT600" s="48"/>
      <c r="WRU600" s="53"/>
      <c r="WSB600" s="15"/>
      <c r="WSC600" s="50"/>
      <c r="WSD600" s="50"/>
      <c r="WSE600" s="46"/>
      <c r="WSF600" s="47"/>
      <c r="WSG600" s="46"/>
      <c r="WSH600" s="48"/>
      <c r="WSI600" s="53"/>
      <c r="WSP600" s="15"/>
      <c r="WSQ600" s="50"/>
      <c r="WSR600" s="50"/>
      <c r="WSS600" s="46"/>
      <c r="WST600" s="47"/>
      <c r="WSU600" s="46"/>
      <c r="WSV600" s="48"/>
      <c r="WSW600" s="53"/>
      <c r="WTD600" s="15"/>
      <c r="WTE600" s="50"/>
      <c r="WTF600" s="50"/>
      <c r="WTG600" s="46"/>
      <c r="WTH600" s="47"/>
      <c r="WTI600" s="46"/>
      <c r="WTJ600" s="48"/>
      <c r="WTK600" s="53"/>
      <c r="WTR600" s="15"/>
      <c r="WTS600" s="50"/>
      <c r="WTT600" s="50"/>
      <c r="WTU600" s="46"/>
      <c r="WTV600" s="47"/>
      <c r="WTW600" s="46"/>
      <c r="WTX600" s="48"/>
      <c r="WTY600" s="53"/>
      <c r="WUF600" s="15"/>
      <c r="WUG600" s="50"/>
      <c r="WUH600" s="50"/>
      <c r="WUI600" s="46"/>
      <c r="WUJ600" s="47"/>
      <c r="WUK600" s="46"/>
      <c r="WUL600" s="48"/>
      <c r="WUM600" s="53"/>
      <c r="WUT600" s="15"/>
      <c r="WUU600" s="50"/>
      <c r="WUV600" s="50"/>
      <c r="WUW600" s="46"/>
      <c r="WUX600" s="47"/>
      <c r="WUY600" s="46"/>
      <c r="WUZ600" s="48"/>
      <c r="WVA600" s="53"/>
      <c r="WVH600" s="15"/>
      <c r="WVI600" s="50"/>
      <c r="WVJ600" s="50"/>
      <c r="WVK600" s="46"/>
      <c r="WVL600" s="47"/>
      <c r="WVM600" s="46"/>
      <c r="WVN600" s="48"/>
      <c r="WVO600" s="53"/>
      <c r="WVV600" s="15"/>
      <c r="WVW600" s="50"/>
      <c r="WVX600" s="50"/>
      <c r="WVY600" s="46"/>
      <c r="WVZ600" s="47"/>
      <c r="WWA600" s="46"/>
      <c r="WWB600" s="48"/>
      <c r="WWC600" s="53"/>
      <c r="WWJ600" s="15"/>
      <c r="WWK600" s="50"/>
      <c r="WWL600" s="50"/>
      <c r="WWM600" s="46"/>
      <c r="WWN600" s="47"/>
      <c r="WWO600" s="46"/>
      <c r="WWP600" s="48"/>
      <c r="WWQ600" s="53"/>
      <c r="WWX600" s="15"/>
      <c r="WWY600" s="50"/>
      <c r="WWZ600" s="50"/>
      <c r="WXA600" s="46"/>
      <c r="WXB600" s="47"/>
      <c r="WXC600" s="46"/>
      <c r="WXD600" s="48"/>
      <c r="WXE600" s="53"/>
      <c r="WXL600" s="15"/>
      <c r="WXM600" s="50"/>
      <c r="WXN600" s="50"/>
      <c r="WXO600" s="46"/>
      <c r="WXP600" s="47"/>
      <c r="WXQ600" s="46"/>
      <c r="WXR600" s="48"/>
      <c r="WXS600" s="53"/>
      <c r="WXZ600" s="15"/>
      <c r="WYA600" s="50"/>
      <c r="WYB600" s="50"/>
      <c r="WYC600" s="46"/>
      <c r="WYD600" s="47"/>
      <c r="WYE600" s="46"/>
      <c r="WYF600" s="48"/>
      <c r="WYG600" s="53"/>
      <c r="WYN600" s="15"/>
      <c r="WYO600" s="50"/>
      <c r="WYP600" s="50"/>
      <c r="WYQ600" s="46"/>
      <c r="WYR600" s="47"/>
      <c r="WYS600" s="46"/>
      <c r="WYT600" s="48"/>
      <c r="WYU600" s="53"/>
      <c r="WZB600" s="15"/>
      <c r="WZC600" s="50"/>
      <c r="WZD600" s="50"/>
      <c r="WZE600" s="46"/>
      <c r="WZF600" s="47"/>
      <c r="WZG600" s="46"/>
      <c r="WZH600" s="48"/>
      <c r="WZI600" s="53"/>
      <c r="WZP600" s="15"/>
      <c r="WZQ600" s="50"/>
      <c r="WZR600" s="50"/>
      <c r="WZS600" s="46"/>
      <c r="WZT600" s="47"/>
      <c r="WZU600" s="46"/>
      <c r="WZV600" s="48"/>
      <c r="WZW600" s="53"/>
      <c r="XAD600" s="15"/>
      <c r="XAE600" s="50"/>
      <c r="XAF600" s="50"/>
      <c r="XAG600" s="46"/>
      <c r="XAH600" s="47"/>
      <c r="XAI600" s="46"/>
      <c r="XAJ600" s="48"/>
      <c r="XAK600" s="53"/>
      <c r="XAR600" s="15"/>
      <c r="XAS600" s="50"/>
      <c r="XAT600" s="50"/>
      <c r="XAU600" s="46"/>
      <c r="XAV600" s="47"/>
      <c r="XAW600" s="46"/>
      <c r="XAX600" s="48"/>
      <c r="XAY600" s="53"/>
      <c r="XBF600" s="15"/>
      <c r="XBG600" s="50"/>
      <c r="XBH600" s="50"/>
      <c r="XBI600" s="46"/>
      <c r="XBJ600" s="47"/>
      <c r="XBK600" s="46"/>
      <c r="XBL600" s="48"/>
      <c r="XBM600" s="53"/>
      <c r="XBT600" s="15"/>
      <c r="XBU600" s="50"/>
      <c r="XBV600" s="50"/>
      <c r="XBW600" s="46"/>
      <c r="XBX600" s="47"/>
      <c r="XBY600" s="46"/>
      <c r="XBZ600" s="48"/>
      <c r="XCA600" s="53"/>
      <c r="XCH600" s="15"/>
      <c r="XCI600" s="50"/>
      <c r="XCJ600" s="50"/>
      <c r="XCK600" s="46"/>
      <c r="XCL600" s="47"/>
      <c r="XCM600" s="46"/>
      <c r="XCN600" s="48"/>
      <c r="XCO600" s="53"/>
      <c r="XCV600" s="15"/>
      <c r="XCW600" s="50"/>
      <c r="XCX600" s="50"/>
      <c r="XCY600" s="46"/>
      <c r="XCZ600" s="47"/>
      <c r="XDA600" s="46"/>
      <c r="XDB600" s="48"/>
      <c r="XDC600" s="53"/>
      <c r="XDJ600" s="15"/>
      <c r="XDK600" s="50"/>
      <c r="XDL600" s="50"/>
      <c r="XDM600" s="46"/>
      <c r="XDN600" s="47"/>
      <c r="XDO600" s="46"/>
      <c r="XDP600" s="48"/>
      <c r="XDQ600" s="53"/>
      <c r="XDX600" s="15"/>
      <c r="XDY600" s="50"/>
      <c r="XDZ600" s="50"/>
      <c r="XEA600" s="46"/>
      <c r="XEB600" s="47"/>
      <c r="XEC600" s="46"/>
      <c r="XED600" s="48"/>
      <c r="XEE600" s="53"/>
      <c r="XEL600" s="15"/>
      <c r="XEM600" s="50"/>
      <c r="XEN600" s="50"/>
      <c r="XEO600" s="46"/>
      <c r="XEP600" s="47"/>
      <c r="XEQ600" s="46"/>
      <c r="XER600" s="48"/>
      <c r="XES600" s="53"/>
      <c r="XEZ600" s="15"/>
      <c r="XFA600" s="50"/>
      <c r="XFB600" s="50"/>
      <c r="XFC600" s="46"/>
    </row>
    <row r="601" spans="1:4095 4102:5117 5124:6139 6146:11263 11270:12285 12292:13307 13314:16383" ht="16.2" x14ac:dyDescent="0.4">
      <c r="A601" s="15" t="str">
        <f t="shared" si="9"/>
        <v>modesg_inp_emss_naceunidades_unidade_funcional</v>
      </c>
      <c r="B601" s="54" t="s">
        <v>27</v>
      </c>
      <c r="C601" s="50" t="s">
        <v>29</v>
      </c>
      <c r="D601" s="46" t="s">
        <v>431</v>
      </c>
      <c r="E601" s="47" t="s">
        <v>42</v>
      </c>
      <c r="F601" s="46" t="s">
        <v>491</v>
      </c>
      <c r="G601" s="48" t="s">
        <v>426</v>
      </c>
      <c r="H601" s="48" t="s">
        <v>426</v>
      </c>
      <c r="I601" s="56" t="s">
        <v>482</v>
      </c>
      <c r="J601" s="68" t="s">
        <v>514</v>
      </c>
      <c r="K601" s="68" t="s">
        <v>514</v>
      </c>
      <c r="L601" s="68"/>
      <c r="N601" s="15"/>
      <c r="O601" s="50"/>
      <c r="P601" s="50"/>
      <c r="Q601" s="46"/>
      <c r="R601" s="47"/>
      <c r="S601" s="46"/>
      <c r="T601" s="48"/>
      <c r="U601" s="53"/>
      <c r="AB601" s="15"/>
      <c r="AC601" s="50"/>
      <c r="AD601" s="50"/>
      <c r="AE601" s="46"/>
      <c r="AF601" s="47"/>
      <c r="AG601" s="46"/>
      <c r="AH601" s="48"/>
      <c r="AI601" s="53"/>
      <c r="AP601" s="15"/>
      <c r="AQ601" s="50"/>
      <c r="AR601" s="50"/>
      <c r="AS601" s="46"/>
      <c r="AT601" s="47"/>
      <c r="AU601" s="46"/>
      <c r="AV601" s="48"/>
      <c r="AW601" s="53"/>
      <c r="BD601" s="15"/>
      <c r="BE601" s="50"/>
      <c r="BF601" s="50"/>
      <c r="BG601" s="46"/>
      <c r="BH601" s="47"/>
      <c r="BI601" s="46"/>
      <c r="BJ601" s="48"/>
      <c r="BK601" s="53"/>
      <c r="BR601" s="15"/>
      <c r="BS601" s="50"/>
      <c r="BT601" s="50"/>
      <c r="BU601" s="46"/>
      <c r="BV601" s="47"/>
      <c r="BW601" s="46"/>
      <c r="BX601" s="48"/>
      <c r="BY601" s="53"/>
      <c r="CF601" s="15"/>
      <c r="CG601" s="50"/>
      <c r="CH601" s="50"/>
      <c r="CI601" s="46"/>
      <c r="CJ601" s="47"/>
      <c r="CK601" s="46"/>
      <c r="CL601" s="48"/>
      <c r="CM601" s="53"/>
      <c r="CT601" s="15"/>
      <c r="CU601" s="50"/>
      <c r="CV601" s="50"/>
      <c r="CW601" s="46"/>
      <c r="CX601" s="47"/>
      <c r="CY601" s="46"/>
      <c r="CZ601" s="48"/>
      <c r="DA601" s="53"/>
      <c r="DH601" s="15"/>
      <c r="DI601" s="50"/>
      <c r="DJ601" s="50"/>
      <c r="DK601" s="46"/>
      <c r="DL601" s="47"/>
      <c r="DM601" s="46"/>
      <c r="DN601" s="48"/>
      <c r="DO601" s="53"/>
      <c r="DV601" s="15"/>
      <c r="DW601" s="50"/>
      <c r="DX601" s="50"/>
      <c r="DY601" s="46"/>
      <c r="DZ601" s="47"/>
      <c r="EA601" s="46"/>
      <c r="EB601" s="48"/>
      <c r="EC601" s="53"/>
      <c r="EJ601" s="15"/>
      <c r="EK601" s="50"/>
      <c r="EL601" s="50"/>
      <c r="EM601" s="46"/>
      <c r="EN601" s="47"/>
      <c r="EO601" s="46"/>
      <c r="EP601" s="48"/>
      <c r="EQ601" s="53"/>
      <c r="EX601" s="15"/>
      <c r="EY601" s="50"/>
      <c r="EZ601" s="50"/>
      <c r="FA601" s="46"/>
      <c r="FB601" s="47"/>
      <c r="FC601" s="46"/>
      <c r="FD601" s="48"/>
      <c r="FE601" s="53"/>
      <c r="FL601" s="15"/>
      <c r="FM601" s="50"/>
      <c r="FN601" s="50"/>
      <c r="FO601" s="46"/>
      <c r="FP601" s="47"/>
      <c r="FQ601" s="46"/>
      <c r="FR601" s="48"/>
      <c r="FS601" s="53"/>
      <c r="FZ601" s="15"/>
      <c r="GA601" s="50"/>
      <c r="GB601" s="50"/>
      <c r="GC601" s="46"/>
      <c r="GD601" s="47"/>
      <c r="GE601" s="46"/>
      <c r="GF601" s="48"/>
      <c r="GG601" s="53"/>
      <c r="GN601" s="15"/>
      <c r="GO601" s="50"/>
      <c r="GP601" s="50"/>
      <c r="GQ601" s="46"/>
      <c r="GR601" s="47"/>
      <c r="GS601" s="46"/>
      <c r="GT601" s="48"/>
      <c r="GU601" s="53"/>
      <c r="HB601" s="15"/>
      <c r="HC601" s="50"/>
      <c r="HD601" s="50"/>
      <c r="HE601" s="46"/>
      <c r="HF601" s="47"/>
      <c r="HG601" s="46"/>
      <c r="HH601" s="48"/>
      <c r="HI601" s="53"/>
      <c r="HP601" s="15"/>
      <c r="HQ601" s="50"/>
      <c r="HR601" s="50"/>
      <c r="HS601" s="46"/>
      <c r="HT601" s="47"/>
      <c r="HU601" s="46"/>
      <c r="HV601" s="48"/>
      <c r="HW601" s="53"/>
      <c r="ID601" s="15"/>
      <c r="IE601" s="50"/>
      <c r="IF601" s="50"/>
      <c r="IG601" s="46"/>
      <c r="IH601" s="47"/>
      <c r="II601" s="46"/>
      <c r="IJ601" s="48"/>
      <c r="IK601" s="53"/>
      <c r="IR601" s="15"/>
      <c r="IS601" s="50"/>
      <c r="IT601" s="50"/>
      <c r="IU601" s="46"/>
      <c r="IV601" s="47"/>
      <c r="IW601" s="46"/>
      <c r="IX601" s="48"/>
      <c r="IY601" s="53"/>
      <c r="JF601" s="15"/>
      <c r="JG601" s="50"/>
      <c r="JH601" s="50"/>
      <c r="JI601" s="46"/>
      <c r="JJ601" s="47"/>
      <c r="JK601" s="46"/>
      <c r="JL601" s="48"/>
      <c r="JM601" s="53"/>
      <c r="JT601" s="15"/>
      <c r="JU601" s="50"/>
      <c r="JV601" s="50"/>
      <c r="JW601" s="46"/>
      <c r="JX601" s="47"/>
      <c r="JY601" s="46"/>
      <c r="JZ601" s="48"/>
      <c r="KA601" s="53"/>
      <c r="KH601" s="15"/>
      <c r="KI601" s="50"/>
      <c r="KJ601" s="50"/>
      <c r="KK601" s="46"/>
      <c r="KL601" s="47"/>
      <c r="KM601" s="46"/>
      <c r="KN601" s="48"/>
      <c r="KO601" s="53"/>
      <c r="KV601" s="15"/>
      <c r="KW601" s="50"/>
      <c r="KX601" s="50"/>
      <c r="KY601" s="46"/>
      <c r="KZ601" s="47"/>
      <c r="LA601" s="46"/>
      <c r="LB601" s="48"/>
      <c r="LC601" s="53"/>
      <c r="LJ601" s="15"/>
      <c r="LK601" s="50"/>
      <c r="LL601" s="50"/>
      <c r="LM601" s="46"/>
      <c r="LN601" s="47"/>
      <c r="LO601" s="46"/>
      <c r="LP601" s="48"/>
      <c r="LQ601" s="53"/>
      <c r="LX601" s="15"/>
      <c r="LY601" s="50"/>
      <c r="LZ601" s="50"/>
      <c r="MA601" s="46"/>
      <c r="MB601" s="47"/>
      <c r="MC601" s="46"/>
      <c r="MD601" s="48"/>
      <c r="ME601" s="53"/>
      <c r="ML601" s="15"/>
      <c r="MM601" s="50"/>
      <c r="MN601" s="50"/>
      <c r="MO601" s="46"/>
      <c r="MP601" s="47"/>
      <c r="MQ601" s="46"/>
      <c r="MR601" s="48"/>
      <c r="MS601" s="53"/>
      <c r="MZ601" s="15"/>
      <c r="NA601" s="50"/>
      <c r="NB601" s="50"/>
      <c r="NC601" s="46"/>
      <c r="ND601" s="47"/>
      <c r="NE601" s="46"/>
      <c r="NF601" s="48"/>
      <c r="NG601" s="53"/>
      <c r="NN601" s="15"/>
      <c r="NO601" s="50"/>
      <c r="NP601" s="50"/>
      <c r="NQ601" s="46"/>
      <c r="NR601" s="47"/>
      <c r="NS601" s="46"/>
      <c r="NT601" s="48"/>
      <c r="NU601" s="53"/>
      <c r="OB601" s="15"/>
      <c r="OC601" s="50"/>
      <c r="OD601" s="50"/>
      <c r="OE601" s="46"/>
      <c r="OF601" s="47"/>
      <c r="OG601" s="46"/>
      <c r="OH601" s="48"/>
      <c r="OI601" s="53"/>
      <c r="OP601" s="15"/>
      <c r="OQ601" s="50"/>
      <c r="OR601" s="50"/>
      <c r="OS601" s="46"/>
      <c r="OT601" s="47"/>
      <c r="OU601" s="46"/>
      <c r="OV601" s="48"/>
      <c r="OW601" s="53"/>
      <c r="PD601" s="15"/>
      <c r="PE601" s="50"/>
      <c r="PF601" s="50"/>
      <c r="PG601" s="46"/>
      <c r="PH601" s="47"/>
      <c r="PI601" s="46"/>
      <c r="PJ601" s="48"/>
      <c r="PK601" s="53"/>
      <c r="PR601" s="15"/>
      <c r="PS601" s="50"/>
      <c r="PT601" s="50"/>
      <c r="PU601" s="46"/>
      <c r="PV601" s="47"/>
      <c r="PW601" s="46"/>
      <c r="PX601" s="48"/>
      <c r="PY601" s="53"/>
      <c r="QF601" s="15"/>
      <c r="QG601" s="50"/>
      <c r="QH601" s="50"/>
      <c r="QI601" s="46"/>
      <c r="QJ601" s="47"/>
      <c r="QK601" s="46"/>
      <c r="QL601" s="48"/>
      <c r="QM601" s="53"/>
      <c r="QT601" s="15"/>
      <c r="QU601" s="50"/>
      <c r="QV601" s="50"/>
      <c r="QW601" s="46"/>
      <c r="QX601" s="47"/>
      <c r="QY601" s="46"/>
      <c r="QZ601" s="48"/>
      <c r="RA601" s="53"/>
      <c r="RH601" s="15"/>
      <c r="RI601" s="50"/>
      <c r="RJ601" s="50"/>
      <c r="RK601" s="46"/>
      <c r="RL601" s="47"/>
      <c r="RM601" s="46"/>
      <c r="RN601" s="48"/>
      <c r="RO601" s="53"/>
      <c r="RV601" s="15"/>
      <c r="RW601" s="50"/>
      <c r="RX601" s="50"/>
      <c r="RY601" s="46"/>
      <c r="RZ601" s="47"/>
      <c r="SA601" s="46"/>
      <c r="SB601" s="48"/>
      <c r="SC601" s="53"/>
      <c r="SJ601" s="15"/>
      <c r="SK601" s="50"/>
      <c r="SL601" s="50"/>
      <c r="SM601" s="46"/>
      <c r="SN601" s="47"/>
      <c r="SO601" s="46"/>
      <c r="SP601" s="48"/>
      <c r="SQ601" s="53"/>
      <c r="SX601" s="15"/>
      <c r="SY601" s="50"/>
      <c r="SZ601" s="50"/>
      <c r="TA601" s="46"/>
      <c r="TB601" s="47"/>
      <c r="TC601" s="46"/>
      <c r="TD601" s="48"/>
      <c r="TE601" s="53"/>
      <c r="TL601" s="15"/>
      <c r="TM601" s="50"/>
      <c r="TN601" s="50"/>
      <c r="TO601" s="46"/>
      <c r="TP601" s="47"/>
      <c r="TQ601" s="46"/>
      <c r="TR601" s="48"/>
      <c r="TS601" s="53"/>
      <c r="TZ601" s="15"/>
      <c r="UA601" s="50"/>
      <c r="UB601" s="50"/>
      <c r="UC601" s="46"/>
      <c r="UD601" s="47"/>
      <c r="UE601" s="46"/>
      <c r="UF601" s="48"/>
      <c r="UG601" s="53"/>
      <c r="UN601" s="15"/>
      <c r="UO601" s="50"/>
      <c r="UP601" s="50"/>
      <c r="UQ601" s="46"/>
      <c r="UR601" s="47"/>
      <c r="US601" s="46"/>
      <c r="UT601" s="48"/>
      <c r="UU601" s="53"/>
      <c r="VB601" s="15"/>
      <c r="VC601" s="50"/>
      <c r="VD601" s="50"/>
      <c r="VE601" s="46"/>
      <c r="VF601" s="47"/>
      <c r="VG601" s="46"/>
      <c r="VH601" s="48"/>
      <c r="VI601" s="53"/>
      <c r="VP601" s="15"/>
      <c r="VQ601" s="50"/>
      <c r="VR601" s="50"/>
      <c r="VS601" s="46"/>
      <c r="VT601" s="47"/>
      <c r="VU601" s="46"/>
      <c r="VV601" s="48"/>
      <c r="VW601" s="53"/>
      <c r="WD601" s="15"/>
      <c r="WE601" s="50"/>
      <c r="WF601" s="50"/>
      <c r="WG601" s="46"/>
      <c r="WH601" s="47"/>
      <c r="WI601" s="46"/>
      <c r="WJ601" s="48"/>
      <c r="WK601" s="53"/>
      <c r="WR601" s="15"/>
      <c r="WS601" s="50"/>
      <c r="WT601" s="50"/>
      <c r="WU601" s="46"/>
      <c r="WV601" s="47"/>
      <c r="WW601" s="46"/>
      <c r="WX601" s="48"/>
      <c r="WY601" s="53"/>
      <c r="XF601" s="15"/>
      <c r="XG601" s="50"/>
      <c r="XH601" s="50"/>
      <c r="XI601" s="46"/>
      <c r="XJ601" s="47"/>
      <c r="XK601" s="46"/>
      <c r="XL601" s="48"/>
      <c r="XM601" s="53"/>
      <c r="XT601" s="15"/>
      <c r="XU601" s="50"/>
      <c r="XV601" s="50"/>
      <c r="XW601" s="46"/>
      <c r="XX601" s="47"/>
      <c r="XY601" s="46"/>
      <c r="XZ601" s="48"/>
      <c r="YA601" s="53"/>
      <c r="YH601" s="15"/>
      <c r="YI601" s="50"/>
      <c r="YJ601" s="50"/>
      <c r="YK601" s="46"/>
      <c r="YL601" s="47"/>
      <c r="YM601" s="46"/>
      <c r="YN601" s="48"/>
      <c r="YO601" s="53"/>
      <c r="YV601" s="15"/>
      <c r="YW601" s="50"/>
      <c r="YX601" s="50"/>
      <c r="YY601" s="46"/>
      <c r="YZ601" s="47"/>
      <c r="ZA601" s="46"/>
      <c r="ZB601" s="48"/>
      <c r="ZC601" s="53"/>
      <c r="ZJ601" s="15"/>
      <c r="ZK601" s="50"/>
      <c r="ZL601" s="50"/>
      <c r="ZM601" s="46"/>
      <c r="ZN601" s="47"/>
      <c r="ZO601" s="46"/>
      <c r="ZP601" s="48"/>
      <c r="ZQ601" s="53"/>
      <c r="ZX601" s="15"/>
      <c r="ZY601" s="50"/>
      <c r="ZZ601" s="50"/>
      <c r="AAA601" s="46"/>
      <c r="AAB601" s="47"/>
      <c r="AAC601" s="46"/>
      <c r="AAD601" s="48"/>
      <c r="AAE601" s="53"/>
      <c r="AAL601" s="15"/>
      <c r="AAM601" s="50"/>
      <c r="AAN601" s="50"/>
      <c r="AAO601" s="46"/>
      <c r="AAP601" s="47"/>
      <c r="AAQ601" s="46"/>
      <c r="AAR601" s="48"/>
      <c r="AAS601" s="53"/>
      <c r="AAZ601" s="15"/>
      <c r="ABA601" s="50"/>
      <c r="ABB601" s="50"/>
      <c r="ABC601" s="46"/>
      <c r="ABD601" s="47"/>
      <c r="ABE601" s="46"/>
      <c r="ABF601" s="48"/>
      <c r="ABG601" s="53"/>
      <c r="ABN601" s="15"/>
      <c r="ABO601" s="50"/>
      <c r="ABP601" s="50"/>
      <c r="ABQ601" s="46"/>
      <c r="ABR601" s="47"/>
      <c r="ABS601" s="46"/>
      <c r="ABT601" s="48"/>
      <c r="ABU601" s="53"/>
      <c r="ACB601" s="15"/>
      <c r="ACC601" s="50"/>
      <c r="ACD601" s="50"/>
      <c r="ACE601" s="46"/>
      <c r="ACF601" s="47"/>
      <c r="ACG601" s="46"/>
      <c r="ACH601" s="48"/>
      <c r="ACI601" s="53"/>
      <c r="ACP601" s="15"/>
      <c r="ACQ601" s="50"/>
      <c r="ACR601" s="50"/>
      <c r="ACS601" s="46"/>
      <c r="ACT601" s="47"/>
      <c r="ACU601" s="46"/>
      <c r="ACV601" s="48"/>
      <c r="ACW601" s="53"/>
      <c r="ADD601" s="15"/>
      <c r="ADE601" s="50"/>
      <c r="ADF601" s="50"/>
      <c r="ADG601" s="46"/>
      <c r="ADH601" s="47"/>
      <c r="ADI601" s="46"/>
      <c r="ADJ601" s="48"/>
      <c r="ADK601" s="53"/>
      <c r="ADR601" s="15"/>
      <c r="ADS601" s="50"/>
      <c r="ADT601" s="50"/>
      <c r="ADU601" s="46"/>
      <c r="ADV601" s="47"/>
      <c r="ADW601" s="46"/>
      <c r="ADX601" s="48"/>
      <c r="ADY601" s="53"/>
      <c r="AEF601" s="15"/>
      <c r="AEG601" s="50"/>
      <c r="AEH601" s="50"/>
      <c r="AEI601" s="46"/>
      <c r="AEJ601" s="47"/>
      <c r="AEK601" s="46"/>
      <c r="AEL601" s="48"/>
      <c r="AEM601" s="53"/>
      <c r="AET601" s="15"/>
      <c r="AEU601" s="50"/>
      <c r="AEV601" s="50"/>
      <c r="AEW601" s="46"/>
      <c r="AEX601" s="47"/>
      <c r="AEY601" s="46"/>
      <c r="AEZ601" s="48"/>
      <c r="AFA601" s="53"/>
      <c r="AFH601" s="15"/>
      <c r="AFI601" s="50"/>
      <c r="AFJ601" s="50"/>
      <c r="AFK601" s="46"/>
      <c r="AFL601" s="47"/>
      <c r="AFM601" s="46"/>
      <c r="AFN601" s="48"/>
      <c r="AFO601" s="53"/>
      <c r="AFV601" s="15"/>
      <c r="AFW601" s="50"/>
      <c r="AFX601" s="50"/>
      <c r="AFY601" s="46"/>
      <c r="AFZ601" s="47"/>
      <c r="AGA601" s="46"/>
      <c r="AGB601" s="48"/>
      <c r="AGC601" s="53"/>
      <c r="AGJ601" s="15"/>
      <c r="AGK601" s="50"/>
      <c r="AGL601" s="50"/>
      <c r="AGM601" s="46"/>
      <c r="AGN601" s="47"/>
      <c r="AGO601" s="46"/>
      <c r="AGP601" s="48"/>
      <c r="AGQ601" s="53"/>
      <c r="AGX601" s="15"/>
      <c r="AGY601" s="50"/>
      <c r="AGZ601" s="50"/>
      <c r="AHA601" s="46"/>
      <c r="AHB601" s="47"/>
      <c r="AHC601" s="46"/>
      <c r="AHD601" s="48"/>
      <c r="AHE601" s="53"/>
      <c r="AHL601" s="15"/>
      <c r="AHM601" s="50"/>
      <c r="AHN601" s="50"/>
      <c r="AHO601" s="46"/>
      <c r="AHP601" s="47"/>
      <c r="AHQ601" s="46"/>
      <c r="AHR601" s="48"/>
      <c r="AHS601" s="53"/>
      <c r="AHZ601" s="15"/>
      <c r="AIA601" s="50"/>
      <c r="AIB601" s="50"/>
      <c r="AIC601" s="46"/>
      <c r="AID601" s="47"/>
      <c r="AIE601" s="46"/>
      <c r="AIF601" s="48"/>
      <c r="AIG601" s="53"/>
      <c r="AIN601" s="15"/>
      <c r="AIO601" s="50"/>
      <c r="AIP601" s="50"/>
      <c r="AIQ601" s="46"/>
      <c r="AIR601" s="47"/>
      <c r="AIS601" s="46"/>
      <c r="AIT601" s="48"/>
      <c r="AIU601" s="53"/>
      <c r="AJB601" s="15"/>
      <c r="AJC601" s="50"/>
      <c r="AJD601" s="50"/>
      <c r="AJE601" s="46"/>
      <c r="AJF601" s="47"/>
      <c r="AJG601" s="46"/>
      <c r="AJH601" s="48"/>
      <c r="AJI601" s="53"/>
      <c r="AJP601" s="15"/>
      <c r="AJQ601" s="50"/>
      <c r="AJR601" s="50"/>
      <c r="AJS601" s="46"/>
      <c r="AJT601" s="47"/>
      <c r="AJU601" s="46"/>
      <c r="AJV601" s="48"/>
      <c r="AJW601" s="53"/>
      <c r="AKD601" s="15"/>
      <c r="AKE601" s="50"/>
      <c r="AKF601" s="50"/>
      <c r="AKG601" s="46"/>
      <c r="AKH601" s="47"/>
      <c r="AKI601" s="46"/>
      <c r="AKJ601" s="48"/>
      <c r="AKK601" s="53"/>
      <c r="AKR601" s="15"/>
      <c r="AKS601" s="50"/>
      <c r="AKT601" s="50"/>
      <c r="AKU601" s="46"/>
      <c r="AKV601" s="47"/>
      <c r="AKW601" s="46"/>
      <c r="AKX601" s="48"/>
      <c r="AKY601" s="53"/>
      <c r="ALF601" s="15"/>
      <c r="ALG601" s="50"/>
      <c r="ALH601" s="50"/>
      <c r="ALI601" s="46"/>
      <c r="ALJ601" s="47"/>
      <c r="ALK601" s="46"/>
      <c r="ALL601" s="48"/>
      <c r="ALM601" s="53"/>
      <c r="ALT601" s="15"/>
      <c r="ALU601" s="50"/>
      <c r="ALV601" s="50"/>
      <c r="ALW601" s="46"/>
      <c r="ALX601" s="47"/>
      <c r="ALY601" s="46"/>
      <c r="ALZ601" s="48"/>
      <c r="AMA601" s="53"/>
      <c r="AMH601" s="15"/>
      <c r="AMI601" s="50"/>
      <c r="AMJ601" s="50"/>
      <c r="AMK601" s="46"/>
      <c r="AML601" s="47"/>
      <c r="AMM601" s="46"/>
      <c r="AMN601" s="48"/>
      <c r="AMO601" s="53"/>
      <c r="AMV601" s="15"/>
      <c r="AMW601" s="50"/>
      <c r="AMX601" s="50"/>
      <c r="AMY601" s="46"/>
      <c r="AMZ601" s="47"/>
      <c r="ANA601" s="46"/>
      <c r="ANB601" s="48"/>
      <c r="ANC601" s="53"/>
      <c r="ANJ601" s="15"/>
      <c r="ANK601" s="50"/>
      <c r="ANL601" s="50"/>
      <c r="ANM601" s="46"/>
      <c r="ANN601" s="47"/>
      <c r="ANO601" s="46"/>
      <c r="ANP601" s="48"/>
      <c r="ANQ601" s="53"/>
      <c r="ANX601" s="15"/>
      <c r="ANY601" s="50"/>
      <c r="ANZ601" s="50"/>
      <c r="AOA601" s="46"/>
      <c r="AOB601" s="47"/>
      <c r="AOC601" s="46"/>
      <c r="AOD601" s="48"/>
      <c r="AOE601" s="53"/>
      <c r="AOL601" s="15"/>
      <c r="AOM601" s="50"/>
      <c r="AON601" s="50"/>
      <c r="AOO601" s="46"/>
      <c r="AOP601" s="47"/>
      <c r="AOQ601" s="46"/>
      <c r="AOR601" s="48"/>
      <c r="AOS601" s="53"/>
      <c r="AOZ601" s="15"/>
      <c r="APA601" s="50"/>
      <c r="APB601" s="50"/>
      <c r="APC601" s="46"/>
      <c r="APD601" s="47"/>
      <c r="APE601" s="46"/>
      <c r="APF601" s="48"/>
      <c r="APG601" s="53"/>
      <c r="APN601" s="15"/>
      <c r="APO601" s="50"/>
      <c r="APP601" s="50"/>
      <c r="APQ601" s="46"/>
      <c r="APR601" s="47"/>
      <c r="APS601" s="46"/>
      <c r="APT601" s="48"/>
      <c r="APU601" s="53"/>
      <c r="AQB601" s="15"/>
      <c r="AQC601" s="50"/>
      <c r="AQD601" s="50"/>
      <c r="AQE601" s="46"/>
      <c r="AQF601" s="47"/>
      <c r="AQG601" s="46"/>
      <c r="AQH601" s="48"/>
      <c r="AQI601" s="53"/>
      <c r="AQP601" s="15"/>
      <c r="AQQ601" s="50"/>
      <c r="AQR601" s="50"/>
      <c r="AQS601" s="46"/>
      <c r="AQT601" s="47"/>
      <c r="AQU601" s="46"/>
      <c r="AQV601" s="48"/>
      <c r="AQW601" s="53"/>
      <c r="ARD601" s="15"/>
      <c r="ARE601" s="50"/>
      <c r="ARF601" s="50"/>
      <c r="ARG601" s="46"/>
      <c r="ARH601" s="47"/>
      <c r="ARI601" s="46"/>
      <c r="ARJ601" s="48"/>
      <c r="ARK601" s="53"/>
      <c r="ARR601" s="15"/>
      <c r="ARS601" s="50"/>
      <c r="ART601" s="50"/>
      <c r="ARU601" s="46"/>
      <c r="ARV601" s="47"/>
      <c r="ARW601" s="46"/>
      <c r="ARX601" s="48"/>
      <c r="ARY601" s="53"/>
      <c r="ASF601" s="15"/>
      <c r="ASG601" s="50"/>
      <c r="ASH601" s="50"/>
      <c r="ASI601" s="46"/>
      <c r="ASJ601" s="47"/>
      <c r="ASK601" s="46"/>
      <c r="ASL601" s="48"/>
      <c r="ASM601" s="53"/>
      <c r="AST601" s="15"/>
      <c r="ASU601" s="50"/>
      <c r="ASV601" s="50"/>
      <c r="ASW601" s="46"/>
      <c r="ASX601" s="47"/>
      <c r="ASY601" s="46"/>
      <c r="ASZ601" s="48"/>
      <c r="ATA601" s="53"/>
      <c r="ATH601" s="15"/>
      <c r="ATI601" s="50"/>
      <c r="ATJ601" s="50"/>
      <c r="ATK601" s="46"/>
      <c r="ATL601" s="47"/>
      <c r="ATM601" s="46"/>
      <c r="ATN601" s="48"/>
      <c r="ATO601" s="53"/>
      <c r="ATV601" s="15"/>
      <c r="ATW601" s="50"/>
      <c r="ATX601" s="50"/>
      <c r="ATY601" s="46"/>
      <c r="ATZ601" s="47"/>
      <c r="AUA601" s="46"/>
      <c r="AUB601" s="48"/>
      <c r="AUC601" s="53"/>
      <c r="AUJ601" s="15"/>
      <c r="AUK601" s="50"/>
      <c r="AUL601" s="50"/>
      <c r="AUM601" s="46"/>
      <c r="AUN601" s="47"/>
      <c r="AUO601" s="46"/>
      <c r="AUP601" s="48"/>
      <c r="AUQ601" s="53"/>
      <c r="AUX601" s="15"/>
      <c r="AUY601" s="50"/>
      <c r="AUZ601" s="50"/>
      <c r="AVA601" s="46"/>
      <c r="AVB601" s="47"/>
      <c r="AVC601" s="46"/>
      <c r="AVD601" s="48"/>
      <c r="AVE601" s="53"/>
      <c r="AVL601" s="15"/>
      <c r="AVM601" s="50"/>
      <c r="AVN601" s="50"/>
      <c r="AVO601" s="46"/>
      <c r="AVP601" s="47"/>
      <c r="AVQ601" s="46"/>
      <c r="AVR601" s="48"/>
      <c r="AVS601" s="53"/>
      <c r="AVZ601" s="15"/>
      <c r="AWA601" s="50"/>
      <c r="AWB601" s="50"/>
      <c r="AWC601" s="46"/>
      <c r="AWD601" s="47"/>
      <c r="AWE601" s="46"/>
      <c r="AWF601" s="48"/>
      <c r="AWG601" s="53"/>
      <c r="AWN601" s="15"/>
      <c r="AWO601" s="50"/>
      <c r="AWP601" s="50"/>
      <c r="AWQ601" s="46"/>
      <c r="AWR601" s="47"/>
      <c r="AWS601" s="46"/>
      <c r="AWT601" s="48"/>
      <c r="AWU601" s="53"/>
      <c r="AXB601" s="15"/>
      <c r="AXC601" s="50"/>
      <c r="AXD601" s="50"/>
      <c r="AXE601" s="46"/>
      <c r="AXF601" s="47"/>
      <c r="AXG601" s="46"/>
      <c r="AXH601" s="48"/>
      <c r="AXI601" s="53"/>
      <c r="AXP601" s="15"/>
      <c r="AXQ601" s="50"/>
      <c r="AXR601" s="50"/>
      <c r="AXS601" s="46"/>
      <c r="AXT601" s="47"/>
      <c r="AXU601" s="46"/>
      <c r="AXV601" s="48"/>
      <c r="AXW601" s="53"/>
      <c r="AYD601" s="15"/>
      <c r="AYE601" s="50"/>
      <c r="AYF601" s="50"/>
      <c r="AYG601" s="46"/>
      <c r="AYH601" s="47"/>
      <c r="AYI601" s="46"/>
      <c r="AYJ601" s="48"/>
      <c r="AYK601" s="53"/>
      <c r="AYR601" s="15"/>
      <c r="AYS601" s="50"/>
      <c r="AYT601" s="50"/>
      <c r="AYU601" s="46"/>
      <c r="AYV601" s="47"/>
      <c r="AYW601" s="46"/>
      <c r="AYX601" s="48"/>
      <c r="AYY601" s="53"/>
      <c r="AZF601" s="15"/>
      <c r="AZG601" s="50"/>
      <c r="AZH601" s="50"/>
      <c r="AZI601" s="46"/>
      <c r="AZJ601" s="47"/>
      <c r="AZK601" s="46"/>
      <c r="AZL601" s="48"/>
      <c r="AZM601" s="53"/>
      <c r="AZT601" s="15"/>
      <c r="AZU601" s="50"/>
      <c r="AZV601" s="50"/>
      <c r="AZW601" s="46"/>
      <c r="AZX601" s="47"/>
      <c r="AZY601" s="46"/>
      <c r="AZZ601" s="48"/>
      <c r="BAA601" s="53"/>
      <c r="BAH601" s="15"/>
      <c r="BAI601" s="50"/>
      <c r="BAJ601" s="50"/>
      <c r="BAK601" s="46"/>
      <c r="BAL601" s="47"/>
      <c r="BAM601" s="46"/>
      <c r="BAN601" s="48"/>
      <c r="BAO601" s="53"/>
      <c r="BAV601" s="15"/>
      <c r="BAW601" s="50"/>
      <c r="BAX601" s="50"/>
      <c r="BAY601" s="46"/>
      <c r="BAZ601" s="47"/>
      <c r="BBA601" s="46"/>
      <c r="BBB601" s="48"/>
      <c r="BBC601" s="53"/>
      <c r="BBJ601" s="15"/>
      <c r="BBK601" s="50"/>
      <c r="BBL601" s="50"/>
      <c r="BBM601" s="46"/>
      <c r="BBN601" s="47"/>
      <c r="BBO601" s="46"/>
      <c r="BBP601" s="48"/>
      <c r="BBQ601" s="53"/>
      <c r="BBX601" s="15"/>
      <c r="BBY601" s="50"/>
      <c r="BBZ601" s="50"/>
      <c r="BCA601" s="46"/>
      <c r="BCB601" s="47"/>
      <c r="BCC601" s="46"/>
      <c r="BCD601" s="48"/>
      <c r="BCE601" s="53"/>
      <c r="BCL601" s="15"/>
      <c r="BCM601" s="50"/>
      <c r="BCN601" s="50"/>
      <c r="BCO601" s="46"/>
      <c r="BCP601" s="47"/>
      <c r="BCQ601" s="46"/>
      <c r="BCR601" s="48"/>
      <c r="BCS601" s="53"/>
      <c r="BCZ601" s="15"/>
      <c r="BDA601" s="50"/>
      <c r="BDB601" s="50"/>
      <c r="BDC601" s="46"/>
      <c r="BDD601" s="47"/>
      <c r="BDE601" s="46"/>
      <c r="BDF601" s="48"/>
      <c r="BDG601" s="53"/>
      <c r="BDN601" s="15"/>
      <c r="BDO601" s="50"/>
      <c r="BDP601" s="50"/>
      <c r="BDQ601" s="46"/>
      <c r="BDR601" s="47"/>
      <c r="BDS601" s="46"/>
      <c r="BDT601" s="48"/>
      <c r="BDU601" s="53"/>
      <c r="BEB601" s="15"/>
      <c r="BEC601" s="50"/>
      <c r="BED601" s="50"/>
      <c r="BEE601" s="46"/>
      <c r="BEF601" s="47"/>
      <c r="BEG601" s="46"/>
      <c r="BEH601" s="48"/>
      <c r="BEI601" s="53"/>
      <c r="BEP601" s="15"/>
      <c r="BEQ601" s="50"/>
      <c r="BER601" s="50"/>
      <c r="BES601" s="46"/>
      <c r="BET601" s="47"/>
      <c r="BEU601" s="46"/>
      <c r="BEV601" s="48"/>
      <c r="BEW601" s="53"/>
      <c r="BFD601" s="15"/>
      <c r="BFE601" s="50"/>
      <c r="BFF601" s="50"/>
      <c r="BFG601" s="46"/>
      <c r="BFH601" s="47"/>
      <c r="BFI601" s="46"/>
      <c r="BFJ601" s="48"/>
      <c r="BFK601" s="53"/>
      <c r="BFR601" s="15"/>
      <c r="BFS601" s="50"/>
      <c r="BFT601" s="50"/>
      <c r="BFU601" s="46"/>
      <c r="BFV601" s="47"/>
      <c r="BFW601" s="46"/>
      <c r="BFX601" s="48"/>
      <c r="BFY601" s="53"/>
      <c r="BGF601" s="15"/>
      <c r="BGG601" s="50"/>
      <c r="BGH601" s="50"/>
      <c r="BGI601" s="46"/>
      <c r="BGJ601" s="47"/>
      <c r="BGK601" s="46"/>
      <c r="BGL601" s="48"/>
      <c r="BGM601" s="53"/>
      <c r="BGT601" s="15"/>
      <c r="BGU601" s="50"/>
      <c r="BGV601" s="50"/>
      <c r="BGW601" s="46"/>
      <c r="BGX601" s="47"/>
      <c r="BGY601" s="46"/>
      <c r="BGZ601" s="48"/>
      <c r="BHA601" s="53"/>
      <c r="BHH601" s="15"/>
      <c r="BHI601" s="50"/>
      <c r="BHJ601" s="50"/>
      <c r="BHK601" s="46"/>
      <c r="BHL601" s="47"/>
      <c r="BHM601" s="46"/>
      <c r="BHN601" s="48"/>
      <c r="BHO601" s="53"/>
      <c r="BHV601" s="15"/>
      <c r="BHW601" s="50"/>
      <c r="BHX601" s="50"/>
      <c r="BHY601" s="46"/>
      <c r="BHZ601" s="47"/>
      <c r="BIA601" s="46"/>
      <c r="BIB601" s="48"/>
      <c r="BIC601" s="53"/>
      <c r="BIJ601" s="15"/>
      <c r="BIK601" s="50"/>
      <c r="BIL601" s="50"/>
      <c r="BIM601" s="46"/>
      <c r="BIN601" s="47"/>
      <c r="BIO601" s="46"/>
      <c r="BIP601" s="48"/>
      <c r="BIQ601" s="53"/>
      <c r="BIX601" s="15"/>
      <c r="BIY601" s="50"/>
      <c r="BIZ601" s="50"/>
      <c r="BJA601" s="46"/>
      <c r="BJB601" s="47"/>
      <c r="BJC601" s="46"/>
      <c r="BJD601" s="48"/>
      <c r="BJE601" s="53"/>
      <c r="BJL601" s="15"/>
      <c r="BJM601" s="50"/>
      <c r="BJN601" s="50"/>
      <c r="BJO601" s="46"/>
      <c r="BJP601" s="47"/>
      <c r="BJQ601" s="46"/>
      <c r="BJR601" s="48"/>
      <c r="BJS601" s="53"/>
      <c r="BJZ601" s="15"/>
      <c r="BKA601" s="50"/>
      <c r="BKB601" s="50"/>
      <c r="BKC601" s="46"/>
      <c r="BKD601" s="47"/>
      <c r="BKE601" s="46"/>
      <c r="BKF601" s="48"/>
      <c r="BKG601" s="53"/>
      <c r="BKN601" s="15"/>
      <c r="BKO601" s="50"/>
      <c r="BKP601" s="50"/>
      <c r="BKQ601" s="46"/>
      <c r="BKR601" s="47"/>
      <c r="BKS601" s="46"/>
      <c r="BKT601" s="48"/>
      <c r="BKU601" s="53"/>
      <c r="BLB601" s="15"/>
      <c r="BLC601" s="50"/>
      <c r="BLD601" s="50"/>
      <c r="BLE601" s="46"/>
      <c r="BLF601" s="47"/>
      <c r="BLG601" s="46"/>
      <c r="BLH601" s="48"/>
      <c r="BLI601" s="53"/>
      <c r="BLP601" s="15"/>
      <c r="BLQ601" s="50"/>
      <c r="BLR601" s="50"/>
      <c r="BLS601" s="46"/>
      <c r="BLT601" s="47"/>
      <c r="BLU601" s="46"/>
      <c r="BLV601" s="48"/>
      <c r="BLW601" s="53"/>
      <c r="BMD601" s="15"/>
      <c r="BME601" s="50"/>
      <c r="BMF601" s="50"/>
      <c r="BMG601" s="46"/>
      <c r="BMH601" s="47"/>
      <c r="BMI601" s="46"/>
      <c r="BMJ601" s="48"/>
      <c r="BMK601" s="53"/>
      <c r="BMR601" s="15"/>
      <c r="BMS601" s="50"/>
      <c r="BMT601" s="50"/>
      <c r="BMU601" s="46"/>
      <c r="BMV601" s="47"/>
      <c r="BMW601" s="46"/>
      <c r="BMX601" s="48"/>
      <c r="BMY601" s="53"/>
      <c r="BNF601" s="15"/>
      <c r="BNG601" s="50"/>
      <c r="BNH601" s="50"/>
      <c r="BNI601" s="46"/>
      <c r="BNJ601" s="47"/>
      <c r="BNK601" s="46"/>
      <c r="BNL601" s="48"/>
      <c r="BNM601" s="53"/>
      <c r="BNT601" s="15"/>
      <c r="BNU601" s="50"/>
      <c r="BNV601" s="50"/>
      <c r="BNW601" s="46"/>
      <c r="BNX601" s="47"/>
      <c r="BNY601" s="46"/>
      <c r="BNZ601" s="48"/>
      <c r="BOA601" s="53"/>
      <c r="BOH601" s="15"/>
      <c r="BOI601" s="50"/>
      <c r="BOJ601" s="50"/>
      <c r="BOK601" s="46"/>
      <c r="BOL601" s="47"/>
      <c r="BOM601" s="46"/>
      <c r="BON601" s="48"/>
      <c r="BOO601" s="53"/>
      <c r="BOV601" s="15"/>
      <c r="BOW601" s="50"/>
      <c r="BOX601" s="50"/>
      <c r="BOY601" s="46"/>
      <c r="BOZ601" s="47"/>
      <c r="BPA601" s="46"/>
      <c r="BPB601" s="48"/>
      <c r="BPC601" s="53"/>
      <c r="BPJ601" s="15"/>
      <c r="BPK601" s="50"/>
      <c r="BPL601" s="50"/>
      <c r="BPM601" s="46"/>
      <c r="BPN601" s="47"/>
      <c r="BPO601" s="46"/>
      <c r="BPP601" s="48"/>
      <c r="BPQ601" s="53"/>
      <c r="BPX601" s="15"/>
      <c r="BPY601" s="50"/>
      <c r="BPZ601" s="50"/>
      <c r="BQA601" s="46"/>
      <c r="BQB601" s="47"/>
      <c r="BQC601" s="46"/>
      <c r="BQD601" s="48"/>
      <c r="BQE601" s="53"/>
      <c r="BQL601" s="15"/>
      <c r="BQM601" s="50"/>
      <c r="BQN601" s="50"/>
      <c r="BQO601" s="46"/>
      <c r="BQP601" s="47"/>
      <c r="BQQ601" s="46"/>
      <c r="BQR601" s="48"/>
      <c r="BQS601" s="53"/>
      <c r="BQZ601" s="15"/>
      <c r="BRA601" s="50"/>
      <c r="BRB601" s="50"/>
      <c r="BRC601" s="46"/>
      <c r="BRD601" s="47"/>
      <c r="BRE601" s="46"/>
      <c r="BRF601" s="48"/>
      <c r="BRG601" s="53"/>
      <c r="BRN601" s="15"/>
      <c r="BRO601" s="50"/>
      <c r="BRP601" s="50"/>
      <c r="BRQ601" s="46"/>
      <c r="BRR601" s="47"/>
      <c r="BRS601" s="46"/>
      <c r="BRT601" s="48"/>
      <c r="BRU601" s="53"/>
      <c r="BSB601" s="15"/>
      <c r="BSC601" s="50"/>
      <c r="BSD601" s="50"/>
      <c r="BSE601" s="46"/>
      <c r="BSF601" s="47"/>
      <c r="BSG601" s="46"/>
      <c r="BSH601" s="48"/>
      <c r="BSI601" s="53"/>
      <c r="BSP601" s="15"/>
      <c r="BSQ601" s="50"/>
      <c r="BSR601" s="50"/>
      <c r="BSS601" s="46"/>
      <c r="BST601" s="47"/>
      <c r="BSU601" s="46"/>
      <c r="BSV601" s="48"/>
      <c r="BSW601" s="53"/>
      <c r="BTD601" s="15"/>
      <c r="BTE601" s="50"/>
      <c r="BTF601" s="50"/>
      <c r="BTG601" s="46"/>
      <c r="BTH601" s="47"/>
      <c r="BTI601" s="46"/>
      <c r="BTJ601" s="48"/>
      <c r="BTK601" s="53"/>
      <c r="BTR601" s="15"/>
      <c r="BTS601" s="50"/>
      <c r="BTT601" s="50"/>
      <c r="BTU601" s="46"/>
      <c r="BTV601" s="47"/>
      <c r="BTW601" s="46"/>
      <c r="BTX601" s="48"/>
      <c r="BTY601" s="53"/>
      <c r="BUF601" s="15"/>
      <c r="BUG601" s="50"/>
      <c r="BUH601" s="50"/>
      <c r="BUI601" s="46"/>
      <c r="BUJ601" s="47"/>
      <c r="BUK601" s="46"/>
      <c r="BUL601" s="48"/>
      <c r="BUM601" s="53"/>
      <c r="BUT601" s="15"/>
      <c r="BUU601" s="50"/>
      <c r="BUV601" s="50"/>
      <c r="BUW601" s="46"/>
      <c r="BUX601" s="47"/>
      <c r="BUY601" s="46"/>
      <c r="BUZ601" s="48"/>
      <c r="BVA601" s="53"/>
      <c r="BVH601" s="15"/>
      <c r="BVI601" s="50"/>
      <c r="BVJ601" s="50"/>
      <c r="BVK601" s="46"/>
      <c r="BVL601" s="47"/>
      <c r="BVM601" s="46"/>
      <c r="BVN601" s="48"/>
      <c r="BVO601" s="53"/>
      <c r="BVV601" s="15"/>
      <c r="BVW601" s="50"/>
      <c r="BVX601" s="50"/>
      <c r="BVY601" s="46"/>
      <c r="BVZ601" s="47"/>
      <c r="BWA601" s="46"/>
      <c r="BWB601" s="48"/>
      <c r="BWC601" s="53"/>
      <c r="BWJ601" s="15"/>
      <c r="BWK601" s="50"/>
      <c r="BWL601" s="50"/>
      <c r="BWM601" s="46"/>
      <c r="BWN601" s="47"/>
      <c r="BWO601" s="46"/>
      <c r="BWP601" s="48"/>
      <c r="BWQ601" s="53"/>
      <c r="BWX601" s="15"/>
      <c r="BWY601" s="50"/>
      <c r="BWZ601" s="50"/>
      <c r="BXA601" s="46"/>
      <c r="BXB601" s="47"/>
      <c r="BXC601" s="46"/>
      <c r="BXD601" s="48"/>
      <c r="BXE601" s="53"/>
      <c r="BXL601" s="15"/>
      <c r="BXM601" s="50"/>
      <c r="BXN601" s="50"/>
      <c r="BXO601" s="46"/>
      <c r="BXP601" s="47"/>
      <c r="BXQ601" s="46"/>
      <c r="BXR601" s="48"/>
      <c r="BXS601" s="53"/>
      <c r="BXZ601" s="15"/>
      <c r="BYA601" s="50"/>
      <c r="BYB601" s="50"/>
      <c r="BYC601" s="46"/>
      <c r="BYD601" s="47"/>
      <c r="BYE601" s="46"/>
      <c r="BYF601" s="48"/>
      <c r="BYG601" s="53"/>
      <c r="BYN601" s="15"/>
      <c r="BYO601" s="50"/>
      <c r="BYP601" s="50"/>
      <c r="BYQ601" s="46"/>
      <c r="BYR601" s="47"/>
      <c r="BYS601" s="46"/>
      <c r="BYT601" s="48"/>
      <c r="BYU601" s="53"/>
      <c r="BZB601" s="15"/>
      <c r="BZC601" s="50"/>
      <c r="BZD601" s="50"/>
      <c r="BZE601" s="46"/>
      <c r="BZF601" s="47"/>
      <c r="BZG601" s="46"/>
      <c r="BZH601" s="48"/>
      <c r="BZI601" s="53"/>
      <c r="BZP601" s="15"/>
      <c r="BZQ601" s="50"/>
      <c r="BZR601" s="50"/>
      <c r="BZS601" s="46"/>
      <c r="BZT601" s="47"/>
      <c r="BZU601" s="46"/>
      <c r="BZV601" s="48"/>
      <c r="BZW601" s="53"/>
      <c r="CAD601" s="15"/>
      <c r="CAE601" s="50"/>
      <c r="CAF601" s="50"/>
      <c r="CAG601" s="46"/>
      <c r="CAH601" s="47"/>
      <c r="CAI601" s="46"/>
      <c r="CAJ601" s="48"/>
      <c r="CAK601" s="53"/>
      <c r="CAR601" s="15"/>
      <c r="CAS601" s="50"/>
      <c r="CAT601" s="50"/>
      <c r="CAU601" s="46"/>
      <c r="CAV601" s="47"/>
      <c r="CAW601" s="46"/>
      <c r="CAX601" s="48"/>
      <c r="CAY601" s="53"/>
      <c r="CBF601" s="15"/>
      <c r="CBG601" s="50"/>
      <c r="CBH601" s="50"/>
      <c r="CBI601" s="46"/>
      <c r="CBJ601" s="47"/>
      <c r="CBK601" s="46"/>
      <c r="CBL601" s="48"/>
      <c r="CBM601" s="53"/>
      <c r="CBT601" s="15"/>
      <c r="CBU601" s="50"/>
      <c r="CBV601" s="50"/>
      <c r="CBW601" s="46"/>
      <c r="CBX601" s="47"/>
      <c r="CBY601" s="46"/>
      <c r="CBZ601" s="48"/>
      <c r="CCA601" s="53"/>
      <c r="CCH601" s="15"/>
      <c r="CCI601" s="50"/>
      <c r="CCJ601" s="50"/>
      <c r="CCK601" s="46"/>
      <c r="CCL601" s="47"/>
      <c r="CCM601" s="46"/>
      <c r="CCN601" s="48"/>
      <c r="CCO601" s="53"/>
      <c r="CCV601" s="15"/>
      <c r="CCW601" s="50"/>
      <c r="CCX601" s="50"/>
      <c r="CCY601" s="46"/>
      <c r="CCZ601" s="47"/>
      <c r="CDA601" s="46"/>
      <c r="CDB601" s="48"/>
      <c r="CDC601" s="53"/>
      <c r="CDJ601" s="15"/>
      <c r="CDK601" s="50"/>
      <c r="CDL601" s="50"/>
      <c r="CDM601" s="46"/>
      <c r="CDN601" s="47"/>
      <c r="CDO601" s="46"/>
      <c r="CDP601" s="48"/>
      <c r="CDQ601" s="53"/>
      <c r="CDX601" s="15"/>
      <c r="CDY601" s="50"/>
      <c r="CDZ601" s="50"/>
      <c r="CEA601" s="46"/>
      <c r="CEB601" s="47"/>
      <c r="CEC601" s="46"/>
      <c r="CED601" s="48"/>
      <c r="CEE601" s="53"/>
      <c r="CEL601" s="15"/>
      <c r="CEM601" s="50"/>
      <c r="CEN601" s="50"/>
      <c r="CEO601" s="46"/>
      <c r="CEP601" s="47"/>
      <c r="CEQ601" s="46"/>
      <c r="CER601" s="48"/>
      <c r="CES601" s="53"/>
      <c r="CEZ601" s="15"/>
      <c r="CFA601" s="50"/>
      <c r="CFB601" s="50"/>
      <c r="CFC601" s="46"/>
      <c r="CFD601" s="47"/>
      <c r="CFE601" s="46"/>
      <c r="CFF601" s="48"/>
      <c r="CFG601" s="53"/>
      <c r="CFN601" s="15"/>
      <c r="CFO601" s="50"/>
      <c r="CFP601" s="50"/>
      <c r="CFQ601" s="46"/>
      <c r="CFR601" s="47"/>
      <c r="CFS601" s="46"/>
      <c r="CFT601" s="48"/>
      <c r="CFU601" s="53"/>
      <c r="CGB601" s="15"/>
      <c r="CGC601" s="50"/>
      <c r="CGD601" s="50"/>
      <c r="CGE601" s="46"/>
      <c r="CGF601" s="47"/>
      <c r="CGG601" s="46"/>
      <c r="CGH601" s="48"/>
      <c r="CGI601" s="53"/>
      <c r="CGP601" s="15"/>
      <c r="CGQ601" s="50"/>
      <c r="CGR601" s="50"/>
      <c r="CGS601" s="46"/>
      <c r="CGT601" s="47"/>
      <c r="CGU601" s="46"/>
      <c r="CGV601" s="48"/>
      <c r="CGW601" s="53"/>
      <c r="CHD601" s="15"/>
      <c r="CHE601" s="50"/>
      <c r="CHF601" s="50"/>
      <c r="CHG601" s="46"/>
      <c r="CHH601" s="47"/>
      <c r="CHI601" s="46"/>
      <c r="CHJ601" s="48"/>
      <c r="CHK601" s="53"/>
      <c r="CHR601" s="15"/>
      <c r="CHS601" s="50"/>
      <c r="CHT601" s="50"/>
      <c r="CHU601" s="46"/>
      <c r="CHV601" s="47"/>
      <c r="CHW601" s="46"/>
      <c r="CHX601" s="48"/>
      <c r="CHY601" s="53"/>
      <c r="CIF601" s="15"/>
      <c r="CIG601" s="50"/>
      <c r="CIH601" s="50"/>
      <c r="CII601" s="46"/>
      <c r="CIJ601" s="47"/>
      <c r="CIK601" s="46"/>
      <c r="CIL601" s="48"/>
      <c r="CIM601" s="53"/>
      <c r="CIT601" s="15"/>
      <c r="CIU601" s="50"/>
      <c r="CIV601" s="50"/>
      <c r="CIW601" s="46"/>
      <c r="CIX601" s="47"/>
      <c r="CIY601" s="46"/>
      <c r="CIZ601" s="48"/>
      <c r="CJA601" s="53"/>
      <c r="CJH601" s="15"/>
      <c r="CJI601" s="50"/>
      <c r="CJJ601" s="50"/>
      <c r="CJK601" s="46"/>
      <c r="CJL601" s="47"/>
      <c r="CJM601" s="46"/>
      <c r="CJN601" s="48"/>
      <c r="CJO601" s="53"/>
      <c r="CJV601" s="15"/>
      <c r="CJW601" s="50"/>
      <c r="CJX601" s="50"/>
      <c r="CJY601" s="46"/>
      <c r="CJZ601" s="47"/>
      <c r="CKA601" s="46"/>
      <c r="CKB601" s="48"/>
      <c r="CKC601" s="53"/>
      <c r="CKJ601" s="15"/>
      <c r="CKK601" s="50"/>
      <c r="CKL601" s="50"/>
      <c r="CKM601" s="46"/>
      <c r="CKN601" s="47"/>
      <c r="CKO601" s="46"/>
      <c r="CKP601" s="48"/>
      <c r="CKQ601" s="53"/>
      <c r="CKX601" s="15"/>
      <c r="CKY601" s="50"/>
      <c r="CKZ601" s="50"/>
      <c r="CLA601" s="46"/>
      <c r="CLB601" s="47"/>
      <c r="CLC601" s="46"/>
      <c r="CLD601" s="48"/>
      <c r="CLE601" s="53"/>
      <c r="CLL601" s="15"/>
      <c r="CLM601" s="50"/>
      <c r="CLN601" s="50"/>
      <c r="CLO601" s="46"/>
      <c r="CLP601" s="47"/>
      <c r="CLQ601" s="46"/>
      <c r="CLR601" s="48"/>
      <c r="CLS601" s="53"/>
      <c r="CLZ601" s="15"/>
      <c r="CMA601" s="50"/>
      <c r="CMB601" s="50"/>
      <c r="CMC601" s="46"/>
      <c r="CMD601" s="47"/>
      <c r="CME601" s="46"/>
      <c r="CMF601" s="48"/>
      <c r="CMG601" s="53"/>
      <c r="CMN601" s="15"/>
      <c r="CMO601" s="50"/>
      <c r="CMP601" s="50"/>
      <c r="CMQ601" s="46"/>
      <c r="CMR601" s="47"/>
      <c r="CMS601" s="46"/>
      <c r="CMT601" s="48"/>
      <c r="CMU601" s="53"/>
      <c r="CNB601" s="15"/>
      <c r="CNC601" s="50"/>
      <c r="CND601" s="50"/>
      <c r="CNE601" s="46"/>
      <c r="CNF601" s="47"/>
      <c r="CNG601" s="46"/>
      <c r="CNH601" s="48"/>
      <c r="CNI601" s="53"/>
      <c r="CNP601" s="15"/>
      <c r="CNQ601" s="50"/>
      <c r="CNR601" s="50"/>
      <c r="CNS601" s="46"/>
      <c r="CNT601" s="47"/>
      <c r="CNU601" s="46"/>
      <c r="CNV601" s="48"/>
      <c r="CNW601" s="53"/>
      <c r="COD601" s="15"/>
      <c r="COE601" s="50"/>
      <c r="COF601" s="50"/>
      <c r="COG601" s="46"/>
      <c r="COH601" s="47"/>
      <c r="COI601" s="46"/>
      <c r="COJ601" s="48"/>
      <c r="COK601" s="53"/>
      <c r="COR601" s="15"/>
      <c r="COS601" s="50"/>
      <c r="COT601" s="50"/>
      <c r="COU601" s="46"/>
      <c r="COV601" s="47"/>
      <c r="COW601" s="46"/>
      <c r="COX601" s="48"/>
      <c r="COY601" s="53"/>
      <c r="CPF601" s="15"/>
      <c r="CPG601" s="50"/>
      <c r="CPH601" s="50"/>
      <c r="CPI601" s="46"/>
      <c r="CPJ601" s="47"/>
      <c r="CPK601" s="46"/>
      <c r="CPL601" s="48"/>
      <c r="CPM601" s="53"/>
      <c r="CPT601" s="15"/>
      <c r="CPU601" s="50"/>
      <c r="CPV601" s="50"/>
      <c r="CPW601" s="46"/>
      <c r="CPX601" s="47"/>
      <c r="CPY601" s="46"/>
      <c r="CPZ601" s="48"/>
      <c r="CQA601" s="53"/>
      <c r="CQH601" s="15"/>
      <c r="CQI601" s="50"/>
      <c r="CQJ601" s="50"/>
      <c r="CQK601" s="46"/>
      <c r="CQL601" s="47"/>
      <c r="CQM601" s="46"/>
      <c r="CQN601" s="48"/>
      <c r="CQO601" s="53"/>
      <c r="CQV601" s="15"/>
      <c r="CQW601" s="50"/>
      <c r="CQX601" s="50"/>
      <c r="CQY601" s="46"/>
      <c r="CQZ601" s="47"/>
      <c r="CRA601" s="46"/>
      <c r="CRB601" s="48"/>
      <c r="CRC601" s="53"/>
      <c r="CRJ601" s="15"/>
      <c r="CRK601" s="50"/>
      <c r="CRL601" s="50"/>
      <c r="CRM601" s="46"/>
      <c r="CRN601" s="47"/>
      <c r="CRO601" s="46"/>
      <c r="CRP601" s="48"/>
      <c r="CRQ601" s="53"/>
      <c r="CRX601" s="15"/>
      <c r="CRY601" s="50"/>
      <c r="CRZ601" s="50"/>
      <c r="CSA601" s="46"/>
      <c r="CSB601" s="47"/>
      <c r="CSC601" s="46"/>
      <c r="CSD601" s="48"/>
      <c r="CSE601" s="53"/>
      <c r="CSL601" s="15"/>
      <c r="CSM601" s="50"/>
      <c r="CSN601" s="50"/>
      <c r="CSO601" s="46"/>
      <c r="CSP601" s="47"/>
      <c r="CSQ601" s="46"/>
      <c r="CSR601" s="48"/>
      <c r="CSS601" s="53"/>
      <c r="CSZ601" s="15"/>
      <c r="CTA601" s="50"/>
      <c r="CTB601" s="50"/>
      <c r="CTC601" s="46"/>
      <c r="CTD601" s="47"/>
      <c r="CTE601" s="46"/>
      <c r="CTF601" s="48"/>
      <c r="CTG601" s="53"/>
      <c r="CTN601" s="15"/>
      <c r="CTO601" s="50"/>
      <c r="CTP601" s="50"/>
      <c r="CTQ601" s="46"/>
      <c r="CTR601" s="47"/>
      <c r="CTS601" s="46"/>
      <c r="CTT601" s="48"/>
      <c r="CTU601" s="53"/>
      <c r="CUB601" s="15"/>
      <c r="CUC601" s="50"/>
      <c r="CUD601" s="50"/>
      <c r="CUE601" s="46"/>
      <c r="CUF601" s="47"/>
      <c r="CUG601" s="46"/>
      <c r="CUH601" s="48"/>
      <c r="CUI601" s="53"/>
      <c r="CUP601" s="15"/>
      <c r="CUQ601" s="50"/>
      <c r="CUR601" s="50"/>
      <c r="CUS601" s="46"/>
      <c r="CUT601" s="47"/>
      <c r="CUU601" s="46"/>
      <c r="CUV601" s="48"/>
      <c r="CUW601" s="53"/>
      <c r="CVD601" s="15"/>
      <c r="CVE601" s="50"/>
      <c r="CVF601" s="50"/>
      <c r="CVG601" s="46"/>
      <c r="CVH601" s="47"/>
      <c r="CVI601" s="46"/>
      <c r="CVJ601" s="48"/>
      <c r="CVK601" s="53"/>
      <c r="CVR601" s="15"/>
      <c r="CVS601" s="50"/>
      <c r="CVT601" s="50"/>
      <c r="CVU601" s="46"/>
      <c r="CVV601" s="47"/>
      <c r="CVW601" s="46"/>
      <c r="CVX601" s="48"/>
      <c r="CVY601" s="53"/>
      <c r="CWF601" s="15"/>
      <c r="CWG601" s="50"/>
      <c r="CWH601" s="50"/>
      <c r="CWI601" s="46"/>
      <c r="CWJ601" s="47"/>
      <c r="CWK601" s="46"/>
      <c r="CWL601" s="48"/>
      <c r="CWM601" s="53"/>
      <c r="CWT601" s="15"/>
      <c r="CWU601" s="50"/>
      <c r="CWV601" s="50"/>
      <c r="CWW601" s="46"/>
      <c r="CWX601" s="47"/>
      <c r="CWY601" s="46"/>
      <c r="CWZ601" s="48"/>
      <c r="CXA601" s="53"/>
      <c r="CXH601" s="15"/>
      <c r="CXI601" s="50"/>
      <c r="CXJ601" s="50"/>
      <c r="CXK601" s="46"/>
      <c r="CXL601" s="47"/>
      <c r="CXM601" s="46"/>
      <c r="CXN601" s="48"/>
      <c r="CXO601" s="53"/>
      <c r="CXV601" s="15"/>
      <c r="CXW601" s="50"/>
      <c r="CXX601" s="50"/>
      <c r="CXY601" s="46"/>
      <c r="CXZ601" s="47"/>
      <c r="CYA601" s="46"/>
      <c r="CYB601" s="48"/>
      <c r="CYC601" s="53"/>
      <c r="CYJ601" s="15"/>
      <c r="CYK601" s="50"/>
      <c r="CYL601" s="50"/>
      <c r="CYM601" s="46"/>
      <c r="CYN601" s="47"/>
      <c r="CYO601" s="46"/>
      <c r="CYP601" s="48"/>
      <c r="CYQ601" s="53"/>
      <c r="CYX601" s="15"/>
      <c r="CYY601" s="50"/>
      <c r="CYZ601" s="50"/>
      <c r="CZA601" s="46"/>
      <c r="CZB601" s="47"/>
      <c r="CZC601" s="46"/>
      <c r="CZD601" s="48"/>
      <c r="CZE601" s="53"/>
      <c r="CZL601" s="15"/>
      <c r="CZM601" s="50"/>
      <c r="CZN601" s="50"/>
      <c r="CZO601" s="46"/>
      <c r="CZP601" s="47"/>
      <c r="CZQ601" s="46"/>
      <c r="CZR601" s="48"/>
      <c r="CZS601" s="53"/>
      <c r="CZZ601" s="15"/>
      <c r="DAA601" s="50"/>
      <c r="DAB601" s="50"/>
      <c r="DAC601" s="46"/>
      <c r="DAD601" s="47"/>
      <c r="DAE601" s="46"/>
      <c r="DAF601" s="48"/>
      <c r="DAG601" s="53"/>
      <c r="DAN601" s="15"/>
      <c r="DAO601" s="50"/>
      <c r="DAP601" s="50"/>
      <c r="DAQ601" s="46"/>
      <c r="DAR601" s="47"/>
      <c r="DAS601" s="46"/>
      <c r="DAT601" s="48"/>
      <c r="DAU601" s="53"/>
      <c r="DBB601" s="15"/>
      <c r="DBC601" s="50"/>
      <c r="DBD601" s="50"/>
      <c r="DBE601" s="46"/>
      <c r="DBF601" s="47"/>
      <c r="DBG601" s="46"/>
      <c r="DBH601" s="48"/>
      <c r="DBI601" s="53"/>
      <c r="DBP601" s="15"/>
      <c r="DBQ601" s="50"/>
      <c r="DBR601" s="50"/>
      <c r="DBS601" s="46"/>
      <c r="DBT601" s="47"/>
      <c r="DBU601" s="46"/>
      <c r="DBV601" s="48"/>
      <c r="DBW601" s="53"/>
      <c r="DCD601" s="15"/>
      <c r="DCE601" s="50"/>
      <c r="DCF601" s="50"/>
      <c r="DCG601" s="46"/>
      <c r="DCH601" s="47"/>
      <c r="DCI601" s="46"/>
      <c r="DCJ601" s="48"/>
      <c r="DCK601" s="53"/>
      <c r="DCR601" s="15"/>
      <c r="DCS601" s="50"/>
      <c r="DCT601" s="50"/>
      <c r="DCU601" s="46"/>
      <c r="DCV601" s="47"/>
      <c r="DCW601" s="46"/>
      <c r="DCX601" s="48"/>
      <c r="DCY601" s="53"/>
      <c r="DDF601" s="15"/>
      <c r="DDG601" s="50"/>
      <c r="DDH601" s="50"/>
      <c r="DDI601" s="46"/>
      <c r="DDJ601" s="47"/>
      <c r="DDK601" s="46"/>
      <c r="DDL601" s="48"/>
      <c r="DDM601" s="53"/>
      <c r="DDT601" s="15"/>
      <c r="DDU601" s="50"/>
      <c r="DDV601" s="50"/>
      <c r="DDW601" s="46"/>
      <c r="DDX601" s="47"/>
      <c r="DDY601" s="46"/>
      <c r="DDZ601" s="48"/>
      <c r="DEA601" s="53"/>
      <c r="DEH601" s="15"/>
      <c r="DEI601" s="50"/>
      <c r="DEJ601" s="50"/>
      <c r="DEK601" s="46"/>
      <c r="DEL601" s="47"/>
      <c r="DEM601" s="46"/>
      <c r="DEN601" s="48"/>
      <c r="DEO601" s="53"/>
      <c r="DEV601" s="15"/>
      <c r="DEW601" s="50"/>
      <c r="DEX601" s="50"/>
      <c r="DEY601" s="46"/>
      <c r="DEZ601" s="47"/>
      <c r="DFA601" s="46"/>
      <c r="DFB601" s="48"/>
      <c r="DFC601" s="53"/>
      <c r="DFJ601" s="15"/>
      <c r="DFK601" s="50"/>
      <c r="DFL601" s="50"/>
      <c r="DFM601" s="46"/>
      <c r="DFN601" s="47"/>
      <c r="DFO601" s="46"/>
      <c r="DFP601" s="48"/>
      <c r="DFQ601" s="53"/>
      <c r="DFX601" s="15"/>
      <c r="DFY601" s="50"/>
      <c r="DFZ601" s="50"/>
      <c r="DGA601" s="46"/>
      <c r="DGB601" s="47"/>
      <c r="DGC601" s="46"/>
      <c r="DGD601" s="48"/>
      <c r="DGE601" s="53"/>
      <c r="DGL601" s="15"/>
      <c r="DGM601" s="50"/>
      <c r="DGN601" s="50"/>
      <c r="DGO601" s="46"/>
      <c r="DGP601" s="47"/>
      <c r="DGQ601" s="46"/>
      <c r="DGR601" s="48"/>
      <c r="DGS601" s="53"/>
      <c r="DGZ601" s="15"/>
      <c r="DHA601" s="50"/>
      <c r="DHB601" s="50"/>
      <c r="DHC601" s="46"/>
      <c r="DHD601" s="47"/>
      <c r="DHE601" s="46"/>
      <c r="DHF601" s="48"/>
      <c r="DHG601" s="53"/>
      <c r="DHN601" s="15"/>
      <c r="DHO601" s="50"/>
      <c r="DHP601" s="50"/>
      <c r="DHQ601" s="46"/>
      <c r="DHR601" s="47"/>
      <c r="DHS601" s="46"/>
      <c r="DHT601" s="48"/>
      <c r="DHU601" s="53"/>
      <c r="DIB601" s="15"/>
      <c r="DIC601" s="50"/>
      <c r="DID601" s="50"/>
      <c r="DIE601" s="46"/>
      <c r="DIF601" s="47"/>
      <c r="DIG601" s="46"/>
      <c r="DIH601" s="48"/>
      <c r="DII601" s="53"/>
      <c r="DIP601" s="15"/>
      <c r="DIQ601" s="50"/>
      <c r="DIR601" s="50"/>
      <c r="DIS601" s="46"/>
      <c r="DIT601" s="47"/>
      <c r="DIU601" s="46"/>
      <c r="DIV601" s="48"/>
      <c r="DIW601" s="53"/>
      <c r="DJD601" s="15"/>
      <c r="DJE601" s="50"/>
      <c r="DJF601" s="50"/>
      <c r="DJG601" s="46"/>
      <c r="DJH601" s="47"/>
      <c r="DJI601" s="46"/>
      <c r="DJJ601" s="48"/>
      <c r="DJK601" s="53"/>
      <c r="DJR601" s="15"/>
      <c r="DJS601" s="50"/>
      <c r="DJT601" s="50"/>
      <c r="DJU601" s="46"/>
      <c r="DJV601" s="47"/>
      <c r="DJW601" s="46"/>
      <c r="DJX601" s="48"/>
      <c r="DJY601" s="53"/>
      <c r="DKF601" s="15"/>
      <c r="DKG601" s="50"/>
      <c r="DKH601" s="50"/>
      <c r="DKI601" s="46"/>
      <c r="DKJ601" s="47"/>
      <c r="DKK601" s="46"/>
      <c r="DKL601" s="48"/>
      <c r="DKM601" s="53"/>
      <c r="DKT601" s="15"/>
      <c r="DKU601" s="50"/>
      <c r="DKV601" s="50"/>
      <c r="DKW601" s="46"/>
      <c r="DKX601" s="47"/>
      <c r="DKY601" s="46"/>
      <c r="DKZ601" s="48"/>
      <c r="DLA601" s="53"/>
      <c r="DLH601" s="15"/>
      <c r="DLI601" s="50"/>
      <c r="DLJ601" s="50"/>
      <c r="DLK601" s="46"/>
      <c r="DLL601" s="47"/>
      <c r="DLM601" s="46"/>
      <c r="DLN601" s="48"/>
      <c r="DLO601" s="53"/>
      <c r="DLV601" s="15"/>
      <c r="DLW601" s="50"/>
      <c r="DLX601" s="50"/>
      <c r="DLY601" s="46"/>
      <c r="DLZ601" s="47"/>
      <c r="DMA601" s="46"/>
      <c r="DMB601" s="48"/>
      <c r="DMC601" s="53"/>
      <c r="DMJ601" s="15"/>
      <c r="DMK601" s="50"/>
      <c r="DML601" s="50"/>
      <c r="DMM601" s="46"/>
      <c r="DMN601" s="47"/>
      <c r="DMO601" s="46"/>
      <c r="DMP601" s="48"/>
      <c r="DMQ601" s="53"/>
      <c r="DMX601" s="15"/>
      <c r="DMY601" s="50"/>
      <c r="DMZ601" s="50"/>
      <c r="DNA601" s="46"/>
      <c r="DNB601" s="47"/>
      <c r="DNC601" s="46"/>
      <c r="DND601" s="48"/>
      <c r="DNE601" s="53"/>
      <c r="DNL601" s="15"/>
      <c r="DNM601" s="50"/>
      <c r="DNN601" s="50"/>
      <c r="DNO601" s="46"/>
      <c r="DNP601" s="47"/>
      <c r="DNQ601" s="46"/>
      <c r="DNR601" s="48"/>
      <c r="DNS601" s="53"/>
      <c r="DNZ601" s="15"/>
      <c r="DOA601" s="50"/>
      <c r="DOB601" s="50"/>
      <c r="DOC601" s="46"/>
      <c r="DOD601" s="47"/>
      <c r="DOE601" s="46"/>
      <c r="DOF601" s="48"/>
      <c r="DOG601" s="53"/>
      <c r="DON601" s="15"/>
      <c r="DOO601" s="50"/>
      <c r="DOP601" s="50"/>
      <c r="DOQ601" s="46"/>
      <c r="DOR601" s="47"/>
      <c r="DOS601" s="46"/>
      <c r="DOT601" s="48"/>
      <c r="DOU601" s="53"/>
      <c r="DPB601" s="15"/>
      <c r="DPC601" s="50"/>
      <c r="DPD601" s="50"/>
      <c r="DPE601" s="46"/>
      <c r="DPF601" s="47"/>
      <c r="DPG601" s="46"/>
      <c r="DPH601" s="48"/>
      <c r="DPI601" s="53"/>
      <c r="DPP601" s="15"/>
      <c r="DPQ601" s="50"/>
      <c r="DPR601" s="50"/>
      <c r="DPS601" s="46"/>
      <c r="DPT601" s="47"/>
      <c r="DPU601" s="46"/>
      <c r="DPV601" s="48"/>
      <c r="DPW601" s="53"/>
      <c r="DQD601" s="15"/>
      <c r="DQE601" s="50"/>
      <c r="DQF601" s="50"/>
      <c r="DQG601" s="46"/>
      <c r="DQH601" s="47"/>
      <c r="DQI601" s="46"/>
      <c r="DQJ601" s="48"/>
      <c r="DQK601" s="53"/>
      <c r="DQR601" s="15"/>
      <c r="DQS601" s="50"/>
      <c r="DQT601" s="50"/>
      <c r="DQU601" s="46"/>
      <c r="DQV601" s="47"/>
      <c r="DQW601" s="46"/>
      <c r="DQX601" s="48"/>
      <c r="DQY601" s="53"/>
      <c r="DRF601" s="15"/>
      <c r="DRG601" s="50"/>
      <c r="DRH601" s="50"/>
      <c r="DRI601" s="46"/>
      <c r="DRJ601" s="47"/>
      <c r="DRK601" s="46"/>
      <c r="DRL601" s="48"/>
      <c r="DRM601" s="53"/>
      <c r="DRT601" s="15"/>
      <c r="DRU601" s="50"/>
      <c r="DRV601" s="50"/>
      <c r="DRW601" s="46"/>
      <c r="DRX601" s="47"/>
      <c r="DRY601" s="46"/>
      <c r="DRZ601" s="48"/>
      <c r="DSA601" s="53"/>
      <c r="DSH601" s="15"/>
      <c r="DSI601" s="50"/>
      <c r="DSJ601" s="50"/>
      <c r="DSK601" s="46"/>
      <c r="DSL601" s="47"/>
      <c r="DSM601" s="46"/>
      <c r="DSN601" s="48"/>
      <c r="DSO601" s="53"/>
      <c r="DSV601" s="15"/>
      <c r="DSW601" s="50"/>
      <c r="DSX601" s="50"/>
      <c r="DSY601" s="46"/>
      <c r="DSZ601" s="47"/>
      <c r="DTA601" s="46"/>
      <c r="DTB601" s="48"/>
      <c r="DTC601" s="53"/>
      <c r="DTJ601" s="15"/>
      <c r="DTK601" s="50"/>
      <c r="DTL601" s="50"/>
      <c r="DTM601" s="46"/>
      <c r="DTN601" s="47"/>
      <c r="DTO601" s="46"/>
      <c r="DTP601" s="48"/>
      <c r="DTQ601" s="53"/>
      <c r="DTX601" s="15"/>
      <c r="DTY601" s="50"/>
      <c r="DTZ601" s="50"/>
      <c r="DUA601" s="46"/>
      <c r="DUB601" s="47"/>
      <c r="DUC601" s="46"/>
      <c r="DUD601" s="48"/>
      <c r="DUE601" s="53"/>
      <c r="DUL601" s="15"/>
      <c r="DUM601" s="50"/>
      <c r="DUN601" s="50"/>
      <c r="DUO601" s="46"/>
      <c r="DUP601" s="47"/>
      <c r="DUQ601" s="46"/>
      <c r="DUR601" s="48"/>
      <c r="DUS601" s="53"/>
      <c r="DUZ601" s="15"/>
      <c r="DVA601" s="50"/>
      <c r="DVB601" s="50"/>
      <c r="DVC601" s="46"/>
      <c r="DVD601" s="47"/>
      <c r="DVE601" s="46"/>
      <c r="DVF601" s="48"/>
      <c r="DVG601" s="53"/>
      <c r="DVN601" s="15"/>
      <c r="DVO601" s="50"/>
      <c r="DVP601" s="50"/>
      <c r="DVQ601" s="46"/>
      <c r="DVR601" s="47"/>
      <c r="DVS601" s="46"/>
      <c r="DVT601" s="48"/>
      <c r="DVU601" s="53"/>
      <c r="DWB601" s="15"/>
      <c r="DWC601" s="50"/>
      <c r="DWD601" s="50"/>
      <c r="DWE601" s="46"/>
      <c r="DWF601" s="47"/>
      <c r="DWG601" s="46"/>
      <c r="DWH601" s="48"/>
      <c r="DWI601" s="53"/>
      <c r="DWP601" s="15"/>
      <c r="DWQ601" s="50"/>
      <c r="DWR601" s="50"/>
      <c r="DWS601" s="46"/>
      <c r="DWT601" s="47"/>
      <c r="DWU601" s="46"/>
      <c r="DWV601" s="48"/>
      <c r="DWW601" s="53"/>
      <c r="DXD601" s="15"/>
      <c r="DXE601" s="50"/>
      <c r="DXF601" s="50"/>
      <c r="DXG601" s="46"/>
      <c r="DXH601" s="47"/>
      <c r="DXI601" s="46"/>
      <c r="DXJ601" s="48"/>
      <c r="DXK601" s="53"/>
      <c r="DXR601" s="15"/>
      <c r="DXS601" s="50"/>
      <c r="DXT601" s="50"/>
      <c r="DXU601" s="46"/>
      <c r="DXV601" s="47"/>
      <c r="DXW601" s="46"/>
      <c r="DXX601" s="48"/>
      <c r="DXY601" s="53"/>
      <c r="DYF601" s="15"/>
      <c r="DYG601" s="50"/>
      <c r="DYH601" s="50"/>
      <c r="DYI601" s="46"/>
      <c r="DYJ601" s="47"/>
      <c r="DYK601" s="46"/>
      <c r="DYL601" s="48"/>
      <c r="DYM601" s="53"/>
      <c r="DYT601" s="15"/>
      <c r="DYU601" s="50"/>
      <c r="DYV601" s="50"/>
      <c r="DYW601" s="46"/>
      <c r="DYX601" s="47"/>
      <c r="DYY601" s="46"/>
      <c r="DYZ601" s="48"/>
      <c r="DZA601" s="53"/>
      <c r="DZH601" s="15"/>
      <c r="DZI601" s="50"/>
      <c r="DZJ601" s="50"/>
      <c r="DZK601" s="46"/>
      <c r="DZL601" s="47"/>
      <c r="DZM601" s="46"/>
      <c r="DZN601" s="48"/>
      <c r="DZO601" s="53"/>
      <c r="DZV601" s="15"/>
      <c r="DZW601" s="50"/>
      <c r="DZX601" s="50"/>
      <c r="DZY601" s="46"/>
      <c r="DZZ601" s="47"/>
      <c r="EAA601" s="46"/>
      <c r="EAB601" s="48"/>
      <c r="EAC601" s="53"/>
      <c r="EAJ601" s="15"/>
      <c r="EAK601" s="50"/>
      <c r="EAL601" s="50"/>
      <c r="EAM601" s="46"/>
      <c r="EAN601" s="47"/>
      <c r="EAO601" s="46"/>
      <c r="EAP601" s="48"/>
      <c r="EAQ601" s="53"/>
      <c r="EAX601" s="15"/>
      <c r="EAY601" s="50"/>
      <c r="EAZ601" s="50"/>
      <c r="EBA601" s="46"/>
      <c r="EBB601" s="47"/>
      <c r="EBC601" s="46"/>
      <c r="EBD601" s="48"/>
      <c r="EBE601" s="53"/>
      <c r="EBL601" s="15"/>
      <c r="EBM601" s="50"/>
      <c r="EBN601" s="50"/>
      <c r="EBO601" s="46"/>
      <c r="EBP601" s="47"/>
      <c r="EBQ601" s="46"/>
      <c r="EBR601" s="48"/>
      <c r="EBS601" s="53"/>
      <c r="EBZ601" s="15"/>
      <c r="ECA601" s="50"/>
      <c r="ECB601" s="50"/>
      <c r="ECC601" s="46"/>
      <c r="ECD601" s="47"/>
      <c r="ECE601" s="46"/>
      <c r="ECF601" s="48"/>
      <c r="ECG601" s="53"/>
      <c r="ECN601" s="15"/>
      <c r="ECO601" s="50"/>
      <c r="ECP601" s="50"/>
      <c r="ECQ601" s="46"/>
      <c r="ECR601" s="47"/>
      <c r="ECS601" s="46"/>
      <c r="ECT601" s="48"/>
      <c r="ECU601" s="53"/>
      <c r="EDB601" s="15"/>
      <c r="EDC601" s="50"/>
      <c r="EDD601" s="50"/>
      <c r="EDE601" s="46"/>
      <c r="EDF601" s="47"/>
      <c r="EDG601" s="46"/>
      <c r="EDH601" s="48"/>
      <c r="EDI601" s="53"/>
      <c r="EDP601" s="15"/>
      <c r="EDQ601" s="50"/>
      <c r="EDR601" s="50"/>
      <c r="EDS601" s="46"/>
      <c r="EDT601" s="47"/>
      <c r="EDU601" s="46"/>
      <c r="EDV601" s="48"/>
      <c r="EDW601" s="53"/>
      <c r="EED601" s="15"/>
      <c r="EEE601" s="50"/>
      <c r="EEF601" s="50"/>
      <c r="EEG601" s="46"/>
      <c r="EEH601" s="47"/>
      <c r="EEI601" s="46"/>
      <c r="EEJ601" s="48"/>
      <c r="EEK601" s="53"/>
      <c r="EER601" s="15"/>
      <c r="EES601" s="50"/>
      <c r="EET601" s="50"/>
      <c r="EEU601" s="46"/>
      <c r="EEV601" s="47"/>
      <c r="EEW601" s="46"/>
      <c r="EEX601" s="48"/>
      <c r="EEY601" s="53"/>
      <c r="EFF601" s="15"/>
      <c r="EFG601" s="50"/>
      <c r="EFH601" s="50"/>
      <c r="EFI601" s="46"/>
      <c r="EFJ601" s="47"/>
      <c r="EFK601" s="46"/>
      <c r="EFL601" s="48"/>
      <c r="EFM601" s="53"/>
      <c r="EFT601" s="15"/>
      <c r="EFU601" s="50"/>
      <c r="EFV601" s="50"/>
      <c r="EFW601" s="46"/>
      <c r="EFX601" s="47"/>
      <c r="EFY601" s="46"/>
      <c r="EFZ601" s="48"/>
      <c r="EGA601" s="53"/>
      <c r="EGH601" s="15"/>
      <c r="EGI601" s="50"/>
      <c r="EGJ601" s="50"/>
      <c r="EGK601" s="46"/>
      <c r="EGL601" s="47"/>
      <c r="EGM601" s="46"/>
      <c r="EGN601" s="48"/>
      <c r="EGO601" s="53"/>
      <c r="EGV601" s="15"/>
      <c r="EGW601" s="50"/>
      <c r="EGX601" s="50"/>
      <c r="EGY601" s="46"/>
      <c r="EGZ601" s="47"/>
      <c r="EHA601" s="46"/>
      <c r="EHB601" s="48"/>
      <c r="EHC601" s="53"/>
      <c r="EHJ601" s="15"/>
      <c r="EHK601" s="50"/>
      <c r="EHL601" s="50"/>
      <c r="EHM601" s="46"/>
      <c r="EHN601" s="47"/>
      <c r="EHO601" s="46"/>
      <c r="EHP601" s="48"/>
      <c r="EHQ601" s="53"/>
      <c r="EHX601" s="15"/>
      <c r="EHY601" s="50"/>
      <c r="EHZ601" s="50"/>
      <c r="EIA601" s="46"/>
      <c r="EIB601" s="47"/>
      <c r="EIC601" s="46"/>
      <c r="EID601" s="48"/>
      <c r="EIE601" s="53"/>
      <c r="EIL601" s="15"/>
      <c r="EIM601" s="50"/>
      <c r="EIN601" s="50"/>
      <c r="EIO601" s="46"/>
      <c r="EIP601" s="47"/>
      <c r="EIQ601" s="46"/>
      <c r="EIR601" s="48"/>
      <c r="EIS601" s="53"/>
      <c r="EIZ601" s="15"/>
      <c r="EJA601" s="50"/>
      <c r="EJB601" s="50"/>
      <c r="EJC601" s="46"/>
      <c r="EJD601" s="47"/>
      <c r="EJE601" s="46"/>
      <c r="EJF601" s="48"/>
      <c r="EJG601" s="53"/>
      <c r="EJN601" s="15"/>
      <c r="EJO601" s="50"/>
      <c r="EJP601" s="50"/>
      <c r="EJQ601" s="46"/>
      <c r="EJR601" s="47"/>
      <c r="EJS601" s="46"/>
      <c r="EJT601" s="48"/>
      <c r="EJU601" s="53"/>
      <c r="EKB601" s="15"/>
      <c r="EKC601" s="50"/>
      <c r="EKD601" s="50"/>
      <c r="EKE601" s="46"/>
      <c r="EKF601" s="47"/>
      <c r="EKG601" s="46"/>
      <c r="EKH601" s="48"/>
      <c r="EKI601" s="53"/>
      <c r="EKP601" s="15"/>
      <c r="EKQ601" s="50"/>
      <c r="EKR601" s="50"/>
      <c r="EKS601" s="46"/>
      <c r="EKT601" s="47"/>
      <c r="EKU601" s="46"/>
      <c r="EKV601" s="48"/>
      <c r="EKW601" s="53"/>
      <c r="ELD601" s="15"/>
      <c r="ELE601" s="50"/>
      <c r="ELF601" s="50"/>
      <c r="ELG601" s="46"/>
      <c r="ELH601" s="47"/>
      <c r="ELI601" s="46"/>
      <c r="ELJ601" s="48"/>
      <c r="ELK601" s="53"/>
      <c r="ELR601" s="15"/>
      <c r="ELS601" s="50"/>
      <c r="ELT601" s="50"/>
      <c r="ELU601" s="46"/>
      <c r="ELV601" s="47"/>
      <c r="ELW601" s="46"/>
      <c r="ELX601" s="48"/>
      <c r="ELY601" s="53"/>
      <c r="EMF601" s="15"/>
      <c r="EMG601" s="50"/>
      <c r="EMH601" s="50"/>
      <c r="EMI601" s="46"/>
      <c r="EMJ601" s="47"/>
      <c r="EMK601" s="46"/>
      <c r="EML601" s="48"/>
      <c r="EMM601" s="53"/>
      <c r="EMT601" s="15"/>
      <c r="EMU601" s="50"/>
      <c r="EMV601" s="50"/>
      <c r="EMW601" s="46"/>
      <c r="EMX601" s="47"/>
      <c r="EMY601" s="46"/>
      <c r="EMZ601" s="48"/>
      <c r="ENA601" s="53"/>
      <c r="ENH601" s="15"/>
      <c r="ENI601" s="50"/>
      <c r="ENJ601" s="50"/>
      <c r="ENK601" s="46"/>
      <c r="ENL601" s="47"/>
      <c r="ENM601" s="46"/>
      <c r="ENN601" s="48"/>
      <c r="ENO601" s="53"/>
      <c r="ENV601" s="15"/>
      <c r="ENW601" s="50"/>
      <c r="ENX601" s="50"/>
      <c r="ENY601" s="46"/>
      <c r="ENZ601" s="47"/>
      <c r="EOA601" s="46"/>
      <c r="EOB601" s="48"/>
      <c r="EOC601" s="53"/>
      <c r="EOJ601" s="15"/>
      <c r="EOK601" s="50"/>
      <c r="EOL601" s="50"/>
      <c r="EOM601" s="46"/>
      <c r="EON601" s="47"/>
      <c r="EOO601" s="46"/>
      <c r="EOP601" s="48"/>
      <c r="EOQ601" s="53"/>
      <c r="EOX601" s="15"/>
      <c r="EOY601" s="50"/>
      <c r="EOZ601" s="50"/>
      <c r="EPA601" s="46"/>
      <c r="EPB601" s="47"/>
      <c r="EPC601" s="46"/>
      <c r="EPD601" s="48"/>
      <c r="EPE601" s="53"/>
      <c r="EPL601" s="15"/>
      <c r="EPM601" s="50"/>
      <c r="EPN601" s="50"/>
      <c r="EPO601" s="46"/>
      <c r="EPP601" s="47"/>
      <c r="EPQ601" s="46"/>
      <c r="EPR601" s="48"/>
      <c r="EPS601" s="53"/>
      <c r="EPZ601" s="15"/>
      <c r="EQA601" s="50"/>
      <c r="EQB601" s="50"/>
      <c r="EQC601" s="46"/>
      <c r="EQD601" s="47"/>
      <c r="EQE601" s="46"/>
      <c r="EQF601" s="48"/>
      <c r="EQG601" s="53"/>
      <c r="EQN601" s="15"/>
      <c r="EQO601" s="50"/>
      <c r="EQP601" s="50"/>
      <c r="EQQ601" s="46"/>
      <c r="EQR601" s="47"/>
      <c r="EQS601" s="46"/>
      <c r="EQT601" s="48"/>
      <c r="EQU601" s="53"/>
      <c r="ERB601" s="15"/>
      <c r="ERC601" s="50"/>
      <c r="ERD601" s="50"/>
      <c r="ERE601" s="46"/>
      <c r="ERF601" s="47"/>
      <c r="ERG601" s="46"/>
      <c r="ERH601" s="48"/>
      <c r="ERI601" s="53"/>
      <c r="ERP601" s="15"/>
      <c r="ERQ601" s="50"/>
      <c r="ERR601" s="50"/>
      <c r="ERS601" s="46"/>
      <c r="ERT601" s="47"/>
      <c r="ERU601" s="46"/>
      <c r="ERV601" s="48"/>
      <c r="ERW601" s="53"/>
      <c r="ESD601" s="15"/>
      <c r="ESE601" s="50"/>
      <c r="ESF601" s="50"/>
      <c r="ESG601" s="46"/>
      <c r="ESH601" s="47"/>
      <c r="ESI601" s="46"/>
      <c r="ESJ601" s="48"/>
      <c r="ESK601" s="53"/>
      <c r="ESR601" s="15"/>
      <c r="ESS601" s="50"/>
      <c r="EST601" s="50"/>
      <c r="ESU601" s="46"/>
      <c r="ESV601" s="47"/>
      <c r="ESW601" s="46"/>
      <c r="ESX601" s="48"/>
      <c r="ESY601" s="53"/>
      <c r="ETF601" s="15"/>
      <c r="ETG601" s="50"/>
      <c r="ETH601" s="50"/>
      <c r="ETI601" s="46"/>
      <c r="ETJ601" s="47"/>
      <c r="ETK601" s="46"/>
      <c r="ETL601" s="48"/>
      <c r="ETM601" s="53"/>
      <c r="ETT601" s="15"/>
      <c r="ETU601" s="50"/>
      <c r="ETV601" s="50"/>
      <c r="ETW601" s="46"/>
      <c r="ETX601" s="47"/>
      <c r="ETY601" s="46"/>
      <c r="ETZ601" s="48"/>
      <c r="EUA601" s="53"/>
      <c r="EUH601" s="15"/>
      <c r="EUI601" s="50"/>
      <c r="EUJ601" s="50"/>
      <c r="EUK601" s="46"/>
      <c r="EUL601" s="47"/>
      <c r="EUM601" s="46"/>
      <c r="EUN601" s="48"/>
      <c r="EUO601" s="53"/>
      <c r="EUV601" s="15"/>
      <c r="EUW601" s="50"/>
      <c r="EUX601" s="50"/>
      <c r="EUY601" s="46"/>
      <c r="EUZ601" s="47"/>
      <c r="EVA601" s="46"/>
      <c r="EVB601" s="48"/>
      <c r="EVC601" s="53"/>
      <c r="EVJ601" s="15"/>
      <c r="EVK601" s="50"/>
      <c r="EVL601" s="50"/>
      <c r="EVM601" s="46"/>
      <c r="EVN601" s="47"/>
      <c r="EVO601" s="46"/>
      <c r="EVP601" s="48"/>
      <c r="EVQ601" s="53"/>
      <c r="EVX601" s="15"/>
      <c r="EVY601" s="50"/>
      <c r="EVZ601" s="50"/>
      <c r="EWA601" s="46"/>
      <c r="EWB601" s="47"/>
      <c r="EWC601" s="46"/>
      <c r="EWD601" s="48"/>
      <c r="EWE601" s="53"/>
      <c r="EWL601" s="15"/>
      <c r="EWM601" s="50"/>
      <c r="EWN601" s="50"/>
      <c r="EWO601" s="46"/>
      <c r="EWP601" s="47"/>
      <c r="EWQ601" s="46"/>
      <c r="EWR601" s="48"/>
      <c r="EWS601" s="53"/>
      <c r="EWZ601" s="15"/>
      <c r="EXA601" s="50"/>
      <c r="EXB601" s="50"/>
      <c r="EXC601" s="46"/>
      <c r="EXD601" s="47"/>
      <c r="EXE601" s="46"/>
      <c r="EXF601" s="48"/>
      <c r="EXG601" s="53"/>
      <c r="EXN601" s="15"/>
      <c r="EXO601" s="50"/>
      <c r="EXP601" s="50"/>
      <c r="EXQ601" s="46"/>
      <c r="EXR601" s="47"/>
      <c r="EXS601" s="46"/>
      <c r="EXT601" s="48"/>
      <c r="EXU601" s="53"/>
      <c r="EYB601" s="15"/>
      <c r="EYC601" s="50"/>
      <c r="EYD601" s="50"/>
      <c r="EYE601" s="46"/>
      <c r="EYF601" s="47"/>
      <c r="EYG601" s="46"/>
      <c r="EYH601" s="48"/>
      <c r="EYI601" s="53"/>
      <c r="EYP601" s="15"/>
      <c r="EYQ601" s="50"/>
      <c r="EYR601" s="50"/>
      <c r="EYS601" s="46"/>
      <c r="EYT601" s="47"/>
      <c r="EYU601" s="46"/>
      <c r="EYV601" s="48"/>
      <c r="EYW601" s="53"/>
      <c r="EZD601" s="15"/>
      <c r="EZE601" s="50"/>
      <c r="EZF601" s="50"/>
      <c r="EZG601" s="46"/>
      <c r="EZH601" s="47"/>
      <c r="EZI601" s="46"/>
      <c r="EZJ601" s="48"/>
      <c r="EZK601" s="53"/>
      <c r="EZR601" s="15"/>
      <c r="EZS601" s="50"/>
      <c r="EZT601" s="50"/>
      <c r="EZU601" s="46"/>
      <c r="EZV601" s="47"/>
      <c r="EZW601" s="46"/>
      <c r="EZX601" s="48"/>
      <c r="EZY601" s="53"/>
      <c r="FAF601" s="15"/>
      <c r="FAG601" s="50"/>
      <c r="FAH601" s="50"/>
      <c r="FAI601" s="46"/>
      <c r="FAJ601" s="47"/>
      <c r="FAK601" s="46"/>
      <c r="FAL601" s="48"/>
      <c r="FAM601" s="53"/>
      <c r="FAT601" s="15"/>
      <c r="FAU601" s="50"/>
      <c r="FAV601" s="50"/>
      <c r="FAW601" s="46"/>
      <c r="FAX601" s="47"/>
      <c r="FAY601" s="46"/>
      <c r="FAZ601" s="48"/>
      <c r="FBA601" s="53"/>
      <c r="FBH601" s="15"/>
      <c r="FBI601" s="50"/>
      <c r="FBJ601" s="50"/>
      <c r="FBK601" s="46"/>
      <c r="FBL601" s="47"/>
      <c r="FBM601" s="46"/>
      <c r="FBN601" s="48"/>
      <c r="FBO601" s="53"/>
      <c r="FBV601" s="15"/>
      <c r="FBW601" s="50"/>
      <c r="FBX601" s="50"/>
      <c r="FBY601" s="46"/>
      <c r="FBZ601" s="47"/>
      <c r="FCA601" s="46"/>
      <c r="FCB601" s="48"/>
      <c r="FCC601" s="53"/>
      <c r="FCJ601" s="15"/>
      <c r="FCK601" s="50"/>
      <c r="FCL601" s="50"/>
      <c r="FCM601" s="46"/>
      <c r="FCN601" s="47"/>
      <c r="FCO601" s="46"/>
      <c r="FCP601" s="48"/>
      <c r="FCQ601" s="53"/>
      <c r="FCX601" s="15"/>
      <c r="FCY601" s="50"/>
      <c r="FCZ601" s="50"/>
      <c r="FDA601" s="46"/>
      <c r="FDB601" s="47"/>
      <c r="FDC601" s="46"/>
      <c r="FDD601" s="48"/>
      <c r="FDE601" s="53"/>
      <c r="FDL601" s="15"/>
      <c r="FDM601" s="50"/>
      <c r="FDN601" s="50"/>
      <c r="FDO601" s="46"/>
      <c r="FDP601" s="47"/>
      <c r="FDQ601" s="46"/>
      <c r="FDR601" s="48"/>
      <c r="FDS601" s="53"/>
      <c r="FDZ601" s="15"/>
      <c r="FEA601" s="50"/>
      <c r="FEB601" s="50"/>
      <c r="FEC601" s="46"/>
      <c r="FED601" s="47"/>
      <c r="FEE601" s="46"/>
      <c r="FEF601" s="48"/>
      <c r="FEG601" s="53"/>
      <c r="FEN601" s="15"/>
      <c r="FEO601" s="50"/>
      <c r="FEP601" s="50"/>
      <c r="FEQ601" s="46"/>
      <c r="FER601" s="47"/>
      <c r="FES601" s="46"/>
      <c r="FET601" s="48"/>
      <c r="FEU601" s="53"/>
      <c r="FFB601" s="15"/>
      <c r="FFC601" s="50"/>
      <c r="FFD601" s="50"/>
      <c r="FFE601" s="46"/>
      <c r="FFF601" s="47"/>
      <c r="FFG601" s="46"/>
      <c r="FFH601" s="48"/>
      <c r="FFI601" s="53"/>
      <c r="FFP601" s="15"/>
      <c r="FFQ601" s="50"/>
      <c r="FFR601" s="50"/>
      <c r="FFS601" s="46"/>
      <c r="FFT601" s="47"/>
      <c r="FFU601" s="46"/>
      <c r="FFV601" s="48"/>
      <c r="FFW601" s="53"/>
      <c r="FGD601" s="15"/>
      <c r="FGE601" s="50"/>
      <c r="FGF601" s="50"/>
      <c r="FGG601" s="46"/>
      <c r="FGH601" s="47"/>
      <c r="FGI601" s="46"/>
      <c r="FGJ601" s="48"/>
      <c r="FGK601" s="53"/>
      <c r="FGR601" s="15"/>
      <c r="FGS601" s="50"/>
      <c r="FGT601" s="50"/>
      <c r="FGU601" s="46"/>
      <c r="FGV601" s="47"/>
      <c r="FGW601" s="46"/>
      <c r="FGX601" s="48"/>
      <c r="FGY601" s="53"/>
      <c r="FHF601" s="15"/>
      <c r="FHG601" s="50"/>
      <c r="FHH601" s="50"/>
      <c r="FHI601" s="46"/>
      <c r="FHJ601" s="47"/>
      <c r="FHK601" s="46"/>
      <c r="FHL601" s="48"/>
      <c r="FHM601" s="53"/>
      <c r="FHT601" s="15"/>
      <c r="FHU601" s="50"/>
      <c r="FHV601" s="50"/>
      <c r="FHW601" s="46"/>
      <c r="FHX601" s="47"/>
      <c r="FHY601" s="46"/>
      <c r="FHZ601" s="48"/>
      <c r="FIA601" s="53"/>
      <c r="FIH601" s="15"/>
      <c r="FII601" s="50"/>
      <c r="FIJ601" s="50"/>
      <c r="FIK601" s="46"/>
      <c r="FIL601" s="47"/>
      <c r="FIM601" s="46"/>
      <c r="FIN601" s="48"/>
      <c r="FIO601" s="53"/>
      <c r="FIV601" s="15"/>
      <c r="FIW601" s="50"/>
      <c r="FIX601" s="50"/>
      <c r="FIY601" s="46"/>
      <c r="FIZ601" s="47"/>
      <c r="FJA601" s="46"/>
      <c r="FJB601" s="48"/>
      <c r="FJC601" s="53"/>
      <c r="FJJ601" s="15"/>
      <c r="FJK601" s="50"/>
      <c r="FJL601" s="50"/>
      <c r="FJM601" s="46"/>
      <c r="FJN601" s="47"/>
      <c r="FJO601" s="46"/>
      <c r="FJP601" s="48"/>
      <c r="FJQ601" s="53"/>
      <c r="FJX601" s="15"/>
      <c r="FJY601" s="50"/>
      <c r="FJZ601" s="50"/>
      <c r="FKA601" s="46"/>
      <c r="FKB601" s="47"/>
      <c r="FKC601" s="46"/>
      <c r="FKD601" s="48"/>
      <c r="FKE601" s="53"/>
      <c r="FKL601" s="15"/>
      <c r="FKM601" s="50"/>
      <c r="FKN601" s="50"/>
      <c r="FKO601" s="46"/>
      <c r="FKP601" s="47"/>
      <c r="FKQ601" s="46"/>
      <c r="FKR601" s="48"/>
      <c r="FKS601" s="53"/>
      <c r="FKZ601" s="15"/>
      <c r="FLA601" s="50"/>
      <c r="FLB601" s="50"/>
      <c r="FLC601" s="46"/>
      <c r="FLD601" s="47"/>
      <c r="FLE601" s="46"/>
      <c r="FLF601" s="48"/>
      <c r="FLG601" s="53"/>
      <c r="FLN601" s="15"/>
      <c r="FLO601" s="50"/>
      <c r="FLP601" s="50"/>
      <c r="FLQ601" s="46"/>
      <c r="FLR601" s="47"/>
      <c r="FLS601" s="46"/>
      <c r="FLT601" s="48"/>
      <c r="FLU601" s="53"/>
      <c r="FMB601" s="15"/>
      <c r="FMC601" s="50"/>
      <c r="FMD601" s="50"/>
      <c r="FME601" s="46"/>
      <c r="FMF601" s="47"/>
      <c r="FMG601" s="46"/>
      <c r="FMH601" s="48"/>
      <c r="FMI601" s="53"/>
      <c r="FMP601" s="15"/>
      <c r="FMQ601" s="50"/>
      <c r="FMR601" s="50"/>
      <c r="FMS601" s="46"/>
      <c r="FMT601" s="47"/>
      <c r="FMU601" s="46"/>
      <c r="FMV601" s="48"/>
      <c r="FMW601" s="53"/>
      <c r="FND601" s="15"/>
      <c r="FNE601" s="50"/>
      <c r="FNF601" s="50"/>
      <c r="FNG601" s="46"/>
      <c r="FNH601" s="47"/>
      <c r="FNI601" s="46"/>
      <c r="FNJ601" s="48"/>
      <c r="FNK601" s="53"/>
      <c r="FNR601" s="15"/>
      <c r="FNS601" s="50"/>
      <c r="FNT601" s="50"/>
      <c r="FNU601" s="46"/>
      <c r="FNV601" s="47"/>
      <c r="FNW601" s="46"/>
      <c r="FNX601" s="48"/>
      <c r="FNY601" s="53"/>
      <c r="FOF601" s="15"/>
      <c r="FOG601" s="50"/>
      <c r="FOH601" s="50"/>
      <c r="FOI601" s="46"/>
      <c r="FOJ601" s="47"/>
      <c r="FOK601" s="46"/>
      <c r="FOL601" s="48"/>
      <c r="FOM601" s="53"/>
      <c r="FOT601" s="15"/>
      <c r="FOU601" s="50"/>
      <c r="FOV601" s="50"/>
      <c r="FOW601" s="46"/>
      <c r="FOX601" s="47"/>
      <c r="FOY601" s="46"/>
      <c r="FOZ601" s="48"/>
      <c r="FPA601" s="53"/>
      <c r="FPH601" s="15"/>
      <c r="FPI601" s="50"/>
      <c r="FPJ601" s="50"/>
      <c r="FPK601" s="46"/>
      <c r="FPL601" s="47"/>
      <c r="FPM601" s="46"/>
      <c r="FPN601" s="48"/>
      <c r="FPO601" s="53"/>
      <c r="FPV601" s="15"/>
      <c r="FPW601" s="50"/>
      <c r="FPX601" s="50"/>
      <c r="FPY601" s="46"/>
      <c r="FPZ601" s="47"/>
      <c r="FQA601" s="46"/>
      <c r="FQB601" s="48"/>
      <c r="FQC601" s="53"/>
      <c r="FQJ601" s="15"/>
      <c r="FQK601" s="50"/>
      <c r="FQL601" s="50"/>
      <c r="FQM601" s="46"/>
      <c r="FQN601" s="47"/>
      <c r="FQO601" s="46"/>
      <c r="FQP601" s="48"/>
      <c r="FQQ601" s="53"/>
      <c r="FQX601" s="15"/>
      <c r="FQY601" s="50"/>
      <c r="FQZ601" s="50"/>
      <c r="FRA601" s="46"/>
      <c r="FRB601" s="47"/>
      <c r="FRC601" s="46"/>
      <c r="FRD601" s="48"/>
      <c r="FRE601" s="53"/>
      <c r="FRL601" s="15"/>
      <c r="FRM601" s="50"/>
      <c r="FRN601" s="50"/>
      <c r="FRO601" s="46"/>
      <c r="FRP601" s="47"/>
      <c r="FRQ601" s="46"/>
      <c r="FRR601" s="48"/>
      <c r="FRS601" s="53"/>
      <c r="FRZ601" s="15"/>
      <c r="FSA601" s="50"/>
      <c r="FSB601" s="50"/>
      <c r="FSC601" s="46"/>
      <c r="FSD601" s="47"/>
      <c r="FSE601" s="46"/>
      <c r="FSF601" s="48"/>
      <c r="FSG601" s="53"/>
      <c r="FSN601" s="15"/>
      <c r="FSO601" s="50"/>
      <c r="FSP601" s="50"/>
      <c r="FSQ601" s="46"/>
      <c r="FSR601" s="47"/>
      <c r="FSS601" s="46"/>
      <c r="FST601" s="48"/>
      <c r="FSU601" s="53"/>
      <c r="FTB601" s="15"/>
      <c r="FTC601" s="50"/>
      <c r="FTD601" s="50"/>
      <c r="FTE601" s="46"/>
      <c r="FTF601" s="47"/>
      <c r="FTG601" s="46"/>
      <c r="FTH601" s="48"/>
      <c r="FTI601" s="53"/>
      <c r="FTP601" s="15"/>
      <c r="FTQ601" s="50"/>
      <c r="FTR601" s="50"/>
      <c r="FTS601" s="46"/>
      <c r="FTT601" s="47"/>
      <c r="FTU601" s="46"/>
      <c r="FTV601" s="48"/>
      <c r="FTW601" s="53"/>
      <c r="FUD601" s="15"/>
      <c r="FUE601" s="50"/>
      <c r="FUF601" s="50"/>
      <c r="FUG601" s="46"/>
      <c r="FUH601" s="47"/>
      <c r="FUI601" s="46"/>
      <c r="FUJ601" s="48"/>
      <c r="FUK601" s="53"/>
      <c r="FUR601" s="15"/>
      <c r="FUS601" s="50"/>
      <c r="FUT601" s="50"/>
      <c r="FUU601" s="46"/>
      <c r="FUV601" s="47"/>
      <c r="FUW601" s="46"/>
      <c r="FUX601" s="48"/>
      <c r="FUY601" s="53"/>
      <c r="FVF601" s="15"/>
      <c r="FVG601" s="50"/>
      <c r="FVH601" s="50"/>
      <c r="FVI601" s="46"/>
      <c r="FVJ601" s="47"/>
      <c r="FVK601" s="46"/>
      <c r="FVL601" s="48"/>
      <c r="FVM601" s="53"/>
      <c r="FVT601" s="15"/>
      <c r="FVU601" s="50"/>
      <c r="FVV601" s="50"/>
      <c r="FVW601" s="46"/>
      <c r="FVX601" s="47"/>
      <c r="FVY601" s="46"/>
      <c r="FVZ601" s="48"/>
      <c r="FWA601" s="53"/>
      <c r="FWH601" s="15"/>
      <c r="FWI601" s="50"/>
      <c r="FWJ601" s="50"/>
      <c r="FWK601" s="46"/>
      <c r="FWL601" s="47"/>
      <c r="FWM601" s="46"/>
      <c r="FWN601" s="48"/>
      <c r="FWO601" s="53"/>
      <c r="FWV601" s="15"/>
      <c r="FWW601" s="50"/>
      <c r="FWX601" s="50"/>
      <c r="FWY601" s="46"/>
      <c r="FWZ601" s="47"/>
      <c r="FXA601" s="46"/>
      <c r="FXB601" s="48"/>
      <c r="FXC601" s="53"/>
      <c r="FXJ601" s="15"/>
      <c r="FXK601" s="50"/>
      <c r="FXL601" s="50"/>
      <c r="FXM601" s="46"/>
      <c r="FXN601" s="47"/>
      <c r="FXO601" s="46"/>
      <c r="FXP601" s="48"/>
      <c r="FXQ601" s="53"/>
      <c r="FXX601" s="15"/>
      <c r="FXY601" s="50"/>
      <c r="FXZ601" s="50"/>
      <c r="FYA601" s="46"/>
      <c r="FYB601" s="47"/>
      <c r="FYC601" s="46"/>
      <c r="FYD601" s="48"/>
      <c r="FYE601" s="53"/>
      <c r="FYL601" s="15"/>
      <c r="FYM601" s="50"/>
      <c r="FYN601" s="50"/>
      <c r="FYO601" s="46"/>
      <c r="FYP601" s="47"/>
      <c r="FYQ601" s="46"/>
      <c r="FYR601" s="48"/>
      <c r="FYS601" s="53"/>
      <c r="FYZ601" s="15"/>
      <c r="FZA601" s="50"/>
      <c r="FZB601" s="50"/>
      <c r="FZC601" s="46"/>
      <c r="FZD601" s="47"/>
      <c r="FZE601" s="46"/>
      <c r="FZF601" s="48"/>
      <c r="FZG601" s="53"/>
      <c r="FZN601" s="15"/>
      <c r="FZO601" s="50"/>
      <c r="FZP601" s="50"/>
      <c r="FZQ601" s="46"/>
      <c r="FZR601" s="47"/>
      <c r="FZS601" s="46"/>
      <c r="FZT601" s="48"/>
      <c r="FZU601" s="53"/>
      <c r="GAB601" s="15"/>
      <c r="GAC601" s="50"/>
      <c r="GAD601" s="50"/>
      <c r="GAE601" s="46"/>
      <c r="GAF601" s="47"/>
      <c r="GAG601" s="46"/>
      <c r="GAH601" s="48"/>
      <c r="GAI601" s="53"/>
      <c r="GAP601" s="15"/>
      <c r="GAQ601" s="50"/>
      <c r="GAR601" s="50"/>
      <c r="GAS601" s="46"/>
      <c r="GAT601" s="47"/>
      <c r="GAU601" s="46"/>
      <c r="GAV601" s="48"/>
      <c r="GAW601" s="53"/>
      <c r="GBD601" s="15"/>
      <c r="GBE601" s="50"/>
      <c r="GBF601" s="50"/>
      <c r="GBG601" s="46"/>
      <c r="GBH601" s="47"/>
      <c r="GBI601" s="46"/>
      <c r="GBJ601" s="48"/>
      <c r="GBK601" s="53"/>
      <c r="GBR601" s="15"/>
      <c r="GBS601" s="50"/>
      <c r="GBT601" s="50"/>
      <c r="GBU601" s="46"/>
      <c r="GBV601" s="47"/>
      <c r="GBW601" s="46"/>
      <c r="GBX601" s="48"/>
      <c r="GBY601" s="53"/>
      <c r="GCF601" s="15"/>
      <c r="GCG601" s="50"/>
      <c r="GCH601" s="50"/>
      <c r="GCI601" s="46"/>
      <c r="GCJ601" s="47"/>
      <c r="GCK601" s="46"/>
      <c r="GCL601" s="48"/>
      <c r="GCM601" s="53"/>
      <c r="GCT601" s="15"/>
      <c r="GCU601" s="50"/>
      <c r="GCV601" s="50"/>
      <c r="GCW601" s="46"/>
      <c r="GCX601" s="47"/>
      <c r="GCY601" s="46"/>
      <c r="GCZ601" s="48"/>
      <c r="GDA601" s="53"/>
      <c r="GDH601" s="15"/>
      <c r="GDI601" s="50"/>
      <c r="GDJ601" s="50"/>
      <c r="GDK601" s="46"/>
      <c r="GDL601" s="47"/>
      <c r="GDM601" s="46"/>
      <c r="GDN601" s="48"/>
      <c r="GDO601" s="53"/>
      <c r="GDV601" s="15"/>
      <c r="GDW601" s="50"/>
      <c r="GDX601" s="50"/>
      <c r="GDY601" s="46"/>
      <c r="GDZ601" s="47"/>
      <c r="GEA601" s="46"/>
      <c r="GEB601" s="48"/>
      <c r="GEC601" s="53"/>
      <c r="GEJ601" s="15"/>
      <c r="GEK601" s="50"/>
      <c r="GEL601" s="50"/>
      <c r="GEM601" s="46"/>
      <c r="GEN601" s="47"/>
      <c r="GEO601" s="46"/>
      <c r="GEP601" s="48"/>
      <c r="GEQ601" s="53"/>
      <c r="GEX601" s="15"/>
      <c r="GEY601" s="50"/>
      <c r="GEZ601" s="50"/>
      <c r="GFA601" s="46"/>
      <c r="GFB601" s="47"/>
      <c r="GFC601" s="46"/>
      <c r="GFD601" s="48"/>
      <c r="GFE601" s="53"/>
      <c r="GFL601" s="15"/>
      <c r="GFM601" s="50"/>
      <c r="GFN601" s="50"/>
      <c r="GFO601" s="46"/>
      <c r="GFP601" s="47"/>
      <c r="GFQ601" s="46"/>
      <c r="GFR601" s="48"/>
      <c r="GFS601" s="53"/>
      <c r="GFZ601" s="15"/>
      <c r="GGA601" s="50"/>
      <c r="GGB601" s="50"/>
      <c r="GGC601" s="46"/>
      <c r="GGD601" s="47"/>
      <c r="GGE601" s="46"/>
      <c r="GGF601" s="48"/>
      <c r="GGG601" s="53"/>
      <c r="GGN601" s="15"/>
      <c r="GGO601" s="50"/>
      <c r="GGP601" s="50"/>
      <c r="GGQ601" s="46"/>
      <c r="GGR601" s="47"/>
      <c r="GGS601" s="46"/>
      <c r="GGT601" s="48"/>
      <c r="GGU601" s="53"/>
      <c r="GHB601" s="15"/>
      <c r="GHC601" s="50"/>
      <c r="GHD601" s="50"/>
      <c r="GHE601" s="46"/>
      <c r="GHF601" s="47"/>
      <c r="GHG601" s="46"/>
      <c r="GHH601" s="48"/>
      <c r="GHI601" s="53"/>
      <c r="GHP601" s="15"/>
      <c r="GHQ601" s="50"/>
      <c r="GHR601" s="50"/>
      <c r="GHS601" s="46"/>
      <c r="GHT601" s="47"/>
      <c r="GHU601" s="46"/>
      <c r="GHV601" s="48"/>
      <c r="GHW601" s="53"/>
      <c r="GID601" s="15"/>
      <c r="GIE601" s="50"/>
      <c r="GIF601" s="50"/>
      <c r="GIG601" s="46"/>
      <c r="GIH601" s="47"/>
      <c r="GII601" s="46"/>
      <c r="GIJ601" s="48"/>
      <c r="GIK601" s="53"/>
      <c r="GIR601" s="15"/>
      <c r="GIS601" s="50"/>
      <c r="GIT601" s="50"/>
      <c r="GIU601" s="46"/>
      <c r="GIV601" s="47"/>
      <c r="GIW601" s="46"/>
      <c r="GIX601" s="48"/>
      <c r="GIY601" s="53"/>
      <c r="GJF601" s="15"/>
      <c r="GJG601" s="50"/>
      <c r="GJH601" s="50"/>
      <c r="GJI601" s="46"/>
      <c r="GJJ601" s="47"/>
      <c r="GJK601" s="46"/>
      <c r="GJL601" s="48"/>
      <c r="GJM601" s="53"/>
      <c r="GJT601" s="15"/>
      <c r="GJU601" s="50"/>
      <c r="GJV601" s="50"/>
      <c r="GJW601" s="46"/>
      <c r="GJX601" s="47"/>
      <c r="GJY601" s="46"/>
      <c r="GJZ601" s="48"/>
      <c r="GKA601" s="53"/>
      <c r="GKH601" s="15"/>
      <c r="GKI601" s="50"/>
      <c r="GKJ601" s="50"/>
      <c r="GKK601" s="46"/>
      <c r="GKL601" s="47"/>
      <c r="GKM601" s="46"/>
      <c r="GKN601" s="48"/>
      <c r="GKO601" s="53"/>
      <c r="GKV601" s="15"/>
      <c r="GKW601" s="50"/>
      <c r="GKX601" s="50"/>
      <c r="GKY601" s="46"/>
      <c r="GKZ601" s="47"/>
      <c r="GLA601" s="46"/>
      <c r="GLB601" s="48"/>
      <c r="GLC601" s="53"/>
      <c r="GLJ601" s="15"/>
      <c r="GLK601" s="50"/>
      <c r="GLL601" s="50"/>
      <c r="GLM601" s="46"/>
      <c r="GLN601" s="47"/>
      <c r="GLO601" s="46"/>
      <c r="GLP601" s="48"/>
      <c r="GLQ601" s="53"/>
      <c r="GLX601" s="15"/>
      <c r="GLY601" s="50"/>
      <c r="GLZ601" s="50"/>
      <c r="GMA601" s="46"/>
      <c r="GMB601" s="47"/>
      <c r="GMC601" s="46"/>
      <c r="GMD601" s="48"/>
      <c r="GME601" s="53"/>
      <c r="GML601" s="15"/>
      <c r="GMM601" s="50"/>
      <c r="GMN601" s="50"/>
      <c r="GMO601" s="46"/>
      <c r="GMP601" s="47"/>
      <c r="GMQ601" s="46"/>
      <c r="GMR601" s="48"/>
      <c r="GMS601" s="53"/>
      <c r="GMZ601" s="15"/>
      <c r="GNA601" s="50"/>
      <c r="GNB601" s="50"/>
      <c r="GNC601" s="46"/>
      <c r="GND601" s="47"/>
      <c r="GNE601" s="46"/>
      <c r="GNF601" s="48"/>
      <c r="GNG601" s="53"/>
      <c r="GNN601" s="15"/>
      <c r="GNO601" s="50"/>
      <c r="GNP601" s="50"/>
      <c r="GNQ601" s="46"/>
      <c r="GNR601" s="47"/>
      <c r="GNS601" s="46"/>
      <c r="GNT601" s="48"/>
      <c r="GNU601" s="53"/>
      <c r="GOB601" s="15"/>
      <c r="GOC601" s="50"/>
      <c r="GOD601" s="50"/>
      <c r="GOE601" s="46"/>
      <c r="GOF601" s="47"/>
      <c r="GOG601" s="46"/>
      <c r="GOH601" s="48"/>
      <c r="GOI601" s="53"/>
      <c r="GOP601" s="15"/>
      <c r="GOQ601" s="50"/>
      <c r="GOR601" s="50"/>
      <c r="GOS601" s="46"/>
      <c r="GOT601" s="47"/>
      <c r="GOU601" s="46"/>
      <c r="GOV601" s="48"/>
      <c r="GOW601" s="53"/>
      <c r="GPD601" s="15"/>
      <c r="GPE601" s="50"/>
      <c r="GPF601" s="50"/>
      <c r="GPG601" s="46"/>
      <c r="GPH601" s="47"/>
      <c r="GPI601" s="46"/>
      <c r="GPJ601" s="48"/>
      <c r="GPK601" s="53"/>
      <c r="GPR601" s="15"/>
      <c r="GPS601" s="50"/>
      <c r="GPT601" s="50"/>
      <c r="GPU601" s="46"/>
      <c r="GPV601" s="47"/>
      <c r="GPW601" s="46"/>
      <c r="GPX601" s="48"/>
      <c r="GPY601" s="53"/>
      <c r="GQF601" s="15"/>
      <c r="GQG601" s="50"/>
      <c r="GQH601" s="50"/>
      <c r="GQI601" s="46"/>
      <c r="GQJ601" s="47"/>
      <c r="GQK601" s="46"/>
      <c r="GQL601" s="48"/>
      <c r="GQM601" s="53"/>
      <c r="GQT601" s="15"/>
      <c r="GQU601" s="50"/>
      <c r="GQV601" s="50"/>
      <c r="GQW601" s="46"/>
      <c r="GQX601" s="47"/>
      <c r="GQY601" s="46"/>
      <c r="GQZ601" s="48"/>
      <c r="GRA601" s="53"/>
      <c r="GRH601" s="15"/>
      <c r="GRI601" s="50"/>
      <c r="GRJ601" s="50"/>
      <c r="GRK601" s="46"/>
      <c r="GRL601" s="47"/>
      <c r="GRM601" s="46"/>
      <c r="GRN601" s="48"/>
      <c r="GRO601" s="53"/>
      <c r="GRV601" s="15"/>
      <c r="GRW601" s="50"/>
      <c r="GRX601" s="50"/>
      <c r="GRY601" s="46"/>
      <c r="GRZ601" s="47"/>
      <c r="GSA601" s="46"/>
      <c r="GSB601" s="48"/>
      <c r="GSC601" s="53"/>
      <c r="GSJ601" s="15"/>
      <c r="GSK601" s="50"/>
      <c r="GSL601" s="50"/>
      <c r="GSM601" s="46"/>
      <c r="GSN601" s="47"/>
      <c r="GSO601" s="46"/>
      <c r="GSP601" s="48"/>
      <c r="GSQ601" s="53"/>
      <c r="GSX601" s="15"/>
      <c r="GSY601" s="50"/>
      <c r="GSZ601" s="50"/>
      <c r="GTA601" s="46"/>
      <c r="GTB601" s="47"/>
      <c r="GTC601" s="46"/>
      <c r="GTD601" s="48"/>
      <c r="GTE601" s="53"/>
      <c r="GTL601" s="15"/>
      <c r="GTM601" s="50"/>
      <c r="GTN601" s="50"/>
      <c r="GTO601" s="46"/>
      <c r="GTP601" s="47"/>
      <c r="GTQ601" s="46"/>
      <c r="GTR601" s="48"/>
      <c r="GTS601" s="53"/>
      <c r="GTZ601" s="15"/>
      <c r="GUA601" s="50"/>
      <c r="GUB601" s="50"/>
      <c r="GUC601" s="46"/>
      <c r="GUD601" s="47"/>
      <c r="GUE601" s="46"/>
      <c r="GUF601" s="48"/>
      <c r="GUG601" s="53"/>
      <c r="GUN601" s="15"/>
      <c r="GUO601" s="50"/>
      <c r="GUP601" s="50"/>
      <c r="GUQ601" s="46"/>
      <c r="GUR601" s="47"/>
      <c r="GUS601" s="46"/>
      <c r="GUT601" s="48"/>
      <c r="GUU601" s="53"/>
      <c r="GVB601" s="15"/>
      <c r="GVC601" s="50"/>
      <c r="GVD601" s="50"/>
      <c r="GVE601" s="46"/>
      <c r="GVF601" s="47"/>
      <c r="GVG601" s="46"/>
      <c r="GVH601" s="48"/>
      <c r="GVI601" s="53"/>
      <c r="GVP601" s="15"/>
      <c r="GVQ601" s="50"/>
      <c r="GVR601" s="50"/>
      <c r="GVS601" s="46"/>
      <c r="GVT601" s="47"/>
      <c r="GVU601" s="46"/>
      <c r="GVV601" s="48"/>
      <c r="GVW601" s="53"/>
      <c r="GWD601" s="15"/>
      <c r="GWE601" s="50"/>
      <c r="GWF601" s="50"/>
      <c r="GWG601" s="46"/>
      <c r="GWH601" s="47"/>
      <c r="GWI601" s="46"/>
      <c r="GWJ601" s="48"/>
      <c r="GWK601" s="53"/>
      <c r="GWR601" s="15"/>
      <c r="GWS601" s="50"/>
      <c r="GWT601" s="50"/>
      <c r="GWU601" s="46"/>
      <c r="GWV601" s="47"/>
      <c r="GWW601" s="46"/>
      <c r="GWX601" s="48"/>
      <c r="GWY601" s="53"/>
      <c r="GXF601" s="15"/>
      <c r="GXG601" s="50"/>
      <c r="GXH601" s="50"/>
      <c r="GXI601" s="46"/>
      <c r="GXJ601" s="47"/>
      <c r="GXK601" s="46"/>
      <c r="GXL601" s="48"/>
      <c r="GXM601" s="53"/>
      <c r="GXT601" s="15"/>
      <c r="GXU601" s="50"/>
      <c r="GXV601" s="50"/>
      <c r="GXW601" s="46"/>
      <c r="GXX601" s="47"/>
      <c r="GXY601" s="46"/>
      <c r="GXZ601" s="48"/>
      <c r="GYA601" s="53"/>
      <c r="GYH601" s="15"/>
      <c r="GYI601" s="50"/>
      <c r="GYJ601" s="50"/>
      <c r="GYK601" s="46"/>
      <c r="GYL601" s="47"/>
      <c r="GYM601" s="46"/>
      <c r="GYN601" s="48"/>
      <c r="GYO601" s="53"/>
      <c r="GYV601" s="15"/>
      <c r="GYW601" s="50"/>
      <c r="GYX601" s="50"/>
      <c r="GYY601" s="46"/>
      <c r="GYZ601" s="47"/>
      <c r="GZA601" s="46"/>
      <c r="GZB601" s="48"/>
      <c r="GZC601" s="53"/>
      <c r="GZJ601" s="15"/>
      <c r="GZK601" s="50"/>
      <c r="GZL601" s="50"/>
      <c r="GZM601" s="46"/>
      <c r="GZN601" s="47"/>
      <c r="GZO601" s="46"/>
      <c r="GZP601" s="48"/>
      <c r="GZQ601" s="53"/>
      <c r="GZX601" s="15"/>
      <c r="GZY601" s="50"/>
      <c r="GZZ601" s="50"/>
      <c r="HAA601" s="46"/>
      <c r="HAB601" s="47"/>
      <c r="HAC601" s="46"/>
      <c r="HAD601" s="48"/>
      <c r="HAE601" s="53"/>
      <c r="HAL601" s="15"/>
      <c r="HAM601" s="50"/>
      <c r="HAN601" s="50"/>
      <c r="HAO601" s="46"/>
      <c r="HAP601" s="47"/>
      <c r="HAQ601" s="46"/>
      <c r="HAR601" s="48"/>
      <c r="HAS601" s="53"/>
      <c r="HAZ601" s="15"/>
      <c r="HBA601" s="50"/>
      <c r="HBB601" s="50"/>
      <c r="HBC601" s="46"/>
      <c r="HBD601" s="47"/>
      <c r="HBE601" s="46"/>
      <c r="HBF601" s="48"/>
      <c r="HBG601" s="53"/>
      <c r="HBN601" s="15"/>
      <c r="HBO601" s="50"/>
      <c r="HBP601" s="50"/>
      <c r="HBQ601" s="46"/>
      <c r="HBR601" s="47"/>
      <c r="HBS601" s="46"/>
      <c r="HBT601" s="48"/>
      <c r="HBU601" s="53"/>
      <c r="HCB601" s="15"/>
      <c r="HCC601" s="50"/>
      <c r="HCD601" s="50"/>
      <c r="HCE601" s="46"/>
      <c r="HCF601" s="47"/>
      <c r="HCG601" s="46"/>
      <c r="HCH601" s="48"/>
      <c r="HCI601" s="53"/>
      <c r="HCP601" s="15"/>
      <c r="HCQ601" s="50"/>
      <c r="HCR601" s="50"/>
      <c r="HCS601" s="46"/>
      <c r="HCT601" s="47"/>
      <c r="HCU601" s="46"/>
      <c r="HCV601" s="48"/>
      <c r="HCW601" s="53"/>
      <c r="HDD601" s="15"/>
      <c r="HDE601" s="50"/>
      <c r="HDF601" s="50"/>
      <c r="HDG601" s="46"/>
      <c r="HDH601" s="47"/>
      <c r="HDI601" s="46"/>
      <c r="HDJ601" s="48"/>
      <c r="HDK601" s="53"/>
      <c r="HDR601" s="15"/>
      <c r="HDS601" s="50"/>
      <c r="HDT601" s="50"/>
      <c r="HDU601" s="46"/>
      <c r="HDV601" s="47"/>
      <c r="HDW601" s="46"/>
      <c r="HDX601" s="48"/>
      <c r="HDY601" s="53"/>
      <c r="HEF601" s="15"/>
      <c r="HEG601" s="50"/>
      <c r="HEH601" s="50"/>
      <c r="HEI601" s="46"/>
      <c r="HEJ601" s="47"/>
      <c r="HEK601" s="46"/>
      <c r="HEL601" s="48"/>
      <c r="HEM601" s="53"/>
      <c r="HET601" s="15"/>
      <c r="HEU601" s="50"/>
      <c r="HEV601" s="50"/>
      <c r="HEW601" s="46"/>
      <c r="HEX601" s="47"/>
      <c r="HEY601" s="46"/>
      <c r="HEZ601" s="48"/>
      <c r="HFA601" s="53"/>
      <c r="HFH601" s="15"/>
      <c r="HFI601" s="50"/>
      <c r="HFJ601" s="50"/>
      <c r="HFK601" s="46"/>
      <c r="HFL601" s="47"/>
      <c r="HFM601" s="46"/>
      <c r="HFN601" s="48"/>
      <c r="HFO601" s="53"/>
      <c r="HFV601" s="15"/>
      <c r="HFW601" s="50"/>
      <c r="HFX601" s="50"/>
      <c r="HFY601" s="46"/>
      <c r="HFZ601" s="47"/>
      <c r="HGA601" s="46"/>
      <c r="HGB601" s="48"/>
      <c r="HGC601" s="53"/>
      <c r="HGJ601" s="15"/>
      <c r="HGK601" s="50"/>
      <c r="HGL601" s="50"/>
      <c r="HGM601" s="46"/>
      <c r="HGN601" s="47"/>
      <c r="HGO601" s="46"/>
      <c r="HGP601" s="48"/>
      <c r="HGQ601" s="53"/>
      <c r="HGX601" s="15"/>
      <c r="HGY601" s="50"/>
      <c r="HGZ601" s="50"/>
      <c r="HHA601" s="46"/>
      <c r="HHB601" s="47"/>
      <c r="HHC601" s="46"/>
      <c r="HHD601" s="48"/>
      <c r="HHE601" s="53"/>
      <c r="HHL601" s="15"/>
      <c r="HHM601" s="50"/>
      <c r="HHN601" s="50"/>
      <c r="HHO601" s="46"/>
      <c r="HHP601" s="47"/>
      <c r="HHQ601" s="46"/>
      <c r="HHR601" s="48"/>
      <c r="HHS601" s="53"/>
      <c r="HHZ601" s="15"/>
      <c r="HIA601" s="50"/>
      <c r="HIB601" s="50"/>
      <c r="HIC601" s="46"/>
      <c r="HID601" s="47"/>
      <c r="HIE601" s="46"/>
      <c r="HIF601" s="48"/>
      <c r="HIG601" s="53"/>
      <c r="HIN601" s="15"/>
      <c r="HIO601" s="50"/>
      <c r="HIP601" s="50"/>
      <c r="HIQ601" s="46"/>
      <c r="HIR601" s="47"/>
      <c r="HIS601" s="46"/>
      <c r="HIT601" s="48"/>
      <c r="HIU601" s="53"/>
      <c r="HJB601" s="15"/>
      <c r="HJC601" s="50"/>
      <c r="HJD601" s="50"/>
      <c r="HJE601" s="46"/>
      <c r="HJF601" s="47"/>
      <c r="HJG601" s="46"/>
      <c r="HJH601" s="48"/>
      <c r="HJI601" s="53"/>
      <c r="HJP601" s="15"/>
      <c r="HJQ601" s="50"/>
      <c r="HJR601" s="50"/>
      <c r="HJS601" s="46"/>
      <c r="HJT601" s="47"/>
      <c r="HJU601" s="46"/>
      <c r="HJV601" s="48"/>
      <c r="HJW601" s="53"/>
      <c r="HKD601" s="15"/>
      <c r="HKE601" s="50"/>
      <c r="HKF601" s="50"/>
      <c r="HKG601" s="46"/>
      <c r="HKH601" s="47"/>
      <c r="HKI601" s="46"/>
      <c r="HKJ601" s="48"/>
      <c r="HKK601" s="53"/>
      <c r="HKR601" s="15"/>
      <c r="HKS601" s="50"/>
      <c r="HKT601" s="50"/>
      <c r="HKU601" s="46"/>
      <c r="HKV601" s="47"/>
      <c r="HKW601" s="46"/>
      <c r="HKX601" s="48"/>
      <c r="HKY601" s="53"/>
      <c r="HLF601" s="15"/>
      <c r="HLG601" s="50"/>
      <c r="HLH601" s="50"/>
      <c r="HLI601" s="46"/>
      <c r="HLJ601" s="47"/>
      <c r="HLK601" s="46"/>
      <c r="HLL601" s="48"/>
      <c r="HLM601" s="53"/>
      <c r="HLT601" s="15"/>
      <c r="HLU601" s="50"/>
      <c r="HLV601" s="50"/>
      <c r="HLW601" s="46"/>
      <c r="HLX601" s="47"/>
      <c r="HLY601" s="46"/>
      <c r="HLZ601" s="48"/>
      <c r="HMA601" s="53"/>
      <c r="HMH601" s="15"/>
      <c r="HMI601" s="50"/>
      <c r="HMJ601" s="50"/>
      <c r="HMK601" s="46"/>
      <c r="HML601" s="47"/>
      <c r="HMM601" s="46"/>
      <c r="HMN601" s="48"/>
      <c r="HMO601" s="53"/>
      <c r="HMV601" s="15"/>
      <c r="HMW601" s="50"/>
      <c r="HMX601" s="50"/>
      <c r="HMY601" s="46"/>
      <c r="HMZ601" s="47"/>
      <c r="HNA601" s="46"/>
      <c r="HNB601" s="48"/>
      <c r="HNC601" s="53"/>
      <c r="HNJ601" s="15"/>
      <c r="HNK601" s="50"/>
      <c r="HNL601" s="50"/>
      <c r="HNM601" s="46"/>
      <c r="HNN601" s="47"/>
      <c r="HNO601" s="46"/>
      <c r="HNP601" s="48"/>
      <c r="HNQ601" s="53"/>
      <c r="HNX601" s="15"/>
      <c r="HNY601" s="50"/>
      <c r="HNZ601" s="50"/>
      <c r="HOA601" s="46"/>
      <c r="HOB601" s="47"/>
      <c r="HOC601" s="46"/>
      <c r="HOD601" s="48"/>
      <c r="HOE601" s="53"/>
      <c r="HOL601" s="15"/>
      <c r="HOM601" s="50"/>
      <c r="HON601" s="50"/>
      <c r="HOO601" s="46"/>
      <c r="HOP601" s="47"/>
      <c r="HOQ601" s="46"/>
      <c r="HOR601" s="48"/>
      <c r="HOS601" s="53"/>
      <c r="HOZ601" s="15"/>
      <c r="HPA601" s="50"/>
      <c r="HPB601" s="50"/>
      <c r="HPC601" s="46"/>
      <c r="HPD601" s="47"/>
      <c r="HPE601" s="46"/>
      <c r="HPF601" s="48"/>
      <c r="HPG601" s="53"/>
      <c r="HPN601" s="15"/>
      <c r="HPO601" s="50"/>
      <c r="HPP601" s="50"/>
      <c r="HPQ601" s="46"/>
      <c r="HPR601" s="47"/>
      <c r="HPS601" s="46"/>
      <c r="HPT601" s="48"/>
      <c r="HPU601" s="53"/>
      <c r="HQB601" s="15"/>
      <c r="HQC601" s="50"/>
      <c r="HQD601" s="50"/>
      <c r="HQE601" s="46"/>
      <c r="HQF601" s="47"/>
      <c r="HQG601" s="46"/>
      <c r="HQH601" s="48"/>
      <c r="HQI601" s="53"/>
      <c r="HQP601" s="15"/>
      <c r="HQQ601" s="50"/>
      <c r="HQR601" s="50"/>
      <c r="HQS601" s="46"/>
      <c r="HQT601" s="47"/>
      <c r="HQU601" s="46"/>
      <c r="HQV601" s="48"/>
      <c r="HQW601" s="53"/>
      <c r="HRD601" s="15"/>
      <c r="HRE601" s="50"/>
      <c r="HRF601" s="50"/>
      <c r="HRG601" s="46"/>
      <c r="HRH601" s="47"/>
      <c r="HRI601" s="46"/>
      <c r="HRJ601" s="48"/>
      <c r="HRK601" s="53"/>
      <c r="HRR601" s="15"/>
      <c r="HRS601" s="50"/>
      <c r="HRT601" s="50"/>
      <c r="HRU601" s="46"/>
      <c r="HRV601" s="47"/>
      <c r="HRW601" s="46"/>
      <c r="HRX601" s="48"/>
      <c r="HRY601" s="53"/>
      <c r="HSF601" s="15"/>
      <c r="HSG601" s="50"/>
      <c r="HSH601" s="50"/>
      <c r="HSI601" s="46"/>
      <c r="HSJ601" s="47"/>
      <c r="HSK601" s="46"/>
      <c r="HSL601" s="48"/>
      <c r="HSM601" s="53"/>
      <c r="HST601" s="15"/>
      <c r="HSU601" s="50"/>
      <c r="HSV601" s="50"/>
      <c r="HSW601" s="46"/>
      <c r="HSX601" s="47"/>
      <c r="HSY601" s="46"/>
      <c r="HSZ601" s="48"/>
      <c r="HTA601" s="53"/>
      <c r="HTH601" s="15"/>
      <c r="HTI601" s="50"/>
      <c r="HTJ601" s="50"/>
      <c r="HTK601" s="46"/>
      <c r="HTL601" s="47"/>
      <c r="HTM601" s="46"/>
      <c r="HTN601" s="48"/>
      <c r="HTO601" s="53"/>
      <c r="HTV601" s="15"/>
      <c r="HTW601" s="50"/>
      <c r="HTX601" s="50"/>
      <c r="HTY601" s="46"/>
      <c r="HTZ601" s="47"/>
      <c r="HUA601" s="46"/>
      <c r="HUB601" s="48"/>
      <c r="HUC601" s="53"/>
      <c r="HUJ601" s="15"/>
      <c r="HUK601" s="50"/>
      <c r="HUL601" s="50"/>
      <c r="HUM601" s="46"/>
      <c r="HUN601" s="47"/>
      <c r="HUO601" s="46"/>
      <c r="HUP601" s="48"/>
      <c r="HUQ601" s="53"/>
      <c r="HUX601" s="15"/>
      <c r="HUY601" s="50"/>
      <c r="HUZ601" s="50"/>
      <c r="HVA601" s="46"/>
      <c r="HVB601" s="47"/>
      <c r="HVC601" s="46"/>
      <c r="HVD601" s="48"/>
      <c r="HVE601" s="53"/>
      <c r="HVL601" s="15"/>
      <c r="HVM601" s="50"/>
      <c r="HVN601" s="50"/>
      <c r="HVO601" s="46"/>
      <c r="HVP601" s="47"/>
      <c r="HVQ601" s="46"/>
      <c r="HVR601" s="48"/>
      <c r="HVS601" s="53"/>
      <c r="HVZ601" s="15"/>
      <c r="HWA601" s="50"/>
      <c r="HWB601" s="50"/>
      <c r="HWC601" s="46"/>
      <c r="HWD601" s="47"/>
      <c r="HWE601" s="46"/>
      <c r="HWF601" s="48"/>
      <c r="HWG601" s="53"/>
      <c r="HWN601" s="15"/>
      <c r="HWO601" s="50"/>
      <c r="HWP601" s="50"/>
      <c r="HWQ601" s="46"/>
      <c r="HWR601" s="47"/>
      <c r="HWS601" s="46"/>
      <c r="HWT601" s="48"/>
      <c r="HWU601" s="53"/>
      <c r="HXB601" s="15"/>
      <c r="HXC601" s="50"/>
      <c r="HXD601" s="50"/>
      <c r="HXE601" s="46"/>
      <c r="HXF601" s="47"/>
      <c r="HXG601" s="46"/>
      <c r="HXH601" s="48"/>
      <c r="HXI601" s="53"/>
      <c r="HXP601" s="15"/>
      <c r="HXQ601" s="50"/>
      <c r="HXR601" s="50"/>
      <c r="HXS601" s="46"/>
      <c r="HXT601" s="47"/>
      <c r="HXU601" s="46"/>
      <c r="HXV601" s="48"/>
      <c r="HXW601" s="53"/>
      <c r="HYD601" s="15"/>
      <c r="HYE601" s="50"/>
      <c r="HYF601" s="50"/>
      <c r="HYG601" s="46"/>
      <c r="HYH601" s="47"/>
      <c r="HYI601" s="46"/>
      <c r="HYJ601" s="48"/>
      <c r="HYK601" s="53"/>
      <c r="HYR601" s="15"/>
      <c r="HYS601" s="50"/>
      <c r="HYT601" s="50"/>
      <c r="HYU601" s="46"/>
      <c r="HYV601" s="47"/>
      <c r="HYW601" s="46"/>
      <c r="HYX601" s="48"/>
      <c r="HYY601" s="53"/>
      <c r="HZF601" s="15"/>
      <c r="HZG601" s="50"/>
      <c r="HZH601" s="50"/>
      <c r="HZI601" s="46"/>
      <c r="HZJ601" s="47"/>
      <c r="HZK601" s="46"/>
      <c r="HZL601" s="48"/>
      <c r="HZM601" s="53"/>
      <c r="HZT601" s="15"/>
      <c r="HZU601" s="50"/>
      <c r="HZV601" s="50"/>
      <c r="HZW601" s="46"/>
      <c r="HZX601" s="47"/>
      <c r="HZY601" s="46"/>
      <c r="HZZ601" s="48"/>
      <c r="IAA601" s="53"/>
      <c r="IAH601" s="15"/>
      <c r="IAI601" s="50"/>
      <c r="IAJ601" s="50"/>
      <c r="IAK601" s="46"/>
      <c r="IAL601" s="47"/>
      <c r="IAM601" s="46"/>
      <c r="IAN601" s="48"/>
      <c r="IAO601" s="53"/>
      <c r="IAV601" s="15"/>
      <c r="IAW601" s="50"/>
      <c r="IAX601" s="50"/>
      <c r="IAY601" s="46"/>
      <c r="IAZ601" s="47"/>
      <c r="IBA601" s="46"/>
      <c r="IBB601" s="48"/>
      <c r="IBC601" s="53"/>
      <c r="IBJ601" s="15"/>
      <c r="IBK601" s="50"/>
      <c r="IBL601" s="50"/>
      <c r="IBM601" s="46"/>
      <c r="IBN601" s="47"/>
      <c r="IBO601" s="46"/>
      <c r="IBP601" s="48"/>
      <c r="IBQ601" s="53"/>
      <c r="IBX601" s="15"/>
      <c r="IBY601" s="50"/>
      <c r="IBZ601" s="50"/>
      <c r="ICA601" s="46"/>
      <c r="ICB601" s="47"/>
      <c r="ICC601" s="46"/>
      <c r="ICD601" s="48"/>
      <c r="ICE601" s="53"/>
      <c r="ICL601" s="15"/>
      <c r="ICM601" s="50"/>
      <c r="ICN601" s="50"/>
      <c r="ICO601" s="46"/>
      <c r="ICP601" s="47"/>
      <c r="ICQ601" s="46"/>
      <c r="ICR601" s="48"/>
      <c r="ICS601" s="53"/>
      <c r="ICZ601" s="15"/>
      <c r="IDA601" s="50"/>
      <c r="IDB601" s="50"/>
      <c r="IDC601" s="46"/>
      <c r="IDD601" s="47"/>
      <c r="IDE601" s="46"/>
      <c r="IDF601" s="48"/>
      <c r="IDG601" s="53"/>
      <c r="IDN601" s="15"/>
      <c r="IDO601" s="50"/>
      <c r="IDP601" s="50"/>
      <c r="IDQ601" s="46"/>
      <c r="IDR601" s="47"/>
      <c r="IDS601" s="46"/>
      <c r="IDT601" s="48"/>
      <c r="IDU601" s="53"/>
      <c r="IEB601" s="15"/>
      <c r="IEC601" s="50"/>
      <c r="IED601" s="50"/>
      <c r="IEE601" s="46"/>
      <c r="IEF601" s="47"/>
      <c r="IEG601" s="46"/>
      <c r="IEH601" s="48"/>
      <c r="IEI601" s="53"/>
      <c r="IEP601" s="15"/>
      <c r="IEQ601" s="50"/>
      <c r="IER601" s="50"/>
      <c r="IES601" s="46"/>
      <c r="IET601" s="47"/>
      <c r="IEU601" s="46"/>
      <c r="IEV601" s="48"/>
      <c r="IEW601" s="53"/>
      <c r="IFD601" s="15"/>
      <c r="IFE601" s="50"/>
      <c r="IFF601" s="50"/>
      <c r="IFG601" s="46"/>
      <c r="IFH601" s="47"/>
      <c r="IFI601" s="46"/>
      <c r="IFJ601" s="48"/>
      <c r="IFK601" s="53"/>
      <c r="IFR601" s="15"/>
      <c r="IFS601" s="50"/>
      <c r="IFT601" s="50"/>
      <c r="IFU601" s="46"/>
      <c r="IFV601" s="47"/>
      <c r="IFW601" s="46"/>
      <c r="IFX601" s="48"/>
      <c r="IFY601" s="53"/>
      <c r="IGF601" s="15"/>
      <c r="IGG601" s="50"/>
      <c r="IGH601" s="50"/>
      <c r="IGI601" s="46"/>
      <c r="IGJ601" s="47"/>
      <c r="IGK601" s="46"/>
      <c r="IGL601" s="48"/>
      <c r="IGM601" s="53"/>
      <c r="IGT601" s="15"/>
      <c r="IGU601" s="50"/>
      <c r="IGV601" s="50"/>
      <c r="IGW601" s="46"/>
      <c r="IGX601" s="47"/>
      <c r="IGY601" s="46"/>
      <c r="IGZ601" s="48"/>
      <c r="IHA601" s="53"/>
      <c r="IHH601" s="15"/>
      <c r="IHI601" s="50"/>
      <c r="IHJ601" s="50"/>
      <c r="IHK601" s="46"/>
      <c r="IHL601" s="47"/>
      <c r="IHM601" s="46"/>
      <c r="IHN601" s="48"/>
      <c r="IHO601" s="53"/>
      <c r="IHV601" s="15"/>
      <c r="IHW601" s="50"/>
      <c r="IHX601" s="50"/>
      <c r="IHY601" s="46"/>
      <c r="IHZ601" s="47"/>
      <c r="IIA601" s="46"/>
      <c r="IIB601" s="48"/>
      <c r="IIC601" s="53"/>
      <c r="IIJ601" s="15"/>
      <c r="IIK601" s="50"/>
      <c r="IIL601" s="50"/>
      <c r="IIM601" s="46"/>
      <c r="IIN601" s="47"/>
      <c r="IIO601" s="46"/>
      <c r="IIP601" s="48"/>
      <c r="IIQ601" s="53"/>
      <c r="IIX601" s="15"/>
      <c r="IIY601" s="50"/>
      <c r="IIZ601" s="50"/>
      <c r="IJA601" s="46"/>
      <c r="IJB601" s="47"/>
      <c r="IJC601" s="46"/>
      <c r="IJD601" s="48"/>
      <c r="IJE601" s="53"/>
      <c r="IJL601" s="15"/>
      <c r="IJM601" s="50"/>
      <c r="IJN601" s="50"/>
      <c r="IJO601" s="46"/>
      <c r="IJP601" s="47"/>
      <c r="IJQ601" s="46"/>
      <c r="IJR601" s="48"/>
      <c r="IJS601" s="53"/>
      <c r="IJZ601" s="15"/>
      <c r="IKA601" s="50"/>
      <c r="IKB601" s="50"/>
      <c r="IKC601" s="46"/>
      <c r="IKD601" s="47"/>
      <c r="IKE601" s="46"/>
      <c r="IKF601" s="48"/>
      <c r="IKG601" s="53"/>
      <c r="IKN601" s="15"/>
      <c r="IKO601" s="50"/>
      <c r="IKP601" s="50"/>
      <c r="IKQ601" s="46"/>
      <c r="IKR601" s="47"/>
      <c r="IKS601" s="46"/>
      <c r="IKT601" s="48"/>
      <c r="IKU601" s="53"/>
      <c r="ILB601" s="15"/>
      <c r="ILC601" s="50"/>
      <c r="ILD601" s="50"/>
      <c r="ILE601" s="46"/>
      <c r="ILF601" s="47"/>
      <c r="ILG601" s="46"/>
      <c r="ILH601" s="48"/>
      <c r="ILI601" s="53"/>
      <c r="ILP601" s="15"/>
      <c r="ILQ601" s="50"/>
      <c r="ILR601" s="50"/>
      <c r="ILS601" s="46"/>
      <c r="ILT601" s="47"/>
      <c r="ILU601" s="46"/>
      <c r="ILV601" s="48"/>
      <c r="ILW601" s="53"/>
      <c r="IMD601" s="15"/>
      <c r="IME601" s="50"/>
      <c r="IMF601" s="50"/>
      <c r="IMG601" s="46"/>
      <c r="IMH601" s="47"/>
      <c r="IMI601" s="46"/>
      <c r="IMJ601" s="48"/>
      <c r="IMK601" s="53"/>
      <c r="IMR601" s="15"/>
      <c r="IMS601" s="50"/>
      <c r="IMT601" s="50"/>
      <c r="IMU601" s="46"/>
      <c r="IMV601" s="47"/>
      <c r="IMW601" s="46"/>
      <c r="IMX601" s="48"/>
      <c r="IMY601" s="53"/>
      <c r="INF601" s="15"/>
      <c r="ING601" s="50"/>
      <c r="INH601" s="50"/>
      <c r="INI601" s="46"/>
      <c r="INJ601" s="47"/>
      <c r="INK601" s="46"/>
      <c r="INL601" s="48"/>
      <c r="INM601" s="53"/>
      <c r="INT601" s="15"/>
      <c r="INU601" s="50"/>
      <c r="INV601" s="50"/>
      <c r="INW601" s="46"/>
      <c r="INX601" s="47"/>
      <c r="INY601" s="46"/>
      <c r="INZ601" s="48"/>
      <c r="IOA601" s="53"/>
      <c r="IOH601" s="15"/>
      <c r="IOI601" s="50"/>
      <c r="IOJ601" s="50"/>
      <c r="IOK601" s="46"/>
      <c r="IOL601" s="47"/>
      <c r="IOM601" s="46"/>
      <c r="ION601" s="48"/>
      <c r="IOO601" s="53"/>
      <c r="IOV601" s="15"/>
      <c r="IOW601" s="50"/>
      <c r="IOX601" s="50"/>
      <c r="IOY601" s="46"/>
      <c r="IOZ601" s="47"/>
      <c r="IPA601" s="46"/>
      <c r="IPB601" s="48"/>
      <c r="IPC601" s="53"/>
      <c r="IPJ601" s="15"/>
      <c r="IPK601" s="50"/>
      <c r="IPL601" s="50"/>
      <c r="IPM601" s="46"/>
      <c r="IPN601" s="47"/>
      <c r="IPO601" s="46"/>
      <c r="IPP601" s="48"/>
      <c r="IPQ601" s="53"/>
      <c r="IPX601" s="15"/>
      <c r="IPY601" s="50"/>
      <c r="IPZ601" s="50"/>
      <c r="IQA601" s="46"/>
      <c r="IQB601" s="47"/>
      <c r="IQC601" s="46"/>
      <c r="IQD601" s="48"/>
      <c r="IQE601" s="53"/>
      <c r="IQL601" s="15"/>
      <c r="IQM601" s="50"/>
      <c r="IQN601" s="50"/>
      <c r="IQO601" s="46"/>
      <c r="IQP601" s="47"/>
      <c r="IQQ601" s="46"/>
      <c r="IQR601" s="48"/>
      <c r="IQS601" s="53"/>
      <c r="IQZ601" s="15"/>
      <c r="IRA601" s="50"/>
      <c r="IRB601" s="50"/>
      <c r="IRC601" s="46"/>
      <c r="IRD601" s="47"/>
      <c r="IRE601" s="46"/>
      <c r="IRF601" s="48"/>
      <c r="IRG601" s="53"/>
      <c r="IRN601" s="15"/>
      <c r="IRO601" s="50"/>
      <c r="IRP601" s="50"/>
      <c r="IRQ601" s="46"/>
      <c r="IRR601" s="47"/>
      <c r="IRS601" s="46"/>
      <c r="IRT601" s="48"/>
      <c r="IRU601" s="53"/>
      <c r="ISB601" s="15"/>
      <c r="ISC601" s="50"/>
      <c r="ISD601" s="50"/>
      <c r="ISE601" s="46"/>
      <c r="ISF601" s="47"/>
      <c r="ISG601" s="46"/>
      <c r="ISH601" s="48"/>
      <c r="ISI601" s="53"/>
      <c r="ISP601" s="15"/>
      <c r="ISQ601" s="50"/>
      <c r="ISR601" s="50"/>
      <c r="ISS601" s="46"/>
      <c r="IST601" s="47"/>
      <c r="ISU601" s="46"/>
      <c r="ISV601" s="48"/>
      <c r="ISW601" s="53"/>
      <c r="ITD601" s="15"/>
      <c r="ITE601" s="50"/>
      <c r="ITF601" s="50"/>
      <c r="ITG601" s="46"/>
      <c r="ITH601" s="47"/>
      <c r="ITI601" s="46"/>
      <c r="ITJ601" s="48"/>
      <c r="ITK601" s="53"/>
      <c r="ITR601" s="15"/>
      <c r="ITS601" s="50"/>
      <c r="ITT601" s="50"/>
      <c r="ITU601" s="46"/>
      <c r="ITV601" s="47"/>
      <c r="ITW601" s="46"/>
      <c r="ITX601" s="48"/>
      <c r="ITY601" s="53"/>
      <c r="IUF601" s="15"/>
      <c r="IUG601" s="50"/>
      <c r="IUH601" s="50"/>
      <c r="IUI601" s="46"/>
      <c r="IUJ601" s="47"/>
      <c r="IUK601" s="46"/>
      <c r="IUL601" s="48"/>
      <c r="IUM601" s="53"/>
      <c r="IUT601" s="15"/>
      <c r="IUU601" s="50"/>
      <c r="IUV601" s="50"/>
      <c r="IUW601" s="46"/>
      <c r="IUX601" s="47"/>
      <c r="IUY601" s="46"/>
      <c r="IUZ601" s="48"/>
      <c r="IVA601" s="53"/>
      <c r="IVH601" s="15"/>
      <c r="IVI601" s="50"/>
      <c r="IVJ601" s="50"/>
      <c r="IVK601" s="46"/>
      <c r="IVL601" s="47"/>
      <c r="IVM601" s="46"/>
      <c r="IVN601" s="48"/>
      <c r="IVO601" s="53"/>
      <c r="IVV601" s="15"/>
      <c r="IVW601" s="50"/>
      <c r="IVX601" s="50"/>
      <c r="IVY601" s="46"/>
      <c r="IVZ601" s="47"/>
      <c r="IWA601" s="46"/>
      <c r="IWB601" s="48"/>
      <c r="IWC601" s="53"/>
      <c r="IWJ601" s="15"/>
      <c r="IWK601" s="50"/>
      <c r="IWL601" s="50"/>
      <c r="IWM601" s="46"/>
      <c r="IWN601" s="47"/>
      <c r="IWO601" s="46"/>
      <c r="IWP601" s="48"/>
      <c r="IWQ601" s="53"/>
      <c r="IWX601" s="15"/>
      <c r="IWY601" s="50"/>
      <c r="IWZ601" s="50"/>
      <c r="IXA601" s="46"/>
      <c r="IXB601" s="47"/>
      <c r="IXC601" s="46"/>
      <c r="IXD601" s="48"/>
      <c r="IXE601" s="53"/>
      <c r="IXL601" s="15"/>
      <c r="IXM601" s="50"/>
      <c r="IXN601" s="50"/>
      <c r="IXO601" s="46"/>
      <c r="IXP601" s="47"/>
      <c r="IXQ601" s="46"/>
      <c r="IXR601" s="48"/>
      <c r="IXS601" s="53"/>
      <c r="IXZ601" s="15"/>
      <c r="IYA601" s="50"/>
      <c r="IYB601" s="50"/>
      <c r="IYC601" s="46"/>
      <c r="IYD601" s="47"/>
      <c r="IYE601" s="46"/>
      <c r="IYF601" s="48"/>
      <c r="IYG601" s="53"/>
      <c r="IYN601" s="15"/>
      <c r="IYO601" s="50"/>
      <c r="IYP601" s="50"/>
      <c r="IYQ601" s="46"/>
      <c r="IYR601" s="47"/>
      <c r="IYS601" s="46"/>
      <c r="IYT601" s="48"/>
      <c r="IYU601" s="53"/>
      <c r="IZB601" s="15"/>
      <c r="IZC601" s="50"/>
      <c r="IZD601" s="50"/>
      <c r="IZE601" s="46"/>
      <c r="IZF601" s="47"/>
      <c r="IZG601" s="46"/>
      <c r="IZH601" s="48"/>
      <c r="IZI601" s="53"/>
      <c r="IZP601" s="15"/>
      <c r="IZQ601" s="50"/>
      <c r="IZR601" s="50"/>
      <c r="IZS601" s="46"/>
      <c r="IZT601" s="47"/>
      <c r="IZU601" s="46"/>
      <c r="IZV601" s="48"/>
      <c r="IZW601" s="53"/>
      <c r="JAD601" s="15"/>
      <c r="JAE601" s="50"/>
      <c r="JAF601" s="50"/>
      <c r="JAG601" s="46"/>
      <c r="JAH601" s="47"/>
      <c r="JAI601" s="46"/>
      <c r="JAJ601" s="48"/>
      <c r="JAK601" s="53"/>
      <c r="JAR601" s="15"/>
      <c r="JAS601" s="50"/>
      <c r="JAT601" s="50"/>
      <c r="JAU601" s="46"/>
      <c r="JAV601" s="47"/>
      <c r="JAW601" s="46"/>
      <c r="JAX601" s="48"/>
      <c r="JAY601" s="53"/>
      <c r="JBF601" s="15"/>
      <c r="JBG601" s="50"/>
      <c r="JBH601" s="50"/>
      <c r="JBI601" s="46"/>
      <c r="JBJ601" s="47"/>
      <c r="JBK601" s="46"/>
      <c r="JBL601" s="48"/>
      <c r="JBM601" s="53"/>
      <c r="JBT601" s="15"/>
      <c r="JBU601" s="50"/>
      <c r="JBV601" s="50"/>
      <c r="JBW601" s="46"/>
      <c r="JBX601" s="47"/>
      <c r="JBY601" s="46"/>
      <c r="JBZ601" s="48"/>
      <c r="JCA601" s="53"/>
      <c r="JCH601" s="15"/>
      <c r="JCI601" s="50"/>
      <c r="JCJ601" s="50"/>
      <c r="JCK601" s="46"/>
      <c r="JCL601" s="47"/>
      <c r="JCM601" s="46"/>
      <c r="JCN601" s="48"/>
      <c r="JCO601" s="53"/>
      <c r="JCV601" s="15"/>
      <c r="JCW601" s="50"/>
      <c r="JCX601" s="50"/>
      <c r="JCY601" s="46"/>
      <c r="JCZ601" s="47"/>
      <c r="JDA601" s="46"/>
      <c r="JDB601" s="48"/>
      <c r="JDC601" s="53"/>
      <c r="JDJ601" s="15"/>
      <c r="JDK601" s="50"/>
      <c r="JDL601" s="50"/>
      <c r="JDM601" s="46"/>
      <c r="JDN601" s="47"/>
      <c r="JDO601" s="46"/>
      <c r="JDP601" s="48"/>
      <c r="JDQ601" s="53"/>
      <c r="JDX601" s="15"/>
      <c r="JDY601" s="50"/>
      <c r="JDZ601" s="50"/>
      <c r="JEA601" s="46"/>
      <c r="JEB601" s="47"/>
      <c r="JEC601" s="46"/>
      <c r="JED601" s="48"/>
      <c r="JEE601" s="53"/>
      <c r="JEL601" s="15"/>
      <c r="JEM601" s="50"/>
      <c r="JEN601" s="50"/>
      <c r="JEO601" s="46"/>
      <c r="JEP601" s="47"/>
      <c r="JEQ601" s="46"/>
      <c r="JER601" s="48"/>
      <c r="JES601" s="53"/>
      <c r="JEZ601" s="15"/>
      <c r="JFA601" s="50"/>
      <c r="JFB601" s="50"/>
      <c r="JFC601" s="46"/>
      <c r="JFD601" s="47"/>
      <c r="JFE601" s="46"/>
      <c r="JFF601" s="48"/>
      <c r="JFG601" s="53"/>
      <c r="JFN601" s="15"/>
      <c r="JFO601" s="50"/>
      <c r="JFP601" s="50"/>
      <c r="JFQ601" s="46"/>
      <c r="JFR601" s="47"/>
      <c r="JFS601" s="46"/>
      <c r="JFT601" s="48"/>
      <c r="JFU601" s="53"/>
      <c r="JGB601" s="15"/>
      <c r="JGC601" s="50"/>
      <c r="JGD601" s="50"/>
      <c r="JGE601" s="46"/>
      <c r="JGF601" s="47"/>
      <c r="JGG601" s="46"/>
      <c r="JGH601" s="48"/>
      <c r="JGI601" s="53"/>
      <c r="JGP601" s="15"/>
      <c r="JGQ601" s="50"/>
      <c r="JGR601" s="50"/>
      <c r="JGS601" s="46"/>
      <c r="JGT601" s="47"/>
      <c r="JGU601" s="46"/>
      <c r="JGV601" s="48"/>
      <c r="JGW601" s="53"/>
      <c r="JHD601" s="15"/>
      <c r="JHE601" s="50"/>
      <c r="JHF601" s="50"/>
      <c r="JHG601" s="46"/>
      <c r="JHH601" s="47"/>
      <c r="JHI601" s="46"/>
      <c r="JHJ601" s="48"/>
      <c r="JHK601" s="53"/>
      <c r="JHR601" s="15"/>
      <c r="JHS601" s="50"/>
      <c r="JHT601" s="50"/>
      <c r="JHU601" s="46"/>
      <c r="JHV601" s="47"/>
      <c r="JHW601" s="46"/>
      <c r="JHX601" s="48"/>
      <c r="JHY601" s="53"/>
      <c r="JIF601" s="15"/>
      <c r="JIG601" s="50"/>
      <c r="JIH601" s="50"/>
      <c r="JII601" s="46"/>
      <c r="JIJ601" s="47"/>
      <c r="JIK601" s="46"/>
      <c r="JIL601" s="48"/>
      <c r="JIM601" s="53"/>
      <c r="JIT601" s="15"/>
      <c r="JIU601" s="50"/>
      <c r="JIV601" s="50"/>
      <c r="JIW601" s="46"/>
      <c r="JIX601" s="47"/>
      <c r="JIY601" s="46"/>
      <c r="JIZ601" s="48"/>
      <c r="JJA601" s="53"/>
      <c r="JJH601" s="15"/>
      <c r="JJI601" s="50"/>
      <c r="JJJ601" s="50"/>
      <c r="JJK601" s="46"/>
      <c r="JJL601" s="47"/>
      <c r="JJM601" s="46"/>
      <c r="JJN601" s="48"/>
      <c r="JJO601" s="53"/>
      <c r="JJV601" s="15"/>
      <c r="JJW601" s="50"/>
      <c r="JJX601" s="50"/>
      <c r="JJY601" s="46"/>
      <c r="JJZ601" s="47"/>
      <c r="JKA601" s="46"/>
      <c r="JKB601" s="48"/>
      <c r="JKC601" s="53"/>
      <c r="JKJ601" s="15"/>
      <c r="JKK601" s="50"/>
      <c r="JKL601" s="50"/>
      <c r="JKM601" s="46"/>
      <c r="JKN601" s="47"/>
      <c r="JKO601" s="46"/>
      <c r="JKP601" s="48"/>
      <c r="JKQ601" s="53"/>
      <c r="JKX601" s="15"/>
      <c r="JKY601" s="50"/>
      <c r="JKZ601" s="50"/>
      <c r="JLA601" s="46"/>
      <c r="JLB601" s="47"/>
      <c r="JLC601" s="46"/>
      <c r="JLD601" s="48"/>
      <c r="JLE601" s="53"/>
      <c r="JLL601" s="15"/>
      <c r="JLM601" s="50"/>
      <c r="JLN601" s="50"/>
      <c r="JLO601" s="46"/>
      <c r="JLP601" s="47"/>
      <c r="JLQ601" s="46"/>
      <c r="JLR601" s="48"/>
      <c r="JLS601" s="53"/>
      <c r="JLZ601" s="15"/>
      <c r="JMA601" s="50"/>
      <c r="JMB601" s="50"/>
      <c r="JMC601" s="46"/>
      <c r="JMD601" s="47"/>
      <c r="JME601" s="46"/>
      <c r="JMF601" s="48"/>
      <c r="JMG601" s="53"/>
      <c r="JMN601" s="15"/>
      <c r="JMO601" s="50"/>
      <c r="JMP601" s="50"/>
      <c r="JMQ601" s="46"/>
      <c r="JMR601" s="47"/>
      <c r="JMS601" s="46"/>
      <c r="JMT601" s="48"/>
      <c r="JMU601" s="53"/>
      <c r="JNB601" s="15"/>
      <c r="JNC601" s="50"/>
      <c r="JND601" s="50"/>
      <c r="JNE601" s="46"/>
      <c r="JNF601" s="47"/>
      <c r="JNG601" s="46"/>
      <c r="JNH601" s="48"/>
      <c r="JNI601" s="53"/>
      <c r="JNP601" s="15"/>
      <c r="JNQ601" s="50"/>
      <c r="JNR601" s="50"/>
      <c r="JNS601" s="46"/>
      <c r="JNT601" s="47"/>
      <c r="JNU601" s="46"/>
      <c r="JNV601" s="48"/>
      <c r="JNW601" s="53"/>
      <c r="JOD601" s="15"/>
      <c r="JOE601" s="50"/>
      <c r="JOF601" s="50"/>
      <c r="JOG601" s="46"/>
      <c r="JOH601" s="47"/>
      <c r="JOI601" s="46"/>
      <c r="JOJ601" s="48"/>
      <c r="JOK601" s="53"/>
      <c r="JOR601" s="15"/>
      <c r="JOS601" s="50"/>
      <c r="JOT601" s="50"/>
      <c r="JOU601" s="46"/>
      <c r="JOV601" s="47"/>
      <c r="JOW601" s="46"/>
      <c r="JOX601" s="48"/>
      <c r="JOY601" s="53"/>
      <c r="JPF601" s="15"/>
      <c r="JPG601" s="50"/>
      <c r="JPH601" s="50"/>
      <c r="JPI601" s="46"/>
      <c r="JPJ601" s="47"/>
      <c r="JPK601" s="46"/>
      <c r="JPL601" s="48"/>
      <c r="JPM601" s="53"/>
      <c r="JPT601" s="15"/>
      <c r="JPU601" s="50"/>
      <c r="JPV601" s="50"/>
      <c r="JPW601" s="46"/>
      <c r="JPX601" s="47"/>
      <c r="JPY601" s="46"/>
      <c r="JPZ601" s="48"/>
      <c r="JQA601" s="53"/>
      <c r="JQH601" s="15"/>
      <c r="JQI601" s="50"/>
      <c r="JQJ601" s="50"/>
      <c r="JQK601" s="46"/>
      <c r="JQL601" s="47"/>
      <c r="JQM601" s="46"/>
      <c r="JQN601" s="48"/>
      <c r="JQO601" s="53"/>
      <c r="JQV601" s="15"/>
      <c r="JQW601" s="50"/>
      <c r="JQX601" s="50"/>
      <c r="JQY601" s="46"/>
      <c r="JQZ601" s="47"/>
      <c r="JRA601" s="46"/>
      <c r="JRB601" s="48"/>
      <c r="JRC601" s="53"/>
      <c r="JRJ601" s="15"/>
      <c r="JRK601" s="50"/>
      <c r="JRL601" s="50"/>
      <c r="JRM601" s="46"/>
      <c r="JRN601" s="47"/>
      <c r="JRO601" s="46"/>
      <c r="JRP601" s="48"/>
      <c r="JRQ601" s="53"/>
      <c r="JRX601" s="15"/>
      <c r="JRY601" s="50"/>
      <c r="JRZ601" s="50"/>
      <c r="JSA601" s="46"/>
      <c r="JSB601" s="47"/>
      <c r="JSC601" s="46"/>
      <c r="JSD601" s="48"/>
      <c r="JSE601" s="53"/>
      <c r="JSL601" s="15"/>
      <c r="JSM601" s="50"/>
      <c r="JSN601" s="50"/>
      <c r="JSO601" s="46"/>
      <c r="JSP601" s="47"/>
      <c r="JSQ601" s="46"/>
      <c r="JSR601" s="48"/>
      <c r="JSS601" s="53"/>
      <c r="JSZ601" s="15"/>
      <c r="JTA601" s="50"/>
      <c r="JTB601" s="50"/>
      <c r="JTC601" s="46"/>
      <c r="JTD601" s="47"/>
      <c r="JTE601" s="46"/>
      <c r="JTF601" s="48"/>
      <c r="JTG601" s="53"/>
      <c r="JTN601" s="15"/>
      <c r="JTO601" s="50"/>
      <c r="JTP601" s="50"/>
      <c r="JTQ601" s="46"/>
      <c r="JTR601" s="47"/>
      <c r="JTS601" s="46"/>
      <c r="JTT601" s="48"/>
      <c r="JTU601" s="53"/>
      <c r="JUB601" s="15"/>
      <c r="JUC601" s="50"/>
      <c r="JUD601" s="50"/>
      <c r="JUE601" s="46"/>
      <c r="JUF601" s="47"/>
      <c r="JUG601" s="46"/>
      <c r="JUH601" s="48"/>
      <c r="JUI601" s="53"/>
      <c r="JUP601" s="15"/>
      <c r="JUQ601" s="50"/>
      <c r="JUR601" s="50"/>
      <c r="JUS601" s="46"/>
      <c r="JUT601" s="47"/>
      <c r="JUU601" s="46"/>
      <c r="JUV601" s="48"/>
      <c r="JUW601" s="53"/>
      <c r="JVD601" s="15"/>
      <c r="JVE601" s="50"/>
      <c r="JVF601" s="50"/>
      <c r="JVG601" s="46"/>
      <c r="JVH601" s="47"/>
      <c r="JVI601" s="46"/>
      <c r="JVJ601" s="48"/>
      <c r="JVK601" s="53"/>
      <c r="JVR601" s="15"/>
      <c r="JVS601" s="50"/>
      <c r="JVT601" s="50"/>
      <c r="JVU601" s="46"/>
      <c r="JVV601" s="47"/>
      <c r="JVW601" s="46"/>
      <c r="JVX601" s="48"/>
      <c r="JVY601" s="53"/>
      <c r="JWF601" s="15"/>
      <c r="JWG601" s="50"/>
      <c r="JWH601" s="50"/>
      <c r="JWI601" s="46"/>
      <c r="JWJ601" s="47"/>
      <c r="JWK601" s="46"/>
      <c r="JWL601" s="48"/>
      <c r="JWM601" s="53"/>
      <c r="JWT601" s="15"/>
      <c r="JWU601" s="50"/>
      <c r="JWV601" s="50"/>
      <c r="JWW601" s="46"/>
      <c r="JWX601" s="47"/>
      <c r="JWY601" s="46"/>
      <c r="JWZ601" s="48"/>
      <c r="JXA601" s="53"/>
      <c r="JXH601" s="15"/>
      <c r="JXI601" s="50"/>
      <c r="JXJ601" s="50"/>
      <c r="JXK601" s="46"/>
      <c r="JXL601" s="47"/>
      <c r="JXM601" s="46"/>
      <c r="JXN601" s="48"/>
      <c r="JXO601" s="53"/>
      <c r="JXV601" s="15"/>
      <c r="JXW601" s="50"/>
      <c r="JXX601" s="50"/>
      <c r="JXY601" s="46"/>
      <c r="JXZ601" s="47"/>
      <c r="JYA601" s="46"/>
      <c r="JYB601" s="48"/>
      <c r="JYC601" s="53"/>
      <c r="JYJ601" s="15"/>
      <c r="JYK601" s="50"/>
      <c r="JYL601" s="50"/>
      <c r="JYM601" s="46"/>
      <c r="JYN601" s="47"/>
      <c r="JYO601" s="46"/>
      <c r="JYP601" s="48"/>
      <c r="JYQ601" s="53"/>
      <c r="JYX601" s="15"/>
      <c r="JYY601" s="50"/>
      <c r="JYZ601" s="50"/>
      <c r="JZA601" s="46"/>
      <c r="JZB601" s="47"/>
      <c r="JZC601" s="46"/>
      <c r="JZD601" s="48"/>
      <c r="JZE601" s="53"/>
      <c r="JZL601" s="15"/>
      <c r="JZM601" s="50"/>
      <c r="JZN601" s="50"/>
      <c r="JZO601" s="46"/>
      <c r="JZP601" s="47"/>
      <c r="JZQ601" s="46"/>
      <c r="JZR601" s="48"/>
      <c r="JZS601" s="53"/>
      <c r="JZZ601" s="15"/>
      <c r="KAA601" s="50"/>
      <c r="KAB601" s="50"/>
      <c r="KAC601" s="46"/>
      <c r="KAD601" s="47"/>
      <c r="KAE601" s="46"/>
      <c r="KAF601" s="48"/>
      <c r="KAG601" s="53"/>
      <c r="KAN601" s="15"/>
      <c r="KAO601" s="50"/>
      <c r="KAP601" s="50"/>
      <c r="KAQ601" s="46"/>
      <c r="KAR601" s="47"/>
      <c r="KAS601" s="46"/>
      <c r="KAT601" s="48"/>
      <c r="KAU601" s="53"/>
      <c r="KBB601" s="15"/>
      <c r="KBC601" s="50"/>
      <c r="KBD601" s="50"/>
      <c r="KBE601" s="46"/>
      <c r="KBF601" s="47"/>
      <c r="KBG601" s="46"/>
      <c r="KBH601" s="48"/>
      <c r="KBI601" s="53"/>
      <c r="KBP601" s="15"/>
      <c r="KBQ601" s="50"/>
      <c r="KBR601" s="50"/>
      <c r="KBS601" s="46"/>
      <c r="KBT601" s="47"/>
      <c r="KBU601" s="46"/>
      <c r="KBV601" s="48"/>
      <c r="KBW601" s="53"/>
      <c r="KCD601" s="15"/>
      <c r="KCE601" s="50"/>
      <c r="KCF601" s="50"/>
      <c r="KCG601" s="46"/>
      <c r="KCH601" s="47"/>
      <c r="KCI601" s="46"/>
      <c r="KCJ601" s="48"/>
      <c r="KCK601" s="53"/>
      <c r="KCR601" s="15"/>
      <c r="KCS601" s="50"/>
      <c r="KCT601" s="50"/>
      <c r="KCU601" s="46"/>
      <c r="KCV601" s="47"/>
      <c r="KCW601" s="46"/>
      <c r="KCX601" s="48"/>
      <c r="KCY601" s="53"/>
      <c r="KDF601" s="15"/>
      <c r="KDG601" s="50"/>
      <c r="KDH601" s="50"/>
      <c r="KDI601" s="46"/>
      <c r="KDJ601" s="47"/>
      <c r="KDK601" s="46"/>
      <c r="KDL601" s="48"/>
      <c r="KDM601" s="53"/>
      <c r="KDT601" s="15"/>
      <c r="KDU601" s="50"/>
      <c r="KDV601" s="50"/>
      <c r="KDW601" s="46"/>
      <c r="KDX601" s="47"/>
      <c r="KDY601" s="46"/>
      <c r="KDZ601" s="48"/>
      <c r="KEA601" s="53"/>
      <c r="KEH601" s="15"/>
      <c r="KEI601" s="50"/>
      <c r="KEJ601" s="50"/>
      <c r="KEK601" s="46"/>
      <c r="KEL601" s="47"/>
      <c r="KEM601" s="46"/>
      <c r="KEN601" s="48"/>
      <c r="KEO601" s="53"/>
      <c r="KEV601" s="15"/>
      <c r="KEW601" s="50"/>
      <c r="KEX601" s="50"/>
      <c r="KEY601" s="46"/>
      <c r="KEZ601" s="47"/>
      <c r="KFA601" s="46"/>
      <c r="KFB601" s="48"/>
      <c r="KFC601" s="53"/>
      <c r="KFJ601" s="15"/>
      <c r="KFK601" s="50"/>
      <c r="KFL601" s="50"/>
      <c r="KFM601" s="46"/>
      <c r="KFN601" s="47"/>
      <c r="KFO601" s="46"/>
      <c r="KFP601" s="48"/>
      <c r="KFQ601" s="53"/>
      <c r="KFX601" s="15"/>
      <c r="KFY601" s="50"/>
      <c r="KFZ601" s="50"/>
      <c r="KGA601" s="46"/>
      <c r="KGB601" s="47"/>
      <c r="KGC601" s="46"/>
      <c r="KGD601" s="48"/>
      <c r="KGE601" s="53"/>
      <c r="KGL601" s="15"/>
      <c r="KGM601" s="50"/>
      <c r="KGN601" s="50"/>
      <c r="KGO601" s="46"/>
      <c r="KGP601" s="47"/>
      <c r="KGQ601" s="46"/>
      <c r="KGR601" s="48"/>
      <c r="KGS601" s="53"/>
      <c r="KGZ601" s="15"/>
      <c r="KHA601" s="50"/>
      <c r="KHB601" s="50"/>
      <c r="KHC601" s="46"/>
      <c r="KHD601" s="47"/>
      <c r="KHE601" s="46"/>
      <c r="KHF601" s="48"/>
      <c r="KHG601" s="53"/>
      <c r="KHN601" s="15"/>
      <c r="KHO601" s="50"/>
      <c r="KHP601" s="50"/>
      <c r="KHQ601" s="46"/>
      <c r="KHR601" s="47"/>
      <c r="KHS601" s="46"/>
      <c r="KHT601" s="48"/>
      <c r="KHU601" s="53"/>
      <c r="KIB601" s="15"/>
      <c r="KIC601" s="50"/>
      <c r="KID601" s="50"/>
      <c r="KIE601" s="46"/>
      <c r="KIF601" s="47"/>
      <c r="KIG601" s="46"/>
      <c r="KIH601" s="48"/>
      <c r="KII601" s="53"/>
      <c r="KIP601" s="15"/>
      <c r="KIQ601" s="50"/>
      <c r="KIR601" s="50"/>
      <c r="KIS601" s="46"/>
      <c r="KIT601" s="47"/>
      <c r="KIU601" s="46"/>
      <c r="KIV601" s="48"/>
      <c r="KIW601" s="53"/>
      <c r="KJD601" s="15"/>
      <c r="KJE601" s="50"/>
      <c r="KJF601" s="50"/>
      <c r="KJG601" s="46"/>
      <c r="KJH601" s="47"/>
      <c r="KJI601" s="46"/>
      <c r="KJJ601" s="48"/>
      <c r="KJK601" s="53"/>
      <c r="KJR601" s="15"/>
      <c r="KJS601" s="50"/>
      <c r="KJT601" s="50"/>
      <c r="KJU601" s="46"/>
      <c r="KJV601" s="47"/>
      <c r="KJW601" s="46"/>
      <c r="KJX601" s="48"/>
      <c r="KJY601" s="53"/>
      <c r="KKF601" s="15"/>
      <c r="KKG601" s="50"/>
      <c r="KKH601" s="50"/>
      <c r="KKI601" s="46"/>
      <c r="KKJ601" s="47"/>
      <c r="KKK601" s="46"/>
      <c r="KKL601" s="48"/>
      <c r="KKM601" s="53"/>
      <c r="KKT601" s="15"/>
      <c r="KKU601" s="50"/>
      <c r="KKV601" s="50"/>
      <c r="KKW601" s="46"/>
      <c r="KKX601" s="47"/>
      <c r="KKY601" s="46"/>
      <c r="KKZ601" s="48"/>
      <c r="KLA601" s="53"/>
      <c r="KLH601" s="15"/>
      <c r="KLI601" s="50"/>
      <c r="KLJ601" s="50"/>
      <c r="KLK601" s="46"/>
      <c r="KLL601" s="47"/>
      <c r="KLM601" s="46"/>
      <c r="KLN601" s="48"/>
      <c r="KLO601" s="53"/>
      <c r="KLV601" s="15"/>
      <c r="KLW601" s="50"/>
      <c r="KLX601" s="50"/>
      <c r="KLY601" s="46"/>
      <c r="KLZ601" s="47"/>
      <c r="KMA601" s="46"/>
      <c r="KMB601" s="48"/>
      <c r="KMC601" s="53"/>
      <c r="KMJ601" s="15"/>
      <c r="KMK601" s="50"/>
      <c r="KML601" s="50"/>
      <c r="KMM601" s="46"/>
      <c r="KMN601" s="47"/>
      <c r="KMO601" s="46"/>
      <c r="KMP601" s="48"/>
      <c r="KMQ601" s="53"/>
      <c r="KMX601" s="15"/>
      <c r="KMY601" s="50"/>
      <c r="KMZ601" s="50"/>
      <c r="KNA601" s="46"/>
      <c r="KNB601" s="47"/>
      <c r="KNC601" s="46"/>
      <c r="KND601" s="48"/>
      <c r="KNE601" s="53"/>
      <c r="KNL601" s="15"/>
      <c r="KNM601" s="50"/>
      <c r="KNN601" s="50"/>
      <c r="KNO601" s="46"/>
      <c r="KNP601" s="47"/>
      <c r="KNQ601" s="46"/>
      <c r="KNR601" s="48"/>
      <c r="KNS601" s="53"/>
      <c r="KNZ601" s="15"/>
      <c r="KOA601" s="50"/>
      <c r="KOB601" s="50"/>
      <c r="KOC601" s="46"/>
      <c r="KOD601" s="47"/>
      <c r="KOE601" s="46"/>
      <c r="KOF601" s="48"/>
      <c r="KOG601" s="53"/>
      <c r="KON601" s="15"/>
      <c r="KOO601" s="50"/>
      <c r="KOP601" s="50"/>
      <c r="KOQ601" s="46"/>
      <c r="KOR601" s="47"/>
      <c r="KOS601" s="46"/>
      <c r="KOT601" s="48"/>
      <c r="KOU601" s="53"/>
      <c r="KPB601" s="15"/>
      <c r="KPC601" s="50"/>
      <c r="KPD601" s="50"/>
      <c r="KPE601" s="46"/>
      <c r="KPF601" s="47"/>
      <c r="KPG601" s="46"/>
      <c r="KPH601" s="48"/>
      <c r="KPI601" s="53"/>
      <c r="KPP601" s="15"/>
      <c r="KPQ601" s="50"/>
      <c r="KPR601" s="50"/>
      <c r="KPS601" s="46"/>
      <c r="KPT601" s="47"/>
      <c r="KPU601" s="46"/>
      <c r="KPV601" s="48"/>
      <c r="KPW601" s="53"/>
      <c r="KQD601" s="15"/>
      <c r="KQE601" s="50"/>
      <c r="KQF601" s="50"/>
      <c r="KQG601" s="46"/>
      <c r="KQH601" s="47"/>
      <c r="KQI601" s="46"/>
      <c r="KQJ601" s="48"/>
      <c r="KQK601" s="53"/>
      <c r="KQR601" s="15"/>
      <c r="KQS601" s="50"/>
      <c r="KQT601" s="50"/>
      <c r="KQU601" s="46"/>
      <c r="KQV601" s="47"/>
      <c r="KQW601" s="46"/>
      <c r="KQX601" s="48"/>
      <c r="KQY601" s="53"/>
      <c r="KRF601" s="15"/>
      <c r="KRG601" s="50"/>
      <c r="KRH601" s="50"/>
      <c r="KRI601" s="46"/>
      <c r="KRJ601" s="47"/>
      <c r="KRK601" s="46"/>
      <c r="KRL601" s="48"/>
      <c r="KRM601" s="53"/>
      <c r="KRT601" s="15"/>
      <c r="KRU601" s="50"/>
      <c r="KRV601" s="50"/>
      <c r="KRW601" s="46"/>
      <c r="KRX601" s="47"/>
      <c r="KRY601" s="46"/>
      <c r="KRZ601" s="48"/>
      <c r="KSA601" s="53"/>
      <c r="KSH601" s="15"/>
      <c r="KSI601" s="50"/>
      <c r="KSJ601" s="50"/>
      <c r="KSK601" s="46"/>
      <c r="KSL601" s="47"/>
      <c r="KSM601" s="46"/>
      <c r="KSN601" s="48"/>
      <c r="KSO601" s="53"/>
      <c r="KSV601" s="15"/>
      <c r="KSW601" s="50"/>
      <c r="KSX601" s="50"/>
      <c r="KSY601" s="46"/>
      <c r="KSZ601" s="47"/>
      <c r="KTA601" s="46"/>
      <c r="KTB601" s="48"/>
      <c r="KTC601" s="53"/>
      <c r="KTJ601" s="15"/>
      <c r="KTK601" s="50"/>
      <c r="KTL601" s="50"/>
      <c r="KTM601" s="46"/>
      <c r="KTN601" s="47"/>
      <c r="KTO601" s="46"/>
      <c r="KTP601" s="48"/>
      <c r="KTQ601" s="53"/>
      <c r="KTX601" s="15"/>
      <c r="KTY601" s="50"/>
      <c r="KTZ601" s="50"/>
      <c r="KUA601" s="46"/>
      <c r="KUB601" s="47"/>
      <c r="KUC601" s="46"/>
      <c r="KUD601" s="48"/>
      <c r="KUE601" s="53"/>
      <c r="KUL601" s="15"/>
      <c r="KUM601" s="50"/>
      <c r="KUN601" s="50"/>
      <c r="KUO601" s="46"/>
      <c r="KUP601" s="47"/>
      <c r="KUQ601" s="46"/>
      <c r="KUR601" s="48"/>
      <c r="KUS601" s="53"/>
      <c r="KUZ601" s="15"/>
      <c r="KVA601" s="50"/>
      <c r="KVB601" s="50"/>
      <c r="KVC601" s="46"/>
      <c r="KVD601" s="47"/>
      <c r="KVE601" s="46"/>
      <c r="KVF601" s="48"/>
      <c r="KVG601" s="53"/>
      <c r="KVN601" s="15"/>
      <c r="KVO601" s="50"/>
      <c r="KVP601" s="50"/>
      <c r="KVQ601" s="46"/>
      <c r="KVR601" s="47"/>
      <c r="KVS601" s="46"/>
      <c r="KVT601" s="48"/>
      <c r="KVU601" s="53"/>
      <c r="KWB601" s="15"/>
      <c r="KWC601" s="50"/>
      <c r="KWD601" s="50"/>
      <c r="KWE601" s="46"/>
      <c r="KWF601" s="47"/>
      <c r="KWG601" s="46"/>
      <c r="KWH601" s="48"/>
      <c r="KWI601" s="53"/>
      <c r="KWP601" s="15"/>
      <c r="KWQ601" s="50"/>
      <c r="KWR601" s="50"/>
      <c r="KWS601" s="46"/>
      <c r="KWT601" s="47"/>
      <c r="KWU601" s="46"/>
      <c r="KWV601" s="48"/>
      <c r="KWW601" s="53"/>
      <c r="KXD601" s="15"/>
      <c r="KXE601" s="50"/>
      <c r="KXF601" s="50"/>
      <c r="KXG601" s="46"/>
      <c r="KXH601" s="47"/>
      <c r="KXI601" s="46"/>
      <c r="KXJ601" s="48"/>
      <c r="KXK601" s="53"/>
      <c r="KXR601" s="15"/>
      <c r="KXS601" s="50"/>
      <c r="KXT601" s="50"/>
      <c r="KXU601" s="46"/>
      <c r="KXV601" s="47"/>
      <c r="KXW601" s="46"/>
      <c r="KXX601" s="48"/>
      <c r="KXY601" s="53"/>
      <c r="KYF601" s="15"/>
      <c r="KYG601" s="50"/>
      <c r="KYH601" s="50"/>
      <c r="KYI601" s="46"/>
      <c r="KYJ601" s="47"/>
      <c r="KYK601" s="46"/>
      <c r="KYL601" s="48"/>
      <c r="KYM601" s="53"/>
      <c r="KYT601" s="15"/>
      <c r="KYU601" s="50"/>
      <c r="KYV601" s="50"/>
      <c r="KYW601" s="46"/>
      <c r="KYX601" s="47"/>
      <c r="KYY601" s="46"/>
      <c r="KYZ601" s="48"/>
      <c r="KZA601" s="53"/>
      <c r="KZH601" s="15"/>
      <c r="KZI601" s="50"/>
      <c r="KZJ601" s="50"/>
      <c r="KZK601" s="46"/>
      <c r="KZL601" s="47"/>
      <c r="KZM601" s="46"/>
      <c r="KZN601" s="48"/>
      <c r="KZO601" s="53"/>
      <c r="KZV601" s="15"/>
      <c r="KZW601" s="50"/>
      <c r="KZX601" s="50"/>
      <c r="KZY601" s="46"/>
      <c r="KZZ601" s="47"/>
      <c r="LAA601" s="46"/>
      <c r="LAB601" s="48"/>
      <c r="LAC601" s="53"/>
      <c r="LAJ601" s="15"/>
      <c r="LAK601" s="50"/>
      <c r="LAL601" s="50"/>
      <c r="LAM601" s="46"/>
      <c r="LAN601" s="47"/>
      <c r="LAO601" s="46"/>
      <c r="LAP601" s="48"/>
      <c r="LAQ601" s="53"/>
      <c r="LAX601" s="15"/>
      <c r="LAY601" s="50"/>
      <c r="LAZ601" s="50"/>
      <c r="LBA601" s="46"/>
      <c r="LBB601" s="47"/>
      <c r="LBC601" s="46"/>
      <c r="LBD601" s="48"/>
      <c r="LBE601" s="53"/>
      <c r="LBL601" s="15"/>
      <c r="LBM601" s="50"/>
      <c r="LBN601" s="50"/>
      <c r="LBO601" s="46"/>
      <c r="LBP601" s="47"/>
      <c r="LBQ601" s="46"/>
      <c r="LBR601" s="48"/>
      <c r="LBS601" s="53"/>
      <c r="LBZ601" s="15"/>
      <c r="LCA601" s="50"/>
      <c r="LCB601" s="50"/>
      <c r="LCC601" s="46"/>
      <c r="LCD601" s="47"/>
      <c r="LCE601" s="46"/>
      <c r="LCF601" s="48"/>
      <c r="LCG601" s="53"/>
      <c r="LCN601" s="15"/>
      <c r="LCO601" s="50"/>
      <c r="LCP601" s="50"/>
      <c r="LCQ601" s="46"/>
      <c r="LCR601" s="47"/>
      <c r="LCS601" s="46"/>
      <c r="LCT601" s="48"/>
      <c r="LCU601" s="53"/>
      <c r="LDB601" s="15"/>
      <c r="LDC601" s="50"/>
      <c r="LDD601" s="50"/>
      <c r="LDE601" s="46"/>
      <c r="LDF601" s="47"/>
      <c r="LDG601" s="46"/>
      <c r="LDH601" s="48"/>
      <c r="LDI601" s="53"/>
      <c r="LDP601" s="15"/>
      <c r="LDQ601" s="50"/>
      <c r="LDR601" s="50"/>
      <c r="LDS601" s="46"/>
      <c r="LDT601" s="47"/>
      <c r="LDU601" s="46"/>
      <c r="LDV601" s="48"/>
      <c r="LDW601" s="53"/>
      <c r="LED601" s="15"/>
      <c r="LEE601" s="50"/>
      <c r="LEF601" s="50"/>
      <c r="LEG601" s="46"/>
      <c r="LEH601" s="47"/>
      <c r="LEI601" s="46"/>
      <c r="LEJ601" s="48"/>
      <c r="LEK601" s="53"/>
      <c r="LER601" s="15"/>
      <c r="LES601" s="50"/>
      <c r="LET601" s="50"/>
      <c r="LEU601" s="46"/>
      <c r="LEV601" s="47"/>
      <c r="LEW601" s="46"/>
      <c r="LEX601" s="48"/>
      <c r="LEY601" s="53"/>
      <c r="LFF601" s="15"/>
      <c r="LFG601" s="50"/>
      <c r="LFH601" s="50"/>
      <c r="LFI601" s="46"/>
      <c r="LFJ601" s="47"/>
      <c r="LFK601" s="46"/>
      <c r="LFL601" s="48"/>
      <c r="LFM601" s="53"/>
      <c r="LFT601" s="15"/>
      <c r="LFU601" s="50"/>
      <c r="LFV601" s="50"/>
      <c r="LFW601" s="46"/>
      <c r="LFX601" s="47"/>
      <c r="LFY601" s="46"/>
      <c r="LFZ601" s="48"/>
      <c r="LGA601" s="53"/>
      <c r="LGH601" s="15"/>
      <c r="LGI601" s="50"/>
      <c r="LGJ601" s="50"/>
      <c r="LGK601" s="46"/>
      <c r="LGL601" s="47"/>
      <c r="LGM601" s="46"/>
      <c r="LGN601" s="48"/>
      <c r="LGO601" s="53"/>
      <c r="LGV601" s="15"/>
      <c r="LGW601" s="50"/>
      <c r="LGX601" s="50"/>
      <c r="LGY601" s="46"/>
      <c r="LGZ601" s="47"/>
      <c r="LHA601" s="46"/>
      <c r="LHB601" s="48"/>
      <c r="LHC601" s="53"/>
      <c r="LHJ601" s="15"/>
      <c r="LHK601" s="50"/>
      <c r="LHL601" s="50"/>
      <c r="LHM601" s="46"/>
      <c r="LHN601" s="47"/>
      <c r="LHO601" s="46"/>
      <c r="LHP601" s="48"/>
      <c r="LHQ601" s="53"/>
      <c r="LHX601" s="15"/>
      <c r="LHY601" s="50"/>
      <c r="LHZ601" s="50"/>
      <c r="LIA601" s="46"/>
      <c r="LIB601" s="47"/>
      <c r="LIC601" s="46"/>
      <c r="LID601" s="48"/>
      <c r="LIE601" s="53"/>
      <c r="LIL601" s="15"/>
      <c r="LIM601" s="50"/>
      <c r="LIN601" s="50"/>
      <c r="LIO601" s="46"/>
      <c r="LIP601" s="47"/>
      <c r="LIQ601" s="46"/>
      <c r="LIR601" s="48"/>
      <c r="LIS601" s="53"/>
      <c r="LIZ601" s="15"/>
      <c r="LJA601" s="50"/>
      <c r="LJB601" s="50"/>
      <c r="LJC601" s="46"/>
      <c r="LJD601" s="47"/>
      <c r="LJE601" s="46"/>
      <c r="LJF601" s="48"/>
      <c r="LJG601" s="53"/>
      <c r="LJN601" s="15"/>
      <c r="LJO601" s="50"/>
      <c r="LJP601" s="50"/>
      <c r="LJQ601" s="46"/>
      <c r="LJR601" s="47"/>
      <c r="LJS601" s="46"/>
      <c r="LJT601" s="48"/>
      <c r="LJU601" s="53"/>
      <c r="LKB601" s="15"/>
      <c r="LKC601" s="50"/>
      <c r="LKD601" s="50"/>
      <c r="LKE601" s="46"/>
      <c r="LKF601" s="47"/>
      <c r="LKG601" s="46"/>
      <c r="LKH601" s="48"/>
      <c r="LKI601" s="53"/>
      <c r="LKP601" s="15"/>
      <c r="LKQ601" s="50"/>
      <c r="LKR601" s="50"/>
      <c r="LKS601" s="46"/>
      <c r="LKT601" s="47"/>
      <c r="LKU601" s="46"/>
      <c r="LKV601" s="48"/>
      <c r="LKW601" s="53"/>
      <c r="LLD601" s="15"/>
      <c r="LLE601" s="50"/>
      <c r="LLF601" s="50"/>
      <c r="LLG601" s="46"/>
      <c r="LLH601" s="47"/>
      <c r="LLI601" s="46"/>
      <c r="LLJ601" s="48"/>
      <c r="LLK601" s="53"/>
      <c r="LLR601" s="15"/>
      <c r="LLS601" s="50"/>
      <c r="LLT601" s="50"/>
      <c r="LLU601" s="46"/>
      <c r="LLV601" s="47"/>
      <c r="LLW601" s="46"/>
      <c r="LLX601" s="48"/>
      <c r="LLY601" s="53"/>
      <c r="LMF601" s="15"/>
      <c r="LMG601" s="50"/>
      <c r="LMH601" s="50"/>
      <c r="LMI601" s="46"/>
      <c r="LMJ601" s="47"/>
      <c r="LMK601" s="46"/>
      <c r="LML601" s="48"/>
      <c r="LMM601" s="53"/>
      <c r="LMT601" s="15"/>
      <c r="LMU601" s="50"/>
      <c r="LMV601" s="50"/>
      <c r="LMW601" s="46"/>
      <c r="LMX601" s="47"/>
      <c r="LMY601" s="46"/>
      <c r="LMZ601" s="48"/>
      <c r="LNA601" s="53"/>
      <c r="LNH601" s="15"/>
      <c r="LNI601" s="50"/>
      <c r="LNJ601" s="50"/>
      <c r="LNK601" s="46"/>
      <c r="LNL601" s="47"/>
      <c r="LNM601" s="46"/>
      <c r="LNN601" s="48"/>
      <c r="LNO601" s="53"/>
      <c r="LNV601" s="15"/>
      <c r="LNW601" s="50"/>
      <c r="LNX601" s="50"/>
      <c r="LNY601" s="46"/>
      <c r="LNZ601" s="47"/>
      <c r="LOA601" s="46"/>
      <c r="LOB601" s="48"/>
      <c r="LOC601" s="53"/>
      <c r="LOJ601" s="15"/>
      <c r="LOK601" s="50"/>
      <c r="LOL601" s="50"/>
      <c r="LOM601" s="46"/>
      <c r="LON601" s="47"/>
      <c r="LOO601" s="46"/>
      <c r="LOP601" s="48"/>
      <c r="LOQ601" s="53"/>
      <c r="LOX601" s="15"/>
      <c r="LOY601" s="50"/>
      <c r="LOZ601" s="50"/>
      <c r="LPA601" s="46"/>
      <c r="LPB601" s="47"/>
      <c r="LPC601" s="46"/>
      <c r="LPD601" s="48"/>
      <c r="LPE601" s="53"/>
      <c r="LPL601" s="15"/>
      <c r="LPM601" s="50"/>
      <c r="LPN601" s="50"/>
      <c r="LPO601" s="46"/>
      <c r="LPP601" s="47"/>
      <c r="LPQ601" s="46"/>
      <c r="LPR601" s="48"/>
      <c r="LPS601" s="53"/>
      <c r="LPZ601" s="15"/>
      <c r="LQA601" s="50"/>
      <c r="LQB601" s="50"/>
      <c r="LQC601" s="46"/>
      <c r="LQD601" s="47"/>
      <c r="LQE601" s="46"/>
      <c r="LQF601" s="48"/>
      <c r="LQG601" s="53"/>
      <c r="LQN601" s="15"/>
      <c r="LQO601" s="50"/>
      <c r="LQP601" s="50"/>
      <c r="LQQ601" s="46"/>
      <c r="LQR601" s="47"/>
      <c r="LQS601" s="46"/>
      <c r="LQT601" s="48"/>
      <c r="LQU601" s="53"/>
      <c r="LRB601" s="15"/>
      <c r="LRC601" s="50"/>
      <c r="LRD601" s="50"/>
      <c r="LRE601" s="46"/>
      <c r="LRF601" s="47"/>
      <c r="LRG601" s="46"/>
      <c r="LRH601" s="48"/>
      <c r="LRI601" s="53"/>
      <c r="LRP601" s="15"/>
      <c r="LRQ601" s="50"/>
      <c r="LRR601" s="50"/>
      <c r="LRS601" s="46"/>
      <c r="LRT601" s="47"/>
      <c r="LRU601" s="46"/>
      <c r="LRV601" s="48"/>
      <c r="LRW601" s="53"/>
      <c r="LSD601" s="15"/>
      <c r="LSE601" s="50"/>
      <c r="LSF601" s="50"/>
      <c r="LSG601" s="46"/>
      <c r="LSH601" s="47"/>
      <c r="LSI601" s="46"/>
      <c r="LSJ601" s="48"/>
      <c r="LSK601" s="53"/>
      <c r="LSR601" s="15"/>
      <c r="LSS601" s="50"/>
      <c r="LST601" s="50"/>
      <c r="LSU601" s="46"/>
      <c r="LSV601" s="47"/>
      <c r="LSW601" s="46"/>
      <c r="LSX601" s="48"/>
      <c r="LSY601" s="53"/>
      <c r="LTF601" s="15"/>
      <c r="LTG601" s="50"/>
      <c r="LTH601" s="50"/>
      <c r="LTI601" s="46"/>
      <c r="LTJ601" s="47"/>
      <c r="LTK601" s="46"/>
      <c r="LTL601" s="48"/>
      <c r="LTM601" s="53"/>
      <c r="LTT601" s="15"/>
      <c r="LTU601" s="50"/>
      <c r="LTV601" s="50"/>
      <c r="LTW601" s="46"/>
      <c r="LTX601" s="47"/>
      <c r="LTY601" s="46"/>
      <c r="LTZ601" s="48"/>
      <c r="LUA601" s="53"/>
      <c r="LUH601" s="15"/>
      <c r="LUI601" s="50"/>
      <c r="LUJ601" s="50"/>
      <c r="LUK601" s="46"/>
      <c r="LUL601" s="47"/>
      <c r="LUM601" s="46"/>
      <c r="LUN601" s="48"/>
      <c r="LUO601" s="53"/>
      <c r="LUV601" s="15"/>
      <c r="LUW601" s="50"/>
      <c r="LUX601" s="50"/>
      <c r="LUY601" s="46"/>
      <c r="LUZ601" s="47"/>
      <c r="LVA601" s="46"/>
      <c r="LVB601" s="48"/>
      <c r="LVC601" s="53"/>
      <c r="LVJ601" s="15"/>
      <c r="LVK601" s="50"/>
      <c r="LVL601" s="50"/>
      <c r="LVM601" s="46"/>
      <c r="LVN601" s="47"/>
      <c r="LVO601" s="46"/>
      <c r="LVP601" s="48"/>
      <c r="LVQ601" s="53"/>
      <c r="LVX601" s="15"/>
      <c r="LVY601" s="50"/>
      <c r="LVZ601" s="50"/>
      <c r="LWA601" s="46"/>
      <c r="LWB601" s="47"/>
      <c r="LWC601" s="46"/>
      <c r="LWD601" s="48"/>
      <c r="LWE601" s="53"/>
      <c r="LWL601" s="15"/>
      <c r="LWM601" s="50"/>
      <c r="LWN601" s="50"/>
      <c r="LWO601" s="46"/>
      <c r="LWP601" s="47"/>
      <c r="LWQ601" s="46"/>
      <c r="LWR601" s="48"/>
      <c r="LWS601" s="53"/>
      <c r="LWZ601" s="15"/>
      <c r="LXA601" s="50"/>
      <c r="LXB601" s="50"/>
      <c r="LXC601" s="46"/>
      <c r="LXD601" s="47"/>
      <c r="LXE601" s="46"/>
      <c r="LXF601" s="48"/>
      <c r="LXG601" s="53"/>
      <c r="LXN601" s="15"/>
      <c r="LXO601" s="50"/>
      <c r="LXP601" s="50"/>
      <c r="LXQ601" s="46"/>
      <c r="LXR601" s="47"/>
      <c r="LXS601" s="46"/>
      <c r="LXT601" s="48"/>
      <c r="LXU601" s="53"/>
      <c r="LYB601" s="15"/>
      <c r="LYC601" s="50"/>
      <c r="LYD601" s="50"/>
      <c r="LYE601" s="46"/>
      <c r="LYF601" s="47"/>
      <c r="LYG601" s="46"/>
      <c r="LYH601" s="48"/>
      <c r="LYI601" s="53"/>
      <c r="LYP601" s="15"/>
      <c r="LYQ601" s="50"/>
      <c r="LYR601" s="50"/>
      <c r="LYS601" s="46"/>
      <c r="LYT601" s="47"/>
      <c r="LYU601" s="46"/>
      <c r="LYV601" s="48"/>
      <c r="LYW601" s="53"/>
      <c r="LZD601" s="15"/>
      <c r="LZE601" s="50"/>
      <c r="LZF601" s="50"/>
      <c r="LZG601" s="46"/>
      <c r="LZH601" s="47"/>
      <c r="LZI601" s="46"/>
      <c r="LZJ601" s="48"/>
      <c r="LZK601" s="53"/>
      <c r="LZR601" s="15"/>
      <c r="LZS601" s="50"/>
      <c r="LZT601" s="50"/>
      <c r="LZU601" s="46"/>
      <c r="LZV601" s="47"/>
      <c r="LZW601" s="46"/>
      <c r="LZX601" s="48"/>
      <c r="LZY601" s="53"/>
      <c r="MAF601" s="15"/>
      <c r="MAG601" s="50"/>
      <c r="MAH601" s="50"/>
      <c r="MAI601" s="46"/>
      <c r="MAJ601" s="47"/>
      <c r="MAK601" s="46"/>
      <c r="MAL601" s="48"/>
      <c r="MAM601" s="53"/>
      <c r="MAT601" s="15"/>
      <c r="MAU601" s="50"/>
      <c r="MAV601" s="50"/>
      <c r="MAW601" s="46"/>
      <c r="MAX601" s="47"/>
      <c r="MAY601" s="46"/>
      <c r="MAZ601" s="48"/>
      <c r="MBA601" s="53"/>
      <c r="MBH601" s="15"/>
      <c r="MBI601" s="50"/>
      <c r="MBJ601" s="50"/>
      <c r="MBK601" s="46"/>
      <c r="MBL601" s="47"/>
      <c r="MBM601" s="46"/>
      <c r="MBN601" s="48"/>
      <c r="MBO601" s="53"/>
      <c r="MBV601" s="15"/>
      <c r="MBW601" s="50"/>
      <c r="MBX601" s="50"/>
      <c r="MBY601" s="46"/>
      <c r="MBZ601" s="47"/>
      <c r="MCA601" s="46"/>
      <c r="MCB601" s="48"/>
      <c r="MCC601" s="53"/>
      <c r="MCJ601" s="15"/>
      <c r="MCK601" s="50"/>
      <c r="MCL601" s="50"/>
      <c r="MCM601" s="46"/>
      <c r="MCN601" s="47"/>
      <c r="MCO601" s="46"/>
      <c r="MCP601" s="48"/>
      <c r="MCQ601" s="53"/>
      <c r="MCX601" s="15"/>
      <c r="MCY601" s="50"/>
      <c r="MCZ601" s="50"/>
      <c r="MDA601" s="46"/>
      <c r="MDB601" s="47"/>
      <c r="MDC601" s="46"/>
      <c r="MDD601" s="48"/>
      <c r="MDE601" s="53"/>
      <c r="MDL601" s="15"/>
      <c r="MDM601" s="50"/>
      <c r="MDN601" s="50"/>
      <c r="MDO601" s="46"/>
      <c r="MDP601" s="47"/>
      <c r="MDQ601" s="46"/>
      <c r="MDR601" s="48"/>
      <c r="MDS601" s="53"/>
      <c r="MDZ601" s="15"/>
      <c r="MEA601" s="50"/>
      <c r="MEB601" s="50"/>
      <c r="MEC601" s="46"/>
      <c r="MED601" s="47"/>
      <c r="MEE601" s="46"/>
      <c r="MEF601" s="48"/>
      <c r="MEG601" s="53"/>
      <c r="MEN601" s="15"/>
      <c r="MEO601" s="50"/>
      <c r="MEP601" s="50"/>
      <c r="MEQ601" s="46"/>
      <c r="MER601" s="47"/>
      <c r="MES601" s="46"/>
      <c r="MET601" s="48"/>
      <c r="MEU601" s="53"/>
      <c r="MFB601" s="15"/>
      <c r="MFC601" s="50"/>
      <c r="MFD601" s="50"/>
      <c r="MFE601" s="46"/>
      <c r="MFF601" s="47"/>
      <c r="MFG601" s="46"/>
      <c r="MFH601" s="48"/>
      <c r="MFI601" s="53"/>
      <c r="MFP601" s="15"/>
      <c r="MFQ601" s="50"/>
      <c r="MFR601" s="50"/>
      <c r="MFS601" s="46"/>
      <c r="MFT601" s="47"/>
      <c r="MFU601" s="46"/>
      <c r="MFV601" s="48"/>
      <c r="MFW601" s="53"/>
      <c r="MGD601" s="15"/>
      <c r="MGE601" s="50"/>
      <c r="MGF601" s="50"/>
      <c r="MGG601" s="46"/>
      <c r="MGH601" s="47"/>
      <c r="MGI601" s="46"/>
      <c r="MGJ601" s="48"/>
      <c r="MGK601" s="53"/>
      <c r="MGR601" s="15"/>
      <c r="MGS601" s="50"/>
      <c r="MGT601" s="50"/>
      <c r="MGU601" s="46"/>
      <c r="MGV601" s="47"/>
      <c r="MGW601" s="46"/>
      <c r="MGX601" s="48"/>
      <c r="MGY601" s="53"/>
      <c r="MHF601" s="15"/>
      <c r="MHG601" s="50"/>
      <c r="MHH601" s="50"/>
      <c r="MHI601" s="46"/>
      <c r="MHJ601" s="47"/>
      <c r="MHK601" s="46"/>
      <c r="MHL601" s="48"/>
      <c r="MHM601" s="53"/>
      <c r="MHT601" s="15"/>
      <c r="MHU601" s="50"/>
      <c r="MHV601" s="50"/>
      <c r="MHW601" s="46"/>
      <c r="MHX601" s="47"/>
      <c r="MHY601" s="46"/>
      <c r="MHZ601" s="48"/>
      <c r="MIA601" s="53"/>
      <c r="MIH601" s="15"/>
      <c r="MII601" s="50"/>
      <c r="MIJ601" s="50"/>
      <c r="MIK601" s="46"/>
      <c r="MIL601" s="47"/>
      <c r="MIM601" s="46"/>
      <c r="MIN601" s="48"/>
      <c r="MIO601" s="53"/>
      <c r="MIV601" s="15"/>
      <c r="MIW601" s="50"/>
      <c r="MIX601" s="50"/>
      <c r="MIY601" s="46"/>
      <c r="MIZ601" s="47"/>
      <c r="MJA601" s="46"/>
      <c r="MJB601" s="48"/>
      <c r="MJC601" s="53"/>
      <c r="MJJ601" s="15"/>
      <c r="MJK601" s="50"/>
      <c r="MJL601" s="50"/>
      <c r="MJM601" s="46"/>
      <c r="MJN601" s="47"/>
      <c r="MJO601" s="46"/>
      <c r="MJP601" s="48"/>
      <c r="MJQ601" s="53"/>
      <c r="MJX601" s="15"/>
      <c r="MJY601" s="50"/>
      <c r="MJZ601" s="50"/>
      <c r="MKA601" s="46"/>
      <c r="MKB601" s="47"/>
      <c r="MKC601" s="46"/>
      <c r="MKD601" s="48"/>
      <c r="MKE601" s="53"/>
      <c r="MKL601" s="15"/>
      <c r="MKM601" s="50"/>
      <c r="MKN601" s="50"/>
      <c r="MKO601" s="46"/>
      <c r="MKP601" s="47"/>
      <c r="MKQ601" s="46"/>
      <c r="MKR601" s="48"/>
      <c r="MKS601" s="53"/>
      <c r="MKZ601" s="15"/>
      <c r="MLA601" s="50"/>
      <c r="MLB601" s="50"/>
      <c r="MLC601" s="46"/>
      <c r="MLD601" s="47"/>
      <c r="MLE601" s="46"/>
      <c r="MLF601" s="48"/>
      <c r="MLG601" s="53"/>
      <c r="MLN601" s="15"/>
      <c r="MLO601" s="50"/>
      <c r="MLP601" s="50"/>
      <c r="MLQ601" s="46"/>
      <c r="MLR601" s="47"/>
      <c r="MLS601" s="46"/>
      <c r="MLT601" s="48"/>
      <c r="MLU601" s="53"/>
      <c r="MMB601" s="15"/>
      <c r="MMC601" s="50"/>
      <c r="MMD601" s="50"/>
      <c r="MME601" s="46"/>
      <c r="MMF601" s="47"/>
      <c r="MMG601" s="46"/>
      <c r="MMH601" s="48"/>
      <c r="MMI601" s="53"/>
      <c r="MMP601" s="15"/>
      <c r="MMQ601" s="50"/>
      <c r="MMR601" s="50"/>
      <c r="MMS601" s="46"/>
      <c r="MMT601" s="47"/>
      <c r="MMU601" s="46"/>
      <c r="MMV601" s="48"/>
      <c r="MMW601" s="53"/>
      <c r="MND601" s="15"/>
      <c r="MNE601" s="50"/>
      <c r="MNF601" s="50"/>
      <c r="MNG601" s="46"/>
      <c r="MNH601" s="47"/>
      <c r="MNI601" s="46"/>
      <c r="MNJ601" s="48"/>
      <c r="MNK601" s="53"/>
      <c r="MNR601" s="15"/>
      <c r="MNS601" s="50"/>
      <c r="MNT601" s="50"/>
      <c r="MNU601" s="46"/>
      <c r="MNV601" s="47"/>
      <c r="MNW601" s="46"/>
      <c r="MNX601" s="48"/>
      <c r="MNY601" s="53"/>
      <c r="MOF601" s="15"/>
      <c r="MOG601" s="50"/>
      <c r="MOH601" s="50"/>
      <c r="MOI601" s="46"/>
      <c r="MOJ601" s="47"/>
      <c r="MOK601" s="46"/>
      <c r="MOL601" s="48"/>
      <c r="MOM601" s="53"/>
      <c r="MOT601" s="15"/>
      <c r="MOU601" s="50"/>
      <c r="MOV601" s="50"/>
      <c r="MOW601" s="46"/>
      <c r="MOX601" s="47"/>
      <c r="MOY601" s="46"/>
      <c r="MOZ601" s="48"/>
      <c r="MPA601" s="53"/>
      <c r="MPH601" s="15"/>
      <c r="MPI601" s="50"/>
      <c r="MPJ601" s="50"/>
      <c r="MPK601" s="46"/>
      <c r="MPL601" s="47"/>
      <c r="MPM601" s="46"/>
      <c r="MPN601" s="48"/>
      <c r="MPO601" s="53"/>
      <c r="MPV601" s="15"/>
      <c r="MPW601" s="50"/>
      <c r="MPX601" s="50"/>
      <c r="MPY601" s="46"/>
      <c r="MPZ601" s="47"/>
      <c r="MQA601" s="46"/>
      <c r="MQB601" s="48"/>
      <c r="MQC601" s="53"/>
      <c r="MQJ601" s="15"/>
      <c r="MQK601" s="50"/>
      <c r="MQL601" s="50"/>
      <c r="MQM601" s="46"/>
      <c r="MQN601" s="47"/>
      <c r="MQO601" s="46"/>
      <c r="MQP601" s="48"/>
      <c r="MQQ601" s="53"/>
      <c r="MQX601" s="15"/>
      <c r="MQY601" s="50"/>
      <c r="MQZ601" s="50"/>
      <c r="MRA601" s="46"/>
      <c r="MRB601" s="47"/>
      <c r="MRC601" s="46"/>
      <c r="MRD601" s="48"/>
      <c r="MRE601" s="53"/>
      <c r="MRL601" s="15"/>
      <c r="MRM601" s="50"/>
      <c r="MRN601" s="50"/>
      <c r="MRO601" s="46"/>
      <c r="MRP601" s="47"/>
      <c r="MRQ601" s="46"/>
      <c r="MRR601" s="48"/>
      <c r="MRS601" s="53"/>
      <c r="MRZ601" s="15"/>
      <c r="MSA601" s="50"/>
      <c r="MSB601" s="50"/>
      <c r="MSC601" s="46"/>
      <c r="MSD601" s="47"/>
      <c r="MSE601" s="46"/>
      <c r="MSF601" s="48"/>
      <c r="MSG601" s="53"/>
      <c r="MSN601" s="15"/>
      <c r="MSO601" s="50"/>
      <c r="MSP601" s="50"/>
      <c r="MSQ601" s="46"/>
      <c r="MSR601" s="47"/>
      <c r="MSS601" s="46"/>
      <c r="MST601" s="48"/>
      <c r="MSU601" s="53"/>
      <c r="MTB601" s="15"/>
      <c r="MTC601" s="50"/>
      <c r="MTD601" s="50"/>
      <c r="MTE601" s="46"/>
      <c r="MTF601" s="47"/>
      <c r="MTG601" s="46"/>
      <c r="MTH601" s="48"/>
      <c r="MTI601" s="53"/>
      <c r="MTP601" s="15"/>
      <c r="MTQ601" s="50"/>
      <c r="MTR601" s="50"/>
      <c r="MTS601" s="46"/>
      <c r="MTT601" s="47"/>
      <c r="MTU601" s="46"/>
      <c r="MTV601" s="48"/>
      <c r="MTW601" s="53"/>
      <c r="MUD601" s="15"/>
      <c r="MUE601" s="50"/>
      <c r="MUF601" s="50"/>
      <c r="MUG601" s="46"/>
      <c r="MUH601" s="47"/>
      <c r="MUI601" s="46"/>
      <c r="MUJ601" s="48"/>
      <c r="MUK601" s="53"/>
      <c r="MUR601" s="15"/>
      <c r="MUS601" s="50"/>
      <c r="MUT601" s="50"/>
      <c r="MUU601" s="46"/>
      <c r="MUV601" s="47"/>
      <c r="MUW601" s="46"/>
      <c r="MUX601" s="48"/>
      <c r="MUY601" s="53"/>
      <c r="MVF601" s="15"/>
      <c r="MVG601" s="50"/>
      <c r="MVH601" s="50"/>
      <c r="MVI601" s="46"/>
      <c r="MVJ601" s="47"/>
      <c r="MVK601" s="46"/>
      <c r="MVL601" s="48"/>
      <c r="MVM601" s="53"/>
      <c r="MVT601" s="15"/>
      <c r="MVU601" s="50"/>
      <c r="MVV601" s="50"/>
      <c r="MVW601" s="46"/>
      <c r="MVX601" s="47"/>
      <c r="MVY601" s="46"/>
      <c r="MVZ601" s="48"/>
      <c r="MWA601" s="53"/>
      <c r="MWH601" s="15"/>
      <c r="MWI601" s="50"/>
      <c r="MWJ601" s="50"/>
      <c r="MWK601" s="46"/>
      <c r="MWL601" s="47"/>
      <c r="MWM601" s="46"/>
      <c r="MWN601" s="48"/>
      <c r="MWO601" s="53"/>
      <c r="MWV601" s="15"/>
      <c r="MWW601" s="50"/>
      <c r="MWX601" s="50"/>
      <c r="MWY601" s="46"/>
      <c r="MWZ601" s="47"/>
      <c r="MXA601" s="46"/>
      <c r="MXB601" s="48"/>
      <c r="MXC601" s="53"/>
      <c r="MXJ601" s="15"/>
      <c r="MXK601" s="50"/>
      <c r="MXL601" s="50"/>
      <c r="MXM601" s="46"/>
      <c r="MXN601" s="47"/>
      <c r="MXO601" s="46"/>
      <c r="MXP601" s="48"/>
      <c r="MXQ601" s="53"/>
      <c r="MXX601" s="15"/>
      <c r="MXY601" s="50"/>
      <c r="MXZ601" s="50"/>
      <c r="MYA601" s="46"/>
      <c r="MYB601" s="47"/>
      <c r="MYC601" s="46"/>
      <c r="MYD601" s="48"/>
      <c r="MYE601" s="53"/>
      <c r="MYL601" s="15"/>
      <c r="MYM601" s="50"/>
      <c r="MYN601" s="50"/>
      <c r="MYO601" s="46"/>
      <c r="MYP601" s="47"/>
      <c r="MYQ601" s="46"/>
      <c r="MYR601" s="48"/>
      <c r="MYS601" s="53"/>
      <c r="MYZ601" s="15"/>
      <c r="MZA601" s="50"/>
      <c r="MZB601" s="50"/>
      <c r="MZC601" s="46"/>
      <c r="MZD601" s="47"/>
      <c r="MZE601" s="46"/>
      <c r="MZF601" s="48"/>
      <c r="MZG601" s="53"/>
      <c r="MZN601" s="15"/>
      <c r="MZO601" s="50"/>
      <c r="MZP601" s="50"/>
      <c r="MZQ601" s="46"/>
      <c r="MZR601" s="47"/>
      <c r="MZS601" s="46"/>
      <c r="MZT601" s="48"/>
      <c r="MZU601" s="53"/>
      <c r="NAB601" s="15"/>
      <c r="NAC601" s="50"/>
      <c r="NAD601" s="50"/>
      <c r="NAE601" s="46"/>
      <c r="NAF601" s="47"/>
      <c r="NAG601" s="46"/>
      <c r="NAH601" s="48"/>
      <c r="NAI601" s="53"/>
      <c r="NAP601" s="15"/>
      <c r="NAQ601" s="50"/>
      <c r="NAR601" s="50"/>
      <c r="NAS601" s="46"/>
      <c r="NAT601" s="47"/>
      <c r="NAU601" s="46"/>
      <c r="NAV601" s="48"/>
      <c r="NAW601" s="53"/>
      <c r="NBD601" s="15"/>
      <c r="NBE601" s="50"/>
      <c r="NBF601" s="50"/>
      <c r="NBG601" s="46"/>
      <c r="NBH601" s="47"/>
      <c r="NBI601" s="46"/>
      <c r="NBJ601" s="48"/>
      <c r="NBK601" s="53"/>
      <c r="NBR601" s="15"/>
      <c r="NBS601" s="50"/>
      <c r="NBT601" s="50"/>
      <c r="NBU601" s="46"/>
      <c r="NBV601" s="47"/>
      <c r="NBW601" s="46"/>
      <c r="NBX601" s="48"/>
      <c r="NBY601" s="53"/>
      <c r="NCF601" s="15"/>
      <c r="NCG601" s="50"/>
      <c r="NCH601" s="50"/>
      <c r="NCI601" s="46"/>
      <c r="NCJ601" s="47"/>
      <c r="NCK601" s="46"/>
      <c r="NCL601" s="48"/>
      <c r="NCM601" s="53"/>
      <c r="NCT601" s="15"/>
      <c r="NCU601" s="50"/>
      <c r="NCV601" s="50"/>
      <c r="NCW601" s="46"/>
      <c r="NCX601" s="47"/>
      <c r="NCY601" s="46"/>
      <c r="NCZ601" s="48"/>
      <c r="NDA601" s="53"/>
      <c r="NDH601" s="15"/>
      <c r="NDI601" s="50"/>
      <c r="NDJ601" s="50"/>
      <c r="NDK601" s="46"/>
      <c r="NDL601" s="47"/>
      <c r="NDM601" s="46"/>
      <c r="NDN601" s="48"/>
      <c r="NDO601" s="53"/>
      <c r="NDV601" s="15"/>
      <c r="NDW601" s="50"/>
      <c r="NDX601" s="50"/>
      <c r="NDY601" s="46"/>
      <c r="NDZ601" s="47"/>
      <c r="NEA601" s="46"/>
      <c r="NEB601" s="48"/>
      <c r="NEC601" s="53"/>
      <c r="NEJ601" s="15"/>
      <c r="NEK601" s="50"/>
      <c r="NEL601" s="50"/>
      <c r="NEM601" s="46"/>
      <c r="NEN601" s="47"/>
      <c r="NEO601" s="46"/>
      <c r="NEP601" s="48"/>
      <c r="NEQ601" s="53"/>
      <c r="NEX601" s="15"/>
      <c r="NEY601" s="50"/>
      <c r="NEZ601" s="50"/>
      <c r="NFA601" s="46"/>
      <c r="NFB601" s="47"/>
      <c r="NFC601" s="46"/>
      <c r="NFD601" s="48"/>
      <c r="NFE601" s="53"/>
      <c r="NFL601" s="15"/>
      <c r="NFM601" s="50"/>
      <c r="NFN601" s="50"/>
      <c r="NFO601" s="46"/>
      <c r="NFP601" s="47"/>
      <c r="NFQ601" s="46"/>
      <c r="NFR601" s="48"/>
      <c r="NFS601" s="53"/>
      <c r="NFZ601" s="15"/>
      <c r="NGA601" s="50"/>
      <c r="NGB601" s="50"/>
      <c r="NGC601" s="46"/>
      <c r="NGD601" s="47"/>
      <c r="NGE601" s="46"/>
      <c r="NGF601" s="48"/>
      <c r="NGG601" s="53"/>
      <c r="NGN601" s="15"/>
      <c r="NGO601" s="50"/>
      <c r="NGP601" s="50"/>
      <c r="NGQ601" s="46"/>
      <c r="NGR601" s="47"/>
      <c r="NGS601" s="46"/>
      <c r="NGT601" s="48"/>
      <c r="NGU601" s="53"/>
      <c r="NHB601" s="15"/>
      <c r="NHC601" s="50"/>
      <c r="NHD601" s="50"/>
      <c r="NHE601" s="46"/>
      <c r="NHF601" s="47"/>
      <c r="NHG601" s="46"/>
      <c r="NHH601" s="48"/>
      <c r="NHI601" s="53"/>
      <c r="NHP601" s="15"/>
      <c r="NHQ601" s="50"/>
      <c r="NHR601" s="50"/>
      <c r="NHS601" s="46"/>
      <c r="NHT601" s="47"/>
      <c r="NHU601" s="46"/>
      <c r="NHV601" s="48"/>
      <c r="NHW601" s="53"/>
      <c r="NID601" s="15"/>
      <c r="NIE601" s="50"/>
      <c r="NIF601" s="50"/>
      <c r="NIG601" s="46"/>
      <c r="NIH601" s="47"/>
      <c r="NII601" s="46"/>
      <c r="NIJ601" s="48"/>
      <c r="NIK601" s="53"/>
      <c r="NIR601" s="15"/>
      <c r="NIS601" s="50"/>
      <c r="NIT601" s="50"/>
      <c r="NIU601" s="46"/>
      <c r="NIV601" s="47"/>
      <c r="NIW601" s="46"/>
      <c r="NIX601" s="48"/>
      <c r="NIY601" s="53"/>
      <c r="NJF601" s="15"/>
      <c r="NJG601" s="50"/>
      <c r="NJH601" s="50"/>
      <c r="NJI601" s="46"/>
      <c r="NJJ601" s="47"/>
      <c r="NJK601" s="46"/>
      <c r="NJL601" s="48"/>
      <c r="NJM601" s="53"/>
      <c r="NJT601" s="15"/>
      <c r="NJU601" s="50"/>
      <c r="NJV601" s="50"/>
      <c r="NJW601" s="46"/>
      <c r="NJX601" s="47"/>
      <c r="NJY601" s="46"/>
      <c r="NJZ601" s="48"/>
      <c r="NKA601" s="53"/>
      <c r="NKH601" s="15"/>
      <c r="NKI601" s="50"/>
      <c r="NKJ601" s="50"/>
      <c r="NKK601" s="46"/>
      <c r="NKL601" s="47"/>
      <c r="NKM601" s="46"/>
      <c r="NKN601" s="48"/>
      <c r="NKO601" s="53"/>
      <c r="NKV601" s="15"/>
      <c r="NKW601" s="50"/>
      <c r="NKX601" s="50"/>
      <c r="NKY601" s="46"/>
      <c r="NKZ601" s="47"/>
      <c r="NLA601" s="46"/>
      <c r="NLB601" s="48"/>
      <c r="NLC601" s="53"/>
      <c r="NLJ601" s="15"/>
      <c r="NLK601" s="50"/>
      <c r="NLL601" s="50"/>
      <c r="NLM601" s="46"/>
      <c r="NLN601" s="47"/>
      <c r="NLO601" s="46"/>
      <c r="NLP601" s="48"/>
      <c r="NLQ601" s="53"/>
      <c r="NLX601" s="15"/>
      <c r="NLY601" s="50"/>
      <c r="NLZ601" s="50"/>
      <c r="NMA601" s="46"/>
      <c r="NMB601" s="47"/>
      <c r="NMC601" s="46"/>
      <c r="NMD601" s="48"/>
      <c r="NME601" s="53"/>
      <c r="NML601" s="15"/>
      <c r="NMM601" s="50"/>
      <c r="NMN601" s="50"/>
      <c r="NMO601" s="46"/>
      <c r="NMP601" s="47"/>
      <c r="NMQ601" s="46"/>
      <c r="NMR601" s="48"/>
      <c r="NMS601" s="53"/>
      <c r="NMZ601" s="15"/>
      <c r="NNA601" s="50"/>
      <c r="NNB601" s="50"/>
      <c r="NNC601" s="46"/>
      <c r="NND601" s="47"/>
      <c r="NNE601" s="46"/>
      <c r="NNF601" s="48"/>
      <c r="NNG601" s="53"/>
      <c r="NNN601" s="15"/>
      <c r="NNO601" s="50"/>
      <c r="NNP601" s="50"/>
      <c r="NNQ601" s="46"/>
      <c r="NNR601" s="47"/>
      <c r="NNS601" s="46"/>
      <c r="NNT601" s="48"/>
      <c r="NNU601" s="53"/>
      <c r="NOB601" s="15"/>
      <c r="NOC601" s="50"/>
      <c r="NOD601" s="50"/>
      <c r="NOE601" s="46"/>
      <c r="NOF601" s="47"/>
      <c r="NOG601" s="46"/>
      <c r="NOH601" s="48"/>
      <c r="NOI601" s="53"/>
      <c r="NOP601" s="15"/>
      <c r="NOQ601" s="50"/>
      <c r="NOR601" s="50"/>
      <c r="NOS601" s="46"/>
      <c r="NOT601" s="47"/>
      <c r="NOU601" s="46"/>
      <c r="NOV601" s="48"/>
      <c r="NOW601" s="53"/>
      <c r="NPD601" s="15"/>
      <c r="NPE601" s="50"/>
      <c r="NPF601" s="50"/>
      <c r="NPG601" s="46"/>
      <c r="NPH601" s="47"/>
      <c r="NPI601" s="46"/>
      <c r="NPJ601" s="48"/>
      <c r="NPK601" s="53"/>
      <c r="NPR601" s="15"/>
      <c r="NPS601" s="50"/>
      <c r="NPT601" s="50"/>
      <c r="NPU601" s="46"/>
      <c r="NPV601" s="47"/>
      <c r="NPW601" s="46"/>
      <c r="NPX601" s="48"/>
      <c r="NPY601" s="53"/>
      <c r="NQF601" s="15"/>
      <c r="NQG601" s="50"/>
      <c r="NQH601" s="50"/>
      <c r="NQI601" s="46"/>
      <c r="NQJ601" s="47"/>
      <c r="NQK601" s="46"/>
      <c r="NQL601" s="48"/>
      <c r="NQM601" s="53"/>
      <c r="NQT601" s="15"/>
      <c r="NQU601" s="50"/>
      <c r="NQV601" s="50"/>
      <c r="NQW601" s="46"/>
      <c r="NQX601" s="47"/>
      <c r="NQY601" s="46"/>
      <c r="NQZ601" s="48"/>
      <c r="NRA601" s="53"/>
      <c r="NRH601" s="15"/>
      <c r="NRI601" s="50"/>
      <c r="NRJ601" s="50"/>
      <c r="NRK601" s="46"/>
      <c r="NRL601" s="47"/>
      <c r="NRM601" s="46"/>
      <c r="NRN601" s="48"/>
      <c r="NRO601" s="53"/>
      <c r="NRV601" s="15"/>
      <c r="NRW601" s="50"/>
      <c r="NRX601" s="50"/>
      <c r="NRY601" s="46"/>
      <c r="NRZ601" s="47"/>
      <c r="NSA601" s="46"/>
      <c r="NSB601" s="48"/>
      <c r="NSC601" s="53"/>
      <c r="NSJ601" s="15"/>
      <c r="NSK601" s="50"/>
      <c r="NSL601" s="50"/>
      <c r="NSM601" s="46"/>
      <c r="NSN601" s="47"/>
      <c r="NSO601" s="46"/>
      <c r="NSP601" s="48"/>
      <c r="NSQ601" s="53"/>
      <c r="NSX601" s="15"/>
      <c r="NSY601" s="50"/>
      <c r="NSZ601" s="50"/>
      <c r="NTA601" s="46"/>
      <c r="NTB601" s="47"/>
      <c r="NTC601" s="46"/>
      <c r="NTD601" s="48"/>
      <c r="NTE601" s="53"/>
      <c r="NTL601" s="15"/>
      <c r="NTM601" s="50"/>
      <c r="NTN601" s="50"/>
      <c r="NTO601" s="46"/>
      <c r="NTP601" s="47"/>
      <c r="NTQ601" s="46"/>
      <c r="NTR601" s="48"/>
      <c r="NTS601" s="53"/>
      <c r="NTZ601" s="15"/>
      <c r="NUA601" s="50"/>
      <c r="NUB601" s="50"/>
      <c r="NUC601" s="46"/>
      <c r="NUD601" s="47"/>
      <c r="NUE601" s="46"/>
      <c r="NUF601" s="48"/>
      <c r="NUG601" s="53"/>
      <c r="NUN601" s="15"/>
      <c r="NUO601" s="50"/>
      <c r="NUP601" s="50"/>
      <c r="NUQ601" s="46"/>
      <c r="NUR601" s="47"/>
      <c r="NUS601" s="46"/>
      <c r="NUT601" s="48"/>
      <c r="NUU601" s="53"/>
      <c r="NVB601" s="15"/>
      <c r="NVC601" s="50"/>
      <c r="NVD601" s="50"/>
      <c r="NVE601" s="46"/>
      <c r="NVF601" s="47"/>
      <c r="NVG601" s="46"/>
      <c r="NVH601" s="48"/>
      <c r="NVI601" s="53"/>
      <c r="NVP601" s="15"/>
      <c r="NVQ601" s="50"/>
      <c r="NVR601" s="50"/>
      <c r="NVS601" s="46"/>
      <c r="NVT601" s="47"/>
      <c r="NVU601" s="46"/>
      <c r="NVV601" s="48"/>
      <c r="NVW601" s="53"/>
      <c r="NWD601" s="15"/>
      <c r="NWE601" s="50"/>
      <c r="NWF601" s="50"/>
      <c r="NWG601" s="46"/>
      <c r="NWH601" s="47"/>
      <c r="NWI601" s="46"/>
      <c r="NWJ601" s="48"/>
      <c r="NWK601" s="53"/>
      <c r="NWR601" s="15"/>
      <c r="NWS601" s="50"/>
      <c r="NWT601" s="50"/>
      <c r="NWU601" s="46"/>
      <c r="NWV601" s="47"/>
      <c r="NWW601" s="46"/>
      <c r="NWX601" s="48"/>
      <c r="NWY601" s="53"/>
      <c r="NXF601" s="15"/>
      <c r="NXG601" s="50"/>
      <c r="NXH601" s="50"/>
      <c r="NXI601" s="46"/>
      <c r="NXJ601" s="47"/>
      <c r="NXK601" s="46"/>
      <c r="NXL601" s="48"/>
      <c r="NXM601" s="53"/>
      <c r="NXT601" s="15"/>
      <c r="NXU601" s="50"/>
      <c r="NXV601" s="50"/>
      <c r="NXW601" s="46"/>
      <c r="NXX601" s="47"/>
      <c r="NXY601" s="46"/>
      <c r="NXZ601" s="48"/>
      <c r="NYA601" s="53"/>
      <c r="NYH601" s="15"/>
      <c r="NYI601" s="50"/>
      <c r="NYJ601" s="50"/>
      <c r="NYK601" s="46"/>
      <c r="NYL601" s="47"/>
      <c r="NYM601" s="46"/>
      <c r="NYN601" s="48"/>
      <c r="NYO601" s="53"/>
      <c r="NYV601" s="15"/>
      <c r="NYW601" s="50"/>
      <c r="NYX601" s="50"/>
      <c r="NYY601" s="46"/>
      <c r="NYZ601" s="47"/>
      <c r="NZA601" s="46"/>
      <c r="NZB601" s="48"/>
      <c r="NZC601" s="53"/>
      <c r="NZJ601" s="15"/>
      <c r="NZK601" s="50"/>
      <c r="NZL601" s="50"/>
      <c r="NZM601" s="46"/>
      <c r="NZN601" s="47"/>
      <c r="NZO601" s="46"/>
      <c r="NZP601" s="48"/>
      <c r="NZQ601" s="53"/>
      <c r="NZX601" s="15"/>
      <c r="NZY601" s="50"/>
      <c r="NZZ601" s="50"/>
      <c r="OAA601" s="46"/>
      <c r="OAB601" s="47"/>
      <c r="OAC601" s="46"/>
      <c r="OAD601" s="48"/>
      <c r="OAE601" s="53"/>
      <c r="OAL601" s="15"/>
      <c r="OAM601" s="50"/>
      <c r="OAN601" s="50"/>
      <c r="OAO601" s="46"/>
      <c r="OAP601" s="47"/>
      <c r="OAQ601" s="46"/>
      <c r="OAR601" s="48"/>
      <c r="OAS601" s="53"/>
      <c r="OAZ601" s="15"/>
      <c r="OBA601" s="50"/>
      <c r="OBB601" s="50"/>
      <c r="OBC601" s="46"/>
      <c r="OBD601" s="47"/>
      <c r="OBE601" s="46"/>
      <c r="OBF601" s="48"/>
      <c r="OBG601" s="53"/>
      <c r="OBN601" s="15"/>
      <c r="OBO601" s="50"/>
      <c r="OBP601" s="50"/>
      <c r="OBQ601" s="46"/>
      <c r="OBR601" s="47"/>
      <c r="OBS601" s="46"/>
      <c r="OBT601" s="48"/>
      <c r="OBU601" s="53"/>
      <c r="OCB601" s="15"/>
      <c r="OCC601" s="50"/>
      <c r="OCD601" s="50"/>
      <c r="OCE601" s="46"/>
      <c r="OCF601" s="47"/>
      <c r="OCG601" s="46"/>
      <c r="OCH601" s="48"/>
      <c r="OCI601" s="53"/>
      <c r="OCP601" s="15"/>
      <c r="OCQ601" s="50"/>
      <c r="OCR601" s="50"/>
      <c r="OCS601" s="46"/>
      <c r="OCT601" s="47"/>
      <c r="OCU601" s="46"/>
      <c r="OCV601" s="48"/>
      <c r="OCW601" s="53"/>
      <c r="ODD601" s="15"/>
      <c r="ODE601" s="50"/>
      <c r="ODF601" s="50"/>
      <c r="ODG601" s="46"/>
      <c r="ODH601" s="47"/>
      <c r="ODI601" s="46"/>
      <c r="ODJ601" s="48"/>
      <c r="ODK601" s="53"/>
      <c r="ODR601" s="15"/>
      <c r="ODS601" s="50"/>
      <c r="ODT601" s="50"/>
      <c r="ODU601" s="46"/>
      <c r="ODV601" s="47"/>
      <c r="ODW601" s="46"/>
      <c r="ODX601" s="48"/>
      <c r="ODY601" s="53"/>
      <c r="OEF601" s="15"/>
      <c r="OEG601" s="50"/>
      <c r="OEH601" s="50"/>
      <c r="OEI601" s="46"/>
      <c r="OEJ601" s="47"/>
      <c r="OEK601" s="46"/>
      <c r="OEL601" s="48"/>
      <c r="OEM601" s="53"/>
      <c r="OET601" s="15"/>
      <c r="OEU601" s="50"/>
      <c r="OEV601" s="50"/>
      <c r="OEW601" s="46"/>
      <c r="OEX601" s="47"/>
      <c r="OEY601" s="46"/>
      <c r="OEZ601" s="48"/>
      <c r="OFA601" s="53"/>
      <c r="OFH601" s="15"/>
      <c r="OFI601" s="50"/>
      <c r="OFJ601" s="50"/>
      <c r="OFK601" s="46"/>
      <c r="OFL601" s="47"/>
      <c r="OFM601" s="46"/>
      <c r="OFN601" s="48"/>
      <c r="OFO601" s="53"/>
      <c r="OFV601" s="15"/>
      <c r="OFW601" s="50"/>
      <c r="OFX601" s="50"/>
      <c r="OFY601" s="46"/>
      <c r="OFZ601" s="47"/>
      <c r="OGA601" s="46"/>
      <c r="OGB601" s="48"/>
      <c r="OGC601" s="53"/>
      <c r="OGJ601" s="15"/>
      <c r="OGK601" s="50"/>
      <c r="OGL601" s="50"/>
      <c r="OGM601" s="46"/>
      <c r="OGN601" s="47"/>
      <c r="OGO601" s="46"/>
      <c r="OGP601" s="48"/>
      <c r="OGQ601" s="53"/>
      <c r="OGX601" s="15"/>
      <c r="OGY601" s="50"/>
      <c r="OGZ601" s="50"/>
      <c r="OHA601" s="46"/>
      <c r="OHB601" s="47"/>
      <c r="OHC601" s="46"/>
      <c r="OHD601" s="48"/>
      <c r="OHE601" s="53"/>
      <c r="OHL601" s="15"/>
      <c r="OHM601" s="50"/>
      <c r="OHN601" s="50"/>
      <c r="OHO601" s="46"/>
      <c r="OHP601" s="47"/>
      <c r="OHQ601" s="46"/>
      <c r="OHR601" s="48"/>
      <c r="OHS601" s="53"/>
      <c r="OHZ601" s="15"/>
      <c r="OIA601" s="50"/>
      <c r="OIB601" s="50"/>
      <c r="OIC601" s="46"/>
      <c r="OID601" s="47"/>
      <c r="OIE601" s="46"/>
      <c r="OIF601" s="48"/>
      <c r="OIG601" s="53"/>
      <c r="OIN601" s="15"/>
      <c r="OIO601" s="50"/>
      <c r="OIP601" s="50"/>
      <c r="OIQ601" s="46"/>
      <c r="OIR601" s="47"/>
      <c r="OIS601" s="46"/>
      <c r="OIT601" s="48"/>
      <c r="OIU601" s="53"/>
      <c r="OJB601" s="15"/>
      <c r="OJC601" s="50"/>
      <c r="OJD601" s="50"/>
      <c r="OJE601" s="46"/>
      <c r="OJF601" s="47"/>
      <c r="OJG601" s="46"/>
      <c r="OJH601" s="48"/>
      <c r="OJI601" s="53"/>
      <c r="OJP601" s="15"/>
      <c r="OJQ601" s="50"/>
      <c r="OJR601" s="50"/>
      <c r="OJS601" s="46"/>
      <c r="OJT601" s="47"/>
      <c r="OJU601" s="46"/>
      <c r="OJV601" s="48"/>
      <c r="OJW601" s="53"/>
      <c r="OKD601" s="15"/>
      <c r="OKE601" s="50"/>
      <c r="OKF601" s="50"/>
      <c r="OKG601" s="46"/>
      <c r="OKH601" s="47"/>
      <c r="OKI601" s="46"/>
      <c r="OKJ601" s="48"/>
      <c r="OKK601" s="53"/>
      <c r="OKR601" s="15"/>
      <c r="OKS601" s="50"/>
      <c r="OKT601" s="50"/>
      <c r="OKU601" s="46"/>
      <c r="OKV601" s="47"/>
      <c r="OKW601" s="46"/>
      <c r="OKX601" s="48"/>
      <c r="OKY601" s="53"/>
      <c r="OLF601" s="15"/>
      <c r="OLG601" s="50"/>
      <c r="OLH601" s="50"/>
      <c r="OLI601" s="46"/>
      <c r="OLJ601" s="47"/>
      <c r="OLK601" s="46"/>
      <c r="OLL601" s="48"/>
      <c r="OLM601" s="53"/>
      <c r="OLT601" s="15"/>
      <c r="OLU601" s="50"/>
      <c r="OLV601" s="50"/>
      <c r="OLW601" s="46"/>
      <c r="OLX601" s="47"/>
      <c r="OLY601" s="46"/>
      <c r="OLZ601" s="48"/>
      <c r="OMA601" s="53"/>
      <c r="OMH601" s="15"/>
      <c r="OMI601" s="50"/>
      <c r="OMJ601" s="50"/>
      <c r="OMK601" s="46"/>
      <c r="OML601" s="47"/>
      <c r="OMM601" s="46"/>
      <c r="OMN601" s="48"/>
      <c r="OMO601" s="53"/>
      <c r="OMV601" s="15"/>
      <c r="OMW601" s="50"/>
      <c r="OMX601" s="50"/>
      <c r="OMY601" s="46"/>
      <c r="OMZ601" s="47"/>
      <c r="ONA601" s="46"/>
      <c r="ONB601" s="48"/>
      <c r="ONC601" s="53"/>
      <c r="ONJ601" s="15"/>
      <c r="ONK601" s="50"/>
      <c r="ONL601" s="50"/>
      <c r="ONM601" s="46"/>
      <c r="ONN601" s="47"/>
      <c r="ONO601" s="46"/>
      <c r="ONP601" s="48"/>
      <c r="ONQ601" s="53"/>
      <c r="ONX601" s="15"/>
      <c r="ONY601" s="50"/>
      <c r="ONZ601" s="50"/>
      <c r="OOA601" s="46"/>
      <c r="OOB601" s="47"/>
      <c r="OOC601" s="46"/>
      <c r="OOD601" s="48"/>
      <c r="OOE601" s="53"/>
      <c r="OOL601" s="15"/>
      <c r="OOM601" s="50"/>
      <c r="OON601" s="50"/>
      <c r="OOO601" s="46"/>
      <c r="OOP601" s="47"/>
      <c r="OOQ601" s="46"/>
      <c r="OOR601" s="48"/>
      <c r="OOS601" s="53"/>
      <c r="OOZ601" s="15"/>
      <c r="OPA601" s="50"/>
      <c r="OPB601" s="50"/>
      <c r="OPC601" s="46"/>
      <c r="OPD601" s="47"/>
      <c r="OPE601" s="46"/>
      <c r="OPF601" s="48"/>
      <c r="OPG601" s="53"/>
      <c r="OPN601" s="15"/>
      <c r="OPO601" s="50"/>
      <c r="OPP601" s="50"/>
      <c r="OPQ601" s="46"/>
      <c r="OPR601" s="47"/>
      <c r="OPS601" s="46"/>
      <c r="OPT601" s="48"/>
      <c r="OPU601" s="53"/>
      <c r="OQB601" s="15"/>
      <c r="OQC601" s="50"/>
      <c r="OQD601" s="50"/>
      <c r="OQE601" s="46"/>
      <c r="OQF601" s="47"/>
      <c r="OQG601" s="46"/>
      <c r="OQH601" s="48"/>
      <c r="OQI601" s="53"/>
      <c r="OQP601" s="15"/>
      <c r="OQQ601" s="50"/>
      <c r="OQR601" s="50"/>
      <c r="OQS601" s="46"/>
      <c r="OQT601" s="47"/>
      <c r="OQU601" s="46"/>
      <c r="OQV601" s="48"/>
      <c r="OQW601" s="53"/>
      <c r="ORD601" s="15"/>
      <c r="ORE601" s="50"/>
      <c r="ORF601" s="50"/>
      <c r="ORG601" s="46"/>
      <c r="ORH601" s="47"/>
      <c r="ORI601" s="46"/>
      <c r="ORJ601" s="48"/>
      <c r="ORK601" s="53"/>
      <c r="ORR601" s="15"/>
      <c r="ORS601" s="50"/>
      <c r="ORT601" s="50"/>
      <c r="ORU601" s="46"/>
      <c r="ORV601" s="47"/>
      <c r="ORW601" s="46"/>
      <c r="ORX601" s="48"/>
      <c r="ORY601" s="53"/>
      <c r="OSF601" s="15"/>
      <c r="OSG601" s="50"/>
      <c r="OSH601" s="50"/>
      <c r="OSI601" s="46"/>
      <c r="OSJ601" s="47"/>
      <c r="OSK601" s="46"/>
      <c r="OSL601" s="48"/>
      <c r="OSM601" s="53"/>
      <c r="OST601" s="15"/>
      <c r="OSU601" s="50"/>
      <c r="OSV601" s="50"/>
      <c r="OSW601" s="46"/>
      <c r="OSX601" s="47"/>
      <c r="OSY601" s="46"/>
      <c r="OSZ601" s="48"/>
      <c r="OTA601" s="53"/>
      <c r="OTH601" s="15"/>
      <c r="OTI601" s="50"/>
      <c r="OTJ601" s="50"/>
      <c r="OTK601" s="46"/>
      <c r="OTL601" s="47"/>
      <c r="OTM601" s="46"/>
      <c r="OTN601" s="48"/>
      <c r="OTO601" s="53"/>
      <c r="OTV601" s="15"/>
      <c r="OTW601" s="50"/>
      <c r="OTX601" s="50"/>
      <c r="OTY601" s="46"/>
      <c r="OTZ601" s="47"/>
      <c r="OUA601" s="46"/>
      <c r="OUB601" s="48"/>
      <c r="OUC601" s="53"/>
      <c r="OUJ601" s="15"/>
      <c r="OUK601" s="50"/>
      <c r="OUL601" s="50"/>
      <c r="OUM601" s="46"/>
      <c r="OUN601" s="47"/>
      <c r="OUO601" s="46"/>
      <c r="OUP601" s="48"/>
      <c r="OUQ601" s="53"/>
      <c r="OUX601" s="15"/>
      <c r="OUY601" s="50"/>
      <c r="OUZ601" s="50"/>
      <c r="OVA601" s="46"/>
      <c r="OVB601" s="47"/>
      <c r="OVC601" s="46"/>
      <c r="OVD601" s="48"/>
      <c r="OVE601" s="53"/>
      <c r="OVL601" s="15"/>
      <c r="OVM601" s="50"/>
      <c r="OVN601" s="50"/>
      <c r="OVO601" s="46"/>
      <c r="OVP601" s="47"/>
      <c r="OVQ601" s="46"/>
      <c r="OVR601" s="48"/>
      <c r="OVS601" s="53"/>
      <c r="OVZ601" s="15"/>
      <c r="OWA601" s="50"/>
      <c r="OWB601" s="50"/>
      <c r="OWC601" s="46"/>
      <c r="OWD601" s="47"/>
      <c r="OWE601" s="46"/>
      <c r="OWF601" s="48"/>
      <c r="OWG601" s="53"/>
      <c r="OWN601" s="15"/>
      <c r="OWO601" s="50"/>
      <c r="OWP601" s="50"/>
      <c r="OWQ601" s="46"/>
      <c r="OWR601" s="47"/>
      <c r="OWS601" s="46"/>
      <c r="OWT601" s="48"/>
      <c r="OWU601" s="53"/>
      <c r="OXB601" s="15"/>
      <c r="OXC601" s="50"/>
      <c r="OXD601" s="50"/>
      <c r="OXE601" s="46"/>
      <c r="OXF601" s="47"/>
      <c r="OXG601" s="46"/>
      <c r="OXH601" s="48"/>
      <c r="OXI601" s="53"/>
      <c r="OXP601" s="15"/>
      <c r="OXQ601" s="50"/>
      <c r="OXR601" s="50"/>
      <c r="OXS601" s="46"/>
      <c r="OXT601" s="47"/>
      <c r="OXU601" s="46"/>
      <c r="OXV601" s="48"/>
      <c r="OXW601" s="53"/>
      <c r="OYD601" s="15"/>
      <c r="OYE601" s="50"/>
      <c r="OYF601" s="50"/>
      <c r="OYG601" s="46"/>
      <c r="OYH601" s="47"/>
      <c r="OYI601" s="46"/>
      <c r="OYJ601" s="48"/>
      <c r="OYK601" s="53"/>
      <c r="OYR601" s="15"/>
      <c r="OYS601" s="50"/>
      <c r="OYT601" s="50"/>
      <c r="OYU601" s="46"/>
      <c r="OYV601" s="47"/>
      <c r="OYW601" s="46"/>
      <c r="OYX601" s="48"/>
      <c r="OYY601" s="53"/>
      <c r="OZF601" s="15"/>
      <c r="OZG601" s="50"/>
      <c r="OZH601" s="50"/>
      <c r="OZI601" s="46"/>
      <c r="OZJ601" s="47"/>
      <c r="OZK601" s="46"/>
      <c r="OZL601" s="48"/>
      <c r="OZM601" s="53"/>
      <c r="OZT601" s="15"/>
      <c r="OZU601" s="50"/>
      <c r="OZV601" s="50"/>
      <c r="OZW601" s="46"/>
      <c r="OZX601" s="47"/>
      <c r="OZY601" s="46"/>
      <c r="OZZ601" s="48"/>
      <c r="PAA601" s="53"/>
      <c r="PAH601" s="15"/>
      <c r="PAI601" s="50"/>
      <c r="PAJ601" s="50"/>
      <c r="PAK601" s="46"/>
      <c r="PAL601" s="47"/>
      <c r="PAM601" s="46"/>
      <c r="PAN601" s="48"/>
      <c r="PAO601" s="53"/>
      <c r="PAV601" s="15"/>
      <c r="PAW601" s="50"/>
      <c r="PAX601" s="50"/>
      <c r="PAY601" s="46"/>
      <c r="PAZ601" s="47"/>
      <c r="PBA601" s="46"/>
      <c r="PBB601" s="48"/>
      <c r="PBC601" s="53"/>
      <c r="PBJ601" s="15"/>
      <c r="PBK601" s="50"/>
      <c r="PBL601" s="50"/>
      <c r="PBM601" s="46"/>
      <c r="PBN601" s="47"/>
      <c r="PBO601" s="46"/>
      <c r="PBP601" s="48"/>
      <c r="PBQ601" s="53"/>
      <c r="PBX601" s="15"/>
      <c r="PBY601" s="50"/>
      <c r="PBZ601" s="50"/>
      <c r="PCA601" s="46"/>
      <c r="PCB601" s="47"/>
      <c r="PCC601" s="46"/>
      <c r="PCD601" s="48"/>
      <c r="PCE601" s="53"/>
      <c r="PCL601" s="15"/>
      <c r="PCM601" s="50"/>
      <c r="PCN601" s="50"/>
      <c r="PCO601" s="46"/>
      <c r="PCP601" s="47"/>
      <c r="PCQ601" s="46"/>
      <c r="PCR601" s="48"/>
      <c r="PCS601" s="53"/>
      <c r="PCZ601" s="15"/>
      <c r="PDA601" s="50"/>
      <c r="PDB601" s="50"/>
      <c r="PDC601" s="46"/>
      <c r="PDD601" s="47"/>
      <c r="PDE601" s="46"/>
      <c r="PDF601" s="48"/>
      <c r="PDG601" s="53"/>
      <c r="PDN601" s="15"/>
      <c r="PDO601" s="50"/>
      <c r="PDP601" s="50"/>
      <c r="PDQ601" s="46"/>
      <c r="PDR601" s="47"/>
      <c r="PDS601" s="46"/>
      <c r="PDT601" s="48"/>
      <c r="PDU601" s="53"/>
      <c r="PEB601" s="15"/>
      <c r="PEC601" s="50"/>
      <c r="PED601" s="50"/>
      <c r="PEE601" s="46"/>
      <c r="PEF601" s="47"/>
      <c r="PEG601" s="46"/>
      <c r="PEH601" s="48"/>
      <c r="PEI601" s="53"/>
      <c r="PEP601" s="15"/>
      <c r="PEQ601" s="50"/>
      <c r="PER601" s="50"/>
      <c r="PES601" s="46"/>
      <c r="PET601" s="47"/>
      <c r="PEU601" s="46"/>
      <c r="PEV601" s="48"/>
      <c r="PEW601" s="53"/>
      <c r="PFD601" s="15"/>
      <c r="PFE601" s="50"/>
      <c r="PFF601" s="50"/>
      <c r="PFG601" s="46"/>
      <c r="PFH601" s="47"/>
      <c r="PFI601" s="46"/>
      <c r="PFJ601" s="48"/>
      <c r="PFK601" s="53"/>
      <c r="PFR601" s="15"/>
      <c r="PFS601" s="50"/>
      <c r="PFT601" s="50"/>
      <c r="PFU601" s="46"/>
      <c r="PFV601" s="47"/>
      <c r="PFW601" s="46"/>
      <c r="PFX601" s="48"/>
      <c r="PFY601" s="53"/>
      <c r="PGF601" s="15"/>
      <c r="PGG601" s="50"/>
      <c r="PGH601" s="50"/>
      <c r="PGI601" s="46"/>
      <c r="PGJ601" s="47"/>
      <c r="PGK601" s="46"/>
      <c r="PGL601" s="48"/>
      <c r="PGM601" s="53"/>
      <c r="PGT601" s="15"/>
      <c r="PGU601" s="50"/>
      <c r="PGV601" s="50"/>
      <c r="PGW601" s="46"/>
      <c r="PGX601" s="47"/>
      <c r="PGY601" s="46"/>
      <c r="PGZ601" s="48"/>
      <c r="PHA601" s="53"/>
      <c r="PHH601" s="15"/>
      <c r="PHI601" s="50"/>
      <c r="PHJ601" s="50"/>
      <c r="PHK601" s="46"/>
      <c r="PHL601" s="47"/>
      <c r="PHM601" s="46"/>
      <c r="PHN601" s="48"/>
      <c r="PHO601" s="53"/>
      <c r="PHV601" s="15"/>
      <c r="PHW601" s="50"/>
      <c r="PHX601" s="50"/>
      <c r="PHY601" s="46"/>
      <c r="PHZ601" s="47"/>
      <c r="PIA601" s="46"/>
      <c r="PIB601" s="48"/>
      <c r="PIC601" s="53"/>
      <c r="PIJ601" s="15"/>
      <c r="PIK601" s="50"/>
      <c r="PIL601" s="50"/>
      <c r="PIM601" s="46"/>
      <c r="PIN601" s="47"/>
      <c r="PIO601" s="46"/>
      <c r="PIP601" s="48"/>
      <c r="PIQ601" s="53"/>
      <c r="PIX601" s="15"/>
      <c r="PIY601" s="50"/>
      <c r="PIZ601" s="50"/>
      <c r="PJA601" s="46"/>
      <c r="PJB601" s="47"/>
      <c r="PJC601" s="46"/>
      <c r="PJD601" s="48"/>
      <c r="PJE601" s="53"/>
      <c r="PJL601" s="15"/>
      <c r="PJM601" s="50"/>
      <c r="PJN601" s="50"/>
      <c r="PJO601" s="46"/>
      <c r="PJP601" s="47"/>
      <c r="PJQ601" s="46"/>
      <c r="PJR601" s="48"/>
      <c r="PJS601" s="53"/>
      <c r="PJZ601" s="15"/>
      <c r="PKA601" s="50"/>
      <c r="PKB601" s="50"/>
      <c r="PKC601" s="46"/>
      <c r="PKD601" s="47"/>
      <c r="PKE601" s="46"/>
      <c r="PKF601" s="48"/>
      <c r="PKG601" s="53"/>
      <c r="PKN601" s="15"/>
      <c r="PKO601" s="50"/>
      <c r="PKP601" s="50"/>
      <c r="PKQ601" s="46"/>
      <c r="PKR601" s="47"/>
      <c r="PKS601" s="46"/>
      <c r="PKT601" s="48"/>
      <c r="PKU601" s="53"/>
      <c r="PLB601" s="15"/>
      <c r="PLC601" s="50"/>
      <c r="PLD601" s="50"/>
      <c r="PLE601" s="46"/>
      <c r="PLF601" s="47"/>
      <c r="PLG601" s="46"/>
      <c r="PLH601" s="48"/>
      <c r="PLI601" s="53"/>
      <c r="PLP601" s="15"/>
      <c r="PLQ601" s="50"/>
      <c r="PLR601" s="50"/>
      <c r="PLS601" s="46"/>
      <c r="PLT601" s="47"/>
      <c r="PLU601" s="46"/>
      <c r="PLV601" s="48"/>
      <c r="PLW601" s="53"/>
      <c r="PMD601" s="15"/>
      <c r="PME601" s="50"/>
      <c r="PMF601" s="50"/>
      <c r="PMG601" s="46"/>
      <c r="PMH601" s="47"/>
      <c r="PMI601" s="46"/>
      <c r="PMJ601" s="48"/>
      <c r="PMK601" s="53"/>
      <c r="PMR601" s="15"/>
      <c r="PMS601" s="50"/>
      <c r="PMT601" s="50"/>
      <c r="PMU601" s="46"/>
      <c r="PMV601" s="47"/>
      <c r="PMW601" s="46"/>
      <c r="PMX601" s="48"/>
      <c r="PMY601" s="53"/>
      <c r="PNF601" s="15"/>
      <c r="PNG601" s="50"/>
      <c r="PNH601" s="50"/>
      <c r="PNI601" s="46"/>
      <c r="PNJ601" s="47"/>
      <c r="PNK601" s="46"/>
      <c r="PNL601" s="48"/>
      <c r="PNM601" s="53"/>
      <c r="PNT601" s="15"/>
      <c r="PNU601" s="50"/>
      <c r="PNV601" s="50"/>
      <c r="PNW601" s="46"/>
      <c r="PNX601" s="47"/>
      <c r="PNY601" s="46"/>
      <c r="PNZ601" s="48"/>
      <c r="POA601" s="53"/>
      <c r="POH601" s="15"/>
      <c r="POI601" s="50"/>
      <c r="POJ601" s="50"/>
      <c r="POK601" s="46"/>
      <c r="POL601" s="47"/>
      <c r="POM601" s="46"/>
      <c r="PON601" s="48"/>
      <c r="POO601" s="53"/>
      <c r="POV601" s="15"/>
      <c r="POW601" s="50"/>
      <c r="POX601" s="50"/>
      <c r="POY601" s="46"/>
      <c r="POZ601" s="47"/>
      <c r="PPA601" s="46"/>
      <c r="PPB601" s="48"/>
      <c r="PPC601" s="53"/>
      <c r="PPJ601" s="15"/>
      <c r="PPK601" s="50"/>
      <c r="PPL601" s="50"/>
      <c r="PPM601" s="46"/>
      <c r="PPN601" s="47"/>
      <c r="PPO601" s="46"/>
      <c r="PPP601" s="48"/>
      <c r="PPQ601" s="53"/>
      <c r="PPX601" s="15"/>
      <c r="PPY601" s="50"/>
      <c r="PPZ601" s="50"/>
      <c r="PQA601" s="46"/>
      <c r="PQB601" s="47"/>
      <c r="PQC601" s="46"/>
      <c r="PQD601" s="48"/>
      <c r="PQE601" s="53"/>
      <c r="PQL601" s="15"/>
      <c r="PQM601" s="50"/>
      <c r="PQN601" s="50"/>
      <c r="PQO601" s="46"/>
      <c r="PQP601" s="47"/>
      <c r="PQQ601" s="46"/>
      <c r="PQR601" s="48"/>
      <c r="PQS601" s="53"/>
      <c r="PQZ601" s="15"/>
      <c r="PRA601" s="50"/>
      <c r="PRB601" s="50"/>
      <c r="PRC601" s="46"/>
      <c r="PRD601" s="47"/>
      <c r="PRE601" s="46"/>
      <c r="PRF601" s="48"/>
      <c r="PRG601" s="53"/>
      <c r="PRN601" s="15"/>
      <c r="PRO601" s="50"/>
      <c r="PRP601" s="50"/>
      <c r="PRQ601" s="46"/>
      <c r="PRR601" s="47"/>
      <c r="PRS601" s="46"/>
      <c r="PRT601" s="48"/>
      <c r="PRU601" s="53"/>
      <c r="PSB601" s="15"/>
      <c r="PSC601" s="50"/>
      <c r="PSD601" s="50"/>
      <c r="PSE601" s="46"/>
      <c r="PSF601" s="47"/>
      <c r="PSG601" s="46"/>
      <c r="PSH601" s="48"/>
      <c r="PSI601" s="53"/>
      <c r="PSP601" s="15"/>
      <c r="PSQ601" s="50"/>
      <c r="PSR601" s="50"/>
      <c r="PSS601" s="46"/>
      <c r="PST601" s="47"/>
      <c r="PSU601" s="46"/>
      <c r="PSV601" s="48"/>
      <c r="PSW601" s="53"/>
      <c r="PTD601" s="15"/>
      <c r="PTE601" s="50"/>
      <c r="PTF601" s="50"/>
      <c r="PTG601" s="46"/>
      <c r="PTH601" s="47"/>
      <c r="PTI601" s="46"/>
      <c r="PTJ601" s="48"/>
      <c r="PTK601" s="53"/>
      <c r="PTR601" s="15"/>
      <c r="PTS601" s="50"/>
      <c r="PTT601" s="50"/>
      <c r="PTU601" s="46"/>
      <c r="PTV601" s="47"/>
      <c r="PTW601" s="46"/>
      <c r="PTX601" s="48"/>
      <c r="PTY601" s="53"/>
      <c r="PUF601" s="15"/>
      <c r="PUG601" s="50"/>
      <c r="PUH601" s="50"/>
      <c r="PUI601" s="46"/>
      <c r="PUJ601" s="47"/>
      <c r="PUK601" s="46"/>
      <c r="PUL601" s="48"/>
      <c r="PUM601" s="53"/>
      <c r="PUT601" s="15"/>
      <c r="PUU601" s="50"/>
      <c r="PUV601" s="50"/>
      <c r="PUW601" s="46"/>
      <c r="PUX601" s="47"/>
      <c r="PUY601" s="46"/>
      <c r="PUZ601" s="48"/>
      <c r="PVA601" s="53"/>
      <c r="PVH601" s="15"/>
      <c r="PVI601" s="50"/>
      <c r="PVJ601" s="50"/>
      <c r="PVK601" s="46"/>
      <c r="PVL601" s="47"/>
      <c r="PVM601" s="46"/>
      <c r="PVN601" s="48"/>
      <c r="PVO601" s="53"/>
      <c r="PVV601" s="15"/>
      <c r="PVW601" s="50"/>
      <c r="PVX601" s="50"/>
      <c r="PVY601" s="46"/>
      <c r="PVZ601" s="47"/>
      <c r="PWA601" s="46"/>
      <c r="PWB601" s="48"/>
      <c r="PWC601" s="53"/>
      <c r="PWJ601" s="15"/>
      <c r="PWK601" s="50"/>
      <c r="PWL601" s="50"/>
      <c r="PWM601" s="46"/>
      <c r="PWN601" s="47"/>
      <c r="PWO601" s="46"/>
      <c r="PWP601" s="48"/>
      <c r="PWQ601" s="53"/>
      <c r="PWX601" s="15"/>
      <c r="PWY601" s="50"/>
      <c r="PWZ601" s="50"/>
      <c r="PXA601" s="46"/>
      <c r="PXB601" s="47"/>
      <c r="PXC601" s="46"/>
      <c r="PXD601" s="48"/>
      <c r="PXE601" s="53"/>
      <c r="PXL601" s="15"/>
      <c r="PXM601" s="50"/>
      <c r="PXN601" s="50"/>
      <c r="PXO601" s="46"/>
      <c r="PXP601" s="47"/>
      <c r="PXQ601" s="46"/>
      <c r="PXR601" s="48"/>
      <c r="PXS601" s="53"/>
      <c r="PXZ601" s="15"/>
      <c r="PYA601" s="50"/>
      <c r="PYB601" s="50"/>
      <c r="PYC601" s="46"/>
      <c r="PYD601" s="47"/>
      <c r="PYE601" s="46"/>
      <c r="PYF601" s="48"/>
      <c r="PYG601" s="53"/>
      <c r="PYN601" s="15"/>
      <c r="PYO601" s="50"/>
      <c r="PYP601" s="50"/>
      <c r="PYQ601" s="46"/>
      <c r="PYR601" s="47"/>
      <c r="PYS601" s="46"/>
      <c r="PYT601" s="48"/>
      <c r="PYU601" s="53"/>
      <c r="PZB601" s="15"/>
      <c r="PZC601" s="50"/>
      <c r="PZD601" s="50"/>
      <c r="PZE601" s="46"/>
      <c r="PZF601" s="47"/>
      <c r="PZG601" s="46"/>
      <c r="PZH601" s="48"/>
      <c r="PZI601" s="53"/>
      <c r="PZP601" s="15"/>
      <c r="PZQ601" s="50"/>
      <c r="PZR601" s="50"/>
      <c r="PZS601" s="46"/>
      <c r="PZT601" s="47"/>
      <c r="PZU601" s="46"/>
      <c r="PZV601" s="48"/>
      <c r="PZW601" s="53"/>
      <c r="QAD601" s="15"/>
      <c r="QAE601" s="50"/>
      <c r="QAF601" s="50"/>
      <c r="QAG601" s="46"/>
      <c r="QAH601" s="47"/>
      <c r="QAI601" s="46"/>
      <c r="QAJ601" s="48"/>
      <c r="QAK601" s="53"/>
      <c r="QAR601" s="15"/>
      <c r="QAS601" s="50"/>
      <c r="QAT601" s="50"/>
      <c r="QAU601" s="46"/>
      <c r="QAV601" s="47"/>
      <c r="QAW601" s="46"/>
      <c r="QAX601" s="48"/>
      <c r="QAY601" s="53"/>
      <c r="QBF601" s="15"/>
      <c r="QBG601" s="50"/>
      <c r="QBH601" s="50"/>
      <c r="QBI601" s="46"/>
      <c r="QBJ601" s="47"/>
      <c r="QBK601" s="46"/>
      <c r="QBL601" s="48"/>
      <c r="QBM601" s="53"/>
      <c r="QBT601" s="15"/>
      <c r="QBU601" s="50"/>
      <c r="QBV601" s="50"/>
      <c r="QBW601" s="46"/>
      <c r="QBX601" s="47"/>
      <c r="QBY601" s="46"/>
      <c r="QBZ601" s="48"/>
      <c r="QCA601" s="53"/>
      <c r="QCH601" s="15"/>
      <c r="QCI601" s="50"/>
      <c r="QCJ601" s="50"/>
      <c r="QCK601" s="46"/>
      <c r="QCL601" s="47"/>
      <c r="QCM601" s="46"/>
      <c r="QCN601" s="48"/>
      <c r="QCO601" s="53"/>
      <c r="QCV601" s="15"/>
      <c r="QCW601" s="50"/>
      <c r="QCX601" s="50"/>
      <c r="QCY601" s="46"/>
      <c r="QCZ601" s="47"/>
      <c r="QDA601" s="46"/>
      <c r="QDB601" s="48"/>
      <c r="QDC601" s="53"/>
      <c r="QDJ601" s="15"/>
      <c r="QDK601" s="50"/>
      <c r="QDL601" s="50"/>
      <c r="QDM601" s="46"/>
      <c r="QDN601" s="47"/>
      <c r="QDO601" s="46"/>
      <c r="QDP601" s="48"/>
      <c r="QDQ601" s="53"/>
      <c r="QDX601" s="15"/>
      <c r="QDY601" s="50"/>
      <c r="QDZ601" s="50"/>
      <c r="QEA601" s="46"/>
      <c r="QEB601" s="47"/>
      <c r="QEC601" s="46"/>
      <c r="QED601" s="48"/>
      <c r="QEE601" s="53"/>
      <c r="QEL601" s="15"/>
      <c r="QEM601" s="50"/>
      <c r="QEN601" s="50"/>
      <c r="QEO601" s="46"/>
      <c r="QEP601" s="47"/>
      <c r="QEQ601" s="46"/>
      <c r="QER601" s="48"/>
      <c r="QES601" s="53"/>
      <c r="QEZ601" s="15"/>
      <c r="QFA601" s="50"/>
      <c r="QFB601" s="50"/>
      <c r="QFC601" s="46"/>
      <c r="QFD601" s="47"/>
      <c r="QFE601" s="46"/>
      <c r="QFF601" s="48"/>
      <c r="QFG601" s="53"/>
      <c r="QFN601" s="15"/>
      <c r="QFO601" s="50"/>
      <c r="QFP601" s="50"/>
      <c r="QFQ601" s="46"/>
      <c r="QFR601" s="47"/>
      <c r="QFS601" s="46"/>
      <c r="QFT601" s="48"/>
      <c r="QFU601" s="53"/>
      <c r="QGB601" s="15"/>
      <c r="QGC601" s="50"/>
      <c r="QGD601" s="50"/>
      <c r="QGE601" s="46"/>
      <c r="QGF601" s="47"/>
      <c r="QGG601" s="46"/>
      <c r="QGH601" s="48"/>
      <c r="QGI601" s="53"/>
      <c r="QGP601" s="15"/>
      <c r="QGQ601" s="50"/>
      <c r="QGR601" s="50"/>
      <c r="QGS601" s="46"/>
      <c r="QGT601" s="47"/>
      <c r="QGU601" s="46"/>
      <c r="QGV601" s="48"/>
      <c r="QGW601" s="53"/>
      <c r="QHD601" s="15"/>
      <c r="QHE601" s="50"/>
      <c r="QHF601" s="50"/>
      <c r="QHG601" s="46"/>
      <c r="QHH601" s="47"/>
      <c r="QHI601" s="46"/>
      <c r="QHJ601" s="48"/>
      <c r="QHK601" s="53"/>
      <c r="QHR601" s="15"/>
      <c r="QHS601" s="50"/>
      <c r="QHT601" s="50"/>
      <c r="QHU601" s="46"/>
      <c r="QHV601" s="47"/>
      <c r="QHW601" s="46"/>
      <c r="QHX601" s="48"/>
      <c r="QHY601" s="53"/>
      <c r="QIF601" s="15"/>
      <c r="QIG601" s="50"/>
      <c r="QIH601" s="50"/>
      <c r="QII601" s="46"/>
      <c r="QIJ601" s="47"/>
      <c r="QIK601" s="46"/>
      <c r="QIL601" s="48"/>
      <c r="QIM601" s="53"/>
      <c r="QIT601" s="15"/>
      <c r="QIU601" s="50"/>
      <c r="QIV601" s="50"/>
      <c r="QIW601" s="46"/>
      <c r="QIX601" s="47"/>
      <c r="QIY601" s="46"/>
      <c r="QIZ601" s="48"/>
      <c r="QJA601" s="53"/>
      <c r="QJH601" s="15"/>
      <c r="QJI601" s="50"/>
      <c r="QJJ601" s="50"/>
      <c r="QJK601" s="46"/>
      <c r="QJL601" s="47"/>
      <c r="QJM601" s="46"/>
      <c r="QJN601" s="48"/>
      <c r="QJO601" s="53"/>
      <c r="QJV601" s="15"/>
      <c r="QJW601" s="50"/>
      <c r="QJX601" s="50"/>
      <c r="QJY601" s="46"/>
      <c r="QJZ601" s="47"/>
      <c r="QKA601" s="46"/>
      <c r="QKB601" s="48"/>
      <c r="QKC601" s="53"/>
      <c r="QKJ601" s="15"/>
      <c r="QKK601" s="50"/>
      <c r="QKL601" s="50"/>
      <c r="QKM601" s="46"/>
      <c r="QKN601" s="47"/>
      <c r="QKO601" s="46"/>
      <c r="QKP601" s="48"/>
      <c r="QKQ601" s="53"/>
      <c r="QKX601" s="15"/>
      <c r="QKY601" s="50"/>
      <c r="QKZ601" s="50"/>
      <c r="QLA601" s="46"/>
      <c r="QLB601" s="47"/>
      <c r="QLC601" s="46"/>
      <c r="QLD601" s="48"/>
      <c r="QLE601" s="53"/>
      <c r="QLL601" s="15"/>
      <c r="QLM601" s="50"/>
      <c r="QLN601" s="50"/>
      <c r="QLO601" s="46"/>
      <c r="QLP601" s="47"/>
      <c r="QLQ601" s="46"/>
      <c r="QLR601" s="48"/>
      <c r="QLS601" s="53"/>
      <c r="QLZ601" s="15"/>
      <c r="QMA601" s="50"/>
      <c r="QMB601" s="50"/>
      <c r="QMC601" s="46"/>
      <c r="QMD601" s="47"/>
      <c r="QME601" s="46"/>
      <c r="QMF601" s="48"/>
      <c r="QMG601" s="53"/>
      <c r="QMN601" s="15"/>
      <c r="QMO601" s="50"/>
      <c r="QMP601" s="50"/>
      <c r="QMQ601" s="46"/>
      <c r="QMR601" s="47"/>
      <c r="QMS601" s="46"/>
      <c r="QMT601" s="48"/>
      <c r="QMU601" s="53"/>
      <c r="QNB601" s="15"/>
      <c r="QNC601" s="50"/>
      <c r="QND601" s="50"/>
      <c r="QNE601" s="46"/>
      <c r="QNF601" s="47"/>
      <c r="QNG601" s="46"/>
      <c r="QNH601" s="48"/>
      <c r="QNI601" s="53"/>
      <c r="QNP601" s="15"/>
      <c r="QNQ601" s="50"/>
      <c r="QNR601" s="50"/>
      <c r="QNS601" s="46"/>
      <c r="QNT601" s="47"/>
      <c r="QNU601" s="46"/>
      <c r="QNV601" s="48"/>
      <c r="QNW601" s="53"/>
      <c r="QOD601" s="15"/>
      <c r="QOE601" s="50"/>
      <c r="QOF601" s="50"/>
      <c r="QOG601" s="46"/>
      <c r="QOH601" s="47"/>
      <c r="QOI601" s="46"/>
      <c r="QOJ601" s="48"/>
      <c r="QOK601" s="53"/>
      <c r="QOR601" s="15"/>
      <c r="QOS601" s="50"/>
      <c r="QOT601" s="50"/>
      <c r="QOU601" s="46"/>
      <c r="QOV601" s="47"/>
      <c r="QOW601" s="46"/>
      <c r="QOX601" s="48"/>
      <c r="QOY601" s="53"/>
      <c r="QPF601" s="15"/>
      <c r="QPG601" s="50"/>
      <c r="QPH601" s="50"/>
      <c r="QPI601" s="46"/>
      <c r="QPJ601" s="47"/>
      <c r="QPK601" s="46"/>
      <c r="QPL601" s="48"/>
      <c r="QPM601" s="53"/>
      <c r="QPT601" s="15"/>
      <c r="QPU601" s="50"/>
      <c r="QPV601" s="50"/>
      <c r="QPW601" s="46"/>
      <c r="QPX601" s="47"/>
      <c r="QPY601" s="46"/>
      <c r="QPZ601" s="48"/>
      <c r="QQA601" s="53"/>
      <c r="QQH601" s="15"/>
      <c r="QQI601" s="50"/>
      <c r="QQJ601" s="50"/>
      <c r="QQK601" s="46"/>
      <c r="QQL601" s="47"/>
      <c r="QQM601" s="46"/>
      <c r="QQN601" s="48"/>
      <c r="QQO601" s="53"/>
      <c r="QQV601" s="15"/>
      <c r="QQW601" s="50"/>
      <c r="QQX601" s="50"/>
      <c r="QQY601" s="46"/>
      <c r="QQZ601" s="47"/>
      <c r="QRA601" s="46"/>
      <c r="QRB601" s="48"/>
      <c r="QRC601" s="53"/>
      <c r="QRJ601" s="15"/>
      <c r="QRK601" s="50"/>
      <c r="QRL601" s="50"/>
      <c r="QRM601" s="46"/>
      <c r="QRN601" s="47"/>
      <c r="QRO601" s="46"/>
      <c r="QRP601" s="48"/>
      <c r="QRQ601" s="53"/>
      <c r="QRX601" s="15"/>
      <c r="QRY601" s="50"/>
      <c r="QRZ601" s="50"/>
      <c r="QSA601" s="46"/>
      <c r="QSB601" s="47"/>
      <c r="QSC601" s="46"/>
      <c r="QSD601" s="48"/>
      <c r="QSE601" s="53"/>
      <c r="QSL601" s="15"/>
      <c r="QSM601" s="50"/>
      <c r="QSN601" s="50"/>
      <c r="QSO601" s="46"/>
      <c r="QSP601" s="47"/>
      <c r="QSQ601" s="46"/>
      <c r="QSR601" s="48"/>
      <c r="QSS601" s="53"/>
      <c r="QSZ601" s="15"/>
      <c r="QTA601" s="50"/>
      <c r="QTB601" s="50"/>
      <c r="QTC601" s="46"/>
      <c r="QTD601" s="47"/>
      <c r="QTE601" s="46"/>
      <c r="QTF601" s="48"/>
      <c r="QTG601" s="53"/>
      <c r="QTN601" s="15"/>
      <c r="QTO601" s="50"/>
      <c r="QTP601" s="50"/>
      <c r="QTQ601" s="46"/>
      <c r="QTR601" s="47"/>
      <c r="QTS601" s="46"/>
      <c r="QTT601" s="48"/>
      <c r="QTU601" s="53"/>
      <c r="QUB601" s="15"/>
      <c r="QUC601" s="50"/>
      <c r="QUD601" s="50"/>
      <c r="QUE601" s="46"/>
      <c r="QUF601" s="47"/>
      <c r="QUG601" s="46"/>
      <c r="QUH601" s="48"/>
      <c r="QUI601" s="53"/>
      <c r="QUP601" s="15"/>
      <c r="QUQ601" s="50"/>
      <c r="QUR601" s="50"/>
      <c r="QUS601" s="46"/>
      <c r="QUT601" s="47"/>
      <c r="QUU601" s="46"/>
      <c r="QUV601" s="48"/>
      <c r="QUW601" s="53"/>
      <c r="QVD601" s="15"/>
      <c r="QVE601" s="50"/>
      <c r="QVF601" s="50"/>
      <c r="QVG601" s="46"/>
      <c r="QVH601" s="47"/>
      <c r="QVI601" s="46"/>
      <c r="QVJ601" s="48"/>
      <c r="QVK601" s="53"/>
      <c r="QVR601" s="15"/>
      <c r="QVS601" s="50"/>
      <c r="QVT601" s="50"/>
      <c r="QVU601" s="46"/>
      <c r="QVV601" s="47"/>
      <c r="QVW601" s="46"/>
      <c r="QVX601" s="48"/>
      <c r="QVY601" s="53"/>
      <c r="QWF601" s="15"/>
      <c r="QWG601" s="50"/>
      <c r="QWH601" s="50"/>
      <c r="QWI601" s="46"/>
      <c r="QWJ601" s="47"/>
      <c r="QWK601" s="46"/>
      <c r="QWL601" s="48"/>
      <c r="QWM601" s="53"/>
      <c r="QWT601" s="15"/>
      <c r="QWU601" s="50"/>
      <c r="QWV601" s="50"/>
      <c r="QWW601" s="46"/>
      <c r="QWX601" s="47"/>
      <c r="QWY601" s="46"/>
      <c r="QWZ601" s="48"/>
      <c r="QXA601" s="53"/>
      <c r="QXH601" s="15"/>
      <c r="QXI601" s="50"/>
      <c r="QXJ601" s="50"/>
      <c r="QXK601" s="46"/>
      <c r="QXL601" s="47"/>
      <c r="QXM601" s="46"/>
      <c r="QXN601" s="48"/>
      <c r="QXO601" s="53"/>
      <c r="QXV601" s="15"/>
      <c r="QXW601" s="50"/>
      <c r="QXX601" s="50"/>
      <c r="QXY601" s="46"/>
      <c r="QXZ601" s="47"/>
      <c r="QYA601" s="46"/>
      <c r="QYB601" s="48"/>
      <c r="QYC601" s="53"/>
      <c r="QYJ601" s="15"/>
      <c r="QYK601" s="50"/>
      <c r="QYL601" s="50"/>
      <c r="QYM601" s="46"/>
      <c r="QYN601" s="47"/>
      <c r="QYO601" s="46"/>
      <c r="QYP601" s="48"/>
      <c r="QYQ601" s="53"/>
      <c r="QYX601" s="15"/>
      <c r="QYY601" s="50"/>
      <c r="QYZ601" s="50"/>
      <c r="QZA601" s="46"/>
      <c r="QZB601" s="47"/>
      <c r="QZC601" s="46"/>
      <c r="QZD601" s="48"/>
      <c r="QZE601" s="53"/>
      <c r="QZL601" s="15"/>
      <c r="QZM601" s="50"/>
      <c r="QZN601" s="50"/>
      <c r="QZO601" s="46"/>
      <c r="QZP601" s="47"/>
      <c r="QZQ601" s="46"/>
      <c r="QZR601" s="48"/>
      <c r="QZS601" s="53"/>
      <c r="QZZ601" s="15"/>
      <c r="RAA601" s="50"/>
      <c r="RAB601" s="50"/>
      <c r="RAC601" s="46"/>
      <c r="RAD601" s="47"/>
      <c r="RAE601" s="46"/>
      <c r="RAF601" s="48"/>
      <c r="RAG601" s="53"/>
      <c r="RAN601" s="15"/>
      <c r="RAO601" s="50"/>
      <c r="RAP601" s="50"/>
      <c r="RAQ601" s="46"/>
      <c r="RAR601" s="47"/>
      <c r="RAS601" s="46"/>
      <c r="RAT601" s="48"/>
      <c r="RAU601" s="53"/>
      <c r="RBB601" s="15"/>
      <c r="RBC601" s="50"/>
      <c r="RBD601" s="50"/>
      <c r="RBE601" s="46"/>
      <c r="RBF601" s="47"/>
      <c r="RBG601" s="46"/>
      <c r="RBH601" s="48"/>
      <c r="RBI601" s="53"/>
      <c r="RBP601" s="15"/>
      <c r="RBQ601" s="50"/>
      <c r="RBR601" s="50"/>
      <c r="RBS601" s="46"/>
      <c r="RBT601" s="47"/>
      <c r="RBU601" s="46"/>
      <c r="RBV601" s="48"/>
      <c r="RBW601" s="53"/>
      <c r="RCD601" s="15"/>
      <c r="RCE601" s="50"/>
      <c r="RCF601" s="50"/>
      <c r="RCG601" s="46"/>
      <c r="RCH601" s="47"/>
      <c r="RCI601" s="46"/>
      <c r="RCJ601" s="48"/>
      <c r="RCK601" s="53"/>
      <c r="RCR601" s="15"/>
      <c r="RCS601" s="50"/>
      <c r="RCT601" s="50"/>
      <c r="RCU601" s="46"/>
      <c r="RCV601" s="47"/>
      <c r="RCW601" s="46"/>
      <c r="RCX601" s="48"/>
      <c r="RCY601" s="53"/>
      <c r="RDF601" s="15"/>
      <c r="RDG601" s="50"/>
      <c r="RDH601" s="50"/>
      <c r="RDI601" s="46"/>
      <c r="RDJ601" s="47"/>
      <c r="RDK601" s="46"/>
      <c r="RDL601" s="48"/>
      <c r="RDM601" s="53"/>
      <c r="RDT601" s="15"/>
      <c r="RDU601" s="50"/>
      <c r="RDV601" s="50"/>
      <c r="RDW601" s="46"/>
      <c r="RDX601" s="47"/>
      <c r="RDY601" s="46"/>
      <c r="RDZ601" s="48"/>
      <c r="REA601" s="53"/>
      <c r="REH601" s="15"/>
      <c r="REI601" s="50"/>
      <c r="REJ601" s="50"/>
      <c r="REK601" s="46"/>
      <c r="REL601" s="47"/>
      <c r="REM601" s="46"/>
      <c r="REN601" s="48"/>
      <c r="REO601" s="53"/>
      <c r="REV601" s="15"/>
      <c r="REW601" s="50"/>
      <c r="REX601" s="50"/>
      <c r="REY601" s="46"/>
      <c r="REZ601" s="47"/>
      <c r="RFA601" s="46"/>
      <c r="RFB601" s="48"/>
      <c r="RFC601" s="53"/>
      <c r="RFJ601" s="15"/>
      <c r="RFK601" s="50"/>
      <c r="RFL601" s="50"/>
      <c r="RFM601" s="46"/>
      <c r="RFN601" s="47"/>
      <c r="RFO601" s="46"/>
      <c r="RFP601" s="48"/>
      <c r="RFQ601" s="53"/>
      <c r="RFX601" s="15"/>
      <c r="RFY601" s="50"/>
      <c r="RFZ601" s="50"/>
      <c r="RGA601" s="46"/>
      <c r="RGB601" s="47"/>
      <c r="RGC601" s="46"/>
      <c r="RGD601" s="48"/>
      <c r="RGE601" s="53"/>
      <c r="RGL601" s="15"/>
      <c r="RGM601" s="50"/>
      <c r="RGN601" s="50"/>
      <c r="RGO601" s="46"/>
      <c r="RGP601" s="47"/>
      <c r="RGQ601" s="46"/>
      <c r="RGR601" s="48"/>
      <c r="RGS601" s="53"/>
      <c r="RGZ601" s="15"/>
      <c r="RHA601" s="50"/>
      <c r="RHB601" s="50"/>
      <c r="RHC601" s="46"/>
      <c r="RHD601" s="47"/>
      <c r="RHE601" s="46"/>
      <c r="RHF601" s="48"/>
      <c r="RHG601" s="53"/>
      <c r="RHN601" s="15"/>
      <c r="RHO601" s="50"/>
      <c r="RHP601" s="50"/>
      <c r="RHQ601" s="46"/>
      <c r="RHR601" s="47"/>
      <c r="RHS601" s="46"/>
      <c r="RHT601" s="48"/>
      <c r="RHU601" s="53"/>
      <c r="RIB601" s="15"/>
      <c r="RIC601" s="50"/>
      <c r="RID601" s="50"/>
      <c r="RIE601" s="46"/>
      <c r="RIF601" s="47"/>
      <c r="RIG601" s="46"/>
      <c r="RIH601" s="48"/>
      <c r="RII601" s="53"/>
      <c r="RIP601" s="15"/>
      <c r="RIQ601" s="50"/>
      <c r="RIR601" s="50"/>
      <c r="RIS601" s="46"/>
      <c r="RIT601" s="47"/>
      <c r="RIU601" s="46"/>
      <c r="RIV601" s="48"/>
      <c r="RIW601" s="53"/>
      <c r="RJD601" s="15"/>
      <c r="RJE601" s="50"/>
      <c r="RJF601" s="50"/>
      <c r="RJG601" s="46"/>
      <c r="RJH601" s="47"/>
      <c r="RJI601" s="46"/>
      <c r="RJJ601" s="48"/>
      <c r="RJK601" s="53"/>
      <c r="RJR601" s="15"/>
      <c r="RJS601" s="50"/>
      <c r="RJT601" s="50"/>
      <c r="RJU601" s="46"/>
      <c r="RJV601" s="47"/>
      <c r="RJW601" s="46"/>
      <c r="RJX601" s="48"/>
      <c r="RJY601" s="53"/>
      <c r="RKF601" s="15"/>
      <c r="RKG601" s="50"/>
      <c r="RKH601" s="50"/>
      <c r="RKI601" s="46"/>
      <c r="RKJ601" s="47"/>
      <c r="RKK601" s="46"/>
      <c r="RKL601" s="48"/>
      <c r="RKM601" s="53"/>
      <c r="RKT601" s="15"/>
      <c r="RKU601" s="50"/>
      <c r="RKV601" s="50"/>
      <c r="RKW601" s="46"/>
      <c r="RKX601" s="47"/>
      <c r="RKY601" s="46"/>
      <c r="RKZ601" s="48"/>
      <c r="RLA601" s="53"/>
      <c r="RLH601" s="15"/>
      <c r="RLI601" s="50"/>
      <c r="RLJ601" s="50"/>
      <c r="RLK601" s="46"/>
      <c r="RLL601" s="47"/>
      <c r="RLM601" s="46"/>
      <c r="RLN601" s="48"/>
      <c r="RLO601" s="53"/>
      <c r="RLV601" s="15"/>
      <c r="RLW601" s="50"/>
      <c r="RLX601" s="50"/>
      <c r="RLY601" s="46"/>
      <c r="RLZ601" s="47"/>
      <c r="RMA601" s="46"/>
      <c r="RMB601" s="48"/>
      <c r="RMC601" s="53"/>
      <c r="RMJ601" s="15"/>
      <c r="RMK601" s="50"/>
      <c r="RML601" s="50"/>
      <c r="RMM601" s="46"/>
      <c r="RMN601" s="47"/>
      <c r="RMO601" s="46"/>
      <c r="RMP601" s="48"/>
      <c r="RMQ601" s="53"/>
      <c r="RMX601" s="15"/>
      <c r="RMY601" s="50"/>
      <c r="RMZ601" s="50"/>
      <c r="RNA601" s="46"/>
      <c r="RNB601" s="47"/>
      <c r="RNC601" s="46"/>
      <c r="RND601" s="48"/>
      <c r="RNE601" s="53"/>
      <c r="RNL601" s="15"/>
      <c r="RNM601" s="50"/>
      <c r="RNN601" s="50"/>
      <c r="RNO601" s="46"/>
      <c r="RNP601" s="47"/>
      <c r="RNQ601" s="46"/>
      <c r="RNR601" s="48"/>
      <c r="RNS601" s="53"/>
      <c r="RNZ601" s="15"/>
      <c r="ROA601" s="50"/>
      <c r="ROB601" s="50"/>
      <c r="ROC601" s="46"/>
      <c r="ROD601" s="47"/>
      <c r="ROE601" s="46"/>
      <c r="ROF601" s="48"/>
      <c r="ROG601" s="53"/>
      <c r="RON601" s="15"/>
      <c r="ROO601" s="50"/>
      <c r="ROP601" s="50"/>
      <c r="ROQ601" s="46"/>
      <c r="ROR601" s="47"/>
      <c r="ROS601" s="46"/>
      <c r="ROT601" s="48"/>
      <c r="ROU601" s="53"/>
      <c r="RPB601" s="15"/>
      <c r="RPC601" s="50"/>
      <c r="RPD601" s="50"/>
      <c r="RPE601" s="46"/>
      <c r="RPF601" s="47"/>
      <c r="RPG601" s="46"/>
      <c r="RPH601" s="48"/>
      <c r="RPI601" s="53"/>
      <c r="RPP601" s="15"/>
      <c r="RPQ601" s="50"/>
      <c r="RPR601" s="50"/>
      <c r="RPS601" s="46"/>
      <c r="RPT601" s="47"/>
      <c r="RPU601" s="46"/>
      <c r="RPV601" s="48"/>
      <c r="RPW601" s="53"/>
      <c r="RQD601" s="15"/>
      <c r="RQE601" s="50"/>
      <c r="RQF601" s="50"/>
      <c r="RQG601" s="46"/>
      <c r="RQH601" s="47"/>
      <c r="RQI601" s="46"/>
      <c r="RQJ601" s="48"/>
      <c r="RQK601" s="53"/>
      <c r="RQR601" s="15"/>
      <c r="RQS601" s="50"/>
      <c r="RQT601" s="50"/>
      <c r="RQU601" s="46"/>
      <c r="RQV601" s="47"/>
      <c r="RQW601" s="46"/>
      <c r="RQX601" s="48"/>
      <c r="RQY601" s="53"/>
      <c r="RRF601" s="15"/>
      <c r="RRG601" s="50"/>
      <c r="RRH601" s="50"/>
      <c r="RRI601" s="46"/>
      <c r="RRJ601" s="47"/>
      <c r="RRK601" s="46"/>
      <c r="RRL601" s="48"/>
      <c r="RRM601" s="53"/>
      <c r="RRT601" s="15"/>
      <c r="RRU601" s="50"/>
      <c r="RRV601" s="50"/>
      <c r="RRW601" s="46"/>
      <c r="RRX601" s="47"/>
      <c r="RRY601" s="46"/>
      <c r="RRZ601" s="48"/>
      <c r="RSA601" s="53"/>
      <c r="RSH601" s="15"/>
      <c r="RSI601" s="50"/>
      <c r="RSJ601" s="50"/>
      <c r="RSK601" s="46"/>
      <c r="RSL601" s="47"/>
      <c r="RSM601" s="46"/>
      <c r="RSN601" s="48"/>
      <c r="RSO601" s="53"/>
      <c r="RSV601" s="15"/>
      <c r="RSW601" s="50"/>
      <c r="RSX601" s="50"/>
      <c r="RSY601" s="46"/>
      <c r="RSZ601" s="47"/>
      <c r="RTA601" s="46"/>
      <c r="RTB601" s="48"/>
      <c r="RTC601" s="53"/>
      <c r="RTJ601" s="15"/>
      <c r="RTK601" s="50"/>
      <c r="RTL601" s="50"/>
      <c r="RTM601" s="46"/>
      <c r="RTN601" s="47"/>
      <c r="RTO601" s="46"/>
      <c r="RTP601" s="48"/>
      <c r="RTQ601" s="53"/>
      <c r="RTX601" s="15"/>
      <c r="RTY601" s="50"/>
      <c r="RTZ601" s="50"/>
      <c r="RUA601" s="46"/>
      <c r="RUB601" s="47"/>
      <c r="RUC601" s="46"/>
      <c r="RUD601" s="48"/>
      <c r="RUE601" s="53"/>
      <c r="RUL601" s="15"/>
      <c r="RUM601" s="50"/>
      <c r="RUN601" s="50"/>
      <c r="RUO601" s="46"/>
      <c r="RUP601" s="47"/>
      <c r="RUQ601" s="46"/>
      <c r="RUR601" s="48"/>
      <c r="RUS601" s="53"/>
      <c r="RUZ601" s="15"/>
      <c r="RVA601" s="50"/>
      <c r="RVB601" s="50"/>
      <c r="RVC601" s="46"/>
      <c r="RVD601" s="47"/>
      <c r="RVE601" s="46"/>
      <c r="RVF601" s="48"/>
      <c r="RVG601" s="53"/>
      <c r="RVN601" s="15"/>
      <c r="RVO601" s="50"/>
      <c r="RVP601" s="50"/>
      <c r="RVQ601" s="46"/>
      <c r="RVR601" s="47"/>
      <c r="RVS601" s="46"/>
      <c r="RVT601" s="48"/>
      <c r="RVU601" s="53"/>
      <c r="RWB601" s="15"/>
      <c r="RWC601" s="50"/>
      <c r="RWD601" s="50"/>
      <c r="RWE601" s="46"/>
      <c r="RWF601" s="47"/>
      <c r="RWG601" s="46"/>
      <c r="RWH601" s="48"/>
      <c r="RWI601" s="53"/>
      <c r="RWP601" s="15"/>
      <c r="RWQ601" s="50"/>
      <c r="RWR601" s="50"/>
      <c r="RWS601" s="46"/>
      <c r="RWT601" s="47"/>
      <c r="RWU601" s="46"/>
      <c r="RWV601" s="48"/>
      <c r="RWW601" s="53"/>
      <c r="RXD601" s="15"/>
      <c r="RXE601" s="50"/>
      <c r="RXF601" s="50"/>
      <c r="RXG601" s="46"/>
      <c r="RXH601" s="47"/>
      <c r="RXI601" s="46"/>
      <c r="RXJ601" s="48"/>
      <c r="RXK601" s="53"/>
      <c r="RXR601" s="15"/>
      <c r="RXS601" s="50"/>
      <c r="RXT601" s="50"/>
      <c r="RXU601" s="46"/>
      <c r="RXV601" s="47"/>
      <c r="RXW601" s="46"/>
      <c r="RXX601" s="48"/>
      <c r="RXY601" s="53"/>
      <c r="RYF601" s="15"/>
      <c r="RYG601" s="50"/>
      <c r="RYH601" s="50"/>
      <c r="RYI601" s="46"/>
      <c r="RYJ601" s="47"/>
      <c r="RYK601" s="46"/>
      <c r="RYL601" s="48"/>
      <c r="RYM601" s="53"/>
      <c r="RYT601" s="15"/>
      <c r="RYU601" s="50"/>
      <c r="RYV601" s="50"/>
      <c r="RYW601" s="46"/>
      <c r="RYX601" s="47"/>
      <c r="RYY601" s="46"/>
      <c r="RYZ601" s="48"/>
      <c r="RZA601" s="53"/>
      <c r="RZH601" s="15"/>
      <c r="RZI601" s="50"/>
      <c r="RZJ601" s="50"/>
      <c r="RZK601" s="46"/>
      <c r="RZL601" s="47"/>
      <c r="RZM601" s="46"/>
      <c r="RZN601" s="48"/>
      <c r="RZO601" s="53"/>
      <c r="RZV601" s="15"/>
      <c r="RZW601" s="50"/>
      <c r="RZX601" s="50"/>
      <c r="RZY601" s="46"/>
      <c r="RZZ601" s="47"/>
      <c r="SAA601" s="46"/>
      <c r="SAB601" s="48"/>
      <c r="SAC601" s="53"/>
      <c r="SAJ601" s="15"/>
      <c r="SAK601" s="50"/>
      <c r="SAL601" s="50"/>
      <c r="SAM601" s="46"/>
      <c r="SAN601" s="47"/>
      <c r="SAO601" s="46"/>
      <c r="SAP601" s="48"/>
      <c r="SAQ601" s="53"/>
      <c r="SAX601" s="15"/>
      <c r="SAY601" s="50"/>
      <c r="SAZ601" s="50"/>
      <c r="SBA601" s="46"/>
      <c r="SBB601" s="47"/>
      <c r="SBC601" s="46"/>
      <c r="SBD601" s="48"/>
      <c r="SBE601" s="53"/>
      <c r="SBL601" s="15"/>
      <c r="SBM601" s="50"/>
      <c r="SBN601" s="50"/>
      <c r="SBO601" s="46"/>
      <c r="SBP601" s="47"/>
      <c r="SBQ601" s="46"/>
      <c r="SBR601" s="48"/>
      <c r="SBS601" s="53"/>
      <c r="SBZ601" s="15"/>
      <c r="SCA601" s="50"/>
      <c r="SCB601" s="50"/>
      <c r="SCC601" s="46"/>
      <c r="SCD601" s="47"/>
      <c r="SCE601" s="46"/>
      <c r="SCF601" s="48"/>
      <c r="SCG601" s="53"/>
      <c r="SCN601" s="15"/>
      <c r="SCO601" s="50"/>
      <c r="SCP601" s="50"/>
      <c r="SCQ601" s="46"/>
      <c r="SCR601" s="47"/>
      <c r="SCS601" s="46"/>
      <c r="SCT601" s="48"/>
      <c r="SCU601" s="53"/>
      <c r="SDB601" s="15"/>
      <c r="SDC601" s="50"/>
      <c r="SDD601" s="50"/>
      <c r="SDE601" s="46"/>
      <c r="SDF601" s="47"/>
      <c r="SDG601" s="46"/>
      <c r="SDH601" s="48"/>
      <c r="SDI601" s="53"/>
      <c r="SDP601" s="15"/>
      <c r="SDQ601" s="50"/>
      <c r="SDR601" s="50"/>
      <c r="SDS601" s="46"/>
      <c r="SDT601" s="47"/>
      <c r="SDU601" s="46"/>
      <c r="SDV601" s="48"/>
      <c r="SDW601" s="53"/>
      <c r="SED601" s="15"/>
      <c r="SEE601" s="50"/>
      <c r="SEF601" s="50"/>
      <c r="SEG601" s="46"/>
      <c r="SEH601" s="47"/>
      <c r="SEI601" s="46"/>
      <c r="SEJ601" s="48"/>
      <c r="SEK601" s="53"/>
      <c r="SER601" s="15"/>
      <c r="SES601" s="50"/>
      <c r="SET601" s="50"/>
      <c r="SEU601" s="46"/>
      <c r="SEV601" s="47"/>
      <c r="SEW601" s="46"/>
      <c r="SEX601" s="48"/>
      <c r="SEY601" s="53"/>
      <c r="SFF601" s="15"/>
      <c r="SFG601" s="50"/>
      <c r="SFH601" s="50"/>
      <c r="SFI601" s="46"/>
      <c r="SFJ601" s="47"/>
      <c r="SFK601" s="46"/>
      <c r="SFL601" s="48"/>
      <c r="SFM601" s="53"/>
      <c r="SFT601" s="15"/>
      <c r="SFU601" s="50"/>
      <c r="SFV601" s="50"/>
      <c r="SFW601" s="46"/>
      <c r="SFX601" s="47"/>
      <c r="SFY601" s="46"/>
      <c r="SFZ601" s="48"/>
      <c r="SGA601" s="53"/>
      <c r="SGH601" s="15"/>
      <c r="SGI601" s="50"/>
      <c r="SGJ601" s="50"/>
      <c r="SGK601" s="46"/>
      <c r="SGL601" s="47"/>
      <c r="SGM601" s="46"/>
      <c r="SGN601" s="48"/>
      <c r="SGO601" s="53"/>
      <c r="SGV601" s="15"/>
      <c r="SGW601" s="50"/>
      <c r="SGX601" s="50"/>
      <c r="SGY601" s="46"/>
      <c r="SGZ601" s="47"/>
      <c r="SHA601" s="46"/>
      <c r="SHB601" s="48"/>
      <c r="SHC601" s="53"/>
      <c r="SHJ601" s="15"/>
      <c r="SHK601" s="50"/>
      <c r="SHL601" s="50"/>
      <c r="SHM601" s="46"/>
      <c r="SHN601" s="47"/>
      <c r="SHO601" s="46"/>
      <c r="SHP601" s="48"/>
      <c r="SHQ601" s="53"/>
      <c r="SHX601" s="15"/>
      <c r="SHY601" s="50"/>
      <c r="SHZ601" s="50"/>
      <c r="SIA601" s="46"/>
      <c r="SIB601" s="47"/>
      <c r="SIC601" s="46"/>
      <c r="SID601" s="48"/>
      <c r="SIE601" s="53"/>
      <c r="SIL601" s="15"/>
      <c r="SIM601" s="50"/>
      <c r="SIN601" s="50"/>
      <c r="SIO601" s="46"/>
      <c r="SIP601" s="47"/>
      <c r="SIQ601" s="46"/>
      <c r="SIR601" s="48"/>
      <c r="SIS601" s="53"/>
      <c r="SIZ601" s="15"/>
      <c r="SJA601" s="50"/>
      <c r="SJB601" s="50"/>
      <c r="SJC601" s="46"/>
      <c r="SJD601" s="47"/>
      <c r="SJE601" s="46"/>
      <c r="SJF601" s="48"/>
      <c r="SJG601" s="53"/>
      <c r="SJN601" s="15"/>
      <c r="SJO601" s="50"/>
      <c r="SJP601" s="50"/>
      <c r="SJQ601" s="46"/>
      <c r="SJR601" s="47"/>
      <c r="SJS601" s="46"/>
      <c r="SJT601" s="48"/>
      <c r="SJU601" s="53"/>
      <c r="SKB601" s="15"/>
      <c r="SKC601" s="50"/>
      <c r="SKD601" s="50"/>
      <c r="SKE601" s="46"/>
      <c r="SKF601" s="47"/>
      <c r="SKG601" s="46"/>
      <c r="SKH601" s="48"/>
      <c r="SKI601" s="53"/>
      <c r="SKP601" s="15"/>
      <c r="SKQ601" s="50"/>
      <c r="SKR601" s="50"/>
      <c r="SKS601" s="46"/>
      <c r="SKT601" s="47"/>
      <c r="SKU601" s="46"/>
      <c r="SKV601" s="48"/>
      <c r="SKW601" s="53"/>
      <c r="SLD601" s="15"/>
      <c r="SLE601" s="50"/>
      <c r="SLF601" s="50"/>
      <c r="SLG601" s="46"/>
      <c r="SLH601" s="47"/>
      <c r="SLI601" s="46"/>
      <c r="SLJ601" s="48"/>
      <c r="SLK601" s="53"/>
      <c r="SLR601" s="15"/>
      <c r="SLS601" s="50"/>
      <c r="SLT601" s="50"/>
      <c r="SLU601" s="46"/>
      <c r="SLV601" s="47"/>
      <c r="SLW601" s="46"/>
      <c r="SLX601" s="48"/>
      <c r="SLY601" s="53"/>
      <c r="SMF601" s="15"/>
      <c r="SMG601" s="50"/>
      <c r="SMH601" s="50"/>
      <c r="SMI601" s="46"/>
      <c r="SMJ601" s="47"/>
      <c r="SMK601" s="46"/>
      <c r="SML601" s="48"/>
      <c r="SMM601" s="53"/>
      <c r="SMT601" s="15"/>
      <c r="SMU601" s="50"/>
      <c r="SMV601" s="50"/>
      <c r="SMW601" s="46"/>
      <c r="SMX601" s="47"/>
      <c r="SMY601" s="46"/>
      <c r="SMZ601" s="48"/>
      <c r="SNA601" s="53"/>
      <c r="SNH601" s="15"/>
      <c r="SNI601" s="50"/>
      <c r="SNJ601" s="50"/>
      <c r="SNK601" s="46"/>
      <c r="SNL601" s="47"/>
      <c r="SNM601" s="46"/>
      <c r="SNN601" s="48"/>
      <c r="SNO601" s="53"/>
      <c r="SNV601" s="15"/>
      <c r="SNW601" s="50"/>
      <c r="SNX601" s="50"/>
      <c r="SNY601" s="46"/>
      <c r="SNZ601" s="47"/>
      <c r="SOA601" s="46"/>
      <c r="SOB601" s="48"/>
      <c r="SOC601" s="53"/>
      <c r="SOJ601" s="15"/>
      <c r="SOK601" s="50"/>
      <c r="SOL601" s="50"/>
      <c r="SOM601" s="46"/>
      <c r="SON601" s="47"/>
      <c r="SOO601" s="46"/>
      <c r="SOP601" s="48"/>
      <c r="SOQ601" s="53"/>
      <c r="SOX601" s="15"/>
      <c r="SOY601" s="50"/>
      <c r="SOZ601" s="50"/>
      <c r="SPA601" s="46"/>
      <c r="SPB601" s="47"/>
      <c r="SPC601" s="46"/>
      <c r="SPD601" s="48"/>
      <c r="SPE601" s="53"/>
      <c r="SPL601" s="15"/>
      <c r="SPM601" s="50"/>
      <c r="SPN601" s="50"/>
      <c r="SPO601" s="46"/>
      <c r="SPP601" s="47"/>
      <c r="SPQ601" s="46"/>
      <c r="SPR601" s="48"/>
      <c r="SPS601" s="53"/>
      <c r="SPZ601" s="15"/>
      <c r="SQA601" s="50"/>
      <c r="SQB601" s="50"/>
      <c r="SQC601" s="46"/>
      <c r="SQD601" s="47"/>
      <c r="SQE601" s="46"/>
      <c r="SQF601" s="48"/>
      <c r="SQG601" s="53"/>
      <c r="SQN601" s="15"/>
      <c r="SQO601" s="50"/>
      <c r="SQP601" s="50"/>
      <c r="SQQ601" s="46"/>
      <c r="SQR601" s="47"/>
      <c r="SQS601" s="46"/>
      <c r="SQT601" s="48"/>
      <c r="SQU601" s="53"/>
      <c r="SRB601" s="15"/>
      <c r="SRC601" s="50"/>
      <c r="SRD601" s="50"/>
      <c r="SRE601" s="46"/>
      <c r="SRF601" s="47"/>
      <c r="SRG601" s="46"/>
      <c r="SRH601" s="48"/>
      <c r="SRI601" s="53"/>
      <c r="SRP601" s="15"/>
      <c r="SRQ601" s="50"/>
      <c r="SRR601" s="50"/>
      <c r="SRS601" s="46"/>
      <c r="SRT601" s="47"/>
      <c r="SRU601" s="46"/>
      <c r="SRV601" s="48"/>
      <c r="SRW601" s="53"/>
      <c r="SSD601" s="15"/>
      <c r="SSE601" s="50"/>
      <c r="SSF601" s="50"/>
      <c r="SSG601" s="46"/>
      <c r="SSH601" s="47"/>
      <c r="SSI601" s="46"/>
      <c r="SSJ601" s="48"/>
      <c r="SSK601" s="53"/>
      <c r="SSR601" s="15"/>
      <c r="SSS601" s="50"/>
      <c r="SST601" s="50"/>
      <c r="SSU601" s="46"/>
      <c r="SSV601" s="47"/>
      <c r="SSW601" s="46"/>
      <c r="SSX601" s="48"/>
      <c r="SSY601" s="53"/>
      <c r="STF601" s="15"/>
      <c r="STG601" s="50"/>
      <c r="STH601" s="50"/>
      <c r="STI601" s="46"/>
      <c r="STJ601" s="47"/>
      <c r="STK601" s="46"/>
      <c r="STL601" s="48"/>
      <c r="STM601" s="53"/>
      <c r="STT601" s="15"/>
      <c r="STU601" s="50"/>
      <c r="STV601" s="50"/>
      <c r="STW601" s="46"/>
      <c r="STX601" s="47"/>
      <c r="STY601" s="46"/>
      <c r="STZ601" s="48"/>
      <c r="SUA601" s="53"/>
      <c r="SUH601" s="15"/>
      <c r="SUI601" s="50"/>
      <c r="SUJ601" s="50"/>
      <c r="SUK601" s="46"/>
      <c r="SUL601" s="47"/>
      <c r="SUM601" s="46"/>
      <c r="SUN601" s="48"/>
      <c r="SUO601" s="53"/>
      <c r="SUV601" s="15"/>
      <c r="SUW601" s="50"/>
      <c r="SUX601" s="50"/>
      <c r="SUY601" s="46"/>
      <c r="SUZ601" s="47"/>
      <c r="SVA601" s="46"/>
      <c r="SVB601" s="48"/>
      <c r="SVC601" s="53"/>
      <c r="SVJ601" s="15"/>
      <c r="SVK601" s="50"/>
      <c r="SVL601" s="50"/>
      <c r="SVM601" s="46"/>
      <c r="SVN601" s="47"/>
      <c r="SVO601" s="46"/>
      <c r="SVP601" s="48"/>
      <c r="SVQ601" s="53"/>
      <c r="SVX601" s="15"/>
      <c r="SVY601" s="50"/>
      <c r="SVZ601" s="50"/>
      <c r="SWA601" s="46"/>
      <c r="SWB601" s="47"/>
      <c r="SWC601" s="46"/>
      <c r="SWD601" s="48"/>
      <c r="SWE601" s="53"/>
      <c r="SWL601" s="15"/>
      <c r="SWM601" s="50"/>
      <c r="SWN601" s="50"/>
      <c r="SWO601" s="46"/>
      <c r="SWP601" s="47"/>
      <c r="SWQ601" s="46"/>
      <c r="SWR601" s="48"/>
      <c r="SWS601" s="53"/>
      <c r="SWZ601" s="15"/>
      <c r="SXA601" s="50"/>
      <c r="SXB601" s="50"/>
      <c r="SXC601" s="46"/>
      <c r="SXD601" s="47"/>
      <c r="SXE601" s="46"/>
      <c r="SXF601" s="48"/>
      <c r="SXG601" s="53"/>
      <c r="SXN601" s="15"/>
      <c r="SXO601" s="50"/>
      <c r="SXP601" s="50"/>
      <c r="SXQ601" s="46"/>
      <c r="SXR601" s="47"/>
      <c r="SXS601" s="46"/>
      <c r="SXT601" s="48"/>
      <c r="SXU601" s="53"/>
      <c r="SYB601" s="15"/>
      <c r="SYC601" s="50"/>
      <c r="SYD601" s="50"/>
      <c r="SYE601" s="46"/>
      <c r="SYF601" s="47"/>
      <c r="SYG601" s="46"/>
      <c r="SYH601" s="48"/>
      <c r="SYI601" s="53"/>
      <c r="SYP601" s="15"/>
      <c r="SYQ601" s="50"/>
      <c r="SYR601" s="50"/>
      <c r="SYS601" s="46"/>
      <c r="SYT601" s="47"/>
      <c r="SYU601" s="46"/>
      <c r="SYV601" s="48"/>
      <c r="SYW601" s="53"/>
      <c r="SZD601" s="15"/>
      <c r="SZE601" s="50"/>
      <c r="SZF601" s="50"/>
      <c r="SZG601" s="46"/>
      <c r="SZH601" s="47"/>
      <c r="SZI601" s="46"/>
      <c r="SZJ601" s="48"/>
      <c r="SZK601" s="53"/>
      <c r="SZR601" s="15"/>
      <c r="SZS601" s="50"/>
      <c r="SZT601" s="50"/>
      <c r="SZU601" s="46"/>
      <c r="SZV601" s="47"/>
      <c r="SZW601" s="46"/>
      <c r="SZX601" s="48"/>
      <c r="SZY601" s="53"/>
      <c r="TAF601" s="15"/>
      <c r="TAG601" s="50"/>
      <c r="TAH601" s="50"/>
      <c r="TAI601" s="46"/>
      <c r="TAJ601" s="47"/>
      <c r="TAK601" s="46"/>
      <c r="TAL601" s="48"/>
      <c r="TAM601" s="53"/>
      <c r="TAT601" s="15"/>
      <c r="TAU601" s="50"/>
      <c r="TAV601" s="50"/>
      <c r="TAW601" s="46"/>
      <c r="TAX601" s="47"/>
      <c r="TAY601" s="46"/>
      <c r="TAZ601" s="48"/>
      <c r="TBA601" s="53"/>
      <c r="TBH601" s="15"/>
      <c r="TBI601" s="50"/>
      <c r="TBJ601" s="50"/>
      <c r="TBK601" s="46"/>
      <c r="TBL601" s="47"/>
      <c r="TBM601" s="46"/>
      <c r="TBN601" s="48"/>
      <c r="TBO601" s="53"/>
      <c r="TBV601" s="15"/>
      <c r="TBW601" s="50"/>
      <c r="TBX601" s="50"/>
      <c r="TBY601" s="46"/>
      <c r="TBZ601" s="47"/>
      <c r="TCA601" s="46"/>
      <c r="TCB601" s="48"/>
      <c r="TCC601" s="53"/>
      <c r="TCJ601" s="15"/>
      <c r="TCK601" s="50"/>
      <c r="TCL601" s="50"/>
      <c r="TCM601" s="46"/>
      <c r="TCN601" s="47"/>
      <c r="TCO601" s="46"/>
      <c r="TCP601" s="48"/>
      <c r="TCQ601" s="53"/>
      <c r="TCX601" s="15"/>
      <c r="TCY601" s="50"/>
      <c r="TCZ601" s="50"/>
      <c r="TDA601" s="46"/>
      <c r="TDB601" s="47"/>
      <c r="TDC601" s="46"/>
      <c r="TDD601" s="48"/>
      <c r="TDE601" s="53"/>
      <c r="TDL601" s="15"/>
      <c r="TDM601" s="50"/>
      <c r="TDN601" s="50"/>
      <c r="TDO601" s="46"/>
      <c r="TDP601" s="47"/>
      <c r="TDQ601" s="46"/>
      <c r="TDR601" s="48"/>
      <c r="TDS601" s="53"/>
      <c r="TDZ601" s="15"/>
      <c r="TEA601" s="50"/>
      <c r="TEB601" s="50"/>
      <c r="TEC601" s="46"/>
      <c r="TED601" s="47"/>
      <c r="TEE601" s="46"/>
      <c r="TEF601" s="48"/>
      <c r="TEG601" s="53"/>
      <c r="TEN601" s="15"/>
      <c r="TEO601" s="50"/>
      <c r="TEP601" s="50"/>
      <c r="TEQ601" s="46"/>
      <c r="TER601" s="47"/>
      <c r="TES601" s="46"/>
      <c r="TET601" s="48"/>
      <c r="TEU601" s="53"/>
      <c r="TFB601" s="15"/>
      <c r="TFC601" s="50"/>
      <c r="TFD601" s="50"/>
      <c r="TFE601" s="46"/>
      <c r="TFF601" s="47"/>
      <c r="TFG601" s="46"/>
      <c r="TFH601" s="48"/>
      <c r="TFI601" s="53"/>
      <c r="TFP601" s="15"/>
      <c r="TFQ601" s="50"/>
      <c r="TFR601" s="50"/>
      <c r="TFS601" s="46"/>
      <c r="TFT601" s="47"/>
      <c r="TFU601" s="46"/>
      <c r="TFV601" s="48"/>
      <c r="TFW601" s="53"/>
      <c r="TGD601" s="15"/>
      <c r="TGE601" s="50"/>
      <c r="TGF601" s="50"/>
      <c r="TGG601" s="46"/>
      <c r="TGH601" s="47"/>
      <c r="TGI601" s="46"/>
      <c r="TGJ601" s="48"/>
      <c r="TGK601" s="53"/>
      <c r="TGR601" s="15"/>
      <c r="TGS601" s="50"/>
      <c r="TGT601" s="50"/>
      <c r="TGU601" s="46"/>
      <c r="TGV601" s="47"/>
      <c r="TGW601" s="46"/>
      <c r="TGX601" s="48"/>
      <c r="TGY601" s="53"/>
      <c r="THF601" s="15"/>
      <c r="THG601" s="50"/>
      <c r="THH601" s="50"/>
      <c r="THI601" s="46"/>
      <c r="THJ601" s="47"/>
      <c r="THK601" s="46"/>
      <c r="THL601" s="48"/>
      <c r="THM601" s="53"/>
      <c r="THT601" s="15"/>
      <c r="THU601" s="50"/>
      <c r="THV601" s="50"/>
      <c r="THW601" s="46"/>
      <c r="THX601" s="47"/>
      <c r="THY601" s="46"/>
      <c r="THZ601" s="48"/>
      <c r="TIA601" s="53"/>
      <c r="TIH601" s="15"/>
      <c r="TII601" s="50"/>
      <c r="TIJ601" s="50"/>
      <c r="TIK601" s="46"/>
      <c r="TIL601" s="47"/>
      <c r="TIM601" s="46"/>
      <c r="TIN601" s="48"/>
      <c r="TIO601" s="53"/>
      <c r="TIV601" s="15"/>
      <c r="TIW601" s="50"/>
      <c r="TIX601" s="50"/>
      <c r="TIY601" s="46"/>
      <c r="TIZ601" s="47"/>
      <c r="TJA601" s="46"/>
      <c r="TJB601" s="48"/>
      <c r="TJC601" s="53"/>
      <c r="TJJ601" s="15"/>
      <c r="TJK601" s="50"/>
      <c r="TJL601" s="50"/>
      <c r="TJM601" s="46"/>
      <c r="TJN601" s="47"/>
      <c r="TJO601" s="46"/>
      <c r="TJP601" s="48"/>
      <c r="TJQ601" s="53"/>
      <c r="TJX601" s="15"/>
      <c r="TJY601" s="50"/>
      <c r="TJZ601" s="50"/>
      <c r="TKA601" s="46"/>
      <c r="TKB601" s="47"/>
      <c r="TKC601" s="46"/>
      <c r="TKD601" s="48"/>
      <c r="TKE601" s="53"/>
      <c r="TKL601" s="15"/>
      <c r="TKM601" s="50"/>
      <c r="TKN601" s="50"/>
      <c r="TKO601" s="46"/>
      <c r="TKP601" s="47"/>
      <c r="TKQ601" s="46"/>
      <c r="TKR601" s="48"/>
      <c r="TKS601" s="53"/>
      <c r="TKZ601" s="15"/>
      <c r="TLA601" s="50"/>
      <c r="TLB601" s="50"/>
      <c r="TLC601" s="46"/>
      <c r="TLD601" s="47"/>
      <c r="TLE601" s="46"/>
      <c r="TLF601" s="48"/>
      <c r="TLG601" s="53"/>
      <c r="TLN601" s="15"/>
      <c r="TLO601" s="50"/>
      <c r="TLP601" s="50"/>
      <c r="TLQ601" s="46"/>
      <c r="TLR601" s="47"/>
      <c r="TLS601" s="46"/>
      <c r="TLT601" s="48"/>
      <c r="TLU601" s="53"/>
      <c r="TMB601" s="15"/>
      <c r="TMC601" s="50"/>
      <c r="TMD601" s="50"/>
      <c r="TME601" s="46"/>
      <c r="TMF601" s="47"/>
      <c r="TMG601" s="46"/>
      <c r="TMH601" s="48"/>
      <c r="TMI601" s="53"/>
      <c r="TMP601" s="15"/>
      <c r="TMQ601" s="50"/>
      <c r="TMR601" s="50"/>
      <c r="TMS601" s="46"/>
      <c r="TMT601" s="47"/>
      <c r="TMU601" s="46"/>
      <c r="TMV601" s="48"/>
      <c r="TMW601" s="53"/>
      <c r="TND601" s="15"/>
      <c r="TNE601" s="50"/>
      <c r="TNF601" s="50"/>
      <c r="TNG601" s="46"/>
      <c r="TNH601" s="47"/>
      <c r="TNI601" s="46"/>
      <c r="TNJ601" s="48"/>
      <c r="TNK601" s="53"/>
      <c r="TNR601" s="15"/>
      <c r="TNS601" s="50"/>
      <c r="TNT601" s="50"/>
      <c r="TNU601" s="46"/>
      <c r="TNV601" s="47"/>
      <c r="TNW601" s="46"/>
      <c r="TNX601" s="48"/>
      <c r="TNY601" s="53"/>
      <c r="TOF601" s="15"/>
      <c r="TOG601" s="50"/>
      <c r="TOH601" s="50"/>
      <c r="TOI601" s="46"/>
      <c r="TOJ601" s="47"/>
      <c r="TOK601" s="46"/>
      <c r="TOL601" s="48"/>
      <c r="TOM601" s="53"/>
      <c r="TOT601" s="15"/>
      <c r="TOU601" s="50"/>
      <c r="TOV601" s="50"/>
      <c r="TOW601" s="46"/>
      <c r="TOX601" s="47"/>
      <c r="TOY601" s="46"/>
      <c r="TOZ601" s="48"/>
      <c r="TPA601" s="53"/>
      <c r="TPH601" s="15"/>
      <c r="TPI601" s="50"/>
      <c r="TPJ601" s="50"/>
      <c r="TPK601" s="46"/>
      <c r="TPL601" s="47"/>
      <c r="TPM601" s="46"/>
      <c r="TPN601" s="48"/>
      <c r="TPO601" s="53"/>
      <c r="TPV601" s="15"/>
      <c r="TPW601" s="50"/>
      <c r="TPX601" s="50"/>
      <c r="TPY601" s="46"/>
      <c r="TPZ601" s="47"/>
      <c r="TQA601" s="46"/>
      <c r="TQB601" s="48"/>
      <c r="TQC601" s="53"/>
      <c r="TQJ601" s="15"/>
      <c r="TQK601" s="50"/>
      <c r="TQL601" s="50"/>
      <c r="TQM601" s="46"/>
      <c r="TQN601" s="47"/>
      <c r="TQO601" s="46"/>
      <c r="TQP601" s="48"/>
      <c r="TQQ601" s="53"/>
      <c r="TQX601" s="15"/>
      <c r="TQY601" s="50"/>
      <c r="TQZ601" s="50"/>
      <c r="TRA601" s="46"/>
      <c r="TRB601" s="47"/>
      <c r="TRC601" s="46"/>
      <c r="TRD601" s="48"/>
      <c r="TRE601" s="53"/>
      <c r="TRL601" s="15"/>
      <c r="TRM601" s="50"/>
      <c r="TRN601" s="50"/>
      <c r="TRO601" s="46"/>
      <c r="TRP601" s="47"/>
      <c r="TRQ601" s="46"/>
      <c r="TRR601" s="48"/>
      <c r="TRS601" s="53"/>
      <c r="TRZ601" s="15"/>
      <c r="TSA601" s="50"/>
      <c r="TSB601" s="50"/>
      <c r="TSC601" s="46"/>
      <c r="TSD601" s="47"/>
      <c r="TSE601" s="46"/>
      <c r="TSF601" s="48"/>
      <c r="TSG601" s="53"/>
      <c r="TSN601" s="15"/>
      <c r="TSO601" s="50"/>
      <c r="TSP601" s="50"/>
      <c r="TSQ601" s="46"/>
      <c r="TSR601" s="47"/>
      <c r="TSS601" s="46"/>
      <c r="TST601" s="48"/>
      <c r="TSU601" s="53"/>
      <c r="TTB601" s="15"/>
      <c r="TTC601" s="50"/>
      <c r="TTD601" s="50"/>
      <c r="TTE601" s="46"/>
      <c r="TTF601" s="47"/>
      <c r="TTG601" s="46"/>
      <c r="TTH601" s="48"/>
      <c r="TTI601" s="53"/>
      <c r="TTP601" s="15"/>
      <c r="TTQ601" s="50"/>
      <c r="TTR601" s="50"/>
      <c r="TTS601" s="46"/>
      <c r="TTT601" s="47"/>
      <c r="TTU601" s="46"/>
      <c r="TTV601" s="48"/>
      <c r="TTW601" s="53"/>
      <c r="TUD601" s="15"/>
      <c r="TUE601" s="50"/>
      <c r="TUF601" s="50"/>
      <c r="TUG601" s="46"/>
      <c r="TUH601" s="47"/>
      <c r="TUI601" s="46"/>
      <c r="TUJ601" s="48"/>
      <c r="TUK601" s="53"/>
      <c r="TUR601" s="15"/>
      <c r="TUS601" s="50"/>
      <c r="TUT601" s="50"/>
      <c r="TUU601" s="46"/>
      <c r="TUV601" s="47"/>
      <c r="TUW601" s="46"/>
      <c r="TUX601" s="48"/>
      <c r="TUY601" s="53"/>
      <c r="TVF601" s="15"/>
      <c r="TVG601" s="50"/>
      <c r="TVH601" s="50"/>
      <c r="TVI601" s="46"/>
      <c r="TVJ601" s="47"/>
      <c r="TVK601" s="46"/>
      <c r="TVL601" s="48"/>
      <c r="TVM601" s="53"/>
      <c r="TVT601" s="15"/>
      <c r="TVU601" s="50"/>
      <c r="TVV601" s="50"/>
      <c r="TVW601" s="46"/>
      <c r="TVX601" s="47"/>
      <c r="TVY601" s="46"/>
      <c r="TVZ601" s="48"/>
      <c r="TWA601" s="53"/>
      <c r="TWH601" s="15"/>
      <c r="TWI601" s="50"/>
      <c r="TWJ601" s="50"/>
      <c r="TWK601" s="46"/>
      <c r="TWL601" s="47"/>
      <c r="TWM601" s="46"/>
      <c r="TWN601" s="48"/>
      <c r="TWO601" s="53"/>
      <c r="TWV601" s="15"/>
      <c r="TWW601" s="50"/>
      <c r="TWX601" s="50"/>
      <c r="TWY601" s="46"/>
      <c r="TWZ601" s="47"/>
      <c r="TXA601" s="46"/>
      <c r="TXB601" s="48"/>
      <c r="TXC601" s="53"/>
      <c r="TXJ601" s="15"/>
      <c r="TXK601" s="50"/>
      <c r="TXL601" s="50"/>
      <c r="TXM601" s="46"/>
      <c r="TXN601" s="47"/>
      <c r="TXO601" s="46"/>
      <c r="TXP601" s="48"/>
      <c r="TXQ601" s="53"/>
      <c r="TXX601" s="15"/>
      <c r="TXY601" s="50"/>
      <c r="TXZ601" s="50"/>
      <c r="TYA601" s="46"/>
      <c r="TYB601" s="47"/>
      <c r="TYC601" s="46"/>
      <c r="TYD601" s="48"/>
      <c r="TYE601" s="53"/>
      <c r="TYL601" s="15"/>
      <c r="TYM601" s="50"/>
      <c r="TYN601" s="50"/>
      <c r="TYO601" s="46"/>
      <c r="TYP601" s="47"/>
      <c r="TYQ601" s="46"/>
      <c r="TYR601" s="48"/>
      <c r="TYS601" s="53"/>
      <c r="TYZ601" s="15"/>
      <c r="TZA601" s="50"/>
      <c r="TZB601" s="50"/>
      <c r="TZC601" s="46"/>
      <c r="TZD601" s="47"/>
      <c r="TZE601" s="46"/>
      <c r="TZF601" s="48"/>
      <c r="TZG601" s="53"/>
      <c r="TZN601" s="15"/>
      <c r="TZO601" s="50"/>
      <c r="TZP601" s="50"/>
      <c r="TZQ601" s="46"/>
      <c r="TZR601" s="47"/>
      <c r="TZS601" s="46"/>
      <c r="TZT601" s="48"/>
      <c r="TZU601" s="53"/>
      <c r="UAB601" s="15"/>
      <c r="UAC601" s="50"/>
      <c r="UAD601" s="50"/>
      <c r="UAE601" s="46"/>
      <c r="UAF601" s="47"/>
      <c r="UAG601" s="46"/>
      <c r="UAH601" s="48"/>
      <c r="UAI601" s="53"/>
      <c r="UAP601" s="15"/>
      <c r="UAQ601" s="50"/>
      <c r="UAR601" s="50"/>
      <c r="UAS601" s="46"/>
      <c r="UAT601" s="47"/>
      <c r="UAU601" s="46"/>
      <c r="UAV601" s="48"/>
      <c r="UAW601" s="53"/>
      <c r="UBD601" s="15"/>
      <c r="UBE601" s="50"/>
      <c r="UBF601" s="50"/>
      <c r="UBG601" s="46"/>
      <c r="UBH601" s="47"/>
      <c r="UBI601" s="46"/>
      <c r="UBJ601" s="48"/>
      <c r="UBK601" s="53"/>
      <c r="UBR601" s="15"/>
      <c r="UBS601" s="50"/>
      <c r="UBT601" s="50"/>
      <c r="UBU601" s="46"/>
      <c r="UBV601" s="47"/>
      <c r="UBW601" s="46"/>
      <c r="UBX601" s="48"/>
      <c r="UBY601" s="53"/>
      <c r="UCF601" s="15"/>
      <c r="UCG601" s="50"/>
      <c r="UCH601" s="50"/>
      <c r="UCI601" s="46"/>
      <c r="UCJ601" s="47"/>
      <c r="UCK601" s="46"/>
      <c r="UCL601" s="48"/>
      <c r="UCM601" s="53"/>
      <c r="UCT601" s="15"/>
      <c r="UCU601" s="50"/>
      <c r="UCV601" s="50"/>
      <c r="UCW601" s="46"/>
      <c r="UCX601" s="47"/>
      <c r="UCY601" s="46"/>
      <c r="UCZ601" s="48"/>
      <c r="UDA601" s="53"/>
      <c r="UDH601" s="15"/>
      <c r="UDI601" s="50"/>
      <c r="UDJ601" s="50"/>
      <c r="UDK601" s="46"/>
      <c r="UDL601" s="47"/>
      <c r="UDM601" s="46"/>
      <c r="UDN601" s="48"/>
      <c r="UDO601" s="53"/>
      <c r="UDV601" s="15"/>
      <c r="UDW601" s="50"/>
      <c r="UDX601" s="50"/>
      <c r="UDY601" s="46"/>
      <c r="UDZ601" s="47"/>
      <c r="UEA601" s="46"/>
      <c r="UEB601" s="48"/>
      <c r="UEC601" s="53"/>
      <c r="UEJ601" s="15"/>
      <c r="UEK601" s="50"/>
      <c r="UEL601" s="50"/>
      <c r="UEM601" s="46"/>
      <c r="UEN601" s="47"/>
      <c r="UEO601" s="46"/>
      <c r="UEP601" s="48"/>
      <c r="UEQ601" s="53"/>
      <c r="UEX601" s="15"/>
      <c r="UEY601" s="50"/>
      <c r="UEZ601" s="50"/>
      <c r="UFA601" s="46"/>
      <c r="UFB601" s="47"/>
      <c r="UFC601" s="46"/>
      <c r="UFD601" s="48"/>
      <c r="UFE601" s="53"/>
      <c r="UFL601" s="15"/>
      <c r="UFM601" s="50"/>
      <c r="UFN601" s="50"/>
      <c r="UFO601" s="46"/>
      <c r="UFP601" s="47"/>
      <c r="UFQ601" s="46"/>
      <c r="UFR601" s="48"/>
      <c r="UFS601" s="53"/>
      <c r="UFZ601" s="15"/>
      <c r="UGA601" s="50"/>
      <c r="UGB601" s="50"/>
      <c r="UGC601" s="46"/>
      <c r="UGD601" s="47"/>
      <c r="UGE601" s="46"/>
      <c r="UGF601" s="48"/>
      <c r="UGG601" s="53"/>
      <c r="UGN601" s="15"/>
      <c r="UGO601" s="50"/>
      <c r="UGP601" s="50"/>
      <c r="UGQ601" s="46"/>
      <c r="UGR601" s="47"/>
      <c r="UGS601" s="46"/>
      <c r="UGT601" s="48"/>
      <c r="UGU601" s="53"/>
      <c r="UHB601" s="15"/>
      <c r="UHC601" s="50"/>
      <c r="UHD601" s="50"/>
      <c r="UHE601" s="46"/>
      <c r="UHF601" s="47"/>
      <c r="UHG601" s="46"/>
      <c r="UHH601" s="48"/>
      <c r="UHI601" s="53"/>
      <c r="UHP601" s="15"/>
      <c r="UHQ601" s="50"/>
      <c r="UHR601" s="50"/>
      <c r="UHS601" s="46"/>
      <c r="UHT601" s="47"/>
      <c r="UHU601" s="46"/>
      <c r="UHV601" s="48"/>
      <c r="UHW601" s="53"/>
      <c r="UID601" s="15"/>
      <c r="UIE601" s="50"/>
      <c r="UIF601" s="50"/>
      <c r="UIG601" s="46"/>
      <c r="UIH601" s="47"/>
      <c r="UII601" s="46"/>
      <c r="UIJ601" s="48"/>
      <c r="UIK601" s="53"/>
      <c r="UIR601" s="15"/>
      <c r="UIS601" s="50"/>
      <c r="UIT601" s="50"/>
      <c r="UIU601" s="46"/>
      <c r="UIV601" s="47"/>
      <c r="UIW601" s="46"/>
      <c r="UIX601" s="48"/>
      <c r="UIY601" s="53"/>
      <c r="UJF601" s="15"/>
      <c r="UJG601" s="50"/>
      <c r="UJH601" s="50"/>
      <c r="UJI601" s="46"/>
      <c r="UJJ601" s="47"/>
      <c r="UJK601" s="46"/>
      <c r="UJL601" s="48"/>
      <c r="UJM601" s="53"/>
      <c r="UJT601" s="15"/>
      <c r="UJU601" s="50"/>
      <c r="UJV601" s="50"/>
      <c r="UJW601" s="46"/>
      <c r="UJX601" s="47"/>
      <c r="UJY601" s="46"/>
      <c r="UJZ601" s="48"/>
      <c r="UKA601" s="53"/>
      <c r="UKH601" s="15"/>
      <c r="UKI601" s="50"/>
      <c r="UKJ601" s="50"/>
      <c r="UKK601" s="46"/>
      <c r="UKL601" s="47"/>
      <c r="UKM601" s="46"/>
      <c r="UKN601" s="48"/>
      <c r="UKO601" s="53"/>
      <c r="UKV601" s="15"/>
      <c r="UKW601" s="50"/>
      <c r="UKX601" s="50"/>
      <c r="UKY601" s="46"/>
      <c r="UKZ601" s="47"/>
      <c r="ULA601" s="46"/>
      <c r="ULB601" s="48"/>
      <c r="ULC601" s="53"/>
      <c r="ULJ601" s="15"/>
      <c r="ULK601" s="50"/>
      <c r="ULL601" s="50"/>
      <c r="ULM601" s="46"/>
      <c r="ULN601" s="47"/>
      <c r="ULO601" s="46"/>
      <c r="ULP601" s="48"/>
      <c r="ULQ601" s="53"/>
      <c r="ULX601" s="15"/>
      <c r="ULY601" s="50"/>
      <c r="ULZ601" s="50"/>
      <c r="UMA601" s="46"/>
      <c r="UMB601" s="47"/>
      <c r="UMC601" s="46"/>
      <c r="UMD601" s="48"/>
      <c r="UME601" s="53"/>
      <c r="UML601" s="15"/>
      <c r="UMM601" s="50"/>
      <c r="UMN601" s="50"/>
      <c r="UMO601" s="46"/>
      <c r="UMP601" s="47"/>
      <c r="UMQ601" s="46"/>
      <c r="UMR601" s="48"/>
      <c r="UMS601" s="53"/>
      <c r="UMZ601" s="15"/>
      <c r="UNA601" s="50"/>
      <c r="UNB601" s="50"/>
      <c r="UNC601" s="46"/>
      <c r="UND601" s="47"/>
      <c r="UNE601" s="46"/>
      <c r="UNF601" s="48"/>
      <c r="UNG601" s="53"/>
      <c r="UNN601" s="15"/>
      <c r="UNO601" s="50"/>
      <c r="UNP601" s="50"/>
      <c r="UNQ601" s="46"/>
      <c r="UNR601" s="47"/>
      <c r="UNS601" s="46"/>
      <c r="UNT601" s="48"/>
      <c r="UNU601" s="53"/>
      <c r="UOB601" s="15"/>
      <c r="UOC601" s="50"/>
      <c r="UOD601" s="50"/>
      <c r="UOE601" s="46"/>
      <c r="UOF601" s="47"/>
      <c r="UOG601" s="46"/>
      <c r="UOH601" s="48"/>
      <c r="UOI601" s="53"/>
      <c r="UOP601" s="15"/>
      <c r="UOQ601" s="50"/>
      <c r="UOR601" s="50"/>
      <c r="UOS601" s="46"/>
      <c r="UOT601" s="47"/>
      <c r="UOU601" s="46"/>
      <c r="UOV601" s="48"/>
      <c r="UOW601" s="53"/>
      <c r="UPD601" s="15"/>
      <c r="UPE601" s="50"/>
      <c r="UPF601" s="50"/>
      <c r="UPG601" s="46"/>
      <c r="UPH601" s="47"/>
      <c r="UPI601" s="46"/>
      <c r="UPJ601" s="48"/>
      <c r="UPK601" s="53"/>
      <c r="UPR601" s="15"/>
      <c r="UPS601" s="50"/>
      <c r="UPT601" s="50"/>
      <c r="UPU601" s="46"/>
      <c r="UPV601" s="47"/>
      <c r="UPW601" s="46"/>
      <c r="UPX601" s="48"/>
      <c r="UPY601" s="53"/>
      <c r="UQF601" s="15"/>
      <c r="UQG601" s="50"/>
      <c r="UQH601" s="50"/>
      <c r="UQI601" s="46"/>
      <c r="UQJ601" s="47"/>
      <c r="UQK601" s="46"/>
      <c r="UQL601" s="48"/>
      <c r="UQM601" s="53"/>
      <c r="UQT601" s="15"/>
      <c r="UQU601" s="50"/>
      <c r="UQV601" s="50"/>
      <c r="UQW601" s="46"/>
      <c r="UQX601" s="47"/>
      <c r="UQY601" s="46"/>
      <c r="UQZ601" s="48"/>
      <c r="URA601" s="53"/>
      <c r="URH601" s="15"/>
      <c r="URI601" s="50"/>
      <c r="URJ601" s="50"/>
      <c r="URK601" s="46"/>
      <c r="URL601" s="47"/>
      <c r="URM601" s="46"/>
      <c r="URN601" s="48"/>
      <c r="URO601" s="53"/>
      <c r="URV601" s="15"/>
      <c r="URW601" s="50"/>
      <c r="URX601" s="50"/>
      <c r="URY601" s="46"/>
      <c r="URZ601" s="47"/>
      <c r="USA601" s="46"/>
      <c r="USB601" s="48"/>
      <c r="USC601" s="53"/>
      <c r="USJ601" s="15"/>
      <c r="USK601" s="50"/>
      <c r="USL601" s="50"/>
      <c r="USM601" s="46"/>
      <c r="USN601" s="47"/>
      <c r="USO601" s="46"/>
      <c r="USP601" s="48"/>
      <c r="USQ601" s="53"/>
      <c r="USX601" s="15"/>
      <c r="USY601" s="50"/>
      <c r="USZ601" s="50"/>
      <c r="UTA601" s="46"/>
      <c r="UTB601" s="47"/>
      <c r="UTC601" s="46"/>
      <c r="UTD601" s="48"/>
      <c r="UTE601" s="53"/>
      <c r="UTL601" s="15"/>
      <c r="UTM601" s="50"/>
      <c r="UTN601" s="50"/>
      <c r="UTO601" s="46"/>
      <c r="UTP601" s="47"/>
      <c r="UTQ601" s="46"/>
      <c r="UTR601" s="48"/>
      <c r="UTS601" s="53"/>
      <c r="UTZ601" s="15"/>
      <c r="UUA601" s="50"/>
      <c r="UUB601" s="50"/>
      <c r="UUC601" s="46"/>
      <c r="UUD601" s="47"/>
      <c r="UUE601" s="46"/>
      <c r="UUF601" s="48"/>
      <c r="UUG601" s="53"/>
      <c r="UUN601" s="15"/>
      <c r="UUO601" s="50"/>
      <c r="UUP601" s="50"/>
      <c r="UUQ601" s="46"/>
      <c r="UUR601" s="47"/>
      <c r="UUS601" s="46"/>
      <c r="UUT601" s="48"/>
      <c r="UUU601" s="53"/>
      <c r="UVB601" s="15"/>
      <c r="UVC601" s="50"/>
      <c r="UVD601" s="50"/>
      <c r="UVE601" s="46"/>
      <c r="UVF601" s="47"/>
      <c r="UVG601" s="46"/>
      <c r="UVH601" s="48"/>
      <c r="UVI601" s="53"/>
      <c r="UVP601" s="15"/>
      <c r="UVQ601" s="50"/>
      <c r="UVR601" s="50"/>
      <c r="UVS601" s="46"/>
      <c r="UVT601" s="47"/>
      <c r="UVU601" s="46"/>
      <c r="UVV601" s="48"/>
      <c r="UVW601" s="53"/>
      <c r="UWD601" s="15"/>
      <c r="UWE601" s="50"/>
      <c r="UWF601" s="50"/>
      <c r="UWG601" s="46"/>
      <c r="UWH601" s="47"/>
      <c r="UWI601" s="46"/>
      <c r="UWJ601" s="48"/>
      <c r="UWK601" s="53"/>
      <c r="UWR601" s="15"/>
      <c r="UWS601" s="50"/>
      <c r="UWT601" s="50"/>
      <c r="UWU601" s="46"/>
      <c r="UWV601" s="47"/>
      <c r="UWW601" s="46"/>
      <c r="UWX601" s="48"/>
      <c r="UWY601" s="53"/>
      <c r="UXF601" s="15"/>
      <c r="UXG601" s="50"/>
      <c r="UXH601" s="50"/>
      <c r="UXI601" s="46"/>
      <c r="UXJ601" s="47"/>
      <c r="UXK601" s="46"/>
      <c r="UXL601" s="48"/>
      <c r="UXM601" s="53"/>
      <c r="UXT601" s="15"/>
      <c r="UXU601" s="50"/>
      <c r="UXV601" s="50"/>
      <c r="UXW601" s="46"/>
      <c r="UXX601" s="47"/>
      <c r="UXY601" s="46"/>
      <c r="UXZ601" s="48"/>
      <c r="UYA601" s="53"/>
      <c r="UYH601" s="15"/>
      <c r="UYI601" s="50"/>
      <c r="UYJ601" s="50"/>
      <c r="UYK601" s="46"/>
      <c r="UYL601" s="47"/>
      <c r="UYM601" s="46"/>
      <c r="UYN601" s="48"/>
      <c r="UYO601" s="53"/>
      <c r="UYV601" s="15"/>
      <c r="UYW601" s="50"/>
      <c r="UYX601" s="50"/>
      <c r="UYY601" s="46"/>
      <c r="UYZ601" s="47"/>
      <c r="UZA601" s="46"/>
      <c r="UZB601" s="48"/>
      <c r="UZC601" s="53"/>
      <c r="UZJ601" s="15"/>
      <c r="UZK601" s="50"/>
      <c r="UZL601" s="50"/>
      <c r="UZM601" s="46"/>
      <c r="UZN601" s="47"/>
      <c r="UZO601" s="46"/>
      <c r="UZP601" s="48"/>
      <c r="UZQ601" s="53"/>
      <c r="UZX601" s="15"/>
      <c r="UZY601" s="50"/>
      <c r="UZZ601" s="50"/>
      <c r="VAA601" s="46"/>
      <c r="VAB601" s="47"/>
      <c r="VAC601" s="46"/>
      <c r="VAD601" s="48"/>
      <c r="VAE601" s="53"/>
      <c r="VAL601" s="15"/>
      <c r="VAM601" s="50"/>
      <c r="VAN601" s="50"/>
      <c r="VAO601" s="46"/>
      <c r="VAP601" s="47"/>
      <c r="VAQ601" s="46"/>
      <c r="VAR601" s="48"/>
      <c r="VAS601" s="53"/>
      <c r="VAZ601" s="15"/>
      <c r="VBA601" s="50"/>
      <c r="VBB601" s="50"/>
      <c r="VBC601" s="46"/>
      <c r="VBD601" s="47"/>
      <c r="VBE601" s="46"/>
      <c r="VBF601" s="48"/>
      <c r="VBG601" s="53"/>
      <c r="VBN601" s="15"/>
      <c r="VBO601" s="50"/>
      <c r="VBP601" s="50"/>
      <c r="VBQ601" s="46"/>
      <c r="VBR601" s="47"/>
      <c r="VBS601" s="46"/>
      <c r="VBT601" s="48"/>
      <c r="VBU601" s="53"/>
      <c r="VCB601" s="15"/>
      <c r="VCC601" s="50"/>
      <c r="VCD601" s="50"/>
      <c r="VCE601" s="46"/>
      <c r="VCF601" s="47"/>
      <c r="VCG601" s="46"/>
      <c r="VCH601" s="48"/>
      <c r="VCI601" s="53"/>
      <c r="VCP601" s="15"/>
      <c r="VCQ601" s="50"/>
      <c r="VCR601" s="50"/>
      <c r="VCS601" s="46"/>
      <c r="VCT601" s="47"/>
      <c r="VCU601" s="46"/>
      <c r="VCV601" s="48"/>
      <c r="VCW601" s="53"/>
      <c r="VDD601" s="15"/>
      <c r="VDE601" s="50"/>
      <c r="VDF601" s="50"/>
      <c r="VDG601" s="46"/>
      <c r="VDH601" s="47"/>
      <c r="VDI601" s="46"/>
      <c r="VDJ601" s="48"/>
      <c r="VDK601" s="53"/>
      <c r="VDR601" s="15"/>
      <c r="VDS601" s="50"/>
      <c r="VDT601" s="50"/>
      <c r="VDU601" s="46"/>
      <c r="VDV601" s="47"/>
      <c r="VDW601" s="46"/>
      <c r="VDX601" s="48"/>
      <c r="VDY601" s="53"/>
      <c r="VEF601" s="15"/>
      <c r="VEG601" s="50"/>
      <c r="VEH601" s="50"/>
      <c r="VEI601" s="46"/>
      <c r="VEJ601" s="47"/>
      <c r="VEK601" s="46"/>
      <c r="VEL601" s="48"/>
      <c r="VEM601" s="53"/>
      <c r="VET601" s="15"/>
      <c r="VEU601" s="50"/>
      <c r="VEV601" s="50"/>
      <c r="VEW601" s="46"/>
      <c r="VEX601" s="47"/>
      <c r="VEY601" s="46"/>
      <c r="VEZ601" s="48"/>
      <c r="VFA601" s="53"/>
      <c r="VFH601" s="15"/>
      <c r="VFI601" s="50"/>
      <c r="VFJ601" s="50"/>
      <c r="VFK601" s="46"/>
      <c r="VFL601" s="47"/>
      <c r="VFM601" s="46"/>
      <c r="VFN601" s="48"/>
      <c r="VFO601" s="53"/>
      <c r="VFV601" s="15"/>
      <c r="VFW601" s="50"/>
      <c r="VFX601" s="50"/>
      <c r="VFY601" s="46"/>
      <c r="VFZ601" s="47"/>
      <c r="VGA601" s="46"/>
      <c r="VGB601" s="48"/>
      <c r="VGC601" s="53"/>
      <c r="VGJ601" s="15"/>
      <c r="VGK601" s="50"/>
      <c r="VGL601" s="50"/>
      <c r="VGM601" s="46"/>
      <c r="VGN601" s="47"/>
      <c r="VGO601" s="46"/>
      <c r="VGP601" s="48"/>
      <c r="VGQ601" s="53"/>
      <c r="VGX601" s="15"/>
      <c r="VGY601" s="50"/>
      <c r="VGZ601" s="50"/>
      <c r="VHA601" s="46"/>
      <c r="VHB601" s="47"/>
      <c r="VHC601" s="46"/>
      <c r="VHD601" s="48"/>
      <c r="VHE601" s="53"/>
      <c r="VHL601" s="15"/>
      <c r="VHM601" s="50"/>
      <c r="VHN601" s="50"/>
      <c r="VHO601" s="46"/>
      <c r="VHP601" s="47"/>
      <c r="VHQ601" s="46"/>
      <c r="VHR601" s="48"/>
      <c r="VHS601" s="53"/>
      <c r="VHZ601" s="15"/>
      <c r="VIA601" s="50"/>
      <c r="VIB601" s="50"/>
      <c r="VIC601" s="46"/>
      <c r="VID601" s="47"/>
      <c r="VIE601" s="46"/>
      <c r="VIF601" s="48"/>
      <c r="VIG601" s="53"/>
      <c r="VIN601" s="15"/>
      <c r="VIO601" s="50"/>
      <c r="VIP601" s="50"/>
      <c r="VIQ601" s="46"/>
      <c r="VIR601" s="47"/>
      <c r="VIS601" s="46"/>
      <c r="VIT601" s="48"/>
      <c r="VIU601" s="53"/>
      <c r="VJB601" s="15"/>
      <c r="VJC601" s="50"/>
      <c r="VJD601" s="50"/>
      <c r="VJE601" s="46"/>
      <c r="VJF601" s="47"/>
      <c r="VJG601" s="46"/>
      <c r="VJH601" s="48"/>
      <c r="VJI601" s="53"/>
      <c r="VJP601" s="15"/>
      <c r="VJQ601" s="50"/>
      <c r="VJR601" s="50"/>
      <c r="VJS601" s="46"/>
      <c r="VJT601" s="47"/>
      <c r="VJU601" s="46"/>
      <c r="VJV601" s="48"/>
      <c r="VJW601" s="53"/>
      <c r="VKD601" s="15"/>
      <c r="VKE601" s="50"/>
      <c r="VKF601" s="50"/>
      <c r="VKG601" s="46"/>
      <c r="VKH601" s="47"/>
      <c r="VKI601" s="46"/>
      <c r="VKJ601" s="48"/>
      <c r="VKK601" s="53"/>
      <c r="VKR601" s="15"/>
      <c r="VKS601" s="50"/>
      <c r="VKT601" s="50"/>
      <c r="VKU601" s="46"/>
      <c r="VKV601" s="47"/>
      <c r="VKW601" s="46"/>
      <c r="VKX601" s="48"/>
      <c r="VKY601" s="53"/>
      <c r="VLF601" s="15"/>
      <c r="VLG601" s="50"/>
      <c r="VLH601" s="50"/>
      <c r="VLI601" s="46"/>
      <c r="VLJ601" s="47"/>
      <c r="VLK601" s="46"/>
      <c r="VLL601" s="48"/>
      <c r="VLM601" s="53"/>
      <c r="VLT601" s="15"/>
      <c r="VLU601" s="50"/>
      <c r="VLV601" s="50"/>
      <c r="VLW601" s="46"/>
      <c r="VLX601" s="47"/>
      <c r="VLY601" s="46"/>
      <c r="VLZ601" s="48"/>
      <c r="VMA601" s="53"/>
      <c r="VMH601" s="15"/>
      <c r="VMI601" s="50"/>
      <c r="VMJ601" s="50"/>
      <c r="VMK601" s="46"/>
      <c r="VML601" s="47"/>
      <c r="VMM601" s="46"/>
      <c r="VMN601" s="48"/>
      <c r="VMO601" s="53"/>
      <c r="VMV601" s="15"/>
      <c r="VMW601" s="50"/>
      <c r="VMX601" s="50"/>
      <c r="VMY601" s="46"/>
      <c r="VMZ601" s="47"/>
      <c r="VNA601" s="46"/>
      <c r="VNB601" s="48"/>
      <c r="VNC601" s="53"/>
      <c r="VNJ601" s="15"/>
      <c r="VNK601" s="50"/>
      <c r="VNL601" s="50"/>
      <c r="VNM601" s="46"/>
      <c r="VNN601" s="47"/>
      <c r="VNO601" s="46"/>
      <c r="VNP601" s="48"/>
      <c r="VNQ601" s="53"/>
      <c r="VNX601" s="15"/>
      <c r="VNY601" s="50"/>
      <c r="VNZ601" s="50"/>
      <c r="VOA601" s="46"/>
      <c r="VOB601" s="47"/>
      <c r="VOC601" s="46"/>
      <c r="VOD601" s="48"/>
      <c r="VOE601" s="53"/>
      <c r="VOL601" s="15"/>
      <c r="VOM601" s="50"/>
      <c r="VON601" s="50"/>
      <c r="VOO601" s="46"/>
      <c r="VOP601" s="47"/>
      <c r="VOQ601" s="46"/>
      <c r="VOR601" s="48"/>
      <c r="VOS601" s="53"/>
      <c r="VOZ601" s="15"/>
      <c r="VPA601" s="50"/>
      <c r="VPB601" s="50"/>
      <c r="VPC601" s="46"/>
      <c r="VPD601" s="47"/>
      <c r="VPE601" s="46"/>
      <c r="VPF601" s="48"/>
      <c r="VPG601" s="53"/>
      <c r="VPN601" s="15"/>
      <c r="VPO601" s="50"/>
      <c r="VPP601" s="50"/>
      <c r="VPQ601" s="46"/>
      <c r="VPR601" s="47"/>
      <c r="VPS601" s="46"/>
      <c r="VPT601" s="48"/>
      <c r="VPU601" s="53"/>
      <c r="VQB601" s="15"/>
      <c r="VQC601" s="50"/>
      <c r="VQD601" s="50"/>
      <c r="VQE601" s="46"/>
      <c r="VQF601" s="47"/>
      <c r="VQG601" s="46"/>
      <c r="VQH601" s="48"/>
      <c r="VQI601" s="53"/>
      <c r="VQP601" s="15"/>
      <c r="VQQ601" s="50"/>
      <c r="VQR601" s="50"/>
      <c r="VQS601" s="46"/>
      <c r="VQT601" s="47"/>
      <c r="VQU601" s="46"/>
      <c r="VQV601" s="48"/>
      <c r="VQW601" s="53"/>
      <c r="VRD601" s="15"/>
      <c r="VRE601" s="50"/>
      <c r="VRF601" s="50"/>
      <c r="VRG601" s="46"/>
      <c r="VRH601" s="47"/>
      <c r="VRI601" s="46"/>
      <c r="VRJ601" s="48"/>
      <c r="VRK601" s="53"/>
      <c r="VRR601" s="15"/>
      <c r="VRS601" s="50"/>
      <c r="VRT601" s="50"/>
      <c r="VRU601" s="46"/>
      <c r="VRV601" s="47"/>
      <c r="VRW601" s="46"/>
      <c r="VRX601" s="48"/>
      <c r="VRY601" s="53"/>
      <c r="VSF601" s="15"/>
      <c r="VSG601" s="50"/>
      <c r="VSH601" s="50"/>
      <c r="VSI601" s="46"/>
      <c r="VSJ601" s="47"/>
      <c r="VSK601" s="46"/>
      <c r="VSL601" s="48"/>
      <c r="VSM601" s="53"/>
      <c r="VST601" s="15"/>
      <c r="VSU601" s="50"/>
      <c r="VSV601" s="50"/>
      <c r="VSW601" s="46"/>
      <c r="VSX601" s="47"/>
      <c r="VSY601" s="46"/>
      <c r="VSZ601" s="48"/>
      <c r="VTA601" s="53"/>
      <c r="VTH601" s="15"/>
      <c r="VTI601" s="50"/>
      <c r="VTJ601" s="50"/>
      <c r="VTK601" s="46"/>
      <c r="VTL601" s="47"/>
      <c r="VTM601" s="46"/>
      <c r="VTN601" s="48"/>
      <c r="VTO601" s="53"/>
      <c r="VTV601" s="15"/>
      <c r="VTW601" s="50"/>
      <c r="VTX601" s="50"/>
      <c r="VTY601" s="46"/>
      <c r="VTZ601" s="47"/>
      <c r="VUA601" s="46"/>
      <c r="VUB601" s="48"/>
      <c r="VUC601" s="53"/>
      <c r="VUJ601" s="15"/>
      <c r="VUK601" s="50"/>
      <c r="VUL601" s="50"/>
      <c r="VUM601" s="46"/>
      <c r="VUN601" s="47"/>
      <c r="VUO601" s="46"/>
      <c r="VUP601" s="48"/>
      <c r="VUQ601" s="53"/>
      <c r="VUX601" s="15"/>
      <c r="VUY601" s="50"/>
      <c r="VUZ601" s="50"/>
      <c r="VVA601" s="46"/>
      <c r="VVB601" s="47"/>
      <c r="VVC601" s="46"/>
      <c r="VVD601" s="48"/>
      <c r="VVE601" s="53"/>
      <c r="VVL601" s="15"/>
      <c r="VVM601" s="50"/>
      <c r="VVN601" s="50"/>
      <c r="VVO601" s="46"/>
      <c r="VVP601" s="47"/>
      <c r="VVQ601" s="46"/>
      <c r="VVR601" s="48"/>
      <c r="VVS601" s="53"/>
      <c r="VVZ601" s="15"/>
      <c r="VWA601" s="50"/>
      <c r="VWB601" s="50"/>
      <c r="VWC601" s="46"/>
      <c r="VWD601" s="47"/>
      <c r="VWE601" s="46"/>
      <c r="VWF601" s="48"/>
      <c r="VWG601" s="53"/>
      <c r="VWN601" s="15"/>
      <c r="VWO601" s="50"/>
      <c r="VWP601" s="50"/>
      <c r="VWQ601" s="46"/>
      <c r="VWR601" s="47"/>
      <c r="VWS601" s="46"/>
      <c r="VWT601" s="48"/>
      <c r="VWU601" s="53"/>
      <c r="VXB601" s="15"/>
      <c r="VXC601" s="50"/>
      <c r="VXD601" s="50"/>
      <c r="VXE601" s="46"/>
      <c r="VXF601" s="47"/>
      <c r="VXG601" s="46"/>
      <c r="VXH601" s="48"/>
      <c r="VXI601" s="53"/>
      <c r="VXP601" s="15"/>
      <c r="VXQ601" s="50"/>
      <c r="VXR601" s="50"/>
      <c r="VXS601" s="46"/>
      <c r="VXT601" s="47"/>
      <c r="VXU601" s="46"/>
      <c r="VXV601" s="48"/>
      <c r="VXW601" s="53"/>
      <c r="VYD601" s="15"/>
      <c r="VYE601" s="50"/>
      <c r="VYF601" s="50"/>
      <c r="VYG601" s="46"/>
      <c r="VYH601" s="47"/>
      <c r="VYI601" s="46"/>
      <c r="VYJ601" s="48"/>
      <c r="VYK601" s="53"/>
      <c r="VYR601" s="15"/>
      <c r="VYS601" s="50"/>
      <c r="VYT601" s="50"/>
      <c r="VYU601" s="46"/>
      <c r="VYV601" s="47"/>
      <c r="VYW601" s="46"/>
      <c r="VYX601" s="48"/>
      <c r="VYY601" s="53"/>
      <c r="VZF601" s="15"/>
      <c r="VZG601" s="50"/>
      <c r="VZH601" s="50"/>
      <c r="VZI601" s="46"/>
      <c r="VZJ601" s="47"/>
      <c r="VZK601" s="46"/>
      <c r="VZL601" s="48"/>
      <c r="VZM601" s="53"/>
      <c r="VZT601" s="15"/>
      <c r="VZU601" s="50"/>
      <c r="VZV601" s="50"/>
      <c r="VZW601" s="46"/>
      <c r="VZX601" s="47"/>
      <c r="VZY601" s="46"/>
      <c r="VZZ601" s="48"/>
      <c r="WAA601" s="53"/>
      <c r="WAH601" s="15"/>
      <c r="WAI601" s="50"/>
      <c r="WAJ601" s="50"/>
      <c r="WAK601" s="46"/>
      <c r="WAL601" s="47"/>
      <c r="WAM601" s="46"/>
      <c r="WAN601" s="48"/>
      <c r="WAO601" s="53"/>
      <c r="WAV601" s="15"/>
      <c r="WAW601" s="50"/>
      <c r="WAX601" s="50"/>
      <c r="WAY601" s="46"/>
      <c r="WAZ601" s="47"/>
      <c r="WBA601" s="46"/>
      <c r="WBB601" s="48"/>
      <c r="WBC601" s="53"/>
      <c r="WBJ601" s="15"/>
      <c r="WBK601" s="50"/>
      <c r="WBL601" s="50"/>
      <c r="WBM601" s="46"/>
      <c r="WBN601" s="47"/>
      <c r="WBO601" s="46"/>
      <c r="WBP601" s="48"/>
      <c r="WBQ601" s="53"/>
      <c r="WBX601" s="15"/>
      <c r="WBY601" s="50"/>
      <c r="WBZ601" s="50"/>
      <c r="WCA601" s="46"/>
      <c r="WCB601" s="47"/>
      <c r="WCC601" s="46"/>
      <c r="WCD601" s="48"/>
      <c r="WCE601" s="53"/>
      <c r="WCL601" s="15"/>
      <c r="WCM601" s="50"/>
      <c r="WCN601" s="50"/>
      <c r="WCO601" s="46"/>
      <c r="WCP601" s="47"/>
      <c r="WCQ601" s="46"/>
      <c r="WCR601" s="48"/>
      <c r="WCS601" s="53"/>
      <c r="WCZ601" s="15"/>
      <c r="WDA601" s="50"/>
      <c r="WDB601" s="50"/>
      <c r="WDC601" s="46"/>
      <c r="WDD601" s="47"/>
      <c r="WDE601" s="46"/>
      <c r="WDF601" s="48"/>
      <c r="WDG601" s="53"/>
      <c r="WDN601" s="15"/>
      <c r="WDO601" s="50"/>
      <c r="WDP601" s="50"/>
      <c r="WDQ601" s="46"/>
      <c r="WDR601" s="47"/>
      <c r="WDS601" s="46"/>
      <c r="WDT601" s="48"/>
      <c r="WDU601" s="53"/>
      <c r="WEB601" s="15"/>
      <c r="WEC601" s="50"/>
      <c r="WED601" s="50"/>
      <c r="WEE601" s="46"/>
      <c r="WEF601" s="47"/>
      <c r="WEG601" s="46"/>
      <c r="WEH601" s="48"/>
      <c r="WEI601" s="53"/>
      <c r="WEP601" s="15"/>
      <c r="WEQ601" s="50"/>
      <c r="WER601" s="50"/>
      <c r="WES601" s="46"/>
      <c r="WET601" s="47"/>
      <c r="WEU601" s="46"/>
      <c r="WEV601" s="48"/>
      <c r="WEW601" s="53"/>
      <c r="WFD601" s="15"/>
      <c r="WFE601" s="50"/>
      <c r="WFF601" s="50"/>
      <c r="WFG601" s="46"/>
      <c r="WFH601" s="47"/>
      <c r="WFI601" s="46"/>
      <c r="WFJ601" s="48"/>
      <c r="WFK601" s="53"/>
      <c r="WFR601" s="15"/>
      <c r="WFS601" s="50"/>
      <c r="WFT601" s="50"/>
      <c r="WFU601" s="46"/>
      <c r="WFV601" s="47"/>
      <c r="WFW601" s="46"/>
      <c r="WFX601" s="48"/>
      <c r="WFY601" s="53"/>
      <c r="WGF601" s="15"/>
      <c r="WGG601" s="50"/>
      <c r="WGH601" s="50"/>
      <c r="WGI601" s="46"/>
      <c r="WGJ601" s="47"/>
      <c r="WGK601" s="46"/>
      <c r="WGL601" s="48"/>
      <c r="WGM601" s="53"/>
      <c r="WGT601" s="15"/>
      <c r="WGU601" s="50"/>
      <c r="WGV601" s="50"/>
      <c r="WGW601" s="46"/>
      <c r="WGX601" s="47"/>
      <c r="WGY601" s="46"/>
      <c r="WGZ601" s="48"/>
      <c r="WHA601" s="53"/>
      <c r="WHH601" s="15"/>
      <c r="WHI601" s="50"/>
      <c r="WHJ601" s="50"/>
      <c r="WHK601" s="46"/>
      <c r="WHL601" s="47"/>
      <c r="WHM601" s="46"/>
      <c r="WHN601" s="48"/>
      <c r="WHO601" s="53"/>
      <c r="WHV601" s="15"/>
      <c r="WHW601" s="50"/>
      <c r="WHX601" s="50"/>
      <c r="WHY601" s="46"/>
      <c r="WHZ601" s="47"/>
      <c r="WIA601" s="46"/>
      <c r="WIB601" s="48"/>
      <c r="WIC601" s="53"/>
      <c r="WIJ601" s="15"/>
      <c r="WIK601" s="50"/>
      <c r="WIL601" s="50"/>
      <c r="WIM601" s="46"/>
      <c r="WIN601" s="47"/>
      <c r="WIO601" s="46"/>
      <c r="WIP601" s="48"/>
      <c r="WIQ601" s="53"/>
      <c r="WIX601" s="15"/>
      <c r="WIY601" s="50"/>
      <c r="WIZ601" s="50"/>
      <c r="WJA601" s="46"/>
      <c r="WJB601" s="47"/>
      <c r="WJC601" s="46"/>
      <c r="WJD601" s="48"/>
      <c r="WJE601" s="53"/>
      <c r="WJL601" s="15"/>
      <c r="WJM601" s="50"/>
      <c r="WJN601" s="50"/>
      <c r="WJO601" s="46"/>
      <c r="WJP601" s="47"/>
      <c r="WJQ601" s="46"/>
      <c r="WJR601" s="48"/>
      <c r="WJS601" s="53"/>
      <c r="WJZ601" s="15"/>
      <c r="WKA601" s="50"/>
      <c r="WKB601" s="50"/>
      <c r="WKC601" s="46"/>
      <c r="WKD601" s="47"/>
      <c r="WKE601" s="46"/>
      <c r="WKF601" s="48"/>
      <c r="WKG601" s="53"/>
      <c r="WKN601" s="15"/>
      <c r="WKO601" s="50"/>
      <c r="WKP601" s="50"/>
      <c r="WKQ601" s="46"/>
      <c r="WKR601" s="47"/>
      <c r="WKS601" s="46"/>
      <c r="WKT601" s="48"/>
      <c r="WKU601" s="53"/>
      <c r="WLB601" s="15"/>
      <c r="WLC601" s="50"/>
      <c r="WLD601" s="50"/>
      <c r="WLE601" s="46"/>
      <c r="WLF601" s="47"/>
      <c r="WLG601" s="46"/>
      <c r="WLH601" s="48"/>
      <c r="WLI601" s="53"/>
      <c r="WLP601" s="15"/>
      <c r="WLQ601" s="50"/>
      <c r="WLR601" s="50"/>
      <c r="WLS601" s="46"/>
      <c r="WLT601" s="47"/>
      <c r="WLU601" s="46"/>
      <c r="WLV601" s="48"/>
      <c r="WLW601" s="53"/>
      <c r="WMD601" s="15"/>
      <c r="WME601" s="50"/>
      <c r="WMF601" s="50"/>
      <c r="WMG601" s="46"/>
      <c r="WMH601" s="47"/>
      <c r="WMI601" s="46"/>
      <c r="WMJ601" s="48"/>
      <c r="WMK601" s="53"/>
      <c r="WMR601" s="15"/>
      <c r="WMS601" s="50"/>
      <c r="WMT601" s="50"/>
      <c r="WMU601" s="46"/>
      <c r="WMV601" s="47"/>
      <c r="WMW601" s="46"/>
      <c r="WMX601" s="48"/>
      <c r="WMY601" s="53"/>
      <c r="WNF601" s="15"/>
      <c r="WNG601" s="50"/>
      <c r="WNH601" s="50"/>
      <c r="WNI601" s="46"/>
      <c r="WNJ601" s="47"/>
      <c r="WNK601" s="46"/>
      <c r="WNL601" s="48"/>
      <c r="WNM601" s="53"/>
      <c r="WNT601" s="15"/>
      <c r="WNU601" s="50"/>
      <c r="WNV601" s="50"/>
      <c r="WNW601" s="46"/>
      <c r="WNX601" s="47"/>
      <c r="WNY601" s="46"/>
      <c r="WNZ601" s="48"/>
      <c r="WOA601" s="53"/>
      <c r="WOH601" s="15"/>
      <c r="WOI601" s="50"/>
      <c r="WOJ601" s="50"/>
      <c r="WOK601" s="46"/>
      <c r="WOL601" s="47"/>
      <c r="WOM601" s="46"/>
      <c r="WON601" s="48"/>
      <c r="WOO601" s="53"/>
      <c r="WOV601" s="15"/>
      <c r="WOW601" s="50"/>
      <c r="WOX601" s="50"/>
      <c r="WOY601" s="46"/>
      <c r="WOZ601" s="47"/>
      <c r="WPA601" s="46"/>
      <c r="WPB601" s="48"/>
      <c r="WPC601" s="53"/>
      <c r="WPJ601" s="15"/>
      <c r="WPK601" s="50"/>
      <c r="WPL601" s="50"/>
      <c r="WPM601" s="46"/>
      <c r="WPN601" s="47"/>
      <c r="WPO601" s="46"/>
      <c r="WPP601" s="48"/>
      <c r="WPQ601" s="53"/>
      <c r="WPX601" s="15"/>
      <c r="WPY601" s="50"/>
      <c r="WPZ601" s="50"/>
      <c r="WQA601" s="46"/>
      <c r="WQB601" s="47"/>
      <c r="WQC601" s="46"/>
      <c r="WQD601" s="48"/>
      <c r="WQE601" s="53"/>
      <c r="WQL601" s="15"/>
      <c r="WQM601" s="50"/>
      <c r="WQN601" s="50"/>
      <c r="WQO601" s="46"/>
      <c r="WQP601" s="47"/>
      <c r="WQQ601" s="46"/>
      <c r="WQR601" s="48"/>
      <c r="WQS601" s="53"/>
      <c r="WQZ601" s="15"/>
      <c r="WRA601" s="50"/>
      <c r="WRB601" s="50"/>
      <c r="WRC601" s="46"/>
      <c r="WRD601" s="47"/>
      <c r="WRE601" s="46"/>
      <c r="WRF601" s="48"/>
      <c r="WRG601" s="53"/>
      <c r="WRN601" s="15"/>
      <c r="WRO601" s="50"/>
      <c r="WRP601" s="50"/>
      <c r="WRQ601" s="46"/>
      <c r="WRR601" s="47"/>
      <c r="WRS601" s="46"/>
      <c r="WRT601" s="48"/>
      <c r="WRU601" s="53"/>
      <c r="WSB601" s="15"/>
      <c r="WSC601" s="50"/>
      <c r="WSD601" s="50"/>
      <c r="WSE601" s="46"/>
      <c r="WSF601" s="47"/>
      <c r="WSG601" s="46"/>
      <c r="WSH601" s="48"/>
      <c r="WSI601" s="53"/>
      <c r="WSP601" s="15"/>
      <c r="WSQ601" s="50"/>
      <c r="WSR601" s="50"/>
      <c r="WSS601" s="46"/>
      <c r="WST601" s="47"/>
      <c r="WSU601" s="46"/>
      <c r="WSV601" s="48"/>
      <c r="WSW601" s="53"/>
      <c r="WTD601" s="15"/>
      <c r="WTE601" s="50"/>
      <c r="WTF601" s="50"/>
      <c r="WTG601" s="46"/>
      <c r="WTH601" s="47"/>
      <c r="WTI601" s="46"/>
      <c r="WTJ601" s="48"/>
      <c r="WTK601" s="53"/>
      <c r="WTR601" s="15"/>
      <c r="WTS601" s="50"/>
      <c r="WTT601" s="50"/>
      <c r="WTU601" s="46"/>
      <c r="WTV601" s="47"/>
      <c r="WTW601" s="46"/>
      <c r="WTX601" s="48"/>
      <c r="WTY601" s="53"/>
      <c r="WUF601" s="15"/>
      <c r="WUG601" s="50"/>
      <c r="WUH601" s="50"/>
      <c r="WUI601" s="46"/>
      <c r="WUJ601" s="47"/>
      <c r="WUK601" s="46"/>
      <c r="WUL601" s="48"/>
      <c r="WUM601" s="53"/>
      <c r="WUT601" s="15"/>
      <c r="WUU601" s="50"/>
      <c r="WUV601" s="50"/>
      <c r="WUW601" s="46"/>
      <c r="WUX601" s="47"/>
      <c r="WUY601" s="46"/>
      <c r="WUZ601" s="48"/>
      <c r="WVA601" s="53"/>
      <c r="WVH601" s="15"/>
      <c r="WVI601" s="50"/>
      <c r="WVJ601" s="50"/>
      <c r="WVK601" s="46"/>
      <c r="WVL601" s="47"/>
      <c r="WVM601" s="46"/>
      <c r="WVN601" s="48"/>
      <c r="WVO601" s="53"/>
      <c r="WVV601" s="15"/>
      <c r="WVW601" s="50"/>
      <c r="WVX601" s="50"/>
      <c r="WVY601" s="46"/>
      <c r="WVZ601" s="47"/>
      <c r="WWA601" s="46"/>
      <c r="WWB601" s="48"/>
      <c r="WWC601" s="53"/>
      <c r="WWJ601" s="15"/>
      <c r="WWK601" s="50"/>
      <c r="WWL601" s="50"/>
      <c r="WWM601" s="46"/>
      <c r="WWN601" s="47"/>
      <c r="WWO601" s="46"/>
      <c r="WWP601" s="48"/>
      <c r="WWQ601" s="53"/>
      <c r="WWX601" s="15"/>
      <c r="WWY601" s="50"/>
      <c r="WWZ601" s="50"/>
      <c r="WXA601" s="46"/>
      <c r="WXB601" s="47"/>
      <c r="WXC601" s="46"/>
      <c r="WXD601" s="48"/>
      <c r="WXE601" s="53"/>
      <c r="WXL601" s="15"/>
      <c r="WXM601" s="50"/>
      <c r="WXN601" s="50"/>
      <c r="WXO601" s="46"/>
      <c r="WXP601" s="47"/>
      <c r="WXQ601" s="46"/>
      <c r="WXR601" s="48"/>
      <c r="WXS601" s="53"/>
      <c r="WXZ601" s="15"/>
      <c r="WYA601" s="50"/>
      <c r="WYB601" s="50"/>
      <c r="WYC601" s="46"/>
      <c r="WYD601" s="47"/>
      <c r="WYE601" s="46"/>
      <c r="WYF601" s="48"/>
      <c r="WYG601" s="53"/>
      <c r="WYN601" s="15"/>
      <c r="WYO601" s="50"/>
      <c r="WYP601" s="50"/>
      <c r="WYQ601" s="46"/>
      <c r="WYR601" s="47"/>
      <c r="WYS601" s="46"/>
      <c r="WYT601" s="48"/>
      <c r="WYU601" s="53"/>
      <c r="WZB601" s="15"/>
      <c r="WZC601" s="50"/>
      <c r="WZD601" s="50"/>
      <c r="WZE601" s="46"/>
      <c r="WZF601" s="47"/>
      <c r="WZG601" s="46"/>
      <c r="WZH601" s="48"/>
      <c r="WZI601" s="53"/>
      <c r="WZP601" s="15"/>
      <c r="WZQ601" s="50"/>
      <c r="WZR601" s="50"/>
      <c r="WZS601" s="46"/>
      <c r="WZT601" s="47"/>
      <c r="WZU601" s="46"/>
      <c r="WZV601" s="48"/>
      <c r="WZW601" s="53"/>
      <c r="XAD601" s="15"/>
      <c r="XAE601" s="50"/>
      <c r="XAF601" s="50"/>
      <c r="XAG601" s="46"/>
      <c r="XAH601" s="47"/>
      <c r="XAI601" s="46"/>
      <c r="XAJ601" s="48"/>
      <c r="XAK601" s="53"/>
      <c r="XAR601" s="15"/>
      <c r="XAS601" s="50"/>
      <c r="XAT601" s="50"/>
      <c r="XAU601" s="46"/>
      <c r="XAV601" s="47"/>
      <c r="XAW601" s="46"/>
      <c r="XAX601" s="48"/>
      <c r="XAY601" s="53"/>
      <c r="XBF601" s="15"/>
      <c r="XBG601" s="50"/>
      <c r="XBH601" s="50"/>
      <c r="XBI601" s="46"/>
      <c r="XBJ601" s="47"/>
      <c r="XBK601" s="46"/>
      <c r="XBL601" s="48"/>
      <c r="XBM601" s="53"/>
      <c r="XBT601" s="15"/>
      <c r="XBU601" s="50"/>
      <c r="XBV601" s="50"/>
      <c r="XBW601" s="46"/>
      <c r="XBX601" s="47"/>
      <c r="XBY601" s="46"/>
      <c r="XBZ601" s="48"/>
      <c r="XCA601" s="53"/>
      <c r="XCH601" s="15"/>
      <c r="XCI601" s="50"/>
      <c r="XCJ601" s="50"/>
      <c r="XCK601" s="46"/>
      <c r="XCL601" s="47"/>
      <c r="XCM601" s="46"/>
      <c r="XCN601" s="48"/>
      <c r="XCO601" s="53"/>
      <c r="XCV601" s="15"/>
      <c r="XCW601" s="50"/>
      <c r="XCX601" s="50"/>
      <c r="XCY601" s="46"/>
      <c r="XCZ601" s="47"/>
      <c r="XDA601" s="46"/>
      <c r="XDB601" s="48"/>
      <c r="XDC601" s="53"/>
      <c r="XDJ601" s="15"/>
      <c r="XDK601" s="50"/>
      <c r="XDL601" s="50"/>
      <c r="XDM601" s="46"/>
      <c r="XDN601" s="47"/>
      <c r="XDO601" s="46"/>
      <c r="XDP601" s="48"/>
      <c r="XDQ601" s="53"/>
      <c r="XDX601" s="15"/>
      <c r="XDY601" s="50"/>
      <c r="XDZ601" s="50"/>
      <c r="XEA601" s="46"/>
      <c r="XEB601" s="47"/>
      <c r="XEC601" s="46"/>
      <c r="XED601" s="48"/>
      <c r="XEE601" s="53"/>
      <c r="XEL601" s="15"/>
      <c r="XEM601" s="50"/>
      <c r="XEN601" s="50"/>
      <c r="XEO601" s="46"/>
      <c r="XEP601" s="47"/>
      <c r="XEQ601" s="46"/>
      <c r="XER601" s="48"/>
      <c r="XES601" s="53"/>
      <c r="XEZ601" s="15"/>
      <c r="XFA601" s="50"/>
      <c r="XFB601" s="50"/>
      <c r="XFC601" s="46"/>
    </row>
    <row r="602" spans="1:4095 4102:5117 5124:6139 6146:11263 11270:12285 12292:13307 13314:16383" ht="16.2" x14ac:dyDescent="0.4">
      <c r="A602" s="15" t="str">
        <f t="shared" si="9"/>
        <v>modesg_inp_emss_nacefator_emissao</v>
      </c>
      <c r="B602" s="54" t="s">
        <v>27</v>
      </c>
      <c r="C602" s="50" t="s">
        <v>29</v>
      </c>
      <c r="D602" s="46" t="s">
        <v>431</v>
      </c>
      <c r="E602" s="47" t="s">
        <v>42</v>
      </c>
      <c r="F602" s="46" t="s">
        <v>492</v>
      </c>
      <c r="G602" s="48" t="s">
        <v>426</v>
      </c>
      <c r="H602" s="48" t="s">
        <v>426</v>
      </c>
      <c r="I602" s="56" t="s">
        <v>482</v>
      </c>
      <c r="J602" s="68" t="s">
        <v>514</v>
      </c>
      <c r="K602" s="68" t="s">
        <v>514</v>
      </c>
      <c r="L602" s="68"/>
      <c r="N602" s="15"/>
      <c r="O602" s="50"/>
      <c r="P602" s="50"/>
      <c r="Q602" s="46"/>
      <c r="R602" s="47"/>
      <c r="S602" s="46"/>
      <c r="T602" s="48"/>
      <c r="U602" s="53"/>
      <c r="AB602" s="15"/>
      <c r="AC602" s="50"/>
      <c r="AD602" s="50"/>
      <c r="AE602" s="46"/>
      <c r="AF602" s="47"/>
      <c r="AG602" s="46"/>
      <c r="AH602" s="48"/>
      <c r="AI602" s="53"/>
      <c r="AP602" s="15"/>
      <c r="AQ602" s="50"/>
      <c r="AR602" s="50"/>
      <c r="AS602" s="46"/>
      <c r="AT602" s="47"/>
      <c r="AU602" s="46"/>
      <c r="AV602" s="48"/>
      <c r="AW602" s="53"/>
      <c r="BD602" s="15"/>
      <c r="BE602" s="50"/>
      <c r="BF602" s="50"/>
      <c r="BG602" s="46"/>
      <c r="BH602" s="47"/>
      <c r="BI602" s="46"/>
      <c r="BJ602" s="48"/>
      <c r="BK602" s="53"/>
      <c r="BR602" s="15"/>
      <c r="BS602" s="50"/>
      <c r="BT602" s="50"/>
      <c r="BU602" s="46"/>
      <c r="BV602" s="47"/>
      <c r="BW602" s="46"/>
      <c r="BX602" s="48"/>
      <c r="BY602" s="53"/>
      <c r="CF602" s="15"/>
      <c r="CG602" s="50"/>
      <c r="CH602" s="50"/>
      <c r="CI602" s="46"/>
      <c r="CJ602" s="47"/>
      <c r="CK602" s="46"/>
      <c r="CL602" s="48"/>
      <c r="CM602" s="53"/>
      <c r="CT602" s="15"/>
      <c r="CU602" s="50"/>
      <c r="CV602" s="50"/>
      <c r="CW602" s="46"/>
      <c r="CX602" s="47"/>
      <c r="CY602" s="46"/>
      <c r="CZ602" s="48"/>
      <c r="DA602" s="53"/>
      <c r="DH602" s="15"/>
      <c r="DI602" s="50"/>
      <c r="DJ602" s="50"/>
      <c r="DK602" s="46"/>
      <c r="DL602" s="47"/>
      <c r="DM602" s="46"/>
      <c r="DN602" s="48"/>
      <c r="DO602" s="53"/>
      <c r="DV602" s="15"/>
      <c r="DW602" s="50"/>
      <c r="DX602" s="50"/>
      <c r="DY602" s="46"/>
      <c r="DZ602" s="47"/>
      <c r="EA602" s="46"/>
      <c r="EB602" s="48"/>
      <c r="EC602" s="53"/>
      <c r="EJ602" s="15"/>
      <c r="EK602" s="50"/>
      <c r="EL602" s="50"/>
      <c r="EM602" s="46"/>
      <c r="EN602" s="47"/>
      <c r="EO602" s="46"/>
      <c r="EP602" s="48"/>
      <c r="EQ602" s="53"/>
      <c r="EX602" s="15"/>
      <c r="EY602" s="50"/>
      <c r="EZ602" s="50"/>
      <c r="FA602" s="46"/>
      <c r="FB602" s="47"/>
      <c r="FC602" s="46"/>
      <c r="FD602" s="48"/>
      <c r="FE602" s="53"/>
      <c r="FL602" s="15"/>
      <c r="FM602" s="50"/>
      <c r="FN602" s="50"/>
      <c r="FO602" s="46"/>
      <c r="FP602" s="47"/>
      <c r="FQ602" s="46"/>
      <c r="FR602" s="48"/>
      <c r="FS602" s="53"/>
      <c r="FZ602" s="15"/>
      <c r="GA602" s="50"/>
      <c r="GB602" s="50"/>
      <c r="GC602" s="46"/>
      <c r="GD602" s="47"/>
      <c r="GE602" s="46"/>
      <c r="GF602" s="48"/>
      <c r="GG602" s="53"/>
      <c r="GN602" s="15"/>
      <c r="GO602" s="50"/>
      <c r="GP602" s="50"/>
      <c r="GQ602" s="46"/>
      <c r="GR602" s="47"/>
      <c r="GS602" s="46"/>
      <c r="GT602" s="48"/>
      <c r="GU602" s="53"/>
      <c r="HB602" s="15"/>
      <c r="HC602" s="50"/>
      <c r="HD602" s="50"/>
      <c r="HE602" s="46"/>
      <c r="HF602" s="47"/>
      <c r="HG602" s="46"/>
      <c r="HH602" s="48"/>
      <c r="HI602" s="53"/>
      <c r="HP602" s="15"/>
      <c r="HQ602" s="50"/>
      <c r="HR602" s="50"/>
      <c r="HS602" s="46"/>
      <c r="HT602" s="47"/>
      <c r="HU602" s="46"/>
      <c r="HV602" s="48"/>
      <c r="HW602" s="53"/>
      <c r="ID602" s="15"/>
      <c r="IE602" s="50"/>
      <c r="IF602" s="50"/>
      <c r="IG602" s="46"/>
      <c r="IH602" s="47"/>
      <c r="II602" s="46"/>
      <c r="IJ602" s="48"/>
      <c r="IK602" s="53"/>
      <c r="IR602" s="15"/>
      <c r="IS602" s="50"/>
      <c r="IT602" s="50"/>
      <c r="IU602" s="46"/>
      <c r="IV602" s="47"/>
      <c r="IW602" s="46"/>
      <c r="IX602" s="48"/>
      <c r="IY602" s="53"/>
      <c r="JF602" s="15"/>
      <c r="JG602" s="50"/>
      <c r="JH602" s="50"/>
      <c r="JI602" s="46"/>
      <c r="JJ602" s="47"/>
      <c r="JK602" s="46"/>
      <c r="JL602" s="48"/>
      <c r="JM602" s="53"/>
      <c r="JT602" s="15"/>
      <c r="JU602" s="50"/>
      <c r="JV602" s="50"/>
      <c r="JW602" s="46"/>
      <c r="JX602" s="47"/>
      <c r="JY602" s="46"/>
      <c r="JZ602" s="48"/>
      <c r="KA602" s="53"/>
      <c r="KH602" s="15"/>
      <c r="KI602" s="50"/>
      <c r="KJ602" s="50"/>
      <c r="KK602" s="46"/>
      <c r="KL602" s="47"/>
      <c r="KM602" s="46"/>
      <c r="KN602" s="48"/>
      <c r="KO602" s="53"/>
      <c r="KV602" s="15"/>
      <c r="KW602" s="50"/>
      <c r="KX602" s="50"/>
      <c r="KY602" s="46"/>
      <c r="KZ602" s="47"/>
      <c r="LA602" s="46"/>
      <c r="LB602" s="48"/>
      <c r="LC602" s="53"/>
      <c r="LJ602" s="15"/>
      <c r="LK602" s="50"/>
      <c r="LL602" s="50"/>
      <c r="LM602" s="46"/>
      <c r="LN602" s="47"/>
      <c r="LO602" s="46"/>
      <c r="LP602" s="48"/>
      <c r="LQ602" s="53"/>
      <c r="LX602" s="15"/>
      <c r="LY602" s="50"/>
      <c r="LZ602" s="50"/>
      <c r="MA602" s="46"/>
      <c r="MB602" s="47"/>
      <c r="MC602" s="46"/>
      <c r="MD602" s="48"/>
      <c r="ME602" s="53"/>
      <c r="ML602" s="15"/>
      <c r="MM602" s="50"/>
      <c r="MN602" s="50"/>
      <c r="MO602" s="46"/>
      <c r="MP602" s="47"/>
      <c r="MQ602" s="46"/>
      <c r="MR602" s="48"/>
      <c r="MS602" s="53"/>
      <c r="MZ602" s="15"/>
      <c r="NA602" s="50"/>
      <c r="NB602" s="50"/>
      <c r="NC602" s="46"/>
      <c r="ND602" s="47"/>
      <c r="NE602" s="46"/>
      <c r="NF602" s="48"/>
      <c r="NG602" s="53"/>
      <c r="NN602" s="15"/>
      <c r="NO602" s="50"/>
      <c r="NP602" s="50"/>
      <c r="NQ602" s="46"/>
      <c r="NR602" s="47"/>
      <c r="NS602" s="46"/>
      <c r="NT602" s="48"/>
      <c r="NU602" s="53"/>
      <c r="OB602" s="15"/>
      <c r="OC602" s="50"/>
      <c r="OD602" s="50"/>
      <c r="OE602" s="46"/>
      <c r="OF602" s="47"/>
      <c r="OG602" s="46"/>
      <c r="OH602" s="48"/>
      <c r="OI602" s="53"/>
      <c r="OP602" s="15"/>
      <c r="OQ602" s="50"/>
      <c r="OR602" s="50"/>
      <c r="OS602" s="46"/>
      <c r="OT602" s="47"/>
      <c r="OU602" s="46"/>
      <c r="OV602" s="48"/>
      <c r="OW602" s="53"/>
      <c r="PD602" s="15"/>
      <c r="PE602" s="50"/>
      <c r="PF602" s="50"/>
      <c r="PG602" s="46"/>
      <c r="PH602" s="47"/>
      <c r="PI602" s="46"/>
      <c r="PJ602" s="48"/>
      <c r="PK602" s="53"/>
      <c r="PR602" s="15"/>
      <c r="PS602" s="50"/>
      <c r="PT602" s="50"/>
      <c r="PU602" s="46"/>
      <c r="PV602" s="47"/>
      <c r="PW602" s="46"/>
      <c r="PX602" s="48"/>
      <c r="PY602" s="53"/>
      <c r="QF602" s="15"/>
      <c r="QG602" s="50"/>
      <c r="QH602" s="50"/>
      <c r="QI602" s="46"/>
      <c r="QJ602" s="47"/>
      <c r="QK602" s="46"/>
      <c r="QL602" s="48"/>
      <c r="QM602" s="53"/>
      <c r="QT602" s="15"/>
      <c r="QU602" s="50"/>
      <c r="QV602" s="50"/>
      <c r="QW602" s="46"/>
      <c r="QX602" s="47"/>
      <c r="QY602" s="46"/>
      <c r="QZ602" s="48"/>
      <c r="RA602" s="53"/>
      <c r="RH602" s="15"/>
      <c r="RI602" s="50"/>
      <c r="RJ602" s="50"/>
      <c r="RK602" s="46"/>
      <c r="RL602" s="47"/>
      <c r="RM602" s="46"/>
      <c r="RN602" s="48"/>
      <c r="RO602" s="53"/>
      <c r="RV602" s="15"/>
      <c r="RW602" s="50"/>
      <c r="RX602" s="50"/>
      <c r="RY602" s="46"/>
      <c r="RZ602" s="47"/>
      <c r="SA602" s="46"/>
      <c r="SB602" s="48"/>
      <c r="SC602" s="53"/>
      <c r="SJ602" s="15"/>
      <c r="SK602" s="50"/>
      <c r="SL602" s="50"/>
      <c r="SM602" s="46"/>
      <c r="SN602" s="47"/>
      <c r="SO602" s="46"/>
      <c r="SP602" s="48"/>
      <c r="SQ602" s="53"/>
      <c r="SX602" s="15"/>
      <c r="SY602" s="50"/>
      <c r="SZ602" s="50"/>
      <c r="TA602" s="46"/>
      <c r="TB602" s="47"/>
      <c r="TC602" s="46"/>
      <c r="TD602" s="48"/>
      <c r="TE602" s="53"/>
      <c r="TL602" s="15"/>
      <c r="TM602" s="50"/>
      <c r="TN602" s="50"/>
      <c r="TO602" s="46"/>
      <c r="TP602" s="47"/>
      <c r="TQ602" s="46"/>
      <c r="TR602" s="48"/>
      <c r="TS602" s="53"/>
      <c r="TZ602" s="15"/>
      <c r="UA602" s="50"/>
      <c r="UB602" s="50"/>
      <c r="UC602" s="46"/>
      <c r="UD602" s="47"/>
      <c r="UE602" s="46"/>
      <c r="UF602" s="48"/>
      <c r="UG602" s="53"/>
      <c r="UN602" s="15"/>
      <c r="UO602" s="50"/>
      <c r="UP602" s="50"/>
      <c r="UQ602" s="46"/>
      <c r="UR602" s="47"/>
      <c r="US602" s="46"/>
      <c r="UT602" s="48"/>
      <c r="UU602" s="53"/>
      <c r="VB602" s="15"/>
      <c r="VC602" s="50"/>
      <c r="VD602" s="50"/>
      <c r="VE602" s="46"/>
      <c r="VF602" s="47"/>
      <c r="VG602" s="46"/>
      <c r="VH602" s="48"/>
      <c r="VI602" s="53"/>
      <c r="VP602" s="15"/>
      <c r="VQ602" s="50"/>
      <c r="VR602" s="50"/>
      <c r="VS602" s="46"/>
      <c r="VT602" s="47"/>
      <c r="VU602" s="46"/>
      <c r="VV602" s="48"/>
      <c r="VW602" s="53"/>
      <c r="WD602" s="15"/>
      <c r="WE602" s="50"/>
      <c r="WF602" s="50"/>
      <c r="WG602" s="46"/>
      <c r="WH602" s="47"/>
      <c r="WI602" s="46"/>
      <c r="WJ602" s="48"/>
      <c r="WK602" s="53"/>
      <c r="WR602" s="15"/>
      <c r="WS602" s="50"/>
      <c r="WT602" s="50"/>
      <c r="WU602" s="46"/>
      <c r="WV602" s="47"/>
      <c r="WW602" s="46"/>
      <c r="WX602" s="48"/>
      <c r="WY602" s="53"/>
      <c r="XF602" s="15"/>
      <c r="XG602" s="50"/>
      <c r="XH602" s="50"/>
      <c r="XI602" s="46"/>
      <c r="XJ602" s="47"/>
      <c r="XK602" s="46"/>
      <c r="XL602" s="48"/>
      <c r="XM602" s="53"/>
      <c r="XT602" s="15"/>
      <c r="XU602" s="50"/>
      <c r="XV602" s="50"/>
      <c r="XW602" s="46"/>
      <c r="XX602" s="47"/>
      <c r="XY602" s="46"/>
      <c r="XZ602" s="48"/>
      <c r="YA602" s="53"/>
      <c r="YH602" s="15"/>
      <c r="YI602" s="50"/>
      <c r="YJ602" s="50"/>
      <c r="YK602" s="46"/>
      <c r="YL602" s="47"/>
      <c r="YM602" s="46"/>
      <c r="YN602" s="48"/>
      <c r="YO602" s="53"/>
      <c r="YV602" s="15"/>
      <c r="YW602" s="50"/>
      <c r="YX602" s="50"/>
      <c r="YY602" s="46"/>
      <c r="YZ602" s="47"/>
      <c r="ZA602" s="46"/>
      <c r="ZB602" s="48"/>
      <c r="ZC602" s="53"/>
      <c r="ZJ602" s="15"/>
      <c r="ZK602" s="50"/>
      <c r="ZL602" s="50"/>
      <c r="ZM602" s="46"/>
      <c r="ZN602" s="47"/>
      <c r="ZO602" s="46"/>
      <c r="ZP602" s="48"/>
      <c r="ZQ602" s="53"/>
      <c r="ZX602" s="15"/>
      <c r="ZY602" s="50"/>
      <c r="ZZ602" s="50"/>
      <c r="AAA602" s="46"/>
      <c r="AAB602" s="47"/>
      <c r="AAC602" s="46"/>
      <c r="AAD602" s="48"/>
      <c r="AAE602" s="53"/>
      <c r="AAL602" s="15"/>
      <c r="AAM602" s="50"/>
      <c r="AAN602" s="50"/>
      <c r="AAO602" s="46"/>
      <c r="AAP602" s="47"/>
      <c r="AAQ602" s="46"/>
      <c r="AAR602" s="48"/>
      <c r="AAS602" s="53"/>
      <c r="AAZ602" s="15"/>
      <c r="ABA602" s="50"/>
      <c r="ABB602" s="50"/>
      <c r="ABC602" s="46"/>
      <c r="ABD602" s="47"/>
      <c r="ABE602" s="46"/>
      <c r="ABF602" s="48"/>
      <c r="ABG602" s="53"/>
      <c r="ABN602" s="15"/>
      <c r="ABO602" s="50"/>
      <c r="ABP602" s="50"/>
      <c r="ABQ602" s="46"/>
      <c r="ABR602" s="47"/>
      <c r="ABS602" s="46"/>
      <c r="ABT602" s="48"/>
      <c r="ABU602" s="53"/>
      <c r="ACB602" s="15"/>
      <c r="ACC602" s="50"/>
      <c r="ACD602" s="50"/>
      <c r="ACE602" s="46"/>
      <c r="ACF602" s="47"/>
      <c r="ACG602" s="46"/>
      <c r="ACH602" s="48"/>
      <c r="ACI602" s="53"/>
      <c r="ACP602" s="15"/>
      <c r="ACQ602" s="50"/>
      <c r="ACR602" s="50"/>
      <c r="ACS602" s="46"/>
      <c r="ACT602" s="47"/>
      <c r="ACU602" s="46"/>
      <c r="ACV602" s="48"/>
      <c r="ACW602" s="53"/>
      <c r="ADD602" s="15"/>
      <c r="ADE602" s="50"/>
      <c r="ADF602" s="50"/>
      <c r="ADG602" s="46"/>
      <c r="ADH602" s="47"/>
      <c r="ADI602" s="46"/>
      <c r="ADJ602" s="48"/>
      <c r="ADK602" s="53"/>
      <c r="ADR602" s="15"/>
      <c r="ADS602" s="50"/>
      <c r="ADT602" s="50"/>
      <c r="ADU602" s="46"/>
      <c r="ADV602" s="47"/>
      <c r="ADW602" s="46"/>
      <c r="ADX602" s="48"/>
      <c r="ADY602" s="53"/>
      <c r="AEF602" s="15"/>
      <c r="AEG602" s="50"/>
      <c r="AEH602" s="50"/>
      <c r="AEI602" s="46"/>
      <c r="AEJ602" s="47"/>
      <c r="AEK602" s="46"/>
      <c r="AEL602" s="48"/>
      <c r="AEM602" s="53"/>
      <c r="AET602" s="15"/>
      <c r="AEU602" s="50"/>
      <c r="AEV602" s="50"/>
      <c r="AEW602" s="46"/>
      <c r="AEX602" s="47"/>
      <c r="AEY602" s="46"/>
      <c r="AEZ602" s="48"/>
      <c r="AFA602" s="53"/>
      <c r="AFH602" s="15"/>
      <c r="AFI602" s="50"/>
      <c r="AFJ602" s="50"/>
      <c r="AFK602" s="46"/>
      <c r="AFL602" s="47"/>
      <c r="AFM602" s="46"/>
      <c r="AFN602" s="48"/>
      <c r="AFO602" s="53"/>
      <c r="AFV602" s="15"/>
      <c r="AFW602" s="50"/>
      <c r="AFX602" s="50"/>
      <c r="AFY602" s="46"/>
      <c r="AFZ602" s="47"/>
      <c r="AGA602" s="46"/>
      <c r="AGB602" s="48"/>
      <c r="AGC602" s="53"/>
      <c r="AGJ602" s="15"/>
      <c r="AGK602" s="50"/>
      <c r="AGL602" s="50"/>
      <c r="AGM602" s="46"/>
      <c r="AGN602" s="47"/>
      <c r="AGO602" s="46"/>
      <c r="AGP602" s="48"/>
      <c r="AGQ602" s="53"/>
      <c r="AGX602" s="15"/>
      <c r="AGY602" s="50"/>
      <c r="AGZ602" s="50"/>
      <c r="AHA602" s="46"/>
      <c r="AHB602" s="47"/>
      <c r="AHC602" s="46"/>
      <c r="AHD602" s="48"/>
      <c r="AHE602" s="53"/>
      <c r="AHL602" s="15"/>
      <c r="AHM602" s="50"/>
      <c r="AHN602" s="50"/>
      <c r="AHO602" s="46"/>
      <c r="AHP602" s="47"/>
      <c r="AHQ602" s="46"/>
      <c r="AHR602" s="48"/>
      <c r="AHS602" s="53"/>
      <c r="AHZ602" s="15"/>
      <c r="AIA602" s="50"/>
      <c r="AIB602" s="50"/>
      <c r="AIC602" s="46"/>
      <c r="AID602" s="47"/>
      <c r="AIE602" s="46"/>
      <c r="AIF602" s="48"/>
      <c r="AIG602" s="53"/>
      <c r="AIN602" s="15"/>
      <c r="AIO602" s="50"/>
      <c r="AIP602" s="50"/>
      <c r="AIQ602" s="46"/>
      <c r="AIR602" s="47"/>
      <c r="AIS602" s="46"/>
      <c r="AIT602" s="48"/>
      <c r="AIU602" s="53"/>
      <c r="AJB602" s="15"/>
      <c r="AJC602" s="50"/>
      <c r="AJD602" s="50"/>
      <c r="AJE602" s="46"/>
      <c r="AJF602" s="47"/>
      <c r="AJG602" s="46"/>
      <c r="AJH602" s="48"/>
      <c r="AJI602" s="53"/>
      <c r="AJP602" s="15"/>
      <c r="AJQ602" s="50"/>
      <c r="AJR602" s="50"/>
      <c r="AJS602" s="46"/>
      <c r="AJT602" s="47"/>
      <c r="AJU602" s="46"/>
      <c r="AJV602" s="48"/>
      <c r="AJW602" s="53"/>
      <c r="AKD602" s="15"/>
      <c r="AKE602" s="50"/>
      <c r="AKF602" s="50"/>
      <c r="AKG602" s="46"/>
      <c r="AKH602" s="47"/>
      <c r="AKI602" s="46"/>
      <c r="AKJ602" s="48"/>
      <c r="AKK602" s="53"/>
      <c r="AKR602" s="15"/>
      <c r="AKS602" s="50"/>
      <c r="AKT602" s="50"/>
      <c r="AKU602" s="46"/>
      <c r="AKV602" s="47"/>
      <c r="AKW602" s="46"/>
      <c r="AKX602" s="48"/>
      <c r="AKY602" s="53"/>
      <c r="ALF602" s="15"/>
      <c r="ALG602" s="50"/>
      <c r="ALH602" s="50"/>
      <c r="ALI602" s="46"/>
      <c r="ALJ602" s="47"/>
      <c r="ALK602" s="46"/>
      <c r="ALL602" s="48"/>
      <c r="ALM602" s="53"/>
      <c r="ALT602" s="15"/>
      <c r="ALU602" s="50"/>
      <c r="ALV602" s="50"/>
      <c r="ALW602" s="46"/>
      <c r="ALX602" s="47"/>
      <c r="ALY602" s="46"/>
      <c r="ALZ602" s="48"/>
      <c r="AMA602" s="53"/>
      <c r="AMH602" s="15"/>
      <c r="AMI602" s="50"/>
      <c r="AMJ602" s="50"/>
      <c r="AMK602" s="46"/>
      <c r="AML602" s="47"/>
      <c r="AMM602" s="46"/>
      <c r="AMN602" s="48"/>
      <c r="AMO602" s="53"/>
      <c r="AMV602" s="15"/>
      <c r="AMW602" s="50"/>
      <c r="AMX602" s="50"/>
      <c r="AMY602" s="46"/>
      <c r="AMZ602" s="47"/>
      <c r="ANA602" s="46"/>
      <c r="ANB602" s="48"/>
      <c r="ANC602" s="53"/>
      <c r="ANJ602" s="15"/>
      <c r="ANK602" s="50"/>
      <c r="ANL602" s="50"/>
      <c r="ANM602" s="46"/>
      <c r="ANN602" s="47"/>
      <c r="ANO602" s="46"/>
      <c r="ANP602" s="48"/>
      <c r="ANQ602" s="53"/>
      <c r="ANX602" s="15"/>
      <c r="ANY602" s="50"/>
      <c r="ANZ602" s="50"/>
      <c r="AOA602" s="46"/>
      <c r="AOB602" s="47"/>
      <c r="AOC602" s="46"/>
      <c r="AOD602" s="48"/>
      <c r="AOE602" s="53"/>
      <c r="AOL602" s="15"/>
      <c r="AOM602" s="50"/>
      <c r="AON602" s="50"/>
      <c r="AOO602" s="46"/>
      <c r="AOP602" s="47"/>
      <c r="AOQ602" s="46"/>
      <c r="AOR602" s="48"/>
      <c r="AOS602" s="53"/>
      <c r="AOZ602" s="15"/>
      <c r="APA602" s="50"/>
      <c r="APB602" s="50"/>
      <c r="APC602" s="46"/>
      <c r="APD602" s="47"/>
      <c r="APE602" s="46"/>
      <c r="APF602" s="48"/>
      <c r="APG602" s="53"/>
      <c r="APN602" s="15"/>
      <c r="APO602" s="50"/>
      <c r="APP602" s="50"/>
      <c r="APQ602" s="46"/>
      <c r="APR602" s="47"/>
      <c r="APS602" s="46"/>
      <c r="APT602" s="48"/>
      <c r="APU602" s="53"/>
      <c r="AQB602" s="15"/>
      <c r="AQC602" s="50"/>
      <c r="AQD602" s="50"/>
      <c r="AQE602" s="46"/>
      <c r="AQF602" s="47"/>
      <c r="AQG602" s="46"/>
      <c r="AQH602" s="48"/>
      <c r="AQI602" s="53"/>
      <c r="AQP602" s="15"/>
      <c r="AQQ602" s="50"/>
      <c r="AQR602" s="50"/>
      <c r="AQS602" s="46"/>
      <c r="AQT602" s="47"/>
      <c r="AQU602" s="46"/>
      <c r="AQV602" s="48"/>
      <c r="AQW602" s="53"/>
      <c r="ARD602" s="15"/>
      <c r="ARE602" s="50"/>
      <c r="ARF602" s="50"/>
      <c r="ARG602" s="46"/>
      <c r="ARH602" s="47"/>
      <c r="ARI602" s="46"/>
      <c r="ARJ602" s="48"/>
      <c r="ARK602" s="53"/>
      <c r="ARR602" s="15"/>
      <c r="ARS602" s="50"/>
      <c r="ART602" s="50"/>
      <c r="ARU602" s="46"/>
      <c r="ARV602" s="47"/>
      <c r="ARW602" s="46"/>
      <c r="ARX602" s="48"/>
      <c r="ARY602" s="53"/>
      <c r="ASF602" s="15"/>
      <c r="ASG602" s="50"/>
      <c r="ASH602" s="50"/>
      <c r="ASI602" s="46"/>
      <c r="ASJ602" s="47"/>
      <c r="ASK602" s="46"/>
      <c r="ASL602" s="48"/>
      <c r="ASM602" s="53"/>
      <c r="AST602" s="15"/>
      <c r="ASU602" s="50"/>
      <c r="ASV602" s="50"/>
      <c r="ASW602" s="46"/>
      <c r="ASX602" s="47"/>
      <c r="ASY602" s="46"/>
      <c r="ASZ602" s="48"/>
      <c r="ATA602" s="53"/>
      <c r="ATH602" s="15"/>
      <c r="ATI602" s="50"/>
      <c r="ATJ602" s="50"/>
      <c r="ATK602" s="46"/>
      <c r="ATL602" s="47"/>
      <c r="ATM602" s="46"/>
      <c r="ATN602" s="48"/>
      <c r="ATO602" s="53"/>
      <c r="ATV602" s="15"/>
      <c r="ATW602" s="50"/>
      <c r="ATX602" s="50"/>
      <c r="ATY602" s="46"/>
      <c r="ATZ602" s="47"/>
      <c r="AUA602" s="46"/>
      <c r="AUB602" s="48"/>
      <c r="AUC602" s="53"/>
      <c r="AUJ602" s="15"/>
      <c r="AUK602" s="50"/>
      <c r="AUL602" s="50"/>
      <c r="AUM602" s="46"/>
      <c r="AUN602" s="47"/>
      <c r="AUO602" s="46"/>
      <c r="AUP602" s="48"/>
      <c r="AUQ602" s="53"/>
      <c r="AUX602" s="15"/>
      <c r="AUY602" s="50"/>
      <c r="AUZ602" s="50"/>
      <c r="AVA602" s="46"/>
      <c r="AVB602" s="47"/>
      <c r="AVC602" s="46"/>
      <c r="AVD602" s="48"/>
      <c r="AVE602" s="53"/>
      <c r="AVL602" s="15"/>
      <c r="AVM602" s="50"/>
      <c r="AVN602" s="50"/>
      <c r="AVO602" s="46"/>
      <c r="AVP602" s="47"/>
      <c r="AVQ602" s="46"/>
      <c r="AVR602" s="48"/>
      <c r="AVS602" s="53"/>
      <c r="AVZ602" s="15"/>
      <c r="AWA602" s="50"/>
      <c r="AWB602" s="50"/>
      <c r="AWC602" s="46"/>
      <c r="AWD602" s="47"/>
      <c r="AWE602" s="46"/>
      <c r="AWF602" s="48"/>
      <c r="AWG602" s="53"/>
      <c r="AWN602" s="15"/>
      <c r="AWO602" s="50"/>
      <c r="AWP602" s="50"/>
      <c r="AWQ602" s="46"/>
      <c r="AWR602" s="47"/>
      <c r="AWS602" s="46"/>
      <c r="AWT602" s="48"/>
      <c r="AWU602" s="53"/>
      <c r="AXB602" s="15"/>
      <c r="AXC602" s="50"/>
      <c r="AXD602" s="50"/>
      <c r="AXE602" s="46"/>
      <c r="AXF602" s="47"/>
      <c r="AXG602" s="46"/>
      <c r="AXH602" s="48"/>
      <c r="AXI602" s="53"/>
      <c r="AXP602" s="15"/>
      <c r="AXQ602" s="50"/>
      <c r="AXR602" s="50"/>
      <c r="AXS602" s="46"/>
      <c r="AXT602" s="47"/>
      <c r="AXU602" s="46"/>
      <c r="AXV602" s="48"/>
      <c r="AXW602" s="53"/>
      <c r="AYD602" s="15"/>
      <c r="AYE602" s="50"/>
      <c r="AYF602" s="50"/>
      <c r="AYG602" s="46"/>
      <c r="AYH602" s="47"/>
      <c r="AYI602" s="46"/>
      <c r="AYJ602" s="48"/>
      <c r="AYK602" s="53"/>
      <c r="AYR602" s="15"/>
      <c r="AYS602" s="50"/>
      <c r="AYT602" s="50"/>
      <c r="AYU602" s="46"/>
      <c r="AYV602" s="47"/>
      <c r="AYW602" s="46"/>
      <c r="AYX602" s="48"/>
      <c r="AYY602" s="53"/>
      <c r="AZF602" s="15"/>
      <c r="AZG602" s="50"/>
      <c r="AZH602" s="50"/>
      <c r="AZI602" s="46"/>
      <c r="AZJ602" s="47"/>
      <c r="AZK602" s="46"/>
      <c r="AZL602" s="48"/>
      <c r="AZM602" s="53"/>
      <c r="AZT602" s="15"/>
      <c r="AZU602" s="50"/>
      <c r="AZV602" s="50"/>
      <c r="AZW602" s="46"/>
      <c r="AZX602" s="47"/>
      <c r="AZY602" s="46"/>
      <c r="AZZ602" s="48"/>
      <c r="BAA602" s="53"/>
      <c r="BAH602" s="15"/>
      <c r="BAI602" s="50"/>
      <c r="BAJ602" s="50"/>
      <c r="BAK602" s="46"/>
      <c r="BAL602" s="47"/>
      <c r="BAM602" s="46"/>
      <c r="BAN602" s="48"/>
      <c r="BAO602" s="53"/>
      <c r="BAV602" s="15"/>
      <c r="BAW602" s="50"/>
      <c r="BAX602" s="50"/>
      <c r="BAY602" s="46"/>
      <c r="BAZ602" s="47"/>
      <c r="BBA602" s="46"/>
      <c r="BBB602" s="48"/>
      <c r="BBC602" s="53"/>
      <c r="BBJ602" s="15"/>
      <c r="BBK602" s="50"/>
      <c r="BBL602" s="50"/>
      <c r="BBM602" s="46"/>
      <c r="BBN602" s="47"/>
      <c r="BBO602" s="46"/>
      <c r="BBP602" s="48"/>
      <c r="BBQ602" s="53"/>
      <c r="BBX602" s="15"/>
      <c r="BBY602" s="50"/>
      <c r="BBZ602" s="50"/>
      <c r="BCA602" s="46"/>
      <c r="BCB602" s="47"/>
      <c r="BCC602" s="46"/>
      <c r="BCD602" s="48"/>
      <c r="BCE602" s="53"/>
      <c r="BCL602" s="15"/>
      <c r="BCM602" s="50"/>
      <c r="BCN602" s="50"/>
      <c r="BCO602" s="46"/>
      <c r="BCP602" s="47"/>
      <c r="BCQ602" s="46"/>
      <c r="BCR602" s="48"/>
      <c r="BCS602" s="53"/>
      <c r="BCZ602" s="15"/>
      <c r="BDA602" s="50"/>
      <c r="BDB602" s="50"/>
      <c r="BDC602" s="46"/>
      <c r="BDD602" s="47"/>
      <c r="BDE602" s="46"/>
      <c r="BDF602" s="48"/>
      <c r="BDG602" s="53"/>
      <c r="BDN602" s="15"/>
      <c r="BDO602" s="50"/>
      <c r="BDP602" s="50"/>
      <c r="BDQ602" s="46"/>
      <c r="BDR602" s="47"/>
      <c r="BDS602" s="46"/>
      <c r="BDT602" s="48"/>
      <c r="BDU602" s="53"/>
      <c r="BEB602" s="15"/>
      <c r="BEC602" s="50"/>
      <c r="BED602" s="50"/>
      <c r="BEE602" s="46"/>
      <c r="BEF602" s="47"/>
      <c r="BEG602" s="46"/>
      <c r="BEH602" s="48"/>
      <c r="BEI602" s="53"/>
      <c r="BEP602" s="15"/>
      <c r="BEQ602" s="50"/>
      <c r="BER602" s="50"/>
      <c r="BES602" s="46"/>
      <c r="BET602" s="47"/>
      <c r="BEU602" s="46"/>
      <c r="BEV602" s="48"/>
      <c r="BEW602" s="53"/>
      <c r="BFD602" s="15"/>
      <c r="BFE602" s="50"/>
      <c r="BFF602" s="50"/>
      <c r="BFG602" s="46"/>
      <c r="BFH602" s="47"/>
      <c r="BFI602" s="46"/>
      <c r="BFJ602" s="48"/>
      <c r="BFK602" s="53"/>
      <c r="BFR602" s="15"/>
      <c r="BFS602" s="50"/>
      <c r="BFT602" s="50"/>
      <c r="BFU602" s="46"/>
      <c r="BFV602" s="47"/>
      <c r="BFW602" s="46"/>
      <c r="BFX602" s="48"/>
      <c r="BFY602" s="53"/>
      <c r="BGF602" s="15"/>
      <c r="BGG602" s="50"/>
      <c r="BGH602" s="50"/>
      <c r="BGI602" s="46"/>
      <c r="BGJ602" s="47"/>
      <c r="BGK602" s="46"/>
      <c r="BGL602" s="48"/>
      <c r="BGM602" s="53"/>
      <c r="BGT602" s="15"/>
      <c r="BGU602" s="50"/>
      <c r="BGV602" s="50"/>
      <c r="BGW602" s="46"/>
      <c r="BGX602" s="47"/>
      <c r="BGY602" s="46"/>
      <c r="BGZ602" s="48"/>
      <c r="BHA602" s="53"/>
      <c r="BHH602" s="15"/>
      <c r="BHI602" s="50"/>
      <c r="BHJ602" s="50"/>
      <c r="BHK602" s="46"/>
      <c r="BHL602" s="47"/>
      <c r="BHM602" s="46"/>
      <c r="BHN602" s="48"/>
      <c r="BHO602" s="53"/>
      <c r="BHV602" s="15"/>
      <c r="BHW602" s="50"/>
      <c r="BHX602" s="50"/>
      <c r="BHY602" s="46"/>
      <c r="BHZ602" s="47"/>
      <c r="BIA602" s="46"/>
      <c r="BIB602" s="48"/>
      <c r="BIC602" s="53"/>
      <c r="BIJ602" s="15"/>
      <c r="BIK602" s="50"/>
      <c r="BIL602" s="50"/>
      <c r="BIM602" s="46"/>
      <c r="BIN602" s="47"/>
      <c r="BIO602" s="46"/>
      <c r="BIP602" s="48"/>
      <c r="BIQ602" s="53"/>
      <c r="BIX602" s="15"/>
      <c r="BIY602" s="50"/>
      <c r="BIZ602" s="50"/>
      <c r="BJA602" s="46"/>
      <c r="BJB602" s="47"/>
      <c r="BJC602" s="46"/>
      <c r="BJD602" s="48"/>
      <c r="BJE602" s="53"/>
      <c r="BJL602" s="15"/>
      <c r="BJM602" s="50"/>
      <c r="BJN602" s="50"/>
      <c r="BJO602" s="46"/>
      <c r="BJP602" s="47"/>
      <c r="BJQ602" s="46"/>
      <c r="BJR602" s="48"/>
      <c r="BJS602" s="53"/>
      <c r="BJZ602" s="15"/>
      <c r="BKA602" s="50"/>
      <c r="BKB602" s="50"/>
      <c r="BKC602" s="46"/>
      <c r="BKD602" s="47"/>
      <c r="BKE602" s="46"/>
      <c r="BKF602" s="48"/>
      <c r="BKG602" s="53"/>
      <c r="BKN602" s="15"/>
      <c r="BKO602" s="50"/>
      <c r="BKP602" s="50"/>
      <c r="BKQ602" s="46"/>
      <c r="BKR602" s="47"/>
      <c r="BKS602" s="46"/>
      <c r="BKT602" s="48"/>
      <c r="BKU602" s="53"/>
      <c r="BLB602" s="15"/>
      <c r="BLC602" s="50"/>
      <c r="BLD602" s="50"/>
      <c r="BLE602" s="46"/>
      <c r="BLF602" s="47"/>
      <c r="BLG602" s="46"/>
      <c r="BLH602" s="48"/>
      <c r="BLI602" s="53"/>
      <c r="BLP602" s="15"/>
      <c r="BLQ602" s="50"/>
      <c r="BLR602" s="50"/>
      <c r="BLS602" s="46"/>
      <c r="BLT602" s="47"/>
      <c r="BLU602" s="46"/>
      <c r="BLV602" s="48"/>
      <c r="BLW602" s="53"/>
      <c r="BMD602" s="15"/>
      <c r="BME602" s="50"/>
      <c r="BMF602" s="50"/>
      <c r="BMG602" s="46"/>
      <c r="BMH602" s="47"/>
      <c r="BMI602" s="46"/>
      <c r="BMJ602" s="48"/>
      <c r="BMK602" s="53"/>
      <c r="BMR602" s="15"/>
      <c r="BMS602" s="50"/>
      <c r="BMT602" s="50"/>
      <c r="BMU602" s="46"/>
      <c r="BMV602" s="47"/>
      <c r="BMW602" s="46"/>
      <c r="BMX602" s="48"/>
      <c r="BMY602" s="53"/>
      <c r="BNF602" s="15"/>
      <c r="BNG602" s="50"/>
      <c r="BNH602" s="50"/>
      <c r="BNI602" s="46"/>
      <c r="BNJ602" s="47"/>
      <c r="BNK602" s="46"/>
      <c r="BNL602" s="48"/>
      <c r="BNM602" s="53"/>
      <c r="BNT602" s="15"/>
      <c r="BNU602" s="50"/>
      <c r="BNV602" s="50"/>
      <c r="BNW602" s="46"/>
      <c r="BNX602" s="47"/>
      <c r="BNY602" s="46"/>
      <c r="BNZ602" s="48"/>
      <c r="BOA602" s="53"/>
      <c r="BOH602" s="15"/>
      <c r="BOI602" s="50"/>
      <c r="BOJ602" s="50"/>
      <c r="BOK602" s="46"/>
      <c r="BOL602" s="47"/>
      <c r="BOM602" s="46"/>
      <c r="BON602" s="48"/>
      <c r="BOO602" s="53"/>
      <c r="BOV602" s="15"/>
      <c r="BOW602" s="50"/>
      <c r="BOX602" s="50"/>
      <c r="BOY602" s="46"/>
      <c r="BOZ602" s="47"/>
      <c r="BPA602" s="46"/>
      <c r="BPB602" s="48"/>
      <c r="BPC602" s="53"/>
      <c r="BPJ602" s="15"/>
      <c r="BPK602" s="50"/>
      <c r="BPL602" s="50"/>
      <c r="BPM602" s="46"/>
      <c r="BPN602" s="47"/>
      <c r="BPO602" s="46"/>
      <c r="BPP602" s="48"/>
      <c r="BPQ602" s="53"/>
      <c r="BPX602" s="15"/>
      <c r="BPY602" s="50"/>
      <c r="BPZ602" s="50"/>
      <c r="BQA602" s="46"/>
      <c r="BQB602" s="47"/>
      <c r="BQC602" s="46"/>
      <c r="BQD602" s="48"/>
      <c r="BQE602" s="53"/>
      <c r="BQL602" s="15"/>
      <c r="BQM602" s="50"/>
      <c r="BQN602" s="50"/>
      <c r="BQO602" s="46"/>
      <c r="BQP602" s="47"/>
      <c r="BQQ602" s="46"/>
      <c r="BQR602" s="48"/>
      <c r="BQS602" s="53"/>
      <c r="BQZ602" s="15"/>
      <c r="BRA602" s="50"/>
      <c r="BRB602" s="50"/>
      <c r="BRC602" s="46"/>
      <c r="BRD602" s="47"/>
      <c r="BRE602" s="46"/>
      <c r="BRF602" s="48"/>
      <c r="BRG602" s="53"/>
      <c r="BRN602" s="15"/>
      <c r="BRO602" s="50"/>
      <c r="BRP602" s="50"/>
      <c r="BRQ602" s="46"/>
      <c r="BRR602" s="47"/>
      <c r="BRS602" s="46"/>
      <c r="BRT602" s="48"/>
      <c r="BRU602" s="53"/>
      <c r="BSB602" s="15"/>
      <c r="BSC602" s="50"/>
      <c r="BSD602" s="50"/>
      <c r="BSE602" s="46"/>
      <c r="BSF602" s="47"/>
      <c r="BSG602" s="46"/>
      <c r="BSH602" s="48"/>
      <c r="BSI602" s="53"/>
      <c r="BSP602" s="15"/>
      <c r="BSQ602" s="50"/>
      <c r="BSR602" s="50"/>
      <c r="BSS602" s="46"/>
      <c r="BST602" s="47"/>
      <c r="BSU602" s="46"/>
      <c r="BSV602" s="48"/>
      <c r="BSW602" s="53"/>
      <c r="BTD602" s="15"/>
      <c r="BTE602" s="50"/>
      <c r="BTF602" s="50"/>
      <c r="BTG602" s="46"/>
      <c r="BTH602" s="47"/>
      <c r="BTI602" s="46"/>
      <c r="BTJ602" s="48"/>
      <c r="BTK602" s="53"/>
      <c r="BTR602" s="15"/>
      <c r="BTS602" s="50"/>
      <c r="BTT602" s="50"/>
      <c r="BTU602" s="46"/>
      <c r="BTV602" s="47"/>
      <c r="BTW602" s="46"/>
      <c r="BTX602" s="48"/>
      <c r="BTY602" s="53"/>
      <c r="BUF602" s="15"/>
      <c r="BUG602" s="50"/>
      <c r="BUH602" s="50"/>
      <c r="BUI602" s="46"/>
      <c r="BUJ602" s="47"/>
      <c r="BUK602" s="46"/>
      <c r="BUL602" s="48"/>
      <c r="BUM602" s="53"/>
      <c r="BUT602" s="15"/>
      <c r="BUU602" s="50"/>
      <c r="BUV602" s="50"/>
      <c r="BUW602" s="46"/>
      <c r="BUX602" s="47"/>
      <c r="BUY602" s="46"/>
      <c r="BUZ602" s="48"/>
      <c r="BVA602" s="53"/>
      <c r="BVH602" s="15"/>
      <c r="BVI602" s="50"/>
      <c r="BVJ602" s="50"/>
      <c r="BVK602" s="46"/>
      <c r="BVL602" s="47"/>
      <c r="BVM602" s="46"/>
      <c r="BVN602" s="48"/>
      <c r="BVO602" s="53"/>
      <c r="BVV602" s="15"/>
      <c r="BVW602" s="50"/>
      <c r="BVX602" s="50"/>
      <c r="BVY602" s="46"/>
      <c r="BVZ602" s="47"/>
      <c r="BWA602" s="46"/>
      <c r="BWB602" s="48"/>
      <c r="BWC602" s="53"/>
      <c r="BWJ602" s="15"/>
      <c r="BWK602" s="50"/>
      <c r="BWL602" s="50"/>
      <c r="BWM602" s="46"/>
      <c r="BWN602" s="47"/>
      <c r="BWO602" s="46"/>
      <c r="BWP602" s="48"/>
      <c r="BWQ602" s="53"/>
      <c r="BWX602" s="15"/>
      <c r="BWY602" s="50"/>
      <c r="BWZ602" s="50"/>
      <c r="BXA602" s="46"/>
      <c r="BXB602" s="47"/>
      <c r="BXC602" s="46"/>
      <c r="BXD602" s="48"/>
      <c r="BXE602" s="53"/>
      <c r="BXL602" s="15"/>
      <c r="BXM602" s="50"/>
      <c r="BXN602" s="50"/>
      <c r="BXO602" s="46"/>
      <c r="BXP602" s="47"/>
      <c r="BXQ602" s="46"/>
      <c r="BXR602" s="48"/>
      <c r="BXS602" s="53"/>
      <c r="BXZ602" s="15"/>
      <c r="BYA602" s="50"/>
      <c r="BYB602" s="50"/>
      <c r="BYC602" s="46"/>
      <c r="BYD602" s="47"/>
      <c r="BYE602" s="46"/>
      <c r="BYF602" s="48"/>
      <c r="BYG602" s="53"/>
      <c r="BYN602" s="15"/>
      <c r="BYO602" s="50"/>
      <c r="BYP602" s="50"/>
      <c r="BYQ602" s="46"/>
      <c r="BYR602" s="47"/>
      <c r="BYS602" s="46"/>
      <c r="BYT602" s="48"/>
      <c r="BYU602" s="53"/>
      <c r="BZB602" s="15"/>
      <c r="BZC602" s="50"/>
      <c r="BZD602" s="50"/>
      <c r="BZE602" s="46"/>
      <c r="BZF602" s="47"/>
      <c r="BZG602" s="46"/>
      <c r="BZH602" s="48"/>
      <c r="BZI602" s="53"/>
      <c r="BZP602" s="15"/>
      <c r="BZQ602" s="50"/>
      <c r="BZR602" s="50"/>
      <c r="BZS602" s="46"/>
      <c r="BZT602" s="47"/>
      <c r="BZU602" s="46"/>
      <c r="BZV602" s="48"/>
      <c r="BZW602" s="53"/>
      <c r="CAD602" s="15"/>
      <c r="CAE602" s="50"/>
      <c r="CAF602" s="50"/>
      <c r="CAG602" s="46"/>
      <c r="CAH602" s="47"/>
      <c r="CAI602" s="46"/>
      <c r="CAJ602" s="48"/>
      <c r="CAK602" s="53"/>
      <c r="CAR602" s="15"/>
      <c r="CAS602" s="50"/>
      <c r="CAT602" s="50"/>
      <c r="CAU602" s="46"/>
      <c r="CAV602" s="47"/>
      <c r="CAW602" s="46"/>
      <c r="CAX602" s="48"/>
      <c r="CAY602" s="53"/>
      <c r="CBF602" s="15"/>
      <c r="CBG602" s="50"/>
      <c r="CBH602" s="50"/>
      <c r="CBI602" s="46"/>
      <c r="CBJ602" s="47"/>
      <c r="CBK602" s="46"/>
      <c r="CBL602" s="48"/>
      <c r="CBM602" s="53"/>
      <c r="CBT602" s="15"/>
      <c r="CBU602" s="50"/>
      <c r="CBV602" s="50"/>
      <c r="CBW602" s="46"/>
      <c r="CBX602" s="47"/>
      <c r="CBY602" s="46"/>
      <c r="CBZ602" s="48"/>
      <c r="CCA602" s="53"/>
      <c r="CCH602" s="15"/>
      <c r="CCI602" s="50"/>
      <c r="CCJ602" s="50"/>
      <c r="CCK602" s="46"/>
      <c r="CCL602" s="47"/>
      <c r="CCM602" s="46"/>
      <c r="CCN602" s="48"/>
      <c r="CCO602" s="53"/>
      <c r="CCV602" s="15"/>
      <c r="CCW602" s="50"/>
      <c r="CCX602" s="50"/>
      <c r="CCY602" s="46"/>
      <c r="CCZ602" s="47"/>
      <c r="CDA602" s="46"/>
      <c r="CDB602" s="48"/>
      <c r="CDC602" s="53"/>
      <c r="CDJ602" s="15"/>
      <c r="CDK602" s="50"/>
      <c r="CDL602" s="50"/>
      <c r="CDM602" s="46"/>
      <c r="CDN602" s="47"/>
      <c r="CDO602" s="46"/>
      <c r="CDP602" s="48"/>
      <c r="CDQ602" s="53"/>
      <c r="CDX602" s="15"/>
      <c r="CDY602" s="50"/>
      <c r="CDZ602" s="50"/>
      <c r="CEA602" s="46"/>
      <c r="CEB602" s="47"/>
      <c r="CEC602" s="46"/>
      <c r="CED602" s="48"/>
      <c r="CEE602" s="53"/>
      <c r="CEL602" s="15"/>
      <c r="CEM602" s="50"/>
      <c r="CEN602" s="50"/>
      <c r="CEO602" s="46"/>
      <c r="CEP602" s="47"/>
      <c r="CEQ602" s="46"/>
      <c r="CER602" s="48"/>
      <c r="CES602" s="53"/>
      <c r="CEZ602" s="15"/>
      <c r="CFA602" s="50"/>
      <c r="CFB602" s="50"/>
      <c r="CFC602" s="46"/>
      <c r="CFD602" s="47"/>
      <c r="CFE602" s="46"/>
      <c r="CFF602" s="48"/>
      <c r="CFG602" s="53"/>
      <c r="CFN602" s="15"/>
      <c r="CFO602" s="50"/>
      <c r="CFP602" s="50"/>
      <c r="CFQ602" s="46"/>
      <c r="CFR602" s="47"/>
      <c r="CFS602" s="46"/>
      <c r="CFT602" s="48"/>
      <c r="CFU602" s="53"/>
      <c r="CGB602" s="15"/>
      <c r="CGC602" s="50"/>
      <c r="CGD602" s="50"/>
      <c r="CGE602" s="46"/>
      <c r="CGF602" s="47"/>
      <c r="CGG602" s="46"/>
      <c r="CGH602" s="48"/>
      <c r="CGI602" s="53"/>
      <c r="CGP602" s="15"/>
      <c r="CGQ602" s="50"/>
      <c r="CGR602" s="50"/>
      <c r="CGS602" s="46"/>
      <c r="CGT602" s="47"/>
      <c r="CGU602" s="46"/>
      <c r="CGV602" s="48"/>
      <c r="CGW602" s="53"/>
      <c r="CHD602" s="15"/>
      <c r="CHE602" s="50"/>
      <c r="CHF602" s="50"/>
      <c r="CHG602" s="46"/>
      <c r="CHH602" s="47"/>
      <c r="CHI602" s="46"/>
      <c r="CHJ602" s="48"/>
      <c r="CHK602" s="53"/>
      <c r="CHR602" s="15"/>
      <c r="CHS602" s="50"/>
      <c r="CHT602" s="50"/>
      <c r="CHU602" s="46"/>
      <c r="CHV602" s="47"/>
      <c r="CHW602" s="46"/>
      <c r="CHX602" s="48"/>
      <c r="CHY602" s="53"/>
      <c r="CIF602" s="15"/>
      <c r="CIG602" s="50"/>
      <c r="CIH602" s="50"/>
      <c r="CII602" s="46"/>
      <c r="CIJ602" s="47"/>
      <c r="CIK602" s="46"/>
      <c r="CIL602" s="48"/>
      <c r="CIM602" s="53"/>
      <c r="CIT602" s="15"/>
      <c r="CIU602" s="50"/>
      <c r="CIV602" s="50"/>
      <c r="CIW602" s="46"/>
      <c r="CIX602" s="47"/>
      <c r="CIY602" s="46"/>
      <c r="CIZ602" s="48"/>
      <c r="CJA602" s="53"/>
      <c r="CJH602" s="15"/>
      <c r="CJI602" s="50"/>
      <c r="CJJ602" s="50"/>
      <c r="CJK602" s="46"/>
      <c r="CJL602" s="47"/>
      <c r="CJM602" s="46"/>
      <c r="CJN602" s="48"/>
      <c r="CJO602" s="53"/>
      <c r="CJV602" s="15"/>
      <c r="CJW602" s="50"/>
      <c r="CJX602" s="50"/>
      <c r="CJY602" s="46"/>
      <c r="CJZ602" s="47"/>
      <c r="CKA602" s="46"/>
      <c r="CKB602" s="48"/>
      <c r="CKC602" s="53"/>
      <c r="CKJ602" s="15"/>
      <c r="CKK602" s="50"/>
      <c r="CKL602" s="50"/>
      <c r="CKM602" s="46"/>
      <c r="CKN602" s="47"/>
      <c r="CKO602" s="46"/>
      <c r="CKP602" s="48"/>
      <c r="CKQ602" s="53"/>
      <c r="CKX602" s="15"/>
      <c r="CKY602" s="50"/>
      <c r="CKZ602" s="50"/>
      <c r="CLA602" s="46"/>
      <c r="CLB602" s="47"/>
      <c r="CLC602" s="46"/>
      <c r="CLD602" s="48"/>
      <c r="CLE602" s="53"/>
      <c r="CLL602" s="15"/>
      <c r="CLM602" s="50"/>
      <c r="CLN602" s="50"/>
      <c r="CLO602" s="46"/>
      <c r="CLP602" s="47"/>
      <c r="CLQ602" s="46"/>
      <c r="CLR602" s="48"/>
      <c r="CLS602" s="53"/>
      <c r="CLZ602" s="15"/>
      <c r="CMA602" s="50"/>
      <c r="CMB602" s="50"/>
      <c r="CMC602" s="46"/>
      <c r="CMD602" s="47"/>
      <c r="CME602" s="46"/>
      <c r="CMF602" s="48"/>
      <c r="CMG602" s="53"/>
      <c r="CMN602" s="15"/>
      <c r="CMO602" s="50"/>
      <c r="CMP602" s="50"/>
      <c r="CMQ602" s="46"/>
      <c r="CMR602" s="47"/>
      <c r="CMS602" s="46"/>
      <c r="CMT602" s="48"/>
      <c r="CMU602" s="53"/>
      <c r="CNB602" s="15"/>
      <c r="CNC602" s="50"/>
      <c r="CND602" s="50"/>
      <c r="CNE602" s="46"/>
      <c r="CNF602" s="47"/>
      <c r="CNG602" s="46"/>
      <c r="CNH602" s="48"/>
      <c r="CNI602" s="53"/>
      <c r="CNP602" s="15"/>
      <c r="CNQ602" s="50"/>
      <c r="CNR602" s="50"/>
      <c r="CNS602" s="46"/>
      <c r="CNT602" s="47"/>
      <c r="CNU602" s="46"/>
      <c r="CNV602" s="48"/>
      <c r="CNW602" s="53"/>
      <c r="COD602" s="15"/>
      <c r="COE602" s="50"/>
      <c r="COF602" s="50"/>
      <c r="COG602" s="46"/>
      <c r="COH602" s="47"/>
      <c r="COI602" s="46"/>
      <c r="COJ602" s="48"/>
      <c r="COK602" s="53"/>
      <c r="COR602" s="15"/>
      <c r="COS602" s="50"/>
      <c r="COT602" s="50"/>
      <c r="COU602" s="46"/>
      <c r="COV602" s="47"/>
      <c r="COW602" s="46"/>
      <c r="COX602" s="48"/>
      <c r="COY602" s="53"/>
      <c r="CPF602" s="15"/>
      <c r="CPG602" s="50"/>
      <c r="CPH602" s="50"/>
      <c r="CPI602" s="46"/>
      <c r="CPJ602" s="47"/>
      <c r="CPK602" s="46"/>
      <c r="CPL602" s="48"/>
      <c r="CPM602" s="53"/>
      <c r="CPT602" s="15"/>
      <c r="CPU602" s="50"/>
      <c r="CPV602" s="50"/>
      <c r="CPW602" s="46"/>
      <c r="CPX602" s="47"/>
      <c r="CPY602" s="46"/>
      <c r="CPZ602" s="48"/>
      <c r="CQA602" s="53"/>
      <c r="CQH602" s="15"/>
      <c r="CQI602" s="50"/>
      <c r="CQJ602" s="50"/>
      <c r="CQK602" s="46"/>
      <c r="CQL602" s="47"/>
      <c r="CQM602" s="46"/>
      <c r="CQN602" s="48"/>
      <c r="CQO602" s="53"/>
      <c r="CQV602" s="15"/>
      <c r="CQW602" s="50"/>
      <c r="CQX602" s="50"/>
      <c r="CQY602" s="46"/>
      <c r="CQZ602" s="47"/>
      <c r="CRA602" s="46"/>
      <c r="CRB602" s="48"/>
      <c r="CRC602" s="53"/>
      <c r="CRJ602" s="15"/>
      <c r="CRK602" s="50"/>
      <c r="CRL602" s="50"/>
      <c r="CRM602" s="46"/>
      <c r="CRN602" s="47"/>
      <c r="CRO602" s="46"/>
      <c r="CRP602" s="48"/>
      <c r="CRQ602" s="53"/>
      <c r="CRX602" s="15"/>
      <c r="CRY602" s="50"/>
      <c r="CRZ602" s="50"/>
      <c r="CSA602" s="46"/>
      <c r="CSB602" s="47"/>
      <c r="CSC602" s="46"/>
      <c r="CSD602" s="48"/>
      <c r="CSE602" s="53"/>
      <c r="CSL602" s="15"/>
      <c r="CSM602" s="50"/>
      <c r="CSN602" s="50"/>
      <c r="CSO602" s="46"/>
      <c r="CSP602" s="47"/>
      <c r="CSQ602" s="46"/>
      <c r="CSR602" s="48"/>
      <c r="CSS602" s="53"/>
      <c r="CSZ602" s="15"/>
      <c r="CTA602" s="50"/>
      <c r="CTB602" s="50"/>
      <c r="CTC602" s="46"/>
      <c r="CTD602" s="47"/>
      <c r="CTE602" s="46"/>
      <c r="CTF602" s="48"/>
      <c r="CTG602" s="53"/>
      <c r="CTN602" s="15"/>
      <c r="CTO602" s="50"/>
      <c r="CTP602" s="50"/>
      <c r="CTQ602" s="46"/>
      <c r="CTR602" s="47"/>
      <c r="CTS602" s="46"/>
      <c r="CTT602" s="48"/>
      <c r="CTU602" s="53"/>
      <c r="CUB602" s="15"/>
      <c r="CUC602" s="50"/>
      <c r="CUD602" s="50"/>
      <c r="CUE602" s="46"/>
      <c r="CUF602" s="47"/>
      <c r="CUG602" s="46"/>
      <c r="CUH602" s="48"/>
      <c r="CUI602" s="53"/>
      <c r="CUP602" s="15"/>
      <c r="CUQ602" s="50"/>
      <c r="CUR602" s="50"/>
      <c r="CUS602" s="46"/>
      <c r="CUT602" s="47"/>
      <c r="CUU602" s="46"/>
      <c r="CUV602" s="48"/>
      <c r="CUW602" s="53"/>
      <c r="CVD602" s="15"/>
      <c r="CVE602" s="50"/>
      <c r="CVF602" s="50"/>
      <c r="CVG602" s="46"/>
      <c r="CVH602" s="47"/>
      <c r="CVI602" s="46"/>
      <c r="CVJ602" s="48"/>
      <c r="CVK602" s="53"/>
      <c r="CVR602" s="15"/>
      <c r="CVS602" s="50"/>
      <c r="CVT602" s="50"/>
      <c r="CVU602" s="46"/>
      <c r="CVV602" s="47"/>
      <c r="CVW602" s="46"/>
      <c r="CVX602" s="48"/>
      <c r="CVY602" s="53"/>
      <c r="CWF602" s="15"/>
      <c r="CWG602" s="50"/>
      <c r="CWH602" s="50"/>
      <c r="CWI602" s="46"/>
      <c r="CWJ602" s="47"/>
      <c r="CWK602" s="46"/>
      <c r="CWL602" s="48"/>
      <c r="CWM602" s="53"/>
      <c r="CWT602" s="15"/>
      <c r="CWU602" s="50"/>
      <c r="CWV602" s="50"/>
      <c r="CWW602" s="46"/>
      <c r="CWX602" s="47"/>
      <c r="CWY602" s="46"/>
      <c r="CWZ602" s="48"/>
      <c r="CXA602" s="53"/>
      <c r="CXH602" s="15"/>
      <c r="CXI602" s="50"/>
      <c r="CXJ602" s="50"/>
      <c r="CXK602" s="46"/>
      <c r="CXL602" s="47"/>
      <c r="CXM602" s="46"/>
      <c r="CXN602" s="48"/>
      <c r="CXO602" s="53"/>
      <c r="CXV602" s="15"/>
      <c r="CXW602" s="50"/>
      <c r="CXX602" s="50"/>
      <c r="CXY602" s="46"/>
      <c r="CXZ602" s="47"/>
      <c r="CYA602" s="46"/>
      <c r="CYB602" s="48"/>
      <c r="CYC602" s="53"/>
      <c r="CYJ602" s="15"/>
      <c r="CYK602" s="50"/>
      <c r="CYL602" s="50"/>
      <c r="CYM602" s="46"/>
      <c r="CYN602" s="47"/>
      <c r="CYO602" s="46"/>
      <c r="CYP602" s="48"/>
      <c r="CYQ602" s="53"/>
      <c r="CYX602" s="15"/>
      <c r="CYY602" s="50"/>
      <c r="CYZ602" s="50"/>
      <c r="CZA602" s="46"/>
      <c r="CZB602" s="47"/>
      <c r="CZC602" s="46"/>
      <c r="CZD602" s="48"/>
      <c r="CZE602" s="53"/>
      <c r="CZL602" s="15"/>
      <c r="CZM602" s="50"/>
      <c r="CZN602" s="50"/>
      <c r="CZO602" s="46"/>
      <c r="CZP602" s="47"/>
      <c r="CZQ602" s="46"/>
      <c r="CZR602" s="48"/>
      <c r="CZS602" s="53"/>
      <c r="CZZ602" s="15"/>
      <c r="DAA602" s="50"/>
      <c r="DAB602" s="50"/>
      <c r="DAC602" s="46"/>
      <c r="DAD602" s="47"/>
      <c r="DAE602" s="46"/>
      <c r="DAF602" s="48"/>
      <c r="DAG602" s="53"/>
      <c r="DAN602" s="15"/>
      <c r="DAO602" s="50"/>
      <c r="DAP602" s="50"/>
      <c r="DAQ602" s="46"/>
      <c r="DAR602" s="47"/>
      <c r="DAS602" s="46"/>
      <c r="DAT602" s="48"/>
      <c r="DAU602" s="53"/>
      <c r="DBB602" s="15"/>
      <c r="DBC602" s="50"/>
      <c r="DBD602" s="50"/>
      <c r="DBE602" s="46"/>
      <c r="DBF602" s="47"/>
      <c r="DBG602" s="46"/>
      <c r="DBH602" s="48"/>
      <c r="DBI602" s="53"/>
      <c r="DBP602" s="15"/>
      <c r="DBQ602" s="50"/>
      <c r="DBR602" s="50"/>
      <c r="DBS602" s="46"/>
      <c r="DBT602" s="47"/>
      <c r="DBU602" s="46"/>
      <c r="DBV602" s="48"/>
      <c r="DBW602" s="53"/>
      <c r="DCD602" s="15"/>
      <c r="DCE602" s="50"/>
      <c r="DCF602" s="50"/>
      <c r="DCG602" s="46"/>
      <c r="DCH602" s="47"/>
      <c r="DCI602" s="46"/>
      <c r="DCJ602" s="48"/>
      <c r="DCK602" s="53"/>
      <c r="DCR602" s="15"/>
      <c r="DCS602" s="50"/>
      <c r="DCT602" s="50"/>
      <c r="DCU602" s="46"/>
      <c r="DCV602" s="47"/>
      <c r="DCW602" s="46"/>
      <c r="DCX602" s="48"/>
      <c r="DCY602" s="53"/>
      <c r="DDF602" s="15"/>
      <c r="DDG602" s="50"/>
      <c r="DDH602" s="50"/>
      <c r="DDI602" s="46"/>
      <c r="DDJ602" s="47"/>
      <c r="DDK602" s="46"/>
      <c r="DDL602" s="48"/>
      <c r="DDM602" s="53"/>
      <c r="DDT602" s="15"/>
      <c r="DDU602" s="50"/>
      <c r="DDV602" s="50"/>
      <c r="DDW602" s="46"/>
      <c r="DDX602" s="47"/>
      <c r="DDY602" s="46"/>
      <c r="DDZ602" s="48"/>
      <c r="DEA602" s="53"/>
      <c r="DEH602" s="15"/>
      <c r="DEI602" s="50"/>
      <c r="DEJ602" s="50"/>
      <c r="DEK602" s="46"/>
      <c r="DEL602" s="47"/>
      <c r="DEM602" s="46"/>
      <c r="DEN602" s="48"/>
      <c r="DEO602" s="53"/>
      <c r="DEV602" s="15"/>
      <c r="DEW602" s="50"/>
      <c r="DEX602" s="50"/>
      <c r="DEY602" s="46"/>
      <c r="DEZ602" s="47"/>
      <c r="DFA602" s="46"/>
      <c r="DFB602" s="48"/>
      <c r="DFC602" s="53"/>
      <c r="DFJ602" s="15"/>
      <c r="DFK602" s="50"/>
      <c r="DFL602" s="50"/>
      <c r="DFM602" s="46"/>
      <c r="DFN602" s="47"/>
      <c r="DFO602" s="46"/>
      <c r="DFP602" s="48"/>
      <c r="DFQ602" s="53"/>
      <c r="DFX602" s="15"/>
      <c r="DFY602" s="50"/>
      <c r="DFZ602" s="50"/>
      <c r="DGA602" s="46"/>
      <c r="DGB602" s="47"/>
      <c r="DGC602" s="46"/>
      <c r="DGD602" s="48"/>
      <c r="DGE602" s="53"/>
      <c r="DGL602" s="15"/>
      <c r="DGM602" s="50"/>
      <c r="DGN602" s="50"/>
      <c r="DGO602" s="46"/>
      <c r="DGP602" s="47"/>
      <c r="DGQ602" s="46"/>
      <c r="DGR602" s="48"/>
      <c r="DGS602" s="53"/>
      <c r="DGZ602" s="15"/>
      <c r="DHA602" s="50"/>
      <c r="DHB602" s="50"/>
      <c r="DHC602" s="46"/>
      <c r="DHD602" s="47"/>
      <c r="DHE602" s="46"/>
      <c r="DHF602" s="48"/>
      <c r="DHG602" s="53"/>
      <c r="DHN602" s="15"/>
      <c r="DHO602" s="50"/>
      <c r="DHP602" s="50"/>
      <c r="DHQ602" s="46"/>
      <c r="DHR602" s="47"/>
      <c r="DHS602" s="46"/>
      <c r="DHT602" s="48"/>
      <c r="DHU602" s="53"/>
      <c r="DIB602" s="15"/>
      <c r="DIC602" s="50"/>
      <c r="DID602" s="50"/>
      <c r="DIE602" s="46"/>
      <c r="DIF602" s="47"/>
      <c r="DIG602" s="46"/>
      <c r="DIH602" s="48"/>
      <c r="DII602" s="53"/>
      <c r="DIP602" s="15"/>
      <c r="DIQ602" s="50"/>
      <c r="DIR602" s="50"/>
      <c r="DIS602" s="46"/>
      <c r="DIT602" s="47"/>
      <c r="DIU602" s="46"/>
      <c r="DIV602" s="48"/>
      <c r="DIW602" s="53"/>
      <c r="DJD602" s="15"/>
      <c r="DJE602" s="50"/>
      <c r="DJF602" s="50"/>
      <c r="DJG602" s="46"/>
      <c r="DJH602" s="47"/>
      <c r="DJI602" s="46"/>
      <c r="DJJ602" s="48"/>
      <c r="DJK602" s="53"/>
      <c r="DJR602" s="15"/>
      <c r="DJS602" s="50"/>
      <c r="DJT602" s="50"/>
      <c r="DJU602" s="46"/>
      <c r="DJV602" s="47"/>
      <c r="DJW602" s="46"/>
      <c r="DJX602" s="48"/>
      <c r="DJY602" s="53"/>
      <c r="DKF602" s="15"/>
      <c r="DKG602" s="50"/>
      <c r="DKH602" s="50"/>
      <c r="DKI602" s="46"/>
      <c r="DKJ602" s="47"/>
      <c r="DKK602" s="46"/>
      <c r="DKL602" s="48"/>
      <c r="DKM602" s="53"/>
      <c r="DKT602" s="15"/>
      <c r="DKU602" s="50"/>
      <c r="DKV602" s="50"/>
      <c r="DKW602" s="46"/>
      <c r="DKX602" s="47"/>
      <c r="DKY602" s="46"/>
      <c r="DKZ602" s="48"/>
      <c r="DLA602" s="53"/>
      <c r="DLH602" s="15"/>
      <c r="DLI602" s="50"/>
      <c r="DLJ602" s="50"/>
      <c r="DLK602" s="46"/>
      <c r="DLL602" s="47"/>
      <c r="DLM602" s="46"/>
      <c r="DLN602" s="48"/>
      <c r="DLO602" s="53"/>
      <c r="DLV602" s="15"/>
      <c r="DLW602" s="50"/>
      <c r="DLX602" s="50"/>
      <c r="DLY602" s="46"/>
      <c r="DLZ602" s="47"/>
      <c r="DMA602" s="46"/>
      <c r="DMB602" s="48"/>
      <c r="DMC602" s="53"/>
      <c r="DMJ602" s="15"/>
      <c r="DMK602" s="50"/>
      <c r="DML602" s="50"/>
      <c r="DMM602" s="46"/>
      <c r="DMN602" s="47"/>
      <c r="DMO602" s="46"/>
      <c r="DMP602" s="48"/>
      <c r="DMQ602" s="53"/>
      <c r="DMX602" s="15"/>
      <c r="DMY602" s="50"/>
      <c r="DMZ602" s="50"/>
      <c r="DNA602" s="46"/>
      <c r="DNB602" s="47"/>
      <c r="DNC602" s="46"/>
      <c r="DND602" s="48"/>
      <c r="DNE602" s="53"/>
      <c r="DNL602" s="15"/>
      <c r="DNM602" s="50"/>
      <c r="DNN602" s="50"/>
      <c r="DNO602" s="46"/>
      <c r="DNP602" s="47"/>
      <c r="DNQ602" s="46"/>
      <c r="DNR602" s="48"/>
      <c r="DNS602" s="53"/>
      <c r="DNZ602" s="15"/>
      <c r="DOA602" s="50"/>
      <c r="DOB602" s="50"/>
      <c r="DOC602" s="46"/>
      <c r="DOD602" s="47"/>
      <c r="DOE602" s="46"/>
      <c r="DOF602" s="48"/>
      <c r="DOG602" s="53"/>
      <c r="DON602" s="15"/>
      <c r="DOO602" s="50"/>
      <c r="DOP602" s="50"/>
      <c r="DOQ602" s="46"/>
      <c r="DOR602" s="47"/>
      <c r="DOS602" s="46"/>
      <c r="DOT602" s="48"/>
      <c r="DOU602" s="53"/>
      <c r="DPB602" s="15"/>
      <c r="DPC602" s="50"/>
      <c r="DPD602" s="50"/>
      <c r="DPE602" s="46"/>
      <c r="DPF602" s="47"/>
      <c r="DPG602" s="46"/>
      <c r="DPH602" s="48"/>
      <c r="DPI602" s="53"/>
      <c r="DPP602" s="15"/>
      <c r="DPQ602" s="50"/>
      <c r="DPR602" s="50"/>
      <c r="DPS602" s="46"/>
      <c r="DPT602" s="47"/>
      <c r="DPU602" s="46"/>
      <c r="DPV602" s="48"/>
      <c r="DPW602" s="53"/>
      <c r="DQD602" s="15"/>
      <c r="DQE602" s="50"/>
      <c r="DQF602" s="50"/>
      <c r="DQG602" s="46"/>
      <c r="DQH602" s="47"/>
      <c r="DQI602" s="46"/>
      <c r="DQJ602" s="48"/>
      <c r="DQK602" s="53"/>
      <c r="DQR602" s="15"/>
      <c r="DQS602" s="50"/>
      <c r="DQT602" s="50"/>
      <c r="DQU602" s="46"/>
      <c r="DQV602" s="47"/>
      <c r="DQW602" s="46"/>
      <c r="DQX602" s="48"/>
      <c r="DQY602" s="53"/>
      <c r="DRF602" s="15"/>
      <c r="DRG602" s="50"/>
      <c r="DRH602" s="50"/>
      <c r="DRI602" s="46"/>
      <c r="DRJ602" s="47"/>
      <c r="DRK602" s="46"/>
      <c r="DRL602" s="48"/>
      <c r="DRM602" s="53"/>
      <c r="DRT602" s="15"/>
      <c r="DRU602" s="50"/>
      <c r="DRV602" s="50"/>
      <c r="DRW602" s="46"/>
      <c r="DRX602" s="47"/>
      <c r="DRY602" s="46"/>
      <c r="DRZ602" s="48"/>
      <c r="DSA602" s="53"/>
      <c r="DSH602" s="15"/>
      <c r="DSI602" s="50"/>
      <c r="DSJ602" s="50"/>
      <c r="DSK602" s="46"/>
      <c r="DSL602" s="47"/>
      <c r="DSM602" s="46"/>
      <c r="DSN602" s="48"/>
      <c r="DSO602" s="53"/>
      <c r="DSV602" s="15"/>
      <c r="DSW602" s="50"/>
      <c r="DSX602" s="50"/>
      <c r="DSY602" s="46"/>
      <c r="DSZ602" s="47"/>
      <c r="DTA602" s="46"/>
      <c r="DTB602" s="48"/>
      <c r="DTC602" s="53"/>
      <c r="DTJ602" s="15"/>
      <c r="DTK602" s="50"/>
      <c r="DTL602" s="50"/>
      <c r="DTM602" s="46"/>
      <c r="DTN602" s="47"/>
      <c r="DTO602" s="46"/>
      <c r="DTP602" s="48"/>
      <c r="DTQ602" s="53"/>
      <c r="DTX602" s="15"/>
      <c r="DTY602" s="50"/>
      <c r="DTZ602" s="50"/>
      <c r="DUA602" s="46"/>
      <c r="DUB602" s="47"/>
      <c r="DUC602" s="46"/>
      <c r="DUD602" s="48"/>
      <c r="DUE602" s="53"/>
      <c r="DUL602" s="15"/>
      <c r="DUM602" s="50"/>
      <c r="DUN602" s="50"/>
      <c r="DUO602" s="46"/>
      <c r="DUP602" s="47"/>
      <c r="DUQ602" s="46"/>
      <c r="DUR602" s="48"/>
      <c r="DUS602" s="53"/>
      <c r="DUZ602" s="15"/>
      <c r="DVA602" s="50"/>
      <c r="DVB602" s="50"/>
      <c r="DVC602" s="46"/>
      <c r="DVD602" s="47"/>
      <c r="DVE602" s="46"/>
      <c r="DVF602" s="48"/>
      <c r="DVG602" s="53"/>
      <c r="DVN602" s="15"/>
      <c r="DVO602" s="50"/>
      <c r="DVP602" s="50"/>
      <c r="DVQ602" s="46"/>
      <c r="DVR602" s="47"/>
      <c r="DVS602" s="46"/>
      <c r="DVT602" s="48"/>
      <c r="DVU602" s="53"/>
      <c r="DWB602" s="15"/>
      <c r="DWC602" s="50"/>
      <c r="DWD602" s="50"/>
      <c r="DWE602" s="46"/>
      <c r="DWF602" s="47"/>
      <c r="DWG602" s="46"/>
      <c r="DWH602" s="48"/>
      <c r="DWI602" s="53"/>
      <c r="DWP602" s="15"/>
      <c r="DWQ602" s="50"/>
      <c r="DWR602" s="50"/>
      <c r="DWS602" s="46"/>
      <c r="DWT602" s="47"/>
      <c r="DWU602" s="46"/>
      <c r="DWV602" s="48"/>
      <c r="DWW602" s="53"/>
      <c r="DXD602" s="15"/>
      <c r="DXE602" s="50"/>
      <c r="DXF602" s="50"/>
      <c r="DXG602" s="46"/>
      <c r="DXH602" s="47"/>
      <c r="DXI602" s="46"/>
      <c r="DXJ602" s="48"/>
      <c r="DXK602" s="53"/>
      <c r="DXR602" s="15"/>
      <c r="DXS602" s="50"/>
      <c r="DXT602" s="50"/>
      <c r="DXU602" s="46"/>
      <c r="DXV602" s="47"/>
      <c r="DXW602" s="46"/>
      <c r="DXX602" s="48"/>
      <c r="DXY602" s="53"/>
      <c r="DYF602" s="15"/>
      <c r="DYG602" s="50"/>
      <c r="DYH602" s="50"/>
      <c r="DYI602" s="46"/>
      <c r="DYJ602" s="47"/>
      <c r="DYK602" s="46"/>
      <c r="DYL602" s="48"/>
      <c r="DYM602" s="53"/>
      <c r="DYT602" s="15"/>
      <c r="DYU602" s="50"/>
      <c r="DYV602" s="50"/>
      <c r="DYW602" s="46"/>
      <c r="DYX602" s="47"/>
      <c r="DYY602" s="46"/>
      <c r="DYZ602" s="48"/>
      <c r="DZA602" s="53"/>
      <c r="DZH602" s="15"/>
      <c r="DZI602" s="50"/>
      <c r="DZJ602" s="50"/>
      <c r="DZK602" s="46"/>
      <c r="DZL602" s="47"/>
      <c r="DZM602" s="46"/>
      <c r="DZN602" s="48"/>
      <c r="DZO602" s="53"/>
      <c r="DZV602" s="15"/>
      <c r="DZW602" s="50"/>
      <c r="DZX602" s="50"/>
      <c r="DZY602" s="46"/>
      <c r="DZZ602" s="47"/>
      <c r="EAA602" s="46"/>
      <c r="EAB602" s="48"/>
      <c r="EAC602" s="53"/>
      <c r="EAJ602" s="15"/>
      <c r="EAK602" s="50"/>
      <c r="EAL602" s="50"/>
      <c r="EAM602" s="46"/>
      <c r="EAN602" s="47"/>
      <c r="EAO602" s="46"/>
      <c r="EAP602" s="48"/>
      <c r="EAQ602" s="53"/>
      <c r="EAX602" s="15"/>
      <c r="EAY602" s="50"/>
      <c r="EAZ602" s="50"/>
      <c r="EBA602" s="46"/>
      <c r="EBB602" s="47"/>
      <c r="EBC602" s="46"/>
      <c r="EBD602" s="48"/>
      <c r="EBE602" s="53"/>
      <c r="EBL602" s="15"/>
      <c r="EBM602" s="50"/>
      <c r="EBN602" s="50"/>
      <c r="EBO602" s="46"/>
      <c r="EBP602" s="47"/>
      <c r="EBQ602" s="46"/>
      <c r="EBR602" s="48"/>
      <c r="EBS602" s="53"/>
      <c r="EBZ602" s="15"/>
      <c r="ECA602" s="50"/>
      <c r="ECB602" s="50"/>
      <c r="ECC602" s="46"/>
      <c r="ECD602" s="47"/>
      <c r="ECE602" s="46"/>
      <c r="ECF602" s="48"/>
      <c r="ECG602" s="53"/>
      <c r="ECN602" s="15"/>
      <c r="ECO602" s="50"/>
      <c r="ECP602" s="50"/>
      <c r="ECQ602" s="46"/>
      <c r="ECR602" s="47"/>
      <c r="ECS602" s="46"/>
      <c r="ECT602" s="48"/>
      <c r="ECU602" s="53"/>
      <c r="EDB602" s="15"/>
      <c r="EDC602" s="50"/>
      <c r="EDD602" s="50"/>
      <c r="EDE602" s="46"/>
      <c r="EDF602" s="47"/>
      <c r="EDG602" s="46"/>
      <c r="EDH602" s="48"/>
      <c r="EDI602" s="53"/>
      <c r="EDP602" s="15"/>
      <c r="EDQ602" s="50"/>
      <c r="EDR602" s="50"/>
      <c r="EDS602" s="46"/>
      <c r="EDT602" s="47"/>
      <c r="EDU602" s="46"/>
      <c r="EDV602" s="48"/>
      <c r="EDW602" s="53"/>
      <c r="EED602" s="15"/>
      <c r="EEE602" s="50"/>
      <c r="EEF602" s="50"/>
      <c r="EEG602" s="46"/>
      <c r="EEH602" s="47"/>
      <c r="EEI602" s="46"/>
      <c r="EEJ602" s="48"/>
      <c r="EEK602" s="53"/>
      <c r="EER602" s="15"/>
      <c r="EES602" s="50"/>
      <c r="EET602" s="50"/>
      <c r="EEU602" s="46"/>
      <c r="EEV602" s="47"/>
      <c r="EEW602" s="46"/>
      <c r="EEX602" s="48"/>
      <c r="EEY602" s="53"/>
      <c r="EFF602" s="15"/>
      <c r="EFG602" s="50"/>
      <c r="EFH602" s="50"/>
      <c r="EFI602" s="46"/>
      <c r="EFJ602" s="47"/>
      <c r="EFK602" s="46"/>
      <c r="EFL602" s="48"/>
      <c r="EFM602" s="53"/>
      <c r="EFT602" s="15"/>
      <c r="EFU602" s="50"/>
      <c r="EFV602" s="50"/>
      <c r="EFW602" s="46"/>
      <c r="EFX602" s="47"/>
      <c r="EFY602" s="46"/>
      <c r="EFZ602" s="48"/>
      <c r="EGA602" s="53"/>
      <c r="EGH602" s="15"/>
      <c r="EGI602" s="50"/>
      <c r="EGJ602" s="50"/>
      <c r="EGK602" s="46"/>
      <c r="EGL602" s="47"/>
      <c r="EGM602" s="46"/>
      <c r="EGN602" s="48"/>
      <c r="EGO602" s="53"/>
      <c r="EGV602" s="15"/>
      <c r="EGW602" s="50"/>
      <c r="EGX602" s="50"/>
      <c r="EGY602" s="46"/>
      <c r="EGZ602" s="47"/>
      <c r="EHA602" s="46"/>
      <c r="EHB602" s="48"/>
      <c r="EHC602" s="53"/>
      <c r="EHJ602" s="15"/>
      <c r="EHK602" s="50"/>
      <c r="EHL602" s="50"/>
      <c r="EHM602" s="46"/>
      <c r="EHN602" s="47"/>
      <c r="EHO602" s="46"/>
      <c r="EHP602" s="48"/>
      <c r="EHQ602" s="53"/>
      <c r="EHX602" s="15"/>
      <c r="EHY602" s="50"/>
      <c r="EHZ602" s="50"/>
      <c r="EIA602" s="46"/>
      <c r="EIB602" s="47"/>
      <c r="EIC602" s="46"/>
      <c r="EID602" s="48"/>
      <c r="EIE602" s="53"/>
      <c r="EIL602" s="15"/>
      <c r="EIM602" s="50"/>
      <c r="EIN602" s="50"/>
      <c r="EIO602" s="46"/>
      <c r="EIP602" s="47"/>
      <c r="EIQ602" s="46"/>
      <c r="EIR602" s="48"/>
      <c r="EIS602" s="53"/>
      <c r="EIZ602" s="15"/>
      <c r="EJA602" s="50"/>
      <c r="EJB602" s="50"/>
      <c r="EJC602" s="46"/>
      <c r="EJD602" s="47"/>
      <c r="EJE602" s="46"/>
      <c r="EJF602" s="48"/>
      <c r="EJG602" s="53"/>
      <c r="EJN602" s="15"/>
      <c r="EJO602" s="50"/>
      <c r="EJP602" s="50"/>
      <c r="EJQ602" s="46"/>
      <c r="EJR602" s="47"/>
      <c r="EJS602" s="46"/>
      <c r="EJT602" s="48"/>
      <c r="EJU602" s="53"/>
      <c r="EKB602" s="15"/>
      <c r="EKC602" s="50"/>
      <c r="EKD602" s="50"/>
      <c r="EKE602" s="46"/>
      <c r="EKF602" s="47"/>
      <c r="EKG602" s="46"/>
      <c r="EKH602" s="48"/>
      <c r="EKI602" s="53"/>
      <c r="EKP602" s="15"/>
      <c r="EKQ602" s="50"/>
      <c r="EKR602" s="50"/>
      <c r="EKS602" s="46"/>
      <c r="EKT602" s="47"/>
      <c r="EKU602" s="46"/>
      <c r="EKV602" s="48"/>
      <c r="EKW602" s="53"/>
      <c r="ELD602" s="15"/>
      <c r="ELE602" s="50"/>
      <c r="ELF602" s="50"/>
      <c r="ELG602" s="46"/>
      <c r="ELH602" s="47"/>
      <c r="ELI602" s="46"/>
      <c r="ELJ602" s="48"/>
      <c r="ELK602" s="53"/>
      <c r="ELR602" s="15"/>
      <c r="ELS602" s="50"/>
      <c r="ELT602" s="50"/>
      <c r="ELU602" s="46"/>
      <c r="ELV602" s="47"/>
      <c r="ELW602" s="46"/>
      <c r="ELX602" s="48"/>
      <c r="ELY602" s="53"/>
      <c r="EMF602" s="15"/>
      <c r="EMG602" s="50"/>
      <c r="EMH602" s="50"/>
      <c r="EMI602" s="46"/>
      <c r="EMJ602" s="47"/>
      <c r="EMK602" s="46"/>
      <c r="EML602" s="48"/>
      <c r="EMM602" s="53"/>
      <c r="EMT602" s="15"/>
      <c r="EMU602" s="50"/>
      <c r="EMV602" s="50"/>
      <c r="EMW602" s="46"/>
      <c r="EMX602" s="47"/>
      <c r="EMY602" s="46"/>
      <c r="EMZ602" s="48"/>
      <c r="ENA602" s="53"/>
      <c r="ENH602" s="15"/>
      <c r="ENI602" s="50"/>
      <c r="ENJ602" s="50"/>
      <c r="ENK602" s="46"/>
      <c r="ENL602" s="47"/>
      <c r="ENM602" s="46"/>
      <c r="ENN602" s="48"/>
      <c r="ENO602" s="53"/>
      <c r="ENV602" s="15"/>
      <c r="ENW602" s="50"/>
      <c r="ENX602" s="50"/>
      <c r="ENY602" s="46"/>
      <c r="ENZ602" s="47"/>
      <c r="EOA602" s="46"/>
      <c r="EOB602" s="48"/>
      <c r="EOC602" s="53"/>
      <c r="EOJ602" s="15"/>
      <c r="EOK602" s="50"/>
      <c r="EOL602" s="50"/>
      <c r="EOM602" s="46"/>
      <c r="EON602" s="47"/>
      <c r="EOO602" s="46"/>
      <c r="EOP602" s="48"/>
      <c r="EOQ602" s="53"/>
      <c r="EOX602" s="15"/>
      <c r="EOY602" s="50"/>
      <c r="EOZ602" s="50"/>
      <c r="EPA602" s="46"/>
      <c r="EPB602" s="47"/>
      <c r="EPC602" s="46"/>
      <c r="EPD602" s="48"/>
      <c r="EPE602" s="53"/>
      <c r="EPL602" s="15"/>
      <c r="EPM602" s="50"/>
      <c r="EPN602" s="50"/>
      <c r="EPO602" s="46"/>
      <c r="EPP602" s="47"/>
      <c r="EPQ602" s="46"/>
      <c r="EPR602" s="48"/>
      <c r="EPS602" s="53"/>
      <c r="EPZ602" s="15"/>
      <c r="EQA602" s="50"/>
      <c r="EQB602" s="50"/>
      <c r="EQC602" s="46"/>
      <c r="EQD602" s="47"/>
      <c r="EQE602" s="46"/>
      <c r="EQF602" s="48"/>
      <c r="EQG602" s="53"/>
      <c r="EQN602" s="15"/>
      <c r="EQO602" s="50"/>
      <c r="EQP602" s="50"/>
      <c r="EQQ602" s="46"/>
      <c r="EQR602" s="47"/>
      <c r="EQS602" s="46"/>
      <c r="EQT602" s="48"/>
      <c r="EQU602" s="53"/>
      <c r="ERB602" s="15"/>
      <c r="ERC602" s="50"/>
      <c r="ERD602" s="50"/>
      <c r="ERE602" s="46"/>
      <c r="ERF602" s="47"/>
      <c r="ERG602" s="46"/>
      <c r="ERH602" s="48"/>
      <c r="ERI602" s="53"/>
      <c r="ERP602" s="15"/>
      <c r="ERQ602" s="50"/>
      <c r="ERR602" s="50"/>
      <c r="ERS602" s="46"/>
      <c r="ERT602" s="47"/>
      <c r="ERU602" s="46"/>
      <c r="ERV602" s="48"/>
      <c r="ERW602" s="53"/>
      <c r="ESD602" s="15"/>
      <c r="ESE602" s="50"/>
      <c r="ESF602" s="50"/>
      <c r="ESG602" s="46"/>
      <c r="ESH602" s="47"/>
      <c r="ESI602" s="46"/>
      <c r="ESJ602" s="48"/>
      <c r="ESK602" s="53"/>
      <c r="ESR602" s="15"/>
      <c r="ESS602" s="50"/>
      <c r="EST602" s="50"/>
      <c r="ESU602" s="46"/>
      <c r="ESV602" s="47"/>
      <c r="ESW602" s="46"/>
      <c r="ESX602" s="48"/>
      <c r="ESY602" s="53"/>
      <c r="ETF602" s="15"/>
      <c r="ETG602" s="50"/>
      <c r="ETH602" s="50"/>
      <c r="ETI602" s="46"/>
      <c r="ETJ602" s="47"/>
      <c r="ETK602" s="46"/>
      <c r="ETL602" s="48"/>
      <c r="ETM602" s="53"/>
      <c r="ETT602" s="15"/>
      <c r="ETU602" s="50"/>
      <c r="ETV602" s="50"/>
      <c r="ETW602" s="46"/>
      <c r="ETX602" s="47"/>
      <c r="ETY602" s="46"/>
      <c r="ETZ602" s="48"/>
      <c r="EUA602" s="53"/>
      <c r="EUH602" s="15"/>
      <c r="EUI602" s="50"/>
      <c r="EUJ602" s="50"/>
      <c r="EUK602" s="46"/>
      <c r="EUL602" s="47"/>
      <c r="EUM602" s="46"/>
      <c r="EUN602" s="48"/>
      <c r="EUO602" s="53"/>
      <c r="EUV602" s="15"/>
      <c r="EUW602" s="50"/>
      <c r="EUX602" s="50"/>
      <c r="EUY602" s="46"/>
      <c r="EUZ602" s="47"/>
      <c r="EVA602" s="46"/>
      <c r="EVB602" s="48"/>
      <c r="EVC602" s="53"/>
      <c r="EVJ602" s="15"/>
      <c r="EVK602" s="50"/>
      <c r="EVL602" s="50"/>
      <c r="EVM602" s="46"/>
      <c r="EVN602" s="47"/>
      <c r="EVO602" s="46"/>
      <c r="EVP602" s="48"/>
      <c r="EVQ602" s="53"/>
      <c r="EVX602" s="15"/>
      <c r="EVY602" s="50"/>
      <c r="EVZ602" s="50"/>
      <c r="EWA602" s="46"/>
      <c r="EWB602" s="47"/>
      <c r="EWC602" s="46"/>
      <c r="EWD602" s="48"/>
      <c r="EWE602" s="53"/>
      <c r="EWL602" s="15"/>
      <c r="EWM602" s="50"/>
      <c r="EWN602" s="50"/>
      <c r="EWO602" s="46"/>
      <c r="EWP602" s="47"/>
      <c r="EWQ602" s="46"/>
      <c r="EWR602" s="48"/>
      <c r="EWS602" s="53"/>
      <c r="EWZ602" s="15"/>
      <c r="EXA602" s="50"/>
      <c r="EXB602" s="50"/>
      <c r="EXC602" s="46"/>
      <c r="EXD602" s="47"/>
      <c r="EXE602" s="46"/>
      <c r="EXF602" s="48"/>
      <c r="EXG602" s="53"/>
      <c r="EXN602" s="15"/>
      <c r="EXO602" s="50"/>
      <c r="EXP602" s="50"/>
      <c r="EXQ602" s="46"/>
      <c r="EXR602" s="47"/>
      <c r="EXS602" s="46"/>
      <c r="EXT602" s="48"/>
      <c r="EXU602" s="53"/>
      <c r="EYB602" s="15"/>
      <c r="EYC602" s="50"/>
      <c r="EYD602" s="50"/>
      <c r="EYE602" s="46"/>
      <c r="EYF602" s="47"/>
      <c r="EYG602" s="46"/>
      <c r="EYH602" s="48"/>
      <c r="EYI602" s="53"/>
      <c r="EYP602" s="15"/>
      <c r="EYQ602" s="50"/>
      <c r="EYR602" s="50"/>
      <c r="EYS602" s="46"/>
      <c r="EYT602" s="47"/>
      <c r="EYU602" s="46"/>
      <c r="EYV602" s="48"/>
      <c r="EYW602" s="53"/>
      <c r="EZD602" s="15"/>
      <c r="EZE602" s="50"/>
      <c r="EZF602" s="50"/>
      <c r="EZG602" s="46"/>
      <c r="EZH602" s="47"/>
      <c r="EZI602" s="46"/>
      <c r="EZJ602" s="48"/>
      <c r="EZK602" s="53"/>
      <c r="EZR602" s="15"/>
      <c r="EZS602" s="50"/>
      <c r="EZT602" s="50"/>
      <c r="EZU602" s="46"/>
      <c r="EZV602" s="47"/>
      <c r="EZW602" s="46"/>
      <c r="EZX602" s="48"/>
      <c r="EZY602" s="53"/>
      <c r="FAF602" s="15"/>
      <c r="FAG602" s="50"/>
      <c r="FAH602" s="50"/>
      <c r="FAI602" s="46"/>
      <c r="FAJ602" s="47"/>
      <c r="FAK602" s="46"/>
      <c r="FAL602" s="48"/>
      <c r="FAM602" s="53"/>
      <c r="FAT602" s="15"/>
      <c r="FAU602" s="50"/>
      <c r="FAV602" s="50"/>
      <c r="FAW602" s="46"/>
      <c r="FAX602" s="47"/>
      <c r="FAY602" s="46"/>
      <c r="FAZ602" s="48"/>
      <c r="FBA602" s="53"/>
      <c r="FBH602" s="15"/>
      <c r="FBI602" s="50"/>
      <c r="FBJ602" s="50"/>
      <c r="FBK602" s="46"/>
      <c r="FBL602" s="47"/>
      <c r="FBM602" s="46"/>
      <c r="FBN602" s="48"/>
      <c r="FBO602" s="53"/>
      <c r="FBV602" s="15"/>
      <c r="FBW602" s="50"/>
      <c r="FBX602" s="50"/>
      <c r="FBY602" s="46"/>
      <c r="FBZ602" s="47"/>
      <c r="FCA602" s="46"/>
      <c r="FCB602" s="48"/>
      <c r="FCC602" s="53"/>
      <c r="FCJ602" s="15"/>
      <c r="FCK602" s="50"/>
      <c r="FCL602" s="50"/>
      <c r="FCM602" s="46"/>
      <c r="FCN602" s="47"/>
      <c r="FCO602" s="46"/>
      <c r="FCP602" s="48"/>
      <c r="FCQ602" s="53"/>
      <c r="FCX602" s="15"/>
      <c r="FCY602" s="50"/>
      <c r="FCZ602" s="50"/>
      <c r="FDA602" s="46"/>
      <c r="FDB602" s="47"/>
      <c r="FDC602" s="46"/>
      <c r="FDD602" s="48"/>
      <c r="FDE602" s="53"/>
      <c r="FDL602" s="15"/>
      <c r="FDM602" s="50"/>
      <c r="FDN602" s="50"/>
      <c r="FDO602" s="46"/>
      <c r="FDP602" s="47"/>
      <c r="FDQ602" s="46"/>
      <c r="FDR602" s="48"/>
      <c r="FDS602" s="53"/>
      <c r="FDZ602" s="15"/>
      <c r="FEA602" s="50"/>
      <c r="FEB602" s="50"/>
      <c r="FEC602" s="46"/>
      <c r="FED602" s="47"/>
      <c r="FEE602" s="46"/>
      <c r="FEF602" s="48"/>
      <c r="FEG602" s="53"/>
      <c r="FEN602" s="15"/>
      <c r="FEO602" s="50"/>
      <c r="FEP602" s="50"/>
      <c r="FEQ602" s="46"/>
      <c r="FER602" s="47"/>
      <c r="FES602" s="46"/>
      <c r="FET602" s="48"/>
      <c r="FEU602" s="53"/>
      <c r="FFB602" s="15"/>
      <c r="FFC602" s="50"/>
      <c r="FFD602" s="50"/>
      <c r="FFE602" s="46"/>
      <c r="FFF602" s="47"/>
      <c r="FFG602" s="46"/>
      <c r="FFH602" s="48"/>
      <c r="FFI602" s="53"/>
      <c r="FFP602" s="15"/>
      <c r="FFQ602" s="50"/>
      <c r="FFR602" s="50"/>
      <c r="FFS602" s="46"/>
      <c r="FFT602" s="47"/>
      <c r="FFU602" s="46"/>
      <c r="FFV602" s="48"/>
      <c r="FFW602" s="53"/>
      <c r="FGD602" s="15"/>
      <c r="FGE602" s="50"/>
      <c r="FGF602" s="50"/>
      <c r="FGG602" s="46"/>
      <c r="FGH602" s="47"/>
      <c r="FGI602" s="46"/>
      <c r="FGJ602" s="48"/>
      <c r="FGK602" s="53"/>
      <c r="FGR602" s="15"/>
      <c r="FGS602" s="50"/>
      <c r="FGT602" s="50"/>
      <c r="FGU602" s="46"/>
      <c r="FGV602" s="47"/>
      <c r="FGW602" s="46"/>
      <c r="FGX602" s="48"/>
      <c r="FGY602" s="53"/>
      <c r="FHF602" s="15"/>
      <c r="FHG602" s="50"/>
      <c r="FHH602" s="50"/>
      <c r="FHI602" s="46"/>
      <c r="FHJ602" s="47"/>
      <c r="FHK602" s="46"/>
      <c r="FHL602" s="48"/>
      <c r="FHM602" s="53"/>
      <c r="FHT602" s="15"/>
      <c r="FHU602" s="50"/>
      <c r="FHV602" s="50"/>
      <c r="FHW602" s="46"/>
      <c r="FHX602" s="47"/>
      <c r="FHY602" s="46"/>
      <c r="FHZ602" s="48"/>
      <c r="FIA602" s="53"/>
      <c r="FIH602" s="15"/>
      <c r="FII602" s="50"/>
      <c r="FIJ602" s="50"/>
      <c r="FIK602" s="46"/>
      <c r="FIL602" s="47"/>
      <c r="FIM602" s="46"/>
      <c r="FIN602" s="48"/>
      <c r="FIO602" s="53"/>
      <c r="FIV602" s="15"/>
      <c r="FIW602" s="50"/>
      <c r="FIX602" s="50"/>
      <c r="FIY602" s="46"/>
      <c r="FIZ602" s="47"/>
      <c r="FJA602" s="46"/>
      <c r="FJB602" s="48"/>
      <c r="FJC602" s="53"/>
      <c r="FJJ602" s="15"/>
      <c r="FJK602" s="50"/>
      <c r="FJL602" s="50"/>
      <c r="FJM602" s="46"/>
      <c r="FJN602" s="47"/>
      <c r="FJO602" s="46"/>
      <c r="FJP602" s="48"/>
      <c r="FJQ602" s="53"/>
      <c r="FJX602" s="15"/>
      <c r="FJY602" s="50"/>
      <c r="FJZ602" s="50"/>
      <c r="FKA602" s="46"/>
      <c r="FKB602" s="47"/>
      <c r="FKC602" s="46"/>
      <c r="FKD602" s="48"/>
      <c r="FKE602" s="53"/>
      <c r="FKL602" s="15"/>
      <c r="FKM602" s="50"/>
      <c r="FKN602" s="50"/>
      <c r="FKO602" s="46"/>
      <c r="FKP602" s="47"/>
      <c r="FKQ602" s="46"/>
      <c r="FKR602" s="48"/>
      <c r="FKS602" s="53"/>
      <c r="FKZ602" s="15"/>
      <c r="FLA602" s="50"/>
      <c r="FLB602" s="50"/>
      <c r="FLC602" s="46"/>
      <c r="FLD602" s="47"/>
      <c r="FLE602" s="46"/>
      <c r="FLF602" s="48"/>
      <c r="FLG602" s="53"/>
      <c r="FLN602" s="15"/>
      <c r="FLO602" s="50"/>
      <c r="FLP602" s="50"/>
      <c r="FLQ602" s="46"/>
      <c r="FLR602" s="47"/>
      <c r="FLS602" s="46"/>
      <c r="FLT602" s="48"/>
      <c r="FLU602" s="53"/>
      <c r="FMB602" s="15"/>
      <c r="FMC602" s="50"/>
      <c r="FMD602" s="50"/>
      <c r="FME602" s="46"/>
      <c r="FMF602" s="47"/>
      <c r="FMG602" s="46"/>
      <c r="FMH602" s="48"/>
      <c r="FMI602" s="53"/>
      <c r="FMP602" s="15"/>
      <c r="FMQ602" s="50"/>
      <c r="FMR602" s="50"/>
      <c r="FMS602" s="46"/>
      <c r="FMT602" s="47"/>
      <c r="FMU602" s="46"/>
      <c r="FMV602" s="48"/>
      <c r="FMW602" s="53"/>
      <c r="FND602" s="15"/>
      <c r="FNE602" s="50"/>
      <c r="FNF602" s="50"/>
      <c r="FNG602" s="46"/>
      <c r="FNH602" s="47"/>
      <c r="FNI602" s="46"/>
      <c r="FNJ602" s="48"/>
      <c r="FNK602" s="53"/>
      <c r="FNR602" s="15"/>
      <c r="FNS602" s="50"/>
      <c r="FNT602" s="50"/>
      <c r="FNU602" s="46"/>
      <c r="FNV602" s="47"/>
      <c r="FNW602" s="46"/>
      <c r="FNX602" s="48"/>
      <c r="FNY602" s="53"/>
      <c r="FOF602" s="15"/>
      <c r="FOG602" s="50"/>
      <c r="FOH602" s="50"/>
      <c r="FOI602" s="46"/>
      <c r="FOJ602" s="47"/>
      <c r="FOK602" s="46"/>
      <c r="FOL602" s="48"/>
      <c r="FOM602" s="53"/>
      <c r="FOT602" s="15"/>
      <c r="FOU602" s="50"/>
      <c r="FOV602" s="50"/>
      <c r="FOW602" s="46"/>
      <c r="FOX602" s="47"/>
      <c r="FOY602" s="46"/>
      <c r="FOZ602" s="48"/>
      <c r="FPA602" s="53"/>
      <c r="FPH602" s="15"/>
      <c r="FPI602" s="50"/>
      <c r="FPJ602" s="50"/>
      <c r="FPK602" s="46"/>
      <c r="FPL602" s="47"/>
      <c r="FPM602" s="46"/>
      <c r="FPN602" s="48"/>
      <c r="FPO602" s="53"/>
      <c r="FPV602" s="15"/>
      <c r="FPW602" s="50"/>
      <c r="FPX602" s="50"/>
      <c r="FPY602" s="46"/>
      <c r="FPZ602" s="47"/>
      <c r="FQA602" s="46"/>
      <c r="FQB602" s="48"/>
      <c r="FQC602" s="53"/>
      <c r="FQJ602" s="15"/>
      <c r="FQK602" s="50"/>
      <c r="FQL602" s="50"/>
      <c r="FQM602" s="46"/>
      <c r="FQN602" s="47"/>
      <c r="FQO602" s="46"/>
      <c r="FQP602" s="48"/>
      <c r="FQQ602" s="53"/>
      <c r="FQX602" s="15"/>
      <c r="FQY602" s="50"/>
      <c r="FQZ602" s="50"/>
      <c r="FRA602" s="46"/>
      <c r="FRB602" s="47"/>
      <c r="FRC602" s="46"/>
      <c r="FRD602" s="48"/>
      <c r="FRE602" s="53"/>
      <c r="FRL602" s="15"/>
      <c r="FRM602" s="50"/>
      <c r="FRN602" s="50"/>
      <c r="FRO602" s="46"/>
      <c r="FRP602" s="47"/>
      <c r="FRQ602" s="46"/>
      <c r="FRR602" s="48"/>
      <c r="FRS602" s="53"/>
      <c r="FRZ602" s="15"/>
      <c r="FSA602" s="50"/>
      <c r="FSB602" s="50"/>
      <c r="FSC602" s="46"/>
      <c r="FSD602" s="47"/>
      <c r="FSE602" s="46"/>
      <c r="FSF602" s="48"/>
      <c r="FSG602" s="53"/>
      <c r="FSN602" s="15"/>
      <c r="FSO602" s="50"/>
      <c r="FSP602" s="50"/>
      <c r="FSQ602" s="46"/>
      <c r="FSR602" s="47"/>
      <c r="FSS602" s="46"/>
      <c r="FST602" s="48"/>
      <c r="FSU602" s="53"/>
      <c r="FTB602" s="15"/>
      <c r="FTC602" s="50"/>
      <c r="FTD602" s="50"/>
      <c r="FTE602" s="46"/>
      <c r="FTF602" s="47"/>
      <c r="FTG602" s="46"/>
      <c r="FTH602" s="48"/>
      <c r="FTI602" s="53"/>
      <c r="FTP602" s="15"/>
      <c r="FTQ602" s="50"/>
      <c r="FTR602" s="50"/>
      <c r="FTS602" s="46"/>
      <c r="FTT602" s="47"/>
      <c r="FTU602" s="46"/>
      <c r="FTV602" s="48"/>
      <c r="FTW602" s="53"/>
      <c r="FUD602" s="15"/>
      <c r="FUE602" s="50"/>
      <c r="FUF602" s="50"/>
      <c r="FUG602" s="46"/>
      <c r="FUH602" s="47"/>
      <c r="FUI602" s="46"/>
      <c r="FUJ602" s="48"/>
      <c r="FUK602" s="53"/>
      <c r="FUR602" s="15"/>
      <c r="FUS602" s="50"/>
      <c r="FUT602" s="50"/>
      <c r="FUU602" s="46"/>
      <c r="FUV602" s="47"/>
      <c r="FUW602" s="46"/>
      <c r="FUX602" s="48"/>
      <c r="FUY602" s="53"/>
      <c r="FVF602" s="15"/>
      <c r="FVG602" s="50"/>
      <c r="FVH602" s="50"/>
      <c r="FVI602" s="46"/>
      <c r="FVJ602" s="47"/>
      <c r="FVK602" s="46"/>
      <c r="FVL602" s="48"/>
      <c r="FVM602" s="53"/>
      <c r="FVT602" s="15"/>
      <c r="FVU602" s="50"/>
      <c r="FVV602" s="50"/>
      <c r="FVW602" s="46"/>
      <c r="FVX602" s="47"/>
      <c r="FVY602" s="46"/>
      <c r="FVZ602" s="48"/>
      <c r="FWA602" s="53"/>
      <c r="FWH602" s="15"/>
      <c r="FWI602" s="50"/>
      <c r="FWJ602" s="50"/>
      <c r="FWK602" s="46"/>
      <c r="FWL602" s="47"/>
      <c r="FWM602" s="46"/>
      <c r="FWN602" s="48"/>
      <c r="FWO602" s="53"/>
      <c r="FWV602" s="15"/>
      <c r="FWW602" s="50"/>
      <c r="FWX602" s="50"/>
      <c r="FWY602" s="46"/>
      <c r="FWZ602" s="47"/>
      <c r="FXA602" s="46"/>
      <c r="FXB602" s="48"/>
      <c r="FXC602" s="53"/>
      <c r="FXJ602" s="15"/>
      <c r="FXK602" s="50"/>
      <c r="FXL602" s="50"/>
      <c r="FXM602" s="46"/>
      <c r="FXN602" s="47"/>
      <c r="FXO602" s="46"/>
      <c r="FXP602" s="48"/>
      <c r="FXQ602" s="53"/>
      <c r="FXX602" s="15"/>
      <c r="FXY602" s="50"/>
      <c r="FXZ602" s="50"/>
      <c r="FYA602" s="46"/>
      <c r="FYB602" s="47"/>
      <c r="FYC602" s="46"/>
      <c r="FYD602" s="48"/>
      <c r="FYE602" s="53"/>
      <c r="FYL602" s="15"/>
      <c r="FYM602" s="50"/>
      <c r="FYN602" s="50"/>
      <c r="FYO602" s="46"/>
      <c r="FYP602" s="47"/>
      <c r="FYQ602" s="46"/>
      <c r="FYR602" s="48"/>
      <c r="FYS602" s="53"/>
      <c r="FYZ602" s="15"/>
      <c r="FZA602" s="50"/>
      <c r="FZB602" s="50"/>
      <c r="FZC602" s="46"/>
      <c r="FZD602" s="47"/>
      <c r="FZE602" s="46"/>
      <c r="FZF602" s="48"/>
      <c r="FZG602" s="53"/>
      <c r="FZN602" s="15"/>
      <c r="FZO602" s="50"/>
      <c r="FZP602" s="50"/>
      <c r="FZQ602" s="46"/>
      <c r="FZR602" s="47"/>
      <c r="FZS602" s="46"/>
      <c r="FZT602" s="48"/>
      <c r="FZU602" s="53"/>
      <c r="GAB602" s="15"/>
      <c r="GAC602" s="50"/>
      <c r="GAD602" s="50"/>
      <c r="GAE602" s="46"/>
      <c r="GAF602" s="47"/>
      <c r="GAG602" s="46"/>
      <c r="GAH602" s="48"/>
      <c r="GAI602" s="53"/>
      <c r="GAP602" s="15"/>
      <c r="GAQ602" s="50"/>
      <c r="GAR602" s="50"/>
      <c r="GAS602" s="46"/>
      <c r="GAT602" s="47"/>
      <c r="GAU602" s="46"/>
      <c r="GAV602" s="48"/>
      <c r="GAW602" s="53"/>
      <c r="GBD602" s="15"/>
      <c r="GBE602" s="50"/>
      <c r="GBF602" s="50"/>
      <c r="GBG602" s="46"/>
      <c r="GBH602" s="47"/>
      <c r="GBI602" s="46"/>
      <c r="GBJ602" s="48"/>
      <c r="GBK602" s="53"/>
      <c r="GBR602" s="15"/>
      <c r="GBS602" s="50"/>
      <c r="GBT602" s="50"/>
      <c r="GBU602" s="46"/>
      <c r="GBV602" s="47"/>
      <c r="GBW602" s="46"/>
      <c r="GBX602" s="48"/>
      <c r="GBY602" s="53"/>
      <c r="GCF602" s="15"/>
      <c r="GCG602" s="50"/>
      <c r="GCH602" s="50"/>
      <c r="GCI602" s="46"/>
      <c r="GCJ602" s="47"/>
      <c r="GCK602" s="46"/>
      <c r="GCL602" s="48"/>
      <c r="GCM602" s="53"/>
      <c r="GCT602" s="15"/>
      <c r="GCU602" s="50"/>
      <c r="GCV602" s="50"/>
      <c r="GCW602" s="46"/>
      <c r="GCX602" s="47"/>
      <c r="GCY602" s="46"/>
      <c r="GCZ602" s="48"/>
      <c r="GDA602" s="53"/>
      <c r="GDH602" s="15"/>
      <c r="GDI602" s="50"/>
      <c r="GDJ602" s="50"/>
      <c r="GDK602" s="46"/>
      <c r="GDL602" s="47"/>
      <c r="GDM602" s="46"/>
      <c r="GDN602" s="48"/>
      <c r="GDO602" s="53"/>
      <c r="GDV602" s="15"/>
      <c r="GDW602" s="50"/>
      <c r="GDX602" s="50"/>
      <c r="GDY602" s="46"/>
      <c r="GDZ602" s="47"/>
      <c r="GEA602" s="46"/>
      <c r="GEB602" s="48"/>
      <c r="GEC602" s="53"/>
      <c r="GEJ602" s="15"/>
      <c r="GEK602" s="50"/>
      <c r="GEL602" s="50"/>
      <c r="GEM602" s="46"/>
      <c r="GEN602" s="47"/>
      <c r="GEO602" s="46"/>
      <c r="GEP602" s="48"/>
      <c r="GEQ602" s="53"/>
      <c r="GEX602" s="15"/>
      <c r="GEY602" s="50"/>
      <c r="GEZ602" s="50"/>
      <c r="GFA602" s="46"/>
      <c r="GFB602" s="47"/>
      <c r="GFC602" s="46"/>
      <c r="GFD602" s="48"/>
      <c r="GFE602" s="53"/>
      <c r="GFL602" s="15"/>
      <c r="GFM602" s="50"/>
      <c r="GFN602" s="50"/>
      <c r="GFO602" s="46"/>
      <c r="GFP602" s="47"/>
      <c r="GFQ602" s="46"/>
      <c r="GFR602" s="48"/>
      <c r="GFS602" s="53"/>
      <c r="GFZ602" s="15"/>
      <c r="GGA602" s="50"/>
      <c r="GGB602" s="50"/>
      <c r="GGC602" s="46"/>
      <c r="GGD602" s="47"/>
      <c r="GGE602" s="46"/>
      <c r="GGF602" s="48"/>
      <c r="GGG602" s="53"/>
      <c r="GGN602" s="15"/>
      <c r="GGO602" s="50"/>
      <c r="GGP602" s="50"/>
      <c r="GGQ602" s="46"/>
      <c r="GGR602" s="47"/>
      <c r="GGS602" s="46"/>
      <c r="GGT602" s="48"/>
      <c r="GGU602" s="53"/>
      <c r="GHB602" s="15"/>
      <c r="GHC602" s="50"/>
      <c r="GHD602" s="50"/>
      <c r="GHE602" s="46"/>
      <c r="GHF602" s="47"/>
      <c r="GHG602" s="46"/>
      <c r="GHH602" s="48"/>
      <c r="GHI602" s="53"/>
      <c r="GHP602" s="15"/>
      <c r="GHQ602" s="50"/>
      <c r="GHR602" s="50"/>
      <c r="GHS602" s="46"/>
      <c r="GHT602" s="47"/>
      <c r="GHU602" s="46"/>
      <c r="GHV602" s="48"/>
      <c r="GHW602" s="53"/>
      <c r="GID602" s="15"/>
      <c r="GIE602" s="50"/>
      <c r="GIF602" s="50"/>
      <c r="GIG602" s="46"/>
      <c r="GIH602" s="47"/>
      <c r="GII602" s="46"/>
      <c r="GIJ602" s="48"/>
      <c r="GIK602" s="53"/>
      <c r="GIR602" s="15"/>
      <c r="GIS602" s="50"/>
      <c r="GIT602" s="50"/>
      <c r="GIU602" s="46"/>
      <c r="GIV602" s="47"/>
      <c r="GIW602" s="46"/>
      <c r="GIX602" s="48"/>
      <c r="GIY602" s="53"/>
      <c r="GJF602" s="15"/>
      <c r="GJG602" s="50"/>
      <c r="GJH602" s="50"/>
      <c r="GJI602" s="46"/>
      <c r="GJJ602" s="47"/>
      <c r="GJK602" s="46"/>
      <c r="GJL602" s="48"/>
      <c r="GJM602" s="53"/>
      <c r="GJT602" s="15"/>
      <c r="GJU602" s="50"/>
      <c r="GJV602" s="50"/>
      <c r="GJW602" s="46"/>
      <c r="GJX602" s="47"/>
      <c r="GJY602" s="46"/>
      <c r="GJZ602" s="48"/>
      <c r="GKA602" s="53"/>
      <c r="GKH602" s="15"/>
      <c r="GKI602" s="50"/>
      <c r="GKJ602" s="50"/>
      <c r="GKK602" s="46"/>
      <c r="GKL602" s="47"/>
      <c r="GKM602" s="46"/>
      <c r="GKN602" s="48"/>
      <c r="GKO602" s="53"/>
      <c r="GKV602" s="15"/>
      <c r="GKW602" s="50"/>
      <c r="GKX602" s="50"/>
      <c r="GKY602" s="46"/>
      <c r="GKZ602" s="47"/>
      <c r="GLA602" s="46"/>
      <c r="GLB602" s="48"/>
      <c r="GLC602" s="53"/>
      <c r="GLJ602" s="15"/>
      <c r="GLK602" s="50"/>
      <c r="GLL602" s="50"/>
      <c r="GLM602" s="46"/>
      <c r="GLN602" s="47"/>
      <c r="GLO602" s="46"/>
      <c r="GLP602" s="48"/>
      <c r="GLQ602" s="53"/>
      <c r="GLX602" s="15"/>
      <c r="GLY602" s="50"/>
      <c r="GLZ602" s="50"/>
      <c r="GMA602" s="46"/>
      <c r="GMB602" s="47"/>
      <c r="GMC602" s="46"/>
      <c r="GMD602" s="48"/>
      <c r="GME602" s="53"/>
      <c r="GML602" s="15"/>
      <c r="GMM602" s="50"/>
      <c r="GMN602" s="50"/>
      <c r="GMO602" s="46"/>
      <c r="GMP602" s="47"/>
      <c r="GMQ602" s="46"/>
      <c r="GMR602" s="48"/>
      <c r="GMS602" s="53"/>
      <c r="GMZ602" s="15"/>
      <c r="GNA602" s="50"/>
      <c r="GNB602" s="50"/>
      <c r="GNC602" s="46"/>
      <c r="GND602" s="47"/>
      <c r="GNE602" s="46"/>
      <c r="GNF602" s="48"/>
      <c r="GNG602" s="53"/>
      <c r="GNN602" s="15"/>
      <c r="GNO602" s="50"/>
      <c r="GNP602" s="50"/>
      <c r="GNQ602" s="46"/>
      <c r="GNR602" s="47"/>
      <c r="GNS602" s="46"/>
      <c r="GNT602" s="48"/>
      <c r="GNU602" s="53"/>
      <c r="GOB602" s="15"/>
      <c r="GOC602" s="50"/>
      <c r="GOD602" s="50"/>
      <c r="GOE602" s="46"/>
      <c r="GOF602" s="47"/>
      <c r="GOG602" s="46"/>
      <c r="GOH602" s="48"/>
      <c r="GOI602" s="53"/>
      <c r="GOP602" s="15"/>
      <c r="GOQ602" s="50"/>
      <c r="GOR602" s="50"/>
      <c r="GOS602" s="46"/>
      <c r="GOT602" s="47"/>
      <c r="GOU602" s="46"/>
      <c r="GOV602" s="48"/>
      <c r="GOW602" s="53"/>
      <c r="GPD602" s="15"/>
      <c r="GPE602" s="50"/>
      <c r="GPF602" s="50"/>
      <c r="GPG602" s="46"/>
      <c r="GPH602" s="47"/>
      <c r="GPI602" s="46"/>
      <c r="GPJ602" s="48"/>
      <c r="GPK602" s="53"/>
      <c r="GPR602" s="15"/>
      <c r="GPS602" s="50"/>
      <c r="GPT602" s="50"/>
      <c r="GPU602" s="46"/>
      <c r="GPV602" s="47"/>
      <c r="GPW602" s="46"/>
      <c r="GPX602" s="48"/>
      <c r="GPY602" s="53"/>
      <c r="GQF602" s="15"/>
      <c r="GQG602" s="50"/>
      <c r="GQH602" s="50"/>
      <c r="GQI602" s="46"/>
      <c r="GQJ602" s="47"/>
      <c r="GQK602" s="46"/>
      <c r="GQL602" s="48"/>
      <c r="GQM602" s="53"/>
      <c r="GQT602" s="15"/>
      <c r="GQU602" s="50"/>
      <c r="GQV602" s="50"/>
      <c r="GQW602" s="46"/>
      <c r="GQX602" s="47"/>
      <c r="GQY602" s="46"/>
      <c r="GQZ602" s="48"/>
      <c r="GRA602" s="53"/>
      <c r="GRH602" s="15"/>
      <c r="GRI602" s="50"/>
      <c r="GRJ602" s="50"/>
      <c r="GRK602" s="46"/>
      <c r="GRL602" s="47"/>
      <c r="GRM602" s="46"/>
      <c r="GRN602" s="48"/>
      <c r="GRO602" s="53"/>
      <c r="GRV602" s="15"/>
      <c r="GRW602" s="50"/>
      <c r="GRX602" s="50"/>
      <c r="GRY602" s="46"/>
      <c r="GRZ602" s="47"/>
      <c r="GSA602" s="46"/>
      <c r="GSB602" s="48"/>
      <c r="GSC602" s="53"/>
      <c r="GSJ602" s="15"/>
      <c r="GSK602" s="50"/>
      <c r="GSL602" s="50"/>
      <c r="GSM602" s="46"/>
      <c r="GSN602" s="47"/>
      <c r="GSO602" s="46"/>
      <c r="GSP602" s="48"/>
      <c r="GSQ602" s="53"/>
      <c r="GSX602" s="15"/>
      <c r="GSY602" s="50"/>
      <c r="GSZ602" s="50"/>
      <c r="GTA602" s="46"/>
      <c r="GTB602" s="47"/>
      <c r="GTC602" s="46"/>
      <c r="GTD602" s="48"/>
      <c r="GTE602" s="53"/>
      <c r="GTL602" s="15"/>
      <c r="GTM602" s="50"/>
      <c r="GTN602" s="50"/>
      <c r="GTO602" s="46"/>
      <c r="GTP602" s="47"/>
      <c r="GTQ602" s="46"/>
      <c r="GTR602" s="48"/>
      <c r="GTS602" s="53"/>
      <c r="GTZ602" s="15"/>
      <c r="GUA602" s="50"/>
      <c r="GUB602" s="50"/>
      <c r="GUC602" s="46"/>
      <c r="GUD602" s="47"/>
      <c r="GUE602" s="46"/>
      <c r="GUF602" s="48"/>
      <c r="GUG602" s="53"/>
      <c r="GUN602" s="15"/>
      <c r="GUO602" s="50"/>
      <c r="GUP602" s="50"/>
      <c r="GUQ602" s="46"/>
      <c r="GUR602" s="47"/>
      <c r="GUS602" s="46"/>
      <c r="GUT602" s="48"/>
      <c r="GUU602" s="53"/>
      <c r="GVB602" s="15"/>
      <c r="GVC602" s="50"/>
      <c r="GVD602" s="50"/>
      <c r="GVE602" s="46"/>
      <c r="GVF602" s="47"/>
      <c r="GVG602" s="46"/>
      <c r="GVH602" s="48"/>
      <c r="GVI602" s="53"/>
      <c r="GVP602" s="15"/>
      <c r="GVQ602" s="50"/>
      <c r="GVR602" s="50"/>
      <c r="GVS602" s="46"/>
      <c r="GVT602" s="47"/>
      <c r="GVU602" s="46"/>
      <c r="GVV602" s="48"/>
      <c r="GVW602" s="53"/>
      <c r="GWD602" s="15"/>
      <c r="GWE602" s="50"/>
      <c r="GWF602" s="50"/>
      <c r="GWG602" s="46"/>
      <c r="GWH602" s="47"/>
      <c r="GWI602" s="46"/>
      <c r="GWJ602" s="48"/>
      <c r="GWK602" s="53"/>
      <c r="GWR602" s="15"/>
      <c r="GWS602" s="50"/>
      <c r="GWT602" s="50"/>
      <c r="GWU602" s="46"/>
      <c r="GWV602" s="47"/>
      <c r="GWW602" s="46"/>
      <c r="GWX602" s="48"/>
      <c r="GWY602" s="53"/>
      <c r="GXF602" s="15"/>
      <c r="GXG602" s="50"/>
      <c r="GXH602" s="50"/>
      <c r="GXI602" s="46"/>
      <c r="GXJ602" s="47"/>
      <c r="GXK602" s="46"/>
      <c r="GXL602" s="48"/>
      <c r="GXM602" s="53"/>
      <c r="GXT602" s="15"/>
      <c r="GXU602" s="50"/>
      <c r="GXV602" s="50"/>
      <c r="GXW602" s="46"/>
      <c r="GXX602" s="47"/>
      <c r="GXY602" s="46"/>
      <c r="GXZ602" s="48"/>
      <c r="GYA602" s="53"/>
      <c r="GYH602" s="15"/>
      <c r="GYI602" s="50"/>
      <c r="GYJ602" s="50"/>
      <c r="GYK602" s="46"/>
      <c r="GYL602" s="47"/>
      <c r="GYM602" s="46"/>
      <c r="GYN602" s="48"/>
      <c r="GYO602" s="53"/>
      <c r="GYV602" s="15"/>
      <c r="GYW602" s="50"/>
      <c r="GYX602" s="50"/>
      <c r="GYY602" s="46"/>
      <c r="GYZ602" s="47"/>
      <c r="GZA602" s="46"/>
      <c r="GZB602" s="48"/>
      <c r="GZC602" s="53"/>
      <c r="GZJ602" s="15"/>
      <c r="GZK602" s="50"/>
      <c r="GZL602" s="50"/>
      <c r="GZM602" s="46"/>
      <c r="GZN602" s="47"/>
      <c r="GZO602" s="46"/>
      <c r="GZP602" s="48"/>
      <c r="GZQ602" s="53"/>
      <c r="GZX602" s="15"/>
      <c r="GZY602" s="50"/>
      <c r="GZZ602" s="50"/>
      <c r="HAA602" s="46"/>
      <c r="HAB602" s="47"/>
      <c r="HAC602" s="46"/>
      <c r="HAD602" s="48"/>
      <c r="HAE602" s="53"/>
      <c r="HAL602" s="15"/>
      <c r="HAM602" s="50"/>
      <c r="HAN602" s="50"/>
      <c r="HAO602" s="46"/>
      <c r="HAP602" s="47"/>
      <c r="HAQ602" s="46"/>
      <c r="HAR602" s="48"/>
      <c r="HAS602" s="53"/>
      <c r="HAZ602" s="15"/>
      <c r="HBA602" s="50"/>
      <c r="HBB602" s="50"/>
      <c r="HBC602" s="46"/>
      <c r="HBD602" s="47"/>
      <c r="HBE602" s="46"/>
      <c r="HBF602" s="48"/>
      <c r="HBG602" s="53"/>
      <c r="HBN602" s="15"/>
      <c r="HBO602" s="50"/>
      <c r="HBP602" s="50"/>
      <c r="HBQ602" s="46"/>
      <c r="HBR602" s="47"/>
      <c r="HBS602" s="46"/>
      <c r="HBT602" s="48"/>
      <c r="HBU602" s="53"/>
      <c r="HCB602" s="15"/>
      <c r="HCC602" s="50"/>
      <c r="HCD602" s="50"/>
      <c r="HCE602" s="46"/>
      <c r="HCF602" s="47"/>
      <c r="HCG602" s="46"/>
      <c r="HCH602" s="48"/>
      <c r="HCI602" s="53"/>
      <c r="HCP602" s="15"/>
      <c r="HCQ602" s="50"/>
      <c r="HCR602" s="50"/>
      <c r="HCS602" s="46"/>
      <c r="HCT602" s="47"/>
      <c r="HCU602" s="46"/>
      <c r="HCV602" s="48"/>
      <c r="HCW602" s="53"/>
      <c r="HDD602" s="15"/>
      <c r="HDE602" s="50"/>
      <c r="HDF602" s="50"/>
      <c r="HDG602" s="46"/>
      <c r="HDH602" s="47"/>
      <c r="HDI602" s="46"/>
      <c r="HDJ602" s="48"/>
      <c r="HDK602" s="53"/>
      <c r="HDR602" s="15"/>
      <c r="HDS602" s="50"/>
      <c r="HDT602" s="50"/>
      <c r="HDU602" s="46"/>
      <c r="HDV602" s="47"/>
      <c r="HDW602" s="46"/>
      <c r="HDX602" s="48"/>
      <c r="HDY602" s="53"/>
      <c r="HEF602" s="15"/>
      <c r="HEG602" s="50"/>
      <c r="HEH602" s="50"/>
      <c r="HEI602" s="46"/>
      <c r="HEJ602" s="47"/>
      <c r="HEK602" s="46"/>
      <c r="HEL602" s="48"/>
      <c r="HEM602" s="53"/>
      <c r="HET602" s="15"/>
      <c r="HEU602" s="50"/>
      <c r="HEV602" s="50"/>
      <c r="HEW602" s="46"/>
      <c r="HEX602" s="47"/>
      <c r="HEY602" s="46"/>
      <c r="HEZ602" s="48"/>
      <c r="HFA602" s="53"/>
      <c r="HFH602" s="15"/>
      <c r="HFI602" s="50"/>
      <c r="HFJ602" s="50"/>
      <c r="HFK602" s="46"/>
      <c r="HFL602" s="47"/>
      <c r="HFM602" s="46"/>
      <c r="HFN602" s="48"/>
      <c r="HFO602" s="53"/>
      <c r="HFV602" s="15"/>
      <c r="HFW602" s="50"/>
      <c r="HFX602" s="50"/>
      <c r="HFY602" s="46"/>
      <c r="HFZ602" s="47"/>
      <c r="HGA602" s="46"/>
      <c r="HGB602" s="48"/>
      <c r="HGC602" s="53"/>
      <c r="HGJ602" s="15"/>
      <c r="HGK602" s="50"/>
      <c r="HGL602" s="50"/>
      <c r="HGM602" s="46"/>
      <c r="HGN602" s="47"/>
      <c r="HGO602" s="46"/>
      <c r="HGP602" s="48"/>
      <c r="HGQ602" s="53"/>
      <c r="HGX602" s="15"/>
      <c r="HGY602" s="50"/>
      <c r="HGZ602" s="50"/>
      <c r="HHA602" s="46"/>
      <c r="HHB602" s="47"/>
      <c r="HHC602" s="46"/>
      <c r="HHD602" s="48"/>
      <c r="HHE602" s="53"/>
      <c r="HHL602" s="15"/>
      <c r="HHM602" s="50"/>
      <c r="HHN602" s="50"/>
      <c r="HHO602" s="46"/>
      <c r="HHP602" s="47"/>
      <c r="HHQ602" s="46"/>
      <c r="HHR602" s="48"/>
      <c r="HHS602" s="53"/>
      <c r="HHZ602" s="15"/>
      <c r="HIA602" s="50"/>
      <c r="HIB602" s="50"/>
      <c r="HIC602" s="46"/>
      <c r="HID602" s="47"/>
      <c r="HIE602" s="46"/>
      <c r="HIF602" s="48"/>
      <c r="HIG602" s="53"/>
      <c r="HIN602" s="15"/>
      <c r="HIO602" s="50"/>
      <c r="HIP602" s="50"/>
      <c r="HIQ602" s="46"/>
      <c r="HIR602" s="47"/>
      <c r="HIS602" s="46"/>
      <c r="HIT602" s="48"/>
      <c r="HIU602" s="53"/>
      <c r="HJB602" s="15"/>
      <c r="HJC602" s="50"/>
      <c r="HJD602" s="50"/>
      <c r="HJE602" s="46"/>
      <c r="HJF602" s="47"/>
      <c r="HJG602" s="46"/>
      <c r="HJH602" s="48"/>
      <c r="HJI602" s="53"/>
      <c r="HJP602" s="15"/>
      <c r="HJQ602" s="50"/>
      <c r="HJR602" s="50"/>
      <c r="HJS602" s="46"/>
      <c r="HJT602" s="47"/>
      <c r="HJU602" s="46"/>
      <c r="HJV602" s="48"/>
      <c r="HJW602" s="53"/>
      <c r="HKD602" s="15"/>
      <c r="HKE602" s="50"/>
      <c r="HKF602" s="50"/>
      <c r="HKG602" s="46"/>
      <c r="HKH602" s="47"/>
      <c r="HKI602" s="46"/>
      <c r="HKJ602" s="48"/>
      <c r="HKK602" s="53"/>
      <c r="HKR602" s="15"/>
      <c r="HKS602" s="50"/>
      <c r="HKT602" s="50"/>
      <c r="HKU602" s="46"/>
      <c r="HKV602" s="47"/>
      <c r="HKW602" s="46"/>
      <c r="HKX602" s="48"/>
      <c r="HKY602" s="53"/>
      <c r="HLF602" s="15"/>
      <c r="HLG602" s="50"/>
      <c r="HLH602" s="50"/>
      <c r="HLI602" s="46"/>
      <c r="HLJ602" s="47"/>
      <c r="HLK602" s="46"/>
      <c r="HLL602" s="48"/>
      <c r="HLM602" s="53"/>
      <c r="HLT602" s="15"/>
      <c r="HLU602" s="50"/>
      <c r="HLV602" s="50"/>
      <c r="HLW602" s="46"/>
      <c r="HLX602" s="47"/>
      <c r="HLY602" s="46"/>
      <c r="HLZ602" s="48"/>
      <c r="HMA602" s="53"/>
      <c r="HMH602" s="15"/>
      <c r="HMI602" s="50"/>
      <c r="HMJ602" s="50"/>
      <c r="HMK602" s="46"/>
      <c r="HML602" s="47"/>
      <c r="HMM602" s="46"/>
      <c r="HMN602" s="48"/>
      <c r="HMO602" s="53"/>
      <c r="HMV602" s="15"/>
      <c r="HMW602" s="50"/>
      <c r="HMX602" s="50"/>
      <c r="HMY602" s="46"/>
      <c r="HMZ602" s="47"/>
      <c r="HNA602" s="46"/>
      <c r="HNB602" s="48"/>
      <c r="HNC602" s="53"/>
      <c r="HNJ602" s="15"/>
      <c r="HNK602" s="50"/>
      <c r="HNL602" s="50"/>
      <c r="HNM602" s="46"/>
      <c r="HNN602" s="47"/>
      <c r="HNO602" s="46"/>
      <c r="HNP602" s="48"/>
      <c r="HNQ602" s="53"/>
      <c r="HNX602" s="15"/>
      <c r="HNY602" s="50"/>
      <c r="HNZ602" s="50"/>
      <c r="HOA602" s="46"/>
      <c r="HOB602" s="47"/>
      <c r="HOC602" s="46"/>
      <c r="HOD602" s="48"/>
      <c r="HOE602" s="53"/>
      <c r="HOL602" s="15"/>
      <c r="HOM602" s="50"/>
      <c r="HON602" s="50"/>
      <c r="HOO602" s="46"/>
      <c r="HOP602" s="47"/>
      <c r="HOQ602" s="46"/>
      <c r="HOR602" s="48"/>
      <c r="HOS602" s="53"/>
      <c r="HOZ602" s="15"/>
      <c r="HPA602" s="50"/>
      <c r="HPB602" s="50"/>
      <c r="HPC602" s="46"/>
      <c r="HPD602" s="47"/>
      <c r="HPE602" s="46"/>
      <c r="HPF602" s="48"/>
      <c r="HPG602" s="53"/>
      <c r="HPN602" s="15"/>
      <c r="HPO602" s="50"/>
      <c r="HPP602" s="50"/>
      <c r="HPQ602" s="46"/>
      <c r="HPR602" s="47"/>
      <c r="HPS602" s="46"/>
      <c r="HPT602" s="48"/>
      <c r="HPU602" s="53"/>
      <c r="HQB602" s="15"/>
      <c r="HQC602" s="50"/>
      <c r="HQD602" s="50"/>
      <c r="HQE602" s="46"/>
      <c r="HQF602" s="47"/>
      <c r="HQG602" s="46"/>
      <c r="HQH602" s="48"/>
      <c r="HQI602" s="53"/>
      <c r="HQP602" s="15"/>
      <c r="HQQ602" s="50"/>
      <c r="HQR602" s="50"/>
      <c r="HQS602" s="46"/>
      <c r="HQT602" s="47"/>
      <c r="HQU602" s="46"/>
      <c r="HQV602" s="48"/>
      <c r="HQW602" s="53"/>
      <c r="HRD602" s="15"/>
      <c r="HRE602" s="50"/>
      <c r="HRF602" s="50"/>
      <c r="HRG602" s="46"/>
      <c r="HRH602" s="47"/>
      <c r="HRI602" s="46"/>
      <c r="HRJ602" s="48"/>
      <c r="HRK602" s="53"/>
      <c r="HRR602" s="15"/>
      <c r="HRS602" s="50"/>
      <c r="HRT602" s="50"/>
      <c r="HRU602" s="46"/>
      <c r="HRV602" s="47"/>
      <c r="HRW602" s="46"/>
      <c r="HRX602" s="48"/>
      <c r="HRY602" s="53"/>
      <c r="HSF602" s="15"/>
      <c r="HSG602" s="50"/>
      <c r="HSH602" s="50"/>
      <c r="HSI602" s="46"/>
      <c r="HSJ602" s="47"/>
      <c r="HSK602" s="46"/>
      <c r="HSL602" s="48"/>
      <c r="HSM602" s="53"/>
      <c r="HST602" s="15"/>
      <c r="HSU602" s="50"/>
      <c r="HSV602" s="50"/>
      <c r="HSW602" s="46"/>
      <c r="HSX602" s="47"/>
      <c r="HSY602" s="46"/>
      <c r="HSZ602" s="48"/>
      <c r="HTA602" s="53"/>
      <c r="HTH602" s="15"/>
      <c r="HTI602" s="50"/>
      <c r="HTJ602" s="50"/>
      <c r="HTK602" s="46"/>
      <c r="HTL602" s="47"/>
      <c r="HTM602" s="46"/>
      <c r="HTN602" s="48"/>
      <c r="HTO602" s="53"/>
      <c r="HTV602" s="15"/>
      <c r="HTW602" s="50"/>
      <c r="HTX602" s="50"/>
      <c r="HTY602" s="46"/>
      <c r="HTZ602" s="47"/>
      <c r="HUA602" s="46"/>
      <c r="HUB602" s="48"/>
      <c r="HUC602" s="53"/>
      <c r="HUJ602" s="15"/>
      <c r="HUK602" s="50"/>
      <c r="HUL602" s="50"/>
      <c r="HUM602" s="46"/>
      <c r="HUN602" s="47"/>
      <c r="HUO602" s="46"/>
      <c r="HUP602" s="48"/>
      <c r="HUQ602" s="53"/>
      <c r="HUX602" s="15"/>
      <c r="HUY602" s="50"/>
      <c r="HUZ602" s="50"/>
      <c r="HVA602" s="46"/>
      <c r="HVB602" s="47"/>
      <c r="HVC602" s="46"/>
      <c r="HVD602" s="48"/>
      <c r="HVE602" s="53"/>
      <c r="HVL602" s="15"/>
      <c r="HVM602" s="50"/>
      <c r="HVN602" s="50"/>
      <c r="HVO602" s="46"/>
      <c r="HVP602" s="47"/>
      <c r="HVQ602" s="46"/>
      <c r="HVR602" s="48"/>
      <c r="HVS602" s="53"/>
      <c r="HVZ602" s="15"/>
      <c r="HWA602" s="50"/>
      <c r="HWB602" s="50"/>
      <c r="HWC602" s="46"/>
      <c r="HWD602" s="47"/>
      <c r="HWE602" s="46"/>
      <c r="HWF602" s="48"/>
      <c r="HWG602" s="53"/>
      <c r="HWN602" s="15"/>
      <c r="HWO602" s="50"/>
      <c r="HWP602" s="50"/>
      <c r="HWQ602" s="46"/>
      <c r="HWR602" s="47"/>
      <c r="HWS602" s="46"/>
      <c r="HWT602" s="48"/>
      <c r="HWU602" s="53"/>
      <c r="HXB602" s="15"/>
      <c r="HXC602" s="50"/>
      <c r="HXD602" s="50"/>
      <c r="HXE602" s="46"/>
      <c r="HXF602" s="47"/>
      <c r="HXG602" s="46"/>
      <c r="HXH602" s="48"/>
      <c r="HXI602" s="53"/>
      <c r="HXP602" s="15"/>
      <c r="HXQ602" s="50"/>
      <c r="HXR602" s="50"/>
      <c r="HXS602" s="46"/>
      <c r="HXT602" s="47"/>
      <c r="HXU602" s="46"/>
      <c r="HXV602" s="48"/>
      <c r="HXW602" s="53"/>
      <c r="HYD602" s="15"/>
      <c r="HYE602" s="50"/>
      <c r="HYF602" s="50"/>
      <c r="HYG602" s="46"/>
      <c r="HYH602" s="47"/>
      <c r="HYI602" s="46"/>
      <c r="HYJ602" s="48"/>
      <c r="HYK602" s="53"/>
      <c r="HYR602" s="15"/>
      <c r="HYS602" s="50"/>
      <c r="HYT602" s="50"/>
      <c r="HYU602" s="46"/>
      <c r="HYV602" s="47"/>
      <c r="HYW602" s="46"/>
      <c r="HYX602" s="48"/>
      <c r="HYY602" s="53"/>
      <c r="HZF602" s="15"/>
      <c r="HZG602" s="50"/>
      <c r="HZH602" s="50"/>
      <c r="HZI602" s="46"/>
      <c r="HZJ602" s="47"/>
      <c r="HZK602" s="46"/>
      <c r="HZL602" s="48"/>
      <c r="HZM602" s="53"/>
      <c r="HZT602" s="15"/>
      <c r="HZU602" s="50"/>
      <c r="HZV602" s="50"/>
      <c r="HZW602" s="46"/>
      <c r="HZX602" s="47"/>
      <c r="HZY602" s="46"/>
      <c r="HZZ602" s="48"/>
      <c r="IAA602" s="53"/>
      <c r="IAH602" s="15"/>
      <c r="IAI602" s="50"/>
      <c r="IAJ602" s="50"/>
      <c r="IAK602" s="46"/>
      <c r="IAL602" s="47"/>
      <c r="IAM602" s="46"/>
      <c r="IAN602" s="48"/>
      <c r="IAO602" s="53"/>
      <c r="IAV602" s="15"/>
      <c r="IAW602" s="50"/>
      <c r="IAX602" s="50"/>
      <c r="IAY602" s="46"/>
      <c r="IAZ602" s="47"/>
      <c r="IBA602" s="46"/>
      <c r="IBB602" s="48"/>
      <c r="IBC602" s="53"/>
      <c r="IBJ602" s="15"/>
      <c r="IBK602" s="50"/>
      <c r="IBL602" s="50"/>
      <c r="IBM602" s="46"/>
      <c r="IBN602" s="47"/>
      <c r="IBO602" s="46"/>
      <c r="IBP602" s="48"/>
      <c r="IBQ602" s="53"/>
      <c r="IBX602" s="15"/>
      <c r="IBY602" s="50"/>
      <c r="IBZ602" s="50"/>
      <c r="ICA602" s="46"/>
      <c r="ICB602" s="47"/>
      <c r="ICC602" s="46"/>
      <c r="ICD602" s="48"/>
      <c r="ICE602" s="53"/>
      <c r="ICL602" s="15"/>
      <c r="ICM602" s="50"/>
      <c r="ICN602" s="50"/>
      <c r="ICO602" s="46"/>
      <c r="ICP602" s="47"/>
      <c r="ICQ602" s="46"/>
      <c r="ICR602" s="48"/>
      <c r="ICS602" s="53"/>
      <c r="ICZ602" s="15"/>
      <c r="IDA602" s="50"/>
      <c r="IDB602" s="50"/>
      <c r="IDC602" s="46"/>
      <c r="IDD602" s="47"/>
      <c r="IDE602" s="46"/>
      <c r="IDF602" s="48"/>
      <c r="IDG602" s="53"/>
      <c r="IDN602" s="15"/>
      <c r="IDO602" s="50"/>
      <c r="IDP602" s="50"/>
      <c r="IDQ602" s="46"/>
      <c r="IDR602" s="47"/>
      <c r="IDS602" s="46"/>
      <c r="IDT602" s="48"/>
      <c r="IDU602" s="53"/>
      <c r="IEB602" s="15"/>
      <c r="IEC602" s="50"/>
      <c r="IED602" s="50"/>
      <c r="IEE602" s="46"/>
      <c r="IEF602" s="47"/>
      <c r="IEG602" s="46"/>
      <c r="IEH602" s="48"/>
      <c r="IEI602" s="53"/>
      <c r="IEP602" s="15"/>
      <c r="IEQ602" s="50"/>
      <c r="IER602" s="50"/>
      <c r="IES602" s="46"/>
      <c r="IET602" s="47"/>
      <c r="IEU602" s="46"/>
      <c r="IEV602" s="48"/>
      <c r="IEW602" s="53"/>
      <c r="IFD602" s="15"/>
      <c r="IFE602" s="50"/>
      <c r="IFF602" s="50"/>
      <c r="IFG602" s="46"/>
      <c r="IFH602" s="47"/>
      <c r="IFI602" s="46"/>
      <c r="IFJ602" s="48"/>
      <c r="IFK602" s="53"/>
      <c r="IFR602" s="15"/>
      <c r="IFS602" s="50"/>
      <c r="IFT602" s="50"/>
      <c r="IFU602" s="46"/>
      <c r="IFV602" s="47"/>
      <c r="IFW602" s="46"/>
      <c r="IFX602" s="48"/>
      <c r="IFY602" s="53"/>
      <c r="IGF602" s="15"/>
      <c r="IGG602" s="50"/>
      <c r="IGH602" s="50"/>
      <c r="IGI602" s="46"/>
      <c r="IGJ602" s="47"/>
      <c r="IGK602" s="46"/>
      <c r="IGL602" s="48"/>
      <c r="IGM602" s="53"/>
      <c r="IGT602" s="15"/>
      <c r="IGU602" s="50"/>
      <c r="IGV602" s="50"/>
      <c r="IGW602" s="46"/>
      <c r="IGX602" s="47"/>
      <c r="IGY602" s="46"/>
      <c r="IGZ602" s="48"/>
      <c r="IHA602" s="53"/>
      <c r="IHH602" s="15"/>
      <c r="IHI602" s="50"/>
      <c r="IHJ602" s="50"/>
      <c r="IHK602" s="46"/>
      <c r="IHL602" s="47"/>
      <c r="IHM602" s="46"/>
      <c r="IHN602" s="48"/>
      <c r="IHO602" s="53"/>
      <c r="IHV602" s="15"/>
      <c r="IHW602" s="50"/>
      <c r="IHX602" s="50"/>
      <c r="IHY602" s="46"/>
      <c r="IHZ602" s="47"/>
      <c r="IIA602" s="46"/>
      <c r="IIB602" s="48"/>
      <c r="IIC602" s="53"/>
      <c r="IIJ602" s="15"/>
      <c r="IIK602" s="50"/>
      <c r="IIL602" s="50"/>
      <c r="IIM602" s="46"/>
      <c r="IIN602" s="47"/>
      <c r="IIO602" s="46"/>
      <c r="IIP602" s="48"/>
      <c r="IIQ602" s="53"/>
      <c r="IIX602" s="15"/>
      <c r="IIY602" s="50"/>
      <c r="IIZ602" s="50"/>
      <c r="IJA602" s="46"/>
      <c r="IJB602" s="47"/>
      <c r="IJC602" s="46"/>
      <c r="IJD602" s="48"/>
      <c r="IJE602" s="53"/>
      <c r="IJL602" s="15"/>
      <c r="IJM602" s="50"/>
      <c r="IJN602" s="50"/>
      <c r="IJO602" s="46"/>
      <c r="IJP602" s="47"/>
      <c r="IJQ602" s="46"/>
      <c r="IJR602" s="48"/>
      <c r="IJS602" s="53"/>
      <c r="IJZ602" s="15"/>
      <c r="IKA602" s="50"/>
      <c r="IKB602" s="50"/>
      <c r="IKC602" s="46"/>
      <c r="IKD602" s="47"/>
      <c r="IKE602" s="46"/>
      <c r="IKF602" s="48"/>
      <c r="IKG602" s="53"/>
      <c r="IKN602" s="15"/>
      <c r="IKO602" s="50"/>
      <c r="IKP602" s="50"/>
      <c r="IKQ602" s="46"/>
      <c r="IKR602" s="47"/>
      <c r="IKS602" s="46"/>
      <c r="IKT602" s="48"/>
      <c r="IKU602" s="53"/>
      <c r="ILB602" s="15"/>
      <c r="ILC602" s="50"/>
      <c r="ILD602" s="50"/>
      <c r="ILE602" s="46"/>
      <c r="ILF602" s="47"/>
      <c r="ILG602" s="46"/>
      <c r="ILH602" s="48"/>
      <c r="ILI602" s="53"/>
      <c r="ILP602" s="15"/>
      <c r="ILQ602" s="50"/>
      <c r="ILR602" s="50"/>
      <c r="ILS602" s="46"/>
      <c r="ILT602" s="47"/>
      <c r="ILU602" s="46"/>
      <c r="ILV602" s="48"/>
      <c r="ILW602" s="53"/>
      <c r="IMD602" s="15"/>
      <c r="IME602" s="50"/>
      <c r="IMF602" s="50"/>
      <c r="IMG602" s="46"/>
      <c r="IMH602" s="47"/>
      <c r="IMI602" s="46"/>
      <c r="IMJ602" s="48"/>
      <c r="IMK602" s="53"/>
      <c r="IMR602" s="15"/>
      <c r="IMS602" s="50"/>
      <c r="IMT602" s="50"/>
      <c r="IMU602" s="46"/>
      <c r="IMV602" s="47"/>
      <c r="IMW602" s="46"/>
      <c r="IMX602" s="48"/>
      <c r="IMY602" s="53"/>
      <c r="INF602" s="15"/>
      <c r="ING602" s="50"/>
      <c r="INH602" s="50"/>
      <c r="INI602" s="46"/>
      <c r="INJ602" s="47"/>
      <c r="INK602" s="46"/>
      <c r="INL602" s="48"/>
      <c r="INM602" s="53"/>
      <c r="INT602" s="15"/>
      <c r="INU602" s="50"/>
      <c r="INV602" s="50"/>
      <c r="INW602" s="46"/>
      <c r="INX602" s="47"/>
      <c r="INY602" s="46"/>
      <c r="INZ602" s="48"/>
      <c r="IOA602" s="53"/>
      <c r="IOH602" s="15"/>
      <c r="IOI602" s="50"/>
      <c r="IOJ602" s="50"/>
      <c r="IOK602" s="46"/>
      <c r="IOL602" s="47"/>
      <c r="IOM602" s="46"/>
      <c r="ION602" s="48"/>
      <c r="IOO602" s="53"/>
      <c r="IOV602" s="15"/>
      <c r="IOW602" s="50"/>
      <c r="IOX602" s="50"/>
      <c r="IOY602" s="46"/>
      <c r="IOZ602" s="47"/>
      <c r="IPA602" s="46"/>
      <c r="IPB602" s="48"/>
      <c r="IPC602" s="53"/>
      <c r="IPJ602" s="15"/>
      <c r="IPK602" s="50"/>
      <c r="IPL602" s="50"/>
      <c r="IPM602" s="46"/>
      <c r="IPN602" s="47"/>
      <c r="IPO602" s="46"/>
      <c r="IPP602" s="48"/>
      <c r="IPQ602" s="53"/>
      <c r="IPX602" s="15"/>
      <c r="IPY602" s="50"/>
      <c r="IPZ602" s="50"/>
      <c r="IQA602" s="46"/>
      <c r="IQB602" s="47"/>
      <c r="IQC602" s="46"/>
      <c r="IQD602" s="48"/>
      <c r="IQE602" s="53"/>
      <c r="IQL602" s="15"/>
      <c r="IQM602" s="50"/>
      <c r="IQN602" s="50"/>
      <c r="IQO602" s="46"/>
      <c r="IQP602" s="47"/>
      <c r="IQQ602" s="46"/>
      <c r="IQR602" s="48"/>
      <c r="IQS602" s="53"/>
      <c r="IQZ602" s="15"/>
      <c r="IRA602" s="50"/>
      <c r="IRB602" s="50"/>
      <c r="IRC602" s="46"/>
      <c r="IRD602" s="47"/>
      <c r="IRE602" s="46"/>
      <c r="IRF602" s="48"/>
      <c r="IRG602" s="53"/>
      <c r="IRN602" s="15"/>
      <c r="IRO602" s="50"/>
      <c r="IRP602" s="50"/>
      <c r="IRQ602" s="46"/>
      <c r="IRR602" s="47"/>
      <c r="IRS602" s="46"/>
      <c r="IRT602" s="48"/>
      <c r="IRU602" s="53"/>
      <c r="ISB602" s="15"/>
      <c r="ISC602" s="50"/>
      <c r="ISD602" s="50"/>
      <c r="ISE602" s="46"/>
      <c r="ISF602" s="47"/>
      <c r="ISG602" s="46"/>
      <c r="ISH602" s="48"/>
      <c r="ISI602" s="53"/>
      <c r="ISP602" s="15"/>
      <c r="ISQ602" s="50"/>
      <c r="ISR602" s="50"/>
      <c r="ISS602" s="46"/>
      <c r="IST602" s="47"/>
      <c r="ISU602" s="46"/>
      <c r="ISV602" s="48"/>
      <c r="ISW602" s="53"/>
      <c r="ITD602" s="15"/>
      <c r="ITE602" s="50"/>
      <c r="ITF602" s="50"/>
      <c r="ITG602" s="46"/>
      <c r="ITH602" s="47"/>
      <c r="ITI602" s="46"/>
      <c r="ITJ602" s="48"/>
      <c r="ITK602" s="53"/>
      <c r="ITR602" s="15"/>
      <c r="ITS602" s="50"/>
      <c r="ITT602" s="50"/>
      <c r="ITU602" s="46"/>
      <c r="ITV602" s="47"/>
      <c r="ITW602" s="46"/>
      <c r="ITX602" s="48"/>
      <c r="ITY602" s="53"/>
      <c r="IUF602" s="15"/>
      <c r="IUG602" s="50"/>
      <c r="IUH602" s="50"/>
      <c r="IUI602" s="46"/>
      <c r="IUJ602" s="47"/>
      <c r="IUK602" s="46"/>
      <c r="IUL602" s="48"/>
      <c r="IUM602" s="53"/>
      <c r="IUT602" s="15"/>
      <c r="IUU602" s="50"/>
      <c r="IUV602" s="50"/>
      <c r="IUW602" s="46"/>
      <c r="IUX602" s="47"/>
      <c r="IUY602" s="46"/>
      <c r="IUZ602" s="48"/>
      <c r="IVA602" s="53"/>
      <c r="IVH602" s="15"/>
      <c r="IVI602" s="50"/>
      <c r="IVJ602" s="50"/>
      <c r="IVK602" s="46"/>
      <c r="IVL602" s="47"/>
      <c r="IVM602" s="46"/>
      <c r="IVN602" s="48"/>
      <c r="IVO602" s="53"/>
      <c r="IVV602" s="15"/>
      <c r="IVW602" s="50"/>
      <c r="IVX602" s="50"/>
      <c r="IVY602" s="46"/>
      <c r="IVZ602" s="47"/>
      <c r="IWA602" s="46"/>
      <c r="IWB602" s="48"/>
      <c r="IWC602" s="53"/>
      <c r="IWJ602" s="15"/>
      <c r="IWK602" s="50"/>
      <c r="IWL602" s="50"/>
      <c r="IWM602" s="46"/>
      <c r="IWN602" s="47"/>
      <c r="IWO602" s="46"/>
      <c r="IWP602" s="48"/>
      <c r="IWQ602" s="53"/>
      <c r="IWX602" s="15"/>
      <c r="IWY602" s="50"/>
      <c r="IWZ602" s="50"/>
      <c r="IXA602" s="46"/>
      <c r="IXB602" s="47"/>
      <c r="IXC602" s="46"/>
      <c r="IXD602" s="48"/>
      <c r="IXE602" s="53"/>
      <c r="IXL602" s="15"/>
      <c r="IXM602" s="50"/>
      <c r="IXN602" s="50"/>
      <c r="IXO602" s="46"/>
      <c r="IXP602" s="47"/>
      <c r="IXQ602" s="46"/>
      <c r="IXR602" s="48"/>
      <c r="IXS602" s="53"/>
      <c r="IXZ602" s="15"/>
      <c r="IYA602" s="50"/>
      <c r="IYB602" s="50"/>
      <c r="IYC602" s="46"/>
      <c r="IYD602" s="47"/>
      <c r="IYE602" s="46"/>
      <c r="IYF602" s="48"/>
      <c r="IYG602" s="53"/>
      <c r="IYN602" s="15"/>
      <c r="IYO602" s="50"/>
      <c r="IYP602" s="50"/>
      <c r="IYQ602" s="46"/>
      <c r="IYR602" s="47"/>
      <c r="IYS602" s="46"/>
      <c r="IYT602" s="48"/>
      <c r="IYU602" s="53"/>
      <c r="IZB602" s="15"/>
      <c r="IZC602" s="50"/>
      <c r="IZD602" s="50"/>
      <c r="IZE602" s="46"/>
      <c r="IZF602" s="47"/>
      <c r="IZG602" s="46"/>
      <c r="IZH602" s="48"/>
      <c r="IZI602" s="53"/>
      <c r="IZP602" s="15"/>
      <c r="IZQ602" s="50"/>
      <c r="IZR602" s="50"/>
      <c r="IZS602" s="46"/>
      <c r="IZT602" s="47"/>
      <c r="IZU602" s="46"/>
      <c r="IZV602" s="48"/>
      <c r="IZW602" s="53"/>
      <c r="JAD602" s="15"/>
      <c r="JAE602" s="50"/>
      <c r="JAF602" s="50"/>
      <c r="JAG602" s="46"/>
      <c r="JAH602" s="47"/>
      <c r="JAI602" s="46"/>
      <c r="JAJ602" s="48"/>
      <c r="JAK602" s="53"/>
      <c r="JAR602" s="15"/>
      <c r="JAS602" s="50"/>
      <c r="JAT602" s="50"/>
      <c r="JAU602" s="46"/>
      <c r="JAV602" s="47"/>
      <c r="JAW602" s="46"/>
      <c r="JAX602" s="48"/>
      <c r="JAY602" s="53"/>
      <c r="JBF602" s="15"/>
      <c r="JBG602" s="50"/>
      <c r="JBH602" s="50"/>
      <c r="JBI602" s="46"/>
      <c r="JBJ602" s="47"/>
      <c r="JBK602" s="46"/>
      <c r="JBL602" s="48"/>
      <c r="JBM602" s="53"/>
      <c r="JBT602" s="15"/>
      <c r="JBU602" s="50"/>
      <c r="JBV602" s="50"/>
      <c r="JBW602" s="46"/>
      <c r="JBX602" s="47"/>
      <c r="JBY602" s="46"/>
      <c r="JBZ602" s="48"/>
      <c r="JCA602" s="53"/>
      <c r="JCH602" s="15"/>
      <c r="JCI602" s="50"/>
      <c r="JCJ602" s="50"/>
      <c r="JCK602" s="46"/>
      <c r="JCL602" s="47"/>
      <c r="JCM602" s="46"/>
      <c r="JCN602" s="48"/>
      <c r="JCO602" s="53"/>
      <c r="JCV602" s="15"/>
      <c r="JCW602" s="50"/>
      <c r="JCX602" s="50"/>
      <c r="JCY602" s="46"/>
      <c r="JCZ602" s="47"/>
      <c r="JDA602" s="46"/>
      <c r="JDB602" s="48"/>
      <c r="JDC602" s="53"/>
      <c r="JDJ602" s="15"/>
      <c r="JDK602" s="50"/>
      <c r="JDL602" s="50"/>
      <c r="JDM602" s="46"/>
      <c r="JDN602" s="47"/>
      <c r="JDO602" s="46"/>
      <c r="JDP602" s="48"/>
      <c r="JDQ602" s="53"/>
      <c r="JDX602" s="15"/>
      <c r="JDY602" s="50"/>
      <c r="JDZ602" s="50"/>
      <c r="JEA602" s="46"/>
      <c r="JEB602" s="47"/>
      <c r="JEC602" s="46"/>
      <c r="JED602" s="48"/>
      <c r="JEE602" s="53"/>
      <c r="JEL602" s="15"/>
      <c r="JEM602" s="50"/>
      <c r="JEN602" s="50"/>
      <c r="JEO602" s="46"/>
      <c r="JEP602" s="47"/>
      <c r="JEQ602" s="46"/>
      <c r="JER602" s="48"/>
      <c r="JES602" s="53"/>
      <c r="JEZ602" s="15"/>
      <c r="JFA602" s="50"/>
      <c r="JFB602" s="50"/>
      <c r="JFC602" s="46"/>
      <c r="JFD602" s="47"/>
      <c r="JFE602" s="46"/>
      <c r="JFF602" s="48"/>
      <c r="JFG602" s="53"/>
      <c r="JFN602" s="15"/>
      <c r="JFO602" s="50"/>
      <c r="JFP602" s="50"/>
      <c r="JFQ602" s="46"/>
      <c r="JFR602" s="47"/>
      <c r="JFS602" s="46"/>
      <c r="JFT602" s="48"/>
      <c r="JFU602" s="53"/>
      <c r="JGB602" s="15"/>
      <c r="JGC602" s="50"/>
      <c r="JGD602" s="50"/>
      <c r="JGE602" s="46"/>
      <c r="JGF602" s="47"/>
      <c r="JGG602" s="46"/>
      <c r="JGH602" s="48"/>
      <c r="JGI602" s="53"/>
      <c r="JGP602" s="15"/>
      <c r="JGQ602" s="50"/>
      <c r="JGR602" s="50"/>
      <c r="JGS602" s="46"/>
      <c r="JGT602" s="47"/>
      <c r="JGU602" s="46"/>
      <c r="JGV602" s="48"/>
      <c r="JGW602" s="53"/>
      <c r="JHD602" s="15"/>
      <c r="JHE602" s="50"/>
      <c r="JHF602" s="50"/>
      <c r="JHG602" s="46"/>
      <c r="JHH602" s="47"/>
      <c r="JHI602" s="46"/>
      <c r="JHJ602" s="48"/>
      <c r="JHK602" s="53"/>
      <c r="JHR602" s="15"/>
      <c r="JHS602" s="50"/>
      <c r="JHT602" s="50"/>
      <c r="JHU602" s="46"/>
      <c r="JHV602" s="47"/>
      <c r="JHW602" s="46"/>
      <c r="JHX602" s="48"/>
      <c r="JHY602" s="53"/>
      <c r="JIF602" s="15"/>
      <c r="JIG602" s="50"/>
      <c r="JIH602" s="50"/>
      <c r="JII602" s="46"/>
      <c r="JIJ602" s="47"/>
      <c r="JIK602" s="46"/>
      <c r="JIL602" s="48"/>
      <c r="JIM602" s="53"/>
      <c r="JIT602" s="15"/>
      <c r="JIU602" s="50"/>
      <c r="JIV602" s="50"/>
      <c r="JIW602" s="46"/>
      <c r="JIX602" s="47"/>
      <c r="JIY602" s="46"/>
      <c r="JIZ602" s="48"/>
      <c r="JJA602" s="53"/>
      <c r="JJH602" s="15"/>
      <c r="JJI602" s="50"/>
      <c r="JJJ602" s="50"/>
      <c r="JJK602" s="46"/>
      <c r="JJL602" s="47"/>
      <c r="JJM602" s="46"/>
      <c r="JJN602" s="48"/>
      <c r="JJO602" s="53"/>
      <c r="JJV602" s="15"/>
      <c r="JJW602" s="50"/>
      <c r="JJX602" s="50"/>
      <c r="JJY602" s="46"/>
      <c r="JJZ602" s="47"/>
      <c r="JKA602" s="46"/>
      <c r="JKB602" s="48"/>
      <c r="JKC602" s="53"/>
      <c r="JKJ602" s="15"/>
      <c r="JKK602" s="50"/>
      <c r="JKL602" s="50"/>
      <c r="JKM602" s="46"/>
      <c r="JKN602" s="47"/>
      <c r="JKO602" s="46"/>
      <c r="JKP602" s="48"/>
      <c r="JKQ602" s="53"/>
      <c r="JKX602" s="15"/>
      <c r="JKY602" s="50"/>
      <c r="JKZ602" s="50"/>
      <c r="JLA602" s="46"/>
      <c r="JLB602" s="47"/>
      <c r="JLC602" s="46"/>
      <c r="JLD602" s="48"/>
      <c r="JLE602" s="53"/>
      <c r="JLL602" s="15"/>
      <c r="JLM602" s="50"/>
      <c r="JLN602" s="50"/>
      <c r="JLO602" s="46"/>
      <c r="JLP602" s="47"/>
      <c r="JLQ602" s="46"/>
      <c r="JLR602" s="48"/>
      <c r="JLS602" s="53"/>
      <c r="JLZ602" s="15"/>
      <c r="JMA602" s="50"/>
      <c r="JMB602" s="50"/>
      <c r="JMC602" s="46"/>
      <c r="JMD602" s="47"/>
      <c r="JME602" s="46"/>
      <c r="JMF602" s="48"/>
      <c r="JMG602" s="53"/>
      <c r="JMN602" s="15"/>
      <c r="JMO602" s="50"/>
      <c r="JMP602" s="50"/>
      <c r="JMQ602" s="46"/>
      <c r="JMR602" s="47"/>
      <c r="JMS602" s="46"/>
      <c r="JMT602" s="48"/>
      <c r="JMU602" s="53"/>
      <c r="JNB602" s="15"/>
      <c r="JNC602" s="50"/>
      <c r="JND602" s="50"/>
      <c r="JNE602" s="46"/>
      <c r="JNF602" s="47"/>
      <c r="JNG602" s="46"/>
      <c r="JNH602" s="48"/>
      <c r="JNI602" s="53"/>
      <c r="JNP602" s="15"/>
      <c r="JNQ602" s="50"/>
      <c r="JNR602" s="50"/>
      <c r="JNS602" s="46"/>
      <c r="JNT602" s="47"/>
      <c r="JNU602" s="46"/>
      <c r="JNV602" s="48"/>
      <c r="JNW602" s="53"/>
      <c r="JOD602" s="15"/>
      <c r="JOE602" s="50"/>
      <c r="JOF602" s="50"/>
      <c r="JOG602" s="46"/>
      <c r="JOH602" s="47"/>
      <c r="JOI602" s="46"/>
      <c r="JOJ602" s="48"/>
      <c r="JOK602" s="53"/>
      <c r="JOR602" s="15"/>
      <c r="JOS602" s="50"/>
      <c r="JOT602" s="50"/>
      <c r="JOU602" s="46"/>
      <c r="JOV602" s="47"/>
      <c r="JOW602" s="46"/>
      <c r="JOX602" s="48"/>
      <c r="JOY602" s="53"/>
      <c r="JPF602" s="15"/>
      <c r="JPG602" s="50"/>
      <c r="JPH602" s="50"/>
      <c r="JPI602" s="46"/>
      <c r="JPJ602" s="47"/>
      <c r="JPK602" s="46"/>
      <c r="JPL602" s="48"/>
      <c r="JPM602" s="53"/>
      <c r="JPT602" s="15"/>
      <c r="JPU602" s="50"/>
      <c r="JPV602" s="50"/>
      <c r="JPW602" s="46"/>
      <c r="JPX602" s="47"/>
      <c r="JPY602" s="46"/>
      <c r="JPZ602" s="48"/>
      <c r="JQA602" s="53"/>
      <c r="JQH602" s="15"/>
      <c r="JQI602" s="50"/>
      <c r="JQJ602" s="50"/>
      <c r="JQK602" s="46"/>
      <c r="JQL602" s="47"/>
      <c r="JQM602" s="46"/>
      <c r="JQN602" s="48"/>
      <c r="JQO602" s="53"/>
      <c r="JQV602" s="15"/>
      <c r="JQW602" s="50"/>
      <c r="JQX602" s="50"/>
      <c r="JQY602" s="46"/>
      <c r="JQZ602" s="47"/>
      <c r="JRA602" s="46"/>
      <c r="JRB602" s="48"/>
      <c r="JRC602" s="53"/>
      <c r="JRJ602" s="15"/>
      <c r="JRK602" s="50"/>
      <c r="JRL602" s="50"/>
      <c r="JRM602" s="46"/>
      <c r="JRN602" s="47"/>
      <c r="JRO602" s="46"/>
      <c r="JRP602" s="48"/>
      <c r="JRQ602" s="53"/>
      <c r="JRX602" s="15"/>
      <c r="JRY602" s="50"/>
      <c r="JRZ602" s="50"/>
      <c r="JSA602" s="46"/>
      <c r="JSB602" s="47"/>
      <c r="JSC602" s="46"/>
      <c r="JSD602" s="48"/>
      <c r="JSE602" s="53"/>
      <c r="JSL602" s="15"/>
      <c r="JSM602" s="50"/>
      <c r="JSN602" s="50"/>
      <c r="JSO602" s="46"/>
      <c r="JSP602" s="47"/>
      <c r="JSQ602" s="46"/>
      <c r="JSR602" s="48"/>
      <c r="JSS602" s="53"/>
      <c r="JSZ602" s="15"/>
      <c r="JTA602" s="50"/>
      <c r="JTB602" s="50"/>
      <c r="JTC602" s="46"/>
      <c r="JTD602" s="47"/>
      <c r="JTE602" s="46"/>
      <c r="JTF602" s="48"/>
      <c r="JTG602" s="53"/>
      <c r="JTN602" s="15"/>
      <c r="JTO602" s="50"/>
      <c r="JTP602" s="50"/>
      <c r="JTQ602" s="46"/>
      <c r="JTR602" s="47"/>
      <c r="JTS602" s="46"/>
      <c r="JTT602" s="48"/>
      <c r="JTU602" s="53"/>
      <c r="JUB602" s="15"/>
      <c r="JUC602" s="50"/>
      <c r="JUD602" s="50"/>
      <c r="JUE602" s="46"/>
      <c r="JUF602" s="47"/>
      <c r="JUG602" s="46"/>
      <c r="JUH602" s="48"/>
      <c r="JUI602" s="53"/>
      <c r="JUP602" s="15"/>
      <c r="JUQ602" s="50"/>
      <c r="JUR602" s="50"/>
      <c r="JUS602" s="46"/>
      <c r="JUT602" s="47"/>
      <c r="JUU602" s="46"/>
      <c r="JUV602" s="48"/>
      <c r="JUW602" s="53"/>
      <c r="JVD602" s="15"/>
      <c r="JVE602" s="50"/>
      <c r="JVF602" s="50"/>
      <c r="JVG602" s="46"/>
      <c r="JVH602" s="47"/>
      <c r="JVI602" s="46"/>
      <c r="JVJ602" s="48"/>
      <c r="JVK602" s="53"/>
      <c r="JVR602" s="15"/>
      <c r="JVS602" s="50"/>
      <c r="JVT602" s="50"/>
      <c r="JVU602" s="46"/>
      <c r="JVV602" s="47"/>
      <c r="JVW602" s="46"/>
      <c r="JVX602" s="48"/>
      <c r="JVY602" s="53"/>
      <c r="JWF602" s="15"/>
      <c r="JWG602" s="50"/>
      <c r="JWH602" s="50"/>
      <c r="JWI602" s="46"/>
      <c r="JWJ602" s="47"/>
      <c r="JWK602" s="46"/>
      <c r="JWL602" s="48"/>
      <c r="JWM602" s="53"/>
      <c r="JWT602" s="15"/>
      <c r="JWU602" s="50"/>
      <c r="JWV602" s="50"/>
      <c r="JWW602" s="46"/>
      <c r="JWX602" s="47"/>
      <c r="JWY602" s="46"/>
      <c r="JWZ602" s="48"/>
      <c r="JXA602" s="53"/>
      <c r="JXH602" s="15"/>
      <c r="JXI602" s="50"/>
      <c r="JXJ602" s="50"/>
      <c r="JXK602" s="46"/>
      <c r="JXL602" s="47"/>
      <c r="JXM602" s="46"/>
      <c r="JXN602" s="48"/>
      <c r="JXO602" s="53"/>
      <c r="JXV602" s="15"/>
      <c r="JXW602" s="50"/>
      <c r="JXX602" s="50"/>
      <c r="JXY602" s="46"/>
      <c r="JXZ602" s="47"/>
      <c r="JYA602" s="46"/>
      <c r="JYB602" s="48"/>
      <c r="JYC602" s="53"/>
      <c r="JYJ602" s="15"/>
      <c r="JYK602" s="50"/>
      <c r="JYL602" s="50"/>
      <c r="JYM602" s="46"/>
      <c r="JYN602" s="47"/>
      <c r="JYO602" s="46"/>
      <c r="JYP602" s="48"/>
      <c r="JYQ602" s="53"/>
      <c r="JYX602" s="15"/>
      <c r="JYY602" s="50"/>
      <c r="JYZ602" s="50"/>
      <c r="JZA602" s="46"/>
      <c r="JZB602" s="47"/>
      <c r="JZC602" s="46"/>
      <c r="JZD602" s="48"/>
      <c r="JZE602" s="53"/>
      <c r="JZL602" s="15"/>
      <c r="JZM602" s="50"/>
      <c r="JZN602" s="50"/>
      <c r="JZO602" s="46"/>
      <c r="JZP602" s="47"/>
      <c r="JZQ602" s="46"/>
      <c r="JZR602" s="48"/>
      <c r="JZS602" s="53"/>
      <c r="JZZ602" s="15"/>
      <c r="KAA602" s="50"/>
      <c r="KAB602" s="50"/>
      <c r="KAC602" s="46"/>
      <c r="KAD602" s="47"/>
      <c r="KAE602" s="46"/>
      <c r="KAF602" s="48"/>
      <c r="KAG602" s="53"/>
      <c r="KAN602" s="15"/>
      <c r="KAO602" s="50"/>
      <c r="KAP602" s="50"/>
      <c r="KAQ602" s="46"/>
      <c r="KAR602" s="47"/>
      <c r="KAS602" s="46"/>
      <c r="KAT602" s="48"/>
      <c r="KAU602" s="53"/>
      <c r="KBB602" s="15"/>
      <c r="KBC602" s="50"/>
      <c r="KBD602" s="50"/>
      <c r="KBE602" s="46"/>
      <c r="KBF602" s="47"/>
      <c r="KBG602" s="46"/>
      <c r="KBH602" s="48"/>
      <c r="KBI602" s="53"/>
      <c r="KBP602" s="15"/>
      <c r="KBQ602" s="50"/>
      <c r="KBR602" s="50"/>
      <c r="KBS602" s="46"/>
      <c r="KBT602" s="47"/>
      <c r="KBU602" s="46"/>
      <c r="KBV602" s="48"/>
      <c r="KBW602" s="53"/>
      <c r="KCD602" s="15"/>
      <c r="KCE602" s="50"/>
      <c r="KCF602" s="50"/>
      <c r="KCG602" s="46"/>
      <c r="KCH602" s="47"/>
      <c r="KCI602" s="46"/>
      <c r="KCJ602" s="48"/>
      <c r="KCK602" s="53"/>
      <c r="KCR602" s="15"/>
      <c r="KCS602" s="50"/>
      <c r="KCT602" s="50"/>
      <c r="KCU602" s="46"/>
      <c r="KCV602" s="47"/>
      <c r="KCW602" s="46"/>
      <c r="KCX602" s="48"/>
      <c r="KCY602" s="53"/>
      <c r="KDF602" s="15"/>
      <c r="KDG602" s="50"/>
      <c r="KDH602" s="50"/>
      <c r="KDI602" s="46"/>
      <c r="KDJ602" s="47"/>
      <c r="KDK602" s="46"/>
      <c r="KDL602" s="48"/>
      <c r="KDM602" s="53"/>
      <c r="KDT602" s="15"/>
      <c r="KDU602" s="50"/>
      <c r="KDV602" s="50"/>
      <c r="KDW602" s="46"/>
      <c r="KDX602" s="47"/>
      <c r="KDY602" s="46"/>
      <c r="KDZ602" s="48"/>
      <c r="KEA602" s="53"/>
      <c r="KEH602" s="15"/>
      <c r="KEI602" s="50"/>
      <c r="KEJ602" s="50"/>
      <c r="KEK602" s="46"/>
      <c r="KEL602" s="47"/>
      <c r="KEM602" s="46"/>
      <c r="KEN602" s="48"/>
      <c r="KEO602" s="53"/>
      <c r="KEV602" s="15"/>
      <c r="KEW602" s="50"/>
      <c r="KEX602" s="50"/>
      <c r="KEY602" s="46"/>
      <c r="KEZ602" s="47"/>
      <c r="KFA602" s="46"/>
      <c r="KFB602" s="48"/>
      <c r="KFC602" s="53"/>
      <c r="KFJ602" s="15"/>
      <c r="KFK602" s="50"/>
      <c r="KFL602" s="50"/>
      <c r="KFM602" s="46"/>
      <c r="KFN602" s="47"/>
      <c r="KFO602" s="46"/>
      <c r="KFP602" s="48"/>
      <c r="KFQ602" s="53"/>
      <c r="KFX602" s="15"/>
      <c r="KFY602" s="50"/>
      <c r="KFZ602" s="50"/>
      <c r="KGA602" s="46"/>
      <c r="KGB602" s="47"/>
      <c r="KGC602" s="46"/>
      <c r="KGD602" s="48"/>
      <c r="KGE602" s="53"/>
      <c r="KGL602" s="15"/>
      <c r="KGM602" s="50"/>
      <c r="KGN602" s="50"/>
      <c r="KGO602" s="46"/>
      <c r="KGP602" s="47"/>
      <c r="KGQ602" s="46"/>
      <c r="KGR602" s="48"/>
      <c r="KGS602" s="53"/>
      <c r="KGZ602" s="15"/>
      <c r="KHA602" s="50"/>
      <c r="KHB602" s="50"/>
      <c r="KHC602" s="46"/>
      <c r="KHD602" s="47"/>
      <c r="KHE602" s="46"/>
      <c r="KHF602" s="48"/>
      <c r="KHG602" s="53"/>
      <c r="KHN602" s="15"/>
      <c r="KHO602" s="50"/>
      <c r="KHP602" s="50"/>
      <c r="KHQ602" s="46"/>
      <c r="KHR602" s="47"/>
      <c r="KHS602" s="46"/>
      <c r="KHT602" s="48"/>
      <c r="KHU602" s="53"/>
      <c r="KIB602" s="15"/>
      <c r="KIC602" s="50"/>
      <c r="KID602" s="50"/>
      <c r="KIE602" s="46"/>
      <c r="KIF602" s="47"/>
      <c r="KIG602" s="46"/>
      <c r="KIH602" s="48"/>
      <c r="KII602" s="53"/>
      <c r="KIP602" s="15"/>
      <c r="KIQ602" s="50"/>
      <c r="KIR602" s="50"/>
      <c r="KIS602" s="46"/>
      <c r="KIT602" s="47"/>
      <c r="KIU602" s="46"/>
      <c r="KIV602" s="48"/>
      <c r="KIW602" s="53"/>
      <c r="KJD602" s="15"/>
      <c r="KJE602" s="50"/>
      <c r="KJF602" s="50"/>
      <c r="KJG602" s="46"/>
      <c r="KJH602" s="47"/>
      <c r="KJI602" s="46"/>
      <c r="KJJ602" s="48"/>
      <c r="KJK602" s="53"/>
      <c r="KJR602" s="15"/>
      <c r="KJS602" s="50"/>
      <c r="KJT602" s="50"/>
      <c r="KJU602" s="46"/>
      <c r="KJV602" s="47"/>
      <c r="KJW602" s="46"/>
      <c r="KJX602" s="48"/>
      <c r="KJY602" s="53"/>
      <c r="KKF602" s="15"/>
      <c r="KKG602" s="50"/>
      <c r="KKH602" s="50"/>
      <c r="KKI602" s="46"/>
      <c r="KKJ602" s="47"/>
      <c r="KKK602" s="46"/>
      <c r="KKL602" s="48"/>
      <c r="KKM602" s="53"/>
      <c r="KKT602" s="15"/>
      <c r="KKU602" s="50"/>
      <c r="KKV602" s="50"/>
      <c r="KKW602" s="46"/>
      <c r="KKX602" s="47"/>
      <c r="KKY602" s="46"/>
      <c r="KKZ602" s="48"/>
      <c r="KLA602" s="53"/>
      <c r="KLH602" s="15"/>
      <c r="KLI602" s="50"/>
      <c r="KLJ602" s="50"/>
      <c r="KLK602" s="46"/>
      <c r="KLL602" s="47"/>
      <c r="KLM602" s="46"/>
      <c r="KLN602" s="48"/>
      <c r="KLO602" s="53"/>
      <c r="KLV602" s="15"/>
      <c r="KLW602" s="50"/>
      <c r="KLX602" s="50"/>
      <c r="KLY602" s="46"/>
      <c r="KLZ602" s="47"/>
      <c r="KMA602" s="46"/>
      <c r="KMB602" s="48"/>
      <c r="KMC602" s="53"/>
      <c r="KMJ602" s="15"/>
      <c r="KMK602" s="50"/>
      <c r="KML602" s="50"/>
      <c r="KMM602" s="46"/>
      <c r="KMN602" s="47"/>
      <c r="KMO602" s="46"/>
      <c r="KMP602" s="48"/>
      <c r="KMQ602" s="53"/>
      <c r="KMX602" s="15"/>
      <c r="KMY602" s="50"/>
      <c r="KMZ602" s="50"/>
      <c r="KNA602" s="46"/>
      <c r="KNB602" s="47"/>
      <c r="KNC602" s="46"/>
      <c r="KND602" s="48"/>
      <c r="KNE602" s="53"/>
      <c r="KNL602" s="15"/>
      <c r="KNM602" s="50"/>
      <c r="KNN602" s="50"/>
      <c r="KNO602" s="46"/>
      <c r="KNP602" s="47"/>
      <c r="KNQ602" s="46"/>
      <c r="KNR602" s="48"/>
      <c r="KNS602" s="53"/>
      <c r="KNZ602" s="15"/>
      <c r="KOA602" s="50"/>
      <c r="KOB602" s="50"/>
      <c r="KOC602" s="46"/>
      <c r="KOD602" s="47"/>
      <c r="KOE602" s="46"/>
      <c r="KOF602" s="48"/>
      <c r="KOG602" s="53"/>
      <c r="KON602" s="15"/>
      <c r="KOO602" s="50"/>
      <c r="KOP602" s="50"/>
      <c r="KOQ602" s="46"/>
      <c r="KOR602" s="47"/>
      <c r="KOS602" s="46"/>
      <c r="KOT602" s="48"/>
      <c r="KOU602" s="53"/>
      <c r="KPB602" s="15"/>
      <c r="KPC602" s="50"/>
      <c r="KPD602" s="50"/>
      <c r="KPE602" s="46"/>
      <c r="KPF602" s="47"/>
      <c r="KPG602" s="46"/>
      <c r="KPH602" s="48"/>
      <c r="KPI602" s="53"/>
      <c r="KPP602" s="15"/>
      <c r="KPQ602" s="50"/>
      <c r="KPR602" s="50"/>
      <c r="KPS602" s="46"/>
      <c r="KPT602" s="47"/>
      <c r="KPU602" s="46"/>
      <c r="KPV602" s="48"/>
      <c r="KPW602" s="53"/>
      <c r="KQD602" s="15"/>
      <c r="KQE602" s="50"/>
      <c r="KQF602" s="50"/>
      <c r="KQG602" s="46"/>
      <c r="KQH602" s="47"/>
      <c r="KQI602" s="46"/>
      <c r="KQJ602" s="48"/>
      <c r="KQK602" s="53"/>
      <c r="KQR602" s="15"/>
      <c r="KQS602" s="50"/>
      <c r="KQT602" s="50"/>
      <c r="KQU602" s="46"/>
      <c r="KQV602" s="47"/>
      <c r="KQW602" s="46"/>
      <c r="KQX602" s="48"/>
      <c r="KQY602" s="53"/>
      <c r="KRF602" s="15"/>
      <c r="KRG602" s="50"/>
      <c r="KRH602" s="50"/>
      <c r="KRI602" s="46"/>
      <c r="KRJ602" s="47"/>
      <c r="KRK602" s="46"/>
      <c r="KRL602" s="48"/>
      <c r="KRM602" s="53"/>
      <c r="KRT602" s="15"/>
      <c r="KRU602" s="50"/>
      <c r="KRV602" s="50"/>
      <c r="KRW602" s="46"/>
      <c r="KRX602" s="47"/>
      <c r="KRY602" s="46"/>
      <c r="KRZ602" s="48"/>
      <c r="KSA602" s="53"/>
      <c r="KSH602" s="15"/>
      <c r="KSI602" s="50"/>
      <c r="KSJ602" s="50"/>
      <c r="KSK602" s="46"/>
      <c r="KSL602" s="47"/>
      <c r="KSM602" s="46"/>
      <c r="KSN602" s="48"/>
      <c r="KSO602" s="53"/>
      <c r="KSV602" s="15"/>
      <c r="KSW602" s="50"/>
      <c r="KSX602" s="50"/>
      <c r="KSY602" s="46"/>
      <c r="KSZ602" s="47"/>
      <c r="KTA602" s="46"/>
      <c r="KTB602" s="48"/>
      <c r="KTC602" s="53"/>
      <c r="KTJ602" s="15"/>
      <c r="KTK602" s="50"/>
      <c r="KTL602" s="50"/>
      <c r="KTM602" s="46"/>
      <c r="KTN602" s="47"/>
      <c r="KTO602" s="46"/>
      <c r="KTP602" s="48"/>
      <c r="KTQ602" s="53"/>
      <c r="KTX602" s="15"/>
      <c r="KTY602" s="50"/>
      <c r="KTZ602" s="50"/>
      <c r="KUA602" s="46"/>
      <c r="KUB602" s="47"/>
      <c r="KUC602" s="46"/>
      <c r="KUD602" s="48"/>
      <c r="KUE602" s="53"/>
      <c r="KUL602" s="15"/>
      <c r="KUM602" s="50"/>
      <c r="KUN602" s="50"/>
      <c r="KUO602" s="46"/>
      <c r="KUP602" s="47"/>
      <c r="KUQ602" s="46"/>
      <c r="KUR602" s="48"/>
      <c r="KUS602" s="53"/>
      <c r="KUZ602" s="15"/>
      <c r="KVA602" s="50"/>
      <c r="KVB602" s="50"/>
      <c r="KVC602" s="46"/>
      <c r="KVD602" s="47"/>
      <c r="KVE602" s="46"/>
      <c r="KVF602" s="48"/>
      <c r="KVG602" s="53"/>
      <c r="KVN602" s="15"/>
      <c r="KVO602" s="50"/>
      <c r="KVP602" s="50"/>
      <c r="KVQ602" s="46"/>
      <c r="KVR602" s="47"/>
      <c r="KVS602" s="46"/>
      <c r="KVT602" s="48"/>
      <c r="KVU602" s="53"/>
      <c r="KWB602" s="15"/>
      <c r="KWC602" s="50"/>
      <c r="KWD602" s="50"/>
      <c r="KWE602" s="46"/>
      <c r="KWF602" s="47"/>
      <c r="KWG602" s="46"/>
      <c r="KWH602" s="48"/>
      <c r="KWI602" s="53"/>
      <c r="KWP602" s="15"/>
      <c r="KWQ602" s="50"/>
      <c r="KWR602" s="50"/>
      <c r="KWS602" s="46"/>
      <c r="KWT602" s="47"/>
      <c r="KWU602" s="46"/>
      <c r="KWV602" s="48"/>
      <c r="KWW602" s="53"/>
      <c r="KXD602" s="15"/>
      <c r="KXE602" s="50"/>
      <c r="KXF602" s="50"/>
      <c r="KXG602" s="46"/>
      <c r="KXH602" s="47"/>
      <c r="KXI602" s="46"/>
      <c r="KXJ602" s="48"/>
      <c r="KXK602" s="53"/>
      <c r="KXR602" s="15"/>
      <c r="KXS602" s="50"/>
      <c r="KXT602" s="50"/>
      <c r="KXU602" s="46"/>
      <c r="KXV602" s="47"/>
      <c r="KXW602" s="46"/>
      <c r="KXX602" s="48"/>
      <c r="KXY602" s="53"/>
      <c r="KYF602" s="15"/>
      <c r="KYG602" s="50"/>
      <c r="KYH602" s="50"/>
      <c r="KYI602" s="46"/>
      <c r="KYJ602" s="47"/>
      <c r="KYK602" s="46"/>
      <c r="KYL602" s="48"/>
      <c r="KYM602" s="53"/>
      <c r="KYT602" s="15"/>
      <c r="KYU602" s="50"/>
      <c r="KYV602" s="50"/>
      <c r="KYW602" s="46"/>
      <c r="KYX602" s="47"/>
      <c r="KYY602" s="46"/>
      <c r="KYZ602" s="48"/>
      <c r="KZA602" s="53"/>
      <c r="KZH602" s="15"/>
      <c r="KZI602" s="50"/>
      <c r="KZJ602" s="50"/>
      <c r="KZK602" s="46"/>
      <c r="KZL602" s="47"/>
      <c r="KZM602" s="46"/>
      <c r="KZN602" s="48"/>
      <c r="KZO602" s="53"/>
      <c r="KZV602" s="15"/>
      <c r="KZW602" s="50"/>
      <c r="KZX602" s="50"/>
      <c r="KZY602" s="46"/>
      <c r="KZZ602" s="47"/>
      <c r="LAA602" s="46"/>
      <c r="LAB602" s="48"/>
      <c r="LAC602" s="53"/>
      <c r="LAJ602" s="15"/>
      <c r="LAK602" s="50"/>
      <c r="LAL602" s="50"/>
      <c r="LAM602" s="46"/>
      <c r="LAN602" s="47"/>
      <c r="LAO602" s="46"/>
      <c r="LAP602" s="48"/>
      <c r="LAQ602" s="53"/>
      <c r="LAX602" s="15"/>
      <c r="LAY602" s="50"/>
      <c r="LAZ602" s="50"/>
      <c r="LBA602" s="46"/>
      <c r="LBB602" s="47"/>
      <c r="LBC602" s="46"/>
      <c r="LBD602" s="48"/>
      <c r="LBE602" s="53"/>
      <c r="LBL602" s="15"/>
      <c r="LBM602" s="50"/>
      <c r="LBN602" s="50"/>
      <c r="LBO602" s="46"/>
      <c r="LBP602" s="47"/>
      <c r="LBQ602" s="46"/>
      <c r="LBR602" s="48"/>
      <c r="LBS602" s="53"/>
      <c r="LBZ602" s="15"/>
      <c r="LCA602" s="50"/>
      <c r="LCB602" s="50"/>
      <c r="LCC602" s="46"/>
      <c r="LCD602" s="47"/>
      <c r="LCE602" s="46"/>
      <c r="LCF602" s="48"/>
      <c r="LCG602" s="53"/>
      <c r="LCN602" s="15"/>
      <c r="LCO602" s="50"/>
      <c r="LCP602" s="50"/>
      <c r="LCQ602" s="46"/>
      <c r="LCR602" s="47"/>
      <c r="LCS602" s="46"/>
      <c r="LCT602" s="48"/>
      <c r="LCU602" s="53"/>
      <c r="LDB602" s="15"/>
      <c r="LDC602" s="50"/>
      <c r="LDD602" s="50"/>
      <c r="LDE602" s="46"/>
      <c r="LDF602" s="47"/>
      <c r="LDG602" s="46"/>
      <c r="LDH602" s="48"/>
      <c r="LDI602" s="53"/>
      <c r="LDP602" s="15"/>
      <c r="LDQ602" s="50"/>
      <c r="LDR602" s="50"/>
      <c r="LDS602" s="46"/>
      <c r="LDT602" s="47"/>
      <c r="LDU602" s="46"/>
      <c r="LDV602" s="48"/>
      <c r="LDW602" s="53"/>
      <c r="LED602" s="15"/>
      <c r="LEE602" s="50"/>
      <c r="LEF602" s="50"/>
      <c r="LEG602" s="46"/>
      <c r="LEH602" s="47"/>
      <c r="LEI602" s="46"/>
      <c r="LEJ602" s="48"/>
      <c r="LEK602" s="53"/>
      <c r="LER602" s="15"/>
      <c r="LES602" s="50"/>
      <c r="LET602" s="50"/>
      <c r="LEU602" s="46"/>
      <c r="LEV602" s="47"/>
      <c r="LEW602" s="46"/>
      <c r="LEX602" s="48"/>
      <c r="LEY602" s="53"/>
      <c r="LFF602" s="15"/>
      <c r="LFG602" s="50"/>
      <c r="LFH602" s="50"/>
      <c r="LFI602" s="46"/>
      <c r="LFJ602" s="47"/>
      <c r="LFK602" s="46"/>
      <c r="LFL602" s="48"/>
      <c r="LFM602" s="53"/>
      <c r="LFT602" s="15"/>
      <c r="LFU602" s="50"/>
      <c r="LFV602" s="50"/>
      <c r="LFW602" s="46"/>
      <c r="LFX602" s="47"/>
      <c r="LFY602" s="46"/>
      <c r="LFZ602" s="48"/>
      <c r="LGA602" s="53"/>
      <c r="LGH602" s="15"/>
      <c r="LGI602" s="50"/>
      <c r="LGJ602" s="50"/>
      <c r="LGK602" s="46"/>
      <c r="LGL602" s="47"/>
      <c r="LGM602" s="46"/>
      <c r="LGN602" s="48"/>
      <c r="LGO602" s="53"/>
      <c r="LGV602" s="15"/>
      <c r="LGW602" s="50"/>
      <c r="LGX602" s="50"/>
      <c r="LGY602" s="46"/>
      <c r="LGZ602" s="47"/>
      <c r="LHA602" s="46"/>
      <c r="LHB602" s="48"/>
      <c r="LHC602" s="53"/>
      <c r="LHJ602" s="15"/>
      <c r="LHK602" s="50"/>
      <c r="LHL602" s="50"/>
      <c r="LHM602" s="46"/>
      <c r="LHN602" s="47"/>
      <c r="LHO602" s="46"/>
      <c r="LHP602" s="48"/>
      <c r="LHQ602" s="53"/>
      <c r="LHX602" s="15"/>
      <c r="LHY602" s="50"/>
      <c r="LHZ602" s="50"/>
      <c r="LIA602" s="46"/>
      <c r="LIB602" s="47"/>
      <c r="LIC602" s="46"/>
      <c r="LID602" s="48"/>
      <c r="LIE602" s="53"/>
      <c r="LIL602" s="15"/>
      <c r="LIM602" s="50"/>
      <c r="LIN602" s="50"/>
      <c r="LIO602" s="46"/>
      <c r="LIP602" s="47"/>
      <c r="LIQ602" s="46"/>
      <c r="LIR602" s="48"/>
      <c r="LIS602" s="53"/>
      <c r="LIZ602" s="15"/>
      <c r="LJA602" s="50"/>
      <c r="LJB602" s="50"/>
      <c r="LJC602" s="46"/>
      <c r="LJD602" s="47"/>
      <c r="LJE602" s="46"/>
      <c r="LJF602" s="48"/>
      <c r="LJG602" s="53"/>
      <c r="LJN602" s="15"/>
      <c r="LJO602" s="50"/>
      <c r="LJP602" s="50"/>
      <c r="LJQ602" s="46"/>
      <c r="LJR602" s="47"/>
      <c r="LJS602" s="46"/>
      <c r="LJT602" s="48"/>
      <c r="LJU602" s="53"/>
      <c r="LKB602" s="15"/>
      <c r="LKC602" s="50"/>
      <c r="LKD602" s="50"/>
      <c r="LKE602" s="46"/>
      <c r="LKF602" s="47"/>
      <c r="LKG602" s="46"/>
      <c r="LKH602" s="48"/>
      <c r="LKI602" s="53"/>
      <c r="LKP602" s="15"/>
      <c r="LKQ602" s="50"/>
      <c r="LKR602" s="50"/>
      <c r="LKS602" s="46"/>
      <c r="LKT602" s="47"/>
      <c r="LKU602" s="46"/>
      <c r="LKV602" s="48"/>
      <c r="LKW602" s="53"/>
      <c r="LLD602" s="15"/>
      <c r="LLE602" s="50"/>
      <c r="LLF602" s="50"/>
      <c r="LLG602" s="46"/>
      <c r="LLH602" s="47"/>
      <c r="LLI602" s="46"/>
      <c r="LLJ602" s="48"/>
      <c r="LLK602" s="53"/>
      <c r="LLR602" s="15"/>
      <c r="LLS602" s="50"/>
      <c r="LLT602" s="50"/>
      <c r="LLU602" s="46"/>
      <c r="LLV602" s="47"/>
      <c r="LLW602" s="46"/>
      <c r="LLX602" s="48"/>
      <c r="LLY602" s="53"/>
      <c r="LMF602" s="15"/>
      <c r="LMG602" s="50"/>
      <c r="LMH602" s="50"/>
      <c r="LMI602" s="46"/>
      <c r="LMJ602" s="47"/>
      <c r="LMK602" s="46"/>
      <c r="LML602" s="48"/>
      <c r="LMM602" s="53"/>
      <c r="LMT602" s="15"/>
      <c r="LMU602" s="50"/>
      <c r="LMV602" s="50"/>
      <c r="LMW602" s="46"/>
      <c r="LMX602" s="47"/>
      <c r="LMY602" s="46"/>
      <c r="LMZ602" s="48"/>
      <c r="LNA602" s="53"/>
      <c r="LNH602" s="15"/>
      <c r="LNI602" s="50"/>
      <c r="LNJ602" s="50"/>
      <c r="LNK602" s="46"/>
      <c r="LNL602" s="47"/>
      <c r="LNM602" s="46"/>
      <c r="LNN602" s="48"/>
      <c r="LNO602" s="53"/>
      <c r="LNV602" s="15"/>
      <c r="LNW602" s="50"/>
      <c r="LNX602" s="50"/>
      <c r="LNY602" s="46"/>
      <c r="LNZ602" s="47"/>
      <c r="LOA602" s="46"/>
      <c r="LOB602" s="48"/>
      <c r="LOC602" s="53"/>
      <c r="LOJ602" s="15"/>
      <c r="LOK602" s="50"/>
      <c r="LOL602" s="50"/>
      <c r="LOM602" s="46"/>
      <c r="LON602" s="47"/>
      <c r="LOO602" s="46"/>
      <c r="LOP602" s="48"/>
      <c r="LOQ602" s="53"/>
      <c r="LOX602" s="15"/>
      <c r="LOY602" s="50"/>
      <c r="LOZ602" s="50"/>
      <c r="LPA602" s="46"/>
      <c r="LPB602" s="47"/>
      <c r="LPC602" s="46"/>
      <c r="LPD602" s="48"/>
      <c r="LPE602" s="53"/>
      <c r="LPL602" s="15"/>
      <c r="LPM602" s="50"/>
      <c r="LPN602" s="50"/>
      <c r="LPO602" s="46"/>
      <c r="LPP602" s="47"/>
      <c r="LPQ602" s="46"/>
      <c r="LPR602" s="48"/>
      <c r="LPS602" s="53"/>
      <c r="LPZ602" s="15"/>
      <c r="LQA602" s="50"/>
      <c r="LQB602" s="50"/>
      <c r="LQC602" s="46"/>
      <c r="LQD602" s="47"/>
      <c r="LQE602" s="46"/>
      <c r="LQF602" s="48"/>
      <c r="LQG602" s="53"/>
      <c r="LQN602" s="15"/>
      <c r="LQO602" s="50"/>
      <c r="LQP602" s="50"/>
      <c r="LQQ602" s="46"/>
      <c r="LQR602" s="47"/>
      <c r="LQS602" s="46"/>
      <c r="LQT602" s="48"/>
      <c r="LQU602" s="53"/>
      <c r="LRB602" s="15"/>
      <c r="LRC602" s="50"/>
      <c r="LRD602" s="50"/>
      <c r="LRE602" s="46"/>
      <c r="LRF602" s="47"/>
      <c r="LRG602" s="46"/>
      <c r="LRH602" s="48"/>
      <c r="LRI602" s="53"/>
      <c r="LRP602" s="15"/>
      <c r="LRQ602" s="50"/>
      <c r="LRR602" s="50"/>
      <c r="LRS602" s="46"/>
      <c r="LRT602" s="47"/>
      <c r="LRU602" s="46"/>
      <c r="LRV602" s="48"/>
      <c r="LRW602" s="53"/>
      <c r="LSD602" s="15"/>
      <c r="LSE602" s="50"/>
      <c r="LSF602" s="50"/>
      <c r="LSG602" s="46"/>
      <c r="LSH602" s="47"/>
      <c r="LSI602" s="46"/>
      <c r="LSJ602" s="48"/>
      <c r="LSK602" s="53"/>
      <c r="LSR602" s="15"/>
      <c r="LSS602" s="50"/>
      <c r="LST602" s="50"/>
      <c r="LSU602" s="46"/>
      <c r="LSV602" s="47"/>
      <c r="LSW602" s="46"/>
      <c r="LSX602" s="48"/>
      <c r="LSY602" s="53"/>
      <c r="LTF602" s="15"/>
      <c r="LTG602" s="50"/>
      <c r="LTH602" s="50"/>
      <c r="LTI602" s="46"/>
      <c r="LTJ602" s="47"/>
      <c r="LTK602" s="46"/>
      <c r="LTL602" s="48"/>
      <c r="LTM602" s="53"/>
      <c r="LTT602" s="15"/>
      <c r="LTU602" s="50"/>
      <c r="LTV602" s="50"/>
      <c r="LTW602" s="46"/>
      <c r="LTX602" s="47"/>
      <c r="LTY602" s="46"/>
      <c r="LTZ602" s="48"/>
      <c r="LUA602" s="53"/>
      <c r="LUH602" s="15"/>
      <c r="LUI602" s="50"/>
      <c r="LUJ602" s="50"/>
      <c r="LUK602" s="46"/>
      <c r="LUL602" s="47"/>
      <c r="LUM602" s="46"/>
      <c r="LUN602" s="48"/>
      <c r="LUO602" s="53"/>
      <c r="LUV602" s="15"/>
      <c r="LUW602" s="50"/>
      <c r="LUX602" s="50"/>
      <c r="LUY602" s="46"/>
      <c r="LUZ602" s="47"/>
      <c r="LVA602" s="46"/>
      <c r="LVB602" s="48"/>
      <c r="LVC602" s="53"/>
      <c r="LVJ602" s="15"/>
      <c r="LVK602" s="50"/>
      <c r="LVL602" s="50"/>
      <c r="LVM602" s="46"/>
      <c r="LVN602" s="47"/>
      <c r="LVO602" s="46"/>
      <c r="LVP602" s="48"/>
      <c r="LVQ602" s="53"/>
      <c r="LVX602" s="15"/>
      <c r="LVY602" s="50"/>
      <c r="LVZ602" s="50"/>
      <c r="LWA602" s="46"/>
      <c r="LWB602" s="47"/>
      <c r="LWC602" s="46"/>
      <c r="LWD602" s="48"/>
      <c r="LWE602" s="53"/>
      <c r="LWL602" s="15"/>
      <c r="LWM602" s="50"/>
      <c r="LWN602" s="50"/>
      <c r="LWO602" s="46"/>
      <c r="LWP602" s="47"/>
      <c r="LWQ602" s="46"/>
      <c r="LWR602" s="48"/>
      <c r="LWS602" s="53"/>
      <c r="LWZ602" s="15"/>
      <c r="LXA602" s="50"/>
      <c r="LXB602" s="50"/>
      <c r="LXC602" s="46"/>
      <c r="LXD602" s="47"/>
      <c r="LXE602" s="46"/>
      <c r="LXF602" s="48"/>
      <c r="LXG602" s="53"/>
      <c r="LXN602" s="15"/>
      <c r="LXO602" s="50"/>
      <c r="LXP602" s="50"/>
      <c r="LXQ602" s="46"/>
      <c r="LXR602" s="47"/>
      <c r="LXS602" s="46"/>
      <c r="LXT602" s="48"/>
      <c r="LXU602" s="53"/>
      <c r="LYB602" s="15"/>
      <c r="LYC602" s="50"/>
      <c r="LYD602" s="50"/>
      <c r="LYE602" s="46"/>
      <c r="LYF602" s="47"/>
      <c r="LYG602" s="46"/>
      <c r="LYH602" s="48"/>
      <c r="LYI602" s="53"/>
      <c r="LYP602" s="15"/>
      <c r="LYQ602" s="50"/>
      <c r="LYR602" s="50"/>
      <c r="LYS602" s="46"/>
      <c r="LYT602" s="47"/>
      <c r="LYU602" s="46"/>
      <c r="LYV602" s="48"/>
      <c r="LYW602" s="53"/>
      <c r="LZD602" s="15"/>
      <c r="LZE602" s="50"/>
      <c r="LZF602" s="50"/>
      <c r="LZG602" s="46"/>
      <c r="LZH602" s="47"/>
      <c r="LZI602" s="46"/>
      <c r="LZJ602" s="48"/>
      <c r="LZK602" s="53"/>
      <c r="LZR602" s="15"/>
      <c r="LZS602" s="50"/>
      <c r="LZT602" s="50"/>
      <c r="LZU602" s="46"/>
      <c r="LZV602" s="47"/>
      <c r="LZW602" s="46"/>
      <c r="LZX602" s="48"/>
      <c r="LZY602" s="53"/>
      <c r="MAF602" s="15"/>
      <c r="MAG602" s="50"/>
      <c r="MAH602" s="50"/>
      <c r="MAI602" s="46"/>
      <c r="MAJ602" s="47"/>
      <c r="MAK602" s="46"/>
      <c r="MAL602" s="48"/>
      <c r="MAM602" s="53"/>
      <c r="MAT602" s="15"/>
      <c r="MAU602" s="50"/>
      <c r="MAV602" s="50"/>
      <c r="MAW602" s="46"/>
      <c r="MAX602" s="47"/>
      <c r="MAY602" s="46"/>
      <c r="MAZ602" s="48"/>
      <c r="MBA602" s="53"/>
      <c r="MBH602" s="15"/>
      <c r="MBI602" s="50"/>
      <c r="MBJ602" s="50"/>
      <c r="MBK602" s="46"/>
      <c r="MBL602" s="47"/>
      <c r="MBM602" s="46"/>
      <c r="MBN602" s="48"/>
      <c r="MBO602" s="53"/>
      <c r="MBV602" s="15"/>
      <c r="MBW602" s="50"/>
      <c r="MBX602" s="50"/>
      <c r="MBY602" s="46"/>
      <c r="MBZ602" s="47"/>
      <c r="MCA602" s="46"/>
      <c r="MCB602" s="48"/>
      <c r="MCC602" s="53"/>
      <c r="MCJ602" s="15"/>
      <c r="MCK602" s="50"/>
      <c r="MCL602" s="50"/>
      <c r="MCM602" s="46"/>
      <c r="MCN602" s="47"/>
      <c r="MCO602" s="46"/>
      <c r="MCP602" s="48"/>
      <c r="MCQ602" s="53"/>
      <c r="MCX602" s="15"/>
      <c r="MCY602" s="50"/>
      <c r="MCZ602" s="50"/>
      <c r="MDA602" s="46"/>
      <c r="MDB602" s="47"/>
      <c r="MDC602" s="46"/>
      <c r="MDD602" s="48"/>
      <c r="MDE602" s="53"/>
      <c r="MDL602" s="15"/>
      <c r="MDM602" s="50"/>
      <c r="MDN602" s="50"/>
      <c r="MDO602" s="46"/>
      <c r="MDP602" s="47"/>
      <c r="MDQ602" s="46"/>
      <c r="MDR602" s="48"/>
      <c r="MDS602" s="53"/>
      <c r="MDZ602" s="15"/>
      <c r="MEA602" s="50"/>
      <c r="MEB602" s="50"/>
      <c r="MEC602" s="46"/>
      <c r="MED602" s="47"/>
      <c r="MEE602" s="46"/>
      <c r="MEF602" s="48"/>
      <c r="MEG602" s="53"/>
      <c r="MEN602" s="15"/>
      <c r="MEO602" s="50"/>
      <c r="MEP602" s="50"/>
      <c r="MEQ602" s="46"/>
      <c r="MER602" s="47"/>
      <c r="MES602" s="46"/>
      <c r="MET602" s="48"/>
      <c r="MEU602" s="53"/>
      <c r="MFB602" s="15"/>
      <c r="MFC602" s="50"/>
      <c r="MFD602" s="50"/>
      <c r="MFE602" s="46"/>
      <c r="MFF602" s="47"/>
      <c r="MFG602" s="46"/>
      <c r="MFH602" s="48"/>
      <c r="MFI602" s="53"/>
      <c r="MFP602" s="15"/>
      <c r="MFQ602" s="50"/>
      <c r="MFR602" s="50"/>
      <c r="MFS602" s="46"/>
      <c r="MFT602" s="47"/>
      <c r="MFU602" s="46"/>
      <c r="MFV602" s="48"/>
      <c r="MFW602" s="53"/>
      <c r="MGD602" s="15"/>
      <c r="MGE602" s="50"/>
      <c r="MGF602" s="50"/>
      <c r="MGG602" s="46"/>
      <c r="MGH602" s="47"/>
      <c r="MGI602" s="46"/>
      <c r="MGJ602" s="48"/>
      <c r="MGK602" s="53"/>
      <c r="MGR602" s="15"/>
      <c r="MGS602" s="50"/>
      <c r="MGT602" s="50"/>
      <c r="MGU602" s="46"/>
      <c r="MGV602" s="47"/>
      <c r="MGW602" s="46"/>
      <c r="MGX602" s="48"/>
      <c r="MGY602" s="53"/>
      <c r="MHF602" s="15"/>
      <c r="MHG602" s="50"/>
      <c r="MHH602" s="50"/>
      <c r="MHI602" s="46"/>
      <c r="MHJ602" s="47"/>
      <c r="MHK602" s="46"/>
      <c r="MHL602" s="48"/>
      <c r="MHM602" s="53"/>
      <c r="MHT602" s="15"/>
      <c r="MHU602" s="50"/>
      <c r="MHV602" s="50"/>
      <c r="MHW602" s="46"/>
      <c r="MHX602" s="47"/>
      <c r="MHY602" s="46"/>
      <c r="MHZ602" s="48"/>
      <c r="MIA602" s="53"/>
      <c r="MIH602" s="15"/>
      <c r="MII602" s="50"/>
      <c r="MIJ602" s="50"/>
      <c r="MIK602" s="46"/>
      <c r="MIL602" s="47"/>
      <c r="MIM602" s="46"/>
      <c r="MIN602" s="48"/>
      <c r="MIO602" s="53"/>
      <c r="MIV602" s="15"/>
      <c r="MIW602" s="50"/>
      <c r="MIX602" s="50"/>
      <c r="MIY602" s="46"/>
      <c r="MIZ602" s="47"/>
      <c r="MJA602" s="46"/>
      <c r="MJB602" s="48"/>
      <c r="MJC602" s="53"/>
      <c r="MJJ602" s="15"/>
      <c r="MJK602" s="50"/>
      <c r="MJL602" s="50"/>
      <c r="MJM602" s="46"/>
      <c r="MJN602" s="47"/>
      <c r="MJO602" s="46"/>
      <c r="MJP602" s="48"/>
      <c r="MJQ602" s="53"/>
      <c r="MJX602" s="15"/>
      <c r="MJY602" s="50"/>
      <c r="MJZ602" s="50"/>
      <c r="MKA602" s="46"/>
      <c r="MKB602" s="47"/>
      <c r="MKC602" s="46"/>
      <c r="MKD602" s="48"/>
      <c r="MKE602" s="53"/>
      <c r="MKL602" s="15"/>
      <c r="MKM602" s="50"/>
      <c r="MKN602" s="50"/>
      <c r="MKO602" s="46"/>
      <c r="MKP602" s="47"/>
      <c r="MKQ602" s="46"/>
      <c r="MKR602" s="48"/>
      <c r="MKS602" s="53"/>
      <c r="MKZ602" s="15"/>
      <c r="MLA602" s="50"/>
      <c r="MLB602" s="50"/>
      <c r="MLC602" s="46"/>
      <c r="MLD602" s="47"/>
      <c r="MLE602" s="46"/>
      <c r="MLF602" s="48"/>
      <c r="MLG602" s="53"/>
      <c r="MLN602" s="15"/>
      <c r="MLO602" s="50"/>
      <c r="MLP602" s="50"/>
      <c r="MLQ602" s="46"/>
      <c r="MLR602" s="47"/>
      <c r="MLS602" s="46"/>
      <c r="MLT602" s="48"/>
      <c r="MLU602" s="53"/>
      <c r="MMB602" s="15"/>
      <c r="MMC602" s="50"/>
      <c r="MMD602" s="50"/>
      <c r="MME602" s="46"/>
      <c r="MMF602" s="47"/>
      <c r="MMG602" s="46"/>
      <c r="MMH602" s="48"/>
      <c r="MMI602" s="53"/>
      <c r="MMP602" s="15"/>
      <c r="MMQ602" s="50"/>
      <c r="MMR602" s="50"/>
      <c r="MMS602" s="46"/>
      <c r="MMT602" s="47"/>
      <c r="MMU602" s="46"/>
      <c r="MMV602" s="48"/>
      <c r="MMW602" s="53"/>
      <c r="MND602" s="15"/>
      <c r="MNE602" s="50"/>
      <c r="MNF602" s="50"/>
      <c r="MNG602" s="46"/>
      <c r="MNH602" s="47"/>
      <c r="MNI602" s="46"/>
      <c r="MNJ602" s="48"/>
      <c r="MNK602" s="53"/>
      <c r="MNR602" s="15"/>
      <c r="MNS602" s="50"/>
      <c r="MNT602" s="50"/>
      <c r="MNU602" s="46"/>
      <c r="MNV602" s="47"/>
      <c r="MNW602" s="46"/>
      <c r="MNX602" s="48"/>
      <c r="MNY602" s="53"/>
      <c r="MOF602" s="15"/>
      <c r="MOG602" s="50"/>
      <c r="MOH602" s="50"/>
      <c r="MOI602" s="46"/>
      <c r="MOJ602" s="47"/>
      <c r="MOK602" s="46"/>
      <c r="MOL602" s="48"/>
      <c r="MOM602" s="53"/>
      <c r="MOT602" s="15"/>
      <c r="MOU602" s="50"/>
      <c r="MOV602" s="50"/>
      <c r="MOW602" s="46"/>
      <c r="MOX602" s="47"/>
      <c r="MOY602" s="46"/>
      <c r="MOZ602" s="48"/>
      <c r="MPA602" s="53"/>
      <c r="MPH602" s="15"/>
      <c r="MPI602" s="50"/>
      <c r="MPJ602" s="50"/>
      <c r="MPK602" s="46"/>
      <c r="MPL602" s="47"/>
      <c r="MPM602" s="46"/>
      <c r="MPN602" s="48"/>
      <c r="MPO602" s="53"/>
      <c r="MPV602" s="15"/>
      <c r="MPW602" s="50"/>
      <c r="MPX602" s="50"/>
      <c r="MPY602" s="46"/>
      <c r="MPZ602" s="47"/>
      <c r="MQA602" s="46"/>
      <c r="MQB602" s="48"/>
      <c r="MQC602" s="53"/>
      <c r="MQJ602" s="15"/>
      <c r="MQK602" s="50"/>
      <c r="MQL602" s="50"/>
      <c r="MQM602" s="46"/>
      <c r="MQN602" s="47"/>
      <c r="MQO602" s="46"/>
      <c r="MQP602" s="48"/>
      <c r="MQQ602" s="53"/>
      <c r="MQX602" s="15"/>
      <c r="MQY602" s="50"/>
      <c r="MQZ602" s="50"/>
      <c r="MRA602" s="46"/>
      <c r="MRB602" s="47"/>
      <c r="MRC602" s="46"/>
      <c r="MRD602" s="48"/>
      <c r="MRE602" s="53"/>
      <c r="MRL602" s="15"/>
      <c r="MRM602" s="50"/>
      <c r="MRN602" s="50"/>
      <c r="MRO602" s="46"/>
      <c r="MRP602" s="47"/>
      <c r="MRQ602" s="46"/>
      <c r="MRR602" s="48"/>
      <c r="MRS602" s="53"/>
      <c r="MRZ602" s="15"/>
      <c r="MSA602" s="50"/>
      <c r="MSB602" s="50"/>
      <c r="MSC602" s="46"/>
      <c r="MSD602" s="47"/>
      <c r="MSE602" s="46"/>
      <c r="MSF602" s="48"/>
      <c r="MSG602" s="53"/>
      <c r="MSN602" s="15"/>
      <c r="MSO602" s="50"/>
      <c r="MSP602" s="50"/>
      <c r="MSQ602" s="46"/>
      <c r="MSR602" s="47"/>
      <c r="MSS602" s="46"/>
      <c r="MST602" s="48"/>
      <c r="MSU602" s="53"/>
      <c r="MTB602" s="15"/>
      <c r="MTC602" s="50"/>
      <c r="MTD602" s="50"/>
      <c r="MTE602" s="46"/>
      <c r="MTF602" s="47"/>
      <c r="MTG602" s="46"/>
      <c r="MTH602" s="48"/>
      <c r="MTI602" s="53"/>
      <c r="MTP602" s="15"/>
      <c r="MTQ602" s="50"/>
      <c r="MTR602" s="50"/>
      <c r="MTS602" s="46"/>
      <c r="MTT602" s="47"/>
      <c r="MTU602" s="46"/>
      <c r="MTV602" s="48"/>
      <c r="MTW602" s="53"/>
      <c r="MUD602" s="15"/>
      <c r="MUE602" s="50"/>
      <c r="MUF602" s="50"/>
      <c r="MUG602" s="46"/>
      <c r="MUH602" s="47"/>
      <c r="MUI602" s="46"/>
      <c r="MUJ602" s="48"/>
      <c r="MUK602" s="53"/>
      <c r="MUR602" s="15"/>
      <c r="MUS602" s="50"/>
      <c r="MUT602" s="50"/>
      <c r="MUU602" s="46"/>
      <c r="MUV602" s="47"/>
      <c r="MUW602" s="46"/>
      <c r="MUX602" s="48"/>
      <c r="MUY602" s="53"/>
      <c r="MVF602" s="15"/>
      <c r="MVG602" s="50"/>
      <c r="MVH602" s="50"/>
      <c r="MVI602" s="46"/>
      <c r="MVJ602" s="47"/>
      <c r="MVK602" s="46"/>
      <c r="MVL602" s="48"/>
      <c r="MVM602" s="53"/>
      <c r="MVT602" s="15"/>
      <c r="MVU602" s="50"/>
      <c r="MVV602" s="50"/>
      <c r="MVW602" s="46"/>
      <c r="MVX602" s="47"/>
      <c r="MVY602" s="46"/>
      <c r="MVZ602" s="48"/>
      <c r="MWA602" s="53"/>
      <c r="MWH602" s="15"/>
      <c r="MWI602" s="50"/>
      <c r="MWJ602" s="50"/>
      <c r="MWK602" s="46"/>
      <c r="MWL602" s="47"/>
      <c r="MWM602" s="46"/>
      <c r="MWN602" s="48"/>
      <c r="MWO602" s="53"/>
      <c r="MWV602" s="15"/>
      <c r="MWW602" s="50"/>
      <c r="MWX602" s="50"/>
      <c r="MWY602" s="46"/>
      <c r="MWZ602" s="47"/>
      <c r="MXA602" s="46"/>
      <c r="MXB602" s="48"/>
      <c r="MXC602" s="53"/>
      <c r="MXJ602" s="15"/>
      <c r="MXK602" s="50"/>
      <c r="MXL602" s="50"/>
      <c r="MXM602" s="46"/>
      <c r="MXN602" s="47"/>
      <c r="MXO602" s="46"/>
      <c r="MXP602" s="48"/>
      <c r="MXQ602" s="53"/>
      <c r="MXX602" s="15"/>
      <c r="MXY602" s="50"/>
      <c r="MXZ602" s="50"/>
      <c r="MYA602" s="46"/>
      <c r="MYB602" s="47"/>
      <c r="MYC602" s="46"/>
      <c r="MYD602" s="48"/>
      <c r="MYE602" s="53"/>
      <c r="MYL602" s="15"/>
      <c r="MYM602" s="50"/>
      <c r="MYN602" s="50"/>
      <c r="MYO602" s="46"/>
      <c r="MYP602" s="47"/>
      <c r="MYQ602" s="46"/>
      <c r="MYR602" s="48"/>
      <c r="MYS602" s="53"/>
      <c r="MYZ602" s="15"/>
      <c r="MZA602" s="50"/>
      <c r="MZB602" s="50"/>
      <c r="MZC602" s="46"/>
      <c r="MZD602" s="47"/>
      <c r="MZE602" s="46"/>
      <c r="MZF602" s="48"/>
      <c r="MZG602" s="53"/>
      <c r="MZN602" s="15"/>
      <c r="MZO602" s="50"/>
      <c r="MZP602" s="50"/>
      <c r="MZQ602" s="46"/>
      <c r="MZR602" s="47"/>
      <c r="MZS602" s="46"/>
      <c r="MZT602" s="48"/>
      <c r="MZU602" s="53"/>
      <c r="NAB602" s="15"/>
      <c r="NAC602" s="50"/>
      <c r="NAD602" s="50"/>
      <c r="NAE602" s="46"/>
      <c r="NAF602" s="47"/>
      <c r="NAG602" s="46"/>
      <c r="NAH602" s="48"/>
      <c r="NAI602" s="53"/>
      <c r="NAP602" s="15"/>
      <c r="NAQ602" s="50"/>
      <c r="NAR602" s="50"/>
      <c r="NAS602" s="46"/>
      <c r="NAT602" s="47"/>
      <c r="NAU602" s="46"/>
      <c r="NAV602" s="48"/>
      <c r="NAW602" s="53"/>
      <c r="NBD602" s="15"/>
      <c r="NBE602" s="50"/>
      <c r="NBF602" s="50"/>
      <c r="NBG602" s="46"/>
      <c r="NBH602" s="47"/>
      <c r="NBI602" s="46"/>
      <c r="NBJ602" s="48"/>
      <c r="NBK602" s="53"/>
      <c r="NBR602" s="15"/>
      <c r="NBS602" s="50"/>
      <c r="NBT602" s="50"/>
      <c r="NBU602" s="46"/>
      <c r="NBV602" s="47"/>
      <c r="NBW602" s="46"/>
      <c r="NBX602" s="48"/>
      <c r="NBY602" s="53"/>
      <c r="NCF602" s="15"/>
      <c r="NCG602" s="50"/>
      <c r="NCH602" s="50"/>
      <c r="NCI602" s="46"/>
      <c r="NCJ602" s="47"/>
      <c r="NCK602" s="46"/>
      <c r="NCL602" s="48"/>
      <c r="NCM602" s="53"/>
      <c r="NCT602" s="15"/>
      <c r="NCU602" s="50"/>
      <c r="NCV602" s="50"/>
      <c r="NCW602" s="46"/>
      <c r="NCX602" s="47"/>
      <c r="NCY602" s="46"/>
      <c r="NCZ602" s="48"/>
      <c r="NDA602" s="53"/>
      <c r="NDH602" s="15"/>
      <c r="NDI602" s="50"/>
      <c r="NDJ602" s="50"/>
      <c r="NDK602" s="46"/>
      <c r="NDL602" s="47"/>
      <c r="NDM602" s="46"/>
      <c r="NDN602" s="48"/>
      <c r="NDO602" s="53"/>
      <c r="NDV602" s="15"/>
      <c r="NDW602" s="50"/>
      <c r="NDX602" s="50"/>
      <c r="NDY602" s="46"/>
      <c r="NDZ602" s="47"/>
      <c r="NEA602" s="46"/>
      <c r="NEB602" s="48"/>
      <c r="NEC602" s="53"/>
      <c r="NEJ602" s="15"/>
      <c r="NEK602" s="50"/>
      <c r="NEL602" s="50"/>
      <c r="NEM602" s="46"/>
      <c r="NEN602" s="47"/>
      <c r="NEO602" s="46"/>
      <c r="NEP602" s="48"/>
      <c r="NEQ602" s="53"/>
      <c r="NEX602" s="15"/>
      <c r="NEY602" s="50"/>
      <c r="NEZ602" s="50"/>
      <c r="NFA602" s="46"/>
      <c r="NFB602" s="47"/>
      <c r="NFC602" s="46"/>
      <c r="NFD602" s="48"/>
      <c r="NFE602" s="53"/>
      <c r="NFL602" s="15"/>
      <c r="NFM602" s="50"/>
      <c r="NFN602" s="50"/>
      <c r="NFO602" s="46"/>
      <c r="NFP602" s="47"/>
      <c r="NFQ602" s="46"/>
      <c r="NFR602" s="48"/>
      <c r="NFS602" s="53"/>
      <c r="NFZ602" s="15"/>
      <c r="NGA602" s="50"/>
      <c r="NGB602" s="50"/>
      <c r="NGC602" s="46"/>
      <c r="NGD602" s="47"/>
      <c r="NGE602" s="46"/>
      <c r="NGF602" s="48"/>
      <c r="NGG602" s="53"/>
      <c r="NGN602" s="15"/>
      <c r="NGO602" s="50"/>
      <c r="NGP602" s="50"/>
      <c r="NGQ602" s="46"/>
      <c r="NGR602" s="47"/>
      <c r="NGS602" s="46"/>
      <c r="NGT602" s="48"/>
      <c r="NGU602" s="53"/>
      <c r="NHB602" s="15"/>
      <c r="NHC602" s="50"/>
      <c r="NHD602" s="50"/>
      <c r="NHE602" s="46"/>
      <c r="NHF602" s="47"/>
      <c r="NHG602" s="46"/>
      <c r="NHH602" s="48"/>
      <c r="NHI602" s="53"/>
      <c r="NHP602" s="15"/>
      <c r="NHQ602" s="50"/>
      <c r="NHR602" s="50"/>
      <c r="NHS602" s="46"/>
      <c r="NHT602" s="47"/>
      <c r="NHU602" s="46"/>
      <c r="NHV602" s="48"/>
      <c r="NHW602" s="53"/>
      <c r="NID602" s="15"/>
      <c r="NIE602" s="50"/>
      <c r="NIF602" s="50"/>
      <c r="NIG602" s="46"/>
      <c r="NIH602" s="47"/>
      <c r="NII602" s="46"/>
      <c r="NIJ602" s="48"/>
      <c r="NIK602" s="53"/>
      <c r="NIR602" s="15"/>
      <c r="NIS602" s="50"/>
      <c r="NIT602" s="50"/>
      <c r="NIU602" s="46"/>
      <c r="NIV602" s="47"/>
      <c r="NIW602" s="46"/>
      <c r="NIX602" s="48"/>
      <c r="NIY602" s="53"/>
      <c r="NJF602" s="15"/>
      <c r="NJG602" s="50"/>
      <c r="NJH602" s="50"/>
      <c r="NJI602" s="46"/>
      <c r="NJJ602" s="47"/>
      <c r="NJK602" s="46"/>
      <c r="NJL602" s="48"/>
      <c r="NJM602" s="53"/>
      <c r="NJT602" s="15"/>
      <c r="NJU602" s="50"/>
      <c r="NJV602" s="50"/>
      <c r="NJW602" s="46"/>
      <c r="NJX602" s="47"/>
      <c r="NJY602" s="46"/>
      <c r="NJZ602" s="48"/>
      <c r="NKA602" s="53"/>
      <c r="NKH602" s="15"/>
      <c r="NKI602" s="50"/>
      <c r="NKJ602" s="50"/>
      <c r="NKK602" s="46"/>
      <c r="NKL602" s="47"/>
      <c r="NKM602" s="46"/>
      <c r="NKN602" s="48"/>
      <c r="NKO602" s="53"/>
      <c r="NKV602" s="15"/>
      <c r="NKW602" s="50"/>
      <c r="NKX602" s="50"/>
      <c r="NKY602" s="46"/>
      <c r="NKZ602" s="47"/>
      <c r="NLA602" s="46"/>
      <c r="NLB602" s="48"/>
      <c r="NLC602" s="53"/>
      <c r="NLJ602" s="15"/>
      <c r="NLK602" s="50"/>
      <c r="NLL602" s="50"/>
      <c r="NLM602" s="46"/>
      <c r="NLN602" s="47"/>
      <c r="NLO602" s="46"/>
      <c r="NLP602" s="48"/>
      <c r="NLQ602" s="53"/>
      <c r="NLX602" s="15"/>
      <c r="NLY602" s="50"/>
      <c r="NLZ602" s="50"/>
      <c r="NMA602" s="46"/>
      <c r="NMB602" s="47"/>
      <c r="NMC602" s="46"/>
      <c r="NMD602" s="48"/>
      <c r="NME602" s="53"/>
      <c r="NML602" s="15"/>
      <c r="NMM602" s="50"/>
      <c r="NMN602" s="50"/>
      <c r="NMO602" s="46"/>
      <c r="NMP602" s="47"/>
      <c r="NMQ602" s="46"/>
      <c r="NMR602" s="48"/>
      <c r="NMS602" s="53"/>
      <c r="NMZ602" s="15"/>
      <c r="NNA602" s="50"/>
      <c r="NNB602" s="50"/>
      <c r="NNC602" s="46"/>
      <c r="NND602" s="47"/>
      <c r="NNE602" s="46"/>
      <c r="NNF602" s="48"/>
      <c r="NNG602" s="53"/>
      <c r="NNN602" s="15"/>
      <c r="NNO602" s="50"/>
      <c r="NNP602" s="50"/>
      <c r="NNQ602" s="46"/>
      <c r="NNR602" s="47"/>
      <c r="NNS602" s="46"/>
      <c r="NNT602" s="48"/>
      <c r="NNU602" s="53"/>
      <c r="NOB602" s="15"/>
      <c r="NOC602" s="50"/>
      <c r="NOD602" s="50"/>
      <c r="NOE602" s="46"/>
      <c r="NOF602" s="47"/>
      <c r="NOG602" s="46"/>
      <c r="NOH602" s="48"/>
      <c r="NOI602" s="53"/>
      <c r="NOP602" s="15"/>
      <c r="NOQ602" s="50"/>
      <c r="NOR602" s="50"/>
      <c r="NOS602" s="46"/>
      <c r="NOT602" s="47"/>
      <c r="NOU602" s="46"/>
      <c r="NOV602" s="48"/>
      <c r="NOW602" s="53"/>
      <c r="NPD602" s="15"/>
      <c r="NPE602" s="50"/>
      <c r="NPF602" s="50"/>
      <c r="NPG602" s="46"/>
      <c r="NPH602" s="47"/>
      <c r="NPI602" s="46"/>
      <c r="NPJ602" s="48"/>
      <c r="NPK602" s="53"/>
      <c r="NPR602" s="15"/>
      <c r="NPS602" s="50"/>
      <c r="NPT602" s="50"/>
      <c r="NPU602" s="46"/>
      <c r="NPV602" s="47"/>
      <c r="NPW602" s="46"/>
      <c r="NPX602" s="48"/>
      <c r="NPY602" s="53"/>
      <c r="NQF602" s="15"/>
      <c r="NQG602" s="50"/>
      <c r="NQH602" s="50"/>
      <c r="NQI602" s="46"/>
      <c r="NQJ602" s="47"/>
      <c r="NQK602" s="46"/>
      <c r="NQL602" s="48"/>
      <c r="NQM602" s="53"/>
      <c r="NQT602" s="15"/>
      <c r="NQU602" s="50"/>
      <c r="NQV602" s="50"/>
      <c r="NQW602" s="46"/>
      <c r="NQX602" s="47"/>
      <c r="NQY602" s="46"/>
      <c r="NQZ602" s="48"/>
      <c r="NRA602" s="53"/>
      <c r="NRH602" s="15"/>
      <c r="NRI602" s="50"/>
      <c r="NRJ602" s="50"/>
      <c r="NRK602" s="46"/>
      <c r="NRL602" s="47"/>
      <c r="NRM602" s="46"/>
      <c r="NRN602" s="48"/>
      <c r="NRO602" s="53"/>
      <c r="NRV602" s="15"/>
      <c r="NRW602" s="50"/>
      <c r="NRX602" s="50"/>
      <c r="NRY602" s="46"/>
      <c r="NRZ602" s="47"/>
      <c r="NSA602" s="46"/>
      <c r="NSB602" s="48"/>
      <c r="NSC602" s="53"/>
      <c r="NSJ602" s="15"/>
      <c r="NSK602" s="50"/>
      <c r="NSL602" s="50"/>
      <c r="NSM602" s="46"/>
      <c r="NSN602" s="47"/>
      <c r="NSO602" s="46"/>
      <c r="NSP602" s="48"/>
      <c r="NSQ602" s="53"/>
      <c r="NSX602" s="15"/>
      <c r="NSY602" s="50"/>
      <c r="NSZ602" s="50"/>
      <c r="NTA602" s="46"/>
      <c r="NTB602" s="47"/>
      <c r="NTC602" s="46"/>
      <c r="NTD602" s="48"/>
      <c r="NTE602" s="53"/>
      <c r="NTL602" s="15"/>
      <c r="NTM602" s="50"/>
      <c r="NTN602" s="50"/>
      <c r="NTO602" s="46"/>
      <c r="NTP602" s="47"/>
      <c r="NTQ602" s="46"/>
      <c r="NTR602" s="48"/>
      <c r="NTS602" s="53"/>
      <c r="NTZ602" s="15"/>
      <c r="NUA602" s="50"/>
      <c r="NUB602" s="50"/>
      <c r="NUC602" s="46"/>
      <c r="NUD602" s="47"/>
      <c r="NUE602" s="46"/>
      <c r="NUF602" s="48"/>
      <c r="NUG602" s="53"/>
      <c r="NUN602" s="15"/>
      <c r="NUO602" s="50"/>
      <c r="NUP602" s="50"/>
      <c r="NUQ602" s="46"/>
      <c r="NUR602" s="47"/>
      <c r="NUS602" s="46"/>
      <c r="NUT602" s="48"/>
      <c r="NUU602" s="53"/>
      <c r="NVB602" s="15"/>
      <c r="NVC602" s="50"/>
      <c r="NVD602" s="50"/>
      <c r="NVE602" s="46"/>
      <c r="NVF602" s="47"/>
      <c r="NVG602" s="46"/>
      <c r="NVH602" s="48"/>
      <c r="NVI602" s="53"/>
      <c r="NVP602" s="15"/>
      <c r="NVQ602" s="50"/>
      <c r="NVR602" s="50"/>
      <c r="NVS602" s="46"/>
      <c r="NVT602" s="47"/>
      <c r="NVU602" s="46"/>
      <c r="NVV602" s="48"/>
      <c r="NVW602" s="53"/>
      <c r="NWD602" s="15"/>
      <c r="NWE602" s="50"/>
      <c r="NWF602" s="50"/>
      <c r="NWG602" s="46"/>
      <c r="NWH602" s="47"/>
      <c r="NWI602" s="46"/>
      <c r="NWJ602" s="48"/>
      <c r="NWK602" s="53"/>
      <c r="NWR602" s="15"/>
      <c r="NWS602" s="50"/>
      <c r="NWT602" s="50"/>
      <c r="NWU602" s="46"/>
      <c r="NWV602" s="47"/>
      <c r="NWW602" s="46"/>
      <c r="NWX602" s="48"/>
      <c r="NWY602" s="53"/>
      <c r="NXF602" s="15"/>
      <c r="NXG602" s="50"/>
      <c r="NXH602" s="50"/>
      <c r="NXI602" s="46"/>
      <c r="NXJ602" s="47"/>
      <c r="NXK602" s="46"/>
      <c r="NXL602" s="48"/>
      <c r="NXM602" s="53"/>
      <c r="NXT602" s="15"/>
      <c r="NXU602" s="50"/>
      <c r="NXV602" s="50"/>
      <c r="NXW602" s="46"/>
      <c r="NXX602" s="47"/>
      <c r="NXY602" s="46"/>
      <c r="NXZ602" s="48"/>
      <c r="NYA602" s="53"/>
      <c r="NYH602" s="15"/>
      <c r="NYI602" s="50"/>
      <c r="NYJ602" s="50"/>
      <c r="NYK602" s="46"/>
      <c r="NYL602" s="47"/>
      <c r="NYM602" s="46"/>
      <c r="NYN602" s="48"/>
      <c r="NYO602" s="53"/>
      <c r="NYV602" s="15"/>
      <c r="NYW602" s="50"/>
      <c r="NYX602" s="50"/>
      <c r="NYY602" s="46"/>
      <c r="NYZ602" s="47"/>
      <c r="NZA602" s="46"/>
      <c r="NZB602" s="48"/>
      <c r="NZC602" s="53"/>
      <c r="NZJ602" s="15"/>
      <c r="NZK602" s="50"/>
      <c r="NZL602" s="50"/>
      <c r="NZM602" s="46"/>
      <c r="NZN602" s="47"/>
      <c r="NZO602" s="46"/>
      <c r="NZP602" s="48"/>
      <c r="NZQ602" s="53"/>
      <c r="NZX602" s="15"/>
      <c r="NZY602" s="50"/>
      <c r="NZZ602" s="50"/>
      <c r="OAA602" s="46"/>
      <c r="OAB602" s="47"/>
      <c r="OAC602" s="46"/>
      <c r="OAD602" s="48"/>
      <c r="OAE602" s="53"/>
      <c r="OAL602" s="15"/>
      <c r="OAM602" s="50"/>
      <c r="OAN602" s="50"/>
      <c r="OAO602" s="46"/>
      <c r="OAP602" s="47"/>
      <c r="OAQ602" s="46"/>
      <c r="OAR602" s="48"/>
      <c r="OAS602" s="53"/>
      <c r="OAZ602" s="15"/>
      <c r="OBA602" s="50"/>
      <c r="OBB602" s="50"/>
      <c r="OBC602" s="46"/>
      <c r="OBD602" s="47"/>
      <c r="OBE602" s="46"/>
      <c r="OBF602" s="48"/>
      <c r="OBG602" s="53"/>
      <c r="OBN602" s="15"/>
      <c r="OBO602" s="50"/>
      <c r="OBP602" s="50"/>
      <c r="OBQ602" s="46"/>
      <c r="OBR602" s="47"/>
      <c r="OBS602" s="46"/>
      <c r="OBT602" s="48"/>
      <c r="OBU602" s="53"/>
      <c r="OCB602" s="15"/>
      <c r="OCC602" s="50"/>
      <c r="OCD602" s="50"/>
      <c r="OCE602" s="46"/>
      <c r="OCF602" s="47"/>
      <c r="OCG602" s="46"/>
      <c r="OCH602" s="48"/>
      <c r="OCI602" s="53"/>
      <c r="OCP602" s="15"/>
      <c r="OCQ602" s="50"/>
      <c r="OCR602" s="50"/>
      <c r="OCS602" s="46"/>
      <c r="OCT602" s="47"/>
      <c r="OCU602" s="46"/>
      <c r="OCV602" s="48"/>
      <c r="OCW602" s="53"/>
      <c r="ODD602" s="15"/>
      <c r="ODE602" s="50"/>
      <c r="ODF602" s="50"/>
      <c r="ODG602" s="46"/>
      <c r="ODH602" s="47"/>
      <c r="ODI602" s="46"/>
      <c r="ODJ602" s="48"/>
      <c r="ODK602" s="53"/>
      <c r="ODR602" s="15"/>
      <c r="ODS602" s="50"/>
      <c r="ODT602" s="50"/>
      <c r="ODU602" s="46"/>
      <c r="ODV602" s="47"/>
      <c r="ODW602" s="46"/>
      <c r="ODX602" s="48"/>
      <c r="ODY602" s="53"/>
      <c r="OEF602" s="15"/>
      <c r="OEG602" s="50"/>
      <c r="OEH602" s="50"/>
      <c r="OEI602" s="46"/>
      <c r="OEJ602" s="47"/>
      <c r="OEK602" s="46"/>
      <c r="OEL602" s="48"/>
      <c r="OEM602" s="53"/>
      <c r="OET602" s="15"/>
      <c r="OEU602" s="50"/>
      <c r="OEV602" s="50"/>
      <c r="OEW602" s="46"/>
      <c r="OEX602" s="47"/>
      <c r="OEY602" s="46"/>
      <c r="OEZ602" s="48"/>
      <c r="OFA602" s="53"/>
      <c r="OFH602" s="15"/>
      <c r="OFI602" s="50"/>
      <c r="OFJ602" s="50"/>
      <c r="OFK602" s="46"/>
      <c r="OFL602" s="47"/>
      <c r="OFM602" s="46"/>
      <c r="OFN602" s="48"/>
      <c r="OFO602" s="53"/>
      <c r="OFV602" s="15"/>
      <c r="OFW602" s="50"/>
      <c r="OFX602" s="50"/>
      <c r="OFY602" s="46"/>
      <c r="OFZ602" s="47"/>
      <c r="OGA602" s="46"/>
      <c r="OGB602" s="48"/>
      <c r="OGC602" s="53"/>
      <c r="OGJ602" s="15"/>
      <c r="OGK602" s="50"/>
      <c r="OGL602" s="50"/>
      <c r="OGM602" s="46"/>
      <c r="OGN602" s="47"/>
      <c r="OGO602" s="46"/>
      <c r="OGP602" s="48"/>
      <c r="OGQ602" s="53"/>
      <c r="OGX602" s="15"/>
      <c r="OGY602" s="50"/>
      <c r="OGZ602" s="50"/>
      <c r="OHA602" s="46"/>
      <c r="OHB602" s="47"/>
      <c r="OHC602" s="46"/>
      <c r="OHD602" s="48"/>
      <c r="OHE602" s="53"/>
      <c r="OHL602" s="15"/>
      <c r="OHM602" s="50"/>
      <c r="OHN602" s="50"/>
      <c r="OHO602" s="46"/>
      <c r="OHP602" s="47"/>
      <c r="OHQ602" s="46"/>
      <c r="OHR602" s="48"/>
      <c r="OHS602" s="53"/>
      <c r="OHZ602" s="15"/>
      <c r="OIA602" s="50"/>
      <c r="OIB602" s="50"/>
      <c r="OIC602" s="46"/>
      <c r="OID602" s="47"/>
      <c r="OIE602" s="46"/>
      <c r="OIF602" s="48"/>
      <c r="OIG602" s="53"/>
      <c r="OIN602" s="15"/>
      <c r="OIO602" s="50"/>
      <c r="OIP602" s="50"/>
      <c r="OIQ602" s="46"/>
      <c r="OIR602" s="47"/>
      <c r="OIS602" s="46"/>
      <c r="OIT602" s="48"/>
      <c r="OIU602" s="53"/>
      <c r="OJB602" s="15"/>
      <c r="OJC602" s="50"/>
      <c r="OJD602" s="50"/>
      <c r="OJE602" s="46"/>
      <c r="OJF602" s="47"/>
      <c r="OJG602" s="46"/>
      <c r="OJH602" s="48"/>
      <c r="OJI602" s="53"/>
      <c r="OJP602" s="15"/>
      <c r="OJQ602" s="50"/>
      <c r="OJR602" s="50"/>
      <c r="OJS602" s="46"/>
      <c r="OJT602" s="47"/>
      <c r="OJU602" s="46"/>
      <c r="OJV602" s="48"/>
      <c r="OJW602" s="53"/>
      <c r="OKD602" s="15"/>
      <c r="OKE602" s="50"/>
      <c r="OKF602" s="50"/>
      <c r="OKG602" s="46"/>
      <c r="OKH602" s="47"/>
      <c r="OKI602" s="46"/>
      <c r="OKJ602" s="48"/>
      <c r="OKK602" s="53"/>
      <c r="OKR602" s="15"/>
      <c r="OKS602" s="50"/>
      <c r="OKT602" s="50"/>
      <c r="OKU602" s="46"/>
      <c r="OKV602" s="47"/>
      <c r="OKW602" s="46"/>
      <c r="OKX602" s="48"/>
      <c r="OKY602" s="53"/>
      <c r="OLF602" s="15"/>
      <c r="OLG602" s="50"/>
      <c r="OLH602" s="50"/>
      <c r="OLI602" s="46"/>
      <c r="OLJ602" s="47"/>
      <c r="OLK602" s="46"/>
      <c r="OLL602" s="48"/>
      <c r="OLM602" s="53"/>
      <c r="OLT602" s="15"/>
      <c r="OLU602" s="50"/>
      <c r="OLV602" s="50"/>
      <c r="OLW602" s="46"/>
      <c r="OLX602" s="47"/>
      <c r="OLY602" s="46"/>
      <c r="OLZ602" s="48"/>
      <c r="OMA602" s="53"/>
      <c r="OMH602" s="15"/>
      <c r="OMI602" s="50"/>
      <c r="OMJ602" s="50"/>
      <c r="OMK602" s="46"/>
      <c r="OML602" s="47"/>
      <c r="OMM602" s="46"/>
      <c r="OMN602" s="48"/>
      <c r="OMO602" s="53"/>
      <c r="OMV602" s="15"/>
      <c r="OMW602" s="50"/>
      <c r="OMX602" s="50"/>
      <c r="OMY602" s="46"/>
      <c r="OMZ602" s="47"/>
      <c r="ONA602" s="46"/>
      <c r="ONB602" s="48"/>
      <c r="ONC602" s="53"/>
      <c r="ONJ602" s="15"/>
      <c r="ONK602" s="50"/>
      <c r="ONL602" s="50"/>
      <c r="ONM602" s="46"/>
      <c r="ONN602" s="47"/>
      <c r="ONO602" s="46"/>
      <c r="ONP602" s="48"/>
      <c r="ONQ602" s="53"/>
      <c r="ONX602" s="15"/>
      <c r="ONY602" s="50"/>
      <c r="ONZ602" s="50"/>
      <c r="OOA602" s="46"/>
      <c r="OOB602" s="47"/>
      <c r="OOC602" s="46"/>
      <c r="OOD602" s="48"/>
      <c r="OOE602" s="53"/>
      <c r="OOL602" s="15"/>
      <c r="OOM602" s="50"/>
      <c r="OON602" s="50"/>
      <c r="OOO602" s="46"/>
      <c r="OOP602" s="47"/>
      <c r="OOQ602" s="46"/>
      <c r="OOR602" s="48"/>
      <c r="OOS602" s="53"/>
      <c r="OOZ602" s="15"/>
      <c r="OPA602" s="50"/>
      <c r="OPB602" s="50"/>
      <c r="OPC602" s="46"/>
      <c r="OPD602" s="47"/>
      <c r="OPE602" s="46"/>
      <c r="OPF602" s="48"/>
      <c r="OPG602" s="53"/>
      <c r="OPN602" s="15"/>
      <c r="OPO602" s="50"/>
      <c r="OPP602" s="50"/>
      <c r="OPQ602" s="46"/>
      <c r="OPR602" s="47"/>
      <c r="OPS602" s="46"/>
      <c r="OPT602" s="48"/>
      <c r="OPU602" s="53"/>
      <c r="OQB602" s="15"/>
      <c r="OQC602" s="50"/>
      <c r="OQD602" s="50"/>
      <c r="OQE602" s="46"/>
      <c r="OQF602" s="47"/>
      <c r="OQG602" s="46"/>
      <c r="OQH602" s="48"/>
      <c r="OQI602" s="53"/>
      <c r="OQP602" s="15"/>
      <c r="OQQ602" s="50"/>
      <c r="OQR602" s="50"/>
      <c r="OQS602" s="46"/>
      <c r="OQT602" s="47"/>
      <c r="OQU602" s="46"/>
      <c r="OQV602" s="48"/>
      <c r="OQW602" s="53"/>
      <c r="ORD602" s="15"/>
      <c r="ORE602" s="50"/>
      <c r="ORF602" s="50"/>
      <c r="ORG602" s="46"/>
      <c r="ORH602" s="47"/>
      <c r="ORI602" s="46"/>
      <c r="ORJ602" s="48"/>
      <c r="ORK602" s="53"/>
      <c r="ORR602" s="15"/>
      <c r="ORS602" s="50"/>
      <c r="ORT602" s="50"/>
      <c r="ORU602" s="46"/>
      <c r="ORV602" s="47"/>
      <c r="ORW602" s="46"/>
      <c r="ORX602" s="48"/>
      <c r="ORY602" s="53"/>
      <c r="OSF602" s="15"/>
      <c r="OSG602" s="50"/>
      <c r="OSH602" s="50"/>
      <c r="OSI602" s="46"/>
      <c r="OSJ602" s="47"/>
      <c r="OSK602" s="46"/>
      <c r="OSL602" s="48"/>
      <c r="OSM602" s="53"/>
      <c r="OST602" s="15"/>
      <c r="OSU602" s="50"/>
      <c r="OSV602" s="50"/>
      <c r="OSW602" s="46"/>
      <c r="OSX602" s="47"/>
      <c r="OSY602" s="46"/>
      <c r="OSZ602" s="48"/>
      <c r="OTA602" s="53"/>
      <c r="OTH602" s="15"/>
      <c r="OTI602" s="50"/>
      <c r="OTJ602" s="50"/>
      <c r="OTK602" s="46"/>
      <c r="OTL602" s="47"/>
      <c r="OTM602" s="46"/>
      <c r="OTN602" s="48"/>
      <c r="OTO602" s="53"/>
      <c r="OTV602" s="15"/>
      <c r="OTW602" s="50"/>
      <c r="OTX602" s="50"/>
      <c r="OTY602" s="46"/>
      <c r="OTZ602" s="47"/>
      <c r="OUA602" s="46"/>
      <c r="OUB602" s="48"/>
      <c r="OUC602" s="53"/>
      <c r="OUJ602" s="15"/>
      <c r="OUK602" s="50"/>
      <c r="OUL602" s="50"/>
      <c r="OUM602" s="46"/>
      <c r="OUN602" s="47"/>
      <c r="OUO602" s="46"/>
      <c r="OUP602" s="48"/>
      <c r="OUQ602" s="53"/>
      <c r="OUX602" s="15"/>
      <c r="OUY602" s="50"/>
      <c r="OUZ602" s="50"/>
      <c r="OVA602" s="46"/>
      <c r="OVB602" s="47"/>
      <c r="OVC602" s="46"/>
      <c r="OVD602" s="48"/>
      <c r="OVE602" s="53"/>
      <c r="OVL602" s="15"/>
      <c r="OVM602" s="50"/>
      <c r="OVN602" s="50"/>
      <c r="OVO602" s="46"/>
      <c r="OVP602" s="47"/>
      <c r="OVQ602" s="46"/>
      <c r="OVR602" s="48"/>
      <c r="OVS602" s="53"/>
      <c r="OVZ602" s="15"/>
      <c r="OWA602" s="50"/>
      <c r="OWB602" s="50"/>
      <c r="OWC602" s="46"/>
      <c r="OWD602" s="47"/>
      <c r="OWE602" s="46"/>
      <c r="OWF602" s="48"/>
      <c r="OWG602" s="53"/>
      <c r="OWN602" s="15"/>
      <c r="OWO602" s="50"/>
      <c r="OWP602" s="50"/>
      <c r="OWQ602" s="46"/>
      <c r="OWR602" s="47"/>
      <c r="OWS602" s="46"/>
      <c r="OWT602" s="48"/>
      <c r="OWU602" s="53"/>
      <c r="OXB602" s="15"/>
      <c r="OXC602" s="50"/>
      <c r="OXD602" s="50"/>
      <c r="OXE602" s="46"/>
      <c r="OXF602" s="47"/>
      <c r="OXG602" s="46"/>
      <c r="OXH602" s="48"/>
      <c r="OXI602" s="53"/>
      <c r="OXP602" s="15"/>
      <c r="OXQ602" s="50"/>
      <c r="OXR602" s="50"/>
      <c r="OXS602" s="46"/>
      <c r="OXT602" s="47"/>
      <c r="OXU602" s="46"/>
      <c r="OXV602" s="48"/>
      <c r="OXW602" s="53"/>
      <c r="OYD602" s="15"/>
      <c r="OYE602" s="50"/>
      <c r="OYF602" s="50"/>
      <c r="OYG602" s="46"/>
      <c r="OYH602" s="47"/>
      <c r="OYI602" s="46"/>
      <c r="OYJ602" s="48"/>
      <c r="OYK602" s="53"/>
      <c r="OYR602" s="15"/>
      <c r="OYS602" s="50"/>
      <c r="OYT602" s="50"/>
      <c r="OYU602" s="46"/>
      <c r="OYV602" s="47"/>
      <c r="OYW602" s="46"/>
      <c r="OYX602" s="48"/>
      <c r="OYY602" s="53"/>
      <c r="OZF602" s="15"/>
      <c r="OZG602" s="50"/>
      <c r="OZH602" s="50"/>
      <c r="OZI602" s="46"/>
      <c r="OZJ602" s="47"/>
      <c r="OZK602" s="46"/>
      <c r="OZL602" s="48"/>
      <c r="OZM602" s="53"/>
      <c r="OZT602" s="15"/>
      <c r="OZU602" s="50"/>
      <c r="OZV602" s="50"/>
      <c r="OZW602" s="46"/>
      <c r="OZX602" s="47"/>
      <c r="OZY602" s="46"/>
      <c r="OZZ602" s="48"/>
      <c r="PAA602" s="53"/>
      <c r="PAH602" s="15"/>
      <c r="PAI602" s="50"/>
      <c r="PAJ602" s="50"/>
      <c r="PAK602" s="46"/>
      <c r="PAL602" s="47"/>
      <c r="PAM602" s="46"/>
      <c r="PAN602" s="48"/>
      <c r="PAO602" s="53"/>
      <c r="PAV602" s="15"/>
      <c r="PAW602" s="50"/>
      <c r="PAX602" s="50"/>
      <c r="PAY602" s="46"/>
      <c r="PAZ602" s="47"/>
      <c r="PBA602" s="46"/>
      <c r="PBB602" s="48"/>
      <c r="PBC602" s="53"/>
      <c r="PBJ602" s="15"/>
      <c r="PBK602" s="50"/>
      <c r="PBL602" s="50"/>
      <c r="PBM602" s="46"/>
      <c r="PBN602" s="47"/>
      <c r="PBO602" s="46"/>
      <c r="PBP602" s="48"/>
      <c r="PBQ602" s="53"/>
      <c r="PBX602" s="15"/>
      <c r="PBY602" s="50"/>
      <c r="PBZ602" s="50"/>
      <c r="PCA602" s="46"/>
      <c r="PCB602" s="47"/>
      <c r="PCC602" s="46"/>
      <c r="PCD602" s="48"/>
      <c r="PCE602" s="53"/>
      <c r="PCL602" s="15"/>
      <c r="PCM602" s="50"/>
      <c r="PCN602" s="50"/>
      <c r="PCO602" s="46"/>
      <c r="PCP602" s="47"/>
      <c r="PCQ602" s="46"/>
      <c r="PCR602" s="48"/>
      <c r="PCS602" s="53"/>
      <c r="PCZ602" s="15"/>
      <c r="PDA602" s="50"/>
      <c r="PDB602" s="50"/>
      <c r="PDC602" s="46"/>
      <c r="PDD602" s="47"/>
      <c r="PDE602" s="46"/>
      <c r="PDF602" s="48"/>
      <c r="PDG602" s="53"/>
      <c r="PDN602" s="15"/>
      <c r="PDO602" s="50"/>
      <c r="PDP602" s="50"/>
      <c r="PDQ602" s="46"/>
      <c r="PDR602" s="47"/>
      <c r="PDS602" s="46"/>
      <c r="PDT602" s="48"/>
      <c r="PDU602" s="53"/>
      <c r="PEB602" s="15"/>
      <c r="PEC602" s="50"/>
      <c r="PED602" s="50"/>
      <c r="PEE602" s="46"/>
      <c r="PEF602" s="47"/>
      <c r="PEG602" s="46"/>
      <c r="PEH602" s="48"/>
      <c r="PEI602" s="53"/>
      <c r="PEP602" s="15"/>
      <c r="PEQ602" s="50"/>
      <c r="PER602" s="50"/>
      <c r="PES602" s="46"/>
      <c r="PET602" s="47"/>
      <c r="PEU602" s="46"/>
      <c r="PEV602" s="48"/>
      <c r="PEW602" s="53"/>
      <c r="PFD602" s="15"/>
      <c r="PFE602" s="50"/>
      <c r="PFF602" s="50"/>
      <c r="PFG602" s="46"/>
      <c r="PFH602" s="47"/>
      <c r="PFI602" s="46"/>
      <c r="PFJ602" s="48"/>
      <c r="PFK602" s="53"/>
      <c r="PFR602" s="15"/>
      <c r="PFS602" s="50"/>
      <c r="PFT602" s="50"/>
      <c r="PFU602" s="46"/>
      <c r="PFV602" s="47"/>
      <c r="PFW602" s="46"/>
      <c r="PFX602" s="48"/>
      <c r="PFY602" s="53"/>
      <c r="PGF602" s="15"/>
      <c r="PGG602" s="50"/>
      <c r="PGH602" s="50"/>
      <c r="PGI602" s="46"/>
      <c r="PGJ602" s="47"/>
      <c r="PGK602" s="46"/>
      <c r="PGL602" s="48"/>
      <c r="PGM602" s="53"/>
      <c r="PGT602" s="15"/>
      <c r="PGU602" s="50"/>
      <c r="PGV602" s="50"/>
      <c r="PGW602" s="46"/>
      <c r="PGX602" s="47"/>
      <c r="PGY602" s="46"/>
      <c r="PGZ602" s="48"/>
      <c r="PHA602" s="53"/>
      <c r="PHH602" s="15"/>
      <c r="PHI602" s="50"/>
      <c r="PHJ602" s="50"/>
      <c r="PHK602" s="46"/>
      <c r="PHL602" s="47"/>
      <c r="PHM602" s="46"/>
      <c r="PHN602" s="48"/>
      <c r="PHO602" s="53"/>
      <c r="PHV602" s="15"/>
      <c r="PHW602" s="50"/>
      <c r="PHX602" s="50"/>
      <c r="PHY602" s="46"/>
      <c r="PHZ602" s="47"/>
      <c r="PIA602" s="46"/>
      <c r="PIB602" s="48"/>
      <c r="PIC602" s="53"/>
      <c r="PIJ602" s="15"/>
      <c r="PIK602" s="50"/>
      <c r="PIL602" s="50"/>
      <c r="PIM602" s="46"/>
      <c r="PIN602" s="47"/>
      <c r="PIO602" s="46"/>
      <c r="PIP602" s="48"/>
      <c r="PIQ602" s="53"/>
      <c r="PIX602" s="15"/>
      <c r="PIY602" s="50"/>
      <c r="PIZ602" s="50"/>
      <c r="PJA602" s="46"/>
      <c r="PJB602" s="47"/>
      <c r="PJC602" s="46"/>
      <c r="PJD602" s="48"/>
      <c r="PJE602" s="53"/>
      <c r="PJL602" s="15"/>
      <c r="PJM602" s="50"/>
      <c r="PJN602" s="50"/>
      <c r="PJO602" s="46"/>
      <c r="PJP602" s="47"/>
      <c r="PJQ602" s="46"/>
      <c r="PJR602" s="48"/>
      <c r="PJS602" s="53"/>
      <c r="PJZ602" s="15"/>
      <c r="PKA602" s="50"/>
      <c r="PKB602" s="50"/>
      <c r="PKC602" s="46"/>
      <c r="PKD602" s="47"/>
      <c r="PKE602" s="46"/>
      <c r="PKF602" s="48"/>
      <c r="PKG602" s="53"/>
      <c r="PKN602" s="15"/>
      <c r="PKO602" s="50"/>
      <c r="PKP602" s="50"/>
      <c r="PKQ602" s="46"/>
      <c r="PKR602" s="47"/>
      <c r="PKS602" s="46"/>
      <c r="PKT602" s="48"/>
      <c r="PKU602" s="53"/>
      <c r="PLB602" s="15"/>
      <c r="PLC602" s="50"/>
      <c r="PLD602" s="50"/>
      <c r="PLE602" s="46"/>
      <c r="PLF602" s="47"/>
      <c r="PLG602" s="46"/>
      <c r="PLH602" s="48"/>
      <c r="PLI602" s="53"/>
      <c r="PLP602" s="15"/>
      <c r="PLQ602" s="50"/>
      <c r="PLR602" s="50"/>
      <c r="PLS602" s="46"/>
      <c r="PLT602" s="47"/>
      <c r="PLU602" s="46"/>
      <c r="PLV602" s="48"/>
      <c r="PLW602" s="53"/>
      <c r="PMD602" s="15"/>
      <c r="PME602" s="50"/>
      <c r="PMF602" s="50"/>
      <c r="PMG602" s="46"/>
      <c r="PMH602" s="47"/>
      <c r="PMI602" s="46"/>
      <c r="PMJ602" s="48"/>
      <c r="PMK602" s="53"/>
      <c r="PMR602" s="15"/>
      <c r="PMS602" s="50"/>
      <c r="PMT602" s="50"/>
      <c r="PMU602" s="46"/>
      <c r="PMV602" s="47"/>
      <c r="PMW602" s="46"/>
      <c r="PMX602" s="48"/>
      <c r="PMY602" s="53"/>
      <c r="PNF602" s="15"/>
      <c r="PNG602" s="50"/>
      <c r="PNH602" s="50"/>
      <c r="PNI602" s="46"/>
      <c r="PNJ602" s="47"/>
      <c r="PNK602" s="46"/>
      <c r="PNL602" s="48"/>
      <c r="PNM602" s="53"/>
      <c r="PNT602" s="15"/>
      <c r="PNU602" s="50"/>
      <c r="PNV602" s="50"/>
      <c r="PNW602" s="46"/>
      <c r="PNX602" s="47"/>
      <c r="PNY602" s="46"/>
      <c r="PNZ602" s="48"/>
      <c r="POA602" s="53"/>
      <c r="POH602" s="15"/>
      <c r="POI602" s="50"/>
      <c r="POJ602" s="50"/>
      <c r="POK602" s="46"/>
      <c r="POL602" s="47"/>
      <c r="POM602" s="46"/>
      <c r="PON602" s="48"/>
      <c r="POO602" s="53"/>
      <c r="POV602" s="15"/>
      <c r="POW602" s="50"/>
      <c r="POX602" s="50"/>
      <c r="POY602" s="46"/>
      <c r="POZ602" s="47"/>
      <c r="PPA602" s="46"/>
      <c r="PPB602" s="48"/>
      <c r="PPC602" s="53"/>
      <c r="PPJ602" s="15"/>
      <c r="PPK602" s="50"/>
      <c r="PPL602" s="50"/>
      <c r="PPM602" s="46"/>
      <c r="PPN602" s="47"/>
      <c r="PPO602" s="46"/>
      <c r="PPP602" s="48"/>
      <c r="PPQ602" s="53"/>
      <c r="PPX602" s="15"/>
      <c r="PPY602" s="50"/>
      <c r="PPZ602" s="50"/>
      <c r="PQA602" s="46"/>
      <c r="PQB602" s="47"/>
      <c r="PQC602" s="46"/>
      <c r="PQD602" s="48"/>
      <c r="PQE602" s="53"/>
      <c r="PQL602" s="15"/>
      <c r="PQM602" s="50"/>
      <c r="PQN602" s="50"/>
      <c r="PQO602" s="46"/>
      <c r="PQP602" s="47"/>
      <c r="PQQ602" s="46"/>
      <c r="PQR602" s="48"/>
      <c r="PQS602" s="53"/>
      <c r="PQZ602" s="15"/>
      <c r="PRA602" s="50"/>
      <c r="PRB602" s="50"/>
      <c r="PRC602" s="46"/>
      <c r="PRD602" s="47"/>
      <c r="PRE602" s="46"/>
      <c r="PRF602" s="48"/>
      <c r="PRG602" s="53"/>
      <c r="PRN602" s="15"/>
      <c r="PRO602" s="50"/>
      <c r="PRP602" s="50"/>
      <c r="PRQ602" s="46"/>
      <c r="PRR602" s="47"/>
      <c r="PRS602" s="46"/>
      <c r="PRT602" s="48"/>
      <c r="PRU602" s="53"/>
      <c r="PSB602" s="15"/>
      <c r="PSC602" s="50"/>
      <c r="PSD602" s="50"/>
      <c r="PSE602" s="46"/>
      <c r="PSF602" s="47"/>
      <c r="PSG602" s="46"/>
      <c r="PSH602" s="48"/>
      <c r="PSI602" s="53"/>
      <c r="PSP602" s="15"/>
      <c r="PSQ602" s="50"/>
      <c r="PSR602" s="50"/>
      <c r="PSS602" s="46"/>
      <c r="PST602" s="47"/>
      <c r="PSU602" s="46"/>
      <c r="PSV602" s="48"/>
      <c r="PSW602" s="53"/>
      <c r="PTD602" s="15"/>
      <c r="PTE602" s="50"/>
      <c r="PTF602" s="50"/>
      <c r="PTG602" s="46"/>
      <c r="PTH602" s="47"/>
      <c r="PTI602" s="46"/>
      <c r="PTJ602" s="48"/>
      <c r="PTK602" s="53"/>
      <c r="PTR602" s="15"/>
      <c r="PTS602" s="50"/>
      <c r="PTT602" s="50"/>
      <c r="PTU602" s="46"/>
      <c r="PTV602" s="47"/>
      <c r="PTW602" s="46"/>
      <c r="PTX602" s="48"/>
      <c r="PTY602" s="53"/>
      <c r="PUF602" s="15"/>
      <c r="PUG602" s="50"/>
      <c r="PUH602" s="50"/>
      <c r="PUI602" s="46"/>
      <c r="PUJ602" s="47"/>
      <c r="PUK602" s="46"/>
      <c r="PUL602" s="48"/>
      <c r="PUM602" s="53"/>
      <c r="PUT602" s="15"/>
      <c r="PUU602" s="50"/>
      <c r="PUV602" s="50"/>
      <c r="PUW602" s="46"/>
      <c r="PUX602" s="47"/>
      <c r="PUY602" s="46"/>
      <c r="PUZ602" s="48"/>
      <c r="PVA602" s="53"/>
      <c r="PVH602" s="15"/>
      <c r="PVI602" s="50"/>
      <c r="PVJ602" s="50"/>
      <c r="PVK602" s="46"/>
      <c r="PVL602" s="47"/>
      <c r="PVM602" s="46"/>
      <c r="PVN602" s="48"/>
      <c r="PVO602" s="53"/>
      <c r="PVV602" s="15"/>
      <c r="PVW602" s="50"/>
      <c r="PVX602" s="50"/>
      <c r="PVY602" s="46"/>
      <c r="PVZ602" s="47"/>
      <c r="PWA602" s="46"/>
      <c r="PWB602" s="48"/>
      <c r="PWC602" s="53"/>
      <c r="PWJ602" s="15"/>
      <c r="PWK602" s="50"/>
      <c r="PWL602" s="50"/>
      <c r="PWM602" s="46"/>
      <c r="PWN602" s="47"/>
      <c r="PWO602" s="46"/>
      <c r="PWP602" s="48"/>
      <c r="PWQ602" s="53"/>
      <c r="PWX602" s="15"/>
      <c r="PWY602" s="50"/>
      <c r="PWZ602" s="50"/>
      <c r="PXA602" s="46"/>
      <c r="PXB602" s="47"/>
      <c r="PXC602" s="46"/>
      <c r="PXD602" s="48"/>
      <c r="PXE602" s="53"/>
      <c r="PXL602" s="15"/>
      <c r="PXM602" s="50"/>
      <c r="PXN602" s="50"/>
      <c r="PXO602" s="46"/>
      <c r="PXP602" s="47"/>
      <c r="PXQ602" s="46"/>
      <c r="PXR602" s="48"/>
      <c r="PXS602" s="53"/>
      <c r="PXZ602" s="15"/>
      <c r="PYA602" s="50"/>
      <c r="PYB602" s="50"/>
      <c r="PYC602" s="46"/>
      <c r="PYD602" s="47"/>
      <c r="PYE602" s="46"/>
      <c r="PYF602" s="48"/>
      <c r="PYG602" s="53"/>
      <c r="PYN602" s="15"/>
      <c r="PYO602" s="50"/>
      <c r="PYP602" s="50"/>
      <c r="PYQ602" s="46"/>
      <c r="PYR602" s="47"/>
      <c r="PYS602" s="46"/>
      <c r="PYT602" s="48"/>
      <c r="PYU602" s="53"/>
      <c r="PZB602" s="15"/>
      <c r="PZC602" s="50"/>
      <c r="PZD602" s="50"/>
      <c r="PZE602" s="46"/>
      <c r="PZF602" s="47"/>
      <c r="PZG602" s="46"/>
      <c r="PZH602" s="48"/>
      <c r="PZI602" s="53"/>
      <c r="PZP602" s="15"/>
      <c r="PZQ602" s="50"/>
      <c r="PZR602" s="50"/>
      <c r="PZS602" s="46"/>
      <c r="PZT602" s="47"/>
      <c r="PZU602" s="46"/>
      <c r="PZV602" s="48"/>
      <c r="PZW602" s="53"/>
      <c r="QAD602" s="15"/>
      <c r="QAE602" s="50"/>
      <c r="QAF602" s="50"/>
      <c r="QAG602" s="46"/>
      <c r="QAH602" s="47"/>
      <c r="QAI602" s="46"/>
      <c r="QAJ602" s="48"/>
      <c r="QAK602" s="53"/>
      <c r="QAR602" s="15"/>
      <c r="QAS602" s="50"/>
      <c r="QAT602" s="50"/>
      <c r="QAU602" s="46"/>
      <c r="QAV602" s="47"/>
      <c r="QAW602" s="46"/>
      <c r="QAX602" s="48"/>
      <c r="QAY602" s="53"/>
      <c r="QBF602" s="15"/>
      <c r="QBG602" s="50"/>
      <c r="QBH602" s="50"/>
      <c r="QBI602" s="46"/>
      <c r="QBJ602" s="47"/>
      <c r="QBK602" s="46"/>
      <c r="QBL602" s="48"/>
      <c r="QBM602" s="53"/>
      <c r="QBT602" s="15"/>
      <c r="QBU602" s="50"/>
      <c r="QBV602" s="50"/>
      <c r="QBW602" s="46"/>
      <c r="QBX602" s="47"/>
      <c r="QBY602" s="46"/>
      <c r="QBZ602" s="48"/>
      <c r="QCA602" s="53"/>
      <c r="QCH602" s="15"/>
      <c r="QCI602" s="50"/>
      <c r="QCJ602" s="50"/>
      <c r="QCK602" s="46"/>
      <c r="QCL602" s="47"/>
      <c r="QCM602" s="46"/>
      <c r="QCN602" s="48"/>
      <c r="QCO602" s="53"/>
      <c r="QCV602" s="15"/>
      <c r="QCW602" s="50"/>
      <c r="QCX602" s="50"/>
      <c r="QCY602" s="46"/>
      <c r="QCZ602" s="47"/>
      <c r="QDA602" s="46"/>
      <c r="QDB602" s="48"/>
      <c r="QDC602" s="53"/>
      <c r="QDJ602" s="15"/>
      <c r="QDK602" s="50"/>
      <c r="QDL602" s="50"/>
      <c r="QDM602" s="46"/>
      <c r="QDN602" s="47"/>
      <c r="QDO602" s="46"/>
      <c r="QDP602" s="48"/>
      <c r="QDQ602" s="53"/>
      <c r="QDX602" s="15"/>
      <c r="QDY602" s="50"/>
      <c r="QDZ602" s="50"/>
      <c r="QEA602" s="46"/>
      <c r="QEB602" s="47"/>
      <c r="QEC602" s="46"/>
      <c r="QED602" s="48"/>
      <c r="QEE602" s="53"/>
      <c r="QEL602" s="15"/>
      <c r="QEM602" s="50"/>
      <c r="QEN602" s="50"/>
      <c r="QEO602" s="46"/>
      <c r="QEP602" s="47"/>
      <c r="QEQ602" s="46"/>
      <c r="QER602" s="48"/>
      <c r="QES602" s="53"/>
      <c r="QEZ602" s="15"/>
      <c r="QFA602" s="50"/>
      <c r="QFB602" s="50"/>
      <c r="QFC602" s="46"/>
      <c r="QFD602" s="47"/>
      <c r="QFE602" s="46"/>
      <c r="QFF602" s="48"/>
      <c r="QFG602" s="53"/>
      <c r="QFN602" s="15"/>
      <c r="QFO602" s="50"/>
      <c r="QFP602" s="50"/>
      <c r="QFQ602" s="46"/>
      <c r="QFR602" s="47"/>
      <c r="QFS602" s="46"/>
      <c r="QFT602" s="48"/>
      <c r="QFU602" s="53"/>
      <c r="QGB602" s="15"/>
      <c r="QGC602" s="50"/>
      <c r="QGD602" s="50"/>
      <c r="QGE602" s="46"/>
      <c r="QGF602" s="47"/>
      <c r="QGG602" s="46"/>
      <c r="QGH602" s="48"/>
      <c r="QGI602" s="53"/>
      <c r="QGP602" s="15"/>
      <c r="QGQ602" s="50"/>
      <c r="QGR602" s="50"/>
      <c r="QGS602" s="46"/>
      <c r="QGT602" s="47"/>
      <c r="QGU602" s="46"/>
      <c r="QGV602" s="48"/>
      <c r="QGW602" s="53"/>
      <c r="QHD602" s="15"/>
      <c r="QHE602" s="50"/>
      <c r="QHF602" s="50"/>
      <c r="QHG602" s="46"/>
      <c r="QHH602" s="47"/>
      <c r="QHI602" s="46"/>
      <c r="QHJ602" s="48"/>
      <c r="QHK602" s="53"/>
      <c r="QHR602" s="15"/>
      <c r="QHS602" s="50"/>
      <c r="QHT602" s="50"/>
      <c r="QHU602" s="46"/>
      <c r="QHV602" s="47"/>
      <c r="QHW602" s="46"/>
      <c r="QHX602" s="48"/>
      <c r="QHY602" s="53"/>
      <c r="QIF602" s="15"/>
      <c r="QIG602" s="50"/>
      <c r="QIH602" s="50"/>
      <c r="QII602" s="46"/>
      <c r="QIJ602" s="47"/>
      <c r="QIK602" s="46"/>
      <c r="QIL602" s="48"/>
      <c r="QIM602" s="53"/>
      <c r="QIT602" s="15"/>
      <c r="QIU602" s="50"/>
      <c r="QIV602" s="50"/>
      <c r="QIW602" s="46"/>
      <c r="QIX602" s="47"/>
      <c r="QIY602" s="46"/>
      <c r="QIZ602" s="48"/>
      <c r="QJA602" s="53"/>
      <c r="QJH602" s="15"/>
      <c r="QJI602" s="50"/>
      <c r="QJJ602" s="50"/>
      <c r="QJK602" s="46"/>
      <c r="QJL602" s="47"/>
      <c r="QJM602" s="46"/>
      <c r="QJN602" s="48"/>
      <c r="QJO602" s="53"/>
      <c r="QJV602" s="15"/>
      <c r="QJW602" s="50"/>
      <c r="QJX602" s="50"/>
      <c r="QJY602" s="46"/>
      <c r="QJZ602" s="47"/>
      <c r="QKA602" s="46"/>
      <c r="QKB602" s="48"/>
      <c r="QKC602" s="53"/>
      <c r="QKJ602" s="15"/>
      <c r="QKK602" s="50"/>
      <c r="QKL602" s="50"/>
      <c r="QKM602" s="46"/>
      <c r="QKN602" s="47"/>
      <c r="QKO602" s="46"/>
      <c r="QKP602" s="48"/>
      <c r="QKQ602" s="53"/>
      <c r="QKX602" s="15"/>
      <c r="QKY602" s="50"/>
      <c r="QKZ602" s="50"/>
      <c r="QLA602" s="46"/>
      <c r="QLB602" s="47"/>
      <c r="QLC602" s="46"/>
      <c r="QLD602" s="48"/>
      <c r="QLE602" s="53"/>
      <c r="QLL602" s="15"/>
      <c r="QLM602" s="50"/>
      <c r="QLN602" s="50"/>
      <c r="QLO602" s="46"/>
      <c r="QLP602" s="47"/>
      <c r="QLQ602" s="46"/>
      <c r="QLR602" s="48"/>
      <c r="QLS602" s="53"/>
      <c r="QLZ602" s="15"/>
      <c r="QMA602" s="50"/>
      <c r="QMB602" s="50"/>
      <c r="QMC602" s="46"/>
      <c r="QMD602" s="47"/>
      <c r="QME602" s="46"/>
      <c r="QMF602" s="48"/>
      <c r="QMG602" s="53"/>
      <c r="QMN602" s="15"/>
      <c r="QMO602" s="50"/>
      <c r="QMP602" s="50"/>
      <c r="QMQ602" s="46"/>
      <c r="QMR602" s="47"/>
      <c r="QMS602" s="46"/>
      <c r="QMT602" s="48"/>
      <c r="QMU602" s="53"/>
      <c r="QNB602" s="15"/>
      <c r="QNC602" s="50"/>
      <c r="QND602" s="50"/>
      <c r="QNE602" s="46"/>
      <c r="QNF602" s="47"/>
      <c r="QNG602" s="46"/>
      <c r="QNH602" s="48"/>
      <c r="QNI602" s="53"/>
      <c r="QNP602" s="15"/>
      <c r="QNQ602" s="50"/>
      <c r="QNR602" s="50"/>
      <c r="QNS602" s="46"/>
      <c r="QNT602" s="47"/>
      <c r="QNU602" s="46"/>
      <c r="QNV602" s="48"/>
      <c r="QNW602" s="53"/>
      <c r="QOD602" s="15"/>
      <c r="QOE602" s="50"/>
      <c r="QOF602" s="50"/>
      <c r="QOG602" s="46"/>
      <c r="QOH602" s="47"/>
      <c r="QOI602" s="46"/>
      <c r="QOJ602" s="48"/>
      <c r="QOK602" s="53"/>
      <c r="QOR602" s="15"/>
      <c r="QOS602" s="50"/>
      <c r="QOT602" s="50"/>
      <c r="QOU602" s="46"/>
      <c r="QOV602" s="47"/>
      <c r="QOW602" s="46"/>
      <c r="QOX602" s="48"/>
      <c r="QOY602" s="53"/>
      <c r="QPF602" s="15"/>
      <c r="QPG602" s="50"/>
      <c r="QPH602" s="50"/>
      <c r="QPI602" s="46"/>
      <c r="QPJ602" s="47"/>
      <c r="QPK602" s="46"/>
      <c r="QPL602" s="48"/>
      <c r="QPM602" s="53"/>
      <c r="QPT602" s="15"/>
      <c r="QPU602" s="50"/>
      <c r="QPV602" s="50"/>
      <c r="QPW602" s="46"/>
      <c r="QPX602" s="47"/>
      <c r="QPY602" s="46"/>
      <c r="QPZ602" s="48"/>
      <c r="QQA602" s="53"/>
      <c r="QQH602" s="15"/>
      <c r="QQI602" s="50"/>
      <c r="QQJ602" s="50"/>
      <c r="QQK602" s="46"/>
      <c r="QQL602" s="47"/>
      <c r="QQM602" s="46"/>
      <c r="QQN602" s="48"/>
      <c r="QQO602" s="53"/>
      <c r="QQV602" s="15"/>
      <c r="QQW602" s="50"/>
      <c r="QQX602" s="50"/>
      <c r="QQY602" s="46"/>
      <c r="QQZ602" s="47"/>
      <c r="QRA602" s="46"/>
      <c r="QRB602" s="48"/>
      <c r="QRC602" s="53"/>
      <c r="QRJ602" s="15"/>
      <c r="QRK602" s="50"/>
      <c r="QRL602" s="50"/>
      <c r="QRM602" s="46"/>
      <c r="QRN602" s="47"/>
      <c r="QRO602" s="46"/>
      <c r="QRP602" s="48"/>
      <c r="QRQ602" s="53"/>
      <c r="QRX602" s="15"/>
      <c r="QRY602" s="50"/>
      <c r="QRZ602" s="50"/>
      <c r="QSA602" s="46"/>
      <c r="QSB602" s="47"/>
      <c r="QSC602" s="46"/>
      <c r="QSD602" s="48"/>
      <c r="QSE602" s="53"/>
      <c r="QSL602" s="15"/>
      <c r="QSM602" s="50"/>
      <c r="QSN602" s="50"/>
      <c r="QSO602" s="46"/>
      <c r="QSP602" s="47"/>
      <c r="QSQ602" s="46"/>
      <c r="QSR602" s="48"/>
      <c r="QSS602" s="53"/>
      <c r="QSZ602" s="15"/>
      <c r="QTA602" s="50"/>
      <c r="QTB602" s="50"/>
      <c r="QTC602" s="46"/>
      <c r="QTD602" s="47"/>
      <c r="QTE602" s="46"/>
      <c r="QTF602" s="48"/>
      <c r="QTG602" s="53"/>
      <c r="QTN602" s="15"/>
      <c r="QTO602" s="50"/>
      <c r="QTP602" s="50"/>
      <c r="QTQ602" s="46"/>
      <c r="QTR602" s="47"/>
      <c r="QTS602" s="46"/>
      <c r="QTT602" s="48"/>
      <c r="QTU602" s="53"/>
      <c r="QUB602" s="15"/>
      <c r="QUC602" s="50"/>
      <c r="QUD602" s="50"/>
      <c r="QUE602" s="46"/>
      <c r="QUF602" s="47"/>
      <c r="QUG602" s="46"/>
      <c r="QUH602" s="48"/>
      <c r="QUI602" s="53"/>
      <c r="QUP602" s="15"/>
      <c r="QUQ602" s="50"/>
      <c r="QUR602" s="50"/>
      <c r="QUS602" s="46"/>
      <c r="QUT602" s="47"/>
      <c r="QUU602" s="46"/>
      <c r="QUV602" s="48"/>
      <c r="QUW602" s="53"/>
      <c r="QVD602" s="15"/>
      <c r="QVE602" s="50"/>
      <c r="QVF602" s="50"/>
      <c r="QVG602" s="46"/>
      <c r="QVH602" s="47"/>
      <c r="QVI602" s="46"/>
      <c r="QVJ602" s="48"/>
      <c r="QVK602" s="53"/>
      <c r="QVR602" s="15"/>
      <c r="QVS602" s="50"/>
      <c r="QVT602" s="50"/>
      <c r="QVU602" s="46"/>
      <c r="QVV602" s="47"/>
      <c r="QVW602" s="46"/>
      <c r="QVX602" s="48"/>
      <c r="QVY602" s="53"/>
      <c r="QWF602" s="15"/>
      <c r="QWG602" s="50"/>
      <c r="QWH602" s="50"/>
      <c r="QWI602" s="46"/>
      <c r="QWJ602" s="47"/>
      <c r="QWK602" s="46"/>
      <c r="QWL602" s="48"/>
      <c r="QWM602" s="53"/>
      <c r="QWT602" s="15"/>
      <c r="QWU602" s="50"/>
      <c r="QWV602" s="50"/>
      <c r="QWW602" s="46"/>
      <c r="QWX602" s="47"/>
      <c r="QWY602" s="46"/>
      <c r="QWZ602" s="48"/>
      <c r="QXA602" s="53"/>
      <c r="QXH602" s="15"/>
      <c r="QXI602" s="50"/>
      <c r="QXJ602" s="50"/>
      <c r="QXK602" s="46"/>
      <c r="QXL602" s="47"/>
      <c r="QXM602" s="46"/>
      <c r="QXN602" s="48"/>
      <c r="QXO602" s="53"/>
      <c r="QXV602" s="15"/>
      <c r="QXW602" s="50"/>
      <c r="QXX602" s="50"/>
      <c r="QXY602" s="46"/>
      <c r="QXZ602" s="47"/>
      <c r="QYA602" s="46"/>
      <c r="QYB602" s="48"/>
      <c r="QYC602" s="53"/>
      <c r="QYJ602" s="15"/>
      <c r="QYK602" s="50"/>
      <c r="QYL602" s="50"/>
      <c r="QYM602" s="46"/>
      <c r="QYN602" s="47"/>
      <c r="QYO602" s="46"/>
      <c r="QYP602" s="48"/>
      <c r="QYQ602" s="53"/>
      <c r="QYX602" s="15"/>
      <c r="QYY602" s="50"/>
      <c r="QYZ602" s="50"/>
      <c r="QZA602" s="46"/>
      <c r="QZB602" s="47"/>
      <c r="QZC602" s="46"/>
      <c r="QZD602" s="48"/>
      <c r="QZE602" s="53"/>
      <c r="QZL602" s="15"/>
      <c r="QZM602" s="50"/>
      <c r="QZN602" s="50"/>
      <c r="QZO602" s="46"/>
      <c r="QZP602" s="47"/>
      <c r="QZQ602" s="46"/>
      <c r="QZR602" s="48"/>
      <c r="QZS602" s="53"/>
      <c r="QZZ602" s="15"/>
      <c r="RAA602" s="50"/>
      <c r="RAB602" s="50"/>
      <c r="RAC602" s="46"/>
      <c r="RAD602" s="47"/>
      <c r="RAE602" s="46"/>
      <c r="RAF602" s="48"/>
      <c r="RAG602" s="53"/>
      <c r="RAN602" s="15"/>
      <c r="RAO602" s="50"/>
      <c r="RAP602" s="50"/>
      <c r="RAQ602" s="46"/>
      <c r="RAR602" s="47"/>
      <c r="RAS602" s="46"/>
      <c r="RAT602" s="48"/>
      <c r="RAU602" s="53"/>
      <c r="RBB602" s="15"/>
      <c r="RBC602" s="50"/>
      <c r="RBD602" s="50"/>
      <c r="RBE602" s="46"/>
      <c r="RBF602" s="47"/>
      <c r="RBG602" s="46"/>
      <c r="RBH602" s="48"/>
      <c r="RBI602" s="53"/>
      <c r="RBP602" s="15"/>
      <c r="RBQ602" s="50"/>
      <c r="RBR602" s="50"/>
      <c r="RBS602" s="46"/>
      <c r="RBT602" s="47"/>
      <c r="RBU602" s="46"/>
      <c r="RBV602" s="48"/>
      <c r="RBW602" s="53"/>
      <c r="RCD602" s="15"/>
      <c r="RCE602" s="50"/>
      <c r="RCF602" s="50"/>
      <c r="RCG602" s="46"/>
      <c r="RCH602" s="47"/>
      <c r="RCI602" s="46"/>
      <c r="RCJ602" s="48"/>
      <c r="RCK602" s="53"/>
      <c r="RCR602" s="15"/>
      <c r="RCS602" s="50"/>
      <c r="RCT602" s="50"/>
      <c r="RCU602" s="46"/>
      <c r="RCV602" s="47"/>
      <c r="RCW602" s="46"/>
      <c r="RCX602" s="48"/>
      <c r="RCY602" s="53"/>
      <c r="RDF602" s="15"/>
      <c r="RDG602" s="50"/>
      <c r="RDH602" s="50"/>
      <c r="RDI602" s="46"/>
      <c r="RDJ602" s="47"/>
      <c r="RDK602" s="46"/>
      <c r="RDL602" s="48"/>
      <c r="RDM602" s="53"/>
      <c r="RDT602" s="15"/>
      <c r="RDU602" s="50"/>
      <c r="RDV602" s="50"/>
      <c r="RDW602" s="46"/>
      <c r="RDX602" s="47"/>
      <c r="RDY602" s="46"/>
      <c r="RDZ602" s="48"/>
      <c r="REA602" s="53"/>
      <c r="REH602" s="15"/>
      <c r="REI602" s="50"/>
      <c r="REJ602" s="50"/>
      <c r="REK602" s="46"/>
      <c r="REL602" s="47"/>
      <c r="REM602" s="46"/>
      <c r="REN602" s="48"/>
      <c r="REO602" s="53"/>
      <c r="REV602" s="15"/>
      <c r="REW602" s="50"/>
      <c r="REX602" s="50"/>
      <c r="REY602" s="46"/>
      <c r="REZ602" s="47"/>
      <c r="RFA602" s="46"/>
      <c r="RFB602" s="48"/>
      <c r="RFC602" s="53"/>
      <c r="RFJ602" s="15"/>
      <c r="RFK602" s="50"/>
      <c r="RFL602" s="50"/>
      <c r="RFM602" s="46"/>
      <c r="RFN602" s="47"/>
      <c r="RFO602" s="46"/>
      <c r="RFP602" s="48"/>
      <c r="RFQ602" s="53"/>
      <c r="RFX602" s="15"/>
      <c r="RFY602" s="50"/>
      <c r="RFZ602" s="50"/>
      <c r="RGA602" s="46"/>
      <c r="RGB602" s="47"/>
      <c r="RGC602" s="46"/>
      <c r="RGD602" s="48"/>
      <c r="RGE602" s="53"/>
      <c r="RGL602" s="15"/>
      <c r="RGM602" s="50"/>
      <c r="RGN602" s="50"/>
      <c r="RGO602" s="46"/>
      <c r="RGP602" s="47"/>
      <c r="RGQ602" s="46"/>
      <c r="RGR602" s="48"/>
      <c r="RGS602" s="53"/>
      <c r="RGZ602" s="15"/>
      <c r="RHA602" s="50"/>
      <c r="RHB602" s="50"/>
      <c r="RHC602" s="46"/>
      <c r="RHD602" s="47"/>
      <c r="RHE602" s="46"/>
      <c r="RHF602" s="48"/>
      <c r="RHG602" s="53"/>
      <c r="RHN602" s="15"/>
      <c r="RHO602" s="50"/>
      <c r="RHP602" s="50"/>
      <c r="RHQ602" s="46"/>
      <c r="RHR602" s="47"/>
      <c r="RHS602" s="46"/>
      <c r="RHT602" s="48"/>
      <c r="RHU602" s="53"/>
      <c r="RIB602" s="15"/>
      <c r="RIC602" s="50"/>
      <c r="RID602" s="50"/>
      <c r="RIE602" s="46"/>
      <c r="RIF602" s="47"/>
      <c r="RIG602" s="46"/>
      <c r="RIH602" s="48"/>
      <c r="RII602" s="53"/>
      <c r="RIP602" s="15"/>
      <c r="RIQ602" s="50"/>
      <c r="RIR602" s="50"/>
      <c r="RIS602" s="46"/>
      <c r="RIT602" s="47"/>
      <c r="RIU602" s="46"/>
      <c r="RIV602" s="48"/>
      <c r="RIW602" s="53"/>
      <c r="RJD602" s="15"/>
      <c r="RJE602" s="50"/>
      <c r="RJF602" s="50"/>
      <c r="RJG602" s="46"/>
      <c r="RJH602" s="47"/>
      <c r="RJI602" s="46"/>
      <c r="RJJ602" s="48"/>
      <c r="RJK602" s="53"/>
      <c r="RJR602" s="15"/>
      <c r="RJS602" s="50"/>
      <c r="RJT602" s="50"/>
      <c r="RJU602" s="46"/>
      <c r="RJV602" s="47"/>
      <c r="RJW602" s="46"/>
      <c r="RJX602" s="48"/>
      <c r="RJY602" s="53"/>
      <c r="RKF602" s="15"/>
      <c r="RKG602" s="50"/>
      <c r="RKH602" s="50"/>
      <c r="RKI602" s="46"/>
      <c r="RKJ602" s="47"/>
      <c r="RKK602" s="46"/>
      <c r="RKL602" s="48"/>
      <c r="RKM602" s="53"/>
      <c r="RKT602" s="15"/>
      <c r="RKU602" s="50"/>
      <c r="RKV602" s="50"/>
      <c r="RKW602" s="46"/>
      <c r="RKX602" s="47"/>
      <c r="RKY602" s="46"/>
      <c r="RKZ602" s="48"/>
      <c r="RLA602" s="53"/>
      <c r="RLH602" s="15"/>
      <c r="RLI602" s="50"/>
      <c r="RLJ602" s="50"/>
      <c r="RLK602" s="46"/>
      <c r="RLL602" s="47"/>
      <c r="RLM602" s="46"/>
      <c r="RLN602" s="48"/>
      <c r="RLO602" s="53"/>
      <c r="RLV602" s="15"/>
      <c r="RLW602" s="50"/>
      <c r="RLX602" s="50"/>
      <c r="RLY602" s="46"/>
      <c r="RLZ602" s="47"/>
      <c r="RMA602" s="46"/>
      <c r="RMB602" s="48"/>
      <c r="RMC602" s="53"/>
      <c r="RMJ602" s="15"/>
      <c r="RMK602" s="50"/>
      <c r="RML602" s="50"/>
      <c r="RMM602" s="46"/>
      <c r="RMN602" s="47"/>
      <c r="RMO602" s="46"/>
      <c r="RMP602" s="48"/>
      <c r="RMQ602" s="53"/>
      <c r="RMX602" s="15"/>
      <c r="RMY602" s="50"/>
      <c r="RMZ602" s="50"/>
      <c r="RNA602" s="46"/>
      <c r="RNB602" s="47"/>
      <c r="RNC602" s="46"/>
      <c r="RND602" s="48"/>
      <c r="RNE602" s="53"/>
      <c r="RNL602" s="15"/>
      <c r="RNM602" s="50"/>
      <c r="RNN602" s="50"/>
      <c r="RNO602" s="46"/>
      <c r="RNP602" s="47"/>
      <c r="RNQ602" s="46"/>
      <c r="RNR602" s="48"/>
      <c r="RNS602" s="53"/>
      <c r="RNZ602" s="15"/>
      <c r="ROA602" s="50"/>
      <c r="ROB602" s="50"/>
      <c r="ROC602" s="46"/>
      <c r="ROD602" s="47"/>
      <c r="ROE602" s="46"/>
      <c r="ROF602" s="48"/>
      <c r="ROG602" s="53"/>
      <c r="RON602" s="15"/>
      <c r="ROO602" s="50"/>
      <c r="ROP602" s="50"/>
      <c r="ROQ602" s="46"/>
      <c r="ROR602" s="47"/>
      <c r="ROS602" s="46"/>
      <c r="ROT602" s="48"/>
      <c r="ROU602" s="53"/>
      <c r="RPB602" s="15"/>
      <c r="RPC602" s="50"/>
      <c r="RPD602" s="50"/>
      <c r="RPE602" s="46"/>
      <c r="RPF602" s="47"/>
      <c r="RPG602" s="46"/>
      <c r="RPH602" s="48"/>
      <c r="RPI602" s="53"/>
      <c r="RPP602" s="15"/>
      <c r="RPQ602" s="50"/>
      <c r="RPR602" s="50"/>
      <c r="RPS602" s="46"/>
      <c r="RPT602" s="47"/>
      <c r="RPU602" s="46"/>
      <c r="RPV602" s="48"/>
      <c r="RPW602" s="53"/>
      <c r="RQD602" s="15"/>
      <c r="RQE602" s="50"/>
      <c r="RQF602" s="50"/>
      <c r="RQG602" s="46"/>
      <c r="RQH602" s="47"/>
      <c r="RQI602" s="46"/>
      <c r="RQJ602" s="48"/>
      <c r="RQK602" s="53"/>
      <c r="RQR602" s="15"/>
      <c r="RQS602" s="50"/>
      <c r="RQT602" s="50"/>
      <c r="RQU602" s="46"/>
      <c r="RQV602" s="47"/>
      <c r="RQW602" s="46"/>
      <c r="RQX602" s="48"/>
      <c r="RQY602" s="53"/>
      <c r="RRF602" s="15"/>
      <c r="RRG602" s="50"/>
      <c r="RRH602" s="50"/>
      <c r="RRI602" s="46"/>
      <c r="RRJ602" s="47"/>
      <c r="RRK602" s="46"/>
      <c r="RRL602" s="48"/>
      <c r="RRM602" s="53"/>
      <c r="RRT602" s="15"/>
      <c r="RRU602" s="50"/>
      <c r="RRV602" s="50"/>
      <c r="RRW602" s="46"/>
      <c r="RRX602" s="47"/>
      <c r="RRY602" s="46"/>
      <c r="RRZ602" s="48"/>
      <c r="RSA602" s="53"/>
      <c r="RSH602" s="15"/>
      <c r="RSI602" s="50"/>
      <c r="RSJ602" s="50"/>
      <c r="RSK602" s="46"/>
      <c r="RSL602" s="47"/>
      <c r="RSM602" s="46"/>
      <c r="RSN602" s="48"/>
      <c r="RSO602" s="53"/>
      <c r="RSV602" s="15"/>
      <c r="RSW602" s="50"/>
      <c r="RSX602" s="50"/>
      <c r="RSY602" s="46"/>
      <c r="RSZ602" s="47"/>
      <c r="RTA602" s="46"/>
      <c r="RTB602" s="48"/>
      <c r="RTC602" s="53"/>
      <c r="RTJ602" s="15"/>
      <c r="RTK602" s="50"/>
      <c r="RTL602" s="50"/>
      <c r="RTM602" s="46"/>
      <c r="RTN602" s="47"/>
      <c r="RTO602" s="46"/>
      <c r="RTP602" s="48"/>
      <c r="RTQ602" s="53"/>
      <c r="RTX602" s="15"/>
      <c r="RTY602" s="50"/>
      <c r="RTZ602" s="50"/>
      <c r="RUA602" s="46"/>
      <c r="RUB602" s="47"/>
      <c r="RUC602" s="46"/>
      <c r="RUD602" s="48"/>
      <c r="RUE602" s="53"/>
      <c r="RUL602" s="15"/>
      <c r="RUM602" s="50"/>
      <c r="RUN602" s="50"/>
      <c r="RUO602" s="46"/>
      <c r="RUP602" s="47"/>
      <c r="RUQ602" s="46"/>
      <c r="RUR602" s="48"/>
      <c r="RUS602" s="53"/>
      <c r="RUZ602" s="15"/>
      <c r="RVA602" s="50"/>
      <c r="RVB602" s="50"/>
      <c r="RVC602" s="46"/>
      <c r="RVD602" s="47"/>
      <c r="RVE602" s="46"/>
      <c r="RVF602" s="48"/>
      <c r="RVG602" s="53"/>
      <c r="RVN602" s="15"/>
      <c r="RVO602" s="50"/>
      <c r="RVP602" s="50"/>
      <c r="RVQ602" s="46"/>
      <c r="RVR602" s="47"/>
      <c r="RVS602" s="46"/>
      <c r="RVT602" s="48"/>
      <c r="RVU602" s="53"/>
      <c r="RWB602" s="15"/>
      <c r="RWC602" s="50"/>
      <c r="RWD602" s="50"/>
      <c r="RWE602" s="46"/>
      <c r="RWF602" s="47"/>
      <c r="RWG602" s="46"/>
      <c r="RWH602" s="48"/>
      <c r="RWI602" s="53"/>
      <c r="RWP602" s="15"/>
      <c r="RWQ602" s="50"/>
      <c r="RWR602" s="50"/>
      <c r="RWS602" s="46"/>
      <c r="RWT602" s="47"/>
      <c r="RWU602" s="46"/>
      <c r="RWV602" s="48"/>
      <c r="RWW602" s="53"/>
      <c r="RXD602" s="15"/>
      <c r="RXE602" s="50"/>
      <c r="RXF602" s="50"/>
      <c r="RXG602" s="46"/>
      <c r="RXH602" s="47"/>
      <c r="RXI602" s="46"/>
      <c r="RXJ602" s="48"/>
      <c r="RXK602" s="53"/>
      <c r="RXR602" s="15"/>
      <c r="RXS602" s="50"/>
      <c r="RXT602" s="50"/>
      <c r="RXU602" s="46"/>
      <c r="RXV602" s="47"/>
      <c r="RXW602" s="46"/>
      <c r="RXX602" s="48"/>
      <c r="RXY602" s="53"/>
      <c r="RYF602" s="15"/>
      <c r="RYG602" s="50"/>
      <c r="RYH602" s="50"/>
      <c r="RYI602" s="46"/>
      <c r="RYJ602" s="47"/>
      <c r="RYK602" s="46"/>
      <c r="RYL602" s="48"/>
      <c r="RYM602" s="53"/>
      <c r="RYT602" s="15"/>
      <c r="RYU602" s="50"/>
      <c r="RYV602" s="50"/>
      <c r="RYW602" s="46"/>
      <c r="RYX602" s="47"/>
      <c r="RYY602" s="46"/>
      <c r="RYZ602" s="48"/>
      <c r="RZA602" s="53"/>
      <c r="RZH602" s="15"/>
      <c r="RZI602" s="50"/>
      <c r="RZJ602" s="50"/>
      <c r="RZK602" s="46"/>
      <c r="RZL602" s="47"/>
      <c r="RZM602" s="46"/>
      <c r="RZN602" s="48"/>
      <c r="RZO602" s="53"/>
      <c r="RZV602" s="15"/>
      <c r="RZW602" s="50"/>
      <c r="RZX602" s="50"/>
      <c r="RZY602" s="46"/>
      <c r="RZZ602" s="47"/>
      <c r="SAA602" s="46"/>
      <c r="SAB602" s="48"/>
      <c r="SAC602" s="53"/>
      <c r="SAJ602" s="15"/>
      <c r="SAK602" s="50"/>
      <c r="SAL602" s="50"/>
      <c r="SAM602" s="46"/>
      <c r="SAN602" s="47"/>
      <c r="SAO602" s="46"/>
      <c r="SAP602" s="48"/>
      <c r="SAQ602" s="53"/>
      <c r="SAX602" s="15"/>
      <c r="SAY602" s="50"/>
      <c r="SAZ602" s="50"/>
      <c r="SBA602" s="46"/>
      <c r="SBB602" s="47"/>
      <c r="SBC602" s="46"/>
      <c r="SBD602" s="48"/>
      <c r="SBE602" s="53"/>
      <c r="SBL602" s="15"/>
      <c r="SBM602" s="50"/>
      <c r="SBN602" s="50"/>
      <c r="SBO602" s="46"/>
      <c r="SBP602" s="47"/>
      <c r="SBQ602" s="46"/>
      <c r="SBR602" s="48"/>
      <c r="SBS602" s="53"/>
      <c r="SBZ602" s="15"/>
      <c r="SCA602" s="50"/>
      <c r="SCB602" s="50"/>
      <c r="SCC602" s="46"/>
      <c r="SCD602" s="47"/>
      <c r="SCE602" s="46"/>
      <c r="SCF602" s="48"/>
      <c r="SCG602" s="53"/>
      <c r="SCN602" s="15"/>
      <c r="SCO602" s="50"/>
      <c r="SCP602" s="50"/>
      <c r="SCQ602" s="46"/>
      <c r="SCR602" s="47"/>
      <c r="SCS602" s="46"/>
      <c r="SCT602" s="48"/>
      <c r="SCU602" s="53"/>
      <c r="SDB602" s="15"/>
      <c r="SDC602" s="50"/>
      <c r="SDD602" s="50"/>
      <c r="SDE602" s="46"/>
      <c r="SDF602" s="47"/>
      <c r="SDG602" s="46"/>
      <c r="SDH602" s="48"/>
      <c r="SDI602" s="53"/>
      <c r="SDP602" s="15"/>
      <c r="SDQ602" s="50"/>
      <c r="SDR602" s="50"/>
      <c r="SDS602" s="46"/>
      <c r="SDT602" s="47"/>
      <c r="SDU602" s="46"/>
      <c r="SDV602" s="48"/>
      <c r="SDW602" s="53"/>
      <c r="SED602" s="15"/>
      <c r="SEE602" s="50"/>
      <c r="SEF602" s="50"/>
      <c r="SEG602" s="46"/>
      <c r="SEH602" s="47"/>
      <c r="SEI602" s="46"/>
      <c r="SEJ602" s="48"/>
      <c r="SEK602" s="53"/>
      <c r="SER602" s="15"/>
      <c r="SES602" s="50"/>
      <c r="SET602" s="50"/>
      <c r="SEU602" s="46"/>
      <c r="SEV602" s="47"/>
      <c r="SEW602" s="46"/>
      <c r="SEX602" s="48"/>
      <c r="SEY602" s="53"/>
      <c r="SFF602" s="15"/>
      <c r="SFG602" s="50"/>
      <c r="SFH602" s="50"/>
      <c r="SFI602" s="46"/>
      <c r="SFJ602" s="47"/>
      <c r="SFK602" s="46"/>
      <c r="SFL602" s="48"/>
      <c r="SFM602" s="53"/>
      <c r="SFT602" s="15"/>
      <c r="SFU602" s="50"/>
      <c r="SFV602" s="50"/>
      <c r="SFW602" s="46"/>
      <c r="SFX602" s="47"/>
      <c r="SFY602" s="46"/>
      <c r="SFZ602" s="48"/>
      <c r="SGA602" s="53"/>
      <c r="SGH602" s="15"/>
      <c r="SGI602" s="50"/>
      <c r="SGJ602" s="50"/>
      <c r="SGK602" s="46"/>
      <c r="SGL602" s="47"/>
      <c r="SGM602" s="46"/>
      <c r="SGN602" s="48"/>
      <c r="SGO602" s="53"/>
      <c r="SGV602" s="15"/>
      <c r="SGW602" s="50"/>
      <c r="SGX602" s="50"/>
      <c r="SGY602" s="46"/>
      <c r="SGZ602" s="47"/>
      <c r="SHA602" s="46"/>
      <c r="SHB602" s="48"/>
      <c r="SHC602" s="53"/>
      <c r="SHJ602" s="15"/>
      <c r="SHK602" s="50"/>
      <c r="SHL602" s="50"/>
      <c r="SHM602" s="46"/>
      <c r="SHN602" s="47"/>
      <c r="SHO602" s="46"/>
      <c r="SHP602" s="48"/>
      <c r="SHQ602" s="53"/>
      <c r="SHX602" s="15"/>
      <c r="SHY602" s="50"/>
      <c r="SHZ602" s="50"/>
      <c r="SIA602" s="46"/>
      <c r="SIB602" s="47"/>
      <c r="SIC602" s="46"/>
      <c r="SID602" s="48"/>
      <c r="SIE602" s="53"/>
      <c r="SIL602" s="15"/>
      <c r="SIM602" s="50"/>
      <c r="SIN602" s="50"/>
      <c r="SIO602" s="46"/>
      <c r="SIP602" s="47"/>
      <c r="SIQ602" s="46"/>
      <c r="SIR602" s="48"/>
      <c r="SIS602" s="53"/>
      <c r="SIZ602" s="15"/>
      <c r="SJA602" s="50"/>
      <c r="SJB602" s="50"/>
      <c r="SJC602" s="46"/>
      <c r="SJD602" s="47"/>
      <c r="SJE602" s="46"/>
      <c r="SJF602" s="48"/>
      <c r="SJG602" s="53"/>
      <c r="SJN602" s="15"/>
      <c r="SJO602" s="50"/>
      <c r="SJP602" s="50"/>
      <c r="SJQ602" s="46"/>
      <c r="SJR602" s="47"/>
      <c r="SJS602" s="46"/>
      <c r="SJT602" s="48"/>
      <c r="SJU602" s="53"/>
      <c r="SKB602" s="15"/>
      <c r="SKC602" s="50"/>
      <c r="SKD602" s="50"/>
      <c r="SKE602" s="46"/>
      <c r="SKF602" s="47"/>
      <c r="SKG602" s="46"/>
      <c r="SKH602" s="48"/>
      <c r="SKI602" s="53"/>
      <c r="SKP602" s="15"/>
      <c r="SKQ602" s="50"/>
      <c r="SKR602" s="50"/>
      <c r="SKS602" s="46"/>
      <c r="SKT602" s="47"/>
      <c r="SKU602" s="46"/>
      <c r="SKV602" s="48"/>
      <c r="SKW602" s="53"/>
      <c r="SLD602" s="15"/>
      <c r="SLE602" s="50"/>
      <c r="SLF602" s="50"/>
      <c r="SLG602" s="46"/>
      <c r="SLH602" s="47"/>
      <c r="SLI602" s="46"/>
      <c r="SLJ602" s="48"/>
      <c r="SLK602" s="53"/>
      <c r="SLR602" s="15"/>
      <c r="SLS602" s="50"/>
      <c r="SLT602" s="50"/>
      <c r="SLU602" s="46"/>
      <c r="SLV602" s="47"/>
      <c r="SLW602" s="46"/>
      <c r="SLX602" s="48"/>
      <c r="SLY602" s="53"/>
      <c r="SMF602" s="15"/>
      <c r="SMG602" s="50"/>
      <c r="SMH602" s="50"/>
      <c r="SMI602" s="46"/>
      <c r="SMJ602" s="47"/>
      <c r="SMK602" s="46"/>
      <c r="SML602" s="48"/>
      <c r="SMM602" s="53"/>
      <c r="SMT602" s="15"/>
      <c r="SMU602" s="50"/>
      <c r="SMV602" s="50"/>
      <c r="SMW602" s="46"/>
      <c r="SMX602" s="47"/>
      <c r="SMY602" s="46"/>
      <c r="SMZ602" s="48"/>
      <c r="SNA602" s="53"/>
      <c r="SNH602" s="15"/>
      <c r="SNI602" s="50"/>
      <c r="SNJ602" s="50"/>
      <c r="SNK602" s="46"/>
      <c r="SNL602" s="47"/>
      <c r="SNM602" s="46"/>
      <c r="SNN602" s="48"/>
      <c r="SNO602" s="53"/>
      <c r="SNV602" s="15"/>
      <c r="SNW602" s="50"/>
      <c r="SNX602" s="50"/>
      <c r="SNY602" s="46"/>
      <c r="SNZ602" s="47"/>
      <c r="SOA602" s="46"/>
      <c r="SOB602" s="48"/>
      <c r="SOC602" s="53"/>
      <c r="SOJ602" s="15"/>
      <c r="SOK602" s="50"/>
      <c r="SOL602" s="50"/>
      <c r="SOM602" s="46"/>
      <c r="SON602" s="47"/>
      <c r="SOO602" s="46"/>
      <c r="SOP602" s="48"/>
      <c r="SOQ602" s="53"/>
      <c r="SOX602" s="15"/>
      <c r="SOY602" s="50"/>
      <c r="SOZ602" s="50"/>
      <c r="SPA602" s="46"/>
      <c r="SPB602" s="47"/>
      <c r="SPC602" s="46"/>
      <c r="SPD602" s="48"/>
      <c r="SPE602" s="53"/>
      <c r="SPL602" s="15"/>
      <c r="SPM602" s="50"/>
      <c r="SPN602" s="50"/>
      <c r="SPO602" s="46"/>
      <c r="SPP602" s="47"/>
      <c r="SPQ602" s="46"/>
      <c r="SPR602" s="48"/>
      <c r="SPS602" s="53"/>
      <c r="SPZ602" s="15"/>
      <c r="SQA602" s="50"/>
      <c r="SQB602" s="50"/>
      <c r="SQC602" s="46"/>
      <c r="SQD602" s="47"/>
      <c r="SQE602" s="46"/>
      <c r="SQF602" s="48"/>
      <c r="SQG602" s="53"/>
      <c r="SQN602" s="15"/>
      <c r="SQO602" s="50"/>
      <c r="SQP602" s="50"/>
      <c r="SQQ602" s="46"/>
      <c r="SQR602" s="47"/>
      <c r="SQS602" s="46"/>
      <c r="SQT602" s="48"/>
      <c r="SQU602" s="53"/>
      <c r="SRB602" s="15"/>
      <c r="SRC602" s="50"/>
      <c r="SRD602" s="50"/>
      <c r="SRE602" s="46"/>
      <c r="SRF602" s="47"/>
      <c r="SRG602" s="46"/>
      <c r="SRH602" s="48"/>
      <c r="SRI602" s="53"/>
      <c r="SRP602" s="15"/>
      <c r="SRQ602" s="50"/>
      <c r="SRR602" s="50"/>
      <c r="SRS602" s="46"/>
      <c r="SRT602" s="47"/>
      <c r="SRU602" s="46"/>
      <c r="SRV602" s="48"/>
      <c r="SRW602" s="53"/>
      <c r="SSD602" s="15"/>
      <c r="SSE602" s="50"/>
      <c r="SSF602" s="50"/>
      <c r="SSG602" s="46"/>
      <c r="SSH602" s="47"/>
      <c r="SSI602" s="46"/>
      <c r="SSJ602" s="48"/>
      <c r="SSK602" s="53"/>
      <c r="SSR602" s="15"/>
      <c r="SSS602" s="50"/>
      <c r="SST602" s="50"/>
      <c r="SSU602" s="46"/>
      <c r="SSV602" s="47"/>
      <c r="SSW602" s="46"/>
      <c r="SSX602" s="48"/>
      <c r="SSY602" s="53"/>
      <c r="STF602" s="15"/>
      <c r="STG602" s="50"/>
      <c r="STH602" s="50"/>
      <c r="STI602" s="46"/>
      <c r="STJ602" s="47"/>
      <c r="STK602" s="46"/>
      <c r="STL602" s="48"/>
      <c r="STM602" s="53"/>
      <c r="STT602" s="15"/>
      <c r="STU602" s="50"/>
      <c r="STV602" s="50"/>
      <c r="STW602" s="46"/>
      <c r="STX602" s="47"/>
      <c r="STY602" s="46"/>
      <c r="STZ602" s="48"/>
      <c r="SUA602" s="53"/>
      <c r="SUH602" s="15"/>
      <c r="SUI602" s="50"/>
      <c r="SUJ602" s="50"/>
      <c r="SUK602" s="46"/>
      <c r="SUL602" s="47"/>
      <c r="SUM602" s="46"/>
      <c r="SUN602" s="48"/>
      <c r="SUO602" s="53"/>
      <c r="SUV602" s="15"/>
      <c r="SUW602" s="50"/>
      <c r="SUX602" s="50"/>
      <c r="SUY602" s="46"/>
      <c r="SUZ602" s="47"/>
      <c r="SVA602" s="46"/>
      <c r="SVB602" s="48"/>
      <c r="SVC602" s="53"/>
      <c r="SVJ602" s="15"/>
      <c r="SVK602" s="50"/>
      <c r="SVL602" s="50"/>
      <c r="SVM602" s="46"/>
      <c r="SVN602" s="47"/>
      <c r="SVO602" s="46"/>
      <c r="SVP602" s="48"/>
      <c r="SVQ602" s="53"/>
      <c r="SVX602" s="15"/>
      <c r="SVY602" s="50"/>
      <c r="SVZ602" s="50"/>
      <c r="SWA602" s="46"/>
      <c r="SWB602" s="47"/>
      <c r="SWC602" s="46"/>
      <c r="SWD602" s="48"/>
      <c r="SWE602" s="53"/>
      <c r="SWL602" s="15"/>
      <c r="SWM602" s="50"/>
      <c r="SWN602" s="50"/>
      <c r="SWO602" s="46"/>
      <c r="SWP602" s="47"/>
      <c r="SWQ602" s="46"/>
      <c r="SWR602" s="48"/>
      <c r="SWS602" s="53"/>
      <c r="SWZ602" s="15"/>
      <c r="SXA602" s="50"/>
      <c r="SXB602" s="50"/>
      <c r="SXC602" s="46"/>
      <c r="SXD602" s="47"/>
      <c r="SXE602" s="46"/>
      <c r="SXF602" s="48"/>
      <c r="SXG602" s="53"/>
      <c r="SXN602" s="15"/>
      <c r="SXO602" s="50"/>
      <c r="SXP602" s="50"/>
      <c r="SXQ602" s="46"/>
      <c r="SXR602" s="47"/>
      <c r="SXS602" s="46"/>
      <c r="SXT602" s="48"/>
      <c r="SXU602" s="53"/>
      <c r="SYB602" s="15"/>
      <c r="SYC602" s="50"/>
      <c r="SYD602" s="50"/>
      <c r="SYE602" s="46"/>
      <c r="SYF602" s="47"/>
      <c r="SYG602" s="46"/>
      <c r="SYH602" s="48"/>
      <c r="SYI602" s="53"/>
      <c r="SYP602" s="15"/>
      <c r="SYQ602" s="50"/>
      <c r="SYR602" s="50"/>
      <c r="SYS602" s="46"/>
      <c r="SYT602" s="47"/>
      <c r="SYU602" s="46"/>
      <c r="SYV602" s="48"/>
      <c r="SYW602" s="53"/>
      <c r="SZD602" s="15"/>
      <c r="SZE602" s="50"/>
      <c r="SZF602" s="50"/>
      <c r="SZG602" s="46"/>
      <c r="SZH602" s="47"/>
      <c r="SZI602" s="46"/>
      <c r="SZJ602" s="48"/>
      <c r="SZK602" s="53"/>
      <c r="SZR602" s="15"/>
      <c r="SZS602" s="50"/>
      <c r="SZT602" s="50"/>
      <c r="SZU602" s="46"/>
      <c r="SZV602" s="47"/>
      <c r="SZW602" s="46"/>
      <c r="SZX602" s="48"/>
      <c r="SZY602" s="53"/>
      <c r="TAF602" s="15"/>
      <c r="TAG602" s="50"/>
      <c r="TAH602" s="50"/>
      <c r="TAI602" s="46"/>
      <c r="TAJ602" s="47"/>
      <c r="TAK602" s="46"/>
      <c r="TAL602" s="48"/>
      <c r="TAM602" s="53"/>
      <c r="TAT602" s="15"/>
      <c r="TAU602" s="50"/>
      <c r="TAV602" s="50"/>
      <c r="TAW602" s="46"/>
      <c r="TAX602" s="47"/>
      <c r="TAY602" s="46"/>
      <c r="TAZ602" s="48"/>
      <c r="TBA602" s="53"/>
      <c r="TBH602" s="15"/>
      <c r="TBI602" s="50"/>
      <c r="TBJ602" s="50"/>
      <c r="TBK602" s="46"/>
      <c r="TBL602" s="47"/>
      <c r="TBM602" s="46"/>
      <c r="TBN602" s="48"/>
      <c r="TBO602" s="53"/>
      <c r="TBV602" s="15"/>
      <c r="TBW602" s="50"/>
      <c r="TBX602" s="50"/>
      <c r="TBY602" s="46"/>
      <c r="TBZ602" s="47"/>
      <c r="TCA602" s="46"/>
      <c r="TCB602" s="48"/>
      <c r="TCC602" s="53"/>
      <c r="TCJ602" s="15"/>
      <c r="TCK602" s="50"/>
      <c r="TCL602" s="50"/>
      <c r="TCM602" s="46"/>
      <c r="TCN602" s="47"/>
      <c r="TCO602" s="46"/>
      <c r="TCP602" s="48"/>
      <c r="TCQ602" s="53"/>
      <c r="TCX602" s="15"/>
      <c r="TCY602" s="50"/>
      <c r="TCZ602" s="50"/>
      <c r="TDA602" s="46"/>
      <c r="TDB602" s="47"/>
      <c r="TDC602" s="46"/>
      <c r="TDD602" s="48"/>
      <c r="TDE602" s="53"/>
      <c r="TDL602" s="15"/>
      <c r="TDM602" s="50"/>
      <c r="TDN602" s="50"/>
      <c r="TDO602" s="46"/>
      <c r="TDP602" s="47"/>
      <c r="TDQ602" s="46"/>
      <c r="TDR602" s="48"/>
      <c r="TDS602" s="53"/>
      <c r="TDZ602" s="15"/>
      <c r="TEA602" s="50"/>
      <c r="TEB602" s="50"/>
      <c r="TEC602" s="46"/>
      <c r="TED602" s="47"/>
      <c r="TEE602" s="46"/>
      <c r="TEF602" s="48"/>
      <c r="TEG602" s="53"/>
      <c r="TEN602" s="15"/>
      <c r="TEO602" s="50"/>
      <c r="TEP602" s="50"/>
      <c r="TEQ602" s="46"/>
      <c r="TER602" s="47"/>
      <c r="TES602" s="46"/>
      <c r="TET602" s="48"/>
      <c r="TEU602" s="53"/>
      <c r="TFB602" s="15"/>
      <c r="TFC602" s="50"/>
      <c r="TFD602" s="50"/>
      <c r="TFE602" s="46"/>
      <c r="TFF602" s="47"/>
      <c r="TFG602" s="46"/>
      <c r="TFH602" s="48"/>
      <c r="TFI602" s="53"/>
      <c r="TFP602" s="15"/>
      <c r="TFQ602" s="50"/>
      <c r="TFR602" s="50"/>
      <c r="TFS602" s="46"/>
      <c r="TFT602" s="47"/>
      <c r="TFU602" s="46"/>
      <c r="TFV602" s="48"/>
      <c r="TFW602" s="53"/>
      <c r="TGD602" s="15"/>
      <c r="TGE602" s="50"/>
      <c r="TGF602" s="50"/>
      <c r="TGG602" s="46"/>
      <c r="TGH602" s="47"/>
      <c r="TGI602" s="46"/>
      <c r="TGJ602" s="48"/>
      <c r="TGK602" s="53"/>
      <c r="TGR602" s="15"/>
      <c r="TGS602" s="50"/>
      <c r="TGT602" s="50"/>
      <c r="TGU602" s="46"/>
      <c r="TGV602" s="47"/>
      <c r="TGW602" s="46"/>
      <c r="TGX602" s="48"/>
      <c r="TGY602" s="53"/>
      <c r="THF602" s="15"/>
      <c r="THG602" s="50"/>
      <c r="THH602" s="50"/>
      <c r="THI602" s="46"/>
      <c r="THJ602" s="47"/>
      <c r="THK602" s="46"/>
      <c r="THL602" s="48"/>
      <c r="THM602" s="53"/>
      <c r="THT602" s="15"/>
      <c r="THU602" s="50"/>
      <c r="THV602" s="50"/>
      <c r="THW602" s="46"/>
      <c r="THX602" s="47"/>
      <c r="THY602" s="46"/>
      <c r="THZ602" s="48"/>
      <c r="TIA602" s="53"/>
      <c r="TIH602" s="15"/>
      <c r="TII602" s="50"/>
      <c r="TIJ602" s="50"/>
      <c r="TIK602" s="46"/>
      <c r="TIL602" s="47"/>
      <c r="TIM602" s="46"/>
      <c r="TIN602" s="48"/>
      <c r="TIO602" s="53"/>
      <c r="TIV602" s="15"/>
      <c r="TIW602" s="50"/>
      <c r="TIX602" s="50"/>
      <c r="TIY602" s="46"/>
      <c r="TIZ602" s="47"/>
      <c r="TJA602" s="46"/>
      <c r="TJB602" s="48"/>
      <c r="TJC602" s="53"/>
      <c r="TJJ602" s="15"/>
      <c r="TJK602" s="50"/>
      <c r="TJL602" s="50"/>
      <c r="TJM602" s="46"/>
      <c r="TJN602" s="47"/>
      <c r="TJO602" s="46"/>
      <c r="TJP602" s="48"/>
      <c r="TJQ602" s="53"/>
      <c r="TJX602" s="15"/>
      <c r="TJY602" s="50"/>
      <c r="TJZ602" s="50"/>
      <c r="TKA602" s="46"/>
      <c r="TKB602" s="47"/>
      <c r="TKC602" s="46"/>
      <c r="TKD602" s="48"/>
      <c r="TKE602" s="53"/>
      <c r="TKL602" s="15"/>
      <c r="TKM602" s="50"/>
      <c r="TKN602" s="50"/>
      <c r="TKO602" s="46"/>
      <c r="TKP602" s="47"/>
      <c r="TKQ602" s="46"/>
      <c r="TKR602" s="48"/>
      <c r="TKS602" s="53"/>
      <c r="TKZ602" s="15"/>
      <c r="TLA602" s="50"/>
      <c r="TLB602" s="50"/>
      <c r="TLC602" s="46"/>
      <c r="TLD602" s="47"/>
      <c r="TLE602" s="46"/>
      <c r="TLF602" s="48"/>
      <c r="TLG602" s="53"/>
      <c r="TLN602" s="15"/>
      <c r="TLO602" s="50"/>
      <c r="TLP602" s="50"/>
      <c r="TLQ602" s="46"/>
      <c r="TLR602" s="47"/>
      <c r="TLS602" s="46"/>
      <c r="TLT602" s="48"/>
      <c r="TLU602" s="53"/>
      <c r="TMB602" s="15"/>
      <c r="TMC602" s="50"/>
      <c r="TMD602" s="50"/>
      <c r="TME602" s="46"/>
      <c r="TMF602" s="47"/>
      <c r="TMG602" s="46"/>
      <c r="TMH602" s="48"/>
      <c r="TMI602" s="53"/>
      <c r="TMP602" s="15"/>
      <c r="TMQ602" s="50"/>
      <c r="TMR602" s="50"/>
      <c r="TMS602" s="46"/>
      <c r="TMT602" s="47"/>
      <c r="TMU602" s="46"/>
      <c r="TMV602" s="48"/>
      <c r="TMW602" s="53"/>
      <c r="TND602" s="15"/>
      <c r="TNE602" s="50"/>
      <c r="TNF602" s="50"/>
      <c r="TNG602" s="46"/>
      <c r="TNH602" s="47"/>
      <c r="TNI602" s="46"/>
      <c r="TNJ602" s="48"/>
      <c r="TNK602" s="53"/>
      <c r="TNR602" s="15"/>
      <c r="TNS602" s="50"/>
      <c r="TNT602" s="50"/>
      <c r="TNU602" s="46"/>
      <c r="TNV602" s="47"/>
      <c r="TNW602" s="46"/>
      <c r="TNX602" s="48"/>
      <c r="TNY602" s="53"/>
      <c r="TOF602" s="15"/>
      <c r="TOG602" s="50"/>
      <c r="TOH602" s="50"/>
      <c r="TOI602" s="46"/>
      <c r="TOJ602" s="47"/>
      <c r="TOK602" s="46"/>
      <c r="TOL602" s="48"/>
      <c r="TOM602" s="53"/>
      <c r="TOT602" s="15"/>
      <c r="TOU602" s="50"/>
      <c r="TOV602" s="50"/>
      <c r="TOW602" s="46"/>
      <c r="TOX602" s="47"/>
      <c r="TOY602" s="46"/>
      <c r="TOZ602" s="48"/>
      <c r="TPA602" s="53"/>
      <c r="TPH602" s="15"/>
      <c r="TPI602" s="50"/>
      <c r="TPJ602" s="50"/>
      <c r="TPK602" s="46"/>
      <c r="TPL602" s="47"/>
      <c r="TPM602" s="46"/>
      <c r="TPN602" s="48"/>
      <c r="TPO602" s="53"/>
      <c r="TPV602" s="15"/>
      <c r="TPW602" s="50"/>
      <c r="TPX602" s="50"/>
      <c r="TPY602" s="46"/>
      <c r="TPZ602" s="47"/>
      <c r="TQA602" s="46"/>
      <c r="TQB602" s="48"/>
      <c r="TQC602" s="53"/>
      <c r="TQJ602" s="15"/>
      <c r="TQK602" s="50"/>
      <c r="TQL602" s="50"/>
      <c r="TQM602" s="46"/>
      <c r="TQN602" s="47"/>
      <c r="TQO602" s="46"/>
      <c r="TQP602" s="48"/>
      <c r="TQQ602" s="53"/>
      <c r="TQX602" s="15"/>
      <c r="TQY602" s="50"/>
      <c r="TQZ602" s="50"/>
      <c r="TRA602" s="46"/>
      <c r="TRB602" s="47"/>
      <c r="TRC602" s="46"/>
      <c r="TRD602" s="48"/>
      <c r="TRE602" s="53"/>
      <c r="TRL602" s="15"/>
      <c r="TRM602" s="50"/>
      <c r="TRN602" s="50"/>
      <c r="TRO602" s="46"/>
      <c r="TRP602" s="47"/>
      <c r="TRQ602" s="46"/>
      <c r="TRR602" s="48"/>
      <c r="TRS602" s="53"/>
      <c r="TRZ602" s="15"/>
      <c r="TSA602" s="50"/>
      <c r="TSB602" s="50"/>
      <c r="TSC602" s="46"/>
      <c r="TSD602" s="47"/>
      <c r="TSE602" s="46"/>
      <c r="TSF602" s="48"/>
      <c r="TSG602" s="53"/>
      <c r="TSN602" s="15"/>
      <c r="TSO602" s="50"/>
      <c r="TSP602" s="50"/>
      <c r="TSQ602" s="46"/>
      <c r="TSR602" s="47"/>
      <c r="TSS602" s="46"/>
      <c r="TST602" s="48"/>
      <c r="TSU602" s="53"/>
      <c r="TTB602" s="15"/>
      <c r="TTC602" s="50"/>
      <c r="TTD602" s="50"/>
      <c r="TTE602" s="46"/>
      <c r="TTF602" s="47"/>
      <c r="TTG602" s="46"/>
      <c r="TTH602" s="48"/>
      <c r="TTI602" s="53"/>
      <c r="TTP602" s="15"/>
      <c r="TTQ602" s="50"/>
      <c r="TTR602" s="50"/>
      <c r="TTS602" s="46"/>
      <c r="TTT602" s="47"/>
      <c r="TTU602" s="46"/>
      <c r="TTV602" s="48"/>
      <c r="TTW602" s="53"/>
      <c r="TUD602" s="15"/>
      <c r="TUE602" s="50"/>
      <c r="TUF602" s="50"/>
      <c r="TUG602" s="46"/>
      <c r="TUH602" s="47"/>
      <c r="TUI602" s="46"/>
      <c r="TUJ602" s="48"/>
      <c r="TUK602" s="53"/>
      <c r="TUR602" s="15"/>
      <c r="TUS602" s="50"/>
      <c r="TUT602" s="50"/>
      <c r="TUU602" s="46"/>
      <c r="TUV602" s="47"/>
      <c r="TUW602" s="46"/>
      <c r="TUX602" s="48"/>
      <c r="TUY602" s="53"/>
      <c r="TVF602" s="15"/>
      <c r="TVG602" s="50"/>
      <c r="TVH602" s="50"/>
      <c r="TVI602" s="46"/>
      <c r="TVJ602" s="47"/>
      <c r="TVK602" s="46"/>
      <c r="TVL602" s="48"/>
      <c r="TVM602" s="53"/>
      <c r="TVT602" s="15"/>
      <c r="TVU602" s="50"/>
      <c r="TVV602" s="50"/>
      <c r="TVW602" s="46"/>
      <c r="TVX602" s="47"/>
      <c r="TVY602" s="46"/>
      <c r="TVZ602" s="48"/>
      <c r="TWA602" s="53"/>
      <c r="TWH602" s="15"/>
      <c r="TWI602" s="50"/>
      <c r="TWJ602" s="50"/>
      <c r="TWK602" s="46"/>
      <c r="TWL602" s="47"/>
      <c r="TWM602" s="46"/>
      <c r="TWN602" s="48"/>
      <c r="TWO602" s="53"/>
      <c r="TWV602" s="15"/>
      <c r="TWW602" s="50"/>
      <c r="TWX602" s="50"/>
      <c r="TWY602" s="46"/>
      <c r="TWZ602" s="47"/>
      <c r="TXA602" s="46"/>
      <c r="TXB602" s="48"/>
      <c r="TXC602" s="53"/>
      <c r="TXJ602" s="15"/>
      <c r="TXK602" s="50"/>
      <c r="TXL602" s="50"/>
      <c r="TXM602" s="46"/>
      <c r="TXN602" s="47"/>
      <c r="TXO602" s="46"/>
      <c r="TXP602" s="48"/>
      <c r="TXQ602" s="53"/>
      <c r="TXX602" s="15"/>
      <c r="TXY602" s="50"/>
      <c r="TXZ602" s="50"/>
      <c r="TYA602" s="46"/>
      <c r="TYB602" s="47"/>
      <c r="TYC602" s="46"/>
      <c r="TYD602" s="48"/>
      <c r="TYE602" s="53"/>
      <c r="TYL602" s="15"/>
      <c r="TYM602" s="50"/>
      <c r="TYN602" s="50"/>
      <c r="TYO602" s="46"/>
      <c r="TYP602" s="47"/>
      <c r="TYQ602" s="46"/>
      <c r="TYR602" s="48"/>
      <c r="TYS602" s="53"/>
      <c r="TYZ602" s="15"/>
      <c r="TZA602" s="50"/>
      <c r="TZB602" s="50"/>
      <c r="TZC602" s="46"/>
      <c r="TZD602" s="47"/>
      <c r="TZE602" s="46"/>
      <c r="TZF602" s="48"/>
      <c r="TZG602" s="53"/>
      <c r="TZN602" s="15"/>
      <c r="TZO602" s="50"/>
      <c r="TZP602" s="50"/>
      <c r="TZQ602" s="46"/>
      <c r="TZR602" s="47"/>
      <c r="TZS602" s="46"/>
      <c r="TZT602" s="48"/>
      <c r="TZU602" s="53"/>
      <c r="UAB602" s="15"/>
      <c r="UAC602" s="50"/>
      <c r="UAD602" s="50"/>
      <c r="UAE602" s="46"/>
      <c r="UAF602" s="47"/>
      <c r="UAG602" s="46"/>
      <c r="UAH602" s="48"/>
      <c r="UAI602" s="53"/>
      <c r="UAP602" s="15"/>
      <c r="UAQ602" s="50"/>
      <c r="UAR602" s="50"/>
      <c r="UAS602" s="46"/>
      <c r="UAT602" s="47"/>
      <c r="UAU602" s="46"/>
      <c r="UAV602" s="48"/>
      <c r="UAW602" s="53"/>
      <c r="UBD602" s="15"/>
      <c r="UBE602" s="50"/>
      <c r="UBF602" s="50"/>
      <c r="UBG602" s="46"/>
      <c r="UBH602" s="47"/>
      <c r="UBI602" s="46"/>
      <c r="UBJ602" s="48"/>
      <c r="UBK602" s="53"/>
      <c r="UBR602" s="15"/>
      <c r="UBS602" s="50"/>
      <c r="UBT602" s="50"/>
      <c r="UBU602" s="46"/>
      <c r="UBV602" s="47"/>
      <c r="UBW602" s="46"/>
      <c r="UBX602" s="48"/>
      <c r="UBY602" s="53"/>
      <c r="UCF602" s="15"/>
      <c r="UCG602" s="50"/>
      <c r="UCH602" s="50"/>
      <c r="UCI602" s="46"/>
      <c r="UCJ602" s="47"/>
      <c r="UCK602" s="46"/>
      <c r="UCL602" s="48"/>
      <c r="UCM602" s="53"/>
      <c r="UCT602" s="15"/>
      <c r="UCU602" s="50"/>
      <c r="UCV602" s="50"/>
      <c r="UCW602" s="46"/>
      <c r="UCX602" s="47"/>
      <c r="UCY602" s="46"/>
      <c r="UCZ602" s="48"/>
      <c r="UDA602" s="53"/>
      <c r="UDH602" s="15"/>
      <c r="UDI602" s="50"/>
      <c r="UDJ602" s="50"/>
      <c r="UDK602" s="46"/>
      <c r="UDL602" s="47"/>
      <c r="UDM602" s="46"/>
      <c r="UDN602" s="48"/>
      <c r="UDO602" s="53"/>
      <c r="UDV602" s="15"/>
      <c r="UDW602" s="50"/>
      <c r="UDX602" s="50"/>
      <c r="UDY602" s="46"/>
      <c r="UDZ602" s="47"/>
      <c r="UEA602" s="46"/>
      <c r="UEB602" s="48"/>
      <c r="UEC602" s="53"/>
      <c r="UEJ602" s="15"/>
      <c r="UEK602" s="50"/>
      <c r="UEL602" s="50"/>
      <c r="UEM602" s="46"/>
      <c r="UEN602" s="47"/>
      <c r="UEO602" s="46"/>
      <c r="UEP602" s="48"/>
      <c r="UEQ602" s="53"/>
      <c r="UEX602" s="15"/>
      <c r="UEY602" s="50"/>
      <c r="UEZ602" s="50"/>
      <c r="UFA602" s="46"/>
      <c r="UFB602" s="47"/>
      <c r="UFC602" s="46"/>
      <c r="UFD602" s="48"/>
      <c r="UFE602" s="53"/>
      <c r="UFL602" s="15"/>
      <c r="UFM602" s="50"/>
      <c r="UFN602" s="50"/>
      <c r="UFO602" s="46"/>
      <c r="UFP602" s="47"/>
      <c r="UFQ602" s="46"/>
      <c r="UFR602" s="48"/>
      <c r="UFS602" s="53"/>
      <c r="UFZ602" s="15"/>
      <c r="UGA602" s="50"/>
      <c r="UGB602" s="50"/>
      <c r="UGC602" s="46"/>
      <c r="UGD602" s="47"/>
      <c r="UGE602" s="46"/>
      <c r="UGF602" s="48"/>
      <c r="UGG602" s="53"/>
      <c r="UGN602" s="15"/>
      <c r="UGO602" s="50"/>
      <c r="UGP602" s="50"/>
      <c r="UGQ602" s="46"/>
      <c r="UGR602" s="47"/>
      <c r="UGS602" s="46"/>
      <c r="UGT602" s="48"/>
      <c r="UGU602" s="53"/>
      <c r="UHB602" s="15"/>
      <c r="UHC602" s="50"/>
      <c r="UHD602" s="50"/>
      <c r="UHE602" s="46"/>
      <c r="UHF602" s="47"/>
      <c r="UHG602" s="46"/>
      <c r="UHH602" s="48"/>
      <c r="UHI602" s="53"/>
      <c r="UHP602" s="15"/>
      <c r="UHQ602" s="50"/>
      <c r="UHR602" s="50"/>
      <c r="UHS602" s="46"/>
      <c r="UHT602" s="47"/>
      <c r="UHU602" s="46"/>
      <c r="UHV602" s="48"/>
      <c r="UHW602" s="53"/>
      <c r="UID602" s="15"/>
      <c r="UIE602" s="50"/>
      <c r="UIF602" s="50"/>
      <c r="UIG602" s="46"/>
      <c r="UIH602" s="47"/>
      <c r="UII602" s="46"/>
      <c r="UIJ602" s="48"/>
      <c r="UIK602" s="53"/>
      <c r="UIR602" s="15"/>
      <c r="UIS602" s="50"/>
      <c r="UIT602" s="50"/>
      <c r="UIU602" s="46"/>
      <c r="UIV602" s="47"/>
      <c r="UIW602" s="46"/>
      <c r="UIX602" s="48"/>
      <c r="UIY602" s="53"/>
      <c r="UJF602" s="15"/>
      <c r="UJG602" s="50"/>
      <c r="UJH602" s="50"/>
      <c r="UJI602" s="46"/>
      <c r="UJJ602" s="47"/>
      <c r="UJK602" s="46"/>
      <c r="UJL602" s="48"/>
      <c r="UJM602" s="53"/>
      <c r="UJT602" s="15"/>
      <c r="UJU602" s="50"/>
      <c r="UJV602" s="50"/>
      <c r="UJW602" s="46"/>
      <c r="UJX602" s="47"/>
      <c r="UJY602" s="46"/>
      <c r="UJZ602" s="48"/>
      <c r="UKA602" s="53"/>
      <c r="UKH602" s="15"/>
      <c r="UKI602" s="50"/>
      <c r="UKJ602" s="50"/>
      <c r="UKK602" s="46"/>
      <c r="UKL602" s="47"/>
      <c r="UKM602" s="46"/>
      <c r="UKN602" s="48"/>
      <c r="UKO602" s="53"/>
      <c r="UKV602" s="15"/>
      <c r="UKW602" s="50"/>
      <c r="UKX602" s="50"/>
      <c r="UKY602" s="46"/>
      <c r="UKZ602" s="47"/>
      <c r="ULA602" s="46"/>
      <c r="ULB602" s="48"/>
      <c r="ULC602" s="53"/>
      <c r="ULJ602" s="15"/>
      <c r="ULK602" s="50"/>
      <c r="ULL602" s="50"/>
      <c r="ULM602" s="46"/>
      <c r="ULN602" s="47"/>
      <c r="ULO602" s="46"/>
      <c r="ULP602" s="48"/>
      <c r="ULQ602" s="53"/>
      <c r="ULX602" s="15"/>
      <c r="ULY602" s="50"/>
      <c r="ULZ602" s="50"/>
      <c r="UMA602" s="46"/>
      <c r="UMB602" s="47"/>
      <c r="UMC602" s="46"/>
      <c r="UMD602" s="48"/>
      <c r="UME602" s="53"/>
      <c r="UML602" s="15"/>
      <c r="UMM602" s="50"/>
      <c r="UMN602" s="50"/>
      <c r="UMO602" s="46"/>
      <c r="UMP602" s="47"/>
      <c r="UMQ602" s="46"/>
      <c r="UMR602" s="48"/>
      <c r="UMS602" s="53"/>
      <c r="UMZ602" s="15"/>
      <c r="UNA602" s="50"/>
      <c r="UNB602" s="50"/>
      <c r="UNC602" s="46"/>
      <c r="UND602" s="47"/>
      <c r="UNE602" s="46"/>
      <c r="UNF602" s="48"/>
      <c r="UNG602" s="53"/>
      <c r="UNN602" s="15"/>
      <c r="UNO602" s="50"/>
      <c r="UNP602" s="50"/>
      <c r="UNQ602" s="46"/>
      <c r="UNR602" s="47"/>
      <c r="UNS602" s="46"/>
      <c r="UNT602" s="48"/>
      <c r="UNU602" s="53"/>
      <c r="UOB602" s="15"/>
      <c r="UOC602" s="50"/>
      <c r="UOD602" s="50"/>
      <c r="UOE602" s="46"/>
      <c r="UOF602" s="47"/>
      <c r="UOG602" s="46"/>
      <c r="UOH602" s="48"/>
      <c r="UOI602" s="53"/>
      <c r="UOP602" s="15"/>
      <c r="UOQ602" s="50"/>
      <c r="UOR602" s="50"/>
      <c r="UOS602" s="46"/>
      <c r="UOT602" s="47"/>
      <c r="UOU602" s="46"/>
      <c r="UOV602" s="48"/>
      <c r="UOW602" s="53"/>
      <c r="UPD602" s="15"/>
      <c r="UPE602" s="50"/>
      <c r="UPF602" s="50"/>
      <c r="UPG602" s="46"/>
      <c r="UPH602" s="47"/>
      <c r="UPI602" s="46"/>
      <c r="UPJ602" s="48"/>
      <c r="UPK602" s="53"/>
      <c r="UPR602" s="15"/>
      <c r="UPS602" s="50"/>
      <c r="UPT602" s="50"/>
      <c r="UPU602" s="46"/>
      <c r="UPV602" s="47"/>
      <c r="UPW602" s="46"/>
      <c r="UPX602" s="48"/>
      <c r="UPY602" s="53"/>
      <c r="UQF602" s="15"/>
      <c r="UQG602" s="50"/>
      <c r="UQH602" s="50"/>
      <c r="UQI602" s="46"/>
      <c r="UQJ602" s="47"/>
      <c r="UQK602" s="46"/>
      <c r="UQL602" s="48"/>
      <c r="UQM602" s="53"/>
      <c r="UQT602" s="15"/>
      <c r="UQU602" s="50"/>
      <c r="UQV602" s="50"/>
      <c r="UQW602" s="46"/>
      <c r="UQX602" s="47"/>
      <c r="UQY602" s="46"/>
      <c r="UQZ602" s="48"/>
      <c r="URA602" s="53"/>
      <c r="URH602" s="15"/>
      <c r="URI602" s="50"/>
      <c r="URJ602" s="50"/>
      <c r="URK602" s="46"/>
      <c r="URL602" s="47"/>
      <c r="URM602" s="46"/>
      <c r="URN602" s="48"/>
      <c r="URO602" s="53"/>
      <c r="URV602" s="15"/>
      <c r="URW602" s="50"/>
      <c r="URX602" s="50"/>
      <c r="URY602" s="46"/>
      <c r="URZ602" s="47"/>
      <c r="USA602" s="46"/>
      <c r="USB602" s="48"/>
      <c r="USC602" s="53"/>
      <c r="USJ602" s="15"/>
      <c r="USK602" s="50"/>
      <c r="USL602" s="50"/>
      <c r="USM602" s="46"/>
      <c r="USN602" s="47"/>
      <c r="USO602" s="46"/>
      <c r="USP602" s="48"/>
      <c r="USQ602" s="53"/>
      <c r="USX602" s="15"/>
      <c r="USY602" s="50"/>
      <c r="USZ602" s="50"/>
      <c r="UTA602" s="46"/>
      <c r="UTB602" s="47"/>
      <c r="UTC602" s="46"/>
      <c r="UTD602" s="48"/>
      <c r="UTE602" s="53"/>
      <c r="UTL602" s="15"/>
      <c r="UTM602" s="50"/>
      <c r="UTN602" s="50"/>
      <c r="UTO602" s="46"/>
      <c r="UTP602" s="47"/>
      <c r="UTQ602" s="46"/>
      <c r="UTR602" s="48"/>
      <c r="UTS602" s="53"/>
      <c r="UTZ602" s="15"/>
      <c r="UUA602" s="50"/>
      <c r="UUB602" s="50"/>
      <c r="UUC602" s="46"/>
      <c r="UUD602" s="47"/>
      <c r="UUE602" s="46"/>
      <c r="UUF602" s="48"/>
      <c r="UUG602" s="53"/>
      <c r="UUN602" s="15"/>
      <c r="UUO602" s="50"/>
      <c r="UUP602" s="50"/>
      <c r="UUQ602" s="46"/>
      <c r="UUR602" s="47"/>
      <c r="UUS602" s="46"/>
      <c r="UUT602" s="48"/>
      <c r="UUU602" s="53"/>
      <c r="UVB602" s="15"/>
      <c r="UVC602" s="50"/>
      <c r="UVD602" s="50"/>
      <c r="UVE602" s="46"/>
      <c r="UVF602" s="47"/>
      <c r="UVG602" s="46"/>
      <c r="UVH602" s="48"/>
      <c r="UVI602" s="53"/>
      <c r="UVP602" s="15"/>
      <c r="UVQ602" s="50"/>
      <c r="UVR602" s="50"/>
      <c r="UVS602" s="46"/>
      <c r="UVT602" s="47"/>
      <c r="UVU602" s="46"/>
      <c r="UVV602" s="48"/>
      <c r="UVW602" s="53"/>
      <c r="UWD602" s="15"/>
      <c r="UWE602" s="50"/>
      <c r="UWF602" s="50"/>
      <c r="UWG602" s="46"/>
      <c r="UWH602" s="47"/>
      <c r="UWI602" s="46"/>
      <c r="UWJ602" s="48"/>
      <c r="UWK602" s="53"/>
      <c r="UWR602" s="15"/>
      <c r="UWS602" s="50"/>
      <c r="UWT602" s="50"/>
      <c r="UWU602" s="46"/>
      <c r="UWV602" s="47"/>
      <c r="UWW602" s="46"/>
      <c r="UWX602" s="48"/>
      <c r="UWY602" s="53"/>
      <c r="UXF602" s="15"/>
      <c r="UXG602" s="50"/>
      <c r="UXH602" s="50"/>
      <c r="UXI602" s="46"/>
      <c r="UXJ602" s="47"/>
      <c r="UXK602" s="46"/>
      <c r="UXL602" s="48"/>
      <c r="UXM602" s="53"/>
      <c r="UXT602" s="15"/>
      <c r="UXU602" s="50"/>
      <c r="UXV602" s="50"/>
      <c r="UXW602" s="46"/>
      <c r="UXX602" s="47"/>
      <c r="UXY602" s="46"/>
      <c r="UXZ602" s="48"/>
      <c r="UYA602" s="53"/>
      <c r="UYH602" s="15"/>
      <c r="UYI602" s="50"/>
      <c r="UYJ602" s="50"/>
      <c r="UYK602" s="46"/>
      <c r="UYL602" s="47"/>
      <c r="UYM602" s="46"/>
      <c r="UYN602" s="48"/>
      <c r="UYO602" s="53"/>
      <c r="UYV602" s="15"/>
      <c r="UYW602" s="50"/>
      <c r="UYX602" s="50"/>
      <c r="UYY602" s="46"/>
      <c r="UYZ602" s="47"/>
      <c r="UZA602" s="46"/>
      <c r="UZB602" s="48"/>
      <c r="UZC602" s="53"/>
      <c r="UZJ602" s="15"/>
      <c r="UZK602" s="50"/>
      <c r="UZL602" s="50"/>
      <c r="UZM602" s="46"/>
      <c r="UZN602" s="47"/>
      <c r="UZO602" s="46"/>
      <c r="UZP602" s="48"/>
      <c r="UZQ602" s="53"/>
      <c r="UZX602" s="15"/>
      <c r="UZY602" s="50"/>
      <c r="UZZ602" s="50"/>
      <c r="VAA602" s="46"/>
      <c r="VAB602" s="47"/>
      <c r="VAC602" s="46"/>
      <c r="VAD602" s="48"/>
      <c r="VAE602" s="53"/>
      <c r="VAL602" s="15"/>
      <c r="VAM602" s="50"/>
      <c r="VAN602" s="50"/>
      <c r="VAO602" s="46"/>
      <c r="VAP602" s="47"/>
      <c r="VAQ602" s="46"/>
      <c r="VAR602" s="48"/>
      <c r="VAS602" s="53"/>
      <c r="VAZ602" s="15"/>
      <c r="VBA602" s="50"/>
      <c r="VBB602" s="50"/>
      <c r="VBC602" s="46"/>
      <c r="VBD602" s="47"/>
      <c r="VBE602" s="46"/>
      <c r="VBF602" s="48"/>
      <c r="VBG602" s="53"/>
      <c r="VBN602" s="15"/>
      <c r="VBO602" s="50"/>
      <c r="VBP602" s="50"/>
      <c r="VBQ602" s="46"/>
      <c r="VBR602" s="47"/>
      <c r="VBS602" s="46"/>
      <c r="VBT602" s="48"/>
      <c r="VBU602" s="53"/>
      <c r="VCB602" s="15"/>
      <c r="VCC602" s="50"/>
      <c r="VCD602" s="50"/>
      <c r="VCE602" s="46"/>
      <c r="VCF602" s="47"/>
      <c r="VCG602" s="46"/>
      <c r="VCH602" s="48"/>
      <c r="VCI602" s="53"/>
      <c r="VCP602" s="15"/>
      <c r="VCQ602" s="50"/>
      <c r="VCR602" s="50"/>
      <c r="VCS602" s="46"/>
      <c r="VCT602" s="47"/>
      <c r="VCU602" s="46"/>
      <c r="VCV602" s="48"/>
      <c r="VCW602" s="53"/>
      <c r="VDD602" s="15"/>
      <c r="VDE602" s="50"/>
      <c r="VDF602" s="50"/>
      <c r="VDG602" s="46"/>
      <c r="VDH602" s="47"/>
      <c r="VDI602" s="46"/>
      <c r="VDJ602" s="48"/>
      <c r="VDK602" s="53"/>
      <c r="VDR602" s="15"/>
      <c r="VDS602" s="50"/>
      <c r="VDT602" s="50"/>
      <c r="VDU602" s="46"/>
      <c r="VDV602" s="47"/>
      <c r="VDW602" s="46"/>
      <c r="VDX602" s="48"/>
      <c r="VDY602" s="53"/>
      <c r="VEF602" s="15"/>
      <c r="VEG602" s="50"/>
      <c r="VEH602" s="50"/>
      <c r="VEI602" s="46"/>
      <c r="VEJ602" s="47"/>
      <c r="VEK602" s="46"/>
      <c r="VEL602" s="48"/>
      <c r="VEM602" s="53"/>
      <c r="VET602" s="15"/>
      <c r="VEU602" s="50"/>
      <c r="VEV602" s="50"/>
      <c r="VEW602" s="46"/>
      <c r="VEX602" s="47"/>
      <c r="VEY602" s="46"/>
      <c r="VEZ602" s="48"/>
      <c r="VFA602" s="53"/>
      <c r="VFH602" s="15"/>
      <c r="VFI602" s="50"/>
      <c r="VFJ602" s="50"/>
      <c r="VFK602" s="46"/>
      <c r="VFL602" s="47"/>
      <c r="VFM602" s="46"/>
      <c r="VFN602" s="48"/>
      <c r="VFO602" s="53"/>
      <c r="VFV602" s="15"/>
      <c r="VFW602" s="50"/>
      <c r="VFX602" s="50"/>
      <c r="VFY602" s="46"/>
      <c r="VFZ602" s="47"/>
      <c r="VGA602" s="46"/>
      <c r="VGB602" s="48"/>
      <c r="VGC602" s="53"/>
      <c r="VGJ602" s="15"/>
      <c r="VGK602" s="50"/>
      <c r="VGL602" s="50"/>
      <c r="VGM602" s="46"/>
      <c r="VGN602" s="47"/>
      <c r="VGO602" s="46"/>
      <c r="VGP602" s="48"/>
      <c r="VGQ602" s="53"/>
      <c r="VGX602" s="15"/>
      <c r="VGY602" s="50"/>
      <c r="VGZ602" s="50"/>
      <c r="VHA602" s="46"/>
      <c r="VHB602" s="47"/>
      <c r="VHC602" s="46"/>
      <c r="VHD602" s="48"/>
      <c r="VHE602" s="53"/>
      <c r="VHL602" s="15"/>
      <c r="VHM602" s="50"/>
      <c r="VHN602" s="50"/>
      <c r="VHO602" s="46"/>
      <c r="VHP602" s="47"/>
      <c r="VHQ602" s="46"/>
      <c r="VHR602" s="48"/>
      <c r="VHS602" s="53"/>
      <c r="VHZ602" s="15"/>
      <c r="VIA602" s="50"/>
      <c r="VIB602" s="50"/>
      <c r="VIC602" s="46"/>
      <c r="VID602" s="47"/>
      <c r="VIE602" s="46"/>
      <c r="VIF602" s="48"/>
      <c r="VIG602" s="53"/>
      <c r="VIN602" s="15"/>
      <c r="VIO602" s="50"/>
      <c r="VIP602" s="50"/>
      <c r="VIQ602" s="46"/>
      <c r="VIR602" s="47"/>
      <c r="VIS602" s="46"/>
      <c r="VIT602" s="48"/>
      <c r="VIU602" s="53"/>
      <c r="VJB602" s="15"/>
      <c r="VJC602" s="50"/>
      <c r="VJD602" s="50"/>
      <c r="VJE602" s="46"/>
      <c r="VJF602" s="47"/>
      <c r="VJG602" s="46"/>
      <c r="VJH602" s="48"/>
      <c r="VJI602" s="53"/>
      <c r="VJP602" s="15"/>
      <c r="VJQ602" s="50"/>
      <c r="VJR602" s="50"/>
      <c r="VJS602" s="46"/>
      <c r="VJT602" s="47"/>
      <c r="VJU602" s="46"/>
      <c r="VJV602" s="48"/>
      <c r="VJW602" s="53"/>
      <c r="VKD602" s="15"/>
      <c r="VKE602" s="50"/>
      <c r="VKF602" s="50"/>
      <c r="VKG602" s="46"/>
      <c r="VKH602" s="47"/>
      <c r="VKI602" s="46"/>
      <c r="VKJ602" s="48"/>
      <c r="VKK602" s="53"/>
      <c r="VKR602" s="15"/>
      <c r="VKS602" s="50"/>
      <c r="VKT602" s="50"/>
      <c r="VKU602" s="46"/>
      <c r="VKV602" s="47"/>
      <c r="VKW602" s="46"/>
      <c r="VKX602" s="48"/>
      <c r="VKY602" s="53"/>
      <c r="VLF602" s="15"/>
      <c r="VLG602" s="50"/>
      <c r="VLH602" s="50"/>
      <c r="VLI602" s="46"/>
      <c r="VLJ602" s="47"/>
      <c r="VLK602" s="46"/>
      <c r="VLL602" s="48"/>
      <c r="VLM602" s="53"/>
      <c r="VLT602" s="15"/>
      <c r="VLU602" s="50"/>
      <c r="VLV602" s="50"/>
      <c r="VLW602" s="46"/>
      <c r="VLX602" s="47"/>
      <c r="VLY602" s="46"/>
      <c r="VLZ602" s="48"/>
      <c r="VMA602" s="53"/>
      <c r="VMH602" s="15"/>
      <c r="VMI602" s="50"/>
      <c r="VMJ602" s="50"/>
      <c r="VMK602" s="46"/>
      <c r="VML602" s="47"/>
      <c r="VMM602" s="46"/>
      <c r="VMN602" s="48"/>
      <c r="VMO602" s="53"/>
      <c r="VMV602" s="15"/>
      <c r="VMW602" s="50"/>
      <c r="VMX602" s="50"/>
      <c r="VMY602" s="46"/>
      <c r="VMZ602" s="47"/>
      <c r="VNA602" s="46"/>
      <c r="VNB602" s="48"/>
      <c r="VNC602" s="53"/>
      <c r="VNJ602" s="15"/>
      <c r="VNK602" s="50"/>
      <c r="VNL602" s="50"/>
      <c r="VNM602" s="46"/>
      <c r="VNN602" s="47"/>
      <c r="VNO602" s="46"/>
      <c r="VNP602" s="48"/>
      <c r="VNQ602" s="53"/>
      <c r="VNX602" s="15"/>
      <c r="VNY602" s="50"/>
      <c r="VNZ602" s="50"/>
      <c r="VOA602" s="46"/>
      <c r="VOB602" s="47"/>
      <c r="VOC602" s="46"/>
      <c r="VOD602" s="48"/>
      <c r="VOE602" s="53"/>
      <c r="VOL602" s="15"/>
      <c r="VOM602" s="50"/>
      <c r="VON602" s="50"/>
      <c r="VOO602" s="46"/>
      <c r="VOP602" s="47"/>
      <c r="VOQ602" s="46"/>
      <c r="VOR602" s="48"/>
      <c r="VOS602" s="53"/>
      <c r="VOZ602" s="15"/>
      <c r="VPA602" s="50"/>
      <c r="VPB602" s="50"/>
      <c r="VPC602" s="46"/>
      <c r="VPD602" s="47"/>
      <c r="VPE602" s="46"/>
      <c r="VPF602" s="48"/>
      <c r="VPG602" s="53"/>
      <c r="VPN602" s="15"/>
      <c r="VPO602" s="50"/>
      <c r="VPP602" s="50"/>
      <c r="VPQ602" s="46"/>
      <c r="VPR602" s="47"/>
      <c r="VPS602" s="46"/>
      <c r="VPT602" s="48"/>
      <c r="VPU602" s="53"/>
      <c r="VQB602" s="15"/>
      <c r="VQC602" s="50"/>
      <c r="VQD602" s="50"/>
      <c r="VQE602" s="46"/>
      <c r="VQF602" s="47"/>
      <c r="VQG602" s="46"/>
      <c r="VQH602" s="48"/>
      <c r="VQI602" s="53"/>
      <c r="VQP602" s="15"/>
      <c r="VQQ602" s="50"/>
      <c r="VQR602" s="50"/>
      <c r="VQS602" s="46"/>
      <c r="VQT602" s="47"/>
      <c r="VQU602" s="46"/>
      <c r="VQV602" s="48"/>
      <c r="VQW602" s="53"/>
      <c r="VRD602" s="15"/>
      <c r="VRE602" s="50"/>
      <c r="VRF602" s="50"/>
      <c r="VRG602" s="46"/>
      <c r="VRH602" s="47"/>
      <c r="VRI602" s="46"/>
      <c r="VRJ602" s="48"/>
      <c r="VRK602" s="53"/>
      <c r="VRR602" s="15"/>
      <c r="VRS602" s="50"/>
      <c r="VRT602" s="50"/>
      <c r="VRU602" s="46"/>
      <c r="VRV602" s="47"/>
      <c r="VRW602" s="46"/>
      <c r="VRX602" s="48"/>
      <c r="VRY602" s="53"/>
      <c r="VSF602" s="15"/>
      <c r="VSG602" s="50"/>
      <c r="VSH602" s="50"/>
      <c r="VSI602" s="46"/>
      <c r="VSJ602" s="47"/>
      <c r="VSK602" s="46"/>
      <c r="VSL602" s="48"/>
      <c r="VSM602" s="53"/>
      <c r="VST602" s="15"/>
      <c r="VSU602" s="50"/>
      <c r="VSV602" s="50"/>
      <c r="VSW602" s="46"/>
      <c r="VSX602" s="47"/>
      <c r="VSY602" s="46"/>
      <c r="VSZ602" s="48"/>
      <c r="VTA602" s="53"/>
      <c r="VTH602" s="15"/>
      <c r="VTI602" s="50"/>
      <c r="VTJ602" s="50"/>
      <c r="VTK602" s="46"/>
      <c r="VTL602" s="47"/>
      <c r="VTM602" s="46"/>
      <c r="VTN602" s="48"/>
      <c r="VTO602" s="53"/>
      <c r="VTV602" s="15"/>
      <c r="VTW602" s="50"/>
      <c r="VTX602" s="50"/>
      <c r="VTY602" s="46"/>
      <c r="VTZ602" s="47"/>
      <c r="VUA602" s="46"/>
      <c r="VUB602" s="48"/>
      <c r="VUC602" s="53"/>
      <c r="VUJ602" s="15"/>
      <c r="VUK602" s="50"/>
      <c r="VUL602" s="50"/>
      <c r="VUM602" s="46"/>
      <c r="VUN602" s="47"/>
      <c r="VUO602" s="46"/>
      <c r="VUP602" s="48"/>
      <c r="VUQ602" s="53"/>
      <c r="VUX602" s="15"/>
      <c r="VUY602" s="50"/>
      <c r="VUZ602" s="50"/>
      <c r="VVA602" s="46"/>
      <c r="VVB602" s="47"/>
      <c r="VVC602" s="46"/>
      <c r="VVD602" s="48"/>
      <c r="VVE602" s="53"/>
      <c r="VVL602" s="15"/>
      <c r="VVM602" s="50"/>
      <c r="VVN602" s="50"/>
      <c r="VVO602" s="46"/>
      <c r="VVP602" s="47"/>
      <c r="VVQ602" s="46"/>
      <c r="VVR602" s="48"/>
      <c r="VVS602" s="53"/>
      <c r="VVZ602" s="15"/>
      <c r="VWA602" s="50"/>
      <c r="VWB602" s="50"/>
      <c r="VWC602" s="46"/>
      <c r="VWD602" s="47"/>
      <c r="VWE602" s="46"/>
      <c r="VWF602" s="48"/>
      <c r="VWG602" s="53"/>
      <c r="VWN602" s="15"/>
      <c r="VWO602" s="50"/>
      <c r="VWP602" s="50"/>
      <c r="VWQ602" s="46"/>
      <c r="VWR602" s="47"/>
      <c r="VWS602" s="46"/>
      <c r="VWT602" s="48"/>
      <c r="VWU602" s="53"/>
      <c r="VXB602" s="15"/>
      <c r="VXC602" s="50"/>
      <c r="VXD602" s="50"/>
      <c r="VXE602" s="46"/>
      <c r="VXF602" s="47"/>
      <c r="VXG602" s="46"/>
      <c r="VXH602" s="48"/>
      <c r="VXI602" s="53"/>
      <c r="VXP602" s="15"/>
      <c r="VXQ602" s="50"/>
      <c r="VXR602" s="50"/>
      <c r="VXS602" s="46"/>
      <c r="VXT602" s="47"/>
      <c r="VXU602" s="46"/>
      <c r="VXV602" s="48"/>
      <c r="VXW602" s="53"/>
      <c r="VYD602" s="15"/>
      <c r="VYE602" s="50"/>
      <c r="VYF602" s="50"/>
      <c r="VYG602" s="46"/>
      <c r="VYH602" s="47"/>
      <c r="VYI602" s="46"/>
      <c r="VYJ602" s="48"/>
      <c r="VYK602" s="53"/>
      <c r="VYR602" s="15"/>
      <c r="VYS602" s="50"/>
      <c r="VYT602" s="50"/>
      <c r="VYU602" s="46"/>
      <c r="VYV602" s="47"/>
      <c r="VYW602" s="46"/>
      <c r="VYX602" s="48"/>
      <c r="VYY602" s="53"/>
      <c r="VZF602" s="15"/>
      <c r="VZG602" s="50"/>
      <c r="VZH602" s="50"/>
      <c r="VZI602" s="46"/>
      <c r="VZJ602" s="47"/>
      <c r="VZK602" s="46"/>
      <c r="VZL602" s="48"/>
      <c r="VZM602" s="53"/>
      <c r="VZT602" s="15"/>
      <c r="VZU602" s="50"/>
      <c r="VZV602" s="50"/>
      <c r="VZW602" s="46"/>
      <c r="VZX602" s="47"/>
      <c r="VZY602" s="46"/>
      <c r="VZZ602" s="48"/>
      <c r="WAA602" s="53"/>
      <c r="WAH602" s="15"/>
      <c r="WAI602" s="50"/>
      <c r="WAJ602" s="50"/>
      <c r="WAK602" s="46"/>
      <c r="WAL602" s="47"/>
      <c r="WAM602" s="46"/>
      <c r="WAN602" s="48"/>
      <c r="WAO602" s="53"/>
      <c r="WAV602" s="15"/>
      <c r="WAW602" s="50"/>
      <c r="WAX602" s="50"/>
      <c r="WAY602" s="46"/>
      <c r="WAZ602" s="47"/>
      <c r="WBA602" s="46"/>
      <c r="WBB602" s="48"/>
      <c r="WBC602" s="53"/>
      <c r="WBJ602" s="15"/>
      <c r="WBK602" s="50"/>
      <c r="WBL602" s="50"/>
      <c r="WBM602" s="46"/>
      <c r="WBN602" s="47"/>
      <c r="WBO602" s="46"/>
      <c r="WBP602" s="48"/>
      <c r="WBQ602" s="53"/>
      <c r="WBX602" s="15"/>
      <c r="WBY602" s="50"/>
      <c r="WBZ602" s="50"/>
      <c r="WCA602" s="46"/>
      <c r="WCB602" s="47"/>
      <c r="WCC602" s="46"/>
      <c r="WCD602" s="48"/>
      <c r="WCE602" s="53"/>
      <c r="WCL602" s="15"/>
      <c r="WCM602" s="50"/>
      <c r="WCN602" s="50"/>
      <c r="WCO602" s="46"/>
      <c r="WCP602" s="47"/>
      <c r="WCQ602" s="46"/>
      <c r="WCR602" s="48"/>
      <c r="WCS602" s="53"/>
      <c r="WCZ602" s="15"/>
      <c r="WDA602" s="50"/>
      <c r="WDB602" s="50"/>
      <c r="WDC602" s="46"/>
      <c r="WDD602" s="47"/>
      <c r="WDE602" s="46"/>
      <c r="WDF602" s="48"/>
      <c r="WDG602" s="53"/>
      <c r="WDN602" s="15"/>
      <c r="WDO602" s="50"/>
      <c r="WDP602" s="50"/>
      <c r="WDQ602" s="46"/>
      <c r="WDR602" s="47"/>
      <c r="WDS602" s="46"/>
      <c r="WDT602" s="48"/>
      <c r="WDU602" s="53"/>
      <c r="WEB602" s="15"/>
      <c r="WEC602" s="50"/>
      <c r="WED602" s="50"/>
      <c r="WEE602" s="46"/>
      <c r="WEF602" s="47"/>
      <c r="WEG602" s="46"/>
      <c r="WEH602" s="48"/>
      <c r="WEI602" s="53"/>
      <c r="WEP602" s="15"/>
      <c r="WEQ602" s="50"/>
      <c r="WER602" s="50"/>
      <c r="WES602" s="46"/>
      <c r="WET602" s="47"/>
      <c r="WEU602" s="46"/>
      <c r="WEV602" s="48"/>
      <c r="WEW602" s="53"/>
      <c r="WFD602" s="15"/>
      <c r="WFE602" s="50"/>
      <c r="WFF602" s="50"/>
      <c r="WFG602" s="46"/>
      <c r="WFH602" s="47"/>
      <c r="WFI602" s="46"/>
      <c r="WFJ602" s="48"/>
      <c r="WFK602" s="53"/>
      <c r="WFR602" s="15"/>
      <c r="WFS602" s="50"/>
      <c r="WFT602" s="50"/>
      <c r="WFU602" s="46"/>
      <c r="WFV602" s="47"/>
      <c r="WFW602" s="46"/>
      <c r="WFX602" s="48"/>
      <c r="WFY602" s="53"/>
      <c r="WGF602" s="15"/>
      <c r="WGG602" s="50"/>
      <c r="WGH602" s="50"/>
      <c r="WGI602" s="46"/>
      <c r="WGJ602" s="47"/>
      <c r="WGK602" s="46"/>
      <c r="WGL602" s="48"/>
      <c r="WGM602" s="53"/>
      <c r="WGT602" s="15"/>
      <c r="WGU602" s="50"/>
      <c r="WGV602" s="50"/>
      <c r="WGW602" s="46"/>
      <c r="WGX602" s="47"/>
      <c r="WGY602" s="46"/>
      <c r="WGZ602" s="48"/>
      <c r="WHA602" s="53"/>
      <c r="WHH602" s="15"/>
      <c r="WHI602" s="50"/>
      <c r="WHJ602" s="50"/>
      <c r="WHK602" s="46"/>
      <c r="WHL602" s="47"/>
      <c r="WHM602" s="46"/>
      <c r="WHN602" s="48"/>
      <c r="WHO602" s="53"/>
      <c r="WHV602" s="15"/>
      <c r="WHW602" s="50"/>
      <c r="WHX602" s="50"/>
      <c r="WHY602" s="46"/>
      <c r="WHZ602" s="47"/>
      <c r="WIA602" s="46"/>
      <c r="WIB602" s="48"/>
      <c r="WIC602" s="53"/>
      <c r="WIJ602" s="15"/>
      <c r="WIK602" s="50"/>
      <c r="WIL602" s="50"/>
      <c r="WIM602" s="46"/>
      <c r="WIN602" s="47"/>
      <c r="WIO602" s="46"/>
      <c r="WIP602" s="48"/>
      <c r="WIQ602" s="53"/>
      <c r="WIX602" s="15"/>
      <c r="WIY602" s="50"/>
      <c r="WIZ602" s="50"/>
      <c r="WJA602" s="46"/>
      <c r="WJB602" s="47"/>
      <c r="WJC602" s="46"/>
      <c r="WJD602" s="48"/>
      <c r="WJE602" s="53"/>
      <c r="WJL602" s="15"/>
      <c r="WJM602" s="50"/>
      <c r="WJN602" s="50"/>
      <c r="WJO602" s="46"/>
      <c r="WJP602" s="47"/>
      <c r="WJQ602" s="46"/>
      <c r="WJR602" s="48"/>
      <c r="WJS602" s="53"/>
      <c r="WJZ602" s="15"/>
      <c r="WKA602" s="50"/>
      <c r="WKB602" s="50"/>
      <c r="WKC602" s="46"/>
      <c r="WKD602" s="47"/>
      <c r="WKE602" s="46"/>
      <c r="WKF602" s="48"/>
      <c r="WKG602" s="53"/>
      <c r="WKN602" s="15"/>
      <c r="WKO602" s="50"/>
      <c r="WKP602" s="50"/>
      <c r="WKQ602" s="46"/>
      <c r="WKR602" s="47"/>
      <c r="WKS602" s="46"/>
      <c r="WKT602" s="48"/>
      <c r="WKU602" s="53"/>
      <c r="WLB602" s="15"/>
      <c r="WLC602" s="50"/>
      <c r="WLD602" s="50"/>
      <c r="WLE602" s="46"/>
      <c r="WLF602" s="47"/>
      <c r="WLG602" s="46"/>
      <c r="WLH602" s="48"/>
      <c r="WLI602" s="53"/>
      <c r="WLP602" s="15"/>
      <c r="WLQ602" s="50"/>
      <c r="WLR602" s="50"/>
      <c r="WLS602" s="46"/>
      <c r="WLT602" s="47"/>
      <c r="WLU602" s="46"/>
      <c r="WLV602" s="48"/>
      <c r="WLW602" s="53"/>
      <c r="WMD602" s="15"/>
      <c r="WME602" s="50"/>
      <c r="WMF602" s="50"/>
      <c r="WMG602" s="46"/>
      <c r="WMH602" s="47"/>
      <c r="WMI602" s="46"/>
      <c r="WMJ602" s="48"/>
      <c r="WMK602" s="53"/>
      <c r="WMR602" s="15"/>
      <c r="WMS602" s="50"/>
      <c r="WMT602" s="50"/>
      <c r="WMU602" s="46"/>
      <c r="WMV602" s="47"/>
      <c r="WMW602" s="46"/>
      <c r="WMX602" s="48"/>
      <c r="WMY602" s="53"/>
      <c r="WNF602" s="15"/>
      <c r="WNG602" s="50"/>
      <c r="WNH602" s="50"/>
      <c r="WNI602" s="46"/>
      <c r="WNJ602" s="47"/>
      <c r="WNK602" s="46"/>
      <c r="WNL602" s="48"/>
      <c r="WNM602" s="53"/>
      <c r="WNT602" s="15"/>
      <c r="WNU602" s="50"/>
      <c r="WNV602" s="50"/>
      <c r="WNW602" s="46"/>
      <c r="WNX602" s="47"/>
      <c r="WNY602" s="46"/>
      <c r="WNZ602" s="48"/>
      <c r="WOA602" s="53"/>
      <c r="WOH602" s="15"/>
      <c r="WOI602" s="50"/>
      <c r="WOJ602" s="50"/>
      <c r="WOK602" s="46"/>
      <c r="WOL602" s="47"/>
      <c r="WOM602" s="46"/>
      <c r="WON602" s="48"/>
      <c r="WOO602" s="53"/>
      <c r="WOV602" s="15"/>
      <c r="WOW602" s="50"/>
      <c r="WOX602" s="50"/>
      <c r="WOY602" s="46"/>
      <c r="WOZ602" s="47"/>
      <c r="WPA602" s="46"/>
      <c r="WPB602" s="48"/>
      <c r="WPC602" s="53"/>
      <c r="WPJ602" s="15"/>
      <c r="WPK602" s="50"/>
      <c r="WPL602" s="50"/>
      <c r="WPM602" s="46"/>
      <c r="WPN602" s="47"/>
      <c r="WPO602" s="46"/>
      <c r="WPP602" s="48"/>
      <c r="WPQ602" s="53"/>
      <c r="WPX602" s="15"/>
      <c r="WPY602" s="50"/>
      <c r="WPZ602" s="50"/>
      <c r="WQA602" s="46"/>
      <c r="WQB602" s="47"/>
      <c r="WQC602" s="46"/>
      <c r="WQD602" s="48"/>
      <c r="WQE602" s="53"/>
      <c r="WQL602" s="15"/>
      <c r="WQM602" s="50"/>
      <c r="WQN602" s="50"/>
      <c r="WQO602" s="46"/>
      <c r="WQP602" s="47"/>
      <c r="WQQ602" s="46"/>
      <c r="WQR602" s="48"/>
      <c r="WQS602" s="53"/>
      <c r="WQZ602" s="15"/>
      <c r="WRA602" s="50"/>
      <c r="WRB602" s="50"/>
      <c r="WRC602" s="46"/>
      <c r="WRD602" s="47"/>
      <c r="WRE602" s="46"/>
      <c r="WRF602" s="48"/>
      <c r="WRG602" s="53"/>
      <c r="WRN602" s="15"/>
      <c r="WRO602" s="50"/>
      <c r="WRP602" s="50"/>
      <c r="WRQ602" s="46"/>
      <c r="WRR602" s="47"/>
      <c r="WRS602" s="46"/>
      <c r="WRT602" s="48"/>
      <c r="WRU602" s="53"/>
      <c r="WSB602" s="15"/>
      <c r="WSC602" s="50"/>
      <c r="WSD602" s="50"/>
      <c r="WSE602" s="46"/>
      <c r="WSF602" s="47"/>
      <c r="WSG602" s="46"/>
      <c r="WSH602" s="48"/>
      <c r="WSI602" s="53"/>
      <c r="WSP602" s="15"/>
      <c r="WSQ602" s="50"/>
      <c r="WSR602" s="50"/>
      <c r="WSS602" s="46"/>
      <c r="WST602" s="47"/>
      <c r="WSU602" s="46"/>
      <c r="WSV602" s="48"/>
      <c r="WSW602" s="53"/>
      <c r="WTD602" s="15"/>
      <c r="WTE602" s="50"/>
      <c r="WTF602" s="50"/>
      <c r="WTG602" s="46"/>
      <c r="WTH602" s="47"/>
      <c r="WTI602" s="46"/>
      <c r="WTJ602" s="48"/>
      <c r="WTK602" s="53"/>
      <c r="WTR602" s="15"/>
      <c r="WTS602" s="50"/>
      <c r="WTT602" s="50"/>
      <c r="WTU602" s="46"/>
      <c r="WTV602" s="47"/>
      <c r="WTW602" s="46"/>
      <c r="WTX602" s="48"/>
      <c r="WTY602" s="53"/>
      <c r="WUF602" s="15"/>
      <c r="WUG602" s="50"/>
      <c r="WUH602" s="50"/>
      <c r="WUI602" s="46"/>
      <c r="WUJ602" s="47"/>
      <c r="WUK602" s="46"/>
      <c r="WUL602" s="48"/>
      <c r="WUM602" s="53"/>
      <c r="WUT602" s="15"/>
      <c r="WUU602" s="50"/>
      <c r="WUV602" s="50"/>
      <c r="WUW602" s="46"/>
      <c r="WUX602" s="47"/>
      <c r="WUY602" s="46"/>
      <c r="WUZ602" s="48"/>
      <c r="WVA602" s="53"/>
      <c r="WVH602" s="15"/>
      <c r="WVI602" s="50"/>
      <c r="WVJ602" s="50"/>
      <c r="WVK602" s="46"/>
      <c r="WVL602" s="47"/>
      <c r="WVM602" s="46"/>
      <c r="WVN602" s="48"/>
      <c r="WVO602" s="53"/>
      <c r="WVV602" s="15"/>
      <c r="WVW602" s="50"/>
      <c r="WVX602" s="50"/>
      <c r="WVY602" s="46"/>
      <c r="WVZ602" s="47"/>
      <c r="WWA602" s="46"/>
      <c r="WWB602" s="48"/>
      <c r="WWC602" s="53"/>
      <c r="WWJ602" s="15"/>
      <c r="WWK602" s="50"/>
      <c r="WWL602" s="50"/>
      <c r="WWM602" s="46"/>
      <c r="WWN602" s="47"/>
      <c r="WWO602" s="46"/>
      <c r="WWP602" s="48"/>
      <c r="WWQ602" s="53"/>
      <c r="WWX602" s="15"/>
      <c r="WWY602" s="50"/>
      <c r="WWZ602" s="50"/>
      <c r="WXA602" s="46"/>
      <c r="WXB602" s="47"/>
      <c r="WXC602" s="46"/>
      <c r="WXD602" s="48"/>
      <c r="WXE602" s="53"/>
      <c r="WXL602" s="15"/>
      <c r="WXM602" s="50"/>
      <c r="WXN602" s="50"/>
      <c r="WXO602" s="46"/>
      <c r="WXP602" s="47"/>
      <c r="WXQ602" s="46"/>
      <c r="WXR602" s="48"/>
      <c r="WXS602" s="53"/>
      <c r="WXZ602" s="15"/>
      <c r="WYA602" s="50"/>
      <c r="WYB602" s="50"/>
      <c r="WYC602" s="46"/>
      <c r="WYD602" s="47"/>
      <c r="WYE602" s="46"/>
      <c r="WYF602" s="48"/>
      <c r="WYG602" s="53"/>
      <c r="WYN602" s="15"/>
      <c r="WYO602" s="50"/>
      <c r="WYP602" s="50"/>
      <c r="WYQ602" s="46"/>
      <c r="WYR602" s="47"/>
      <c r="WYS602" s="46"/>
      <c r="WYT602" s="48"/>
      <c r="WYU602" s="53"/>
      <c r="WZB602" s="15"/>
      <c r="WZC602" s="50"/>
      <c r="WZD602" s="50"/>
      <c r="WZE602" s="46"/>
      <c r="WZF602" s="47"/>
      <c r="WZG602" s="46"/>
      <c r="WZH602" s="48"/>
      <c r="WZI602" s="53"/>
      <c r="WZP602" s="15"/>
      <c r="WZQ602" s="50"/>
      <c r="WZR602" s="50"/>
      <c r="WZS602" s="46"/>
      <c r="WZT602" s="47"/>
      <c r="WZU602" s="46"/>
      <c r="WZV602" s="48"/>
      <c r="WZW602" s="53"/>
      <c r="XAD602" s="15"/>
      <c r="XAE602" s="50"/>
      <c r="XAF602" s="50"/>
      <c r="XAG602" s="46"/>
      <c r="XAH602" s="47"/>
      <c r="XAI602" s="46"/>
      <c r="XAJ602" s="48"/>
      <c r="XAK602" s="53"/>
      <c r="XAR602" s="15"/>
      <c r="XAS602" s="50"/>
      <c r="XAT602" s="50"/>
      <c r="XAU602" s="46"/>
      <c r="XAV602" s="47"/>
      <c r="XAW602" s="46"/>
      <c r="XAX602" s="48"/>
      <c r="XAY602" s="53"/>
      <c r="XBF602" s="15"/>
      <c r="XBG602" s="50"/>
      <c r="XBH602" s="50"/>
      <c r="XBI602" s="46"/>
      <c r="XBJ602" s="47"/>
      <c r="XBK602" s="46"/>
      <c r="XBL602" s="48"/>
      <c r="XBM602" s="53"/>
      <c r="XBT602" s="15"/>
      <c r="XBU602" s="50"/>
      <c r="XBV602" s="50"/>
      <c r="XBW602" s="46"/>
      <c r="XBX602" s="47"/>
      <c r="XBY602" s="46"/>
      <c r="XBZ602" s="48"/>
      <c r="XCA602" s="53"/>
      <c r="XCH602" s="15"/>
      <c r="XCI602" s="50"/>
      <c r="XCJ602" s="50"/>
      <c r="XCK602" s="46"/>
      <c r="XCL602" s="47"/>
      <c r="XCM602" s="46"/>
      <c r="XCN602" s="48"/>
      <c r="XCO602" s="53"/>
      <c r="XCV602" s="15"/>
      <c r="XCW602" s="50"/>
      <c r="XCX602" s="50"/>
      <c r="XCY602" s="46"/>
      <c r="XCZ602" s="47"/>
      <c r="XDA602" s="46"/>
      <c r="XDB602" s="48"/>
      <c r="XDC602" s="53"/>
      <c r="XDJ602" s="15"/>
      <c r="XDK602" s="50"/>
      <c r="XDL602" s="50"/>
      <c r="XDM602" s="46"/>
      <c r="XDN602" s="47"/>
      <c r="XDO602" s="46"/>
      <c r="XDP602" s="48"/>
      <c r="XDQ602" s="53"/>
      <c r="XDX602" s="15"/>
      <c r="XDY602" s="50"/>
      <c r="XDZ602" s="50"/>
      <c r="XEA602" s="46"/>
      <c r="XEB602" s="47"/>
      <c r="XEC602" s="46"/>
      <c r="XED602" s="48"/>
      <c r="XEE602" s="53"/>
      <c r="XEL602" s="15"/>
      <c r="XEM602" s="50"/>
      <c r="XEN602" s="50"/>
      <c r="XEO602" s="46"/>
      <c r="XEP602" s="47"/>
      <c r="XEQ602" s="46"/>
      <c r="XER602" s="48"/>
      <c r="XES602" s="53"/>
      <c r="XEZ602" s="15"/>
      <c r="XFA602" s="50"/>
      <c r="XFB602" s="50"/>
      <c r="XFC602" s="46"/>
    </row>
    <row r="603" spans="1:4095 4102:5117 5124:6139 6146:11263 11270:12285 12292:13307 13314:16383" ht="16.2" x14ac:dyDescent="0.4">
      <c r="A603" s="15" t="str">
        <f t="shared" si="9"/>
        <v>modesg_inp_km_medios_emss_vclsmedia_scp1_emss</v>
      </c>
      <c r="B603" s="54" t="s">
        <v>27</v>
      </c>
      <c r="C603" s="50" t="s">
        <v>29</v>
      </c>
      <c r="D603" s="46" t="s">
        <v>431</v>
      </c>
      <c r="E603" s="47" t="s">
        <v>37</v>
      </c>
      <c r="F603" s="46" t="s">
        <v>493</v>
      </c>
      <c r="G603" s="48" t="s">
        <v>426</v>
      </c>
      <c r="H603" s="48" t="s">
        <v>426</v>
      </c>
      <c r="I603" s="56" t="s">
        <v>482</v>
      </c>
      <c r="J603" s="68" t="s">
        <v>514</v>
      </c>
      <c r="K603" s="68" t="s">
        <v>514</v>
      </c>
      <c r="L603" s="68"/>
      <c r="N603" s="15"/>
      <c r="O603" s="50"/>
      <c r="P603" s="50"/>
      <c r="Q603" s="46"/>
      <c r="R603" s="47"/>
      <c r="S603" s="46"/>
      <c r="T603" s="48"/>
      <c r="U603" s="53"/>
      <c r="AB603" s="15"/>
      <c r="AC603" s="50"/>
      <c r="AD603" s="50"/>
      <c r="AE603" s="46"/>
      <c r="AF603" s="47"/>
      <c r="AG603" s="46"/>
      <c r="AH603" s="48"/>
      <c r="AI603" s="53"/>
      <c r="AP603" s="15"/>
      <c r="AQ603" s="50"/>
      <c r="AR603" s="50"/>
      <c r="AS603" s="46"/>
      <c r="AT603" s="47"/>
      <c r="AU603" s="46"/>
      <c r="AV603" s="48"/>
      <c r="AW603" s="53"/>
      <c r="BD603" s="15"/>
      <c r="BE603" s="50"/>
      <c r="BF603" s="50"/>
      <c r="BG603" s="46"/>
      <c r="BH603" s="47"/>
      <c r="BI603" s="46"/>
      <c r="BJ603" s="48"/>
      <c r="BK603" s="53"/>
      <c r="BR603" s="15"/>
      <c r="BS603" s="50"/>
      <c r="BT603" s="50"/>
      <c r="BU603" s="46"/>
      <c r="BV603" s="47"/>
      <c r="BW603" s="46"/>
      <c r="BX603" s="48"/>
      <c r="BY603" s="53"/>
      <c r="CF603" s="15"/>
      <c r="CG603" s="50"/>
      <c r="CH603" s="50"/>
      <c r="CI603" s="46"/>
      <c r="CJ603" s="47"/>
      <c r="CK603" s="46"/>
      <c r="CL603" s="48"/>
      <c r="CM603" s="53"/>
      <c r="CT603" s="15"/>
      <c r="CU603" s="50"/>
      <c r="CV603" s="50"/>
      <c r="CW603" s="46"/>
      <c r="CX603" s="47"/>
      <c r="CY603" s="46"/>
      <c r="CZ603" s="48"/>
      <c r="DA603" s="53"/>
      <c r="DH603" s="15"/>
      <c r="DI603" s="50"/>
      <c r="DJ603" s="50"/>
      <c r="DK603" s="46"/>
      <c r="DL603" s="47"/>
      <c r="DM603" s="46"/>
      <c r="DN603" s="48"/>
      <c r="DO603" s="53"/>
      <c r="DV603" s="15"/>
      <c r="DW603" s="50"/>
      <c r="DX603" s="50"/>
      <c r="DY603" s="46"/>
      <c r="DZ603" s="47"/>
      <c r="EA603" s="46"/>
      <c r="EB603" s="48"/>
      <c r="EC603" s="53"/>
      <c r="EJ603" s="15"/>
      <c r="EK603" s="50"/>
      <c r="EL603" s="50"/>
      <c r="EM603" s="46"/>
      <c r="EN603" s="47"/>
      <c r="EO603" s="46"/>
      <c r="EP603" s="48"/>
      <c r="EQ603" s="53"/>
      <c r="EX603" s="15"/>
      <c r="EY603" s="50"/>
      <c r="EZ603" s="50"/>
      <c r="FA603" s="46"/>
      <c r="FB603" s="47"/>
      <c r="FC603" s="46"/>
      <c r="FD603" s="48"/>
      <c r="FE603" s="53"/>
      <c r="FL603" s="15"/>
      <c r="FM603" s="50"/>
      <c r="FN603" s="50"/>
      <c r="FO603" s="46"/>
      <c r="FP603" s="47"/>
      <c r="FQ603" s="46"/>
      <c r="FR603" s="48"/>
      <c r="FS603" s="53"/>
      <c r="FZ603" s="15"/>
      <c r="GA603" s="50"/>
      <c r="GB603" s="50"/>
      <c r="GC603" s="46"/>
      <c r="GD603" s="47"/>
      <c r="GE603" s="46"/>
      <c r="GF603" s="48"/>
      <c r="GG603" s="53"/>
      <c r="GN603" s="15"/>
      <c r="GO603" s="50"/>
      <c r="GP603" s="50"/>
      <c r="GQ603" s="46"/>
      <c r="GR603" s="47"/>
      <c r="GS603" s="46"/>
      <c r="GT603" s="48"/>
      <c r="GU603" s="53"/>
      <c r="HB603" s="15"/>
      <c r="HC603" s="50"/>
      <c r="HD603" s="50"/>
      <c r="HE603" s="46"/>
      <c r="HF603" s="47"/>
      <c r="HG603" s="46"/>
      <c r="HH603" s="48"/>
      <c r="HI603" s="53"/>
      <c r="HP603" s="15"/>
      <c r="HQ603" s="50"/>
      <c r="HR603" s="50"/>
      <c r="HS603" s="46"/>
      <c r="HT603" s="47"/>
      <c r="HU603" s="46"/>
      <c r="HV603" s="48"/>
      <c r="HW603" s="53"/>
      <c r="ID603" s="15"/>
      <c r="IE603" s="50"/>
      <c r="IF603" s="50"/>
      <c r="IG603" s="46"/>
      <c r="IH603" s="47"/>
      <c r="II603" s="46"/>
      <c r="IJ603" s="48"/>
      <c r="IK603" s="53"/>
      <c r="IR603" s="15"/>
      <c r="IS603" s="50"/>
      <c r="IT603" s="50"/>
      <c r="IU603" s="46"/>
      <c r="IV603" s="47"/>
      <c r="IW603" s="46"/>
      <c r="IX603" s="48"/>
      <c r="IY603" s="53"/>
      <c r="JF603" s="15"/>
      <c r="JG603" s="50"/>
      <c r="JH603" s="50"/>
      <c r="JI603" s="46"/>
      <c r="JJ603" s="47"/>
      <c r="JK603" s="46"/>
      <c r="JL603" s="48"/>
      <c r="JM603" s="53"/>
      <c r="JT603" s="15"/>
      <c r="JU603" s="50"/>
      <c r="JV603" s="50"/>
      <c r="JW603" s="46"/>
      <c r="JX603" s="47"/>
      <c r="JY603" s="46"/>
      <c r="JZ603" s="48"/>
      <c r="KA603" s="53"/>
      <c r="KH603" s="15"/>
      <c r="KI603" s="50"/>
      <c r="KJ603" s="50"/>
      <c r="KK603" s="46"/>
      <c r="KL603" s="47"/>
      <c r="KM603" s="46"/>
      <c r="KN603" s="48"/>
      <c r="KO603" s="53"/>
      <c r="KV603" s="15"/>
      <c r="KW603" s="50"/>
      <c r="KX603" s="50"/>
      <c r="KY603" s="46"/>
      <c r="KZ603" s="47"/>
      <c r="LA603" s="46"/>
      <c r="LB603" s="48"/>
      <c r="LC603" s="53"/>
      <c r="LJ603" s="15"/>
      <c r="LK603" s="50"/>
      <c r="LL603" s="50"/>
      <c r="LM603" s="46"/>
      <c r="LN603" s="47"/>
      <c r="LO603" s="46"/>
      <c r="LP603" s="48"/>
      <c r="LQ603" s="53"/>
      <c r="LX603" s="15"/>
      <c r="LY603" s="50"/>
      <c r="LZ603" s="50"/>
      <c r="MA603" s="46"/>
      <c r="MB603" s="47"/>
      <c r="MC603" s="46"/>
      <c r="MD603" s="48"/>
      <c r="ME603" s="53"/>
      <c r="ML603" s="15"/>
      <c r="MM603" s="50"/>
      <c r="MN603" s="50"/>
      <c r="MO603" s="46"/>
      <c r="MP603" s="47"/>
      <c r="MQ603" s="46"/>
      <c r="MR603" s="48"/>
      <c r="MS603" s="53"/>
      <c r="MZ603" s="15"/>
      <c r="NA603" s="50"/>
      <c r="NB603" s="50"/>
      <c r="NC603" s="46"/>
      <c r="ND603" s="47"/>
      <c r="NE603" s="46"/>
      <c r="NF603" s="48"/>
      <c r="NG603" s="53"/>
      <c r="NN603" s="15"/>
      <c r="NO603" s="50"/>
      <c r="NP603" s="50"/>
      <c r="NQ603" s="46"/>
      <c r="NR603" s="47"/>
      <c r="NS603" s="46"/>
      <c r="NT603" s="48"/>
      <c r="NU603" s="53"/>
      <c r="OB603" s="15"/>
      <c r="OC603" s="50"/>
      <c r="OD603" s="50"/>
      <c r="OE603" s="46"/>
      <c r="OF603" s="47"/>
      <c r="OG603" s="46"/>
      <c r="OH603" s="48"/>
      <c r="OI603" s="53"/>
      <c r="OP603" s="15"/>
      <c r="OQ603" s="50"/>
      <c r="OR603" s="50"/>
      <c r="OS603" s="46"/>
      <c r="OT603" s="47"/>
      <c r="OU603" s="46"/>
      <c r="OV603" s="48"/>
      <c r="OW603" s="53"/>
      <c r="PD603" s="15"/>
      <c r="PE603" s="50"/>
      <c r="PF603" s="50"/>
      <c r="PG603" s="46"/>
      <c r="PH603" s="47"/>
      <c r="PI603" s="46"/>
      <c r="PJ603" s="48"/>
      <c r="PK603" s="53"/>
      <c r="PR603" s="15"/>
      <c r="PS603" s="50"/>
      <c r="PT603" s="50"/>
      <c r="PU603" s="46"/>
      <c r="PV603" s="47"/>
      <c r="PW603" s="46"/>
      <c r="PX603" s="48"/>
      <c r="PY603" s="53"/>
      <c r="QF603" s="15"/>
      <c r="QG603" s="50"/>
      <c r="QH603" s="50"/>
      <c r="QI603" s="46"/>
      <c r="QJ603" s="47"/>
      <c r="QK603" s="46"/>
      <c r="QL603" s="48"/>
      <c r="QM603" s="53"/>
      <c r="QT603" s="15"/>
      <c r="QU603" s="50"/>
      <c r="QV603" s="50"/>
      <c r="QW603" s="46"/>
      <c r="QX603" s="47"/>
      <c r="QY603" s="46"/>
      <c r="QZ603" s="48"/>
      <c r="RA603" s="53"/>
      <c r="RH603" s="15"/>
      <c r="RI603" s="50"/>
      <c r="RJ603" s="50"/>
      <c r="RK603" s="46"/>
      <c r="RL603" s="47"/>
      <c r="RM603" s="46"/>
      <c r="RN603" s="48"/>
      <c r="RO603" s="53"/>
      <c r="RV603" s="15"/>
      <c r="RW603" s="50"/>
      <c r="RX603" s="50"/>
      <c r="RY603" s="46"/>
      <c r="RZ603" s="47"/>
      <c r="SA603" s="46"/>
      <c r="SB603" s="48"/>
      <c r="SC603" s="53"/>
      <c r="SJ603" s="15"/>
      <c r="SK603" s="50"/>
      <c r="SL603" s="50"/>
      <c r="SM603" s="46"/>
      <c r="SN603" s="47"/>
      <c r="SO603" s="46"/>
      <c r="SP603" s="48"/>
      <c r="SQ603" s="53"/>
      <c r="SX603" s="15"/>
      <c r="SY603" s="50"/>
      <c r="SZ603" s="50"/>
      <c r="TA603" s="46"/>
      <c r="TB603" s="47"/>
      <c r="TC603" s="46"/>
      <c r="TD603" s="48"/>
      <c r="TE603" s="53"/>
      <c r="TL603" s="15"/>
      <c r="TM603" s="50"/>
      <c r="TN603" s="50"/>
      <c r="TO603" s="46"/>
      <c r="TP603" s="47"/>
      <c r="TQ603" s="46"/>
      <c r="TR603" s="48"/>
      <c r="TS603" s="53"/>
      <c r="TZ603" s="15"/>
      <c r="UA603" s="50"/>
      <c r="UB603" s="50"/>
      <c r="UC603" s="46"/>
      <c r="UD603" s="47"/>
      <c r="UE603" s="46"/>
      <c r="UF603" s="48"/>
      <c r="UG603" s="53"/>
      <c r="UN603" s="15"/>
      <c r="UO603" s="50"/>
      <c r="UP603" s="50"/>
      <c r="UQ603" s="46"/>
      <c r="UR603" s="47"/>
      <c r="US603" s="46"/>
      <c r="UT603" s="48"/>
      <c r="UU603" s="53"/>
      <c r="VB603" s="15"/>
      <c r="VC603" s="50"/>
      <c r="VD603" s="50"/>
      <c r="VE603" s="46"/>
      <c r="VF603" s="47"/>
      <c r="VG603" s="46"/>
      <c r="VH603" s="48"/>
      <c r="VI603" s="53"/>
      <c r="VP603" s="15"/>
      <c r="VQ603" s="50"/>
      <c r="VR603" s="50"/>
      <c r="VS603" s="46"/>
      <c r="VT603" s="47"/>
      <c r="VU603" s="46"/>
      <c r="VV603" s="48"/>
      <c r="VW603" s="53"/>
      <c r="WD603" s="15"/>
      <c r="WE603" s="50"/>
      <c r="WF603" s="50"/>
      <c r="WG603" s="46"/>
      <c r="WH603" s="47"/>
      <c r="WI603" s="46"/>
      <c r="WJ603" s="48"/>
      <c r="WK603" s="53"/>
      <c r="WR603" s="15"/>
      <c r="WS603" s="50"/>
      <c r="WT603" s="50"/>
      <c r="WU603" s="46"/>
      <c r="WV603" s="47"/>
      <c r="WW603" s="46"/>
      <c r="WX603" s="48"/>
      <c r="WY603" s="53"/>
      <c r="XF603" s="15"/>
      <c r="XG603" s="50"/>
      <c r="XH603" s="50"/>
      <c r="XI603" s="46"/>
      <c r="XJ603" s="47"/>
      <c r="XK603" s="46"/>
      <c r="XL603" s="48"/>
      <c r="XM603" s="53"/>
      <c r="XT603" s="15"/>
      <c r="XU603" s="50"/>
      <c r="XV603" s="50"/>
      <c r="XW603" s="46"/>
      <c r="XX603" s="47"/>
      <c r="XY603" s="46"/>
      <c r="XZ603" s="48"/>
      <c r="YA603" s="53"/>
      <c r="YH603" s="15"/>
      <c r="YI603" s="50"/>
      <c r="YJ603" s="50"/>
      <c r="YK603" s="46"/>
      <c r="YL603" s="47"/>
      <c r="YM603" s="46"/>
      <c r="YN603" s="48"/>
      <c r="YO603" s="53"/>
      <c r="YV603" s="15"/>
      <c r="YW603" s="50"/>
      <c r="YX603" s="50"/>
      <c r="YY603" s="46"/>
      <c r="YZ603" s="47"/>
      <c r="ZA603" s="46"/>
      <c r="ZB603" s="48"/>
      <c r="ZC603" s="53"/>
      <c r="ZJ603" s="15"/>
      <c r="ZK603" s="50"/>
      <c r="ZL603" s="50"/>
      <c r="ZM603" s="46"/>
      <c r="ZN603" s="47"/>
      <c r="ZO603" s="46"/>
      <c r="ZP603" s="48"/>
      <c r="ZQ603" s="53"/>
      <c r="ZX603" s="15"/>
      <c r="ZY603" s="50"/>
      <c r="ZZ603" s="50"/>
      <c r="AAA603" s="46"/>
      <c r="AAB603" s="47"/>
      <c r="AAC603" s="46"/>
      <c r="AAD603" s="48"/>
      <c r="AAE603" s="53"/>
      <c r="AAL603" s="15"/>
      <c r="AAM603" s="50"/>
      <c r="AAN603" s="50"/>
      <c r="AAO603" s="46"/>
      <c r="AAP603" s="47"/>
      <c r="AAQ603" s="46"/>
      <c r="AAR603" s="48"/>
      <c r="AAS603" s="53"/>
      <c r="AAZ603" s="15"/>
      <c r="ABA603" s="50"/>
      <c r="ABB603" s="50"/>
      <c r="ABC603" s="46"/>
      <c r="ABD603" s="47"/>
      <c r="ABE603" s="46"/>
      <c r="ABF603" s="48"/>
      <c r="ABG603" s="53"/>
      <c r="ABN603" s="15"/>
      <c r="ABO603" s="50"/>
      <c r="ABP603" s="50"/>
      <c r="ABQ603" s="46"/>
      <c r="ABR603" s="47"/>
      <c r="ABS603" s="46"/>
      <c r="ABT603" s="48"/>
      <c r="ABU603" s="53"/>
      <c r="ACB603" s="15"/>
      <c r="ACC603" s="50"/>
      <c r="ACD603" s="50"/>
      <c r="ACE603" s="46"/>
      <c r="ACF603" s="47"/>
      <c r="ACG603" s="46"/>
      <c r="ACH603" s="48"/>
      <c r="ACI603" s="53"/>
      <c r="ACP603" s="15"/>
      <c r="ACQ603" s="50"/>
      <c r="ACR603" s="50"/>
      <c r="ACS603" s="46"/>
      <c r="ACT603" s="47"/>
      <c r="ACU603" s="46"/>
      <c r="ACV603" s="48"/>
      <c r="ACW603" s="53"/>
      <c r="ADD603" s="15"/>
      <c r="ADE603" s="50"/>
      <c r="ADF603" s="50"/>
      <c r="ADG603" s="46"/>
      <c r="ADH603" s="47"/>
      <c r="ADI603" s="46"/>
      <c r="ADJ603" s="48"/>
      <c r="ADK603" s="53"/>
      <c r="ADR603" s="15"/>
      <c r="ADS603" s="50"/>
      <c r="ADT603" s="50"/>
      <c r="ADU603" s="46"/>
      <c r="ADV603" s="47"/>
      <c r="ADW603" s="46"/>
      <c r="ADX603" s="48"/>
      <c r="ADY603" s="53"/>
      <c r="AEF603" s="15"/>
      <c r="AEG603" s="50"/>
      <c r="AEH603" s="50"/>
      <c r="AEI603" s="46"/>
      <c r="AEJ603" s="47"/>
      <c r="AEK603" s="46"/>
      <c r="AEL603" s="48"/>
      <c r="AEM603" s="53"/>
      <c r="AET603" s="15"/>
      <c r="AEU603" s="50"/>
      <c r="AEV603" s="50"/>
      <c r="AEW603" s="46"/>
      <c r="AEX603" s="47"/>
      <c r="AEY603" s="46"/>
      <c r="AEZ603" s="48"/>
      <c r="AFA603" s="53"/>
      <c r="AFH603" s="15"/>
      <c r="AFI603" s="50"/>
      <c r="AFJ603" s="50"/>
      <c r="AFK603" s="46"/>
      <c r="AFL603" s="47"/>
      <c r="AFM603" s="46"/>
      <c r="AFN603" s="48"/>
      <c r="AFO603" s="53"/>
      <c r="AFV603" s="15"/>
      <c r="AFW603" s="50"/>
      <c r="AFX603" s="50"/>
      <c r="AFY603" s="46"/>
      <c r="AFZ603" s="47"/>
      <c r="AGA603" s="46"/>
      <c r="AGB603" s="48"/>
      <c r="AGC603" s="53"/>
      <c r="AGJ603" s="15"/>
      <c r="AGK603" s="50"/>
      <c r="AGL603" s="50"/>
      <c r="AGM603" s="46"/>
      <c r="AGN603" s="47"/>
      <c r="AGO603" s="46"/>
      <c r="AGP603" s="48"/>
      <c r="AGQ603" s="53"/>
      <c r="AGX603" s="15"/>
      <c r="AGY603" s="50"/>
      <c r="AGZ603" s="50"/>
      <c r="AHA603" s="46"/>
      <c r="AHB603" s="47"/>
      <c r="AHC603" s="46"/>
      <c r="AHD603" s="48"/>
      <c r="AHE603" s="53"/>
      <c r="AHL603" s="15"/>
      <c r="AHM603" s="50"/>
      <c r="AHN603" s="50"/>
      <c r="AHO603" s="46"/>
      <c r="AHP603" s="47"/>
      <c r="AHQ603" s="46"/>
      <c r="AHR603" s="48"/>
      <c r="AHS603" s="53"/>
      <c r="AHZ603" s="15"/>
      <c r="AIA603" s="50"/>
      <c r="AIB603" s="50"/>
      <c r="AIC603" s="46"/>
      <c r="AID603" s="47"/>
      <c r="AIE603" s="46"/>
      <c r="AIF603" s="48"/>
      <c r="AIG603" s="53"/>
      <c r="AIN603" s="15"/>
      <c r="AIO603" s="50"/>
      <c r="AIP603" s="50"/>
      <c r="AIQ603" s="46"/>
      <c r="AIR603" s="47"/>
      <c r="AIS603" s="46"/>
      <c r="AIT603" s="48"/>
      <c r="AIU603" s="53"/>
      <c r="AJB603" s="15"/>
      <c r="AJC603" s="50"/>
      <c r="AJD603" s="50"/>
      <c r="AJE603" s="46"/>
      <c r="AJF603" s="47"/>
      <c r="AJG603" s="46"/>
      <c r="AJH603" s="48"/>
      <c r="AJI603" s="53"/>
      <c r="AJP603" s="15"/>
      <c r="AJQ603" s="50"/>
      <c r="AJR603" s="50"/>
      <c r="AJS603" s="46"/>
      <c r="AJT603" s="47"/>
      <c r="AJU603" s="46"/>
      <c r="AJV603" s="48"/>
      <c r="AJW603" s="53"/>
      <c r="AKD603" s="15"/>
      <c r="AKE603" s="50"/>
      <c r="AKF603" s="50"/>
      <c r="AKG603" s="46"/>
      <c r="AKH603" s="47"/>
      <c r="AKI603" s="46"/>
      <c r="AKJ603" s="48"/>
      <c r="AKK603" s="53"/>
      <c r="AKR603" s="15"/>
      <c r="AKS603" s="50"/>
      <c r="AKT603" s="50"/>
      <c r="AKU603" s="46"/>
      <c r="AKV603" s="47"/>
      <c r="AKW603" s="46"/>
      <c r="AKX603" s="48"/>
      <c r="AKY603" s="53"/>
      <c r="ALF603" s="15"/>
      <c r="ALG603" s="50"/>
      <c r="ALH603" s="50"/>
      <c r="ALI603" s="46"/>
      <c r="ALJ603" s="47"/>
      <c r="ALK603" s="46"/>
      <c r="ALL603" s="48"/>
      <c r="ALM603" s="53"/>
      <c r="ALT603" s="15"/>
      <c r="ALU603" s="50"/>
      <c r="ALV603" s="50"/>
      <c r="ALW603" s="46"/>
      <c r="ALX603" s="47"/>
      <c r="ALY603" s="46"/>
      <c r="ALZ603" s="48"/>
      <c r="AMA603" s="53"/>
      <c r="AMH603" s="15"/>
      <c r="AMI603" s="50"/>
      <c r="AMJ603" s="50"/>
      <c r="AMK603" s="46"/>
      <c r="AML603" s="47"/>
      <c r="AMM603" s="46"/>
      <c r="AMN603" s="48"/>
      <c r="AMO603" s="53"/>
      <c r="AMV603" s="15"/>
      <c r="AMW603" s="50"/>
      <c r="AMX603" s="50"/>
      <c r="AMY603" s="46"/>
      <c r="AMZ603" s="47"/>
      <c r="ANA603" s="46"/>
      <c r="ANB603" s="48"/>
      <c r="ANC603" s="53"/>
      <c r="ANJ603" s="15"/>
      <c r="ANK603" s="50"/>
      <c r="ANL603" s="50"/>
      <c r="ANM603" s="46"/>
      <c r="ANN603" s="47"/>
      <c r="ANO603" s="46"/>
      <c r="ANP603" s="48"/>
      <c r="ANQ603" s="53"/>
      <c r="ANX603" s="15"/>
      <c r="ANY603" s="50"/>
      <c r="ANZ603" s="50"/>
      <c r="AOA603" s="46"/>
      <c r="AOB603" s="47"/>
      <c r="AOC603" s="46"/>
      <c r="AOD603" s="48"/>
      <c r="AOE603" s="53"/>
      <c r="AOL603" s="15"/>
      <c r="AOM603" s="50"/>
      <c r="AON603" s="50"/>
      <c r="AOO603" s="46"/>
      <c r="AOP603" s="47"/>
      <c r="AOQ603" s="46"/>
      <c r="AOR603" s="48"/>
      <c r="AOS603" s="53"/>
      <c r="AOZ603" s="15"/>
      <c r="APA603" s="50"/>
      <c r="APB603" s="50"/>
      <c r="APC603" s="46"/>
      <c r="APD603" s="47"/>
      <c r="APE603" s="46"/>
      <c r="APF603" s="48"/>
      <c r="APG603" s="53"/>
      <c r="APN603" s="15"/>
      <c r="APO603" s="50"/>
      <c r="APP603" s="50"/>
      <c r="APQ603" s="46"/>
      <c r="APR603" s="47"/>
      <c r="APS603" s="46"/>
      <c r="APT603" s="48"/>
      <c r="APU603" s="53"/>
      <c r="AQB603" s="15"/>
      <c r="AQC603" s="50"/>
      <c r="AQD603" s="50"/>
      <c r="AQE603" s="46"/>
      <c r="AQF603" s="47"/>
      <c r="AQG603" s="46"/>
      <c r="AQH603" s="48"/>
      <c r="AQI603" s="53"/>
      <c r="AQP603" s="15"/>
      <c r="AQQ603" s="50"/>
      <c r="AQR603" s="50"/>
      <c r="AQS603" s="46"/>
      <c r="AQT603" s="47"/>
      <c r="AQU603" s="46"/>
      <c r="AQV603" s="48"/>
      <c r="AQW603" s="53"/>
      <c r="ARD603" s="15"/>
      <c r="ARE603" s="50"/>
      <c r="ARF603" s="50"/>
      <c r="ARG603" s="46"/>
      <c r="ARH603" s="47"/>
      <c r="ARI603" s="46"/>
      <c r="ARJ603" s="48"/>
      <c r="ARK603" s="53"/>
      <c r="ARR603" s="15"/>
      <c r="ARS603" s="50"/>
      <c r="ART603" s="50"/>
      <c r="ARU603" s="46"/>
      <c r="ARV603" s="47"/>
      <c r="ARW603" s="46"/>
      <c r="ARX603" s="48"/>
      <c r="ARY603" s="53"/>
      <c r="ASF603" s="15"/>
      <c r="ASG603" s="50"/>
      <c r="ASH603" s="50"/>
      <c r="ASI603" s="46"/>
      <c r="ASJ603" s="47"/>
      <c r="ASK603" s="46"/>
      <c r="ASL603" s="48"/>
      <c r="ASM603" s="53"/>
      <c r="AST603" s="15"/>
      <c r="ASU603" s="50"/>
      <c r="ASV603" s="50"/>
      <c r="ASW603" s="46"/>
      <c r="ASX603" s="47"/>
      <c r="ASY603" s="46"/>
      <c r="ASZ603" s="48"/>
      <c r="ATA603" s="53"/>
      <c r="ATH603" s="15"/>
      <c r="ATI603" s="50"/>
      <c r="ATJ603" s="50"/>
      <c r="ATK603" s="46"/>
      <c r="ATL603" s="47"/>
      <c r="ATM603" s="46"/>
      <c r="ATN603" s="48"/>
      <c r="ATO603" s="53"/>
      <c r="ATV603" s="15"/>
      <c r="ATW603" s="50"/>
      <c r="ATX603" s="50"/>
      <c r="ATY603" s="46"/>
      <c r="ATZ603" s="47"/>
      <c r="AUA603" s="46"/>
      <c r="AUB603" s="48"/>
      <c r="AUC603" s="53"/>
      <c r="AUJ603" s="15"/>
      <c r="AUK603" s="50"/>
      <c r="AUL603" s="50"/>
      <c r="AUM603" s="46"/>
      <c r="AUN603" s="47"/>
      <c r="AUO603" s="46"/>
      <c r="AUP603" s="48"/>
      <c r="AUQ603" s="53"/>
      <c r="AUX603" s="15"/>
      <c r="AUY603" s="50"/>
      <c r="AUZ603" s="50"/>
      <c r="AVA603" s="46"/>
      <c r="AVB603" s="47"/>
      <c r="AVC603" s="46"/>
      <c r="AVD603" s="48"/>
      <c r="AVE603" s="53"/>
      <c r="AVL603" s="15"/>
      <c r="AVM603" s="50"/>
      <c r="AVN603" s="50"/>
      <c r="AVO603" s="46"/>
      <c r="AVP603" s="47"/>
      <c r="AVQ603" s="46"/>
      <c r="AVR603" s="48"/>
      <c r="AVS603" s="53"/>
      <c r="AVZ603" s="15"/>
      <c r="AWA603" s="50"/>
      <c r="AWB603" s="50"/>
      <c r="AWC603" s="46"/>
      <c r="AWD603" s="47"/>
      <c r="AWE603" s="46"/>
      <c r="AWF603" s="48"/>
      <c r="AWG603" s="53"/>
      <c r="AWN603" s="15"/>
      <c r="AWO603" s="50"/>
      <c r="AWP603" s="50"/>
      <c r="AWQ603" s="46"/>
      <c r="AWR603" s="47"/>
      <c r="AWS603" s="46"/>
      <c r="AWT603" s="48"/>
      <c r="AWU603" s="53"/>
      <c r="AXB603" s="15"/>
      <c r="AXC603" s="50"/>
      <c r="AXD603" s="50"/>
      <c r="AXE603" s="46"/>
      <c r="AXF603" s="47"/>
      <c r="AXG603" s="46"/>
      <c r="AXH603" s="48"/>
      <c r="AXI603" s="53"/>
      <c r="AXP603" s="15"/>
      <c r="AXQ603" s="50"/>
      <c r="AXR603" s="50"/>
      <c r="AXS603" s="46"/>
      <c r="AXT603" s="47"/>
      <c r="AXU603" s="46"/>
      <c r="AXV603" s="48"/>
      <c r="AXW603" s="53"/>
      <c r="AYD603" s="15"/>
      <c r="AYE603" s="50"/>
      <c r="AYF603" s="50"/>
      <c r="AYG603" s="46"/>
      <c r="AYH603" s="47"/>
      <c r="AYI603" s="46"/>
      <c r="AYJ603" s="48"/>
      <c r="AYK603" s="53"/>
      <c r="AYR603" s="15"/>
      <c r="AYS603" s="50"/>
      <c r="AYT603" s="50"/>
      <c r="AYU603" s="46"/>
      <c r="AYV603" s="47"/>
      <c r="AYW603" s="46"/>
      <c r="AYX603" s="48"/>
      <c r="AYY603" s="53"/>
      <c r="AZF603" s="15"/>
      <c r="AZG603" s="50"/>
      <c r="AZH603" s="50"/>
      <c r="AZI603" s="46"/>
      <c r="AZJ603" s="47"/>
      <c r="AZK603" s="46"/>
      <c r="AZL603" s="48"/>
      <c r="AZM603" s="53"/>
      <c r="AZT603" s="15"/>
      <c r="AZU603" s="50"/>
      <c r="AZV603" s="50"/>
      <c r="AZW603" s="46"/>
      <c r="AZX603" s="47"/>
      <c r="AZY603" s="46"/>
      <c r="AZZ603" s="48"/>
      <c r="BAA603" s="53"/>
      <c r="BAH603" s="15"/>
      <c r="BAI603" s="50"/>
      <c r="BAJ603" s="50"/>
      <c r="BAK603" s="46"/>
      <c r="BAL603" s="47"/>
      <c r="BAM603" s="46"/>
      <c r="BAN603" s="48"/>
      <c r="BAO603" s="53"/>
      <c r="BAV603" s="15"/>
      <c r="BAW603" s="50"/>
      <c r="BAX603" s="50"/>
      <c r="BAY603" s="46"/>
      <c r="BAZ603" s="47"/>
      <c r="BBA603" s="46"/>
      <c r="BBB603" s="48"/>
      <c r="BBC603" s="53"/>
      <c r="BBJ603" s="15"/>
      <c r="BBK603" s="50"/>
      <c r="BBL603" s="50"/>
      <c r="BBM603" s="46"/>
      <c r="BBN603" s="47"/>
      <c r="BBO603" s="46"/>
      <c r="BBP603" s="48"/>
      <c r="BBQ603" s="53"/>
      <c r="BBX603" s="15"/>
      <c r="BBY603" s="50"/>
      <c r="BBZ603" s="50"/>
      <c r="BCA603" s="46"/>
      <c r="BCB603" s="47"/>
      <c r="BCC603" s="46"/>
      <c r="BCD603" s="48"/>
      <c r="BCE603" s="53"/>
      <c r="BCL603" s="15"/>
      <c r="BCM603" s="50"/>
      <c r="BCN603" s="50"/>
      <c r="BCO603" s="46"/>
      <c r="BCP603" s="47"/>
      <c r="BCQ603" s="46"/>
      <c r="BCR603" s="48"/>
      <c r="BCS603" s="53"/>
      <c r="BCZ603" s="15"/>
      <c r="BDA603" s="50"/>
      <c r="BDB603" s="50"/>
      <c r="BDC603" s="46"/>
      <c r="BDD603" s="47"/>
      <c r="BDE603" s="46"/>
      <c r="BDF603" s="48"/>
      <c r="BDG603" s="53"/>
      <c r="BDN603" s="15"/>
      <c r="BDO603" s="50"/>
      <c r="BDP603" s="50"/>
      <c r="BDQ603" s="46"/>
      <c r="BDR603" s="47"/>
      <c r="BDS603" s="46"/>
      <c r="BDT603" s="48"/>
      <c r="BDU603" s="53"/>
      <c r="BEB603" s="15"/>
      <c r="BEC603" s="50"/>
      <c r="BED603" s="50"/>
      <c r="BEE603" s="46"/>
      <c r="BEF603" s="47"/>
      <c r="BEG603" s="46"/>
      <c r="BEH603" s="48"/>
      <c r="BEI603" s="53"/>
      <c r="BEP603" s="15"/>
      <c r="BEQ603" s="50"/>
      <c r="BER603" s="50"/>
      <c r="BES603" s="46"/>
      <c r="BET603" s="47"/>
      <c r="BEU603" s="46"/>
      <c r="BEV603" s="48"/>
      <c r="BEW603" s="53"/>
      <c r="BFD603" s="15"/>
      <c r="BFE603" s="50"/>
      <c r="BFF603" s="50"/>
      <c r="BFG603" s="46"/>
      <c r="BFH603" s="47"/>
      <c r="BFI603" s="46"/>
      <c r="BFJ603" s="48"/>
      <c r="BFK603" s="53"/>
      <c r="BFR603" s="15"/>
      <c r="BFS603" s="50"/>
      <c r="BFT603" s="50"/>
      <c r="BFU603" s="46"/>
      <c r="BFV603" s="47"/>
      <c r="BFW603" s="46"/>
      <c r="BFX603" s="48"/>
      <c r="BFY603" s="53"/>
      <c r="BGF603" s="15"/>
      <c r="BGG603" s="50"/>
      <c r="BGH603" s="50"/>
      <c r="BGI603" s="46"/>
      <c r="BGJ603" s="47"/>
      <c r="BGK603" s="46"/>
      <c r="BGL603" s="48"/>
      <c r="BGM603" s="53"/>
      <c r="BGT603" s="15"/>
      <c r="BGU603" s="50"/>
      <c r="BGV603" s="50"/>
      <c r="BGW603" s="46"/>
      <c r="BGX603" s="47"/>
      <c r="BGY603" s="46"/>
      <c r="BGZ603" s="48"/>
      <c r="BHA603" s="53"/>
      <c r="BHH603" s="15"/>
      <c r="BHI603" s="50"/>
      <c r="BHJ603" s="50"/>
      <c r="BHK603" s="46"/>
      <c r="BHL603" s="47"/>
      <c r="BHM603" s="46"/>
      <c r="BHN603" s="48"/>
      <c r="BHO603" s="53"/>
      <c r="BHV603" s="15"/>
      <c r="BHW603" s="50"/>
      <c r="BHX603" s="50"/>
      <c r="BHY603" s="46"/>
      <c r="BHZ603" s="47"/>
      <c r="BIA603" s="46"/>
      <c r="BIB603" s="48"/>
      <c r="BIC603" s="53"/>
      <c r="BIJ603" s="15"/>
      <c r="BIK603" s="50"/>
      <c r="BIL603" s="50"/>
      <c r="BIM603" s="46"/>
      <c r="BIN603" s="47"/>
      <c r="BIO603" s="46"/>
      <c r="BIP603" s="48"/>
      <c r="BIQ603" s="53"/>
      <c r="BIX603" s="15"/>
      <c r="BIY603" s="50"/>
      <c r="BIZ603" s="50"/>
      <c r="BJA603" s="46"/>
      <c r="BJB603" s="47"/>
      <c r="BJC603" s="46"/>
      <c r="BJD603" s="48"/>
      <c r="BJE603" s="53"/>
      <c r="BJL603" s="15"/>
      <c r="BJM603" s="50"/>
      <c r="BJN603" s="50"/>
      <c r="BJO603" s="46"/>
      <c r="BJP603" s="47"/>
      <c r="BJQ603" s="46"/>
      <c r="BJR603" s="48"/>
      <c r="BJS603" s="53"/>
      <c r="BJZ603" s="15"/>
      <c r="BKA603" s="50"/>
      <c r="BKB603" s="50"/>
      <c r="BKC603" s="46"/>
      <c r="BKD603" s="47"/>
      <c r="BKE603" s="46"/>
      <c r="BKF603" s="48"/>
      <c r="BKG603" s="53"/>
      <c r="BKN603" s="15"/>
      <c r="BKO603" s="50"/>
      <c r="BKP603" s="50"/>
      <c r="BKQ603" s="46"/>
      <c r="BKR603" s="47"/>
      <c r="BKS603" s="46"/>
      <c r="BKT603" s="48"/>
      <c r="BKU603" s="53"/>
      <c r="BLB603" s="15"/>
      <c r="BLC603" s="50"/>
      <c r="BLD603" s="50"/>
      <c r="BLE603" s="46"/>
      <c r="BLF603" s="47"/>
      <c r="BLG603" s="46"/>
      <c r="BLH603" s="48"/>
      <c r="BLI603" s="53"/>
      <c r="BLP603" s="15"/>
      <c r="BLQ603" s="50"/>
      <c r="BLR603" s="50"/>
      <c r="BLS603" s="46"/>
      <c r="BLT603" s="47"/>
      <c r="BLU603" s="46"/>
      <c r="BLV603" s="48"/>
      <c r="BLW603" s="53"/>
      <c r="BMD603" s="15"/>
      <c r="BME603" s="50"/>
      <c r="BMF603" s="50"/>
      <c r="BMG603" s="46"/>
      <c r="BMH603" s="47"/>
      <c r="BMI603" s="46"/>
      <c r="BMJ603" s="48"/>
      <c r="BMK603" s="53"/>
      <c r="BMR603" s="15"/>
      <c r="BMS603" s="50"/>
      <c r="BMT603" s="50"/>
      <c r="BMU603" s="46"/>
      <c r="BMV603" s="47"/>
      <c r="BMW603" s="46"/>
      <c r="BMX603" s="48"/>
      <c r="BMY603" s="53"/>
      <c r="BNF603" s="15"/>
      <c r="BNG603" s="50"/>
      <c r="BNH603" s="50"/>
      <c r="BNI603" s="46"/>
      <c r="BNJ603" s="47"/>
      <c r="BNK603" s="46"/>
      <c r="BNL603" s="48"/>
      <c r="BNM603" s="53"/>
      <c r="BNT603" s="15"/>
      <c r="BNU603" s="50"/>
      <c r="BNV603" s="50"/>
      <c r="BNW603" s="46"/>
      <c r="BNX603" s="47"/>
      <c r="BNY603" s="46"/>
      <c r="BNZ603" s="48"/>
      <c r="BOA603" s="53"/>
      <c r="BOH603" s="15"/>
      <c r="BOI603" s="50"/>
      <c r="BOJ603" s="50"/>
      <c r="BOK603" s="46"/>
      <c r="BOL603" s="47"/>
      <c r="BOM603" s="46"/>
      <c r="BON603" s="48"/>
      <c r="BOO603" s="53"/>
      <c r="BOV603" s="15"/>
      <c r="BOW603" s="50"/>
      <c r="BOX603" s="50"/>
      <c r="BOY603" s="46"/>
      <c r="BOZ603" s="47"/>
      <c r="BPA603" s="46"/>
      <c r="BPB603" s="48"/>
      <c r="BPC603" s="53"/>
      <c r="BPJ603" s="15"/>
      <c r="BPK603" s="50"/>
      <c r="BPL603" s="50"/>
      <c r="BPM603" s="46"/>
      <c r="BPN603" s="47"/>
      <c r="BPO603" s="46"/>
      <c r="BPP603" s="48"/>
      <c r="BPQ603" s="53"/>
      <c r="BPX603" s="15"/>
      <c r="BPY603" s="50"/>
      <c r="BPZ603" s="50"/>
      <c r="BQA603" s="46"/>
      <c r="BQB603" s="47"/>
      <c r="BQC603" s="46"/>
      <c r="BQD603" s="48"/>
      <c r="BQE603" s="53"/>
      <c r="BQL603" s="15"/>
      <c r="BQM603" s="50"/>
      <c r="BQN603" s="50"/>
      <c r="BQO603" s="46"/>
      <c r="BQP603" s="47"/>
      <c r="BQQ603" s="46"/>
      <c r="BQR603" s="48"/>
      <c r="BQS603" s="53"/>
      <c r="BQZ603" s="15"/>
      <c r="BRA603" s="50"/>
      <c r="BRB603" s="50"/>
      <c r="BRC603" s="46"/>
      <c r="BRD603" s="47"/>
      <c r="BRE603" s="46"/>
      <c r="BRF603" s="48"/>
      <c r="BRG603" s="53"/>
      <c r="BRN603" s="15"/>
      <c r="BRO603" s="50"/>
      <c r="BRP603" s="50"/>
      <c r="BRQ603" s="46"/>
      <c r="BRR603" s="47"/>
      <c r="BRS603" s="46"/>
      <c r="BRT603" s="48"/>
      <c r="BRU603" s="53"/>
      <c r="BSB603" s="15"/>
      <c r="BSC603" s="50"/>
      <c r="BSD603" s="50"/>
      <c r="BSE603" s="46"/>
      <c r="BSF603" s="47"/>
      <c r="BSG603" s="46"/>
      <c r="BSH603" s="48"/>
      <c r="BSI603" s="53"/>
      <c r="BSP603" s="15"/>
      <c r="BSQ603" s="50"/>
      <c r="BSR603" s="50"/>
      <c r="BSS603" s="46"/>
      <c r="BST603" s="47"/>
      <c r="BSU603" s="46"/>
      <c r="BSV603" s="48"/>
      <c r="BSW603" s="53"/>
      <c r="BTD603" s="15"/>
      <c r="BTE603" s="50"/>
      <c r="BTF603" s="50"/>
      <c r="BTG603" s="46"/>
      <c r="BTH603" s="47"/>
      <c r="BTI603" s="46"/>
      <c r="BTJ603" s="48"/>
      <c r="BTK603" s="53"/>
      <c r="BTR603" s="15"/>
      <c r="BTS603" s="50"/>
      <c r="BTT603" s="50"/>
      <c r="BTU603" s="46"/>
      <c r="BTV603" s="47"/>
      <c r="BTW603" s="46"/>
      <c r="BTX603" s="48"/>
      <c r="BTY603" s="53"/>
      <c r="BUF603" s="15"/>
      <c r="BUG603" s="50"/>
      <c r="BUH603" s="50"/>
      <c r="BUI603" s="46"/>
      <c r="BUJ603" s="47"/>
      <c r="BUK603" s="46"/>
      <c r="BUL603" s="48"/>
      <c r="BUM603" s="53"/>
      <c r="BUT603" s="15"/>
      <c r="BUU603" s="50"/>
      <c r="BUV603" s="50"/>
      <c r="BUW603" s="46"/>
      <c r="BUX603" s="47"/>
      <c r="BUY603" s="46"/>
      <c r="BUZ603" s="48"/>
      <c r="BVA603" s="53"/>
      <c r="BVH603" s="15"/>
      <c r="BVI603" s="50"/>
      <c r="BVJ603" s="50"/>
      <c r="BVK603" s="46"/>
      <c r="BVL603" s="47"/>
      <c r="BVM603" s="46"/>
      <c r="BVN603" s="48"/>
      <c r="BVO603" s="53"/>
      <c r="BVV603" s="15"/>
      <c r="BVW603" s="50"/>
      <c r="BVX603" s="50"/>
      <c r="BVY603" s="46"/>
      <c r="BVZ603" s="47"/>
      <c r="BWA603" s="46"/>
      <c r="BWB603" s="48"/>
      <c r="BWC603" s="53"/>
      <c r="BWJ603" s="15"/>
      <c r="BWK603" s="50"/>
      <c r="BWL603" s="50"/>
      <c r="BWM603" s="46"/>
      <c r="BWN603" s="47"/>
      <c r="BWO603" s="46"/>
      <c r="BWP603" s="48"/>
      <c r="BWQ603" s="53"/>
      <c r="BWX603" s="15"/>
      <c r="BWY603" s="50"/>
      <c r="BWZ603" s="50"/>
      <c r="BXA603" s="46"/>
      <c r="BXB603" s="47"/>
      <c r="BXC603" s="46"/>
      <c r="BXD603" s="48"/>
      <c r="BXE603" s="53"/>
      <c r="BXL603" s="15"/>
      <c r="BXM603" s="50"/>
      <c r="BXN603" s="50"/>
      <c r="BXO603" s="46"/>
      <c r="BXP603" s="47"/>
      <c r="BXQ603" s="46"/>
      <c r="BXR603" s="48"/>
      <c r="BXS603" s="53"/>
      <c r="BXZ603" s="15"/>
      <c r="BYA603" s="50"/>
      <c r="BYB603" s="50"/>
      <c r="BYC603" s="46"/>
      <c r="BYD603" s="47"/>
      <c r="BYE603" s="46"/>
      <c r="BYF603" s="48"/>
      <c r="BYG603" s="53"/>
      <c r="BYN603" s="15"/>
      <c r="BYO603" s="50"/>
      <c r="BYP603" s="50"/>
      <c r="BYQ603" s="46"/>
      <c r="BYR603" s="47"/>
      <c r="BYS603" s="46"/>
      <c r="BYT603" s="48"/>
      <c r="BYU603" s="53"/>
      <c r="BZB603" s="15"/>
      <c r="BZC603" s="50"/>
      <c r="BZD603" s="50"/>
      <c r="BZE603" s="46"/>
      <c r="BZF603" s="47"/>
      <c r="BZG603" s="46"/>
      <c r="BZH603" s="48"/>
      <c r="BZI603" s="53"/>
      <c r="BZP603" s="15"/>
      <c r="BZQ603" s="50"/>
      <c r="BZR603" s="50"/>
      <c r="BZS603" s="46"/>
      <c r="BZT603" s="47"/>
      <c r="BZU603" s="46"/>
      <c r="BZV603" s="48"/>
      <c r="BZW603" s="53"/>
      <c r="CAD603" s="15"/>
      <c r="CAE603" s="50"/>
      <c r="CAF603" s="50"/>
      <c r="CAG603" s="46"/>
      <c r="CAH603" s="47"/>
      <c r="CAI603" s="46"/>
      <c r="CAJ603" s="48"/>
      <c r="CAK603" s="53"/>
      <c r="CAR603" s="15"/>
      <c r="CAS603" s="50"/>
      <c r="CAT603" s="50"/>
      <c r="CAU603" s="46"/>
      <c r="CAV603" s="47"/>
      <c r="CAW603" s="46"/>
      <c r="CAX603" s="48"/>
      <c r="CAY603" s="53"/>
      <c r="CBF603" s="15"/>
      <c r="CBG603" s="50"/>
      <c r="CBH603" s="50"/>
      <c r="CBI603" s="46"/>
      <c r="CBJ603" s="47"/>
      <c r="CBK603" s="46"/>
      <c r="CBL603" s="48"/>
      <c r="CBM603" s="53"/>
      <c r="CBT603" s="15"/>
      <c r="CBU603" s="50"/>
      <c r="CBV603" s="50"/>
      <c r="CBW603" s="46"/>
      <c r="CBX603" s="47"/>
      <c r="CBY603" s="46"/>
      <c r="CBZ603" s="48"/>
      <c r="CCA603" s="53"/>
      <c r="CCH603" s="15"/>
      <c r="CCI603" s="50"/>
      <c r="CCJ603" s="50"/>
      <c r="CCK603" s="46"/>
      <c r="CCL603" s="47"/>
      <c r="CCM603" s="46"/>
      <c r="CCN603" s="48"/>
      <c r="CCO603" s="53"/>
      <c r="CCV603" s="15"/>
      <c r="CCW603" s="50"/>
      <c r="CCX603" s="50"/>
      <c r="CCY603" s="46"/>
      <c r="CCZ603" s="47"/>
      <c r="CDA603" s="46"/>
      <c r="CDB603" s="48"/>
      <c r="CDC603" s="53"/>
      <c r="CDJ603" s="15"/>
      <c r="CDK603" s="50"/>
      <c r="CDL603" s="50"/>
      <c r="CDM603" s="46"/>
      <c r="CDN603" s="47"/>
      <c r="CDO603" s="46"/>
      <c r="CDP603" s="48"/>
      <c r="CDQ603" s="53"/>
      <c r="CDX603" s="15"/>
      <c r="CDY603" s="50"/>
      <c r="CDZ603" s="50"/>
      <c r="CEA603" s="46"/>
      <c r="CEB603" s="47"/>
      <c r="CEC603" s="46"/>
      <c r="CED603" s="48"/>
      <c r="CEE603" s="53"/>
      <c r="CEL603" s="15"/>
      <c r="CEM603" s="50"/>
      <c r="CEN603" s="50"/>
      <c r="CEO603" s="46"/>
      <c r="CEP603" s="47"/>
      <c r="CEQ603" s="46"/>
      <c r="CER603" s="48"/>
      <c r="CES603" s="53"/>
      <c r="CEZ603" s="15"/>
      <c r="CFA603" s="50"/>
      <c r="CFB603" s="50"/>
      <c r="CFC603" s="46"/>
      <c r="CFD603" s="47"/>
      <c r="CFE603" s="46"/>
      <c r="CFF603" s="48"/>
      <c r="CFG603" s="53"/>
      <c r="CFN603" s="15"/>
      <c r="CFO603" s="50"/>
      <c r="CFP603" s="50"/>
      <c r="CFQ603" s="46"/>
      <c r="CFR603" s="47"/>
      <c r="CFS603" s="46"/>
      <c r="CFT603" s="48"/>
      <c r="CFU603" s="53"/>
      <c r="CGB603" s="15"/>
      <c r="CGC603" s="50"/>
      <c r="CGD603" s="50"/>
      <c r="CGE603" s="46"/>
      <c r="CGF603" s="47"/>
      <c r="CGG603" s="46"/>
      <c r="CGH603" s="48"/>
      <c r="CGI603" s="53"/>
      <c r="CGP603" s="15"/>
      <c r="CGQ603" s="50"/>
      <c r="CGR603" s="50"/>
      <c r="CGS603" s="46"/>
      <c r="CGT603" s="47"/>
      <c r="CGU603" s="46"/>
      <c r="CGV603" s="48"/>
      <c r="CGW603" s="53"/>
      <c r="CHD603" s="15"/>
      <c r="CHE603" s="50"/>
      <c r="CHF603" s="50"/>
      <c r="CHG603" s="46"/>
      <c r="CHH603" s="47"/>
      <c r="CHI603" s="46"/>
      <c r="CHJ603" s="48"/>
      <c r="CHK603" s="53"/>
      <c r="CHR603" s="15"/>
      <c r="CHS603" s="50"/>
      <c r="CHT603" s="50"/>
      <c r="CHU603" s="46"/>
      <c r="CHV603" s="47"/>
      <c r="CHW603" s="46"/>
      <c r="CHX603" s="48"/>
      <c r="CHY603" s="53"/>
      <c r="CIF603" s="15"/>
      <c r="CIG603" s="50"/>
      <c r="CIH603" s="50"/>
      <c r="CII603" s="46"/>
      <c r="CIJ603" s="47"/>
      <c r="CIK603" s="46"/>
      <c r="CIL603" s="48"/>
      <c r="CIM603" s="53"/>
      <c r="CIT603" s="15"/>
      <c r="CIU603" s="50"/>
      <c r="CIV603" s="50"/>
      <c r="CIW603" s="46"/>
      <c r="CIX603" s="47"/>
      <c r="CIY603" s="46"/>
      <c r="CIZ603" s="48"/>
      <c r="CJA603" s="53"/>
      <c r="CJH603" s="15"/>
      <c r="CJI603" s="50"/>
      <c r="CJJ603" s="50"/>
      <c r="CJK603" s="46"/>
      <c r="CJL603" s="47"/>
      <c r="CJM603" s="46"/>
      <c r="CJN603" s="48"/>
      <c r="CJO603" s="53"/>
      <c r="CJV603" s="15"/>
      <c r="CJW603" s="50"/>
      <c r="CJX603" s="50"/>
      <c r="CJY603" s="46"/>
      <c r="CJZ603" s="47"/>
      <c r="CKA603" s="46"/>
      <c r="CKB603" s="48"/>
      <c r="CKC603" s="53"/>
      <c r="CKJ603" s="15"/>
      <c r="CKK603" s="50"/>
      <c r="CKL603" s="50"/>
      <c r="CKM603" s="46"/>
      <c r="CKN603" s="47"/>
      <c r="CKO603" s="46"/>
      <c r="CKP603" s="48"/>
      <c r="CKQ603" s="53"/>
      <c r="CKX603" s="15"/>
      <c r="CKY603" s="50"/>
      <c r="CKZ603" s="50"/>
      <c r="CLA603" s="46"/>
      <c r="CLB603" s="47"/>
      <c r="CLC603" s="46"/>
      <c r="CLD603" s="48"/>
      <c r="CLE603" s="53"/>
      <c r="CLL603" s="15"/>
      <c r="CLM603" s="50"/>
      <c r="CLN603" s="50"/>
      <c r="CLO603" s="46"/>
      <c r="CLP603" s="47"/>
      <c r="CLQ603" s="46"/>
      <c r="CLR603" s="48"/>
      <c r="CLS603" s="53"/>
      <c r="CLZ603" s="15"/>
      <c r="CMA603" s="50"/>
      <c r="CMB603" s="50"/>
      <c r="CMC603" s="46"/>
      <c r="CMD603" s="47"/>
      <c r="CME603" s="46"/>
      <c r="CMF603" s="48"/>
      <c r="CMG603" s="53"/>
      <c r="CMN603" s="15"/>
      <c r="CMO603" s="50"/>
      <c r="CMP603" s="50"/>
      <c r="CMQ603" s="46"/>
      <c r="CMR603" s="47"/>
      <c r="CMS603" s="46"/>
      <c r="CMT603" s="48"/>
      <c r="CMU603" s="53"/>
      <c r="CNB603" s="15"/>
      <c r="CNC603" s="50"/>
      <c r="CND603" s="50"/>
      <c r="CNE603" s="46"/>
      <c r="CNF603" s="47"/>
      <c r="CNG603" s="46"/>
      <c r="CNH603" s="48"/>
      <c r="CNI603" s="53"/>
      <c r="CNP603" s="15"/>
      <c r="CNQ603" s="50"/>
      <c r="CNR603" s="50"/>
      <c r="CNS603" s="46"/>
      <c r="CNT603" s="47"/>
      <c r="CNU603" s="46"/>
      <c r="CNV603" s="48"/>
      <c r="CNW603" s="53"/>
      <c r="COD603" s="15"/>
      <c r="COE603" s="50"/>
      <c r="COF603" s="50"/>
      <c r="COG603" s="46"/>
      <c r="COH603" s="47"/>
      <c r="COI603" s="46"/>
      <c r="COJ603" s="48"/>
      <c r="COK603" s="53"/>
      <c r="COR603" s="15"/>
      <c r="COS603" s="50"/>
      <c r="COT603" s="50"/>
      <c r="COU603" s="46"/>
      <c r="COV603" s="47"/>
      <c r="COW603" s="46"/>
      <c r="COX603" s="48"/>
      <c r="COY603" s="53"/>
      <c r="CPF603" s="15"/>
      <c r="CPG603" s="50"/>
      <c r="CPH603" s="50"/>
      <c r="CPI603" s="46"/>
      <c r="CPJ603" s="47"/>
      <c r="CPK603" s="46"/>
      <c r="CPL603" s="48"/>
      <c r="CPM603" s="53"/>
      <c r="CPT603" s="15"/>
      <c r="CPU603" s="50"/>
      <c r="CPV603" s="50"/>
      <c r="CPW603" s="46"/>
      <c r="CPX603" s="47"/>
      <c r="CPY603" s="46"/>
      <c r="CPZ603" s="48"/>
      <c r="CQA603" s="53"/>
      <c r="CQH603" s="15"/>
      <c r="CQI603" s="50"/>
      <c r="CQJ603" s="50"/>
      <c r="CQK603" s="46"/>
      <c r="CQL603" s="47"/>
      <c r="CQM603" s="46"/>
      <c r="CQN603" s="48"/>
      <c r="CQO603" s="53"/>
      <c r="CQV603" s="15"/>
      <c r="CQW603" s="50"/>
      <c r="CQX603" s="50"/>
      <c r="CQY603" s="46"/>
      <c r="CQZ603" s="47"/>
      <c r="CRA603" s="46"/>
      <c r="CRB603" s="48"/>
      <c r="CRC603" s="53"/>
      <c r="CRJ603" s="15"/>
      <c r="CRK603" s="50"/>
      <c r="CRL603" s="50"/>
      <c r="CRM603" s="46"/>
      <c r="CRN603" s="47"/>
      <c r="CRO603" s="46"/>
      <c r="CRP603" s="48"/>
      <c r="CRQ603" s="53"/>
      <c r="CRX603" s="15"/>
      <c r="CRY603" s="50"/>
      <c r="CRZ603" s="50"/>
      <c r="CSA603" s="46"/>
      <c r="CSB603" s="47"/>
      <c r="CSC603" s="46"/>
      <c r="CSD603" s="48"/>
      <c r="CSE603" s="53"/>
      <c r="CSL603" s="15"/>
      <c r="CSM603" s="50"/>
      <c r="CSN603" s="50"/>
      <c r="CSO603" s="46"/>
      <c r="CSP603" s="47"/>
      <c r="CSQ603" s="46"/>
      <c r="CSR603" s="48"/>
      <c r="CSS603" s="53"/>
      <c r="CSZ603" s="15"/>
      <c r="CTA603" s="50"/>
      <c r="CTB603" s="50"/>
      <c r="CTC603" s="46"/>
      <c r="CTD603" s="47"/>
      <c r="CTE603" s="46"/>
      <c r="CTF603" s="48"/>
      <c r="CTG603" s="53"/>
      <c r="CTN603" s="15"/>
      <c r="CTO603" s="50"/>
      <c r="CTP603" s="50"/>
      <c r="CTQ603" s="46"/>
      <c r="CTR603" s="47"/>
      <c r="CTS603" s="46"/>
      <c r="CTT603" s="48"/>
      <c r="CTU603" s="53"/>
      <c r="CUB603" s="15"/>
      <c r="CUC603" s="50"/>
      <c r="CUD603" s="50"/>
      <c r="CUE603" s="46"/>
      <c r="CUF603" s="47"/>
      <c r="CUG603" s="46"/>
      <c r="CUH603" s="48"/>
      <c r="CUI603" s="53"/>
      <c r="CUP603" s="15"/>
      <c r="CUQ603" s="50"/>
      <c r="CUR603" s="50"/>
      <c r="CUS603" s="46"/>
      <c r="CUT603" s="47"/>
      <c r="CUU603" s="46"/>
      <c r="CUV603" s="48"/>
      <c r="CUW603" s="53"/>
      <c r="CVD603" s="15"/>
      <c r="CVE603" s="50"/>
      <c r="CVF603" s="50"/>
      <c r="CVG603" s="46"/>
      <c r="CVH603" s="47"/>
      <c r="CVI603" s="46"/>
      <c r="CVJ603" s="48"/>
      <c r="CVK603" s="53"/>
      <c r="CVR603" s="15"/>
      <c r="CVS603" s="50"/>
      <c r="CVT603" s="50"/>
      <c r="CVU603" s="46"/>
      <c r="CVV603" s="47"/>
      <c r="CVW603" s="46"/>
      <c r="CVX603" s="48"/>
      <c r="CVY603" s="53"/>
      <c r="CWF603" s="15"/>
      <c r="CWG603" s="50"/>
      <c r="CWH603" s="50"/>
      <c r="CWI603" s="46"/>
      <c r="CWJ603" s="47"/>
      <c r="CWK603" s="46"/>
      <c r="CWL603" s="48"/>
      <c r="CWM603" s="53"/>
      <c r="CWT603" s="15"/>
      <c r="CWU603" s="50"/>
      <c r="CWV603" s="50"/>
      <c r="CWW603" s="46"/>
      <c r="CWX603" s="47"/>
      <c r="CWY603" s="46"/>
      <c r="CWZ603" s="48"/>
      <c r="CXA603" s="53"/>
      <c r="CXH603" s="15"/>
      <c r="CXI603" s="50"/>
      <c r="CXJ603" s="50"/>
      <c r="CXK603" s="46"/>
      <c r="CXL603" s="47"/>
      <c r="CXM603" s="46"/>
      <c r="CXN603" s="48"/>
      <c r="CXO603" s="53"/>
      <c r="CXV603" s="15"/>
      <c r="CXW603" s="50"/>
      <c r="CXX603" s="50"/>
      <c r="CXY603" s="46"/>
      <c r="CXZ603" s="47"/>
      <c r="CYA603" s="46"/>
      <c r="CYB603" s="48"/>
      <c r="CYC603" s="53"/>
      <c r="CYJ603" s="15"/>
      <c r="CYK603" s="50"/>
      <c r="CYL603" s="50"/>
      <c r="CYM603" s="46"/>
      <c r="CYN603" s="47"/>
      <c r="CYO603" s="46"/>
      <c r="CYP603" s="48"/>
      <c r="CYQ603" s="53"/>
      <c r="CYX603" s="15"/>
      <c r="CYY603" s="50"/>
      <c r="CYZ603" s="50"/>
      <c r="CZA603" s="46"/>
      <c r="CZB603" s="47"/>
      <c r="CZC603" s="46"/>
      <c r="CZD603" s="48"/>
      <c r="CZE603" s="53"/>
      <c r="CZL603" s="15"/>
      <c r="CZM603" s="50"/>
      <c r="CZN603" s="50"/>
      <c r="CZO603" s="46"/>
      <c r="CZP603" s="47"/>
      <c r="CZQ603" s="46"/>
      <c r="CZR603" s="48"/>
      <c r="CZS603" s="53"/>
      <c r="CZZ603" s="15"/>
      <c r="DAA603" s="50"/>
      <c r="DAB603" s="50"/>
      <c r="DAC603" s="46"/>
      <c r="DAD603" s="47"/>
      <c r="DAE603" s="46"/>
      <c r="DAF603" s="48"/>
      <c r="DAG603" s="53"/>
      <c r="DAN603" s="15"/>
      <c r="DAO603" s="50"/>
      <c r="DAP603" s="50"/>
      <c r="DAQ603" s="46"/>
      <c r="DAR603" s="47"/>
      <c r="DAS603" s="46"/>
      <c r="DAT603" s="48"/>
      <c r="DAU603" s="53"/>
      <c r="DBB603" s="15"/>
      <c r="DBC603" s="50"/>
      <c r="DBD603" s="50"/>
      <c r="DBE603" s="46"/>
      <c r="DBF603" s="47"/>
      <c r="DBG603" s="46"/>
      <c r="DBH603" s="48"/>
      <c r="DBI603" s="53"/>
      <c r="DBP603" s="15"/>
      <c r="DBQ603" s="50"/>
      <c r="DBR603" s="50"/>
      <c r="DBS603" s="46"/>
      <c r="DBT603" s="47"/>
      <c r="DBU603" s="46"/>
      <c r="DBV603" s="48"/>
      <c r="DBW603" s="53"/>
      <c r="DCD603" s="15"/>
      <c r="DCE603" s="50"/>
      <c r="DCF603" s="50"/>
      <c r="DCG603" s="46"/>
      <c r="DCH603" s="47"/>
      <c r="DCI603" s="46"/>
      <c r="DCJ603" s="48"/>
      <c r="DCK603" s="53"/>
      <c r="DCR603" s="15"/>
      <c r="DCS603" s="50"/>
      <c r="DCT603" s="50"/>
      <c r="DCU603" s="46"/>
      <c r="DCV603" s="47"/>
      <c r="DCW603" s="46"/>
      <c r="DCX603" s="48"/>
      <c r="DCY603" s="53"/>
      <c r="DDF603" s="15"/>
      <c r="DDG603" s="50"/>
      <c r="DDH603" s="50"/>
      <c r="DDI603" s="46"/>
      <c r="DDJ603" s="47"/>
      <c r="DDK603" s="46"/>
      <c r="DDL603" s="48"/>
      <c r="DDM603" s="53"/>
      <c r="DDT603" s="15"/>
      <c r="DDU603" s="50"/>
      <c r="DDV603" s="50"/>
      <c r="DDW603" s="46"/>
      <c r="DDX603" s="47"/>
      <c r="DDY603" s="46"/>
      <c r="DDZ603" s="48"/>
      <c r="DEA603" s="53"/>
      <c r="DEH603" s="15"/>
      <c r="DEI603" s="50"/>
      <c r="DEJ603" s="50"/>
      <c r="DEK603" s="46"/>
      <c r="DEL603" s="47"/>
      <c r="DEM603" s="46"/>
      <c r="DEN603" s="48"/>
      <c r="DEO603" s="53"/>
      <c r="DEV603" s="15"/>
      <c r="DEW603" s="50"/>
      <c r="DEX603" s="50"/>
      <c r="DEY603" s="46"/>
      <c r="DEZ603" s="47"/>
      <c r="DFA603" s="46"/>
      <c r="DFB603" s="48"/>
      <c r="DFC603" s="53"/>
      <c r="DFJ603" s="15"/>
      <c r="DFK603" s="50"/>
      <c r="DFL603" s="50"/>
      <c r="DFM603" s="46"/>
      <c r="DFN603" s="47"/>
      <c r="DFO603" s="46"/>
      <c r="DFP603" s="48"/>
      <c r="DFQ603" s="53"/>
      <c r="DFX603" s="15"/>
      <c r="DFY603" s="50"/>
      <c r="DFZ603" s="50"/>
      <c r="DGA603" s="46"/>
      <c r="DGB603" s="47"/>
      <c r="DGC603" s="46"/>
      <c r="DGD603" s="48"/>
      <c r="DGE603" s="53"/>
      <c r="DGL603" s="15"/>
      <c r="DGM603" s="50"/>
      <c r="DGN603" s="50"/>
      <c r="DGO603" s="46"/>
      <c r="DGP603" s="47"/>
      <c r="DGQ603" s="46"/>
      <c r="DGR603" s="48"/>
      <c r="DGS603" s="53"/>
      <c r="DGZ603" s="15"/>
      <c r="DHA603" s="50"/>
      <c r="DHB603" s="50"/>
      <c r="DHC603" s="46"/>
      <c r="DHD603" s="47"/>
      <c r="DHE603" s="46"/>
      <c r="DHF603" s="48"/>
      <c r="DHG603" s="53"/>
      <c r="DHN603" s="15"/>
      <c r="DHO603" s="50"/>
      <c r="DHP603" s="50"/>
      <c r="DHQ603" s="46"/>
      <c r="DHR603" s="47"/>
      <c r="DHS603" s="46"/>
      <c r="DHT603" s="48"/>
      <c r="DHU603" s="53"/>
      <c r="DIB603" s="15"/>
      <c r="DIC603" s="50"/>
      <c r="DID603" s="50"/>
      <c r="DIE603" s="46"/>
      <c r="DIF603" s="47"/>
      <c r="DIG603" s="46"/>
      <c r="DIH603" s="48"/>
      <c r="DII603" s="53"/>
      <c r="DIP603" s="15"/>
      <c r="DIQ603" s="50"/>
      <c r="DIR603" s="50"/>
      <c r="DIS603" s="46"/>
      <c r="DIT603" s="47"/>
      <c r="DIU603" s="46"/>
      <c r="DIV603" s="48"/>
      <c r="DIW603" s="53"/>
      <c r="DJD603" s="15"/>
      <c r="DJE603" s="50"/>
      <c r="DJF603" s="50"/>
      <c r="DJG603" s="46"/>
      <c r="DJH603" s="47"/>
      <c r="DJI603" s="46"/>
      <c r="DJJ603" s="48"/>
      <c r="DJK603" s="53"/>
      <c r="DJR603" s="15"/>
      <c r="DJS603" s="50"/>
      <c r="DJT603" s="50"/>
      <c r="DJU603" s="46"/>
      <c r="DJV603" s="47"/>
      <c r="DJW603" s="46"/>
      <c r="DJX603" s="48"/>
      <c r="DJY603" s="53"/>
      <c r="DKF603" s="15"/>
      <c r="DKG603" s="50"/>
      <c r="DKH603" s="50"/>
      <c r="DKI603" s="46"/>
      <c r="DKJ603" s="47"/>
      <c r="DKK603" s="46"/>
      <c r="DKL603" s="48"/>
      <c r="DKM603" s="53"/>
      <c r="DKT603" s="15"/>
      <c r="DKU603" s="50"/>
      <c r="DKV603" s="50"/>
      <c r="DKW603" s="46"/>
      <c r="DKX603" s="47"/>
      <c r="DKY603" s="46"/>
      <c r="DKZ603" s="48"/>
      <c r="DLA603" s="53"/>
      <c r="DLH603" s="15"/>
      <c r="DLI603" s="50"/>
      <c r="DLJ603" s="50"/>
      <c r="DLK603" s="46"/>
      <c r="DLL603" s="47"/>
      <c r="DLM603" s="46"/>
      <c r="DLN603" s="48"/>
      <c r="DLO603" s="53"/>
      <c r="DLV603" s="15"/>
      <c r="DLW603" s="50"/>
      <c r="DLX603" s="50"/>
      <c r="DLY603" s="46"/>
      <c r="DLZ603" s="47"/>
      <c r="DMA603" s="46"/>
      <c r="DMB603" s="48"/>
      <c r="DMC603" s="53"/>
      <c r="DMJ603" s="15"/>
      <c r="DMK603" s="50"/>
      <c r="DML603" s="50"/>
      <c r="DMM603" s="46"/>
      <c r="DMN603" s="47"/>
      <c r="DMO603" s="46"/>
      <c r="DMP603" s="48"/>
      <c r="DMQ603" s="53"/>
      <c r="DMX603" s="15"/>
      <c r="DMY603" s="50"/>
      <c r="DMZ603" s="50"/>
      <c r="DNA603" s="46"/>
      <c r="DNB603" s="47"/>
      <c r="DNC603" s="46"/>
      <c r="DND603" s="48"/>
      <c r="DNE603" s="53"/>
      <c r="DNL603" s="15"/>
      <c r="DNM603" s="50"/>
      <c r="DNN603" s="50"/>
      <c r="DNO603" s="46"/>
      <c r="DNP603" s="47"/>
      <c r="DNQ603" s="46"/>
      <c r="DNR603" s="48"/>
      <c r="DNS603" s="53"/>
      <c r="DNZ603" s="15"/>
      <c r="DOA603" s="50"/>
      <c r="DOB603" s="50"/>
      <c r="DOC603" s="46"/>
      <c r="DOD603" s="47"/>
      <c r="DOE603" s="46"/>
      <c r="DOF603" s="48"/>
      <c r="DOG603" s="53"/>
      <c r="DON603" s="15"/>
      <c r="DOO603" s="50"/>
      <c r="DOP603" s="50"/>
      <c r="DOQ603" s="46"/>
      <c r="DOR603" s="47"/>
      <c r="DOS603" s="46"/>
      <c r="DOT603" s="48"/>
      <c r="DOU603" s="53"/>
      <c r="DPB603" s="15"/>
      <c r="DPC603" s="50"/>
      <c r="DPD603" s="50"/>
      <c r="DPE603" s="46"/>
      <c r="DPF603" s="47"/>
      <c r="DPG603" s="46"/>
      <c r="DPH603" s="48"/>
      <c r="DPI603" s="53"/>
      <c r="DPP603" s="15"/>
      <c r="DPQ603" s="50"/>
      <c r="DPR603" s="50"/>
      <c r="DPS603" s="46"/>
      <c r="DPT603" s="47"/>
      <c r="DPU603" s="46"/>
      <c r="DPV603" s="48"/>
      <c r="DPW603" s="53"/>
      <c r="DQD603" s="15"/>
      <c r="DQE603" s="50"/>
      <c r="DQF603" s="50"/>
      <c r="DQG603" s="46"/>
      <c r="DQH603" s="47"/>
      <c r="DQI603" s="46"/>
      <c r="DQJ603" s="48"/>
      <c r="DQK603" s="53"/>
      <c r="DQR603" s="15"/>
      <c r="DQS603" s="50"/>
      <c r="DQT603" s="50"/>
      <c r="DQU603" s="46"/>
      <c r="DQV603" s="47"/>
      <c r="DQW603" s="46"/>
      <c r="DQX603" s="48"/>
      <c r="DQY603" s="53"/>
      <c r="DRF603" s="15"/>
      <c r="DRG603" s="50"/>
      <c r="DRH603" s="50"/>
      <c r="DRI603" s="46"/>
      <c r="DRJ603" s="47"/>
      <c r="DRK603" s="46"/>
      <c r="DRL603" s="48"/>
      <c r="DRM603" s="53"/>
      <c r="DRT603" s="15"/>
      <c r="DRU603" s="50"/>
      <c r="DRV603" s="50"/>
      <c r="DRW603" s="46"/>
      <c r="DRX603" s="47"/>
      <c r="DRY603" s="46"/>
      <c r="DRZ603" s="48"/>
      <c r="DSA603" s="53"/>
      <c r="DSH603" s="15"/>
      <c r="DSI603" s="50"/>
      <c r="DSJ603" s="50"/>
      <c r="DSK603" s="46"/>
      <c r="DSL603" s="47"/>
      <c r="DSM603" s="46"/>
      <c r="DSN603" s="48"/>
      <c r="DSO603" s="53"/>
      <c r="DSV603" s="15"/>
      <c r="DSW603" s="50"/>
      <c r="DSX603" s="50"/>
      <c r="DSY603" s="46"/>
      <c r="DSZ603" s="47"/>
      <c r="DTA603" s="46"/>
      <c r="DTB603" s="48"/>
      <c r="DTC603" s="53"/>
      <c r="DTJ603" s="15"/>
      <c r="DTK603" s="50"/>
      <c r="DTL603" s="50"/>
      <c r="DTM603" s="46"/>
      <c r="DTN603" s="47"/>
      <c r="DTO603" s="46"/>
      <c r="DTP603" s="48"/>
      <c r="DTQ603" s="53"/>
      <c r="DTX603" s="15"/>
      <c r="DTY603" s="50"/>
      <c r="DTZ603" s="50"/>
      <c r="DUA603" s="46"/>
      <c r="DUB603" s="47"/>
      <c r="DUC603" s="46"/>
      <c r="DUD603" s="48"/>
      <c r="DUE603" s="53"/>
      <c r="DUL603" s="15"/>
      <c r="DUM603" s="50"/>
      <c r="DUN603" s="50"/>
      <c r="DUO603" s="46"/>
      <c r="DUP603" s="47"/>
      <c r="DUQ603" s="46"/>
      <c r="DUR603" s="48"/>
      <c r="DUS603" s="53"/>
      <c r="DUZ603" s="15"/>
      <c r="DVA603" s="50"/>
      <c r="DVB603" s="50"/>
      <c r="DVC603" s="46"/>
      <c r="DVD603" s="47"/>
      <c r="DVE603" s="46"/>
      <c r="DVF603" s="48"/>
      <c r="DVG603" s="53"/>
      <c r="DVN603" s="15"/>
      <c r="DVO603" s="50"/>
      <c r="DVP603" s="50"/>
      <c r="DVQ603" s="46"/>
      <c r="DVR603" s="47"/>
      <c r="DVS603" s="46"/>
      <c r="DVT603" s="48"/>
      <c r="DVU603" s="53"/>
      <c r="DWB603" s="15"/>
      <c r="DWC603" s="50"/>
      <c r="DWD603" s="50"/>
      <c r="DWE603" s="46"/>
      <c r="DWF603" s="47"/>
      <c r="DWG603" s="46"/>
      <c r="DWH603" s="48"/>
      <c r="DWI603" s="53"/>
      <c r="DWP603" s="15"/>
      <c r="DWQ603" s="50"/>
      <c r="DWR603" s="50"/>
      <c r="DWS603" s="46"/>
      <c r="DWT603" s="47"/>
      <c r="DWU603" s="46"/>
      <c r="DWV603" s="48"/>
      <c r="DWW603" s="53"/>
      <c r="DXD603" s="15"/>
      <c r="DXE603" s="50"/>
      <c r="DXF603" s="50"/>
      <c r="DXG603" s="46"/>
      <c r="DXH603" s="47"/>
      <c r="DXI603" s="46"/>
      <c r="DXJ603" s="48"/>
      <c r="DXK603" s="53"/>
      <c r="DXR603" s="15"/>
      <c r="DXS603" s="50"/>
      <c r="DXT603" s="50"/>
      <c r="DXU603" s="46"/>
      <c r="DXV603" s="47"/>
      <c r="DXW603" s="46"/>
      <c r="DXX603" s="48"/>
      <c r="DXY603" s="53"/>
      <c r="DYF603" s="15"/>
      <c r="DYG603" s="50"/>
      <c r="DYH603" s="50"/>
      <c r="DYI603" s="46"/>
      <c r="DYJ603" s="47"/>
      <c r="DYK603" s="46"/>
      <c r="DYL603" s="48"/>
      <c r="DYM603" s="53"/>
      <c r="DYT603" s="15"/>
      <c r="DYU603" s="50"/>
      <c r="DYV603" s="50"/>
      <c r="DYW603" s="46"/>
      <c r="DYX603" s="47"/>
      <c r="DYY603" s="46"/>
      <c r="DYZ603" s="48"/>
      <c r="DZA603" s="53"/>
      <c r="DZH603" s="15"/>
      <c r="DZI603" s="50"/>
      <c r="DZJ603" s="50"/>
      <c r="DZK603" s="46"/>
      <c r="DZL603" s="47"/>
      <c r="DZM603" s="46"/>
      <c r="DZN603" s="48"/>
      <c r="DZO603" s="53"/>
      <c r="DZV603" s="15"/>
      <c r="DZW603" s="50"/>
      <c r="DZX603" s="50"/>
      <c r="DZY603" s="46"/>
      <c r="DZZ603" s="47"/>
      <c r="EAA603" s="46"/>
      <c r="EAB603" s="48"/>
      <c r="EAC603" s="53"/>
      <c r="EAJ603" s="15"/>
      <c r="EAK603" s="50"/>
      <c r="EAL603" s="50"/>
      <c r="EAM603" s="46"/>
      <c r="EAN603" s="47"/>
      <c r="EAO603" s="46"/>
      <c r="EAP603" s="48"/>
      <c r="EAQ603" s="53"/>
      <c r="EAX603" s="15"/>
      <c r="EAY603" s="50"/>
      <c r="EAZ603" s="50"/>
      <c r="EBA603" s="46"/>
      <c r="EBB603" s="47"/>
      <c r="EBC603" s="46"/>
      <c r="EBD603" s="48"/>
      <c r="EBE603" s="53"/>
      <c r="EBL603" s="15"/>
      <c r="EBM603" s="50"/>
      <c r="EBN603" s="50"/>
      <c r="EBO603" s="46"/>
      <c r="EBP603" s="47"/>
      <c r="EBQ603" s="46"/>
      <c r="EBR603" s="48"/>
      <c r="EBS603" s="53"/>
      <c r="EBZ603" s="15"/>
      <c r="ECA603" s="50"/>
      <c r="ECB603" s="50"/>
      <c r="ECC603" s="46"/>
      <c r="ECD603" s="47"/>
      <c r="ECE603" s="46"/>
      <c r="ECF603" s="48"/>
      <c r="ECG603" s="53"/>
      <c r="ECN603" s="15"/>
      <c r="ECO603" s="50"/>
      <c r="ECP603" s="50"/>
      <c r="ECQ603" s="46"/>
      <c r="ECR603" s="47"/>
      <c r="ECS603" s="46"/>
      <c r="ECT603" s="48"/>
      <c r="ECU603" s="53"/>
      <c r="EDB603" s="15"/>
      <c r="EDC603" s="50"/>
      <c r="EDD603" s="50"/>
      <c r="EDE603" s="46"/>
      <c r="EDF603" s="47"/>
      <c r="EDG603" s="46"/>
      <c r="EDH603" s="48"/>
      <c r="EDI603" s="53"/>
      <c r="EDP603" s="15"/>
      <c r="EDQ603" s="50"/>
      <c r="EDR603" s="50"/>
      <c r="EDS603" s="46"/>
      <c r="EDT603" s="47"/>
      <c r="EDU603" s="46"/>
      <c r="EDV603" s="48"/>
      <c r="EDW603" s="53"/>
      <c r="EED603" s="15"/>
      <c r="EEE603" s="50"/>
      <c r="EEF603" s="50"/>
      <c r="EEG603" s="46"/>
      <c r="EEH603" s="47"/>
      <c r="EEI603" s="46"/>
      <c r="EEJ603" s="48"/>
      <c r="EEK603" s="53"/>
      <c r="EER603" s="15"/>
      <c r="EES603" s="50"/>
      <c r="EET603" s="50"/>
      <c r="EEU603" s="46"/>
      <c r="EEV603" s="47"/>
      <c r="EEW603" s="46"/>
      <c r="EEX603" s="48"/>
      <c r="EEY603" s="53"/>
      <c r="EFF603" s="15"/>
      <c r="EFG603" s="50"/>
      <c r="EFH603" s="50"/>
      <c r="EFI603" s="46"/>
      <c r="EFJ603" s="47"/>
      <c r="EFK603" s="46"/>
      <c r="EFL603" s="48"/>
      <c r="EFM603" s="53"/>
      <c r="EFT603" s="15"/>
      <c r="EFU603" s="50"/>
      <c r="EFV603" s="50"/>
      <c r="EFW603" s="46"/>
      <c r="EFX603" s="47"/>
      <c r="EFY603" s="46"/>
      <c r="EFZ603" s="48"/>
      <c r="EGA603" s="53"/>
      <c r="EGH603" s="15"/>
      <c r="EGI603" s="50"/>
      <c r="EGJ603" s="50"/>
      <c r="EGK603" s="46"/>
      <c r="EGL603" s="47"/>
      <c r="EGM603" s="46"/>
      <c r="EGN603" s="48"/>
      <c r="EGO603" s="53"/>
      <c r="EGV603" s="15"/>
      <c r="EGW603" s="50"/>
      <c r="EGX603" s="50"/>
      <c r="EGY603" s="46"/>
      <c r="EGZ603" s="47"/>
      <c r="EHA603" s="46"/>
      <c r="EHB603" s="48"/>
      <c r="EHC603" s="53"/>
      <c r="EHJ603" s="15"/>
      <c r="EHK603" s="50"/>
      <c r="EHL603" s="50"/>
      <c r="EHM603" s="46"/>
      <c r="EHN603" s="47"/>
      <c r="EHO603" s="46"/>
      <c r="EHP603" s="48"/>
      <c r="EHQ603" s="53"/>
      <c r="EHX603" s="15"/>
      <c r="EHY603" s="50"/>
      <c r="EHZ603" s="50"/>
      <c r="EIA603" s="46"/>
      <c r="EIB603" s="47"/>
      <c r="EIC603" s="46"/>
      <c r="EID603" s="48"/>
      <c r="EIE603" s="53"/>
      <c r="EIL603" s="15"/>
      <c r="EIM603" s="50"/>
      <c r="EIN603" s="50"/>
      <c r="EIO603" s="46"/>
      <c r="EIP603" s="47"/>
      <c r="EIQ603" s="46"/>
      <c r="EIR603" s="48"/>
      <c r="EIS603" s="53"/>
      <c r="EIZ603" s="15"/>
      <c r="EJA603" s="50"/>
      <c r="EJB603" s="50"/>
      <c r="EJC603" s="46"/>
      <c r="EJD603" s="47"/>
      <c r="EJE603" s="46"/>
      <c r="EJF603" s="48"/>
      <c r="EJG603" s="53"/>
      <c r="EJN603" s="15"/>
      <c r="EJO603" s="50"/>
      <c r="EJP603" s="50"/>
      <c r="EJQ603" s="46"/>
      <c r="EJR603" s="47"/>
      <c r="EJS603" s="46"/>
      <c r="EJT603" s="48"/>
      <c r="EJU603" s="53"/>
      <c r="EKB603" s="15"/>
      <c r="EKC603" s="50"/>
      <c r="EKD603" s="50"/>
      <c r="EKE603" s="46"/>
      <c r="EKF603" s="47"/>
      <c r="EKG603" s="46"/>
      <c r="EKH603" s="48"/>
      <c r="EKI603" s="53"/>
      <c r="EKP603" s="15"/>
      <c r="EKQ603" s="50"/>
      <c r="EKR603" s="50"/>
      <c r="EKS603" s="46"/>
      <c r="EKT603" s="47"/>
      <c r="EKU603" s="46"/>
      <c r="EKV603" s="48"/>
      <c r="EKW603" s="53"/>
      <c r="ELD603" s="15"/>
      <c r="ELE603" s="50"/>
      <c r="ELF603" s="50"/>
      <c r="ELG603" s="46"/>
      <c r="ELH603" s="47"/>
      <c r="ELI603" s="46"/>
      <c r="ELJ603" s="48"/>
      <c r="ELK603" s="53"/>
      <c r="ELR603" s="15"/>
      <c r="ELS603" s="50"/>
      <c r="ELT603" s="50"/>
      <c r="ELU603" s="46"/>
      <c r="ELV603" s="47"/>
      <c r="ELW603" s="46"/>
      <c r="ELX603" s="48"/>
      <c r="ELY603" s="53"/>
      <c r="EMF603" s="15"/>
      <c r="EMG603" s="50"/>
      <c r="EMH603" s="50"/>
      <c r="EMI603" s="46"/>
      <c r="EMJ603" s="47"/>
      <c r="EMK603" s="46"/>
      <c r="EML603" s="48"/>
      <c r="EMM603" s="53"/>
      <c r="EMT603" s="15"/>
      <c r="EMU603" s="50"/>
      <c r="EMV603" s="50"/>
      <c r="EMW603" s="46"/>
      <c r="EMX603" s="47"/>
      <c r="EMY603" s="46"/>
      <c r="EMZ603" s="48"/>
      <c r="ENA603" s="53"/>
      <c r="ENH603" s="15"/>
      <c r="ENI603" s="50"/>
      <c r="ENJ603" s="50"/>
      <c r="ENK603" s="46"/>
      <c r="ENL603" s="47"/>
      <c r="ENM603" s="46"/>
      <c r="ENN603" s="48"/>
      <c r="ENO603" s="53"/>
      <c r="ENV603" s="15"/>
      <c r="ENW603" s="50"/>
      <c r="ENX603" s="50"/>
      <c r="ENY603" s="46"/>
      <c r="ENZ603" s="47"/>
      <c r="EOA603" s="46"/>
      <c r="EOB603" s="48"/>
      <c r="EOC603" s="53"/>
      <c r="EOJ603" s="15"/>
      <c r="EOK603" s="50"/>
      <c r="EOL603" s="50"/>
      <c r="EOM603" s="46"/>
      <c r="EON603" s="47"/>
      <c r="EOO603" s="46"/>
      <c r="EOP603" s="48"/>
      <c r="EOQ603" s="53"/>
      <c r="EOX603" s="15"/>
      <c r="EOY603" s="50"/>
      <c r="EOZ603" s="50"/>
      <c r="EPA603" s="46"/>
      <c r="EPB603" s="47"/>
      <c r="EPC603" s="46"/>
      <c r="EPD603" s="48"/>
      <c r="EPE603" s="53"/>
      <c r="EPL603" s="15"/>
      <c r="EPM603" s="50"/>
      <c r="EPN603" s="50"/>
      <c r="EPO603" s="46"/>
      <c r="EPP603" s="47"/>
      <c r="EPQ603" s="46"/>
      <c r="EPR603" s="48"/>
      <c r="EPS603" s="53"/>
      <c r="EPZ603" s="15"/>
      <c r="EQA603" s="50"/>
      <c r="EQB603" s="50"/>
      <c r="EQC603" s="46"/>
      <c r="EQD603" s="47"/>
      <c r="EQE603" s="46"/>
      <c r="EQF603" s="48"/>
      <c r="EQG603" s="53"/>
      <c r="EQN603" s="15"/>
      <c r="EQO603" s="50"/>
      <c r="EQP603" s="50"/>
      <c r="EQQ603" s="46"/>
      <c r="EQR603" s="47"/>
      <c r="EQS603" s="46"/>
      <c r="EQT603" s="48"/>
      <c r="EQU603" s="53"/>
      <c r="ERB603" s="15"/>
      <c r="ERC603" s="50"/>
      <c r="ERD603" s="50"/>
      <c r="ERE603" s="46"/>
      <c r="ERF603" s="47"/>
      <c r="ERG603" s="46"/>
      <c r="ERH603" s="48"/>
      <c r="ERI603" s="53"/>
      <c r="ERP603" s="15"/>
      <c r="ERQ603" s="50"/>
      <c r="ERR603" s="50"/>
      <c r="ERS603" s="46"/>
      <c r="ERT603" s="47"/>
      <c r="ERU603" s="46"/>
      <c r="ERV603" s="48"/>
      <c r="ERW603" s="53"/>
      <c r="ESD603" s="15"/>
      <c r="ESE603" s="50"/>
      <c r="ESF603" s="50"/>
      <c r="ESG603" s="46"/>
      <c r="ESH603" s="47"/>
      <c r="ESI603" s="46"/>
      <c r="ESJ603" s="48"/>
      <c r="ESK603" s="53"/>
      <c r="ESR603" s="15"/>
      <c r="ESS603" s="50"/>
      <c r="EST603" s="50"/>
      <c r="ESU603" s="46"/>
      <c r="ESV603" s="47"/>
      <c r="ESW603" s="46"/>
      <c r="ESX603" s="48"/>
      <c r="ESY603" s="53"/>
      <c r="ETF603" s="15"/>
      <c r="ETG603" s="50"/>
      <c r="ETH603" s="50"/>
      <c r="ETI603" s="46"/>
      <c r="ETJ603" s="47"/>
      <c r="ETK603" s="46"/>
      <c r="ETL603" s="48"/>
      <c r="ETM603" s="53"/>
      <c r="ETT603" s="15"/>
      <c r="ETU603" s="50"/>
      <c r="ETV603" s="50"/>
      <c r="ETW603" s="46"/>
      <c r="ETX603" s="47"/>
      <c r="ETY603" s="46"/>
      <c r="ETZ603" s="48"/>
      <c r="EUA603" s="53"/>
      <c r="EUH603" s="15"/>
      <c r="EUI603" s="50"/>
      <c r="EUJ603" s="50"/>
      <c r="EUK603" s="46"/>
      <c r="EUL603" s="47"/>
      <c r="EUM603" s="46"/>
      <c r="EUN603" s="48"/>
      <c r="EUO603" s="53"/>
      <c r="EUV603" s="15"/>
      <c r="EUW603" s="50"/>
      <c r="EUX603" s="50"/>
      <c r="EUY603" s="46"/>
      <c r="EUZ603" s="47"/>
      <c r="EVA603" s="46"/>
      <c r="EVB603" s="48"/>
      <c r="EVC603" s="53"/>
      <c r="EVJ603" s="15"/>
      <c r="EVK603" s="50"/>
      <c r="EVL603" s="50"/>
      <c r="EVM603" s="46"/>
      <c r="EVN603" s="47"/>
      <c r="EVO603" s="46"/>
      <c r="EVP603" s="48"/>
      <c r="EVQ603" s="53"/>
      <c r="EVX603" s="15"/>
      <c r="EVY603" s="50"/>
      <c r="EVZ603" s="50"/>
      <c r="EWA603" s="46"/>
      <c r="EWB603" s="47"/>
      <c r="EWC603" s="46"/>
      <c r="EWD603" s="48"/>
      <c r="EWE603" s="53"/>
      <c r="EWL603" s="15"/>
      <c r="EWM603" s="50"/>
      <c r="EWN603" s="50"/>
      <c r="EWO603" s="46"/>
      <c r="EWP603" s="47"/>
      <c r="EWQ603" s="46"/>
      <c r="EWR603" s="48"/>
      <c r="EWS603" s="53"/>
      <c r="EWZ603" s="15"/>
      <c r="EXA603" s="50"/>
      <c r="EXB603" s="50"/>
      <c r="EXC603" s="46"/>
      <c r="EXD603" s="47"/>
      <c r="EXE603" s="46"/>
      <c r="EXF603" s="48"/>
      <c r="EXG603" s="53"/>
      <c r="EXN603" s="15"/>
      <c r="EXO603" s="50"/>
      <c r="EXP603" s="50"/>
      <c r="EXQ603" s="46"/>
      <c r="EXR603" s="47"/>
      <c r="EXS603" s="46"/>
      <c r="EXT603" s="48"/>
      <c r="EXU603" s="53"/>
      <c r="EYB603" s="15"/>
      <c r="EYC603" s="50"/>
      <c r="EYD603" s="50"/>
      <c r="EYE603" s="46"/>
      <c r="EYF603" s="47"/>
      <c r="EYG603" s="46"/>
      <c r="EYH603" s="48"/>
      <c r="EYI603" s="53"/>
      <c r="EYP603" s="15"/>
      <c r="EYQ603" s="50"/>
      <c r="EYR603" s="50"/>
      <c r="EYS603" s="46"/>
      <c r="EYT603" s="47"/>
      <c r="EYU603" s="46"/>
      <c r="EYV603" s="48"/>
      <c r="EYW603" s="53"/>
      <c r="EZD603" s="15"/>
      <c r="EZE603" s="50"/>
      <c r="EZF603" s="50"/>
      <c r="EZG603" s="46"/>
      <c r="EZH603" s="47"/>
      <c r="EZI603" s="46"/>
      <c r="EZJ603" s="48"/>
      <c r="EZK603" s="53"/>
      <c r="EZR603" s="15"/>
      <c r="EZS603" s="50"/>
      <c r="EZT603" s="50"/>
      <c r="EZU603" s="46"/>
      <c r="EZV603" s="47"/>
      <c r="EZW603" s="46"/>
      <c r="EZX603" s="48"/>
      <c r="EZY603" s="53"/>
      <c r="FAF603" s="15"/>
      <c r="FAG603" s="50"/>
      <c r="FAH603" s="50"/>
      <c r="FAI603" s="46"/>
      <c r="FAJ603" s="47"/>
      <c r="FAK603" s="46"/>
      <c r="FAL603" s="48"/>
      <c r="FAM603" s="53"/>
      <c r="FAT603" s="15"/>
      <c r="FAU603" s="50"/>
      <c r="FAV603" s="50"/>
      <c r="FAW603" s="46"/>
      <c r="FAX603" s="47"/>
      <c r="FAY603" s="46"/>
      <c r="FAZ603" s="48"/>
      <c r="FBA603" s="53"/>
      <c r="FBH603" s="15"/>
      <c r="FBI603" s="50"/>
      <c r="FBJ603" s="50"/>
      <c r="FBK603" s="46"/>
      <c r="FBL603" s="47"/>
      <c r="FBM603" s="46"/>
      <c r="FBN603" s="48"/>
      <c r="FBO603" s="53"/>
      <c r="FBV603" s="15"/>
      <c r="FBW603" s="50"/>
      <c r="FBX603" s="50"/>
      <c r="FBY603" s="46"/>
      <c r="FBZ603" s="47"/>
      <c r="FCA603" s="46"/>
      <c r="FCB603" s="48"/>
      <c r="FCC603" s="53"/>
      <c r="FCJ603" s="15"/>
      <c r="FCK603" s="50"/>
      <c r="FCL603" s="50"/>
      <c r="FCM603" s="46"/>
      <c r="FCN603" s="47"/>
      <c r="FCO603" s="46"/>
      <c r="FCP603" s="48"/>
      <c r="FCQ603" s="53"/>
      <c r="FCX603" s="15"/>
      <c r="FCY603" s="50"/>
      <c r="FCZ603" s="50"/>
      <c r="FDA603" s="46"/>
      <c r="FDB603" s="47"/>
      <c r="FDC603" s="46"/>
      <c r="FDD603" s="48"/>
      <c r="FDE603" s="53"/>
      <c r="FDL603" s="15"/>
      <c r="FDM603" s="50"/>
      <c r="FDN603" s="50"/>
      <c r="FDO603" s="46"/>
      <c r="FDP603" s="47"/>
      <c r="FDQ603" s="46"/>
      <c r="FDR603" s="48"/>
      <c r="FDS603" s="53"/>
      <c r="FDZ603" s="15"/>
      <c r="FEA603" s="50"/>
      <c r="FEB603" s="50"/>
      <c r="FEC603" s="46"/>
      <c r="FED603" s="47"/>
      <c r="FEE603" s="46"/>
      <c r="FEF603" s="48"/>
      <c r="FEG603" s="53"/>
      <c r="FEN603" s="15"/>
      <c r="FEO603" s="50"/>
      <c r="FEP603" s="50"/>
      <c r="FEQ603" s="46"/>
      <c r="FER603" s="47"/>
      <c r="FES603" s="46"/>
      <c r="FET603" s="48"/>
      <c r="FEU603" s="53"/>
      <c r="FFB603" s="15"/>
      <c r="FFC603" s="50"/>
      <c r="FFD603" s="50"/>
      <c r="FFE603" s="46"/>
      <c r="FFF603" s="47"/>
      <c r="FFG603" s="46"/>
      <c r="FFH603" s="48"/>
      <c r="FFI603" s="53"/>
      <c r="FFP603" s="15"/>
      <c r="FFQ603" s="50"/>
      <c r="FFR603" s="50"/>
      <c r="FFS603" s="46"/>
      <c r="FFT603" s="47"/>
      <c r="FFU603" s="46"/>
      <c r="FFV603" s="48"/>
      <c r="FFW603" s="53"/>
      <c r="FGD603" s="15"/>
      <c r="FGE603" s="50"/>
      <c r="FGF603" s="50"/>
      <c r="FGG603" s="46"/>
      <c r="FGH603" s="47"/>
      <c r="FGI603" s="46"/>
      <c r="FGJ603" s="48"/>
      <c r="FGK603" s="53"/>
      <c r="FGR603" s="15"/>
      <c r="FGS603" s="50"/>
      <c r="FGT603" s="50"/>
      <c r="FGU603" s="46"/>
      <c r="FGV603" s="47"/>
      <c r="FGW603" s="46"/>
      <c r="FGX603" s="48"/>
      <c r="FGY603" s="53"/>
      <c r="FHF603" s="15"/>
      <c r="FHG603" s="50"/>
      <c r="FHH603" s="50"/>
      <c r="FHI603" s="46"/>
      <c r="FHJ603" s="47"/>
      <c r="FHK603" s="46"/>
      <c r="FHL603" s="48"/>
      <c r="FHM603" s="53"/>
      <c r="FHT603" s="15"/>
      <c r="FHU603" s="50"/>
      <c r="FHV603" s="50"/>
      <c r="FHW603" s="46"/>
      <c r="FHX603" s="47"/>
      <c r="FHY603" s="46"/>
      <c r="FHZ603" s="48"/>
      <c r="FIA603" s="53"/>
      <c r="FIH603" s="15"/>
      <c r="FII603" s="50"/>
      <c r="FIJ603" s="50"/>
      <c r="FIK603" s="46"/>
      <c r="FIL603" s="47"/>
      <c r="FIM603" s="46"/>
      <c r="FIN603" s="48"/>
      <c r="FIO603" s="53"/>
      <c r="FIV603" s="15"/>
      <c r="FIW603" s="50"/>
      <c r="FIX603" s="50"/>
      <c r="FIY603" s="46"/>
      <c r="FIZ603" s="47"/>
      <c r="FJA603" s="46"/>
      <c r="FJB603" s="48"/>
      <c r="FJC603" s="53"/>
      <c r="FJJ603" s="15"/>
      <c r="FJK603" s="50"/>
      <c r="FJL603" s="50"/>
      <c r="FJM603" s="46"/>
      <c r="FJN603" s="47"/>
      <c r="FJO603" s="46"/>
      <c r="FJP603" s="48"/>
      <c r="FJQ603" s="53"/>
      <c r="FJX603" s="15"/>
      <c r="FJY603" s="50"/>
      <c r="FJZ603" s="50"/>
      <c r="FKA603" s="46"/>
      <c r="FKB603" s="47"/>
      <c r="FKC603" s="46"/>
      <c r="FKD603" s="48"/>
      <c r="FKE603" s="53"/>
      <c r="FKL603" s="15"/>
      <c r="FKM603" s="50"/>
      <c r="FKN603" s="50"/>
      <c r="FKO603" s="46"/>
      <c r="FKP603" s="47"/>
      <c r="FKQ603" s="46"/>
      <c r="FKR603" s="48"/>
      <c r="FKS603" s="53"/>
      <c r="FKZ603" s="15"/>
      <c r="FLA603" s="50"/>
      <c r="FLB603" s="50"/>
      <c r="FLC603" s="46"/>
      <c r="FLD603" s="47"/>
      <c r="FLE603" s="46"/>
      <c r="FLF603" s="48"/>
      <c r="FLG603" s="53"/>
      <c r="FLN603" s="15"/>
      <c r="FLO603" s="50"/>
      <c r="FLP603" s="50"/>
      <c r="FLQ603" s="46"/>
      <c r="FLR603" s="47"/>
      <c r="FLS603" s="46"/>
      <c r="FLT603" s="48"/>
      <c r="FLU603" s="53"/>
      <c r="FMB603" s="15"/>
      <c r="FMC603" s="50"/>
      <c r="FMD603" s="50"/>
      <c r="FME603" s="46"/>
      <c r="FMF603" s="47"/>
      <c r="FMG603" s="46"/>
      <c r="FMH603" s="48"/>
      <c r="FMI603" s="53"/>
      <c r="FMP603" s="15"/>
      <c r="FMQ603" s="50"/>
      <c r="FMR603" s="50"/>
      <c r="FMS603" s="46"/>
      <c r="FMT603" s="47"/>
      <c r="FMU603" s="46"/>
      <c r="FMV603" s="48"/>
      <c r="FMW603" s="53"/>
      <c r="FND603" s="15"/>
      <c r="FNE603" s="50"/>
      <c r="FNF603" s="50"/>
      <c r="FNG603" s="46"/>
      <c r="FNH603" s="47"/>
      <c r="FNI603" s="46"/>
      <c r="FNJ603" s="48"/>
      <c r="FNK603" s="53"/>
      <c r="FNR603" s="15"/>
      <c r="FNS603" s="50"/>
      <c r="FNT603" s="50"/>
      <c r="FNU603" s="46"/>
      <c r="FNV603" s="47"/>
      <c r="FNW603" s="46"/>
      <c r="FNX603" s="48"/>
      <c r="FNY603" s="53"/>
      <c r="FOF603" s="15"/>
      <c r="FOG603" s="50"/>
      <c r="FOH603" s="50"/>
      <c r="FOI603" s="46"/>
      <c r="FOJ603" s="47"/>
      <c r="FOK603" s="46"/>
      <c r="FOL603" s="48"/>
      <c r="FOM603" s="53"/>
      <c r="FOT603" s="15"/>
      <c r="FOU603" s="50"/>
      <c r="FOV603" s="50"/>
      <c r="FOW603" s="46"/>
      <c r="FOX603" s="47"/>
      <c r="FOY603" s="46"/>
      <c r="FOZ603" s="48"/>
      <c r="FPA603" s="53"/>
      <c r="FPH603" s="15"/>
      <c r="FPI603" s="50"/>
      <c r="FPJ603" s="50"/>
      <c r="FPK603" s="46"/>
      <c r="FPL603" s="47"/>
      <c r="FPM603" s="46"/>
      <c r="FPN603" s="48"/>
      <c r="FPO603" s="53"/>
      <c r="FPV603" s="15"/>
      <c r="FPW603" s="50"/>
      <c r="FPX603" s="50"/>
      <c r="FPY603" s="46"/>
      <c r="FPZ603" s="47"/>
      <c r="FQA603" s="46"/>
      <c r="FQB603" s="48"/>
      <c r="FQC603" s="53"/>
      <c r="FQJ603" s="15"/>
      <c r="FQK603" s="50"/>
      <c r="FQL603" s="50"/>
      <c r="FQM603" s="46"/>
      <c r="FQN603" s="47"/>
      <c r="FQO603" s="46"/>
      <c r="FQP603" s="48"/>
      <c r="FQQ603" s="53"/>
      <c r="FQX603" s="15"/>
      <c r="FQY603" s="50"/>
      <c r="FQZ603" s="50"/>
      <c r="FRA603" s="46"/>
      <c r="FRB603" s="47"/>
      <c r="FRC603" s="46"/>
      <c r="FRD603" s="48"/>
      <c r="FRE603" s="53"/>
      <c r="FRL603" s="15"/>
      <c r="FRM603" s="50"/>
      <c r="FRN603" s="50"/>
      <c r="FRO603" s="46"/>
      <c r="FRP603" s="47"/>
      <c r="FRQ603" s="46"/>
      <c r="FRR603" s="48"/>
      <c r="FRS603" s="53"/>
      <c r="FRZ603" s="15"/>
      <c r="FSA603" s="50"/>
      <c r="FSB603" s="50"/>
      <c r="FSC603" s="46"/>
      <c r="FSD603" s="47"/>
      <c r="FSE603" s="46"/>
      <c r="FSF603" s="48"/>
      <c r="FSG603" s="53"/>
      <c r="FSN603" s="15"/>
      <c r="FSO603" s="50"/>
      <c r="FSP603" s="50"/>
      <c r="FSQ603" s="46"/>
      <c r="FSR603" s="47"/>
      <c r="FSS603" s="46"/>
      <c r="FST603" s="48"/>
      <c r="FSU603" s="53"/>
      <c r="FTB603" s="15"/>
      <c r="FTC603" s="50"/>
      <c r="FTD603" s="50"/>
      <c r="FTE603" s="46"/>
      <c r="FTF603" s="47"/>
      <c r="FTG603" s="46"/>
      <c r="FTH603" s="48"/>
      <c r="FTI603" s="53"/>
      <c r="FTP603" s="15"/>
      <c r="FTQ603" s="50"/>
      <c r="FTR603" s="50"/>
      <c r="FTS603" s="46"/>
      <c r="FTT603" s="47"/>
      <c r="FTU603" s="46"/>
      <c r="FTV603" s="48"/>
      <c r="FTW603" s="53"/>
      <c r="FUD603" s="15"/>
      <c r="FUE603" s="50"/>
      <c r="FUF603" s="50"/>
      <c r="FUG603" s="46"/>
      <c r="FUH603" s="47"/>
      <c r="FUI603" s="46"/>
      <c r="FUJ603" s="48"/>
      <c r="FUK603" s="53"/>
      <c r="FUR603" s="15"/>
      <c r="FUS603" s="50"/>
      <c r="FUT603" s="50"/>
      <c r="FUU603" s="46"/>
      <c r="FUV603" s="47"/>
      <c r="FUW603" s="46"/>
      <c r="FUX603" s="48"/>
      <c r="FUY603" s="53"/>
      <c r="FVF603" s="15"/>
      <c r="FVG603" s="50"/>
      <c r="FVH603" s="50"/>
      <c r="FVI603" s="46"/>
      <c r="FVJ603" s="47"/>
      <c r="FVK603" s="46"/>
      <c r="FVL603" s="48"/>
      <c r="FVM603" s="53"/>
      <c r="FVT603" s="15"/>
      <c r="FVU603" s="50"/>
      <c r="FVV603" s="50"/>
      <c r="FVW603" s="46"/>
      <c r="FVX603" s="47"/>
      <c r="FVY603" s="46"/>
      <c r="FVZ603" s="48"/>
      <c r="FWA603" s="53"/>
      <c r="FWH603" s="15"/>
      <c r="FWI603" s="50"/>
      <c r="FWJ603" s="50"/>
      <c r="FWK603" s="46"/>
      <c r="FWL603" s="47"/>
      <c r="FWM603" s="46"/>
      <c r="FWN603" s="48"/>
      <c r="FWO603" s="53"/>
      <c r="FWV603" s="15"/>
      <c r="FWW603" s="50"/>
      <c r="FWX603" s="50"/>
      <c r="FWY603" s="46"/>
      <c r="FWZ603" s="47"/>
      <c r="FXA603" s="46"/>
      <c r="FXB603" s="48"/>
      <c r="FXC603" s="53"/>
      <c r="FXJ603" s="15"/>
      <c r="FXK603" s="50"/>
      <c r="FXL603" s="50"/>
      <c r="FXM603" s="46"/>
      <c r="FXN603" s="47"/>
      <c r="FXO603" s="46"/>
      <c r="FXP603" s="48"/>
      <c r="FXQ603" s="53"/>
      <c r="FXX603" s="15"/>
      <c r="FXY603" s="50"/>
      <c r="FXZ603" s="50"/>
      <c r="FYA603" s="46"/>
      <c r="FYB603" s="47"/>
      <c r="FYC603" s="46"/>
      <c r="FYD603" s="48"/>
      <c r="FYE603" s="53"/>
      <c r="FYL603" s="15"/>
      <c r="FYM603" s="50"/>
      <c r="FYN603" s="50"/>
      <c r="FYO603" s="46"/>
      <c r="FYP603" s="47"/>
      <c r="FYQ603" s="46"/>
      <c r="FYR603" s="48"/>
      <c r="FYS603" s="53"/>
      <c r="FYZ603" s="15"/>
      <c r="FZA603" s="50"/>
      <c r="FZB603" s="50"/>
      <c r="FZC603" s="46"/>
      <c r="FZD603" s="47"/>
      <c r="FZE603" s="46"/>
      <c r="FZF603" s="48"/>
      <c r="FZG603" s="53"/>
      <c r="FZN603" s="15"/>
      <c r="FZO603" s="50"/>
      <c r="FZP603" s="50"/>
      <c r="FZQ603" s="46"/>
      <c r="FZR603" s="47"/>
      <c r="FZS603" s="46"/>
      <c r="FZT603" s="48"/>
      <c r="FZU603" s="53"/>
      <c r="GAB603" s="15"/>
      <c r="GAC603" s="50"/>
      <c r="GAD603" s="50"/>
      <c r="GAE603" s="46"/>
      <c r="GAF603" s="47"/>
      <c r="GAG603" s="46"/>
      <c r="GAH603" s="48"/>
      <c r="GAI603" s="53"/>
      <c r="GAP603" s="15"/>
      <c r="GAQ603" s="50"/>
      <c r="GAR603" s="50"/>
      <c r="GAS603" s="46"/>
      <c r="GAT603" s="47"/>
      <c r="GAU603" s="46"/>
      <c r="GAV603" s="48"/>
      <c r="GAW603" s="53"/>
      <c r="GBD603" s="15"/>
      <c r="GBE603" s="50"/>
      <c r="GBF603" s="50"/>
      <c r="GBG603" s="46"/>
      <c r="GBH603" s="47"/>
      <c r="GBI603" s="46"/>
      <c r="GBJ603" s="48"/>
      <c r="GBK603" s="53"/>
      <c r="GBR603" s="15"/>
      <c r="GBS603" s="50"/>
      <c r="GBT603" s="50"/>
      <c r="GBU603" s="46"/>
      <c r="GBV603" s="47"/>
      <c r="GBW603" s="46"/>
      <c r="GBX603" s="48"/>
      <c r="GBY603" s="53"/>
      <c r="GCF603" s="15"/>
      <c r="GCG603" s="50"/>
      <c r="GCH603" s="50"/>
      <c r="GCI603" s="46"/>
      <c r="GCJ603" s="47"/>
      <c r="GCK603" s="46"/>
      <c r="GCL603" s="48"/>
      <c r="GCM603" s="53"/>
      <c r="GCT603" s="15"/>
      <c r="GCU603" s="50"/>
      <c r="GCV603" s="50"/>
      <c r="GCW603" s="46"/>
      <c r="GCX603" s="47"/>
      <c r="GCY603" s="46"/>
      <c r="GCZ603" s="48"/>
      <c r="GDA603" s="53"/>
      <c r="GDH603" s="15"/>
      <c r="GDI603" s="50"/>
      <c r="GDJ603" s="50"/>
      <c r="GDK603" s="46"/>
      <c r="GDL603" s="47"/>
      <c r="GDM603" s="46"/>
      <c r="GDN603" s="48"/>
      <c r="GDO603" s="53"/>
      <c r="GDV603" s="15"/>
      <c r="GDW603" s="50"/>
      <c r="GDX603" s="50"/>
      <c r="GDY603" s="46"/>
      <c r="GDZ603" s="47"/>
      <c r="GEA603" s="46"/>
      <c r="GEB603" s="48"/>
      <c r="GEC603" s="53"/>
      <c r="GEJ603" s="15"/>
      <c r="GEK603" s="50"/>
      <c r="GEL603" s="50"/>
      <c r="GEM603" s="46"/>
      <c r="GEN603" s="47"/>
      <c r="GEO603" s="46"/>
      <c r="GEP603" s="48"/>
      <c r="GEQ603" s="53"/>
      <c r="GEX603" s="15"/>
      <c r="GEY603" s="50"/>
      <c r="GEZ603" s="50"/>
      <c r="GFA603" s="46"/>
      <c r="GFB603" s="47"/>
      <c r="GFC603" s="46"/>
      <c r="GFD603" s="48"/>
      <c r="GFE603" s="53"/>
      <c r="GFL603" s="15"/>
      <c r="GFM603" s="50"/>
      <c r="GFN603" s="50"/>
      <c r="GFO603" s="46"/>
      <c r="GFP603" s="47"/>
      <c r="GFQ603" s="46"/>
      <c r="GFR603" s="48"/>
      <c r="GFS603" s="53"/>
      <c r="GFZ603" s="15"/>
      <c r="GGA603" s="50"/>
      <c r="GGB603" s="50"/>
      <c r="GGC603" s="46"/>
      <c r="GGD603" s="47"/>
      <c r="GGE603" s="46"/>
      <c r="GGF603" s="48"/>
      <c r="GGG603" s="53"/>
      <c r="GGN603" s="15"/>
      <c r="GGO603" s="50"/>
      <c r="GGP603" s="50"/>
      <c r="GGQ603" s="46"/>
      <c r="GGR603" s="47"/>
      <c r="GGS603" s="46"/>
      <c r="GGT603" s="48"/>
      <c r="GGU603" s="53"/>
      <c r="GHB603" s="15"/>
      <c r="GHC603" s="50"/>
      <c r="GHD603" s="50"/>
      <c r="GHE603" s="46"/>
      <c r="GHF603" s="47"/>
      <c r="GHG603" s="46"/>
      <c r="GHH603" s="48"/>
      <c r="GHI603" s="53"/>
      <c r="GHP603" s="15"/>
      <c r="GHQ603" s="50"/>
      <c r="GHR603" s="50"/>
      <c r="GHS603" s="46"/>
      <c r="GHT603" s="47"/>
      <c r="GHU603" s="46"/>
      <c r="GHV603" s="48"/>
      <c r="GHW603" s="53"/>
      <c r="GID603" s="15"/>
      <c r="GIE603" s="50"/>
      <c r="GIF603" s="50"/>
      <c r="GIG603" s="46"/>
      <c r="GIH603" s="47"/>
      <c r="GII603" s="46"/>
      <c r="GIJ603" s="48"/>
      <c r="GIK603" s="53"/>
      <c r="GIR603" s="15"/>
      <c r="GIS603" s="50"/>
      <c r="GIT603" s="50"/>
      <c r="GIU603" s="46"/>
      <c r="GIV603" s="47"/>
      <c r="GIW603" s="46"/>
      <c r="GIX603" s="48"/>
      <c r="GIY603" s="53"/>
      <c r="GJF603" s="15"/>
      <c r="GJG603" s="50"/>
      <c r="GJH603" s="50"/>
      <c r="GJI603" s="46"/>
      <c r="GJJ603" s="47"/>
      <c r="GJK603" s="46"/>
      <c r="GJL603" s="48"/>
      <c r="GJM603" s="53"/>
      <c r="GJT603" s="15"/>
      <c r="GJU603" s="50"/>
      <c r="GJV603" s="50"/>
      <c r="GJW603" s="46"/>
      <c r="GJX603" s="47"/>
      <c r="GJY603" s="46"/>
      <c r="GJZ603" s="48"/>
      <c r="GKA603" s="53"/>
      <c r="GKH603" s="15"/>
      <c r="GKI603" s="50"/>
      <c r="GKJ603" s="50"/>
      <c r="GKK603" s="46"/>
      <c r="GKL603" s="47"/>
      <c r="GKM603" s="46"/>
      <c r="GKN603" s="48"/>
      <c r="GKO603" s="53"/>
      <c r="GKV603" s="15"/>
      <c r="GKW603" s="50"/>
      <c r="GKX603" s="50"/>
      <c r="GKY603" s="46"/>
      <c r="GKZ603" s="47"/>
      <c r="GLA603" s="46"/>
      <c r="GLB603" s="48"/>
      <c r="GLC603" s="53"/>
      <c r="GLJ603" s="15"/>
      <c r="GLK603" s="50"/>
      <c r="GLL603" s="50"/>
      <c r="GLM603" s="46"/>
      <c r="GLN603" s="47"/>
      <c r="GLO603" s="46"/>
      <c r="GLP603" s="48"/>
      <c r="GLQ603" s="53"/>
      <c r="GLX603" s="15"/>
      <c r="GLY603" s="50"/>
      <c r="GLZ603" s="50"/>
      <c r="GMA603" s="46"/>
      <c r="GMB603" s="47"/>
      <c r="GMC603" s="46"/>
      <c r="GMD603" s="48"/>
      <c r="GME603" s="53"/>
      <c r="GML603" s="15"/>
      <c r="GMM603" s="50"/>
      <c r="GMN603" s="50"/>
      <c r="GMO603" s="46"/>
      <c r="GMP603" s="47"/>
      <c r="GMQ603" s="46"/>
      <c r="GMR603" s="48"/>
      <c r="GMS603" s="53"/>
      <c r="GMZ603" s="15"/>
      <c r="GNA603" s="50"/>
      <c r="GNB603" s="50"/>
      <c r="GNC603" s="46"/>
      <c r="GND603" s="47"/>
      <c r="GNE603" s="46"/>
      <c r="GNF603" s="48"/>
      <c r="GNG603" s="53"/>
      <c r="GNN603" s="15"/>
      <c r="GNO603" s="50"/>
      <c r="GNP603" s="50"/>
      <c r="GNQ603" s="46"/>
      <c r="GNR603" s="47"/>
      <c r="GNS603" s="46"/>
      <c r="GNT603" s="48"/>
      <c r="GNU603" s="53"/>
      <c r="GOB603" s="15"/>
      <c r="GOC603" s="50"/>
      <c r="GOD603" s="50"/>
      <c r="GOE603" s="46"/>
      <c r="GOF603" s="47"/>
      <c r="GOG603" s="46"/>
      <c r="GOH603" s="48"/>
      <c r="GOI603" s="53"/>
      <c r="GOP603" s="15"/>
      <c r="GOQ603" s="50"/>
      <c r="GOR603" s="50"/>
      <c r="GOS603" s="46"/>
      <c r="GOT603" s="47"/>
      <c r="GOU603" s="46"/>
      <c r="GOV603" s="48"/>
      <c r="GOW603" s="53"/>
      <c r="GPD603" s="15"/>
      <c r="GPE603" s="50"/>
      <c r="GPF603" s="50"/>
      <c r="GPG603" s="46"/>
      <c r="GPH603" s="47"/>
      <c r="GPI603" s="46"/>
      <c r="GPJ603" s="48"/>
      <c r="GPK603" s="53"/>
      <c r="GPR603" s="15"/>
      <c r="GPS603" s="50"/>
      <c r="GPT603" s="50"/>
      <c r="GPU603" s="46"/>
      <c r="GPV603" s="47"/>
      <c r="GPW603" s="46"/>
      <c r="GPX603" s="48"/>
      <c r="GPY603" s="53"/>
      <c r="GQF603" s="15"/>
      <c r="GQG603" s="50"/>
      <c r="GQH603" s="50"/>
      <c r="GQI603" s="46"/>
      <c r="GQJ603" s="47"/>
      <c r="GQK603" s="46"/>
      <c r="GQL603" s="48"/>
      <c r="GQM603" s="53"/>
      <c r="GQT603" s="15"/>
      <c r="GQU603" s="50"/>
      <c r="GQV603" s="50"/>
      <c r="GQW603" s="46"/>
      <c r="GQX603" s="47"/>
      <c r="GQY603" s="46"/>
      <c r="GQZ603" s="48"/>
      <c r="GRA603" s="53"/>
      <c r="GRH603" s="15"/>
      <c r="GRI603" s="50"/>
      <c r="GRJ603" s="50"/>
      <c r="GRK603" s="46"/>
      <c r="GRL603" s="47"/>
      <c r="GRM603" s="46"/>
      <c r="GRN603" s="48"/>
      <c r="GRO603" s="53"/>
      <c r="GRV603" s="15"/>
      <c r="GRW603" s="50"/>
      <c r="GRX603" s="50"/>
      <c r="GRY603" s="46"/>
      <c r="GRZ603" s="47"/>
      <c r="GSA603" s="46"/>
      <c r="GSB603" s="48"/>
      <c r="GSC603" s="53"/>
      <c r="GSJ603" s="15"/>
      <c r="GSK603" s="50"/>
      <c r="GSL603" s="50"/>
      <c r="GSM603" s="46"/>
      <c r="GSN603" s="47"/>
      <c r="GSO603" s="46"/>
      <c r="GSP603" s="48"/>
      <c r="GSQ603" s="53"/>
      <c r="GSX603" s="15"/>
      <c r="GSY603" s="50"/>
      <c r="GSZ603" s="50"/>
      <c r="GTA603" s="46"/>
      <c r="GTB603" s="47"/>
      <c r="GTC603" s="46"/>
      <c r="GTD603" s="48"/>
      <c r="GTE603" s="53"/>
      <c r="GTL603" s="15"/>
      <c r="GTM603" s="50"/>
      <c r="GTN603" s="50"/>
      <c r="GTO603" s="46"/>
      <c r="GTP603" s="47"/>
      <c r="GTQ603" s="46"/>
      <c r="GTR603" s="48"/>
      <c r="GTS603" s="53"/>
      <c r="GTZ603" s="15"/>
      <c r="GUA603" s="50"/>
      <c r="GUB603" s="50"/>
      <c r="GUC603" s="46"/>
      <c r="GUD603" s="47"/>
      <c r="GUE603" s="46"/>
      <c r="GUF603" s="48"/>
      <c r="GUG603" s="53"/>
      <c r="GUN603" s="15"/>
      <c r="GUO603" s="50"/>
      <c r="GUP603" s="50"/>
      <c r="GUQ603" s="46"/>
      <c r="GUR603" s="47"/>
      <c r="GUS603" s="46"/>
      <c r="GUT603" s="48"/>
      <c r="GUU603" s="53"/>
      <c r="GVB603" s="15"/>
      <c r="GVC603" s="50"/>
      <c r="GVD603" s="50"/>
      <c r="GVE603" s="46"/>
      <c r="GVF603" s="47"/>
      <c r="GVG603" s="46"/>
      <c r="GVH603" s="48"/>
      <c r="GVI603" s="53"/>
      <c r="GVP603" s="15"/>
      <c r="GVQ603" s="50"/>
      <c r="GVR603" s="50"/>
      <c r="GVS603" s="46"/>
      <c r="GVT603" s="47"/>
      <c r="GVU603" s="46"/>
      <c r="GVV603" s="48"/>
      <c r="GVW603" s="53"/>
      <c r="GWD603" s="15"/>
      <c r="GWE603" s="50"/>
      <c r="GWF603" s="50"/>
      <c r="GWG603" s="46"/>
      <c r="GWH603" s="47"/>
      <c r="GWI603" s="46"/>
      <c r="GWJ603" s="48"/>
      <c r="GWK603" s="53"/>
      <c r="GWR603" s="15"/>
      <c r="GWS603" s="50"/>
      <c r="GWT603" s="50"/>
      <c r="GWU603" s="46"/>
      <c r="GWV603" s="47"/>
      <c r="GWW603" s="46"/>
      <c r="GWX603" s="48"/>
      <c r="GWY603" s="53"/>
      <c r="GXF603" s="15"/>
      <c r="GXG603" s="50"/>
      <c r="GXH603" s="50"/>
      <c r="GXI603" s="46"/>
      <c r="GXJ603" s="47"/>
      <c r="GXK603" s="46"/>
      <c r="GXL603" s="48"/>
      <c r="GXM603" s="53"/>
      <c r="GXT603" s="15"/>
      <c r="GXU603" s="50"/>
      <c r="GXV603" s="50"/>
      <c r="GXW603" s="46"/>
      <c r="GXX603" s="47"/>
      <c r="GXY603" s="46"/>
      <c r="GXZ603" s="48"/>
      <c r="GYA603" s="53"/>
      <c r="GYH603" s="15"/>
      <c r="GYI603" s="50"/>
      <c r="GYJ603" s="50"/>
      <c r="GYK603" s="46"/>
      <c r="GYL603" s="47"/>
      <c r="GYM603" s="46"/>
      <c r="GYN603" s="48"/>
      <c r="GYO603" s="53"/>
      <c r="GYV603" s="15"/>
      <c r="GYW603" s="50"/>
      <c r="GYX603" s="50"/>
      <c r="GYY603" s="46"/>
      <c r="GYZ603" s="47"/>
      <c r="GZA603" s="46"/>
      <c r="GZB603" s="48"/>
      <c r="GZC603" s="53"/>
      <c r="GZJ603" s="15"/>
      <c r="GZK603" s="50"/>
      <c r="GZL603" s="50"/>
      <c r="GZM603" s="46"/>
      <c r="GZN603" s="47"/>
      <c r="GZO603" s="46"/>
      <c r="GZP603" s="48"/>
      <c r="GZQ603" s="53"/>
      <c r="GZX603" s="15"/>
      <c r="GZY603" s="50"/>
      <c r="GZZ603" s="50"/>
      <c r="HAA603" s="46"/>
      <c r="HAB603" s="47"/>
      <c r="HAC603" s="46"/>
      <c r="HAD603" s="48"/>
      <c r="HAE603" s="53"/>
      <c r="HAL603" s="15"/>
      <c r="HAM603" s="50"/>
      <c r="HAN603" s="50"/>
      <c r="HAO603" s="46"/>
      <c r="HAP603" s="47"/>
      <c r="HAQ603" s="46"/>
      <c r="HAR603" s="48"/>
      <c r="HAS603" s="53"/>
      <c r="HAZ603" s="15"/>
      <c r="HBA603" s="50"/>
      <c r="HBB603" s="50"/>
      <c r="HBC603" s="46"/>
      <c r="HBD603" s="47"/>
      <c r="HBE603" s="46"/>
      <c r="HBF603" s="48"/>
      <c r="HBG603" s="53"/>
      <c r="HBN603" s="15"/>
      <c r="HBO603" s="50"/>
      <c r="HBP603" s="50"/>
      <c r="HBQ603" s="46"/>
      <c r="HBR603" s="47"/>
      <c r="HBS603" s="46"/>
      <c r="HBT603" s="48"/>
      <c r="HBU603" s="53"/>
      <c r="HCB603" s="15"/>
      <c r="HCC603" s="50"/>
      <c r="HCD603" s="50"/>
      <c r="HCE603" s="46"/>
      <c r="HCF603" s="47"/>
      <c r="HCG603" s="46"/>
      <c r="HCH603" s="48"/>
      <c r="HCI603" s="53"/>
      <c r="HCP603" s="15"/>
      <c r="HCQ603" s="50"/>
      <c r="HCR603" s="50"/>
      <c r="HCS603" s="46"/>
      <c r="HCT603" s="47"/>
      <c r="HCU603" s="46"/>
      <c r="HCV603" s="48"/>
      <c r="HCW603" s="53"/>
      <c r="HDD603" s="15"/>
      <c r="HDE603" s="50"/>
      <c r="HDF603" s="50"/>
      <c r="HDG603" s="46"/>
      <c r="HDH603" s="47"/>
      <c r="HDI603" s="46"/>
      <c r="HDJ603" s="48"/>
      <c r="HDK603" s="53"/>
      <c r="HDR603" s="15"/>
      <c r="HDS603" s="50"/>
      <c r="HDT603" s="50"/>
      <c r="HDU603" s="46"/>
      <c r="HDV603" s="47"/>
      <c r="HDW603" s="46"/>
      <c r="HDX603" s="48"/>
      <c r="HDY603" s="53"/>
      <c r="HEF603" s="15"/>
      <c r="HEG603" s="50"/>
      <c r="HEH603" s="50"/>
      <c r="HEI603" s="46"/>
      <c r="HEJ603" s="47"/>
      <c r="HEK603" s="46"/>
      <c r="HEL603" s="48"/>
      <c r="HEM603" s="53"/>
      <c r="HET603" s="15"/>
      <c r="HEU603" s="50"/>
      <c r="HEV603" s="50"/>
      <c r="HEW603" s="46"/>
      <c r="HEX603" s="47"/>
      <c r="HEY603" s="46"/>
      <c r="HEZ603" s="48"/>
      <c r="HFA603" s="53"/>
      <c r="HFH603" s="15"/>
      <c r="HFI603" s="50"/>
      <c r="HFJ603" s="50"/>
      <c r="HFK603" s="46"/>
      <c r="HFL603" s="47"/>
      <c r="HFM603" s="46"/>
      <c r="HFN603" s="48"/>
      <c r="HFO603" s="53"/>
      <c r="HFV603" s="15"/>
      <c r="HFW603" s="50"/>
      <c r="HFX603" s="50"/>
      <c r="HFY603" s="46"/>
      <c r="HFZ603" s="47"/>
      <c r="HGA603" s="46"/>
      <c r="HGB603" s="48"/>
      <c r="HGC603" s="53"/>
      <c r="HGJ603" s="15"/>
      <c r="HGK603" s="50"/>
      <c r="HGL603" s="50"/>
      <c r="HGM603" s="46"/>
      <c r="HGN603" s="47"/>
      <c r="HGO603" s="46"/>
      <c r="HGP603" s="48"/>
      <c r="HGQ603" s="53"/>
      <c r="HGX603" s="15"/>
      <c r="HGY603" s="50"/>
      <c r="HGZ603" s="50"/>
      <c r="HHA603" s="46"/>
      <c r="HHB603" s="47"/>
      <c r="HHC603" s="46"/>
      <c r="HHD603" s="48"/>
      <c r="HHE603" s="53"/>
      <c r="HHL603" s="15"/>
      <c r="HHM603" s="50"/>
      <c r="HHN603" s="50"/>
      <c r="HHO603" s="46"/>
      <c r="HHP603" s="47"/>
      <c r="HHQ603" s="46"/>
      <c r="HHR603" s="48"/>
      <c r="HHS603" s="53"/>
      <c r="HHZ603" s="15"/>
      <c r="HIA603" s="50"/>
      <c r="HIB603" s="50"/>
      <c r="HIC603" s="46"/>
      <c r="HID603" s="47"/>
      <c r="HIE603" s="46"/>
      <c r="HIF603" s="48"/>
      <c r="HIG603" s="53"/>
      <c r="HIN603" s="15"/>
      <c r="HIO603" s="50"/>
      <c r="HIP603" s="50"/>
      <c r="HIQ603" s="46"/>
      <c r="HIR603" s="47"/>
      <c r="HIS603" s="46"/>
      <c r="HIT603" s="48"/>
      <c r="HIU603" s="53"/>
      <c r="HJB603" s="15"/>
      <c r="HJC603" s="50"/>
      <c r="HJD603" s="50"/>
      <c r="HJE603" s="46"/>
      <c r="HJF603" s="47"/>
      <c r="HJG603" s="46"/>
      <c r="HJH603" s="48"/>
      <c r="HJI603" s="53"/>
      <c r="HJP603" s="15"/>
      <c r="HJQ603" s="50"/>
      <c r="HJR603" s="50"/>
      <c r="HJS603" s="46"/>
      <c r="HJT603" s="47"/>
      <c r="HJU603" s="46"/>
      <c r="HJV603" s="48"/>
      <c r="HJW603" s="53"/>
      <c r="HKD603" s="15"/>
      <c r="HKE603" s="50"/>
      <c r="HKF603" s="50"/>
      <c r="HKG603" s="46"/>
      <c r="HKH603" s="47"/>
      <c r="HKI603" s="46"/>
      <c r="HKJ603" s="48"/>
      <c r="HKK603" s="53"/>
      <c r="HKR603" s="15"/>
      <c r="HKS603" s="50"/>
      <c r="HKT603" s="50"/>
      <c r="HKU603" s="46"/>
      <c r="HKV603" s="47"/>
      <c r="HKW603" s="46"/>
      <c r="HKX603" s="48"/>
      <c r="HKY603" s="53"/>
      <c r="HLF603" s="15"/>
      <c r="HLG603" s="50"/>
      <c r="HLH603" s="50"/>
      <c r="HLI603" s="46"/>
      <c r="HLJ603" s="47"/>
      <c r="HLK603" s="46"/>
      <c r="HLL603" s="48"/>
      <c r="HLM603" s="53"/>
      <c r="HLT603" s="15"/>
      <c r="HLU603" s="50"/>
      <c r="HLV603" s="50"/>
      <c r="HLW603" s="46"/>
      <c r="HLX603" s="47"/>
      <c r="HLY603" s="46"/>
      <c r="HLZ603" s="48"/>
      <c r="HMA603" s="53"/>
      <c r="HMH603" s="15"/>
      <c r="HMI603" s="50"/>
      <c r="HMJ603" s="50"/>
      <c r="HMK603" s="46"/>
      <c r="HML603" s="47"/>
      <c r="HMM603" s="46"/>
      <c r="HMN603" s="48"/>
      <c r="HMO603" s="53"/>
      <c r="HMV603" s="15"/>
      <c r="HMW603" s="50"/>
      <c r="HMX603" s="50"/>
      <c r="HMY603" s="46"/>
      <c r="HMZ603" s="47"/>
      <c r="HNA603" s="46"/>
      <c r="HNB603" s="48"/>
      <c r="HNC603" s="53"/>
      <c r="HNJ603" s="15"/>
      <c r="HNK603" s="50"/>
      <c r="HNL603" s="50"/>
      <c r="HNM603" s="46"/>
      <c r="HNN603" s="47"/>
      <c r="HNO603" s="46"/>
      <c r="HNP603" s="48"/>
      <c r="HNQ603" s="53"/>
      <c r="HNX603" s="15"/>
      <c r="HNY603" s="50"/>
      <c r="HNZ603" s="50"/>
      <c r="HOA603" s="46"/>
      <c r="HOB603" s="47"/>
      <c r="HOC603" s="46"/>
      <c r="HOD603" s="48"/>
      <c r="HOE603" s="53"/>
      <c r="HOL603" s="15"/>
      <c r="HOM603" s="50"/>
      <c r="HON603" s="50"/>
      <c r="HOO603" s="46"/>
      <c r="HOP603" s="47"/>
      <c r="HOQ603" s="46"/>
      <c r="HOR603" s="48"/>
      <c r="HOS603" s="53"/>
      <c r="HOZ603" s="15"/>
      <c r="HPA603" s="50"/>
      <c r="HPB603" s="50"/>
      <c r="HPC603" s="46"/>
      <c r="HPD603" s="47"/>
      <c r="HPE603" s="46"/>
      <c r="HPF603" s="48"/>
      <c r="HPG603" s="53"/>
      <c r="HPN603" s="15"/>
      <c r="HPO603" s="50"/>
      <c r="HPP603" s="50"/>
      <c r="HPQ603" s="46"/>
      <c r="HPR603" s="47"/>
      <c r="HPS603" s="46"/>
      <c r="HPT603" s="48"/>
      <c r="HPU603" s="53"/>
      <c r="HQB603" s="15"/>
      <c r="HQC603" s="50"/>
      <c r="HQD603" s="50"/>
      <c r="HQE603" s="46"/>
      <c r="HQF603" s="47"/>
      <c r="HQG603" s="46"/>
      <c r="HQH603" s="48"/>
      <c r="HQI603" s="53"/>
      <c r="HQP603" s="15"/>
      <c r="HQQ603" s="50"/>
      <c r="HQR603" s="50"/>
      <c r="HQS603" s="46"/>
      <c r="HQT603" s="47"/>
      <c r="HQU603" s="46"/>
      <c r="HQV603" s="48"/>
      <c r="HQW603" s="53"/>
      <c r="HRD603" s="15"/>
      <c r="HRE603" s="50"/>
      <c r="HRF603" s="50"/>
      <c r="HRG603" s="46"/>
      <c r="HRH603" s="47"/>
      <c r="HRI603" s="46"/>
      <c r="HRJ603" s="48"/>
      <c r="HRK603" s="53"/>
      <c r="HRR603" s="15"/>
      <c r="HRS603" s="50"/>
      <c r="HRT603" s="50"/>
      <c r="HRU603" s="46"/>
      <c r="HRV603" s="47"/>
      <c r="HRW603" s="46"/>
      <c r="HRX603" s="48"/>
      <c r="HRY603" s="53"/>
      <c r="HSF603" s="15"/>
      <c r="HSG603" s="50"/>
      <c r="HSH603" s="50"/>
      <c r="HSI603" s="46"/>
      <c r="HSJ603" s="47"/>
      <c r="HSK603" s="46"/>
      <c r="HSL603" s="48"/>
      <c r="HSM603" s="53"/>
      <c r="HST603" s="15"/>
      <c r="HSU603" s="50"/>
      <c r="HSV603" s="50"/>
      <c r="HSW603" s="46"/>
      <c r="HSX603" s="47"/>
      <c r="HSY603" s="46"/>
      <c r="HSZ603" s="48"/>
      <c r="HTA603" s="53"/>
      <c r="HTH603" s="15"/>
      <c r="HTI603" s="50"/>
      <c r="HTJ603" s="50"/>
      <c r="HTK603" s="46"/>
      <c r="HTL603" s="47"/>
      <c r="HTM603" s="46"/>
      <c r="HTN603" s="48"/>
      <c r="HTO603" s="53"/>
      <c r="HTV603" s="15"/>
      <c r="HTW603" s="50"/>
      <c r="HTX603" s="50"/>
      <c r="HTY603" s="46"/>
      <c r="HTZ603" s="47"/>
      <c r="HUA603" s="46"/>
      <c r="HUB603" s="48"/>
      <c r="HUC603" s="53"/>
      <c r="HUJ603" s="15"/>
      <c r="HUK603" s="50"/>
      <c r="HUL603" s="50"/>
      <c r="HUM603" s="46"/>
      <c r="HUN603" s="47"/>
      <c r="HUO603" s="46"/>
      <c r="HUP603" s="48"/>
      <c r="HUQ603" s="53"/>
      <c r="HUX603" s="15"/>
      <c r="HUY603" s="50"/>
      <c r="HUZ603" s="50"/>
      <c r="HVA603" s="46"/>
      <c r="HVB603" s="47"/>
      <c r="HVC603" s="46"/>
      <c r="HVD603" s="48"/>
      <c r="HVE603" s="53"/>
      <c r="HVL603" s="15"/>
      <c r="HVM603" s="50"/>
      <c r="HVN603" s="50"/>
      <c r="HVO603" s="46"/>
      <c r="HVP603" s="47"/>
      <c r="HVQ603" s="46"/>
      <c r="HVR603" s="48"/>
      <c r="HVS603" s="53"/>
      <c r="HVZ603" s="15"/>
      <c r="HWA603" s="50"/>
      <c r="HWB603" s="50"/>
      <c r="HWC603" s="46"/>
      <c r="HWD603" s="47"/>
      <c r="HWE603" s="46"/>
      <c r="HWF603" s="48"/>
      <c r="HWG603" s="53"/>
      <c r="HWN603" s="15"/>
      <c r="HWO603" s="50"/>
      <c r="HWP603" s="50"/>
      <c r="HWQ603" s="46"/>
      <c r="HWR603" s="47"/>
      <c r="HWS603" s="46"/>
      <c r="HWT603" s="48"/>
      <c r="HWU603" s="53"/>
      <c r="HXB603" s="15"/>
      <c r="HXC603" s="50"/>
      <c r="HXD603" s="50"/>
      <c r="HXE603" s="46"/>
      <c r="HXF603" s="47"/>
      <c r="HXG603" s="46"/>
      <c r="HXH603" s="48"/>
      <c r="HXI603" s="53"/>
      <c r="HXP603" s="15"/>
      <c r="HXQ603" s="50"/>
      <c r="HXR603" s="50"/>
      <c r="HXS603" s="46"/>
      <c r="HXT603" s="47"/>
      <c r="HXU603" s="46"/>
      <c r="HXV603" s="48"/>
      <c r="HXW603" s="53"/>
      <c r="HYD603" s="15"/>
      <c r="HYE603" s="50"/>
      <c r="HYF603" s="50"/>
      <c r="HYG603" s="46"/>
      <c r="HYH603" s="47"/>
      <c r="HYI603" s="46"/>
      <c r="HYJ603" s="48"/>
      <c r="HYK603" s="53"/>
      <c r="HYR603" s="15"/>
      <c r="HYS603" s="50"/>
      <c r="HYT603" s="50"/>
      <c r="HYU603" s="46"/>
      <c r="HYV603" s="47"/>
      <c r="HYW603" s="46"/>
      <c r="HYX603" s="48"/>
      <c r="HYY603" s="53"/>
      <c r="HZF603" s="15"/>
      <c r="HZG603" s="50"/>
      <c r="HZH603" s="50"/>
      <c r="HZI603" s="46"/>
      <c r="HZJ603" s="47"/>
      <c r="HZK603" s="46"/>
      <c r="HZL603" s="48"/>
      <c r="HZM603" s="53"/>
      <c r="HZT603" s="15"/>
      <c r="HZU603" s="50"/>
      <c r="HZV603" s="50"/>
      <c r="HZW603" s="46"/>
      <c r="HZX603" s="47"/>
      <c r="HZY603" s="46"/>
      <c r="HZZ603" s="48"/>
      <c r="IAA603" s="53"/>
      <c r="IAH603" s="15"/>
      <c r="IAI603" s="50"/>
      <c r="IAJ603" s="50"/>
      <c r="IAK603" s="46"/>
      <c r="IAL603" s="47"/>
      <c r="IAM603" s="46"/>
      <c r="IAN603" s="48"/>
      <c r="IAO603" s="53"/>
      <c r="IAV603" s="15"/>
      <c r="IAW603" s="50"/>
      <c r="IAX603" s="50"/>
      <c r="IAY603" s="46"/>
      <c r="IAZ603" s="47"/>
      <c r="IBA603" s="46"/>
      <c r="IBB603" s="48"/>
      <c r="IBC603" s="53"/>
      <c r="IBJ603" s="15"/>
      <c r="IBK603" s="50"/>
      <c r="IBL603" s="50"/>
      <c r="IBM603" s="46"/>
      <c r="IBN603" s="47"/>
      <c r="IBO603" s="46"/>
      <c r="IBP603" s="48"/>
      <c r="IBQ603" s="53"/>
      <c r="IBX603" s="15"/>
      <c r="IBY603" s="50"/>
      <c r="IBZ603" s="50"/>
      <c r="ICA603" s="46"/>
      <c r="ICB603" s="47"/>
      <c r="ICC603" s="46"/>
      <c r="ICD603" s="48"/>
      <c r="ICE603" s="53"/>
      <c r="ICL603" s="15"/>
      <c r="ICM603" s="50"/>
      <c r="ICN603" s="50"/>
      <c r="ICO603" s="46"/>
      <c r="ICP603" s="47"/>
      <c r="ICQ603" s="46"/>
      <c r="ICR603" s="48"/>
      <c r="ICS603" s="53"/>
      <c r="ICZ603" s="15"/>
      <c r="IDA603" s="50"/>
      <c r="IDB603" s="50"/>
      <c r="IDC603" s="46"/>
      <c r="IDD603" s="47"/>
      <c r="IDE603" s="46"/>
      <c r="IDF603" s="48"/>
      <c r="IDG603" s="53"/>
      <c r="IDN603" s="15"/>
      <c r="IDO603" s="50"/>
      <c r="IDP603" s="50"/>
      <c r="IDQ603" s="46"/>
      <c r="IDR603" s="47"/>
      <c r="IDS603" s="46"/>
      <c r="IDT603" s="48"/>
      <c r="IDU603" s="53"/>
      <c r="IEB603" s="15"/>
      <c r="IEC603" s="50"/>
      <c r="IED603" s="50"/>
      <c r="IEE603" s="46"/>
      <c r="IEF603" s="47"/>
      <c r="IEG603" s="46"/>
      <c r="IEH603" s="48"/>
      <c r="IEI603" s="53"/>
      <c r="IEP603" s="15"/>
      <c r="IEQ603" s="50"/>
      <c r="IER603" s="50"/>
      <c r="IES603" s="46"/>
      <c r="IET603" s="47"/>
      <c r="IEU603" s="46"/>
      <c r="IEV603" s="48"/>
      <c r="IEW603" s="53"/>
      <c r="IFD603" s="15"/>
      <c r="IFE603" s="50"/>
      <c r="IFF603" s="50"/>
      <c r="IFG603" s="46"/>
      <c r="IFH603" s="47"/>
      <c r="IFI603" s="46"/>
      <c r="IFJ603" s="48"/>
      <c r="IFK603" s="53"/>
      <c r="IFR603" s="15"/>
      <c r="IFS603" s="50"/>
      <c r="IFT603" s="50"/>
      <c r="IFU603" s="46"/>
      <c r="IFV603" s="47"/>
      <c r="IFW603" s="46"/>
      <c r="IFX603" s="48"/>
      <c r="IFY603" s="53"/>
      <c r="IGF603" s="15"/>
      <c r="IGG603" s="50"/>
      <c r="IGH603" s="50"/>
      <c r="IGI603" s="46"/>
      <c r="IGJ603" s="47"/>
      <c r="IGK603" s="46"/>
      <c r="IGL603" s="48"/>
      <c r="IGM603" s="53"/>
      <c r="IGT603" s="15"/>
      <c r="IGU603" s="50"/>
      <c r="IGV603" s="50"/>
      <c r="IGW603" s="46"/>
      <c r="IGX603" s="47"/>
      <c r="IGY603" s="46"/>
      <c r="IGZ603" s="48"/>
      <c r="IHA603" s="53"/>
      <c r="IHH603" s="15"/>
      <c r="IHI603" s="50"/>
      <c r="IHJ603" s="50"/>
      <c r="IHK603" s="46"/>
      <c r="IHL603" s="47"/>
      <c r="IHM603" s="46"/>
      <c r="IHN603" s="48"/>
      <c r="IHO603" s="53"/>
      <c r="IHV603" s="15"/>
      <c r="IHW603" s="50"/>
      <c r="IHX603" s="50"/>
      <c r="IHY603" s="46"/>
      <c r="IHZ603" s="47"/>
      <c r="IIA603" s="46"/>
      <c r="IIB603" s="48"/>
      <c r="IIC603" s="53"/>
      <c r="IIJ603" s="15"/>
      <c r="IIK603" s="50"/>
      <c r="IIL603" s="50"/>
      <c r="IIM603" s="46"/>
      <c r="IIN603" s="47"/>
      <c r="IIO603" s="46"/>
      <c r="IIP603" s="48"/>
      <c r="IIQ603" s="53"/>
      <c r="IIX603" s="15"/>
      <c r="IIY603" s="50"/>
      <c r="IIZ603" s="50"/>
      <c r="IJA603" s="46"/>
      <c r="IJB603" s="47"/>
      <c r="IJC603" s="46"/>
      <c r="IJD603" s="48"/>
      <c r="IJE603" s="53"/>
      <c r="IJL603" s="15"/>
      <c r="IJM603" s="50"/>
      <c r="IJN603" s="50"/>
      <c r="IJO603" s="46"/>
      <c r="IJP603" s="47"/>
      <c r="IJQ603" s="46"/>
      <c r="IJR603" s="48"/>
      <c r="IJS603" s="53"/>
      <c r="IJZ603" s="15"/>
      <c r="IKA603" s="50"/>
      <c r="IKB603" s="50"/>
      <c r="IKC603" s="46"/>
      <c r="IKD603" s="47"/>
      <c r="IKE603" s="46"/>
      <c r="IKF603" s="48"/>
      <c r="IKG603" s="53"/>
      <c r="IKN603" s="15"/>
      <c r="IKO603" s="50"/>
      <c r="IKP603" s="50"/>
      <c r="IKQ603" s="46"/>
      <c r="IKR603" s="47"/>
      <c r="IKS603" s="46"/>
      <c r="IKT603" s="48"/>
      <c r="IKU603" s="53"/>
      <c r="ILB603" s="15"/>
      <c r="ILC603" s="50"/>
      <c r="ILD603" s="50"/>
      <c r="ILE603" s="46"/>
      <c r="ILF603" s="47"/>
      <c r="ILG603" s="46"/>
      <c r="ILH603" s="48"/>
      <c r="ILI603" s="53"/>
      <c r="ILP603" s="15"/>
      <c r="ILQ603" s="50"/>
      <c r="ILR603" s="50"/>
      <c r="ILS603" s="46"/>
      <c r="ILT603" s="47"/>
      <c r="ILU603" s="46"/>
      <c r="ILV603" s="48"/>
      <c r="ILW603" s="53"/>
      <c r="IMD603" s="15"/>
      <c r="IME603" s="50"/>
      <c r="IMF603" s="50"/>
      <c r="IMG603" s="46"/>
      <c r="IMH603" s="47"/>
      <c r="IMI603" s="46"/>
      <c r="IMJ603" s="48"/>
      <c r="IMK603" s="53"/>
      <c r="IMR603" s="15"/>
      <c r="IMS603" s="50"/>
      <c r="IMT603" s="50"/>
      <c r="IMU603" s="46"/>
      <c r="IMV603" s="47"/>
      <c r="IMW603" s="46"/>
      <c r="IMX603" s="48"/>
      <c r="IMY603" s="53"/>
      <c r="INF603" s="15"/>
      <c r="ING603" s="50"/>
      <c r="INH603" s="50"/>
      <c r="INI603" s="46"/>
      <c r="INJ603" s="47"/>
      <c r="INK603" s="46"/>
      <c r="INL603" s="48"/>
      <c r="INM603" s="53"/>
      <c r="INT603" s="15"/>
      <c r="INU603" s="50"/>
      <c r="INV603" s="50"/>
      <c r="INW603" s="46"/>
      <c r="INX603" s="47"/>
      <c r="INY603" s="46"/>
      <c r="INZ603" s="48"/>
      <c r="IOA603" s="53"/>
      <c r="IOH603" s="15"/>
      <c r="IOI603" s="50"/>
      <c r="IOJ603" s="50"/>
      <c r="IOK603" s="46"/>
      <c r="IOL603" s="47"/>
      <c r="IOM603" s="46"/>
      <c r="ION603" s="48"/>
      <c r="IOO603" s="53"/>
      <c r="IOV603" s="15"/>
      <c r="IOW603" s="50"/>
      <c r="IOX603" s="50"/>
      <c r="IOY603" s="46"/>
      <c r="IOZ603" s="47"/>
      <c r="IPA603" s="46"/>
      <c r="IPB603" s="48"/>
      <c r="IPC603" s="53"/>
      <c r="IPJ603" s="15"/>
      <c r="IPK603" s="50"/>
      <c r="IPL603" s="50"/>
      <c r="IPM603" s="46"/>
      <c r="IPN603" s="47"/>
      <c r="IPO603" s="46"/>
      <c r="IPP603" s="48"/>
      <c r="IPQ603" s="53"/>
      <c r="IPX603" s="15"/>
      <c r="IPY603" s="50"/>
      <c r="IPZ603" s="50"/>
      <c r="IQA603" s="46"/>
      <c r="IQB603" s="47"/>
      <c r="IQC603" s="46"/>
      <c r="IQD603" s="48"/>
      <c r="IQE603" s="53"/>
      <c r="IQL603" s="15"/>
      <c r="IQM603" s="50"/>
      <c r="IQN603" s="50"/>
      <c r="IQO603" s="46"/>
      <c r="IQP603" s="47"/>
      <c r="IQQ603" s="46"/>
      <c r="IQR603" s="48"/>
      <c r="IQS603" s="53"/>
      <c r="IQZ603" s="15"/>
      <c r="IRA603" s="50"/>
      <c r="IRB603" s="50"/>
      <c r="IRC603" s="46"/>
      <c r="IRD603" s="47"/>
      <c r="IRE603" s="46"/>
      <c r="IRF603" s="48"/>
      <c r="IRG603" s="53"/>
      <c r="IRN603" s="15"/>
      <c r="IRO603" s="50"/>
      <c r="IRP603" s="50"/>
      <c r="IRQ603" s="46"/>
      <c r="IRR603" s="47"/>
      <c r="IRS603" s="46"/>
      <c r="IRT603" s="48"/>
      <c r="IRU603" s="53"/>
      <c r="ISB603" s="15"/>
      <c r="ISC603" s="50"/>
      <c r="ISD603" s="50"/>
      <c r="ISE603" s="46"/>
      <c r="ISF603" s="47"/>
      <c r="ISG603" s="46"/>
      <c r="ISH603" s="48"/>
      <c r="ISI603" s="53"/>
      <c r="ISP603" s="15"/>
      <c r="ISQ603" s="50"/>
      <c r="ISR603" s="50"/>
      <c r="ISS603" s="46"/>
      <c r="IST603" s="47"/>
      <c r="ISU603" s="46"/>
      <c r="ISV603" s="48"/>
      <c r="ISW603" s="53"/>
      <c r="ITD603" s="15"/>
      <c r="ITE603" s="50"/>
      <c r="ITF603" s="50"/>
      <c r="ITG603" s="46"/>
      <c r="ITH603" s="47"/>
      <c r="ITI603" s="46"/>
      <c r="ITJ603" s="48"/>
      <c r="ITK603" s="53"/>
      <c r="ITR603" s="15"/>
      <c r="ITS603" s="50"/>
      <c r="ITT603" s="50"/>
      <c r="ITU603" s="46"/>
      <c r="ITV603" s="47"/>
      <c r="ITW603" s="46"/>
      <c r="ITX603" s="48"/>
      <c r="ITY603" s="53"/>
      <c r="IUF603" s="15"/>
      <c r="IUG603" s="50"/>
      <c r="IUH603" s="50"/>
      <c r="IUI603" s="46"/>
      <c r="IUJ603" s="47"/>
      <c r="IUK603" s="46"/>
      <c r="IUL603" s="48"/>
      <c r="IUM603" s="53"/>
      <c r="IUT603" s="15"/>
      <c r="IUU603" s="50"/>
      <c r="IUV603" s="50"/>
      <c r="IUW603" s="46"/>
      <c r="IUX603" s="47"/>
      <c r="IUY603" s="46"/>
      <c r="IUZ603" s="48"/>
      <c r="IVA603" s="53"/>
      <c r="IVH603" s="15"/>
      <c r="IVI603" s="50"/>
      <c r="IVJ603" s="50"/>
      <c r="IVK603" s="46"/>
      <c r="IVL603" s="47"/>
      <c r="IVM603" s="46"/>
      <c r="IVN603" s="48"/>
      <c r="IVO603" s="53"/>
      <c r="IVV603" s="15"/>
      <c r="IVW603" s="50"/>
      <c r="IVX603" s="50"/>
      <c r="IVY603" s="46"/>
      <c r="IVZ603" s="47"/>
      <c r="IWA603" s="46"/>
      <c r="IWB603" s="48"/>
      <c r="IWC603" s="53"/>
      <c r="IWJ603" s="15"/>
      <c r="IWK603" s="50"/>
      <c r="IWL603" s="50"/>
      <c r="IWM603" s="46"/>
      <c r="IWN603" s="47"/>
      <c r="IWO603" s="46"/>
      <c r="IWP603" s="48"/>
      <c r="IWQ603" s="53"/>
      <c r="IWX603" s="15"/>
      <c r="IWY603" s="50"/>
      <c r="IWZ603" s="50"/>
      <c r="IXA603" s="46"/>
      <c r="IXB603" s="47"/>
      <c r="IXC603" s="46"/>
      <c r="IXD603" s="48"/>
      <c r="IXE603" s="53"/>
      <c r="IXL603" s="15"/>
      <c r="IXM603" s="50"/>
      <c r="IXN603" s="50"/>
      <c r="IXO603" s="46"/>
      <c r="IXP603" s="47"/>
      <c r="IXQ603" s="46"/>
      <c r="IXR603" s="48"/>
      <c r="IXS603" s="53"/>
      <c r="IXZ603" s="15"/>
      <c r="IYA603" s="50"/>
      <c r="IYB603" s="50"/>
      <c r="IYC603" s="46"/>
      <c r="IYD603" s="47"/>
      <c r="IYE603" s="46"/>
      <c r="IYF603" s="48"/>
      <c r="IYG603" s="53"/>
      <c r="IYN603" s="15"/>
      <c r="IYO603" s="50"/>
      <c r="IYP603" s="50"/>
      <c r="IYQ603" s="46"/>
      <c r="IYR603" s="47"/>
      <c r="IYS603" s="46"/>
      <c r="IYT603" s="48"/>
      <c r="IYU603" s="53"/>
      <c r="IZB603" s="15"/>
      <c r="IZC603" s="50"/>
      <c r="IZD603" s="50"/>
      <c r="IZE603" s="46"/>
      <c r="IZF603" s="47"/>
      <c r="IZG603" s="46"/>
      <c r="IZH603" s="48"/>
      <c r="IZI603" s="53"/>
      <c r="IZP603" s="15"/>
      <c r="IZQ603" s="50"/>
      <c r="IZR603" s="50"/>
      <c r="IZS603" s="46"/>
      <c r="IZT603" s="47"/>
      <c r="IZU603" s="46"/>
      <c r="IZV603" s="48"/>
      <c r="IZW603" s="53"/>
      <c r="JAD603" s="15"/>
      <c r="JAE603" s="50"/>
      <c r="JAF603" s="50"/>
      <c r="JAG603" s="46"/>
      <c r="JAH603" s="47"/>
      <c r="JAI603" s="46"/>
      <c r="JAJ603" s="48"/>
      <c r="JAK603" s="53"/>
      <c r="JAR603" s="15"/>
      <c r="JAS603" s="50"/>
      <c r="JAT603" s="50"/>
      <c r="JAU603" s="46"/>
      <c r="JAV603" s="47"/>
      <c r="JAW603" s="46"/>
      <c r="JAX603" s="48"/>
      <c r="JAY603" s="53"/>
      <c r="JBF603" s="15"/>
      <c r="JBG603" s="50"/>
      <c r="JBH603" s="50"/>
      <c r="JBI603" s="46"/>
      <c r="JBJ603" s="47"/>
      <c r="JBK603" s="46"/>
      <c r="JBL603" s="48"/>
      <c r="JBM603" s="53"/>
      <c r="JBT603" s="15"/>
      <c r="JBU603" s="50"/>
      <c r="JBV603" s="50"/>
      <c r="JBW603" s="46"/>
      <c r="JBX603" s="47"/>
      <c r="JBY603" s="46"/>
      <c r="JBZ603" s="48"/>
      <c r="JCA603" s="53"/>
      <c r="JCH603" s="15"/>
      <c r="JCI603" s="50"/>
      <c r="JCJ603" s="50"/>
      <c r="JCK603" s="46"/>
      <c r="JCL603" s="47"/>
      <c r="JCM603" s="46"/>
      <c r="JCN603" s="48"/>
      <c r="JCO603" s="53"/>
      <c r="JCV603" s="15"/>
      <c r="JCW603" s="50"/>
      <c r="JCX603" s="50"/>
      <c r="JCY603" s="46"/>
      <c r="JCZ603" s="47"/>
      <c r="JDA603" s="46"/>
      <c r="JDB603" s="48"/>
      <c r="JDC603" s="53"/>
      <c r="JDJ603" s="15"/>
      <c r="JDK603" s="50"/>
      <c r="JDL603" s="50"/>
      <c r="JDM603" s="46"/>
      <c r="JDN603" s="47"/>
      <c r="JDO603" s="46"/>
      <c r="JDP603" s="48"/>
      <c r="JDQ603" s="53"/>
      <c r="JDX603" s="15"/>
      <c r="JDY603" s="50"/>
      <c r="JDZ603" s="50"/>
      <c r="JEA603" s="46"/>
      <c r="JEB603" s="47"/>
      <c r="JEC603" s="46"/>
      <c r="JED603" s="48"/>
      <c r="JEE603" s="53"/>
      <c r="JEL603" s="15"/>
      <c r="JEM603" s="50"/>
      <c r="JEN603" s="50"/>
      <c r="JEO603" s="46"/>
      <c r="JEP603" s="47"/>
      <c r="JEQ603" s="46"/>
      <c r="JER603" s="48"/>
      <c r="JES603" s="53"/>
      <c r="JEZ603" s="15"/>
      <c r="JFA603" s="50"/>
      <c r="JFB603" s="50"/>
      <c r="JFC603" s="46"/>
      <c r="JFD603" s="47"/>
      <c r="JFE603" s="46"/>
      <c r="JFF603" s="48"/>
      <c r="JFG603" s="53"/>
      <c r="JFN603" s="15"/>
      <c r="JFO603" s="50"/>
      <c r="JFP603" s="50"/>
      <c r="JFQ603" s="46"/>
      <c r="JFR603" s="47"/>
      <c r="JFS603" s="46"/>
      <c r="JFT603" s="48"/>
      <c r="JFU603" s="53"/>
      <c r="JGB603" s="15"/>
      <c r="JGC603" s="50"/>
      <c r="JGD603" s="50"/>
      <c r="JGE603" s="46"/>
      <c r="JGF603" s="47"/>
      <c r="JGG603" s="46"/>
      <c r="JGH603" s="48"/>
      <c r="JGI603" s="53"/>
      <c r="JGP603" s="15"/>
      <c r="JGQ603" s="50"/>
      <c r="JGR603" s="50"/>
      <c r="JGS603" s="46"/>
      <c r="JGT603" s="47"/>
      <c r="JGU603" s="46"/>
      <c r="JGV603" s="48"/>
      <c r="JGW603" s="53"/>
      <c r="JHD603" s="15"/>
      <c r="JHE603" s="50"/>
      <c r="JHF603" s="50"/>
      <c r="JHG603" s="46"/>
      <c r="JHH603" s="47"/>
      <c r="JHI603" s="46"/>
      <c r="JHJ603" s="48"/>
      <c r="JHK603" s="53"/>
      <c r="JHR603" s="15"/>
      <c r="JHS603" s="50"/>
      <c r="JHT603" s="50"/>
      <c r="JHU603" s="46"/>
      <c r="JHV603" s="47"/>
      <c r="JHW603" s="46"/>
      <c r="JHX603" s="48"/>
      <c r="JHY603" s="53"/>
      <c r="JIF603" s="15"/>
      <c r="JIG603" s="50"/>
      <c r="JIH603" s="50"/>
      <c r="JII603" s="46"/>
      <c r="JIJ603" s="47"/>
      <c r="JIK603" s="46"/>
      <c r="JIL603" s="48"/>
      <c r="JIM603" s="53"/>
      <c r="JIT603" s="15"/>
      <c r="JIU603" s="50"/>
      <c r="JIV603" s="50"/>
      <c r="JIW603" s="46"/>
      <c r="JIX603" s="47"/>
      <c r="JIY603" s="46"/>
      <c r="JIZ603" s="48"/>
      <c r="JJA603" s="53"/>
      <c r="JJH603" s="15"/>
      <c r="JJI603" s="50"/>
      <c r="JJJ603" s="50"/>
      <c r="JJK603" s="46"/>
      <c r="JJL603" s="47"/>
      <c r="JJM603" s="46"/>
      <c r="JJN603" s="48"/>
      <c r="JJO603" s="53"/>
      <c r="JJV603" s="15"/>
      <c r="JJW603" s="50"/>
      <c r="JJX603" s="50"/>
      <c r="JJY603" s="46"/>
      <c r="JJZ603" s="47"/>
      <c r="JKA603" s="46"/>
      <c r="JKB603" s="48"/>
      <c r="JKC603" s="53"/>
      <c r="JKJ603" s="15"/>
      <c r="JKK603" s="50"/>
      <c r="JKL603" s="50"/>
      <c r="JKM603" s="46"/>
      <c r="JKN603" s="47"/>
      <c r="JKO603" s="46"/>
      <c r="JKP603" s="48"/>
      <c r="JKQ603" s="53"/>
      <c r="JKX603" s="15"/>
      <c r="JKY603" s="50"/>
      <c r="JKZ603" s="50"/>
      <c r="JLA603" s="46"/>
      <c r="JLB603" s="47"/>
      <c r="JLC603" s="46"/>
      <c r="JLD603" s="48"/>
      <c r="JLE603" s="53"/>
      <c r="JLL603" s="15"/>
      <c r="JLM603" s="50"/>
      <c r="JLN603" s="50"/>
      <c r="JLO603" s="46"/>
      <c r="JLP603" s="47"/>
      <c r="JLQ603" s="46"/>
      <c r="JLR603" s="48"/>
      <c r="JLS603" s="53"/>
      <c r="JLZ603" s="15"/>
      <c r="JMA603" s="50"/>
      <c r="JMB603" s="50"/>
      <c r="JMC603" s="46"/>
      <c r="JMD603" s="47"/>
      <c r="JME603" s="46"/>
      <c r="JMF603" s="48"/>
      <c r="JMG603" s="53"/>
      <c r="JMN603" s="15"/>
      <c r="JMO603" s="50"/>
      <c r="JMP603" s="50"/>
      <c r="JMQ603" s="46"/>
      <c r="JMR603" s="47"/>
      <c r="JMS603" s="46"/>
      <c r="JMT603" s="48"/>
      <c r="JMU603" s="53"/>
      <c r="JNB603" s="15"/>
      <c r="JNC603" s="50"/>
      <c r="JND603" s="50"/>
      <c r="JNE603" s="46"/>
      <c r="JNF603" s="47"/>
      <c r="JNG603" s="46"/>
      <c r="JNH603" s="48"/>
      <c r="JNI603" s="53"/>
      <c r="JNP603" s="15"/>
      <c r="JNQ603" s="50"/>
      <c r="JNR603" s="50"/>
      <c r="JNS603" s="46"/>
      <c r="JNT603" s="47"/>
      <c r="JNU603" s="46"/>
      <c r="JNV603" s="48"/>
      <c r="JNW603" s="53"/>
      <c r="JOD603" s="15"/>
      <c r="JOE603" s="50"/>
      <c r="JOF603" s="50"/>
      <c r="JOG603" s="46"/>
      <c r="JOH603" s="47"/>
      <c r="JOI603" s="46"/>
      <c r="JOJ603" s="48"/>
      <c r="JOK603" s="53"/>
      <c r="JOR603" s="15"/>
      <c r="JOS603" s="50"/>
      <c r="JOT603" s="50"/>
      <c r="JOU603" s="46"/>
      <c r="JOV603" s="47"/>
      <c r="JOW603" s="46"/>
      <c r="JOX603" s="48"/>
      <c r="JOY603" s="53"/>
      <c r="JPF603" s="15"/>
      <c r="JPG603" s="50"/>
      <c r="JPH603" s="50"/>
      <c r="JPI603" s="46"/>
      <c r="JPJ603" s="47"/>
      <c r="JPK603" s="46"/>
      <c r="JPL603" s="48"/>
      <c r="JPM603" s="53"/>
      <c r="JPT603" s="15"/>
      <c r="JPU603" s="50"/>
      <c r="JPV603" s="50"/>
      <c r="JPW603" s="46"/>
      <c r="JPX603" s="47"/>
      <c r="JPY603" s="46"/>
      <c r="JPZ603" s="48"/>
      <c r="JQA603" s="53"/>
      <c r="JQH603" s="15"/>
      <c r="JQI603" s="50"/>
      <c r="JQJ603" s="50"/>
      <c r="JQK603" s="46"/>
      <c r="JQL603" s="47"/>
      <c r="JQM603" s="46"/>
      <c r="JQN603" s="48"/>
      <c r="JQO603" s="53"/>
      <c r="JQV603" s="15"/>
      <c r="JQW603" s="50"/>
      <c r="JQX603" s="50"/>
      <c r="JQY603" s="46"/>
      <c r="JQZ603" s="47"/>
      <c r="JRA603" s="46"/>
      <c r="JRB603" s="48"/>
      <c r="JRC603" s="53"/>
      <c r="JRJ603" s="15"/>
      <c r="JRK603" s="50"/>
      <c r="JRL603" s="50"/>
      <c r="JRM603" s="46"/>
      <c r="JRN603" s="47"/>
      <c r="JRO603" s="46"/>
      <c r="JRP603" s="48"/>
      <c r="JRQ603" s="53"/>
      <c r="JRX603" s="15"/>
      <c r="JRY603" s="50"/>
      <c r="JRZ603" s="50"/>
      <c r="JSA603" s="46"/>
      <c r="JSB603" s="47"/>
      <c r="JSC603" s="46"/>
      <c r="JSD603" s="48"/>
      <c r="JSE603" s="53"/>
      <c r="JSL603" s="15"/>
      <c r="JSM603" s="50"/>
      <c r="JSN603" s="50"/>
      <c r="JSO603" s="46"/>
      <c r="JSP603" s="47"/>
      <c r="JSQ603" s="46"/>
      <c r="JSR603" s="48"/>
      <c r="JSS603" s="53"/>
      <c r="JSZ603" s="15"/>
      <c r="JTA603" s="50"/>
      <c r="JTB603" s="50"/>
      <c r="JTC603" s="46"/>
      <c r="JTD603" s="47"/>
      <c r="JTE603" s="46"/>
      <c r="JTF603" s="48"/>
      <c r="JTG603" s="53"/>
      <c r="JTN603" s="15"/>
      <c r="JTO603" s="50"/>
      <c r="JTP603" s="50"/>
      <c r="JTQ603" s="46"/>
      <c r="JTR603" s="47"/>
      <c r="JTS603" s="46"/>
      <c r="JTT603" s="48"/>
      <c r="JTU603" s="53"/>
      <c r="JUB603" s="15"/>
      <c r="JUC603" s="50"/>
      <c r="JUD603" s="50"/>
      <c r="JUE603" s="46"/>
      <c r="JUF603" s="47"/>
      <c r="JUG603" s="46"/>
      <c r="JUH603" s="48"/>
      <c r="JUI603" s="53"/>
      <c r="JUP603" s="15"/>
      <c r="JUQ603" s="50"/>
      <c r="JUR603" s="50"/>
      <c r="JUS603" s="46"/>
      <c r="JUT603" s="47"/>
      <c r="JUU603" s="46"/>
      <c r="JUV603" s="48"/>
      <c r="JUW603" s="53"/>
      <c r="JVD603" s="15"/>
      <c r="JVE603" s="50"/>
      <c r="JVF603" s="50"/>
      <c r="JVG603" s="46"/>
      <c r="JVH603" s="47"/>
      <c r="JVI603" s="46"/>
      <c r="JVJ603" s="48"/>
      <c r="JVK603" s="53"/>
      <c r="JVR603" s="15"/>
      <c r="JVS603" s="50"/>
      <c r="JVT603" s="50"/>
      <c r="JVU603" s="46"/>
      <c r="JVV603" s="47"/>
      <c r="JVW603" s="46"/>
      <c r="JVX603" s="48"/>
      <c r="JVY603" s="53"/>
      <c r="JWF603" s="15"/>
      <c r="JWG603" s="50"/>
      <c r="JWH603" s="50"/>
      <c r="JWI603" s="46"/>
      <c r="JWJ603" s="47"/>
      <c r="JWK603" s="46"/>
      <c r="JWL603" s="48"/>
      <c r="JWM603" s="53"/>
      <c r="JWT603" s="15"/>
      <c r="JWU603" s="50"/>
      <c r="JWV603" s="50"/>
      <c r="JWW603" s="46"/>
      <c r="JWX603" s="47"/>
      <c r="JWY603" s="46"/>
      <c r="JWZ603" s="48"/>
      <c r="JXA603" s="53"/>
      <c r="JXH603" s="15"/>
      <c r="JXI603" s="50"/>
      <c r="JXJ603" s="50"/>
      <c r="JXK603" s="46"/>
      <c r="JXL603" s="47"/>
      <c r="JXM603" s="46"/>
      <c r="JXN603" s="48"/>
      <c r="JXO603" s="53"/>
      <c r="JXV603" s="15"/>
      <c r="JXW603" s="50"/>
      <c r="JXX603" s="50"/>
      <c r="JXY603" s="46"/>
      <c r="JXZ603" s="47"/>
      <c r="JYA603" s="46"/>
      <c r="JYB603" s="48"/>
      <c r="JYC603" s="53"/>
      <c r="JYJ603" s="15"/>
      <c r="JYK603" s="50"/>
      <c r="JYL603" s="50"/>
      <c r="JYM603" s="46"/>
      <c r="JYN603" s="47"/>
      <c r="JYO603" s="46"/>
      <c r="JYP603" s="48"/>
      <c r="JYQ603" s="53"/>
      <c r="JYX603" s="15"/>
      <c r="JYY603" s="50"/>
      <c r="JYZ603" s="50"/>
      <c r="JZA603" s="46"/>
      <c r="JZB603" s="47"/>
      <c r="JZC603" s="46"/>
      <c r="JZD603" s="48"/>
      <c r="JZE603" s="53"/>
      <c r="JZL603" s="15"/>
      <c r="JZM603" s="50"/>
      <c r="JZN603" s="50"/>
      <c r="JZO603" s="46"/>
      <c r="JZP603" s="47"/>
      <c r="JZQ603" s="46"/>
      <c r="JZR603" s="48"/>
      <c r="JZS603" s="53"/>
      <c r="JZZ603" s="15"/>
      <c r="KAA603" s="50"/>
      <c r="KAB603" s="50"/>
      <c r="KAC603" s="46"/>
      <c r="KAD603" s="47"/>
      <c r="KAE603" s="46"/>
      <c r="KAF603" s="48"/>
      <c r="KAG603" s="53"/>
      <c r="KAN603" s="15"/>
      <c r="KAO603" s="50"/>
      <c r="KAP603" s="50"/>
      <c r="KAQ603" s="46"/>
      <c r="KAR603" s="47"/>
      <c r="KAS603" s="46"/>
      <c r="KAT603" s="48"/>
      <c r="KAU603" s="53"/>
      <c r="KBB603" s="15"/>
      <c r="KBC603" s="50"/>
      <c r="KBD603" s="50"/>
      <c r="KBE603" s="46"/>
      <c r="KBF603" s="47"/>
      <c r="KBG603" s="46"/>
      <c r="KBH603" s="48"/>
      <c r="KBI603" s="53"/>
      <c r="KBP603" s="15"/>
      <c r="KBQ603" s="50"/>
      <c r="KBR603" s="50"/>
      <c r="KBS603" s="46"/>
      <c r="KBT603" s="47"/>
      <c r="KBU603" s="46"/>
      <c r="KBV603" s="48"/>
      <c r="KBW603" s="53"/>
      <c r="KCD603" s="15"/>
      <c r="KCE603" s="50"/>
      <c r="KCF603" s="50"/>
      <c r="KCG603" s="46"/>
      <c r="KCH603" s="47"/>
      <c r="KCI603" s="46"/>
      <c r="KCJ603" s="48"/>
      <c r="KCK603" s="53"/>
      <c r="KCR603" s="15"/>
      <c r="KCS603" s="50"/>
      <c r="KCT603" s="50"/>
      <c r="KCU603" s="46"/>
      <c r="KCV603" s="47"/>
      <c r="KCW603" s="46"/>
      <c r="KCX603" s="48"/>
      <c r="KCY603" s="53"/>
      <c r="KDF603" s="15"/>
      <c r="KDG603" s="50"/>
      <c r="KDH603" s="50"/>
      <c r="KDI603" s="46"/>
      <c r="KDJ603" s="47"/>
      <c r="KDK603" s="46"/>
      <c r="KDL603" s="48"/>
      <c r="KDM603" s="53"/>
      <c r="KDT603" s="15"/>
      <c r="KDU603" s="50"/>
      <c r="KDV603" s="50"/>
      <c r="KDW603" s="46"/>
      <c r="KDX603" s="47"/>
      <c r="KDY603" s="46"/>
      <c r="KDZ603" s="48"/>
      <c r="KEA603" s="53"/>
      <c r="KEH603" s="15"/>
      <c r="KEI603" s="50"/>
      <c r="KEJ603" s="50"/>
      <c r="KEK603" s="46"/>
      <c r="KEL603" s="47"/>
      <c r="KEM603" s="46"/>
      <c r="KEN603" s="48"/>
      <c r="KEO603" s="53"/>
      <c r="KEV603" s="15"/>
      <c r="KEW603" s="50"/>
      <c r="KEX603" s="50"/>
      <c r="KEY603" s="46"/>
      <c r="KEZ603" s="47"/>
      <c r="KFA603" s="46"/>
      <c r="KFB603" s="48"/>
      <c r="KFC603" s="53"/>
      <c r="KFJ603" s="15"/>
      <c r="KFK603" s="50"/>
      <c r="KFL603" s="50"/>
      <c r="KFM603" s="46"/>
      <c r="KFN603" s="47"/>
      <c r="KFO603" s="46"/>
      <c r="KFP603" s="48"/>
      <c r="KFQ603" s="53"/>
      <c r="KFX603" s="15"/>
      <c r="KFY603" s="50"/>
      <c r="KFZ603" s="50"/>
      <c r="KGA603" s="46"/>
      <c r="KGB603" s="47"/>
      <c r="KGC603" s="46"/>
      <c r="KGD603" s="48"/>
      <c r="KGE603" s="53"/>
      <c r="KGL603" s="15"/>
      <c r="KGM603" s="50"/>
      <c r="KGN603" s="50"/>
      <c r="KGO603" s="46"/>
      <c r="KGP603" s="47"/>
      <c r="KGQ603" s="46"/>
      <c r="KGR603" s="48"/>
      <c r="KGS603" s="53"/>
      <c r="KGZ603" s="15"/>
      <c r="KHA603" s="50"/>
      <c r="KHB603" s="50"/>
      <c r="KHC603" s="46"/>
      <c r="KHD603" s="47"/>
      <c r="KHE603" s="46"/>
      <c r="KHF603" s="48"/>
      <c r="KHG603" s="53"/>
      <c r="KHN603" s="15"/>
      <c r="KHO603" s="50"/>
      <c r="KHP603" s="50"/>
      <c r="KHQ603" s="46"/>
      <c r="KHR603" s="47"/>
      <c r="KHS603" s="46"/>
      <c r="KHT603" s="48"/>
      <c r="KHU603" s="53"/>
      <c r="KIB603" s="15"/>
      <c r="KIC603" s="50"/>
      <c r="KID603" s="50"/>
      <c r="KIE603" s="46"/>
      <c r="KIF603" s="47"/>
      <c r="KIG603" s="46"/>
      <c r="KIH603" s="48"/>
      <c r="KII603" s="53"/>
      <c r="KIP603" s="15"/>
      <c r="KIQ603" s="50"/>
      <c r="KIR603" s="50"/>
      <c r="KIS603" s="46"/>
      <c r="KIT603" s="47"/>
      <c r="KIU603" s="46"/>
      <c r="KIV603" s="48"/>
      <c r="KIW603" s="53"/>
      <c r="KJD603" s="15"/>
      <c r="KJE603" s="50"/>
      <c r="KJF603" s="50"/>
      <c r="KJG603" s="46"/>
      <c r="KJH603" s="47"/>
      <c r="KJI603" s="46"/>
      <c r="KJJ603" s="48"/>
      <c r="KJK603" s="53"/>
      <c r="KJR603" s="15"/>
      <c r="KJS603" s="50"/>
      <c r="KJT603" s="50"/>
      <c r="KJU603" s="46"/>
      <c r="KJV603" s="47"/>
      <c r="KJW603" s="46"/>
      <c r="KJX603" s="48"/>
      <c r="KJY603" s="53"/>
      <c r="KKF603" s="15"/>
      <c r="KKG603" s="50"/>
      <c r="KKH603" s="50"/>
      <c r="KKI603" s="46"/>
      <c r="KKJ603" s="47"/>
      <c r="KKK603" s="46"/>
      <c r="KKL603" s="48"/>
      <c r="KKM603" s="53"/>
      <c r="KKT603" s="15"/>
      <c r="KKU603" s="50"/>
      <c r="KKV603" s="50"/>
      <c r="KKW603" s="46"/>
      <c r="KKX603" s="47"/>
      <c r="KKY603" s="46"/>
      <c r="KKZ603" s="48"/>
      <c r="KLA603" s="53"/>
      <c r="KLH603" s="15"/>
      <c r="KLI603" s="50"/>
      <c r="KLJ603" s="50"/>
      <c r="KLK603" s="46"/>
      <c r="KLL603" s="47"/>
      <c r="KLM603" s="46"/>
      <c r="KLN603" s="48"/>
      <c r="KLO603" s="53"/>
      <c r="KLV603" s="15"/>
      <c r="KLW603" s="50"/>
      <c r="KLX603" s="50"/>
      <c r="KLY603" s="46"/>
      <c r="KLZ603" s="47"/>
      <c r="KMA603" s="46"/>
      <c r="KMB603" s="48"/>
      <c r="KMC603" s="53"/>
      <c r="KMJ603" s="15"/>
      <c r="KMK603" s="50"/>
      <c r="KML603" s="50"/>
      <c r="KMM603" s="46"/>
      <c r="KMN603" s="47"/>
      <c r="KMO603" s="46"/>
      <c r="KMP603" s="48"/>
      <c r="KMQ603" s="53"/>
      <c r="KMX603" s="15"/>
      <c r="KMY603" s="50"/>
      <c r="KMZ603" s="50"/>
      <c r="KNA603" s="46"/>
      <c r="KNB603" s="47"/>
      <c r="KNC603" s="46"/>
      <c r="KND603" s="48"/>
      <c r="KNE603" s="53"/>
      <c r="KNL603" s="15"/>
      <c r="KNM603" s="50"/>
      <c r="KNN603" s="50"/>
      <c r="KNO603" s="46"/>
      <c r="KNP603" s="47"/>
      <c r="KNQ603" s="46"/>
      <c r="KNR603" s="48"/>
      <c r="KNS603" s="53"/>
      <c r="KNZ603" s="15"/>
      <c r="KOA603" s="50"/>
      <c r="KOB603" s="50"/>
      <c r="KOC603" s="46"/>
      <c r="KOD603" s="47"/>
      <c r="KOE603" s="46"/>
      <c r="KOF603" s="48"/>
      <c r="KOG603" s="53"/>
      <c r="KON603" s="15"/>
      <c r="KOO603" s="50"/>
      <c r="KOP603" s="50"/>
      <c r="KOQ603" s="46"/>
      <c r="KOR603" s="47"/>
      <c r="KOS603" s="46"/>
      <c r="KOT603" s="48"/>
      <c r="KOU603" s="53"/>
      <c r="KPB603" s="15"/>
      <c r="KPC603" s="50"/>
      <c r="KPD603" s="50"/>
      <c r="KPE603" s="46"/>
      <c r="KPF603" s="47"/>
      <c r="KPG603" s="46"/>
      <c r="KPH603" s="48"/>
      <c r="KPI603" s="53"/>
      <c r="KPP603" s="15"/>
      <c r="KPQ603" s="50"/>
      <c r="KPR603" s="50"/>
      <c r="KPS603" s="46"/>
      <c r="KPT603" s="47"/>
      <c r="KPU603" s="46"/>
      <c r="KPV603" s="48"/>
      <c r="KPW603" s="53"/>
      <c r="KQD603" s="15"/>
      <c r="KQE603" s="50"/>
      <c r="KQF603" s="50"/>
      <c r="KQG603" s="46"/>
      <c r="KQH603" s="47"/>
      <c r="KQI603" s="46"/>
      <c r="KQJ603" s="48"/>
      <c r="KQK603" s="53"/>
      <c r="KQR603" s="15"/>
      <c r="KQS603" s="50"/>
      <c r="KQT603" s="50"/>
      <c r="KQU603" s="46"/>
      <c r="KQV603" s="47"/>
      <c r="KQW603" s="46"/>
      <c r="KQX603" s="48"/>
      <c r="KQY603" s="53"/>
      <c r="KRF603" s="15"/>
      <c r="KRG603" s="50"/>
      <c r="KRH603" s="50"/>
      <c r="KRI603" s="46"/>
      <c r="KRJ603" s="47"/>
      <c r="KRK603" s="46"/>
      <c r="KRL603" s="48"/>
      <c r="KRM603" s="53"/>
      <c r="KRT603" s="15"/>
      <c r="KRU603" s="50"/>
      <c r="KRV603" s="50"/>
      <c r="KRW603" s="46"/>
      <c r="KRX603" s="47"/>
      <c r="KRY603" s="46"/>
      <c r="KRZ603" s="48"/>
      <c r="KSA603" s="53"/>
      <c r="KSH603" s="15"/>
      <c r="KSI603" s="50"/>
      <c r="KSJ603" s="50"/>
      <c r="KSK603" s="46"/>
      <c r="KSL603" s="47"/>
      <c r="KSM603" s="46"/>
      <c r="KSN603" s="48"/>
      <c r="KSO603" s="53"/>
      <c r="KSV603" s="15"/>
      <c r="KSW603" s="50"/>
      <c r="KSX603" s="50"/>
      <c r="KSY603" s="46"/>
      <c r="KSZ603" s="47"/>
      <c r="KTA603" s="46"/>
      <c r="KTB603" s="48"/>
      <c r="KTC603" s="53"/>
      <c r="KTJ603" s="15"/>
      <c r="KTK603" s="50"/>
      <c r="KTL603" s="50"/>
      <c r="KTM603" s="46"/>
      <c r="KTN603" s="47"/>
      <c r="KTO603" s="46"/>
      <c r="KTP603" s="48"/>
      <c r="KTQ603" s="53"/>
      <c r="KTX603" s="15"/>
      <c r="KTY603" s="50"/>
      <c r="KTZ603" s="50"/>
      <c r="KUA603" s="46"/>
      <c r="KUB603" s="47"/>
      <c r="KUC603" s="46"/>
      <c r="KUD603" s="48"/>
      <c r="KUE603" s="53"/>
      <c r="KUL603" s="15"/>
      <c r="KUM603" s="50"/>
      <c r="KUN603" s="50"/>
      <c r="KUO603" s="46"/>
      <c r="KUP603" s="47"/>
      <c r="KUQ603" s="46"/>
      <c r="KUR603" s="48"/>
      <c r="KUS603" s="53"/>
      <c r="KUZ603" s="15"/>
      <c r="KVA603" s="50"/>
      <c r="KVB603" s="50"/>
      <c r="KVC603" s="46"/>
      <c r="KVD603" s="47"/>
      <c r="KVE603" s="46"/>
      <c r="KVF603" s="48"/>
      <c r="KVG603" s="53"/>
      <c r="KVN603" s="15"/>
      <c r="KVO603" s="50"/>
      <c r="KVP603" s="50"/>
      <c r="KVQ603" s="46"/>
      <c r="KVR603" s="47"/>
      <c r="KVS603" s="46"/>
      <c r="KVT603" s="48"/>
      <c r="KVU603" s="53"/>
      <c r="KWB603" s="15"/>
      <c r="KWC603" s="50"/>
      <c r="KWD603" s="50"/>
      <c r="KWE603" s="46"/>
      <c r="KWF603" s="47"/>
      <c r="KWG603" s="46"/>
      <c r="KWH603" s="48"/>
      <c r="KWI603" s="53"/>
      <c r="KWP603" s="15"/>
      <c r="KWQ603" s="50"/>
      <c r="KWR603" s="50"/>
      <c r="KWS603" s="46"/>
      <c r="KWT603" s="47"/>
      <c r="KWU603" s="46"/>
      <c r="KWV603" s="48"/>
      <c r="KWW603" s="53"/>
      <c r="KXD603" s="15"/>
      <c r="KXE603" s="50"/>
      <c r="KXF603" s="50"/>
      <c r="KXG603" s="46"/>
      <c r="KXH603" s="47"/>
      <c r="KXI603" s="46"/>
      <c r="KXJ603" s="48"/>
      <c r="KXK603" s="53"/>
      <c r="KXR603" s="15"/>
      <c r="KXS603" s="50"/>
      <c r="KXT603" s="50"/>
      <c r="KXU603" s="46"/>
      <c r="KXV603" s="47"/>
      <c r="KXW603" s="46"/>
      <c r="KXX603" s="48"/>
      <c r="KXY603" s="53"/>
      <c r="KYF603" s="15"/>
      <c r="KYG603" s="50"/>
      <c r="KYH603" s="50"/>
      <c r="KYI603" s="46"/>
      <c r="KYJ603" s="47"/>
      <c r="KYK603" s="46"/>
      <c r="KYL603" s="48"/>
      <c r="KYM603" s="53"/>
      <c r="KYT603" s="15"/>
      <c r="KYU603" s="50"/>
      <c r="KYV603" s="50"/>
      <c r="KYW603" s="46"/>
      <c r="KYX603" s="47"/>
      <c r="KYY603" s="46"/>
      <c r="KYZ603" s="48"/>
      <c r="KZA603" s="53"/>
      <c r="KZH603" s="15"/>
      <c r="KZI603" s="50"/>
      <c r="KZJ603" s="50"/>
      <c r="KZK603" s="46"/>
      <c r="KZL603" s="47"/>
      <c r="KZM603" s="46"/>
      <c r="KZN603" s="48"/>
      <c r="KZO603" s="53"/>
      <c r="KZV603" s="15"/>
      <c r="KZW603" s="50"/>
      <c r="KZX603" s="50"/>
      <c r="KZY603" s="46"/>
      <c r="KZZ603" s="47"/>
      <c r="LAA603" s="46"/>
      <c r="LAB603" s="48"/>
      <c r="LAC603" s="53"/>
      <c r="LAJ603" s="15"/>
      <c r="LAK603" s="50"/>
      <c r="LAL603" s="50"/>
      <c r="LAM603" s="46"/>
      <c r="LAN603" s="47"/>
      <c r="LAO603" s="46"/>
      <c r="LAP603" s="48"/>
      <c r="LAQ603" s="53"/>
      <c r="LAX603" s="15"/>
      <c r="LAY603" s="50"/>
      <c r="LAZ603" s="50"/>
      <c r="LBA603" s="46"/>
      <c r="LBB603" s="47"/>
      <c r="LBC603" s="46"/>
      <c r="LBD603" s="48"/>
      <c r="LBE603" s="53"/>
      <c r="LBL603" s="15"/>
      <c r="LBM603" s="50"/>
      <c r="LBN603" s="50"/>
      <c r="LBO603" s="46"/>
      <c r="LBP603" s="47"/>
      <c r="LBQ603" s="46"/>
      <c r="LBR603" s="48"/>
      <c r="LBS603" s="53"/>
      <c r="LBZ603" s="15"/>
      <c r="LCA603" s="50"/>
      <c r="LCB603" s="50"/>
      <c r="LCC603" s="46"/>
      <c r="LCD603" s="47"/>
      <c r="LCE603" s="46"/>
      <c r="LCF603" s="48"/>
      <c r="LCG603" s="53"/>
      <c r="LCN603" s="15"/>
      <c r="LCO603" s="50"/>
      <c r="LCP603" s="50"/>
      <c r="LCQ603" s="46"/>
      <c r="LCR603" s="47"/>
      <c r="LCS603" s="46"/>
      <c r="LCT603" s="48"/>
      <c r="LCU603" s="53"/>
      <c r="LDB603" s="15"/>
      <c r="LDC603" s="50"/>
      <c r="LDD603" s="50"/>
      <c r="LDE603" s="46"/>
      <c r="LDF603" s="47"/>
      <c r="LDG603" s="46"/>
      <c r="LDH603" s="48"/>
      <c r="LDI603" s="53"/>
      <c r="LDP603" s="15"/>
      <c r="LDQ603" s="50"/>
      <c r="LDR603" s="50"/>
      <c r="LDS603" s="46"/>
      <c r="LDT603" s="47"/>
      <c r="LDU603" s="46"/>
      <c r="LDV603" s="48"/>
      <c r="LDW603" s="53"/>
      <c r="LED603" s="15"/>
      <c r="LEE603" s="50"/>
      <c r="LEF603" s="50"/>
      <c r="LEG603" s="46"/>
      <c r="LEH603" s="47"/>
      <c r="LEI603" s="46"/>
      <c r="LEJ603" s="48"/>
      <c r="LEK603" s="53"/>
      <c r="LER603" s="15"/>
      <c r="LES603" s="50"/>
      <c r="LET603" s="50"/>
      <c r="LEU603" s="46"/>
      <c r="LEV603" s="47"/>
      <c r="LEW603" s="46"/>
      <c r="LEX603" s="48"/>
      <c r="LEY603" s="53"/>
      <c r="LFF603" s="15"/>
      <c r="LFG603" s="50"/>
      <c r="LFH603" s="50"/>
      <c r="LFI603" s="46"/>
      <c r="LFJ603" s="47"/>
      <c r="LFK603" s="46"/>
      <c r="LFL603" s="48"/>
      <c r="LFM603" s="53"/>
      <c r="LFT603" s="15"/>
      <c r="LFU603" s="50"/>
      <c r="LFV603" s="50"/>
      <c r="LFW603" s="46"/>
      <c r="LFX603" s="47"/>
      <c r="LFY603" s="46"/>
      <c r="LFZ603" s="48"/>
      <c r="LGA603" s="53"/>
      <c r="LGH603" s="15"/>
      <c r="LGI603" s="50"/>
      <c r="LGJ603" s="50"/>
      <c r="LGK603" s="46"/>
      <c r="LGL603" s="47"/>
      <c r="LGM603" s="46"/>
      <c r="LGN603" s="48"/>
      <c r="LGO603" s="53"/>
      <c r="LGV603" s="15"/>
      <c r="LGW603" s="50"/>
      <c r="LGX603" s="50"/>
      <c r="LGY603" s="46"/>
      <c r="LGZ603" s="47"/>
      <c r="LHA603" s="46"/>
      <c r="LHB603" s="48"/>
      <c r="LHC603" s="53"/>
      <c r="LHJ603" s="15"/>
      <c r="LHK603" s="50"/>
      <c r="LHL603" s="50"/>
      <c r="LHM603" s="46"/>
      <c r="LHN603" s="47"/>
      <c r="LHO603" s="46"/>
      <c r="LHP603" s="48"/>
      <c r="LHQ603" s="53"/>
      <c r="LHX603" s="15"/>
      <c r="LHY603" s="50"/>
      <c r="LHZ603" s="50"/>
      <c r="LIA603" s="46"/>
      <c r="LIB603" s="47"/>
      <c r="LIC603" s="46"/>
      <c r="LID603" s="48"/>
      <c r="LIE603" s="53"/>
      <c r="LIL603" s="15"/>
      <c r="LIM603" s="50"/>
      <c r="LIN603" s="50"/>
      <c r="LIO603" s="46"/>
      <c r="LIP603" s="47"/>
      <c r="LIQ603" s="46"/>
      <c r="LIR603" s="48"/>
      <c r="LIS603" s="53"/>
      <c r="LIZ603" s="15"/>
      <c r="LJA603" s="50"/>
      <c r="LJB603" s="50"/>
      <c r="LJC603" s="46"/>
      <c r="LJD603" s="47"/>
      <c r="LJE603" s="46"/>
      <c r="LJF603" s="48"/>
      <c r="LJG603" s="53"/>
      <c r="LJN603" s="15"/>
      <c r="LJO603" s="50"/>
      <c r="LJP603" s="50"/>
      <c r="LJQ603" s="46"/>
      <c r="LJR603" s="47"/>
      <c r="LJS603" s="46"/>
      <c r="LJT603" s="48"/>
      <c r="LJU603" s="53"/>
      <c r="LKB603" s="15"/>
      <c r="LKC603" s="50"/>
      <c r="LKD603" s="50"/>
      <c r="LKE603" s="46"/>
      <c r="LKF603" s="47"/>
      <c r="LKG603" s="46"/>
      <c r="LKH603" s="48"/>
      <c r="LKI603" s="53"/>
      <c r="LKP603" s="15"/>
      <c r="LKQ603" s="50"/>
      <c r="LKR603" s="50"/>
      <c r="LKS603" s="46"/>
      <c r="LKT603" s="47"/>
      <c r="LKU603" s="46"/>
      <c r="LKV603" s="48"/>
      <c r="LKW603" s="53"/>
      <c r="LLD603" s="15"/>
      <c r="LLE603" s="50"/>
      <c r="LLF603" s="50"/>
      <c r="LLG603" s="46"/>
      <c r="LLH603" s="47"/>
      <c r="LLI603" s="46"/>
      <c r="LLJ603" s="48"/>
      <c r="LLK603" s="53"/>
      <c r="LLR603" s="15"/>
      <c r="LLS603" s="50"/>
      <c r="LLT603" s="50"/>
      <c r="LLU603" s="46"/>
      <c r="LLV603" s="47"/>
      <c r="LLW603" s="46"/>
      <c r="LLX603" s="48"/>
      <c r="LLY603" s="53"/>
      <c r="LMF603" s="15"/>
      <c r="LMG603" s="50"/>
      <c r="LMH603" s="50"/>
      <c r="LMI603" s="46"/>
      <c r="LMJ603" s="47"/>
      <c r="LMK603" s="46"/>
      <c r="LML603" s="48"/>
      <c r="LMM603" s="53"/>
      <c r="LMT603" s="15"/>
      <c r="LMU603" s="50"/>
      <c r="LMV603" s="50"/>
      <c r="LMW603" s="46"/>
      <c r="LMX603" s="47"/>
      <c r="LMY603" s="46"/>
      <c r="LMZ603" s="48"/>
      <c r="LNA603" s="53"/>
      <c r="LNH603" s="15"/>
      <c r="LNI603" s="50"/>
      <c r="LNJ603" s="50"/>
      <c r="LNK603" s="46"/>
      <c r="LNL603" s="47"/>
      <c r="LNM603" s="46"/>
      <c r="LNN603" s="48"/>
      <c r="LNO603" s="53"/>
      <c r="LNV603" s="15"/>
      <c r="LNW603" s="50"/>
      <c r="LNX603" s="50"/>
      <c r="LNY603" s="46"/>
      <c r="LNZ603" s="47"/>
      <c r="LOA603" s="46"/>
      <c r="LOB603" s="48"/>
      <c r="LOC603" s="53"/>
      <c r="LOJ603" s="15"/>
      <c r="LOK603" s="50"/>
      <c r="LOL603" s="50"/>
      <c r="LOM603" s="46"/>
      <c r="LON603" s="47"/>
      <c r="LOO603" s="46"/>
      <c r="LOP603" s="48"/>
      <c r="LOQ603" s="53"/>
      <c r="LOX603" s="15"/>
      <c r="LOY603" s="50"/>
      <c r="LOZ603" s="50"/>
      <c r="LPA603" s="46"/>
      <c r="LPB603" s="47"/>
      <c r="LPC603" s="46"/>
      <c r="LPD603" s="48"/>
      <c r="LPE603" s="53"/>
      <c r="LPL603" s="15"/>
      <c r="LPM603" s="50"/>
      <c r="LPN603" s="50"/>
      <c r="LPO603" s="46"/>
      <c r="LPP603" s="47"/>
      <c r="LPQ603" s="46"/>
      <c r="LPR603" s="48"/>
      <c r="LPS603" s="53"/>
      <c r="LPZ603" s="15"/>
      <c r="LQA603" s="50"/>
      <c r="LQB603" s="50"/>
      <c r="LQC603" s="46"/>
      <c r="LQD603" s="47"/>
      <c r="LQE603" s="46"/>
      <c r="LQF603" s="48"/>
      <c r="LQG603" s="53"/>
      <c r="LQN603" s="15"/>
      <c r="LQO603" s="50"/>
      <c r="LQP603" s="50"/>
      <c r="LQQ603" s="46"/>
      <c r="LQR603" s="47"/>
      <c r="LQS603" s="46"/>
      <c r="LQT603" s="48"/>
      <c r="LQU603" s="53"/>
      <c r="LRB603" s="15"/>
      <c r="LRC603" s="50"/>
      <c r="LRD603" s="50"/>
      <c r="LRE603" s="46"/>
      <c r="LRF603" s="47"/>
      <c r="LRG603" s="46"/>
      <c r="LRH603" s="48"/>
      <c r="LRI603" s="53"/>
      <c r="LRP603" s="15"/>
      <c r="LRQ603" s="50"/>
      <c r="LRR603" s="50"/>
      <c r="LRS603" s="46"/>
      <c r="LRT603" s="47"/>
      <c r="LRU603" s="46"/>
      <c r="LRV603" s="48"/>
      <c r="LRW603" s="53"/>
      <c r="LSD603" s="15"/>
      <c r="LSE603" s="50"/>
      <c r="LSF603" s="50"/>
      <c r="LSG603" s="46"/>
      <c r="LSH603" s="47"/>
      <c r="LSI603" s="46"/>
      <c r="LSJ603" s="48"/>
      <c r="LSK603" s="53"/>
      <c r="LSR603" s="15"/>
      <c r="LSS603" s="50"/>
      <c r="LST603" s="50"/>
      <c r="LSU603" s="46"/>
      <c r="LSV603" s="47"/>
      <c r="LSW603" s="46"/>
      <c r="LSX603" s="48"/>
      <c r="LSY603" s="53"/>
      <c r="LTF603" s="15"/>
      <c r="LTG603" s="50"/>
      <c r="LTH603" s="50"/>
      <c r="LTI603" s="46"/>
      <c r="LTJ603" s="47"/>
      <c r="LTK603" s="46"/>
      <c r="LTL603" s="48"/>
      <c r="LTM603" s="53"/>
      <c r="LTT603" s="15"/>
      <c r="LTU603" s="50"/>
      <c r="LTV603" s="50"/>
      <c r="LTW603" s="46"/>
      <c r="LTX603" s="47"/>
      <c r="LTY603" s="46"/>
      <c r="LTZ603" s="48"/>
      <c r="LUA603" s="53"/>
      <c r="LUH603" s="15"/>
      <c r="LUI603" s="50"/>
      <c r="LUJ603" s="50"/>
      <c r="LUK603" s="46"/>
      <c r="LUL603" s="47"/>
      <c r="LUM603" s="46"/>
      <c r="LUN603" s="48"/>
      <c r="LUO603" s="53"/>
      <c r="LUV603" s="15"/>
      <c r="LUW603" s="50"/>
      <c r="LUX603" s="50"/>
      <c r="LUY603" s="46"/>
      <c r="LUZ603" s="47"/>
      <c r="LVA603" s="46"/>
      <c r="LVB603" s="48"/>
      <c r="LVC603" s="53"/>
      <c r="LVJ603" s="15"/>
      <c r="LVK603" s="50"/>
      <c r="LVL603" s="50"/>
      <c r="LVM603" s="46"/>
      <c r="LVN603" s="47"/>
      <c r="LVO603" s="46"/>
      <c r="LVP603" s="48"/>
      <c r="LVQ603" s="53"/>
      <c r="LVX603" s="15"/>
      <c r="LVY603" s="50"/>
      <c r="LVZ603" s="50"/>
      <c r="LWA603" s="46"/>
      <c r="LWB603" s="47"/>
      <c r="LWC603" s="46"/>
      <c r="LWD603" s="48"/>
      <c r="LWE603" s="53"/>
      <c r="LWL603" s="15"/>
      <c r="LWM603" s="50"/>
      <c r="LWN603" s="50"/>
      <c r="LWO603" s="46"/>
      <c r="LWP603" s="47"/>
      <c r="LWQ603" s="46"/>
      <c r="LWR603" s="48"/>
      <c r="LWS603" s="53"/>
      <c r="LWZ603" s="15"/>
      <c r="LXA603" s="50"/>
      <c r="LXB603" s="50"/>
      <c r="LXC603" s="46"/>
      <c r="LXD603" s="47"/>
      <c r="LXE603" s="46"/>
      <c r="LXF603" s="48"/>
      <c r="LXG603" s="53"/>
      <c r="LXN603" s="15"/>
      <c r="LXO603" s="50"/>
      <c r="LXP603" s="50"/>
      <c r="LXQ603" s="46"/>
      <c r="LXR603" s="47"/>
      <c r="LXS603" s="46"/>
      <c r="LXT603" s="48"/>
      <c r="LXU603" s="53"/>
      <c r="LYB603" s="15"/>
      <c r="LYC603" s="50"/>
      <c r="LYD603" s="50"/>
      <c r="LYE603" s="46"/>
      <c r="LYF603" s="47"/>
      <c r="LYG603" s="46"/>
      <c r="LYH603" s="48"/>
      <c r="LYI603" s="53"/>
      <c r="LYP603" s="15"/>
      <c r="LYQ603" s="50"/>
      <c r="LYR603" s="50"/>
      <c r="LYS603" s="46"/>
      <c r="LYT603" s="47"/>
      <c r="LYU603" s="46"/>
      <c r="LYV603" s="48"/>
      <c r="LYW603" s="53"/>
      <c r="LZD603" s="15"/>
      <c r="LZE603" s="50"/>
      <c r="LZF603" s="50"/>
      <c r="LZG603" s="46"/>
      <c r="LZH603" s="47"/>
      <c r="LZI603" s="46"/>
      <c r="LZJ603" s="48"/>
      <c r="LZK603" s="53"/>
      <c r="LZR603" s="15"/>
      <c r="LZS603" s="50"/>
      <c r="LZT603" s="50"/>
      <c r="LZU603" s="46"/>
      <c r="LZV603" s="47"/>
      <c r="LZW603" s="46"/>
      <c r="LZX603" s="48"/>
      <c r="LZY603" s="53"/>
      <c r="MAF603" s="15"/>
      <c r="MAG603" s="50"/>
      <c r="MAH603" s="50"/>
      <c r="MAI603" s="46"/>
      <c r="MAJ603" s="47"/>
      <c r="MAK603" s="46"/>
      <c r="MAL603" s="48"/>
      <c r="MAM603" s="53"/>
      <c r="MAT603" s="15"/>
      <c r="MAU603" s="50"/>
      <c r="MAV603" s="50"/>
      <c r="MAW603" s="46"/>
      <c r="MAX603" s="47"/>
      <c r="MAY603" s="46"/>
      <c r="MAZ603" s="48"/>
      <c r="MBA603" s="53"/>
      <c r="MBH603" s="15"/>
      <c r="MBI603" s="50"/>
      <c r="MBJ603" s="50"/>
      <c r="MBK603" s="46"/>
      <c r="MBL603" s="47"/>
      <c r="MBM603" s="46"/>
      <c r="MBN603" s="48"/>
      <c r="MBO603" s="53"/>
      <c r="MBV603" s="15"/>
      <c r="MBW603" s="50"/>
      <c r="MBX603" s="50"/>
      <c r="MBY603" s="46"/>
      <c r="MBZ603" s="47"/>
      <c r="MCA603" s="46"/>
      <c r="MCB603" s="48"/>
      <c r="MCC603" s="53"/>
      <c r="MCJ603" s="15"/>
      <c r="MCK603" s="50"/>
      <c r="MCL603" s="50"/>
      <c r="MCM603" s="46"/>
      <c r="MCN603" s="47"/>
      <c r="MCO603" s="46"/>
      <c r="MCP603" s="48"/>
      <c r="MCQ603" s="53"/>
      <c r="MCX603" s="15"/>
      <c r="MCY603" s="50"/>
      <c r="MCZ603" s="50"/>
      <c r="MDA603" s="46"/>
      <c r="MDB603" s="47"/>
      <c r="MDC603" s="46"/>
      <c r="MDD603" s="48"/>
      <c r="MDE603" s="53"/>
      <c r="MDL603" s="15"/>
      <c r="MDM603" s="50"/>
      <c r="MDN603" s="50"/>
      <c r="MDO603" s="46"/>
      <c r="MDP603" s="47"/>
      <c r="MDQ603" s="46"/>
      <c r="MDR603" s="48"/>
      <c r="MDS603" s="53"/>
      <c r="MDZ603" s="15"/>
      <c r="MEA603" s="50"/>
      <c r="MEB603" s="50"/>
      <c r="MEC603" s="46"/>
      <c r="MED603" s="47"/>
      <c r="MEE603" s="46"/>
      <c r="MEF603" s="48"/>
      <c r="MEG603" s="53"/>
      <c r="MEN603" s="15"/>
      <c r="MEO603" s="50"/>
      <c r="MEP603" s="50"/>
      <c r="MEQ603" s="46"/>
      <c r="MER603" s="47"/>
      <c r="MES603" s="46"/>
      <c r="MET603" s="48"/>
      <c r="MEU603" s="53"/>
      <c r="MFB603" s="15"/>
      <c r="MFC603" s="50"/>
      <c r="MFD603" s="50"/>
      <c r="MFE603" s="46"/>
      <c r="MFF603" s="47"/>
      <c r="MFG603" s="46"/>
      <c r="MFH603" s="48"/>
      <c r="MFI603" s="53"/>
      <c r="MFP603" s="15"/>
      <c r="MFQ603" s="50"/>
      <c r="MFR603" s="50"/>
      <c r="MFS603" s="46"/>
      <c r="MFT603" s="47"/>
      <c r="MFU603" s="46"/>
      <c r="MFV603" s="48"/>
      <c r="MFW603" s="53"/>
      <c r="MGD603" s="15"/>
      <c r="MGE603" s="50"/>
      <c r="MGF603" s="50"/>
      <c r="MGG603" s="46"/>
      <c r="MGH603" s="47"/>
      <c r="MGI603" s="46"/>
      <c r="MGJ603" s="48"/>
      <c r="MGK603" s="53"/>
      <c r="MGR603" s="15"/>
      <c r="MGS603" s="50"/>
      <c r="MGT603" s="50"/>
      <c r="MGU603" s="46"/>
      <c r="MGV603" s="47"/>
      <c r="MGW603" s="46"/>
      <c r="MGX603" s="48"/>
      <c r="MGY603" s="53"/>
      <c r="MHF603" s="15"/>
      <c r="MHG603" s="50"/>
      <c r="MHH603" s="50"/>
      <c r="MHI603" s="46"/>
      <c r="MHJ603" s="47"/>
      <c r="MHK603" s="46"/>
      <c r="MHL603" s="48"/>
      <c r="MHM603" s="53"/>
      <c r="MHT603" s="15"/>
      <c r="MHU603" s="50"/>
      <c r="MHV603" s="50"/>
      <c r="MHW603" s="46"/>
      <c r="MHX603" s="47"/>
      <c r="MHY603" s="46"/>
      <c r="MHZ603" s="48"/>
      <c r="MIA603" s="53"/>
      <c r="MIH603" s="15"/>
      <c r="MII603" s="50"/>
      <c r="MIJ603" s="50"/>
      <c r="MIK603" s="46"/>
      <c r="MIL603" s="47"/>
      <c r="MIM603" s="46"/>
      <c r="MIN603" s="48"/>
      <c r="MIO603" s="53"/>
      <c r="MIV603" s="15"/>
      <c r="MIW603" s="50"/>
      <c r="MIX603" s="50"/>
      <c r="MIY603" s="46"/>
      <c r="MIZ603" s="47"/>
      <c r="MJA603" s="46"/>
      <c r="MJB603" s="48"/>
      <c r="MJC603" s="53"/>
      <c r="MJJ603" s="15"/>
      <c r="MJK603" s="50"/>
      <c r="MJL603" s="50"/>
      <c r="MJM603" s="46"/>
      <c r="MJN603" s="47"/>
      <c r="MJO603" s="46"/>
      <c r="MJP603" s="48"/>
      <c r="MJQ603" s="53"/>
      <c r="MJX603" s="15"/>
      <c r="MJY603" s="50"/>
      <c r="MJZ603" s="50"/>
      <c r="MKA603" s="46"/>
      <c r="MKB603" s="47"/>
      <c r="MKC603" s="46"/>
      <c r="MKD603" s="48"/>
      <c r="MKE603" s="53"/>
      <c r="MKL603" s="15"/>
      <c r="MKM603" s="50"/>
      <c r="MKN603" s="50"/>
      <c r="MKO603" s="46"/>
      <c r="MKP603" s="47"/>
      <c r="MKQ603" s="46"/>
      <c r="MKR603" s="48"/>
      <c r="MKS603" s="53"/>
      <c r="MKZ603" s="15"/>
      <c r="MLA603" s="50"/>
      <c r="MLB603" s="50"/>
      <c r="MLC603" s="46"/>
      <c r="MLD603" s="47"/>
      <c r="MLE603" s="46"/>
      <c r="MLF603" s="48"/>
      <c r="MLG603" s="53"/>
      <c r="MLN603" s="15"/>
      <c r="MLO603" s="50"/>
      <c r="MLP603" s="50"/>
      <c r="MLQ603" s="46"/>
      <c r="MLR603" s="47"/>
      <c r="MLS603" s="46"/>
      <c r="MLT603" s="48"/>
      <c r="MLU603" s="53"/>
      <c r="MMB603" s="15"/>
      <c r="MMC603" s="50"/>
      <c r="MMD603" s="50"/>
      <c r="MME603" s="46"/>
      <c r="MMF603" s="47"/>
      <c r="MMG603" s="46"/>
      <c r="MMH603" s="48"/>
      <c r="MMI603" s="53"/>
      <c r="MMP603" s="15"/>
      <c r="MMQ603" s="50"/>
      <c r="MMR603" s="50"/>
      <c r="MMS603" s="46"/>
      <c r="MMT603" s="47"/>
      <c r="MMU603" s="46"/>
      <c r="MMV603" s="48"/>
      <c r="MMW603" s="53"/>
      <c r="MND603" s="15"/>
      <c r="MNE603" s="50"/>
      <c r="MNF603" s="50"/>
      <c r="MNG603" s="46"/>
      <c r="MNH603" s="47"/>
      <c r="MNI603" s="46"/>
      <c r="MNJ603" s="48"/>
      <c r="MNK603" s="53"/>
      <c r="MNR603" s="15"/>
      <c r="MNS603" s="50"/>
      <c r="MNT603" s="50"/>
      <c r="MNU603" s="46"/>
      <c r="MNV603" s="47"/>
      <c r="MNW603" s="46"/>
      <c r="MNX603" s="48"/>
      <c r="MNY603" s="53"/>
      <c r="MOF603" s="15"/>
      <c r="MOG603" s="50"/>
      <c r="MOH603" s="50"/>
      <c r="MOI603" s="46"/>
      <c r="MOJ603" s="47"/>
      <c r="MOK603" s="46"/>
      <c r="MOL603" s="48"/>
      <c r="MOM603" s="53"/>
      <c r="MOT603" s="15"/>
      <c r="MOU603" s="50"/>
      <c r="MOV603" s="50"/>
      <c r="MOW603" s="46"/>
      <c r="MOX603" s="47"/>
      <c r="MOY603" s="46"/>
      <c r="MOZ603" s="48"/>
      <c r="MPA603" s="53"/>
      <c r="MPH603" s="15"/>
      <c r="MPI603" s="50"/>
      <c r="MPJ603" s="50"/>
      <c r="MPK603" s="46"/>
      <c r="MPL603" s="47"/>
      <c r="MPM603" s="46"/>
      <c r="MPN603" s="48"/>
      <c r="MPO603" s="53"/>
      <c r="MPV603" s="15"/>
      <c r="MPW603" s="50"/>
      <c r="MPX603" s="50"/>
      <c r="MPY603" s="46"/>
      <c r="MPZ603" s="47"/>
      <c r="MQA603" s="46"/>
      <c r="MQB603" s="48"/>
      <c r="MQC603" s="53"/>
      <c r="MQJ603" s="15"/>
      <c r="MQK603" s="50"/>
      <c r="MQL603" s="50"/>
      <c r="MQM603" s="46"/>
      <c r="MQN603" s="47"/>
      <c r="MQO603" s="46"/>
      <c r="MQP603" s="48"/>
      <c r="MQQ603" s="53"/>
      <c r="MQX603" s="15"/>
      <c r="MQY603" s="50"/>
      <c r="MQZ603" s="50"/>
      <c r="MRA603" s="46"/>
      <c r="MRB603" s="47"/>
      <c r="MRC603" s="46"/>
      <c r="MRD603" s="48"/>
      <c r="MRE603" s="53"/>
      <c r="MRL603" s="15"/>
      <c r="MRM603" s="50"/>
      <c r="MRN603" s="50"/>
      <c r="MRO603" s="46"/>
      <c r="MRP603" s="47"/>
      <c r="MRQ603" s="46"/>
      <c r="MRR603" s="48"/>
      <c r="MRS603" s="53"/>
      <c r="MRZ603" s="15"/>
      <c r="MSA603" s="50"/>
      <c r="MSB603" s="50"/>
      <c r="MSC603" s="46"/>
      <c r="MSD603" s="47"/>
      <c r="MSE603" s="46"/>
      <c r="MSF603" s="48"/>
      <c r="MSG603" s="53"/>
      <c r="MSN603" s="15"/>
      <c r="MSO603" s="50"/>
      <c r="MSP603" s="50"/>
      <c r="MSQ603" s="46"/>
      <c r="MSR603" s="47"/>
      <c r="MSS603" s="46"/>
      <c r="MST603" s="48"/>
      <c r="MSU603" s="53"/>
      <c r="MTB603" s="15"/>
      <c r="MTC603" s="50"/>
      <c r="MTD603" s="50"/>
      <c r="MTE603" s="46"/>
      <c r="MTF603" s="47"/>
      <c r="MTG603" s="46"/>
      <c r="MTH603" s="48"/>
      <c r="MTI603" s="53"/>
      <c r="MTP603" s="15"/>
      <c r="MTQ603" s="50"/>
      <c r="MTR603" s="50"/>
      <c r="MTS603" s="46"/>
      <c r="MTT603" s="47"/>
      <c r="MTU603" s="46"/>
      <c r="MTV603" s="48"/>
      <c r="MTW603" s="53"/>
      <c r="MUD603" s="15"/>
      <c r="MUE603" s="50"/>
      <c r="MUF603" s="50"/>
      <c r="MUG603" s="46"/>
      <c r="MUH603" s="47"/>
      <c r="MUI603" s="46"/>
      <c r="MUJ603" s="48"/>
      <c r="MUK603" s="53"/>
      <c r="MUR603" s="15"/>
      <c r="MUS603" s="50"/>
      <c r="MUT603" s="50"/>
      <c r="MUU603" s="46"/>
      <c r="MUV603" s="47"/>
      <c r="MUW603" s="46"/>
      <c r="MUX603" s="48"/>
      <c r="MUY603" s="53"/>
      <c r="MVF603" s="15"/>
      <c r="MVG603" s="50"/>
      <c r="MVH603" s="50"/>
      <c r="MVI603" s="46"/>
      <c r="MVJ603" s="47"/>
      <c r="MVK603" s="46"/>
      <c r="MVL603" s="48"/>
      <c r="MVM603" s="53"/>
      <c r="MVT603" s="15"/>
      <c r="MVU603" s="50"/>
      <c r="MVV603" s="50"/>
      <c r="MVW603" s="46"/>
      <c r="MVX603" s="47"/>
      <c r="MVY603" s="46"/>
      <c r="MVZ603" s="48"/>
      <c r="MWA603" s="53"/>
      <c r="MWH603" s="15"/>
      <c r="MWI603" s="50"/>
      <c r="MWJ603" s="50"/>
      <c r="MWK603" s="46"/>
      <c r="MWL603" s="47"/>
      <c r="MWM603" s="46"/>
      <c r="MWN603" s="48"/>
      <c r="MWO603" s="53"/>
      <c r="MWV603" s="15"/>
      <c r="MWW603" s="50"/>
      <c r="MWX603" s="50"/>
      <c r="MWY603" s="46"/>
      <c r="MWZ603" s="47"/>
      <c r="MXA603" s="46"/>
      <c r="MXB603" s="48"/>
      <c r="MXC603" s="53"/>
      <c r="MXJ603" s="15"/>
      <c r="MXK603" s="50"/>
      <c r="MXL603" s="50"/>
      <c r="MXM603" s="46"/>
      <c r="MXN603" s="47"/>
      <c r="MXO603" s="46"/>
      <c r="MXP603" s="48"/>
      <c r="MXQ603" s="53"/>
      <c r="MXX603" s="15"/>
      <c r="MXY603" s="50"/>
      <c r="MXZ603" s="50"/>
      <c r="MYA603" s="46"/>
      <c r="MYB603" s="47"/>
      <c r="MYC603" s="46"/>
      <c r="MYD603" s="48"/>
      <c r="MYE603" s="53"/>
      <c r="MYL603" s="15"/>
      <c r="MYM603" s="50"/>
      <c r="MYN603" s="50"/>
      <c r="MYO603" s="46"/>
      <c r="MYP603" s="47"/>
      <c r="MYQ603" s="46"/>
      <c r="MYR603" s="48"/>
      <c r="MYS603" s="53"/>
      <c r="MYZ603" s="15"/>
      <c r="MZA603" s="50"/>
      <c r="MZB603" s="50"/>
      <c r="MZC603" s="46"/>
      <c r="MZD603" s="47"/>
      <c r="MZE603" s="46"/>
      <c r="MZF603" s="48"/>
      <c r="MZG603" s="53"/>
      <c r="MZN603" s="15"/>
      <c r="MZO603" s="50"/>
      <c r="MZP603" s="50"/>
      <c r="MZQ603" s="46"/>
      <c r="MZR603" s="47"/>
      <c r="MZS603" s="46"/>
      <c r="MZT603" s="48"/>
      <c r="MZU603" s="53"/>
      <c r="NAB603" s="15"/>
      <c r="NAC603" s="50"/>
      <c r="NAD603" s="50"/>
      <c r="NAE603" s="46"/>
      <c r="NAF603" s="47"/>
      <c r="NAG603" s="46"/>
      <c r="NAH603" s="48"/>
      <c r="NAI603" s="53"/>
      <c r="NAP603" s="15"/>
      <c r="NAQ603" s="50"/>
      <c r="NAR603" s="50"/>
      <c r="NAS603" s="46"/>
      <c r="NAT603" s="47"/>
      <c r="NAU603" s="46"/>
      <c r="NAV603" s="48"/>
      <c r="NAW603" s="53"/>
      <c r="NBD603" s="15"/>
      <c r="NBE603" s="50"/>
      <c r="NBF603" s="50"/>
      <c r="NBG603" s="46"/>
      <c r="NBH603" s="47"/>
      <c r="NBI603" s="46"/>
      <c r="NBJ603" s="48"/>
      <c r="NBK603" s="53"/>
      <c r="NBR603" s="15"/>
      <c r="NBS603" s="50"/>
      <c r="NBT603" s="50"/>
      <c r="NBU603" s="46"/>
      <c r="NBV603" s="47"/>
      <c r="NBW603" s="46"/>
      <c r="NBX603" s="48"/>
      <c r="NBY603" s="53"/>
      <c r="NCF603" s="15"/>
      <c r="NCG603" s="50"/>
      <c r="NCH603" s="50"/>
      <c r="NCI603" s="46"/>
      <c r="NCJ603" s="47"/>
      <c r="NCK603" s="46"/>
      <c r="NCL603" s="48"/>
      <c r="NCM603" s="53"/>
      <c r="NCT603" s="15"/>
      <c r="NCU603" s="50"/>
      <c r="NCV603" s="50"/>
      <c r="NCW603" s="46"/>
      <c r="NCX603" s="47"/>
      <c r="NCY603" s="46"/>
      <c r="NCZ603" s="48"/>
      <c r="NDA603" s="53"/>
      <c r="NDH603" s="15"/>
      <c r="NDI603" s="50"/>
      <c r="NDJ603" s="50"/>
      <c r="NDK603" s="46"/>
      <c r="NDL603" s="47"/>
      <c r="NDM603" s="46"/>
      <c r="NDN603" s="48"/>
      <c r="NDO603" s="53"/>
      <c r="NDV603" s="15"/>
      <c r="NDW603" s="50"/>
      <c r="NDX603" s="50"/>
      <c r="NDY603" s="46"/>
      <c r="NDZ603" s="47"/>
      <c r="NEA603" s="46"/>
      <c r="NEB603" s="48"/>
      <c r="NEC603" s="53"/>
      <c r="NEJ603" s="15"/>
      <c r="NEK603" s="50"/>
      <c r="NEL603" s="50"/>
      <c r="NEM603" s="46"/>
      <c r="NEN603" s="47"/>
      <c r="NEO603" s="46"/>
      <c r="NEP603" s="48"/>
      <c r="NEQ603" s="53"/>
      <c r="NEX603" s="15"/>
      <c r="NEY603" s="50"/>
      <c r="NEZ603" s="50"/>
      <c r="NFA603" s="46"/>
      <c r="NFB603" s="47"/>
      <c r="NFC603" s="46"/>
      <c r="NFD603" s="48"/>
      <c r="NFE603" s="53"/>
      <c r="NFL603" s="15"/>
      <c r="NFM603" s="50"/>
      <c r="NFN603" s="50"/>
      <c r="NFO603" s="46"/>
      <c r="NFP603" s="47"/>
      <c r="NFQ603" s="46"/>
      <c r="NFR603" s="48"/>
      <c r="NFS603" s="53"/>
      <c r="NFZ603" s="15"/>
      <c r="NGA603" s="50"/>
      <c r="NGB603" s="50"/>
      <c r="NGC603" s="46"/>
      <c r="NGD603" s="47"/>
      <c r="NGE603" s="46"/>
      <c r="NGF603" s="48"/>
      <c r="NGG603" s="53"/>
      <c r="NGN603" s="15"/>
      <c r="NGO603" s="50"/>
      <c r="NGP603" s="50"/>
      <c r="NGQ603" s="46"/>
      <c r="NGR603" s="47"/>
      <c r="NGS603" s="46"/>
      <c r="NGT603" s="48"/>
      <c r="NGU603" s="53"/>
      <c r="NHB603" s="15"/>
      <c r="NHC603" s="50"/>
      <c r="NHD603" s="50"/>
      <c r="NHE603" s="46"/>
      <c r="NHF603" s="47"/>
      <c r="NHG603" s="46"/>
      <c r="NHH603" s="48"/>
      <c r="NHI603" s="53"/>
      <c r="NHP603" s="15"/>
      <c r="NHQ603" s="50"/>
      <c r="NHR603" s="50"/>
      <c r="NHS603" s="46"/>
      <c r="NHT603" s="47"/>
      <c r="NHU603" s="46"/>
      <c r="NHV603" s="48"/>
      <c r="NHW603" s="53"/>
      <c r="NID603" s="15"/>
      <c r="NIE603" s="50"/>
      <c r="NIF603" s="50"/>
      <c r="NIG603" s="46"/>
      <c r="NIH603" s="47"/>
      <c r="NII603" s="46"/>
      <c r="NIJ603" s="48"/>
      <c r="NIK603" s="53"/>
      <c r="NIR603" s="15"/>
      <c r="NIS603" s="50"/>
      <c r="NIT603" s="50"/>
      <c r="NIU603" s="46"/>
      <c r="NIV603" s="47"/>
      <c r="NIW603" s="46"/>
      <c r="NIX603" s="48"/>
      <c r="NIY603" s="53"/>
      <c r="NJF603" s="15"/>
      <c r="NJG603" s="50"/>
      <c r="NJH603" s="50"/>
      <c r="NJI603" s="46"/>
      <c r="NJJ603" s="47"/>
      <c r="NJK603" s="46"/>
      <c r="NJL603" s="48"/>
      <c r="NJM603" s="53"/>
      <c r="NJT603" s="15"/>
      <c r="NJU603" s="50"/>
      <c r="NJV603" s="50"/>
      <c r="NJW603" s="46"/>
      <c r="NJX603" s="47"/>
      <c r="NJY603" s="46"/>
      <c r="NJZ603" s="48"/>
      <c r="NKA603" s="53"/>
      <c r="NKH603" s="15"/>
      <c r="NKI603" s="50"/>
      <c r="NKJ603" s="50"/>
      <c r="NKK603" s="46"/>
      <c r="NKL603" s="47"/>
      <c r="NKM603" s="46"/>
      <c r="NKN603" s="48"/>
      <c r="NKO603" s="53"/>
      <c r="NKV603" s="15"/>
      <c r="NKW603" s="50"/>
      <c r="NKX603" s="50"/>
      <c r="NKY603" s="46"/>
      <c r="NKZ603" s="47"/>
      <c r="NLA603" s="46"/>
      <c r="NLB603" s="48"/>
      <c r="NLC603" s="53"/>
      <c r="NLJ603" s="15"/>
      <c r="NLK603" s="50"/>
      <c r="NLL603" s="50"/>
      <c r="NLM603" s="46"/>
      <c r="NLN603" s="47"/>
      <c r="NLO603" s="46"/>
      <c r="NLP603" s="48"/>
      <c r="NLQ603" s="53"/>
      <c r="NLX603" s="15"/>
      <c r="NLY603" s="50"/>
      <c r="NLZ603" s="50"/>
      <c r="NMA603" s="46"/>
      <c r="NMB603" s="47"/>
      <c r="NMC603" s="46"/>
      <c r="NMD603" s="48"/>
      <c r="NME603" s="53"/>
      <c r="NML603" s="15"/>
      <c r="NMM603" s="50"/>
      <c r="NMN603" s="50"/>
      <c r="NMO603" s="46"/>
      <c r="NMP603" s="47"/>
      <c r="NMQ603" s="46"/>
      <c r="NMR603" s="48"/>
      <c r="NMS603" s="53"/>
      <c r="NMZ603" s="15"/>
      <c r="NNA603" s="50"/>
      <c r="NNB603" s="50"/>
      <c r="NNC603" s="46"/>
      <c r="NND603" s="47"/>
      <c r="NNE603" s="46"/>
      <c r="NNF603" s="48"/>
      <c r="NNG603" s="53"/>
      <c r="NNN603" s="15"/>
      <c r="NNO603" s="50"/>
      <c r="NNP603" s="50"/>
      <c r="NNQ603" s="46"/>
      <c r="NNR603" s="47"/>
      <c r="NNS603" s="46"/>
      <c r="NNT603" s="48"/>
      <c r="NNU603" s="53"/>
      <c r="NOB603" s="15"/>
      <c r="NOC603" s="50"/>
      <c r="NOD603" s="50"/>
      <c r="NOE603" s="46"/>
      <c r="NOF603" s="47"/>
      <c r="NOG603" s="46"/>
      <c r="NOH603" s="48"/>
      <c r="NOI603" s="53"/>
      <c r="NOP603" s="15"/>
      <c r="NOQ603" s="50"/>
      <c r="NOR603" s="50"/>
      <c r="NOS603" s="46"/>
      <c r="NOT603" s="47"/>
      <c r="NOU603" s="46"/>
      <c r="NOV603" s="48"/>
      <c r="NOW603" s="53"/>
      <c r="NPD603" s="15"/>
      <c r="NPE603" s="50"/>
      <c r="NPF603" s="50"/>
      <c r="NPG603" s="46"/>
      <c r="NPH603" s="47"/>
      <c r="NPI603" s="46"/>
      <c r="NPJ603" s="48"/>
      <c r="NPK603" s="53"/>
      <c r="NPR603" s="15"/>
      <c r="NPS603" s="50"/>
      <c r="NPT603" s="50"/>
      <c r="NPU603" s="46"/>
      <c r="NPV603" s="47"/>
      <c r="NPW603" s="46"/>
      <c r="NPX603" s="48"/>
      <c r="NPY603" s="53"/>
      <c r="NQF603" s="15"/>
      <c r="NQG603" s="50"/>
      <c r="NQH603" s="50"/>
      <c r="NQI603" s="46"/>
      <c r="NQJ603" s="47"/>
      <c r="NQK603" s="46"/>
      <c r="NQL603" s="48"/>
      <c r="NQM603" s="53"/>
      <c r="NQT603" s="15"/>
      <c r="NQU603" s="50"/>
      <c r="NQV603" s="50"/>
      <c r="NQW603" s="46"/>
      <c r="NQX603" s="47"/>
      <c r="NQY603" s="46"/>
      <c r="NQZ603" s="48"/>
      <c r="NRA603" s="53"/>
      <c r="NRH603" s="15"/>
      <c r="NRI603" s="50"/>
      <c r="NRJ603" s="50"/>
      <c r="NRK603" s="46"/>
      <c r="NRL603" s="47"/>
      <c r="NRM603" s="46"/>
      <c r="NRN603" s="48"/>
      <c r="NRO603" s="53"/>
      <c r="NRV603" s="15"/>
      <c r="NRW603" s="50"/>
      <c r="NRX603" s="50"/>
      <c r="NRY603" s="46"/>
      <c r="NRZ603" s="47"/>
      <c r="NSA603" s="46"/>
      <c r="NSB603" s="48"/>
      <c r="NSC603" s="53"/>
      <c r="NSJ603" s="15"/>
      <c r="NSK603" s="50"/>
      <c r="NSL603" s="50"/>
      <c r="NSM603" s="46"/>
      <c r="NSN603" s="47"/>
      <c r="NSO603" s="46"/>
      <c r="NSP603" s="48"/>
      <c r="NSQ603" s="53"/>
      <c r="NSX603" s="15"/>
      <c r="NSY603" s="50"/>
      <c r="NSZ603" s="50"/>
      <c r="NTA603" s="46"/>
      <c r="NTB603" s="47"/>
      <c r="NTC603" s="46"/>
      <c r="NTD603" s="48"/>
      <c r="NTE603" s="53"/>
      <c r="NTL603" s="15"/>
      <c r="NTM603" s="50"/>
      <c r="NTN603" s="50"/>
      <c r="NTO603" s="46"/>
      <c r="NTP603" s="47"/>
      <c r="NTQ603" s="46"/>
      <c r="NTR603" s="48"/>
      <c r="NTS603" s="53"/>
      <c r="NTZ603" s="15"/>
      <c r="NUA603" s="50"/>
      <c r="NUB603" s="50"/>
      <c r="NUC603" s="46"/>
      <c r="NUD603" s="47"/>
      <c r="NUE603" s="46"/>
      <c r="NUF603" s="48"/>
      <c r="NUG603" s="53"/>
      <c r="NUN603" s="15"/>
      <c r="NUO603" s="50"/>
      <c r="NUP603" s="50"/>
      <c r="NUQ603" s="46"/>
      <c r="NUR603" s="47"/>
      <c r="NUS603" s="46"/>
      <c r="NUT603" s="48"/>
      <c r="NUU603" s="53"/>
      <c r="NVB603" s="15"/>
      <c r="NVC603" s="50"/>
      <c r="NVD603" s="50"/>
      <c r="NVE603" s="46"/>
      <c r="NVF603" s="47"/>
      <c r="NVG603" s="46"/>
      <c r="NVH603" s="48"/>
      <c r="NVI603" s="53"/>
      <c r="NVP603" s="15"/>
      <c r="NVQ603" s="50"/>
      <c r="NVR603" s="50"/>
      <c r="NVS603" s="46"/>
      <c r="NVT603" s="47"/>
      <c r="NVU603" s="46"/>
      <c r="NVV603" s="48"/>
      <c r="NVW603" s="53"/>
      <c r="NWD603" s="15"/>
      <c r="NWE603" s="50"/>
      <c r="NWF603" s="50"/>
      <c r="NWG603" s="46"/>
      <c r="NWH603" s="47"/>
      <c r="NWI603" s="46"/>
      <c r="NWJ603" s="48"/>
      <c r="NWK603" s="53"/>
      <c r="NWR603" s="15"/>
      <c r="NWS603" s="50"/>
      <c r="NWT603" s="50"/>
      <c r="NWU603" s="46"/>
      <c r="NWV603" s="47"/>
      <c r="NWW603" s="46"/>
      <c r="NWX603" s="48"/>
      <c r="NWY603" s="53"/>
      <c r="NXF603" s="15"/>
      <c r="NXG603" s="50"/>
      <c r="NXH603" s="50"/>
      <c r="NXI603" s="46"/>
      <c r="NXJ603" s="47"/>
      <c r="NXK603" s="46"/>
      <c r="NXL603" s="48"/>
      <c r="NXM603" s="53"/>
      <c r="NXT603" s="15"/>
      <c r="NXU603" s="50"/>
      <c r="NXV603" s="50"/>
      <c r="NXW603" s="46"/>
      <c r="NXX603" s="47"/>
      <c r="NXY603" s="46"/>
      <c r="NXZ603" s="48"/>
      <c r="NYA603" s="53"/>
      <c r="NYH603" s="15"/>
      <c r="NYI603" s="50"/>
      <c r="NYJ603" s="50"/>
      <c r="NYK603" s="46"/>
      <c r="NYL603" s="47"/>
      <c r="NYM603" s="46"/>
      <c r="NYN603" s="48"/>
      <c r="NYO603" s="53"/>
      <c r="NYV603" s="15"/>
      <c r="NYW603" s="50"/>
      <c r="NYX603" s="50"/>
      <c r="NYY603" s="46"/>
      <c r="NYZ603" s="47"/>
      <c r="NZA603" s="46"/>
      <c r="NZB603" s="48"/>
      <c r="NZC603" s="53"/>
      <c r="NZJ603" s="15"/>
      <c r="NZK603" s="50"/>
      <c r="NZL603" s="50"/>
      <c r="NZM603" s="46"/>
      <c r="NZN603" s="47"/>
      <c r="NZO603" s="46"/>
      <c r="NZP603" s="48"/>
      <c r="NZQ603" s="53"/>
      <c r="NZX603" s="15"/>
      <c r="NZY603" s="50"/>
      <c r="NZZ603" s="50"/>
      <c r="OAA603" s="46"/>
      <c r="OAB603" s="47"/>
      <c r="OAC603" s="46"/>
      <c r="OAD603" s="48"/>
      <c r="OAE603" s="53"/>
      <c r="OAL603" s="15"/>
      <c r="OAM603" s="50"/>
      <c r="OAN603" s="50"/>
      <c r="OAO603" s="46"/>
      <c r="OAP603" s="47"/>
      <c r="OAQ603" s="46"/>
      <c r="OAR603" s="48"/>
      <c r="OAS603" s="53"/>
      <c r="OAZ603" s="15"/>
      <c r="OBA603" s="50"/>
      <c r="OBB603" s="50"/>
      <c r="OBC603" s="46"/>
      <c r="OBD603" s="47"/>
      <c r="OBE603" s="46"/>
      <c r="OBF603" s="48"/>
      <c r="OBG603" s="53"/>
      <c r="OBN603" s="15"/>
      <c r="OBO603" s="50"/>
      <c r="OBP603" s="50"/>
      <c r="OBQ603" s="46"/>
      <c r="OBR603" s="47"/>
      <c r="OBS603" s="46"/>
      <c r="OBT603" s="48"/>
      <c r="OBU603" s="53"/>
      <c r="OCB603" s="15"/>
      <c r="OCC603" s="50"/>
      <c r="OCD603" s="50"/>
      <c r="OCE603" s="46"/>
      <c r="OCF603" s="47"/>
      <c r="OCG603" s="46"/>
      <c r="OCH603" s="48"/>
      <c r="OCI603" s="53"/>
      <c r="OCP603" s="15"/>
      <c r="OCQ603" s="50"/>
      <c r="OCR603" s="50"/>
      <c r="OCS603" s="46"/>
      <c r="OCT603" s="47"/>
      <c r="OCU603" s="46"/>
      <c r="OCV603" s="48"/>
      <c r="OCW603" s="53"/>
      <c r="ODD603" s="15"/>
      <c r="ODE603" s="50"/>
      <c r="ODF603" s="50"/>
      <c r="ODG603" s="46"/>
      <c r="ODH603" s="47"/>
      <c r="ODI603" s="46"/>
      <c r="ODJ603" s="48"/>
      <c r="ODK603" s="53"/>
      <c r="ODR603" s="15"/>
      <c r="ODS603" s="50"/>
      <c r="ODT603" s="50"/>
      <c r="ODU603" s="46"/>
      <c r="ODV603" s="47"/>
      <c r="ODW603" s="46"/>
      <c r="ODX603" s="48"/>
      <c r="ODY603" s="53"/>
      <c r="OEF603" s="15"/>
      <c r="OEG603" s="50"/>
      <c r="OEH603" s="50"/>
      <c r="OEI603" s="46"/>
      <c r="OEJ603" s="47"/>
      <c r="OEK603" s="46"/>
      <c r="OEL603" s="48"/>
      <c r="OEM603" s="53"/>
      <c r="OET603" s="15"/>
      <c r="OEU603" s="50"/>
      <c r="OEV603" s="50"/>
      <c r="OEW603" s="46"/>
      <c r="OEX603" s="47"/>
      <c r="OEY603" s="46"/>
      <c r="OEZ603" s="48"/>
      <c r="OFA603" s="53"/>
      <c r="OFH603" s="15"/>
      <c r="OFI603" s="50"/>
      <c r="OFJ603" s="50"/>
      <c r="OFK603" s="46"/>
      <c r="OFL603" s="47"/>
      <c r="OFM603" s="46"/>
      <c r="OFN603" s="48"/>
      <c r="OFO603" s="53"/>
      <c r="OFV603" s="15"/>
      <c r="OFW603" s="50"/>
      <c r="OFX603" s="50"/>
      <c r="OFY603" s="46"/>
      <c r="OFZ603" s="47"/>
      <c r="OGA603" s="46"/>
      <c r="OGB603" s="48"/>
      <c r="OGC603" s="53"/>
      <c r="OGJ603" s="15"/>
      <c r="OGK603" s="50"/>
      <c r="OGL603" s="50"/>
      <c r="OGM603" s="46"/>
      <c r="OGN603" s="47"/>
      <c r="OGO603" s="46"/>
      <c r="OGP603" s="48"/>
      <c r="OGQ603" s="53"/>
      <c r="OGX603" s="15"/>
      <c r="OGY603" s="50"/>
      <c r="OGZ603" s="50"/>
      <c r="OHA603" s="46"/>
      <c r="OHB603" s="47"/>
      <c r="OHC603" s="46"/>
      <c r="OHD603" s="48"/>
      <c r="OHE603" s="53"/>
      <c r="OHL603" s="15"/>
      <c r="OHM603" s="50"/>
      <c r="OHN603" s="50"/>
      <c r="OHO603" s="46"/>
      <c r="OHP603" s="47"/>
      <c r="OHQ603" s="46"/>
      <c r="OHR603" s="48"/>
      <c r="OHS603" s="53"/>
      <c r="OHZ603" s="15"/>
      <c r="OIA603" s="50"/>
      <c r="OIB603" s="50"/>
      <c r="OIC603" s="46"/>
      <c r="OID603" s="47"/>
      <c r="OIE603" s="46"/>
      <c r="OIF603" s="48"/>
      <c r="OIG603" s="53"/>
      <c r="OIN603" s="15"/>
      <c r="OIO603" s="50"/>
      <c r="OIP603" s="50"/>
      <c r="OIQ603" s="46"/>
      <c r="OIR603" s="47"/>
      <c r="OIS603" s="46"/>
      <c r="OIT603" s="48"/>
      <c r="OIU603" s="53"/>
      <c r="OJB603" s="15"/>
      <c r="OJC603" s="50"/>
      <c r="OJD603" s="50"/>
      <c r="OJE603" s="46"/>
      <c r="OJF603" s="47"/>
      <c r="OJG603" s="46"/>
      <c r="OJH603" s="48"/>
      <c r="OJI603" s="53"/>
      <c r="OJP603" s="15"/>
      <c r="OJQ603" s="50"/>
      <c r="OJR603" s="50"/>
      <c r="OJS603" s="46"/>
      <c r="OJT603" s="47"/>
      <c r="OJU603" s="46"/>
      <c r="OJV603" s="48"/>
      <c r="OJW603" s="53"/>
      <c r="OKD603" s="15"/>
      <c r="OKE603" s="50"/>
      <c r="OKF603" s="50"/>
      <c r="OKG603" s="46"/>
      <c r="OKH603" s="47"/>
      <c r="OKI603" s="46"/>
      <c r="OKJ603" s="48"/>
      <c r="OKK603" s="53"/>
      <c r="OKR603" s="15"/>
      <c r="OKS603" s="50"/>
      <c r="OKT603" s="50"/>
      <c r="OKU603" s="46"/>
      <c r="OKV603" s="47"/>
      <c r="OKW603" s="46"/>
      <c r="OKX603" s="48"/>
      <c r="OKY603" s="53"/>
      <c r="OLF603" s="15"/>
      <c r="OLG603" s="50"/>
      <c r="OLH603" s="50"/>
      <c r="OLI603" s="46"/>
      <c r="OLJ603" s="47"/>
      <c r="OLK603" s="46"/>
      <c r="OLL603" s="48"/>
      <c r="OLM603" s="53"/>
      <c r="OLT603" s="15"/>
      <c r="OLU603" s="50"/>
      <c r="OLV603" s="50"/>
      <c r="OLW603" s="46"/>
      <c r="OLX603" s="47"/>
      <c r="OLY603" s="46"/>
      <c r="OLZ603" s="48"/>
      <c r="OMA603" s="53"/>
      <c r="OMH603" s="15"/>
      <c r="OMI603" s="50"/>
      <c r="OMJ603" s="50"/>
      <c r="OMK603" s="46"/>
      <c r="OML603" s="47"/>
      <c r="OMM603" s="46"/>
      <c r="OMN603" s="48"/>
      <c r="OMO603" s="53"/>
      <c r="OMV603" s="15"/>
      <c r="OMW603" s="50"/>
      <c r="OMX603" s="50"/>
      <c r="OMY603" s="46"/>
      <c r="OMZ603" s="47"/>
      <c r="ONA603" s="46"/>
      <c r="ONB603" s="48"/>
      <c r="ONC603" s="53"/>
      <c r="ONJ603" s="15"/>
      <c r="ONK603" s="50"/>
      <c r="ONL603" s="50"/>
      <c r="ONM603" s="46"/>
      <c r="ONN603" s="47"/>
      <c r="ONO603" s="46"/>
      <c r="ONP603" s="48"/>
      <c r="ONQ603" s="53"/>
      <c r="ONX603" s="15"/>
      <c r="ONY603" s="50"/>
      <c r="ONZ603" s="50"/>
      <c r="OOA603" s="46"/>
      <c r="OOB603" s="47"/>
      <c r="OOC603" s="46"/>
      <c r="OOD603" s="48"/>
      <c r="OOE603" s="53"/>
      <c r="OOL603" s="15"/>
      <c r="OOM603" s="50"/>
      <c r="OON603" s="50"/>
      <c r="OOO603" s="46"/>
      <c r="OOP603" s="47"/>
      <c r="OOQ603" s="46"/>
      <c r="OOR603" s="48"/>
      <c r="OOS603" s="53"/>
      <c r="OOZ603" s="15"/>
      <c r="OPA603" s="50"/>
      <c r="OPB603" s="50"/>
      <c r="OPC603" s="46"/>
      <c r="OPD603" s="47"/>
      <c r="OPE603" s="46"/>
      <c r="OPF603" s="48"/>
      <c r="OPG603" s="53"/>
      <c r="OPN603" s="15"/>
      <c r="OPO603" s="50"/>
      <c r="OPP603" s="50"/>
      <c r="OPQ603" s="46"/>
      <c r="OPR603" s="47"/>
      <c r="OPS603" s="46"/>
      <c r="OPT603" s="48"/>
      <c r="OPU603" s="53"/>
      <c r="OQB603" s="15"/>
      <c r="OQC603" s="50"/>
      <c r="OQD603" s="50"/>
      <c r="OQE603" s="46"/>
      <c r="OQF603" s="47"/>
      <c r="OQG603" s="46"/>
      <c r="OQH603" s="48"/>
      <c r="OQI603" s="53"/>
      <c r="OQP603" s="15"/>
      <c r="OQQ603" s="50"/>
      <c r="OQR603" s="50"/>
      <c r="OQS603" s="46"/>
      <c r="OQT603" s="47"/>
      <c r="OQU603" s="46"/>
      <c r="OQV603" s="48"/>
      <c r="OQW603" s="53"/>
      <c r="ORD603" s="15"/>
      <c r="ORE603" s="50"/>
      <c r="ORF603" s="50"/>
      <c r="ORG603" s="46"/>
      <c r="ORH603" s="47"/>
      <c r="ORI603" s="46"/>
      <c r="ORJ603" s="48"/>
      <c r="ORK603" s="53"/>
      <c r="ORR603" s="15"/>
      <c r="ORS603" s="50"/>
      <c r="ORT603" s="50"/>
      <c r="ORU603" s="46"/>
      <c r="ORV603" s="47"/>
      <c r="ORW603" s="46"/>
      <c r="ORX603" s="48"/>
      <c r="ORY603" s="53"/>
      <c r="OSF603" s="15"/>
      <c r="OSG603" s="50"/>
      <c r="OSH603" s="50"/>
      <c r="OSI603" s="46"/>
      <c r="OSJ603" s="47"/>
      <c r="OSK603" s="46"/>
      <c r="OSL603" s="48"/>
      <c r="OSM603" s="53"/>
      <c r="OST603" s="15"/>
      <c r="OSU603" s="50"/>
      <c r="OSV603" s="50"/>
      <c r="OSW603" s="46"/>
      <c r="OSX603" s="47"/>
      <c r="OSY603" s="46"/>
      <c r="OSZ603" s="48"/>
      <c r="OTA603" s="53"/>
      <c r="OTH603" s="15"/>
      <c r="OTI603" s="50"/>
      <c r="OTJ603" s="50"/>
      <c r="OTK603" s="46"/>
      <c r="OTL603" s="47"/>
      <c r="OTM603" s="46"/>
      <c r="OTN603" s="48"/>
      <c r="OTO603" s="53"/>
      <c r="OTV603" s="15"/>
      <c r="OTW603" s="50"/>
      <c r="OTX603" s="50"/>
      <c r="OTY603" s="46"/>
      <c r="OTZ603" s="47"/>
      <c r="OUA603" s="46"/>
      <c r="OUB603" s="48"/>
      <c r="OUC603" s="53"/>
      <c r="OUJ603" s="15"/>
      <c r="OUK603" s="50"/>
      <c r="OUL603" s="50"/>
      <c r="OUM603" s="46"/>
      <c r="OUN603" s="47"/>
      <c r="OUO603" s="46"/>
      <c r="OUP603" s="48"/>
      <c r="OUQ603" s="53"/>
      <c r="OUX603" s="15"/>
      <c r="OUY603" s="50"/>
      <c r="OUZ603" s="50"/>
      <c r="OVA603" s="46"/>
      <c r="OVB603" s="47"/>
      <c r="OVC603" s="46"/>
      <c r="OVD603" s="48"/>
      <c r="OVE603" s="53"/>
      <c r="OVL603" s="15"/>
      <c r="OVM603" s="50"/>
      <c r="OVN603" s="50"/>
      <c r="OVO603" s="46"/>
      <c r="OVP603" s="47"/>
      <c r="OVQ603" s="46"/>
      <c r="OVR603" s="48"/>
      <c r="OVS603" s="53"/>
      <c r="OVZ603" s="15"/>
      <c r="OWA603" s="50"/>
      <c r="OWB603" s="50"/>
      <c r="OWC603" s="46"/>
      <c r="OWD603" s="47"/>
      <c r="OWE603" s="46"/>
      <c r="OWF603" s="48"/>
      <c r="OWG603" s="53"/>
      <c r="OWN603" s="15"/>
      <c r="OWO603" s="50"/>
      <c r="OWP603" s="50"/>
      <c r="OWQ603" s="46"/>
      <c r="OWR603" s="47"/>
      <c r="OWS603" s="46"/>
      <c r="OWT603" s="48"/>
      <c r="OWU603" s="53"/>
      <c r="OXB603" s="15"/>
      <c r="OXC603" s="50"/>
      <c r="OXD603" s="50"/>
      <c r="OXE603" s="46"/>
      <c r="OXF603" s="47"/>
      <c r="OXG603" s="46"/>
      <c r="OXH603" s="48"/>
      <c r="OXI603" s="53"/>
      <c r="OXP603" s="15"/>
      <c r="OXQ603" s="50"/>
      <c r="OXR603" s="50"/>
      <c r="OXS603" s="46"/>
      <c r="OXT603" s="47"/>
      <c r="OXU603" s="46"/>
      <c r="OXV603" s="48"/>
      <c r="OXW603" s="53"/>
      <c r="OYD603" s="15"/>
      <c r="OYE603" s="50"/>
      <c r="OYF603" s="50"/>
      <c r="OYG603" s="46"/>
      <c r="OYH603" s="47"/>
      <c r="OYI603" s="46"/>
      <c r="OYJ603" s="48"/>
      <c r="OYK603" s="53"/>
      <c r="OYR603" s="15"/>
      <c r="OYS603" s="50"/>
      <c r="OYT603" s="50"/>
      <c r="OYU603" s="46"/>
      <c r="OYV603" s="47"/>
      <c r="OYW603" s="46"/>
      <c r="OYX603" s="48"/>
      <c r="OYY603" s="53"/>
      <c r="OZF603" s="15"/>
      <c r="OZG603" s="50"/>
      <c r="OZH603" s="50"/>
      <c r="OZI603" s="46"/>
      <c r="OZJ603" s="47"/>
      <c r="OZK603" s="46"/>
      <c r="OZL603" s="48"/>
      <c r="OZM603" s="53"/>
      <c r="OZT603" s="15"/>
      <c r="OZU603" s="50"/>
      <c r="OZV603" s="50"/>
      <c r="OZW603" s="46"/>
      <c r="OZX603" s="47"/>
      <c r="OZY603" s="46"/>
      <c r="OZZ603" s="48"/>
      <c r="PAA603" s="53"/>
      <c r="PAH603" s="15"/>
      <c r="PAI603" s="50"/>
      <c r="PAJ603" s="50"/>
      <c r="PAK603" s="46"/>
      <c r="PAL603" s="47"/>
      <c r="PAM603" s="46"/>
      <c r="PAN603" s="48"/>
      <c r="PAO603" s="53"/>
      <c r="PAV603" s="15"/>
      <c r="PAW603" s="50"/>
      <c r="PAX603" s="50"/>
      <c r="PAY603" s="46"/>
      <c r="PAZ603" s="47"/>
      <c r="PBA603" s="46"/>
      <c r="PBB603" s="48"/>
      <c r="PBC603" s="53"/>
      <c r="PBJ603" s="15"/>
      <c r="PBK603" s="50"/>
      <c r="PBL603" s="50"/>
      <c r="PBM603" s="46"/>
      <c r="PBN603" s="47"/>
      <c r="PBO603" s="46"/>
      <c r="PBP603" s="48"/>
      <c r="PBQ603" s="53"/>
      <c r="PBX603" s="15"/>
      <c r="PBY603" s="50"/>
      <c r="PBZ603" s="50"/>
      <c r="PCA603" s="46"/>
      <c r="PCB603" s="47"/>
      <c r="PCC603" s="46"/>
      <c r="PCD603" s="48"/>
      <c r="PCE603" s="53"/>
      <c r="PCL603" s="15"/>
      <c r="PCM603" s="50"/>
      <c r="PCN603" s="50"/>
      <c r="PCO603" s="46"/>
      <c r="PCP603" s="47"/>
      <c r="PCQ603" s="46"/>
      <c r="PCR603" s="48"/>
      <c r="PCS603" s="53"/>
      <c r="PCZ603" s="15"/>
      <c r="PDA603" s="50"/>
      <c r="PDB603" s="50"/>
      <c r="PDC603" s="46"/>
      <c r="PDD603" s="47"/>
      <c r="PDE603" s="46"/>
      <c r="PDF603" s="48"/>
      <c r="PDG603" s="53"/>
      <c r="PDN603" s="15"/>
      <c r="PDO603" s="50"/>
      <c r="PDP603" s="50"/>
      <c r="PDQ603" s="46"/>
      <c r="PDR603" s="47"/>
      <c r="PDS603" s="46"/>
      <c r="PDT603" s="48"/>
      <c r="PDU603" s="53"/>
      <c r="PEB603" s="15"/>
      <c r="PEC603" s="50"/>
      <c r="PED603" s="50"/>
      <c r="PEE603" s="46"/>
      <c r="PEF603" s="47"/>
      <c r="PEG603" s="46"/>
      <c r="PEH603" s="48"/>
      <c r="PEI603" s="53"/>
      <c r="PEP603" s="15"/>
      <c r="PEQ603" s="50"/>
      <c r="PER603" s="50"/>
      <c r="PES603" s="46"/>
      <c r="PET603" s="47"/>
      <c r="PEU603" s="46"/>
      <c r="PEV603" s="48"/>
      <c r="PEW603" s="53"/>
      <c r="PFD603" s="15"/>
      <c r="PFE603" s="50"/>
      <c r="PFF603" s="50"/>
      <c r="PFG603" s="46"/>
      <c r="PFH603" s="47"/>
      <c r="PFI603" s="46"/>
      <c r="PFJ603" s="48"/>
      <c r="PFK603" s="53"/>
      <c r="PFR603" s="15"/>
      <c r="PFS603" s="50"/>
      <c r="PFT603" s="50"/>
      <c r="PFU603" s="46"/>
      <c r="PFV603" s="47"/>
      <c r="PFW603" s="46"/>
      <c r="PFX603" s="48"/>
      <c r="PFY603" s="53"/>
      <c r="PGF603" s="15"/>
      <c r="PGG603" s="50"/>
      <c r="PGH603" s="50"/>
      <c r="PGI603" s="46"/>
      <c r="PGJ603" s="47"/>
      <c r="PGK603" s="46"/>
      <c r="PGL603" s="48"/>
      <c r="PGM603" s="53"/>
      <c r="PGT603" s="15"/>
      <c r="PGU603" s="50"/>
      <c r="PGV603" s="50"/>
      <c r="PGW603" s="46"/>
      <c r="PGX603" s="47"/>
      <c r="PGY603" s="46"/>
      <c r="PGZ603" s="48"/>
      <c r="PHA603" s="53"/>
      <c r="PHH603" s="15"/>
      <c r="PHI603" s="50"/>
      <c r="PHJ603" s="50"/>
      <c r="PHK603" s="46"/>
      <c r="PHL603" s="47"/>
      <c r="PHM603" s="46"/>
      <c r="PHN603" s="48"/>
      <c r="PHO603" s="53"/>
      <c r="PHV603" s="15"/>
      <c r="PHW603" s="50"/>
      <c r="PHX603" s="50"/>
      <c r="PHY603" s="46"/>
      <c r="PHZ603" s="47"/>
      <c r="PIA603" s="46"/>
      <c r="PIB603" s="48"/>
      <c r="PIC603" s="53"/>
      <c r="PIJ603" s="15"/>
      <c r="PIK603" s="50"/>
      <c r="PIL603" s="50"/>
      <c r="PIM603" s="46"/>
      <c r="PIN603" s="47"/>
      <c r="PIO603" s="46"/>
      <c r="PIP603" s="48"/>
      <c r="PIQ603" s="53"/>
      <c r="PIX603" s="15"/>
      <c r="PIY603" s="50"/>
      <c r="PIZ603" s="50"/>
      <c r="PJA603" s="46"/>
      <c r="PJB603" s="47"/>
      <c r="PJC603" s="46"/>
      <c r="PJD603" s="48"/>
      <c r="PJE603" s="53"/>
      <c r="PJL603" s="15"/>
      <c r="PJM603" s="50"/>
      <c r="PJN603" s="50"/>
      <c r="PJO603" s="46"/>
      <c r="PJP603" s="47"/>
      <c r="PJQ603" s="46"/>
      <c r="PJR603" s="48"/>
      <c r="PJS603" s="53"/>
      <c r="PJZ603" s="15"/>
      <c r="PKA603" s="50"/>
      <c r="PKB603" s="50"/>
      <c r="PKC603" s="46"/>
      <c r="PKD603" s="47"/>
      <c r="PKE603" s="46"/>
      <c r="PKF603" s="48"/>
      <c r="PKG603" s="53"/>
      <c r="PKN603" s="15"/>
      <c r="PKO603" s="50"/>
      <c r="PKP603" s="50"/>
      <c r="PKQ603" s="46"/>
      <c r="PKR603" s="47"/>
      <c r="PKS603" s="46"/>
      <c r="PKT603" s="48"/>
      <c r="PKU603" s="53"/>
      <c r="PLB603" s="15"/>
      <c r="PLC603" s="50"/>
      <c r="PLD603" s="50"/>
      <c r="PLE603" s="46"/>
      <c r="PLF603" s="47"/>
      <c r="PLG603" s="46"/>
      <c r="PLH603" s="48"/>
      <c r="PLI603" s="53"/>
      <c r="PLP603" s="15"/>
      <c r="PLQ603" s="50"/>
      <c r="PLR603" s="50"/>
      <c r="PLS603" s="46"/>
      <c r="PLT603" s="47"/>
      <c r="PLU603" s="46"/>
      <c r="PLV603" s="48"/>
      <c r="PLW603" s="53"/>
      <c r="PMD603" s="15"/>
      <c r="PME603" s="50"/>
      <c r="PMF603" s="50"/>
      <c r="PMG603" s="46"/>
      <c r="PMH603" s="47"/>
      <c r="PMI603" s="46"/>
      <c r="PMJ603" s="48"/>
      <c r="PMK603" s="53"/>
      <c r="PMR603" s="15"/>
      <c r="PMS603" s="50"/>
      <c r="PMT603" s="50"/>
      <c r="PMU603" s="46"/>
      <c r="PMV603" s="47"/>
      <c r="PMW603" s="46"/>
      <c r="PMX603" s="48"/>
      <c r="PMY603" s="53"/>
      <c r="PNF603" s="15"/>
      <c r="PNG603" s="50"/>
      <c r="PNH603" s="50"/>
      <c r="PNI603" s="46"/>
      <c r="PNJ603" s="47"/>
      <c r="PNK603" s="46"/>
      <c r="PNL603" s="48"/>
      <c r="PNM603" s="53"/>
      <c r="PNT603" s="15"/>
      <c r="PNU603" s="50"/>
      <c r="PNV603" s="50"/>
      <c r="PNW603" s="46"/>
      <c r="PNX603" s="47"/>
      <c r="PNY603" s="46"/>
      <c r="PNZ603" s="48"/>
      <c r="POA603" s="53"/>
      <c r="POH603" s="15"/>
      <c r="POI603" s="50"/>
      <c r="POJ603" s="50"/>
      <c r="POK603" s="46"/>
      <c r="POL603" s="47"/>
      <c r="POM603" s="46"/>
      <c r="PON603" s="48"/>
      <c r="POO603" s="53"/>
      <c r="POV603" s="15"/>
      <c r="POW603" s="50"/>
      <c r="POX603" s="50"/>
      <c r="POY603" s="46"/>
      <c r="POZ603" s="47"/>
      <c r="PPA603" s="46"/>
      <c r="PPB603" s="48"/>
      <c r="PPC603" s="53"/>
      <c r="PPJ603" s="15"/>
      <c r="PPK603" s="50"/>
      <c r="PPL603" s="50"/>
      <c r="PPM603" s="46"/>
      <c r="PPN603" s="47"/>
      <c r="PPO603" s="46"/>
      <c r="PPP603" s="48"/>
      <c r="PPQ603" s="53"/>
      <c r="PPX603" s="15"/>
      <c r="PPY603" s="50"/>
      <c r="PPZ603" s="50"/>
      <c r="PQA603" s="46"/>
      <c r="PQB603" s="47"/>
      <c r="PQC603" s="46"/>
      <c r="PQD603" s="48"/>
      <c r="PQE603" s="53"/>
      <c r="PQL603" s="15"/>
      <c r="PQM603" s="50"/>
      <c r="PQN603" s="50"/>
      <c r="PQO603" s="46"/>
      <c r="PQP603" s="47"/>
      <c r="PQQ603" s="46"/>
      <c r="PQR603" s="48"/>
      <c r="PQS603" s="53"/>
      <c r="PQZ603" s="15"/>
      <c r="PRA603" s="50"/>
      <c r="PRB603" s="50"/>
      <c r="PRC603" s="46"/>
      <c r="PRD603" s="47"/>
      <c r="PRE603" s="46"/>
      <c r="PRF603" s="48"/>
      <c r="PRG603" s="53"/>
      <c r="PRN603" s="15"/>
      <c r="PRO603" s="50"/>
      <c r="PRP603" s="50"/>
      <c r="PRQ603" s="46"/>
      <c r="PRR603" s="47"/>
      <c r="PRS603" s="46"/>
      <c r="PRT603" s="48"/>
      <c r="PRU603" s="53"/>
      <c r="PSB603" s="15"/>
      <c r="PSC603" s="50"/>
      <c r="PSD603" s="50"/>
      <c r="PSE603" s="46"/>
      <c r="PSF603" s="47"/>
      <c r="PSG603" s="46"/>
      <c r="PSH603" s="48"/>
      <c r="PSI603" s="53"/>
      <c r="PSP603" s="15"/>
      <c r="PSQ603" s="50"/>
      <c r="PSR603" s="50"/>
      <c r="PSS603" s="46"/>
      <c r="PST603" s="47"/>
      <c r="PSU603" s="46"/>
      <c r="PSV603" s="48"/>
      <c r="PSW603" s="53"/>
      <c r="PTD603" s="15"/>
      <c r="PTE603" s="50"/>
      <c r="PTF603" s="50"/>
      <c r="PTG603" s="46"/>
      <c r="PTH603" s="47"/>
      <c r="PTI603" s="46"/>
      <c r="PTJ603" s="48"/>
      <c r="PTK603" s="53"/>
      <c r="PTR603" s="15"/>
      <c r="PTS603" s="50"/>
      <c r="PTT603" s="50"/>
      <c r="PTU603" s="46"/>
      <c r="PTV603" s="47"/>
      <c r="PTW603" s="46"/>
      <c r="PTX603" s="48"/>
      <c r="PTY603" s="53"/>
      <c r="PUF603" s="15"/>
      <c r="PUG603" s="50"/>
      <c r="PUH603" s="50"/>
      <c r="PUI603" s="46"/>
      <c r="PUJ603" s="47"/>
      <c r="PUK603" s="46"/>
      <c r="PUL603" s="48"/>
      <c r="PUM603" s="53"/>
      <c r="PUT603" s="15"/>
      <c r="PUU603" s="50"/>
      <c r="PUV603" s="50"/>
      <c r="PUW603" s="46"/>
      <c r="PUX603" s="47"/>
      <c r="PUY603" s="46"/>
      <c r="PUZ603" s="48"/>
      <c r="PVA603" s="53"/>
      <c r="PVH603" s="15"/>
      <c r="PVI603" s="50"/>
      <c r="PVJ603" s="50"/>
      <c r="PVK603" s="46"/>
      <c r="PVL603" s="47"/>
      <c r="PVM603" s="46"/>
      <c r="PVN603" s="48"/>
      <c r="PVO603" s="53"/>
      <c r="PVV603" s="15"/>
      <c r="PVW603" s="50"/>
      <c r="PVX603" s="50"/>
      <c r="PVY603" s="46"/>
      <c r="PVZ603" s="47"/>
      <c r="PWA603" s="46"/>
      <c r="PWB603" s="48"/>
      <c r="PWC603" s="53"/>
      <c r="PWJ603" s="15"/>
      <c r="PWK603" s="50"/>
      <c r="PWL603" s="50"/>
      <c r="PWM603" s="46"/>
      <c r="PWN603" s="47"/>
      <c r="PWO603" s="46"/>
      <c r="PWP603" s="48"/>
      <c r="PWQ603" s="53"/>
      <c r="PWX603" s="15"/>
      <c r="PWY603" s="50"/>
      <c r="PWZ603" s="50"/>
      <c r="PXA603" s="46"/>
      <c r="PXB603" s="47"/>
      <c r="PXC603" s="46"/>
      <c r="PXD603" s="48"/>
      <c r="PXE603" s="53"/>
      <c r="PXL603" s="15"/>
      <c r="PXM603" s="50"/>
      <c r="PXN603" s="50"/>
      <c r="PXO603" s="46"/>
      <c r="PXP603" s="47"/>
      <c r="PXQ603" s="46"/>
      <c r="PXR603" s="48"/>
      <c r="PXS603" s="53"/>
      <c r="PXZ603" s="15"/>
      <c r="PYA603" s="50"/>
      <c r="PYB603" s="50"/>
      <c r="PYC603" s="46"/>
      <c r="PYD603" s="47"/>
      <c r="PYE603" s="46"/>
      <c r="PYF603" s="48"/>
      <c r="PYG603" s="53"/>
      <c r="PYN603" s="15"/>
      <c r="PYO603" s="50"/>
      <c r="PYP603" s="50"/>
      <c r="PYQ603" s="46"/>
      <c r="PYR603" s="47"/>
      <c r="PYS603" s="46"/>
      <c r="PYT603" s="48"/>
      <c r="PYU603" s="53"/>
      <c r="PZB603" s="15"/>
      <c r="PZC603" s="50"/>
      <c r="PZD603" s="50"/>
      <c r="PZE603" s="46"/>
      <c r="PZF603" s="47"/>
      <c r="PZG603" s="46"/>
      <c r="PZH603" s="48"/>
      <c r="PZI603" s="53"/>
      <c r="PZP603" s="15"/>
      <c r="PZQ603" s="50"/>
      <c r="PZR603" s="50"/>
      <c r="PZS603" s="46"/>
      <c r="PZT603" s="47"/>
      <c r="PZU603" s="46"/>
      <c r="PZV603" s="48"/>
      <c r="PZW603" s="53"/>
      <c r="QAD603" s="15"/>
      <c r="QAE603" s="50"/>
      <c r="QAF603" s="50"/>
      <c r="QAG603" s="46"/>
      <c r="QAH603" s="47"/>
      <c r="QAI603" s="46"/>
      <c r="QAJ603" s="48"/>
      <c r="QAK603" s="53"/>
      <c r="QAR603" s="15"/>
      <c r="QAS603" s="50"/>
      <c r="QAT603" s="50"/>
      <c r="QAU603" s="46"/>
      <c r="QAV603" s="47"/>
      <c r="QAW603" s="46"/>
      <c r="QAX603" s="48"/>
      <c r="QAY603" s="53"/>
      <c r="QBF603" s="15"/>
      <c r="QBG603" s="50"/>
      <c r="QBH603" s="50"/>
      <c r="QBI603" s="46"/>
      <c r="QBJ603" s="47"/>
      <c r="QBK603" s="46"/>
      <c r="QBL603" s="48"/>
      <c r="QBM603" s="53"/>
      <c r="QBT603" s="15"/>
      <c r="QBU603" s="50"/>
      <c r="QBV603" s="50"/>
      <c r="QBW603" s="46"/>
      <c r="QBX603" s="47"/>
      <c r="QBY603" s="46"/>
      <c r="QBZ603" s="48"/>
      <c r="QCA603" s="53"/>
      <c r="QCH603" s="15"/>
      <c r="QCI603" s="50"/>
      <c r="QCJ603" s="50"/>
      <c r="QCK603" s="46"/>
      <c r="QCL603" s="47"/>
      <c r="QCM603" s="46"/>
      <c r="QCN603" s="48"/>
      <c r="QCO603" s="53"/>
      <c r="QCV603" s="15"/>
      <c r="QCW603" s="50"/>
      <c r="QCX603" s="50"/>
      <c r="QCY603" s="46"/>
      <c r="QCZ603" s="47"/>
      <c r="QDA603" s="46"/>
      <c r="QDB603" s="48"/>
      <c r="QDC603" s="53"/>
      <c r="QDJ603" s="15"/>
      <c r="QDK603" s="50"/>
      <c r="QDL603" s="50"/>
      <c r="QDM603" s="46"/>
      <c r="QDN603" s="47"/>
      <c r="QDO603" s="46"/>
      <c r="QDP603" s="48"/>
      <c r="QDQ603" s="53"/>
      <c r="QDX603" s="15"/>
      <c r="QDY603" s="50"/>
      <c r="QDZ603" s="50"/>
      <c r="QEA603" s="46"/>
      <c r="QEB603" s="47"/>
      <c r="QEC603" s="46"/>
      <c r="QED603" s="48"/>
      <c r="QEE603" s="53"/>
      <c r="QEL603" s="15"/>
      <c r="QEM603" s="50"/>
      <c r="QEN603" s="50"/>
      <c r="QEO603" s="46"/>
      <c r="QEP603" s="47"/>
      <c r="QEQ603" s="46"/>
      <c r="QER603" s="48"/>
      <c r="QES603" s="53"/>
      <c r="QEZ603" s="15"/>
      <c r="QFA603" s="50"/>
      <c r="QFB603" s="50"/>
      <c r="QFC603" s="46"/>
      <c r="QFD603" s="47"/>
      <c r="QFE603" s="46"/>
      <c r="QFF603" s="48"/>
      <c r="QFG603" s="53"/>
      <c r="QFN603" s="15"/>
      <c r="QFO603" s="50"/>
      <c r="QFP603" s="50"/>
      <c r="QFQ603" s="46"/>
      <c r="QFR603" s="47"/>
      <c r="QFS603" s="46"/>
      <c r="QFT603" s="48"/>
      <c r="QFU603" s="53"/>
      <c r="QGB603" s="15"/>
      <c r="QGC603" s="50"/>
      <c r="QGD603" s="50"/>
      <c r="QGE603" s="46"/>
      <c r="QGF603" s="47"/>
      <c r="QGG603" s="46"/>
      <c r="QGH603" s="48"/>
      <c r="QGI603" s="53"/>
      <c r="QGP603" s="15"/>
      <c r="QGQ603" s="50"/>
      <c r="QGR603" s="50"/>
      <c r="QGS603" s="46"/>
      <c r="QGT603" s="47"/>
      <c r="QGU603" s="46"/>
      <c r="QGV603" s="48"/>
      <c r="QGW603" s="53"/>
      <c r="QHD603" s="15"/>
      <c r="QHE603" s="50"/>
      <c r="QHF603" s="50"/>
      <c r="QHG603" s="46"/>
      <c r="QHH603" s="47"/>
      <c r="QHI603" s="46"/>
      <c r="QHJ603" s="48"/>
      <c r="QHK603" s="53"/>
      <c r="QHR603" s="15"/>
      <c r="QHS603" s="50"/>
      <c r="QHT603" s="50"/>
      <c r="QHU603" s="46"/>
      <c r="QHV603" s="47"/>
      <c r="QHW603" s="46"/>
      <c r="QHX603" s="48"/>
      <c r="QHY603" s="53"/>
      <c r="QIF603" s="15"/>
      <c r="QIG603" s="50"/>
      <c r="QIH603" s="50"/>
      <c r="QII603" s="46"/>
      <c r="QIJ603" s="47"/>
      <c r="QIK603" s="46"/>
      <c r="QIL603" s="48"/>
      <c r="QIM603" s="53"/>
      <c r="QIT603" s="15"/>
      <c r="QIU603" s="50"/>
      <c r="QIV603" s="50"/>
      <c r="QIW603" s="46"/>
      <c r="QIX603" s="47"/>
      <c r="QIY603" s="46"/>
      <c r="QIZ603" s="48"/>
      <c r="QJA603" s="53"/>
      <c r="QJH603" s="15"/>
      <c r="QJI603" s="50"/>
      <c r="QJJ603" s="50"/>
      <c r="QJK603" s="46"/>
      <c r="QJL603" s="47"/>
      <c r="QJM603" s="46"/>
      <c r="QJN603" s="48"/>
      <c r="QJO603" s="53"/>
      <c r="QJV603" s="15"/>
      <c r="QJW603" s="50"/>
      <c r="QJX603" s="50"/>
      <c r="QJY603" s="46"/>
      <c r="QJZ603" s="47"/>
      <c r="QKA603" s="46"/>
      <c r="QKB603" s="48"/>
      <c r="QKC603" s="53"/>
      <c r="QKJ603" s="15"/>
      <c r="QKK603" s="50"/>
      <c r="QKL603" s="50"/>
      <c r="QKM603" s="46"/>
      <c r="QKN603" s="47"/>
      <c r="QKO603" s="46"/>
      <c r="QKP603" s="48"/>
      <c r="QKQ603" s="53"/>
      <c r="QKX603" s="15"/>
      <c r="QKY603" s="50"/>
      <c r="QKZ603" s="50"/>
      <c r="QLA603" s="46"/>
      <c r="QLB603" s="47"/>
      <c r="QLC603" s="46"/>
      <c r="QLD603" s="48"/>
      <c r="QLE603" s="53"/>
      <c r="QLL603" s="15"/>
      <c r="QLM603" s="50"/>
      <c r="QLN603" s="50"/>
      <c r="QLO603" s="46"/>
      <c r="QLP603" s="47"/>
      <c r="QLQ603" s="46"/>
      <c r="QLR603" s="48"/>
      <c r="QLS603" s="53"/>
      <c r="QLZ603" s="15"/>
      <c r="QMA603" s="50"/>
      <c r="QMB603" s="50"/>
      <c r="QMC603" s="46"/>
      <c r="QMD603" s="47"/>
      <c r="QME603" s="46"/>
      <c r="QMF603" s="48"/>
      <c r="QMG603" s="53"/>
      <c r="QMN603" s="15"/>
      <c r="QMO603" s="50"/>
      <c r="QMP603" s="50"/>
      <c r="QMQ603" s="46"/>
      <c r="QMR603" s="47"/>
      <c r="QMS603" s="46"/>
      <c r="QMT603" s="48"/>
      <c r="QMU603" s="53"/>
      <c r="QNB603" s="15"/>
      <c r="QNC603" s="50"/>
      <c r="QND603" s="50"/>
      <c r="QNE603" s="46"/>
      <c r="QNF603" s="47"/>
      <c r="QNG603" s="46"/>
      <c r="QNH603" s="48"/>
      <c r="QNI603" s="53"/>
      <c r="QNP603" s="15"/>
      <c r="QNQ603" s="50"/>
      <c r="QNR603" s="50"/>
      <c r="QNS603" s="46"/>
      <c r="QNT603" s="47"/>
      <c r="QNU603" s="46"/>
      <c r="QNV603" s="48"/>
      <c r="QNW603" s="53"/>
      <c r="QOD603" s="15"/>
      <c r="QOE603" s="50"/>
      <c r="QOF603" s="50"/>
      <c r="QOG603" s="46"/>
      <c r="QOH603" s="47"/>
      <c r="QOI603" s="46"/>
      <c r="QOJ603" s="48"/>
      <c r="QOK603" s="53"/>
      <c r="QOR603" s="15"/>
      <c r="QOS603" s="50"/>
      <c r="QOT603" s="50"/>
      <c r="QOU603" s="46"/>
      <c r="QOV603" s="47"/>
      <c r="QOW603" s="46"/>
      <c r="QOX603" s="48"/>
      <c r="QOY603" s="53"/>
      <c r="QPF603" s="15"/>
      <c r="QPG603" s="50"/>
      <c r="QPH603" s="50"/>
      <c r="QPI603" s="46"/>
      <c r="QPJ603" s="47"/>
      <c r="QPK603" s="46"/>
      <c r="QPL603" s="48"/>
      <c r="QPM603" s="53"/>
      <c r="QPT603" s="15"/>
      <c r="QPU603" s="50"/>
      <c r="QPV603" s="50"/>
      <c r="QPW603" s="46"/>
      <c r="QPX603" s="47"/>
      <c r="QPY603" s="46"/>
      <c r="QPZ603" s="48"/>
      <c r="QQA603" s="53"/>
      <c r="QQH603" s="15"/>
      <c r="QQI603" s="50"/>
      <c r="QQJ603" s="50"/>
      <c r="QQK603" s="46"/>
      <c r="QQL603" s="47"/>
      <c r="QQM603" s="46"/>
      <c r="QQN603" s="48"/>
      <c r="QQO603" s="53"/>
      <c r="QQV603" s="15"/>
      <c r="QQW603" s="50"/>
      <c r="QQX603" s="50"/>
      <c r="QQY603" s="46"/>
      <c r="QQZ603" s="47"/>
      <c r="QRA603" s="46"/>
      <c r="QRB603" s="48"/>
      <c r="QRC603" s="53"/>
      <c r="QRJ603" s="15"/>
      <c r="QRK603" s="50"/>
      <c r="QRL603" s="50"/>
      <c r="QRM603" s="46"/>
      <c r="QRN603" s="47"/>
      <c r="QRO603" s="46"/>
      <c r="QRP603" s="48"/>
      <c r="QRQ603" s="53"/>
      <c r="QRX603" s="15"/>
      <c r="QRY603" s="50"/>
      <c r="QRZ603" s="50"/>
      <c r="QSA603" s="46"/>
      <c r="QSB603" s="47"/>
      <c r="QSC603" s="46"/>
      <c r="QSD603" s="48"/>
      <c r="QSE603" s="53"/>
      <c r="QSL603" s="15"/>
      <c r="QSM603" s="50"/>
      <c r="QSN603" s="50"/>
      <c r="QSO603" s="46"/>
      <c r="QSP603" s="47"/>
      <c r="QSQ603" s="46"/>
      <c r="QSR603" s="48"/>
      <c r="QSS603" s="53"/>
      <c r="QSZ603" s="15"/>
      <c r="QTA603" s="50"/>
      <c r="QTB603" s="50"/>
      <c r="QTC603" s="46"/>
      <c r="QTD603" s="47"/>
      <c r="QTE603" s="46"/>
      <c r="QTF603" s="48"/>
      <c r="QTG603" s="53"/>
      <c r="QTN603" s="15"/>
      <c r="QTO603" s="50"/>
      <c r="QTP603" s="50"/>
      <c r="QTQ603" s="46"/>
      <c r="QTR603" s="47"/>
      <c r="QTS603" s="46"/>
      <c r="QTT603" s="48"/>
      <c r="QTU603" s="53"/>
      <c r="QUB603" s="15"/>
      <c r="QUC603" s="50"/>
      <c r="QUD603" s="50"/>
      <c r="QUE603" s="46"/>
      <c r="QUF603" s="47"/>
      <c r="QUG603" s="46"/>
      <c r="QUH603" s="48"/>
      <c r="QUI603" s="53"/>
      <c r="QUP603" s="15"/>
      <c r="QUQ603" s="50"/>
      <c r="QUR603" s="50"/>
      <c r="QUS603" s="46"/>
      <c r="QUT603" s="47"/>
      <c r="QUU603" s="46"/>
      <c r="QUV603" s="48"/>
      <c r="QUW603" s="53"/>
      <c r="QVD603" s="15"/>
      <c r="QVE603" s="50"/>
      <c r="QVF603" s="50"/>
      <c r="QVG603" s="46"/>
      <c r="QVH603" s="47"/>
      <c r="QVI603" s="46"/>
      <c r="QVJ603" s="48"/>
      <c r="QVK603" s="53"/>
      <c r="QVR603" s="15"/>
      <c r="QVS603" s="50"/>
      <c r="QVT603" s="50"/>
      <c r="QVU603" s="46"/>
      <c r="QVV603" s="47"/>
      <c r="QVW603" s="46"/>
      <c r="QVX603" s="48"/>
      <c r="QVY603" s="53"/>
      <c r="QWF603" s="15"/>
      <c r="QWG603" s="50"/>
      <c r="QWH603" s="50"/>
      <c r="QWI603" s="46"/>
      <c r="QWJ603" s="47"/>
      <c r="QWK603" s="46"/>
      <c r="QWL603" s="48"/>
      <c r="QWM603" s="53"/>
      <c r="QWT603" s="15"/>
      <c r="QWU603" s="50"/>
      <c r="QWV603" s="50"/>
      <c r="QWW603" s="46"/>
      <c r="QWX603" s="47"/>
      <c r="QWY603" s="46"/>
      <c r="QWZ603" s="48"/>
      <c r="QXA603" s="53"/>
      <c r="QXH603" s="15"/>
      <c r="QXI603" s="50"/>
      <c r="QXJ603" s="50"/>
      <c r="QXK603" s="46"/>
      <c r="QXL603" s="47"/>
      <c r="QXM603" s="46"/>
      <c r="QXN603" s="48"/>
      <c r="QXO603" s="53"/>
      <c r="QXV603" s="15"/>
      <c r="QXW603" s="50"/>
      <c r="QXX603" s="50"/>
      <c r="QXY603" s="46"/>
      <c r="QXZ603" s="47"/>
      <c r="QYA603" s="46"/>
      <c r="QYB603" s="48"/>
      <c r="QYC603" s="53"/>
      <c r="QYJ603" s="15"/>
      <c r="QYK603" s="50"/>
      <c r="QYL603" s="50"/>
      <c r="QYM603" s="46"/>
      <c r="QYN603" s="47"/>
      <c r="QYO603" s="46"/>
      <c r="QYP603" s="48"/>
      <c r="QYQ603" s="53"/>
      <c r="QYX603" s="15"/>
      <c r="QYY603" s="50"/>
      <c r="QYZ603" s="50"/>
      <c r="QZA603" s="46"/>
      <c r="QZB603" s="47"/>
      <c r="QZC603" s="46"/>
      <c r="QZD603" s="48"/>
      <c r="QZE603" s="53"/>
      <c r="QZL603" s="15"/>
      <c r="QZM603" s="50"/>
      <c r="QZN603" s="50"/>
      <c r="QZO603" s="46"/>
      <c r="QZP603" s="47"/>
      <c r="QZQ603" s="46"/>
      <c r="QZR603" s="48"/>
      <c r="QZS603" s="53"/>
      <c r="QZZ603" s="15"/>
      <c r="RAA603" s="50"/>
      <c r="RAB603" s="50"/>
      <c r="RAC603" s="46"/>
      <c r="RAD603" s="47"/>
      <c r="RAE603" s="46"/>
      <c r="RAF603" s="48"/>
      <c r="RAG603" s="53"/>
      <c r="RAN603" s="15"/>
      <c r="RAO603" s="50"/>
      <c r="RAP603" s="50"/>
      <c r="RAQ603" s="46"/>
      <c r="RAR603" s="47"/>
      <c r="RAS603" s="46"/>
      <c r="RAT603" s="48"/>
      <c r="RAU603" s="53"/>
      <c r="RBB603" s="15"/>
      <c r="RBC603" s="50"/>
      <c r="RBD603" s="50"/>
      <c r="RBE603" s="46"/>
      <c r="RBF603" s="47"/>
      <c r="RBG603" s="46"/>
      <c r="RBH603" s="48"/>
      <c r="RBI603" s="53"/>
      <c r="RBP603" s="15"/>
      <c r="RBQ603" s="50"/>
      <c r="RBR603" s="50"/>
      <c r="RBS603" s="46"/>
      <c r="RBT603" s="47"/>
      <c r="RBU603" s="46"/>
      <c r="RBV603" s="48"/>
      <c r="RBW603" s="53"/>
      <c r="RCD603" s="15"/>
      <c r="RCE603" s="50"/>
      <c r="RCF603" s="50"/>
      <c r="RCG603" s="46"/>
      <c r="RCH603" s="47"/>
      <c r="RCI603" s="46"/>
      <c r="RCJ603" s="48"/>
      <c r="RCK603" s="53"/>
      <c r="RCR603" s="15"/>
      <c r="RCS603" s="50"/>
      <c r="RCT603" s="50"/>
      <c r="RCU603" s="46"/>
      <c r="RCV603" s="47"/>
      <c r="RCW603" s="46"/>
      <c r="RCX603" s="48"/>
      <c r="RCY603" s="53"/>
      <c r="RDF603" s="15"/>
      <c r="RDG603" s="50"/>
      <c r="RDH603" s="50"/>
      <c r="RDI603" s="46"/>
      <c r="RDJ603" s="47"/>
      <c r="RDK603" s="46"/>
      <c r="RDL603" s="48"/>
      <c r="RDM603" s="53"/>
      <c r="RDT603" s="15"/>
      <c r="RDU603" s="50"/>
      <c r="RDV603" s="50"/>
      <c r="RDW603" s="46"/>
      <c r="RDX603" s="47"/>
      <c r="RDY603" s="46"/>
      <c r="RDZ603" s="48"/>
      <c r="REA603" s="53"/>
      <c r="REH603" s="15"/>
      <c r="REI603" s="50"/>
      <c r="REJ603" s="50"/>
      <c r="REK603" s="46"/>
      <c r="REL603" s="47"/>
      <c r="REM603" s="46"/>
      <c r="REN603" s="48"/>
      <c r="REO603" s="53"/>
      <c r="REV603" s="15"/>
      <c r="REW603" s="50"/>
      <c r="REX603" s="50"/>
      <c r="REY603" s="46"/>
      <c r="REZ603" s="47"/>
      <c r="RFA603" s="46"/>
      <c r="RFB603" s="48"/>
      <c r="RFC603" s="53"/>
      <c r="RFJ603" s="15"/>
      <c r="RFK603" s="50"/>
      <c r="RFL603" s="50"/>
      <c r="RFM603" s="46"/>
      <c r="RFN603" s="47"/>
      <c r="RFO603" s="46"/>
      <c r="RFP603" s="48"/>
      <c r="RFQ603" s="53"/>
      <c r="RFX603" s="15"/>
      <c r="RFY603" s="50"/>
      <c r="RFZ603" s="50"/>
      <c r="RGA603" s="46"/>
      <c r="RGB603" s="47"/>
      <c r="RGC603" s="46"/>
      <c r="RGD603" s="48"/>
      <c r="RGE603" s="53"/>
      <c r="RGL603" s="15"/>
      <c r="RGM603" s="50"/>
      <c r="RGN603" s="50"/>
      <c r="RGO603" s="46"/>
      <c r="RGP603" s="47"/>
      <c r="RGQ603" s="46"/>
      <c r="RGR603" s="48"/>
      <c r="RGS603" s="53"/>
      <c r="RGZ603" s="15"/>
      <c r="RHA603" s="50"/>
      <c r="RHB603" s="50"/>
      <c r="RHC603" s="46"/>
      <c r="RHD603" s="47"/>
      <c r="RHE603" s="46"/>
      <c r="RHF603" s="48"/>
      <c r="RHG603" s="53"/>
      <c r="RHN603" s="15"/>
      <c r="RHO603" s="50"/>
      <c r="RHP603" s="50"/>
      <c r="RHQ603" s="46"/>
      <c r="RHR603" s="47"/>
      <c r="RHS603" s="46"/>
      <c r="RHT603" s="48"/>
      <c r="RHU603" s="53"/>
      <c r="RIB603" s="15"/>
      <c r="RIC603" s="50"/>
      <c r="RID603" s="50"/>
      <c r="RIE603" s="46"/>
      <c r="RIF603" s="47"/>
      <c r="RIG603" s="46"/>
      <c r="RIH603" s="48"/>
      <c r="RII603" s="53"/>
      <c r="RIP603" s="15"/>
      <c r="RIQ603" s="50"/>
      <c r="RIR603" s="50"/>
      <c r="RIS603" s="46"/>
      <c r="RIT603" s="47"/>
      <c r="RIU603" s="46"/>
      <c r="RIV603" s="48"/>
      <c r="RIW603" s="53"/>
      <c r="RJD603" s="15"/>
      <c r="RJE603" s="50"/>
      <c r="RJF603" s="50"/>
      <c r="RJG603" s="46"/>
      <c r="RJH603" s="47"/>
      <c r="RJI603" s="46"/>
      <c r="RJJ603" s="48"/>
      <c r="RJK603" s="53"/>
      <c r="RJR603" s="15"/>
      <c r="RJS603" s="50"/>
      <c r="RJT603" s="50"/>
      <c r="RJU603" s="46"/>
      <c r="RJV603" s="47"/>
      <c r="RJW603" s="46"/>
      <c r="RJX603" s="48"/>
      <c r="RJY603" s="53"/>
      <c r="RKF603" s="15"/>
      <c r="RKG603" s="50"/>
      <c r="RKH603" s="50"/>
      <c r="RKI603" s="46"/>
      <c r="RKJ603" s="47"/>
      <c r="RKK603" s="46"/>
      <c r="RKL603" s="48"/>
      <c r="RKM603" s="53"/>
      <c r="RKT603" s="15"/>
      <c r="RKU603" s="50"/>
      <c r="RKV603" s="50"/>
      <c r="RKW603" s="46"/>
      <c r="RKX603" s="47"/>
      <c r="RKY603" s="46"/>
      <c r="RKZ603" s="48"/>
      <c r="RLA603" s="53"/>
      <c r="RLH603" s="15"/>
      <c r="RLI603" s="50"/>
      <c r="RLJ603" s="50"/>
      <c r="RLK603" s="46"/>
      <c r="RLL603" s="47"/>
      <c r="RLM603" s="46"/>
      <c r="RLN603" s="48"/>
      <c r="RLO603" s="53"/>
      <c r="RLV603" s="15"/>
      <c r="RLW603" s="50"/>
      <c r="RLX603" s="50"/>
      <c r="RLY603" s="46"/>
      <c r="RLZ603" s="47"/>
      <c r="RMA603" s="46"/>
      <c r="RMB603" s="48"/>
      <c r="RMC603" s="53"/>
      <c r="RMJ603" s="15"/>
      <c r="RMK603" s="50"/>
      <c r="RML603" s="50"/>
      <c r="RMM603" s="46"/>
      <c r="RMN603" s="47"/>
      <c r="RMO603" s="46"/>
      <c r="RMP603" s="48"/>
      <c r="RMQ603" s="53"/>
      <c r="RMX603" s="15"/>
      <c r="RMY603" s="50"/>
      <c r="RMZ603" s="50"/>
      <c r="RNA603" s="46"/>
      <c r="RNB603" s="47"/>
      <c r="RNC603" s="46"/>
      <c r="RND603" s="48"/>
      <c r="RNE603" s="53"/>
      <c r="RNL603" s="15"/>
      <c r="RNM603" s="50"/>
      <c r="RNN603" s="50"/>
      <c r="RNO603" s="46"/>
      <c r="RNP603" s="47"/>
      <c r="RNQ603" s="46"/>
      <c r="RNR603" s="48"/>
      <c r="RNS603" s="53"/>
      <c r="RNZ603" s="15"/>
      <c r="ROA603" s="50"/>
      <c r="ROB603" s="50"/>
      <c r="ROC603" s="46"/>
      <c r="ROD603" s="47"/>
      <c r="ROE603" s="46"/>
      <c r="ROF603" s="48"/>
      <c r="ROG603" s="53"/>
      <c r="RON603" s="15"/>
      <c r="ROO603" s="50"/>
      <c r="ROP603" s="50"/>
      <c r="ROQ603" s="46"/>
      <c r="ROR603" s="47"/>
      <c r="ROS603" s="46"/>
      <c r="ROT603" s="48"/>
      <c r="ROU603" s="53"/>
      <c r="RPB603" s="15"/>
      <c r="RPC603" s="50"/>
      <c r="RPD603" s="50"/>
      <c r="RPE603" s="46"/>
      <c r="RPF603" s="47"/>
      <c r="RPG603" s="46"/>
      <c r="RPH603" s="48"/>
      <c r="RPI603" s="53"/>
      <c r="RPP603" s="15"/>
      <c r="RPQ603" s="50"/>
      <c r="RPR603" s="50"/>
      <c r="RPS603" s="46"/>
      <c r="RPT603" s="47"/>
      <c r="RPU603" s="46"/>
      <c r="RPV603" s="48"/>
      <c r="RPW603" s="53"/>
      <c r="RQD603" s="15"/>
      <c r="RQE603" s="50"/>
      <c r="RQF603" s="50"/>
      <c r="RQG603" s="46"/>
      <c r="RQH603" s="47"/>
      <c r="RQI603" s="46"/>
      <c r="RQJ603" s="48"/>
      <c r="RQK603" s="53"/>
      <c r="RQR603" s="15"/>
      <c r="RQS603" s="50"/>
      <c r="RQT603" s="50"/>
      <c r="RQU603" s="46"/>
      <c r="RQV603" s="47"/>
      <c r="RQW603" s="46"/>
      <c r="RQX603" s="48"/>
      <c r="RQY603" s="53"/>
      <c r="RRF603" s="15"/>
      <c r="RRG603" s="50"/>
      <c r="RRH603" s="50"/>
      <c r="RRI603" s="46"/>
      <c r="RRJ603" s="47"/>
      <c r="RRK603" s="46"/>
      <c r="RRL603" s="48"/>
      <c r="RRM603" s="53"/>
      <c r="RRT603" s="15"/>
      <c r="RRU603" s="50"/>
      <c r="RRV603" s="50"/>
      <c r="RRW603" s="46"/>
      <c r="RRX603" s="47"/>
      <c r="RRY603" s="46"/>
      <c r="RRZ603" s="48"/>
      <c r="RSA603" s="53"/>
      <c r="RSH603" s="15"/>
      <c r="RSI603" s="50"/>
      <c r="RSJ603" s="50"/>
      <c r="RSK603" s="46"/>
      <c r="RSL603" s="47"/>
      <c r="RSM603" s="46"/>
      <c r="RSN603" s="48"/>
      <c r="RSO603" s="53"/>
      <c r="RSV603" s="15"/>
      <c r="RSW603" s="50"/>
      <c r="RSX603" s="50"/>
      <c r="RSY603" s="46"/>
      <c r="RSZ603" s="47"/>
      <c r="RTA603" s="46"/>
      <c r="RTB603" s="48"/>
      <c r="RTC603" s="53"/>
      <c r="RTJ603" s="15"/>
      <c r="RTK603" s="50"/>
      <c r="RTL603" s="50"/>
      <c r="RTM603" s="46"/>
      <c r="RTN603" s="47"/>
      <c r="RTO603" s="46"/>
      <c r="RTP603" s="48"/>
      <c r="RTQ603" s="53"/>
      <c r="RTX603" s="15"/>
      <c r="RTY603" s="50"/>
      <c r="RTZ603" s="50"/>
      <c r="RUA603" s="46"/>
      <c r="RUB603" s="47"/>
      <c r="RUC603" s="46"/>
      <c r="RUD603" s="48"/>
      <c r="RUE603" s="53"/>
      <c r="RUL603" s="15"/>
      <c r="RUM603" s="50"/>
      <c r="RUN603" s="50"/>
      <c r="RUO603" s="46"/>
      <c r="RUP603" s="47"/>
      <c r="RUQ603" s="46"/>
      <c r="RUR603" s="48"/>
      <c r="RUS603" s="53"/>
      <c r="RUZ603" s="15"/>
      <c r="RVA603" s="50"/>
      <c r="RVB603" s="50"/>
      <c r="RVC603" s="46"/>
      <c r="RVD603" s="47"/>
      <c r="RVE603" s="46"/>
      <c r="RVF603" s="48"/>
      <c r="RVG603" s="53"/>
      <c r="RVN603" s="15"/>
      <c r="RVO603" s="50"/>
      <c r="RVP603" s="50"/>
      <c r="RVQ603" s="46"/>
      <c r="RVR603" s="47"/>
      <c r="RVS603" s="46"/>
      <c r="RVT603" s="48"/>
      <c r="RVU603" s="53"/>
      <c r="RWB603" s="15"/>
      <c r="RWC603" s="50"/>
      <c r="RWD603" s="50"/>
      <c r="RWE603" s="46"/>
      <c r="RWF603" s="47"/>
      <c r="RWG603" s="46"/>
      <c r="RWH603" s="48"/>
      <c r="RWI603" s="53"/>
      <c r="RWP603" s="15"/>
      <c r="RWQ603" s="50"/>
      <c r="RWR603" s="50"/>
      <c r="RWS603" s="46"/>
      <c r="RWT603" s="47"/>
      <c r="RWU603" s="46"/>
      <c r="RWV603" s="48"/>
      <c r="RWW603" s="53"/>
      <c r="RXD603" s="15"/>
      <c r="RXE603" s="50"/>
      <c r="RXF603" s="50"/>
      <c r="RXG603" s="46"/>
      <c r="RXH603" s="47"/>
      <c r="RXI603" s="46"/>
      <c r="RXJ603" s="48"/>
      <c r="RXK603" s="53"/>
      <c r="RXR603" s="15"/>
      <c r="RXS603" s="50"/>
      <c r="RXT603" s="50"/>
      <c r="RXU603" s="46"/>
      <c r="RXV603" s="47"/>
      <c r="RXW603" s="46"/>
      <c r="RXX603" s="48"/>
      <c r="RXY603" s="53"/>
      <c r="RYF603" s="15"/>
      <c r="RYG603" s="50"/>
      <c r="RYH603" s="50"/>
      <c r="RYI603" s="46"/>
      <c r="RYJ603" s="47"/>
      <c r="RYK603" s="46"/>
      <c r="RYL603" s="48"/>
      <c r="RYM603" s="53"/>
      <c r="RYT603" s="15"/>
      <c r="RYU603" s="50"/>
      <c r="RYV603" s="50"/>
      <c r="RYW603" s="46"/>
      <c r="RYX603" s="47"/>
      <c r="RYY603" s="46"/>
      <c r="RYZ603" s="48"/>
      <c r="RZA603" s="53"/>
      <c r="RZH603" s="15"/>
      <c r="RZI603" s="50"/>
      <c r="RZJ603" s="50"/>
      <c r="RZK603" s="46"/>
      <c r="RZL603" s="47"/>
      <c r="RZM603" s="46"/>
      <c r="RZN603" s="48"/>
      <c r="RZO603" s="53"/>
      <c r="RZV603" s="15"/>
      <c r="RZW603" s="50"/>
      <c r="RZX603" s="50"/>
      <c r="RZY603" s="46"/>
      <c r="RZZ603" s="47"/>
      <c r="SAA603" s="46"/>
      <c r="SAB603" s="48"/>
      <c r="SAC603" s="53"/>
      <c r="SAJ603" s="15"/>
      <c r="SAK603" s="50"/>
      <c r="SAL603" s="50"/>
      <c r="SAM603" s="46"/>
      <c r="SAN603" s="47"/>
      <c r="SAO603" s="46"/>
      <c r="SAP603" s="48"/>
      <c r="SAQ603" s="53"/>
      <c r="SAX603" s="15"/>
      <c r="SAY603" s="50"/>
      <c r="SAZ603" s="50"/>
      <c r="SBA603" s="46"/>
      <c r="SBB603" s="47"/>
      <c r="SBC603" s="46"/>
      <c r="SBD603" s="48"/>
      <c r="SBE603" s="53"/>
      <c r="SBL603" s="15"/>
      <c r="SBM603" s="50"/>
      <c r="SBN603" s="50"/>
      <c r="SBO603" s="46"/>
      <c r="SBP603" s="47"/>
      <c r="SBQ603" s="46"/>
      <c r="SBR603" s="48"/>
      <c r="SBS603" s="53"/>
      <c r="SBZ603" s="15"/>
      <c r="SCA603" s="50"/>
      <c r="SCB603" s="50"/>
      <c r="SCC603" s="46"/>
      <c r="SCD603" s="47"/>
      <c r="SCE603" s="46"/>
      <c r="SCF603" s="48"/>
      <c r="SCG603" s="53"/>
      <c r="SCN603" s="15"/>
      <c r="SCO603" s="50"/>
      <c r="SCP603" s="50"/>
      <c r="SCQ603" s="46"/>
      <c r="SCR603" s="47"/>
      <c r="SCS603" s="46"/>
      <c r="SCT603" s="48"/>
      <c r="SCU603" s="53"/>
      <c r="SDB603" s="15"/>
      <c r="SDC603" s="50"/>
      <c r="SDD603" s="50"/>
      <c r="SDE603" s="46"/>
      <c r="SDF603" s="47"/>
      <c r="SDG603" s="46"/>
      <c r="SDH603" s="48"/>
      <c r="SDI603" s="53"/>
      <c r="SDP603" s="15"/>
      <c r="SDQ603" s="50"/>
      <c r="SDR603" s="50"/>
      <c r="SDS603" s="46"/>
      <c r="SDT603" s="47"/>
      <c r="SDU603" s="46"/>
      <c r="SDV603" s="48"/>
      <c r="SDW603" s="53"/>
      <c r="SED603" s="15"/>
      <c r="SEE603" s="50"/>
      <c r="SEF603" s="50"/>
      <c r="SEG603" s="46"/>
      <c r="SEH603" s="47"/>
      <c r="SEI603" s="46"/>
      <c r="SEJ603" s="48"/>
      <c r="SEK603" s="53"/>
      <c r="SER603" s="15"/>
      <c r="SES603" s="50"/>
      <c r="SET603" s="50"/>
      <c r="SEU603" s="46"/>
      <c r="SEV603" s="47"/>
      <c r="SEW603" s="46"/>
      <c r="SEX603" s="48"/>
      <c r="SEY603" s="53"/>
      <c r="SFF603" s="15"/>
      <c r="SFG603" s="50"/>
      <c r="SFH603" s="50"/>
      <c r="SFI603" s="46"/>
      <c r="SFJ603" s="47"/>
      <c r="SFK603" s="46"/>
      <c r="SFL603" s="48"/>
      <c r="SFM603" s="53"/>
      <c r="SFT603" s="15"/>
      <c r="SFU603" s="50"/>
      <c r="SFV603" s="50"/>
      <c r="SFW603" s="46"/>
      <c r="SFX603" s="47"/>
      <c r="SFY603" s="46"/>
      <c r="SFZ603" s="48"/>
      <c r="SGA603" s="53"/>
      <c r="SGH603" s="15"/>
      <c r="SGI603" s="50"/>
      <c r="SGJ603" s="50"/>
      <c r="SGK603" s="46"/>
      <c r="SGL603" s="47"/>
      <c r="SGM603" s="46"/>
      <c r="SGN603" s="48"/>
      <c r="SGO603" s="53"/>
      <c r="SGV603" s="15"/>
      <c r="SGW603" s="50"/>
      <c r="SGX603" s="50"/>
      <c r="SGY603" s="46"/>
      <c r="SGZ603" s="47"/>
      <c r="SHA603" s="46"/>
      <c r="SHB603" s="48"/>
      <c r="SHC603" s="53"/>
      <c r="SHJ603" s="15"/>
      <c r="SHK603" s="50"/>
      <c r="SHL603" s="50"/>
      <c r="SHM603" s="46"/>
      <c r="SHN603" s="47"/>
      <c r="SHO603" s="46"/>
      <c r="SHP603" s="48"/>
      <c r="SHQ603" s="53"/>
      <c r="SHX603" s="15"/>
      <c r="SHY603" s="50"/>
      <c r="SHZ603" s="50"/>
      <c r="SIA603" s="46"/>
      <c r="SIB603" s="47"/>
      <c r="SIC603" s="46"/>
      <c r="SID603" s="48"/>
      <c r="SIE603" s="53"/>
      <c r="SIL603" s="15"/>
      <c r="SIM603" s="50"/>
      <c r="SIN603" s="50"/>
      <c r="SIO603" s="46"/>
      <c r="SIP603" s="47"/>
      <c r="SIQ603" s="46"/>
      <c r="SIR603" s="48"/>
      <c r="SIS603" s="53"/>
      <c r="SIZ603" s="15"/>
      <c r="SJA603" s="50"/>
      <c r="SJB603" s="50"/>
      <c r="SJC603" s="46"/>
      <c r="SJD603" s="47"/>
      <c r="SJE603" s="46"/>
      <c r="SJF603" s="48"/>
      <c r="SJG603" s="53"/>
      <c r="SJN603" s="15"/>
      <c r="SJO603" s="50"/>
      <c r="SJP603" s="50"/>
      <c r="SJQ603" s="46"/>
      <c r="SJR603" s="47"/>
      <c r="SJS603" s="46"/>
      <c r="SJT603" s="48"/>
      <c r="SJU603" s="53"/>
      <c r="SKB603" s="15"/>
      <c r="SKC603" s="50"/>
      <c r="SKD603" s="50"/>
      <c r="SKE603" s="46"/>
      <c r="SKF603" s="47"/>
      <c r="SKG603" s="46"/>
      <c r="SKH603" s="48"/>
      <c r="SKI603" s="53"/>
      <c r="SKP603" s="15"/>
      <c r="SKQ603" s="50"/>
      <c r="SKR603" s="50"/>
      <c r="SKS603" s="46"/>
      <c r="SKT603" s="47"/>
      <c r="SKU603" s="46"/>
      <c r="SKV603" s="48"/>
      <c r="SKW603" s="53"/>
      <c r="SLD603" s="15"/>
      <c r="SLE603" s="50"/>
      <c r="SLF603" s="50"/>
      <c r="SLG603" s="46"/>
      <c r="SLH603" s="47"/>
      <c r="SLI603" s="46"/>
      <c r="SLJ603" s="48"/>
      <c r="SLK603" s="53"/>
      <c r="SLR603" s="15"/>
      <c r="SLS603" s="50"/>
      <c r="SLT603" s="50"/>
      <c r="SLU603" s="46"/>
      <c r="SLV603" s="47"/>
      <c r="SLW603" s="46"/>
      <c r="SLX603" s="48"/>
      <c r="SLY603" s="53"/>
      <c r="SMF603" s="15"/>
      <c r="SMG603" s="50"/>
      <c r="SMH603" s="50"/>
      <c r="SMI603" s="46"/>
      <c r="SMJ603" s="47"/>
      <c r="SMK603" s="46"/>
      <c r="SML603" s="48"/>
      <c r="SMM603" s="53"/>
      <c r="SMT603" s="15"/>
      <c r="SMU603" s="50"/>
      <c r="SMV603" s="50"/>
      <c r="SMW603" s="46"/>
      <c r="SMX603" s="47"/>
      <c r="SMY603" s="46"/>
      <c r="SMZ603" s="48"/>
      <c r="SNA603" s="53"/>
      <c r="SNH603" s="15"/>
      <c r="SNI603" s="50"/>
      <c r="SNJ603" s="50"/>
      <c r="SNK603" s="46"/>
      <c r="SNL603" s="47"/>
      <c r="SNM603" s="46"/>
      <c r="SNN603" s="48"/>
      <c r="SNO603" s="53"/>
      <c r="SNV603" s="15"/>
      <c r="SNW603" s="50"/>
      <c r="SNX603" s="50"/>
      <c r="SNY603" s="46"/>
      <c r="SNZ603" s="47"/>
      <c r="SOA603" s="46"/>
      <c r="SOB603" s="48"/>
      <c r="SOC603" s="53"/>
      <c r="SOJ603" s="15"/>
      <c r="SOK603" s="50"/>
      <c r="SOL603" s="50"/>
      <c r="SOM603" s="46"/>
      <c r="SON603" s="47"/>
      <c r="SOO603" s="46"/>
      <c r="SOP603" s="48"/>
      <c r="SOQ603" s="53"/>
      <c r="SOX603" s="15"/>
      <c r="SOY603" s="50"/>
      <c r="SOZ603" s="50"/>
      <c r="SPA603" s="46"/>
      <c r="SPB603" s="47"/>
      <c r="SPC603" s="46"/>
      <c r="SPD603" s="48"/>
      <c r="SPE603" s="53"/>
      <c r="SPL603" s="15"/>
      <c r="SPM603" s="50"/>
      <c r="SPN603" s="50"/>
      <c r="SPO603" s="46"/>
      <c r="SPP603" s="47"/>
      <c r="SPQ603" s="46"/>
      <c r="SPR603" s="48"/>
      <c r="SPS603" s="53"/>
      <c r="SPZ603" s="15"/>
      <c r="SQA603" s="50"/>
      <c r="SQB603" s="50"/>
      <c r="SQC603" s="46"/>
      <c r="SQD603" s="47"/>
      <c r="SQE603" s="46"/>
      <c r="SQF603" s="48"/>
      <c r="SQG603" s="53"/>
      <c r="SQN603" s="15"/>
      <c r="SQO603" s="50"/>
      <c r="SQP603" s="50"/>
      <c r="SQQ603" s="46"/>
      <c r="SQR603" s="47"/>
      <c r="SQS603" s="46"/>
      <c r="SQT603" s="48"/>
      <c r="SQU603" s="53"/>
      <c r="SRB603" s="15"/>
      <c r="SRC603" s="50"/>
      <c r="SRD603" s="50"/>
      <c r="SRE603" s="46"/>
      <c r="SRF603" s="47"/>
      <c r="SRG603" s="46"/>
      <c r="SRH603" s="48"/>
      <c r="SRI603" s="53"/>
      <c r="SRP603" s="15"/>
      <c r="SRQ603" s="50"/>
      <c r="SRR603" s="50"/>
      <c r="SRS603" s="46"/>
      <c r="SRT603" s="47"/>
      <c r="SRU603" s="46"/>
      <c r="SRV603" s="48"/>
      <c r="SRW603" s="53"/>
      <c r="SSD603" s="15"/>
      <c r="SSE603" s="50"/>
      <c r="SSF603" s="50"/>
      <c r="SSG603" s="46"/>
      <c r="SSH603" s="47"/>
      <c r="SSI603" s="46"/>
      <c r="SSJ603" s="48"/>
      <c r="SSK603" s="53"/>
      <c r="SSR603" s="15"/>
      <c r="SSS603" s="50"/>
      <c r="SST603" s="50"/>
      <c r="SSU603" s="46"/>
      <c r="SSV603" s="47"/>
      <c r="SSW603" s="46"/>
      <c r="SSX603" s="48"/>
      <c r="SSY603" s="53"/>
      <c r="STF603" s="15"/>
      <c r="STG603" s="50"/>
      <c r="STH603" s="50"/>
      <c r="STI603" s="46"/>
      <c r="STJ603" s="47"/>
      <c r="STK603" s="46"/>
      <c r="STL603" s="48"/>
      <c r="STM603" s="53"/>
      <c r="STT603" s="15"/>
      <c r="STU603" s="50"/>
      <c r="STV603" s="50"/>
      <c r="STW603" s="46"/>
      <c r="STX603" s="47"/>
      <c r="STY603" s="46"/>
      <c r="STZ603" s="48"/>
      <c r="SUA603" s="53"/>
      <c r="SUH603" s="15"/>
      <c r="SUI603" s="50"/>
      <c r="SUJ603" s="50"/>
      <c r="SUK603" s="46"/>
      <c r="SUL603" s="47"/>
      <c r="SUM603" s="46"/>
      <c r="SUN603" s="48"/>
      <c r="SUO603" s="53"/>
      <c r="SUV603" s="15"/>
      <c r="SUW603" s="50"/>
      <c r="SUX603" s="50"/>
      <c r="SUY603" s="46"/>
      <c r="SUZ603" s="47"/>
      <c r="SVA603" s="46"/>
      <c r="SVB603" s="48"/>
      <c r="SVC603" s="53"/>
      <c r="SVJ603" s="15"/>
      <c r="SVK603" s="50"/>
      <c r="SVL603" s="50"/>
      <c r="SVM603" s="46"/>
      <c r="SVN603" s="47"/>
      <c r="SVO603" s="46"/>
      <c r="SVP603" s="48"/>
      <c r="SVQ603" s="53"/>
      <c r="SVX603" s="15"/>
      <c r="SVY603" s="50"/>
      <c r="SVZ603" s="50"/>
      <c r="SWA603" s="46"/>
      <c r="SWB603" s="47"/>
      <c r="SWC603" s="46"/>
      <c r="SWD603" s="48"/>
      <c r="SWE603" s="53"/>
      <c r="SWL603" s="15"/>
      <c r="SWM603" s="50"/>
      <c r="SWN603" s="50"/>
      <c r="SWO603" s="46"/>
      <c r="SWP603" s="47"/>
      <c r="SWQ603" s="46"/>
      <c r="SWR603" s="48"/>
      <c r="SWS603" s="53"/>
      <c r="SWZ603" s="15"/>
      <c r="SXA603" s="50"/>
      <c r="SXB603" s="50"/>
      <c r="SXC603" s="46"/>
      <c r="SXD603" s="47"/>
      <c r="SXE603" s="46"/>
      <c r="SXF603" s="48"/>
      <c r="SXG603" s="53"/>
      <c r="SXN603" s="15"/>
      <c r="SXO603" s="50"/>
      <c r="SXP603" s="50"/>
      <c r="SXQ603" s="46"/>
      <c r="SXR603" s="47"/>
      <c r="SXS603" s="46"/>
      <c r="SXT603" s="48"/>
      <c r="SXU603" s="53"/>
      <c r="SYB603" s="15"/>
      <c r="SYC603" s="50"/>
      <c r="SYD603" s="50"/>
      <c r="SYE603" s="46"/>
      <c r="SYF603" s="47"/>
      <c r="SYG603" s="46"/>
      <c r="SYH603" s="48"/>
      <c r="SYI603" s="53"/>
      <c r="SYP603" s="15"/>
      <c r="SYQ603" s="50"/>
      <c r="SYR603" s="50"/>
      <c r="SYS603" s="46"/>
      <c r="SYT603" s="47"/>
      <c r="SYU603" s="46"/>
      <c r="SYV603" s="48"/>
      <c r="SYW603" s="53"/>
      <c r="SZD603" s="15"/>
      <c r="SZE603" s="50"/>
      <c r="SZF603" s="50"/>
      <c r="SZG603" s="46"/>
      <c r="SZH603" s="47"/>
      <c r="SZI603" s="46"/>
      <c r="SZJ603" s="48"/>
      <c r="SZK603" s="53"/>
      <c r="SZR603" s="15"/>
      <c r="SZS603" s="50"/>
      <c r="SZT603" s="50"/>
      <c r="SZU603" s="46"/>
      <c r="SZV603" s="47"/>
      <c r="SZW603" s="46"/>
      <c r="SZX603" s="48"/>
      <c r="SZY603" s="53"/>
      <c r="TAF603" s="15"/>
      <c r="TAG603" s="50"/>
      <c r="TAH603" s="50"/>
      <c r="TAI603" s="46"/>
      <c r="TAJ603" s="47"/>
      <c r="TAK603" s="46"/>
      <c r="TAL603" s="48"/>
      <c r="TAM603" s="53"/>
      <c r="TAT603" s="15"/>
      <c r="TAU603" s="50"/>
      <c r="TAV603" s="50"/>
      <c r="TAW603" s="46"/>
      <c r="TAX603" s="47"/>
      <c r="TAY603" s="46"/>
      <c r="TAZ603" s="48"/>
      <c r="TBA603" s="53"/>
      <c r="TBH603" s="15"/>
      <c r="TBI603" s="50"/>
      <c r="TBJ603" s="50"/>
      <c r="TBK603" s="46"/>
      <c r="TBL603" s="47"/>
      <c r="TBM603" s="46"/>
      <c r="TBN603" s="48"/>
      <c r="TBO603" s="53"/>
      <c r="TBV603" s="15"/>
      <c r="TBW603" s="50"/>
      <c r="TBX603" s="50"/>
      <c r="TBY603" s="46"/>
      <c r="TBZ603" s="47"/>
      <c r="TCA603" s="46"/>
      <c r="TCB603" s="48"/>
      <c r="TCC603" s="53"/>
      <c r="TCJ603" s="15"/>
      <c r="TCK603" s="50"/>
      <c r="TCL603" s="50"/>
      <c r="TCM603" s="46"/>
      <c r="TCN603" s="47"/>
      <c r="TCO603" s="46"/>
      <c r="TCP603" s="48"/>
      <c r="TCQ603" s="53"/>
      <c r="TCX603" s="15"/>
      <c r="TCY603" s="50"/>
      <c r="TCZ603" s="50"/>
      <c r="TDA603" s="46"/>
      <c r="TDB603" s="47"/>
      <c r="TDC603" s="46"/>
      <c r="TDD603" s="48"/>
      <c r="TDE603" s="53"/>
      <c r="TDL603" s="15"/>
      <c r="TDM603" s="50"/>
      <c r="TDN603" s="50"/>
      <c r="TDO603" s="46"/>
      <c r="TDP603" s="47"/>
      <c r="TDQ603" s="46"/>
      <c r="TDR603" s="48"/>
      <c r="TDS603" s="53"/>
      <c r="TDZ603" s="15"/>
      <c r="TEA603" s="50"/>
      <c r="TEB603" s="50"/>
      <c r="TEC603" s="46"/>
      <c r="TED603" s="47"/>
      <c r="TEE603" s="46"/>
      <c r="TEF603" s="48"/>
      <c r="TEG603" s="53"/>
      <c r="TEN603" s="15"/>
      <c r="TEO603" s="50"/>
      <c r="TEP603" s="50"/>
      <c r="TEQ603" s="46"/>
      <c r="TER603" s="47"/>
      <c r="TES603" s="46"/>
      <c r="TET603" s="48"/>
      <c r="TEU603" s="53"/>
      <c r="TFB603" s="15"/>
      <c r="TFC603" s="50"/>
      <c r="TFD603" s="50"/>
      <c r="TFE603" s="46"/>
      <c r="TFF603" s="47"/>
      <c r="TFG603" s="46"/>
      <c r="TFH603" s="48"/>
      <c r="TFI603" s="53"/>
      <c r="TFP603" s="15"/>
      <c r="TFQ603" s="50"/>
      <c r="TFR603" s="50"/>
      <c r="TFS603" s="46"/>
      <c r="TFT603" s="47"/>
      <c r="TFU603" s="46"/>
      <c r="TFV603" s="48"/>
      <c r="TFW603" s="53"/>
      <c r="TGD603" s="15"/>
      <c r="TGE603" s="50"/>
      <c r="TGF603" s="50"/>
      <c r="TGG603" s="46"/>
      <c r="TGH603" s="47"/>
      <c r="TGI603" s="46"/>
      <c r="TGJ603" s="48"/>
      <c r="TGK603" s="53"/>
      <c r="TGR603" s="15"/>
      <c r="TGS603" s="50"/>
      <c r="TGT603" s="50"/>
      <c r="TGU603" s="46"/>
      <c r="TGV603" s="47"/>
      <c r="TGW603" s="46"/>
      <c r="TGX603" s="48"/>
      <c r="TGY603" s="53"/>
      <c r="THF603" s="15"/>
      <c r="THG603" s="50"/>
      <c r="THH603" s="50"/>
      <c r="THI603" s="46"/>
      <c r="THJ603" s="47"/>
      <c r="THK603" s="46"/>
      <c r="THL603" s="48"/>
      <c r="THM603" s="53"/>
      <c r="THT603" s="15"/>
      <c r="THU603" s="50"/>
      <c r="THV603" s="50"/>
      <c r="THW603" s="46"/>
      <c r="THX603" s="47"/>
      <c r="THY603" s="46"/>
      <c r="THZ603" s="48"/>
      <c r="TIA603" s="53"/>
      <c r="TIH603" s="15"/>
      <c r="TII603" s="50"/>
      <c r="TIJ603" s="50"/>
      <c r="TIK603" s="46"/>
      <c r="TIL603" s="47"/>
      <c r="TIM603" s="46"/>
      <c r="TIN603" s="48"/>
      <c r="TIO603" s="53"/>
      <c r="TIV603" s="15"/>
      <c r="TIW603" s="50"/>
      <c r="TIX603" s="50"/>
      <c r="TIY603" s="46"/>
      <c r="TIZ603" s="47"/>
      <c r="TJA603" s="46"/>
      <c r="TJB603" s="48"/>
      <c r="TJC603" s="53"/>
      <c r="TJJ603" s="15"/>
      <c r="TJK603" s="50"/>
      <c r="TJL603" s="50"/>
      <c r="TJM603" s="46"/>
      <c r="TJN603" s="47"/>
      <c r="TJO603" s="46"/>
      <c r="TJP603" s="48"/>
      <c r="TJQ603" s="53"/>
      <c r="TJX603" s="15"/>
      <c r="TJY603" s="50"/>
      <c r="TJZ603" s="50"/>
      <c r="TKA603" s="46"/>
      <c r="TKB603" s="47"/>
      <c r="TKC603" s="46"/>
      <c r="TKD603" s="48"/>
      <c r="TKE603" s="53"/>
      <c r="TKL603" s="15"/>
      <c r="TKM603" s="50"/>
      <c r="TKN603" s="50"/>
      <c r="TKO603" s="46"/>
      <c r="TKP603" s="47"/>
      <c r="TKQ603" s="46"/>
      <c r="TKR603" s="48"/>
      <c r="TKS603" s="53"/>
      <c r="TKZ603" s="15"/>
      <c r="TLA603" s="50"/>
      <c r="TLB603" s="50"/>
      <c r="TLC603" s="46"/>
      <c r="TLD603" s="47"/>
      <c r="TLE603" s="46"/>
      <c r="TLF603" s="48"/>
      <c r="TLG603" s="53"/>
      <c r="TLN603" s="15"/>
      <c r="TLO603" s="50"/>
      <c r="TLP603" s="50"/>
      <c r="TLQ603" s="46"/>
      <c r="TLR603" s="47"/>
      <c r="TLS603" s="46"/>
      <c r="TLT603" s="48"/>
      <c r="TLU603" s="53"/>
      <c r="TMB603" s="15"/>
      <c r="TMC603" s="50"/>
      <c r="TMD603" s="50"/>
      <c r="TME603" s="46"/>
      <c r="TMF603" s="47"/>
      <c r="TMG603" s="46"/>
      <c r="TMH603" s="48"/>
      <c r="TMI603" s="53"/>
      <c r="TMP603" s="15"/>
      <c r="TMQ603" s="50"/>
      <c r="TMR603" s="50"/>
      <c r="TMS603" s="46"/>
      <c r="TMT603" s="47"/>
      <c r="TMU603" s="46"/>
      <c r="TMV603" s="48"/>
      <c r="TMW603" s="53"/>
      <c r="TND603" s="15"/>
      <c r="TNE603" s="50"/>
      <c r="TNF603" s="50"/>
      <c r="TNG603" s="46"/>
      <c r="TNH603" s="47"/>
      <c r="TNI603" s="46"/>
      <c r="TNJ603" s="48"/>
      <c r="TNK603" s="53"/>
      <c r="TNR603" s="15"/>
      <c r="TNS603" s="50"/>
      <c r="TNT603" s="50"/>
      <c r="TNU603" s="46"/>
      <c r="TNV603" s="47"/>
      <c r="TNW603" s="46"/>
      <c r="TNX603" s="48"/>
      <c r="TNY603" s="53"/>
      <c r="TOF603" s="15"/>
      <c r="TOG603" s="50"/>
      <c r="TOH603" s="50"/>
      <c r="TOI603" s="46"/>
      <c r="TOJ603" s="47"/>
      <c r="TOK603" s="46"/>
      <c r="TOL603" s="48"/>
      <c r="TOM603" s="53"/>
      <c r="TOT603" s="15"/>
      <c r="TOU603" s="50"/>
      <c r="TOV603" s="50"/>
      <c r="TOW603" s="46"/>
      <c r="TOX603" s="47"/>
      <c r="TOY603" s="46"/>
      <c r="TOZ603" s="48"/>
      <c r="TPA603" s="53"/>
      <c r="TPH603" s="15"/>
      <c r="TPI603" s="50"/>
      <c r="TPJ603" s="50"/>
      <c r="TPK603" s="46"/>
      <c r="TPL603" s="47"/>
      <c r="TPM603" s="46"/>
      <c r="TPN603" s="48"/>
      <c r="TPO603" s="53"/>
      <c r="TPV603" s="15"/>
      <c r="TPW603" s="50"/>
      <c r="TPX603" s="50"/>
      <c r="TPY603" s="46"/>
      <c r="TPZ603" s="47"/>
      <c r="TQA603" s="46"/>
      <c r="TQB603" s="48"/>
      <c r="TQC603" s="53"/>
      <c r="TQJ603" s="15"/>
      <c r="TQK603" s="50"/>
      <c r="TQL603" s="50"/>
      <c r="TQM603" s="46"/>
      <c r="TQN603" s="47"/>
      <c r="TQO603" s="46"/>
      <c r="TQP603" s="48"/>
      <c r="TQQ603" s="53"/>
      <c r="TQX603" s="15"/>
      <c r="TQY603" s="50"/>
      <c r="TQZ603" s="50"/>
      <c r="TRA603" s="46"/>
      <c r="TRB603" s="47"/>
      <c r="TRC603" s="46"/>
      <c r="TRD603" s="48"/>
      <c r="TRE603" s="53"/>
      <c r="TRL603" s="15"/>
      <c r="TRM603" s="50"/>
      <c r="TRN603" s="50"/>
      <c r="TRO603" s="46"/>
      <c r="TRP603" s="47"/>
      <c r="TRQ603" s="46"/>
      <c r="TRR603" s="48"/>
      <c r="TRS603" s="53"/>
      <c r="TRZ603" s="15"/>
      <c r="TSA603" s="50"/>
      <c r="TSB603" s="50"/>
      <c r="TSC603" s="46"/>
      <c r="TSD603" s="47"/>
      <c r="TSE603" s="46"/>
      <c r="TSF603" s="48"/>
      <c r="TSG603" s="53"/>
      <c r="TSN603" s="15"/>
      <c r="TSO603" s="50"/>
      <c r="TSP603" s="50"/>
      <c r="TSQ603" s="46"/>
      <c r="TSR603" s="47"/>
      <c r="TSS603" s="46"/>
      <c r="TST603" s="48"/>
      <c r="TSU603" s="53"/>
      <c r="TTB603" s="15"/>
      <c r="TTC603" s="50"/>
      <c r="TTD603" s="50"/>
      <c r="TTE603" s="46"/>
      <c r="TTF603" s="47"/>
      <c r="TTG603" s="46"/>
      <c r="TTH603" s="48"/>
      <c r="TTI603" s="53"/>
      <c r="TTP603" s="15"/>
      <c r="TTQ603" s="50"/>
      <c r="TTR603" s="50"/>
      <c r="TTS603" s="46"/>
      <c r="TTT603" s="47"/>
      <c r="TTU603" s="46"/>
      <c r="TTV603" s="48"/>
      <c r="TTW603" s="53"/>
      <c r="TUD603" s="15"/>
      <c r="TUE603" s="50"/>
      <c r="TUF603" s="50"/>
      <c r="TUG603" s="46"/>
      <c r="TUH603" s="47"/>
      <c r="TUI603" s="46"/>
      <c r="TUJ603" s="48"/>
      <c r="TUK603" s="53"/>
      <c r="TUR603" s="15"/>
      <c r="TUS603" s="50"/>
      <c r="TUT603" s="50"/>
      <c r="TUU603" s="46"/>
      <c r="TUV603" s="47"/>
      <c r="TUW603" s="46"/>
      <c r="TUX603" s="48"/>
      <c r="TUY603" s="53"/>
      <c r="TVF603" s="15"/>
      <c r="TVG603" s="50"/>
      <c r="TVH603" s="50"/>
      <c r="TVI603" s="46"/>
      <c r="TVJ603" s="47"/>
      <c r="TVK603" s="46"/>
      <c r="TVL603" s="48"/>
      <c r="TVM603" s="53"/>
      <c r="TVT603" s="15"/>
      <c r="TVU603" s="50"/>
      <c r="TVV603" s="50"/>
      <c r="TVW603" s="46"/>
      <c r="TVX603" s="47"/>
      <c r="TVY603" s="46"/>
      <c r="TVZ603" s="48"/>
      <c r="TWA603" s="53"/>
      <c r="TWH603" s="15"/>
      <c r="TWI603" s="50"/>
      <c r="TWJ603" s="50"/>
      <c r="TWK603" s="46"/>
      <c r="TWL603" s="47"/>
      <c r="TWM603" s="46"/>
      <c r="TWN603" s="48"/>
      <c r="TWO603" s="53"/>
      <c r="TWV603" s="15"/>
      <c r="TWW603" s="50"/>
      <c r="TWX603" s="50"/>
      <c r="TWY603" s="46"/>
      <c r="TWZ603" s="47"/>
      <c r="TXA603" s="46"/>
      <c r="TXB603" s="48"/>
      <c r="TXC603" s="53"/>
      <c r="TXJ603" s="15"/>
      <c r="TXK603" s="50"/>
      <c r="TXL603" s="50"/>
      <c r="TXM603" s="46"/>
      <c r="TXN603" s="47"/>
      <c r="TXO603" s="46"/>
      <c r="TXP603" s="48"/>
      <c r="TXQ603" s="53"/>
      <c r="TXX603" s="15"/>
      <c r="TXY603" s="50"/>
      <c r="TXZ603" s="50"/>
      <c r="TYA603" s="46"/>
      <c r="TYB603" s="47"/>
      <c r="TYC603" s="46"/>
      <c r="TYD603" s="48"/>
      <c r="TYE603" s="53"/>
      <c r="TYL603" s="15"/>
      <c r="TYM603" s="50"/>
      <c r="TYN603" s="50"/>
      <c r="TYO603" s="46"/>
      <c r="TYP603" s="47"/>
      <c r="TYQ603" s="46"/>
      <c r="TYR603" s="48"/>
      <c r="TYS603" s="53"/>
      <c r="TYZ603" s="15"/>
      <c r="TZA603" s="50"/>
      <c r="TZB603" s="50"/>
      <c r="TZC603" s="46"/>
      <c r="TZD603" s="47"/>
      <c r="TZE603" s="46"/>
      <c r="TZF603" s="48"/>
      <c r="TZG603" s="53"/>
      <c r="TZN603" s="15"/>
      <c r="TZO603" s="50"/>
      <c r="TZP603" s="50"/>
      <c r="TZQ603" s="46"/>
      <c r="TZR603" s="47"/>
      <c r="TZS603" s="46"/>
      <c r="TZT603" s="48"/>
      <c r="TZU603" s="53"/>
      <c r="UAB603" s="15"/>
      <c r="UAC603" s="50"/>
      <c r="UAD603" s="50"/>
      <c r="UAE603" s="46"/>
      <c r="UAF603" s="47"/>
      <c r="UAG603" s="46"/>
      <c r="UAH603" s="48"/>
      <c r="UAI603" s="53"/>
      <c r="UAP603" s="15"/>
      <c r="UAQ603" s="50"/>
      <c r="UAR603" s="50"/>
      <c r="UAS603" s="46"/>
      <c r="UAT603" s="47"/>
      <c r="UAU603" s="46"/>
      <c r="UAV603" s="48"/>
      <c r="UAW603" s="53"/>
      <c r="UBD603" s="15"/>
      <c r="UBE603" s="50"/>
      <c r="UBF603" s="50"/>
      <c r="UBG603" s="46"/>
      <c r="UBH603" s="47"/>
      <c r="UBI603" s="46"/>
      <c r="UBJ603" s="48"/>
      <c r="UBK603" s="53"/>
      <c r="UBR603" s="15"/>
      <c r="UBS603" s="50"/>
      <c r="UBT603" s="50"/>
      <c r="UBU603" s="46"/>
      <c r="UBV603" s="47"/>
      <c r="UBW603" s="46"/>
      <c r="UBX603" s="48"/>
      <c r="UBY603" s="53"/>
      <c r="UCF603" s="15"/>
      <c r="UCG603" s="50"/>
      <c r="UCH603" s="50"/>
      <c r="UCI603" s="46"/>
      <c r="UCJ603" s="47"/>
      <c r="UCK603" s="46"/>
      <c r="UCL603" s="48"/>
      <c r="UCM603" s="53"/>
      <c r="UCT603" s="15"/>
      <c r="UCU603" s="50"/>
      <c r="UCV603" s="50"/>
      <c r="UCW603" s="46"/>
      <c r="UCX603" s="47"/>
      <c r="UCY603" s="46"/>
      <c r="UCZ603" s="48"/>
      <c r="UDA603" s="53"/>
      <c r="UDH603" s="15"/>
      <c r="UDI603" s="50"/>
      <c r="UDJ603" s="50"/>
      <c r="UDK603" s="46"/>
      <c r="UDL603" s="47"/>
      <c r="UDM603" s="46"/>
      <c r="UDN603" s="48"/>
      <c r="UDO603" s="53"/>
      <c r="UDV603" s="15"/>
      <c r="UDW603" s="50"/>
      <c r="UDX603" s="50"/>
      <c r="UDY603" s="46"/>
      <c r="UDZ603" s="47"/>
      <c r="UEA603" s="46"/>
      <c r="UEB603" s="48"/>
      <c r="UEC603" s="53"/>
      <c r="UEJ603" s="15"/>
      <c r="UEK603" s="50"/>
      <c r="UEL603" s="50"/>
      <c r="UEM603" s="46"/>
      <c r="UEN603" s="47"/>
      <c r="UEO603" s="46"/>
      <c r="UEP603" s="48"/>
      <c r="UEQ603" s="53"/>
      <c r="UEX603" s="15"/>
      <c r="UEY603" s="50"/>
      <c r="UEZ603" s="50"/>
      <c r="UFA603" s="46"/>
      <c r="UFB603" s="47"/>
      <c r="UFC603" s="46"/>
      <c r="UFD603" s="48"/>
      <c r="UFE603" s="53"/>
      <c r="UFL603" s="15"/>
      <c r="UFM603" s="50"/>
      <c r="UFN603" s="50"/>
      <c r="UFO603" s="46"/>
      <c r="UFP603" s="47"/>
      <c r="UFQ603" s="46"/>
      <c r="UFR603" s="48"/>
      <c r="UFS603" s="53"/>
      <c r="UFZ603" s="15"/>
      <c r="UGA603" s="50"/>
      <c r="UGB603" s="50"/>
      <c r="UGC603" s="46"/>
      <c r="UGD603" s="47"/>
      <c r="UGE603" s="46"/>
      <c r="UGF603" s="48"/>
      <c r="UGG603" s="53"/>
      <c r="UGN603" s="15"/>
      <c r="UGO603" s="50"/>
      <c r="UGP603" s="50"/>
      <c r="UGQ603" s="46"/>
      <c r="UGR603" s="47"/>
      <c r="UGS603" s="46"/>
      <c r="UGT603" s="48"/>
      <c r="UGU603" s="53"/>
      <c r="UHB603" s="15"/>
      <c r="UHC603" s="50"/>
      <c r="UHD603" s="50"/>
      <c r="UHE603" s="46"/>
      <c r="UHF603" s="47"/>
      <c r="UHG603" s="46"/>
      <c r="UHH603" s="48"/>
      <c r="UHI603" s="53"/>
      <c r="UHP603" s="15"/>
      <c r="UHQ603" s="50"/>
      <c r="UHR603" s="50"/>
      <c r="UHS603" s="46"/>
      <c r="UHT603" s="47"/>
      <c r="UHU603" s="46"/>
      <c r="UHV603" s="48"/>
      <c r="UHW603" s="53"/>
      <c r="UID603" s="15"/>
      <c r="UIE603" s="50"/>
      <c r="UIF603" s="50"/>
      <c r="UIG603" s="46"/>
      <c r="UIH603" s="47"/>
      <c r="UII603" s="46"/>
      <c r="UIJ603" s="48"/>
      <c r="UIK603" s="53"/>
      <c r="UIR603" s="15"/>
      <c r="UIS603" s="50"/>
      <c r="UIT603" s="50"/>
      <c r="UIU603" s="46"/>
      <c r="UIV603" s="47"/>
      <c r="UIW603" s="46"/>
      <c r="UIX603" s="48"/>
      <c r="UIY603" s="53"/>
      <c r="UJF603" s="15"/>
      <c r="UJG603" s="50"/>
      <c r="UJH603" s="50"/>
      <c r="UJI603" s="46"/>
      <c r="UJJ603" s="47"/>
      <c r="UJK603" s="46"/>
      <c r="UJL603" s="48"/>
      <c r="UJM603" s="53"/>
      <c r="UJT603" s="15"/>
      <c r="UJU603" s="50"/>
      <c r="UJV603" s="50"/>
      <c r="UJW603" s="46"/>
      <c r="UJX603" s="47"/>
      <c r="UJY603" s="46"/>
      <c r="UJZ603" s="48"/>
      <c r="UKA603" s="53"/>
      <c r="UKH603" s="15"/>
      <c r="UKI603" s="50"/>
      <c r="UKJ603" s="50"/>
      <c r="UKK603" s="46"/>
      <c r="UKL603" s="47"/>
      <c r="UKM603" s="46"/>
      <c r="UKN603" s="48"/>
      <c r="UKO603" s="53"/>
      <c r="UKV603" s="15"/>
      <c r="UKW603" s="50"/>
      <c r="UKX603" s="50"/>
      <c r="UKY603" s="46"/>
      <c r="UKZ603" s="47"/>
      <c r="ULA603" s="46"/>
      <c r="ULB603" s="48"/>
      <c r="ULC603" s="53"/>
      <c r="ULJ603" s="15"/>
      <c r="ULK603" s="50"/>
      <c r="ULL603" s="50"/>
      <c r="ULM603" s="46"/>
      <c r="ULN603" s="47"/>
      <c r="ULO603" s="46"/>
      <c r="ULP603" s="48"/>
      <c r="ULQ603" s="53"/>
      <c r="ULX603" s="15"/>
      <c r="ULY603" s="50"/>
      <c r="ULZ603" s="50"/>
      <c r="UMA603" s="46"/>
      <c r="UMB603" s="47"/>
      <c r="UMC603" s="46"/>
      <c r="UMD603" s="48"/>
      <c r="UME603" s="53"/>
      <c r="UML603" s="15"/>
      <c r="UMM603" s="50"/>
      <c r="UMN603" s="50"/>
      <c r="UMO603" s="46"/>
      <c r="UMP603" s="47"/>
      <c r="UMQ603" s="46"/>
      <c r="UMR603" s="48"/>
      <c r="UMS603" s="53"/>
      <c r="UMZ603" s="15"/>
      <c r="UNA603" s="50"/>
      <c r="UNB603" s="50"/>
      <c r="UNC603" s="46"/>
      <c r="UND603" s="47"/>
      <c r="UNE603" s="46"/>
      <c r="UNF603" s="48"/>
      <c r="UNG603" s="53"/>
      <c r="UNN603" s="15"/>
      <c r="UNO603" s="50"/>
      <c r="UNP603" s="50"/>
      <c r="UNQ603" s="46"/>
      <c r="UNR603" s="47"/>
      <c r="UNS603" s="46"/>
      <c r="UNT603" s="48"/>
      <c r="UNU603" s="53"/>
      <c r="UOB603" s="15"/>
      <c r="UOC603" s="50"/>
      <c r="UOD603" s="50"/>
      <c r="UOE603" s="46"/>
      <c r="UOF603" s="47"/>
      <c r="UOG603" s="46"/>
      <c r="UOH603" s="48"/>
      <c r="UOI603" s="53"/>
      <c r="UOP603" s="15"/>
      <c r="UOQ603" s="50"/>
      <c r="UOR603" s="50"/>
      <c r="UOS603" s="46"/>
      <c r="UOT603" s="47"/>
      <c r="UOU603" s="46"/>
      <c r="UOV603" s="48"/>
      <c r="UOW603" s="53"/>
      <c r="UPD603" s="15"/>
      <c r="UPE603" s="50"/>
      <c r="UPF603" s="50"/>
      <c r="UPG603" s="46"/>
      <c r="UPH603" s="47"/>
      <c r="UPI603" s="46"/>
      <c r="UPJ603" s="48"/>
      <c r="UPK603" s="53"/>
      <c r="UPR603" s="15"/>
      <c r="UPS603" s="50"/>
      <c r="UPT603" s="50"/>
      <c r="UPU603" s="46"/>
      <c r="UPV603" s="47"/>
      <c r="UPW603" s="46"/>
      <c r="UPX603" s="48"/>
      <c r="UPY603" s="53"/>
      <c r="UQF603" s="15"/>
      <c r="UQG603" s="50"/>
      <c r="UQH603" s="50"/>
      <c r="UQI603" s="46"/>
      <c r="UQJ603" s="47"/>
      <c r="UQK603" s="46"/>
      <c r="UQL603" s="48"/>
      <c r="UQM603" s="53"/>
      <c r="UQT603" s="15"/>
      <c r="UQU603" s="50"/>
      <c r="UQV603" s="50"/>
      <c r="UQW603" s="46"/>
      <c r="UQX603" s="47"/>
      <c r="UQY603" s="46"/>
      <c r="UQZ603" s="48"/>
      <c r="URA603" s="53"/>
      <c r="URH603" s="15"/>
      <c r="URI603" s="50"/>
      <c r="URJ603" s="50"/>
      <c r="URK603" s="46"/>
      <c r="URL603" s="47"/>
      <c r="URM603" s="46"/>
      <c r="URN603" s="48"/>
      <c r="URO603" s="53"/>
      <c r="URV603" s="15"/>
      <c r="URW603" s="50"/>
      <c r="URX603" s="50"/>
      <c r="URY603" s="46"/>
      <c r="URZ603" s="47"/>
      <c r="USA603" s="46"/>
      <c r="USB603" s="48"/>
      <c r="USC603" s="53"/>
      <c r="USJ603" s="15"/>
      <c r="USK603" s="50"/>
      <c r="USL603" s="50"/>
      <c r="USM603" s="46"/>
      <c r="USN603" s="47"/>
      <c r="USO603" s="46"/>
      <c r="USP603" s="48"/>
      <c r="USQ603" s="53"/>
      <c r="USX603" s="15"/>
      <c r="USY603" s="50"/>
      <c r="USZ603" s="50"/>
      <c r="UTA603" s="46"/>
      <c r="UTB603" s="47"/>
      <c r="UTC603" s="46"/>
      <c r="UTD603" s="48"/>
      <c r="UTE603" s="53"/>
      <c r="UTL603" s="15"/>
      <c r="UTM603" s="50"/>
      <c r="UTN603" s="50"/>
      <c r="UTO603" s="46"/>
      <c r="UTP603" s="47"/>
      <c r="UTQ603" s="46"/>
      <c r="UTR603" s="48"/>
      <c r="UTS603" s="53"/>
      <c r="UTZ603" s="15"/>
      <c r="UUA603" s="50"/>
      <c r="UUB603" s="50"/>
      <c r="UUC603" s="46"/>
      <c r="UUD603" s="47"/>
      <c r="UUE603" s="46"/>
      <c r="UUF603" s="48"/>
      <c r="UUG603" s="53"/>
      <c r="UUN603" s="15"/>
      <c r="UUO603" s="50"/>
      <c r="UUP603" s="50"/>
      <c r="UUQ603" s="46"/>
      <c r="UUR603" s="47"/>
      <c r="UUS603" s="46"/>
      <c r="UUT603" s="48"/>
      <c r="UUU603" s="53"/>
      <c r="UVB603" s="15"/>
      <c r="UVC603" s="50"/>
      <c r="UVD603" s="50"/>
      <c r="UVE603" s="46"/>
      <c r="UVF603" s="47"/>
      <c r="UVG603" s="46"/>
      <c r="UVH603" s="48"/>
      <c r="UVI603" s="53"/>
      <c r="UVP603" s="15"/>
      <c r="UVQ603" s="50"/>
      <c r="UVR603" s="50"/>
      <c r="UVS603" s="46"/>
      <c r="UVT603" s="47"/>
      <c r="UVU603" s="46"/>
      <c r="UVV603" s="48"/>
      <c r="UVW603" s="53"/>
      <c r="UWD603" s="15"/>
      <c r="UWE603" s="50"/>
      <c r="UWF603" s="50"/>
      <c r="UWG603" s="46"/>
      <c r="UWH603" s="47"/>
      <c r="UWI603" s="46"/>
      <c r="UWJ603" s="48"/>
      <c r="UWK603" s="53"/>
      <c r="UWR603" s="15"/>
      <c r="UWS603" s="50"/>
      <c r="UWT603" s="50"/>
      <c r="UWU603" s="46"/>
      <c r="UWV603" s="47"/>
      <c r="UWW603" s="46"/>
      <c r="UWX603" s="48"/>
      <c r="UWY603" s="53"/>
      <c r="UXF603" s="15"/>
      <c r="UXG603" s="50"/>
      <c r="UXH603" s="50"/>
      <c r="UXI603" s="46"/>
      <c r="UXJ603" s="47"/>
      <c r="UXK603" s="46"/>
      <c r="UXL603" s="48"/>
      <c r="UXM603" s="53"/>
      <c r="UXT603" s="15"/>
      <c r="UXU603" s="50"/>
      <c r="UXV603" s="50"/>
      <c r="UXW603" s="46"/>
      <c r="UXX603" s="47"/>
      <c r="UXY603" s="46"/>
      <c r="UXZ603" s="48"/>
      <c r="UYA603" s="53"/>
      <c r="UYH603" s="15"/>
      <c r="UYI603" s="50"/>
      <c r="UYJ603" s="50"/>
      <c r="UYK603" s="46"/>
      <c r="UYL603" s="47"/>
      <c r="UYM603" s="46"/>
      <c r="UYN603" s="48"/>
      <c r="UYO603" s="53"/>
      <c r="UYV603" s="15"/>
      <c r="UYW603" s="50"/>
      <c r="UYX603" s="50"/>
      <c r="UYY603" s="46"/>
      <c r="UYZ603" s="47"/>
      <c r="UZA603" s="46"/>
      <c r="UZB603" s="48"/>
      <c r="UZC603" s="53"/>
      <c r="UZJ603" s="15"/>
      <c r="UZK603" s="50"/>
      <c r="UZL603" s="50"/>
      <c r="UZM603" s="46"/>
      <c r="UZN603" s="47"/>
      <c r="UZO603" s="46"/>
      <c r="UZP603" s="48"/>
      <c r="UZQ603" s="53"/>
      <c r="UZX603" s="15"/>
      <c r="UZY603" s="50"/>
      <c r="UZZ603" s="50"/>
      <c r="VAA603" s="46"/>
      <c r="VAB603" s="47"/>
      <c r="VAC603" s="46"/>
      <c r="VAD603" s="48"/>
      <c r="VAE603" s="53"/>
      <c r="VAL603" s="15"/>
      <c r="VAM603" s="50"/>
      <c r="VAN603" s="50"/>
      <c r="VAO603" s="46"/>
      <c r="VAP603" s="47"/>
      <c r="VAQ603" s="46"/>
      <c r="VAR603" s="48"/>
      <c r="VAS603" s="53"/>
      <c r="VAZ603" s="15"/>
      <c r="VBA603" s="50"/>
      <c r="VBB603" s="50"/>
      <c r="VBC603" s="46"/>
      <c r="VBD603" s="47"/>
      <c r="VBE603" s="46"/>
      <c r="VBF603" s="48"/>
      <c r="VBG603" s="53"/>
      <c r="VBN603" s="15"/>
      <c r="VBO603" s="50"/>
      <c r="VBP603" s="50"/>
      <c r="VBQ603" s="46"/>
      <c r="VBR603" s="47"/>
      <c r="VBS603" s="46"/>
      <c r="VBT603" s="48"/>
      <c r="VBU603" s="53"/>
      <c r="VCB603" s="15"/>
      <c r="VCC603" s="50"/>
      <c r="VCD603" s="50"/>
      <c r="VCE603" s="46"/>
      <c r="VCF603" s="47"/>
      <c r="VCG603" s="46"/>
      <c r="VCH603" s="48"/>
      <c r="VCI603" s="53"/>
      <c r="VCP603" s="15"/>
      <c r="VCQ603" s="50"/>
      <c r="VCR603" s="50"/>
      <c r="VCS603" s="46"/>
      <c r="VCT603" s="47"/>
      <c r="VCU603" s="46"/>
      <c r="VCV603" s="48"/>
      <c r="VCW603" s="53"/>
      <c r="VDD603" s="15"/>
      <c r="VDE603" s="50"/>
      <c r="VDF603" s="50"/>
      <c r="VDG603" s="46"/>
      <c r="VDH603" s="47"/>
      <c r="VDI603" s="46"/>
      <c r="VDJ603" s="48"/>
      <c r="VDK603" s="53"/>
      <c r="VDR603" s="15"/>
      <c r="VDS603" s="50"/>
      <c r="VDT603" s="50"/>
      <c r="VDU603" s="46"/>
      <c r="VDV603" s="47"/>
      <c r="VDW603" s="46"/>
      <c r="VDX603" s="48"/>
      <c r="VDY603" s="53"/>
      <c r="VEF603" s="15"/>
      <c r="VEG603" s="50"/>
      <c r="VEH603" s="50"/>
      <c r="VEI603" s="46"/>
      <c r="VEJ603" s="47"/>
      <c r="VEK603" s="46"/>
      <c r="VEL603" s="48"/>
      <c r="VEM603" s="53"/>
      <c r="VET603" s="15"/>
      <c r="VEU603" s="50"/>
      <c r="VEV603" s="50"/>
      <c r="VEW603" s="46"/>
      <c r="VEX603" s="47"/>
      <c r="VEY603" s="46"/>
      <c r="VEZ603" s="48"/>
      <c r="VFA603" s="53"/>
      <c r="VFH603" s="15"/>
      <c r="VFI603" s="50"/>
      <c r="VFJ603" s="50"/>
      <c r="VFK603" s="46"/>
      <c r="VFL603" s="47"/>
      <c r="VFM603" s="46"/>
      <c r="VFN603" s="48"/>
      <c r="VFO603" s="53"/>
      <c r="VFV603" s="15"/>
      <c r="VFW603" s="50"/>
      <c r="VFX603" s="50"/>
      <c r="VFY603" s="46"/>
      <c r="VFZ603" s="47"/>
      <c r="VGA603" s="46"/>
      <c r="VGB603" s="48"/>
      <c r="VGC603" s="53"/>
      <c r="VGJ603" s="15"/>
      <c r="VGK603" s="50"/>
      <c r="VGL603" s="50"/>
      <c r="VGM603" s="46"/>
      <c r="VGN603" s="47"/>
      <c r="VGO603" s="46"/>
      <c r="VGP603" s="48"/>
      <c r="VGQ603" s="53"/>
      <c r="VGX603" s="15"/>
      <c r="VGY603" s="50"/>
      <c r="VGZ603" s="50"/>
      <c r="VHA603" s="46"/>
      <c r="VHB603" s="47"/>
      <c r="VHC603" s="46"/>
      <c r="VHD603" s="48"/>
      <c r="VHE603" s="53"/>
      <c r="VHL603" s="15"/>
      <c r="VHM603" s="50"/>
      <c r="VHN603" s="50"/>
      <c r="VHO603" s="46"/>
      <c r="VHP603" s="47"/>
      <c r="VHQ603" s="46"/>
      <c r="VHR603" s="48"/>
      <c r="VHS603" s="53"/>
      <c r="VHZ603" s="15"/>
      <c r="VIA603" s="50"/>
      <c r="VIB603" s="50"/>
      <c r="VIC603" s="46"/>
      <c r="VID603" s="47"/>
      <c r="VIE603" s="46"/>
      <c r="VIF603" s="48"/>
      <c r="VIG603" s="53"/>
      <c r="VIN603" s="15"/>
      <c r="VIO603" s="50"/>
      <c r="VIP603" s="50"/>
      <c r="VIQ603" s="46"/>
      <c r="VIR603" s="47"/>
      <c r="VIS603" s="46"/>
      <c r="VIT603" s="48"/>
      <c r="VIU603" s="53"/>
      <c r="VJB603" s="15"/>
      <c r="VJC603" s="50"/>
      <c r="VJD603" s="50"/>
      <c r="VJE603" s="46"/>
      <c r="VJF603" s="47"/>
      <c r="VJG603" s="46"/>
      <c r="VJH603" s="48"/>
      <c r="VJI603" s="53"/>
      <c r="VJP603" s="15"/>
      <c r="VJQ603" s="50"/>
      <c r="VJR603" s="50"/>
      <c r="VJS603" s="46"/>
      <c r="VJT603" s="47"/>
      <c r="VJU603" s="46"/>
      <c r="VJV603" s="48"/>
      <c r="VJW603" s="53"/>
      <c r="VKD603" s="15"/>
      <c r="VKE603" s="50"/>
      <c r="VKF603" s="50"/>
      <c r="VKG603" s="46"/>
      <c r="VKH603" s="47"/>
      <c r="VKI603" s="46"/>
      <c r="VKJ603" s="48"/>
      <c r="VKK603" s="53"/>
      <c r="VKR603" s="15"/>
      <c r="VKS603" s="50"/>
      <c r="VKT603" s="50"/>
      <c r="VKU603" s="46"/>
      <c r="VKV603" s="47"/>
      <c r="VKW603" s="46"/>
      <c r="VKX603" s="48"/>
      <c r="VKY603" s="53"/>
      <c r="VLF603" s="15"/>
      <c r="VLG603" s="50"/>
      <c r="VLH603" s="50"/>
      <c r="VLI603" s="46"/>
      <c r="VLJ603" s="47"/>
      <c r="VLK603" s="46"/>
      <c r="VLL603" s="48"/>
      <c r="VLM603" s="53"/>
      <c r="VLT603" s="15"/>
      <c r="VLU603" s="50"/>
      <c r="VLV603" s="50"/>
      <c r="VLW603" s="46"/>
      <c r="VLX603" s="47"/>
      <c r="VLY603" s="46"/>
      <c r="VLZ603" s="48"/>
      <c r="VMA603" s="53"/>
      <c r="VMH603" s="15"/>
      <c r="VMI603" s="50"/>
      <c r="VMJ603" s="50"/>
      <c r="VMK603" s="46"/>
      <c r="VML603" s="47"/>
      <c r="VMM603" s="46"/>
      <c r="VMN603" s="48"/>
      <c r="VMO603" s="53"/>
      <c r="VMV603" s="15"/>
      <c r="VMW603" s="50"/>
      <c r="VMX603" s="50"/>
      <c r="VMY603" s="46"/>
      <c r="VMZ603" s="47"/>
      <c r="VNA603" s="46"/>
      <c r="VNB603" s="48"/>
      <c r="VNC603" s="53"/>
      <c r="VNJ603" s="15"/>
      <c r="VNK603" s="50"/>
      <c r="VNL603" s="50"/>
      <c r="VNM603" s="46"/>
      <c r="VNN603" s="47"/>
      <c r="VNO603" s="46"/>
      <c r="VNP603" s="48"/>
      <c r="VNQ603" s="53"/>
      <c r="VNX603" s="15"/>
      <c r="VNY603" s="50"/>
      <c r="VNZ603" s="50"/>
      <c r="VOA603" s="46"/>
      <c r="VOB603" s="47"/>
      <c r="VOC603" s="46"/>
      <c r="VOD603" s="48"/>
      <c r="VOE603" s="53"/>
      <c r="VOL603" s="15"/>
      <c r="VOM603" s="50"/>
      <c r="VON603" s="50"/>
      <c r="VOO603" s="46"/>
      <c r="VOP603" s="47"/>
      <c r="VOQ603" s="46"/>
      <c r="VOR603" s="48"/>
      <c r="VOS603" s="53"/>
      <c r="VOZ603" s="15"/>
      <c r="VPA603" s="50"/>
      <c r="VPB603" s="50"/>
      <c r="VPC603" s="46"/>
      <c r="VPD603" s="47"/>
      <c r="VPE603" s="46"/>
      <c r="VPF603" s="48"/>
      <c r="VPG603" s="53"/>
      <c r="VPN603" s="15"/>
      <c r="VPO603" s="50"/>
      <c r="VPP603" s="50"/>
      <c r="VPQ603" s="46"/>
      <c r="VPR603" s="47"/>
      <c r="VPS603" s="46"/>
      <c r="VPT603" s="48"/>
      <c r="VPU603" s="53"/>
      <c r="VQB603" s="15"/>
      <c r="VQC603" s="50"/>
      <c r="VQD603" s="50"/>
      <c r="VQE603" s="46"/>
      <c r="VQF603" s="47"/>
      <c r="VQG603" s="46"/>
      <c r="VQH603" s="48"/>
      <c r="VQI603" s="53"/>
      <c r="VQP603" s="15"/>
      <c r="VQQ603" s="50"/>
      <c r="VQR603" s="50"/>
      <c r="VQS603" s="46"/>
      <c r="VQT603" s="47"/>
      <c r="VQU603" s="46"/>
      <c r="VQV603" s="48"/>
      <c r="VQW603" s="53"/>
      <c r="VRD603" s="15"/>
      <c r="VRE603" s="50"/>
      <c r="VRF603" s="50"/>
      <c r="VRG603" s="46"/>
      <c r="VRH603" s="47"/>
      <c r="VRI603" s="46"/>
      <c r="VRJ603" s="48"/>
      <c r="VRK603" s="53"/>
      <c r="VRR603" s="15"/>
      <c r="VRS603" s="50"/>
      <c r="VRT603" s="50"/>
      <c r="VRU603" s="46"/>
      <c r="VRV603" s="47"/>
      <c r="VRW603" s="46"/>
      <c r="VRX603" s="48"/>
      <c r="VRY603" s="53"/>
      <c r="VSF603" s="15"/>
      <c r="VSG603" s="50"/>
      <c r="VSH603" s="50"/>
      <c r="VSI603" s="46"/>
      <c r="VSJ603" s="47"/>
      <c r="VSK603" s="46"/>
      <c r="VSL603" s="48"/>
      <c r="VSM603" s="53"/>
      <c r="VST603" s="15"/>
      <c r="VSU603" s="50"/>
      <c r="VSV603" s="50"/>
      <c r="VSW603" s="46"/>
      <c r="VSX603" s="47"/>
      <c r="VSY603" s="46"/>
      <c r="VSZ603" s="48"/>
      <c r="VTA603" s="53"/>
      <c r="VTH603" s="15"/>
      <c r="VTI603" s="50"/>
      <c r="VTJ603" s="50"/>
      <c r="VTK603" s="46"/>
      <c r="VTL603" s="47"/>
      <c r="VTM603" s="46"/>
      <c r="VTN603" s="48"/>
      <c r="VTO603" s="53"/>
      <c r="VTV603" s="15"/>
      <c r="VTW603" s="50"/>
      <c r="VTX603" s="50"/>
      <c r="VTY603" s="46"/>
      <c r="VTZ603" s="47"/>
      <c r="VUA603" s="46"/>
      <c r="VUB603" s="48"/>
      <c r="VUC603" s="53"/>
      <c r="VUJ603" s="15"/>
      <c r="VUK603" s="50"/>
      <c r="VUL603" s="50"/>
      <c r="VUM603" s="46"/>
      <c r="VUN603" s="47"/>
      <c r="VUO603" s="46"/>
      <c r="VUP603" s="48"/>
      <c r="VUQ603" s="53"/>
      <c r="VUX603" s="15"/>
      <c r="VUY603" s="50"/>
      <c r="VUZ603" s="50"/>
      <c r="VVA603" s="46"/>
      <c r="VVB603" s="47"/>
      <c r="VVC603" s="46"/>
      <c r="VVD603" s="48"/>
      <c r="VVE603" s="53"/>
      <c r="VVL603" s="15"/>
      <c r="VVM603" s="50"/>
      <c r="VVN603" s="50"/>
      <c r="VVO603" s="46"/>
      <c r="VVP603" s="47"/>
      <c r="VVQ603" s="46"/>
      <c r="VVR603" s="48"/>
      <c r="VVS603" s="53"/>
      <c r="VVZ603" s="15"/>
      <c r="VWA603" s="50"/>
      <c r="VWB603" s="50"/>
      <c r="VWC603" s="46"/>
      <c r="VWD603" s="47"/>
      <c r="VWE603" s="46"/>
      <c r="VWF603" s="48"/>
      <c r="VWG603" s="53"/>
      <c r="VWN603" s="15"/>
      <c r="VWO603" s="50"/>
      <c r="VWP603" s="50"/>
      <c r="VWQ603" s="46"/>
      <c r="VWR603" s="47"/>
      <c r="VWS603" s="46"/>
      <c r="VWT603" s="48"/>
      <c r="VWU603" s="53"/>
      <c r="VXB603" s="15"/>
      <c r="VXC603" s="50"/>
      <c r="VXD603" s="50"/>
      <c r="VXE603" s="46"/>
      <c r="VXF603" s="47"/>
      <c r="VXG603" s="46"/>
      <c r="VXH603" s="48"/>
      <c r="VXI603" s="53"/>
      <c r="VXP603" s="15"/>
      <c r="VXQ603" s="50"/>
      <c r="VXR603" s="50"/>
      <c r="VXS603" s="46"/>
      <c r="VXT603" s="47"/>
      <c r="VXU603" s="46"/>
      <c r="VXV603" s="48"/>
      <c r="VXW603" s="53"/>
      <c r="VYD603" s="15"/>
      <c r="VYE603" s="50"/>
      <c r="VYF603" s="50"/>
      <c r="VYG603" s="46"/>
      <c r="VYH603" s="47"/>
      <c r="VYI603" s="46"/>
      <c r="VYJ603" s="48"/>
      <c r="VYK603" s="53"/>
      <c r="VYR603" s="15"/>
      <c r="VYS603" s="50"/>
      <c r="VYT603" s="50"/>
      <c r="VYU603" s="46"/>
      <c r="VYV603" s="47"/>
      <c r="VYW603" s="46"/>
      <c r="VYX603" s="48"/>
      <c r="VYY603" s="53"/>
      <c r="VZF603" s="15"/>
      <c r="VZG603" s="50"/>
      <c r="VZH603" s="50"/>
      <c r="VZI603" s="46"/>
      <c r="VZJ603" s="47"/>
      <c r="VZK603" s="46"/>
      <c r="VZL603" s="48"/>
      <c r="VZM603" s="53"/>
      <c r="VZT603" s="15"/>
      <c r="VZU603" s="50"/>
      <c r="VZV603" s="50"/>
      <c r="VZW603" s="46"/>
      <c r="VZX603" s="47"/>
      <c r="VZY603" s="46"/>
      <c r="VZZ603" s="48"/>
      <c r="WAA603" s="53"/>
      <c r="WAH603" s="15"/>
      <c r="WAI603" s="50"/>
      <c r="WAJ603" s="50"/>
      <c r="WAK603" s="46"/>
      <c r="WAL603" s="47"/>
      <c r="WAM603" s="46"/>
      <c r="WAN603" s="48"/>
      <c r="WAO603" s="53"/>
      <c r="WAV603" s="15"/>
      <c r="WAW603" s="50"/>
      <c r="WAX603" s="50"/>
      <c r="WAY603" s="46"/>
      <c r="WAZ603" s="47"/>
      <c r="WBA603" s="46"/>
      <c r="WBB603" s="48"/>
      <c r="WBC603" s="53"/>
      <c r="WBJ603" s="15"/>
      <c r="WBK603" s="50"/>
      <c r="WBL603" s="50"/>
      <c r="WBM603" s="46"/>
      <c r="WBN603" s="47"/>
      <c r="WBO603" s="46"/>
      <c r="WBP603" s="48"/>
      <c r="WBQ603" s="53"/>
      <c r="WBX603" s="15"/>
      <c r="WBY603" s="50"/>
      <c r="WBZ603" s="50"/>
      <c r="WCA603" s="46"/>
      <c r="WCB603" s="47"/>
      <c r="WCC603" s="46"/>
      <c r="WCD603" s="48"/>
      <c r="WCE603" s="53"/>
      <c r="WCL603" s="15"/>
      <c r="WCM603" s="50"/>
      <c r="WCN603" s="50"/>
      <c r="WCO603" s="46"/>
      <c r="WCP603" s="47"/>
      <c r="WCQ603" s="46"/>
      <c r="WCR603" s="48"/>
      <c r="WCS603" s="53"/>
      <c r="WCZ603" s="15"/>
      <c r="WDA603" s="50"/>
      <c r="WDB603" s="50"/>
      <c r="WDC603" s="46"/>
      <c r="WDD603" s="47"/>
      <c r="WDE603" s="46"/>
      <c r="WDF603" s="48"/>
      <c r="WDG603" s="53"/>
      <c r="WDN603" s="15"/>
      <c r="WDO603" s="50"/>
      <c r="WDP603" s="50"/>
      <c r="WDQ603" s="46"/>
      <c r="WDR603" s="47"/>
      <c r="WDS603" s="46"/>
      <c r="WDT603" s="48"/>
      <c r="WDU603" s="53"/>
      <c r="WEB603" s="15"/>
      <c r="WEC603" s="50"/>
      <c r="WED603" s="50"/>
      <c r="WEE603" s="46"/>
      <c r="WEF603" s="47"/>
      <c r="WEG603" s="46"/>
      <c r="WEH603" s="48"/>
      <c r="WEI603" s="53"/>
      <c r="WEP603" s="15"/>
      <c r="WEQ603" s="50"/>
      <c r="WER603" s="50"/>
      <c r="WES603" s="46"/>
      <c r="WET603" s="47"/>
      <c r="WEU603" s="46"/>
      <c r="WEV603" s="48"/>
      <c r="WEW603" s="53"/>
      <c r="WFD603" s="15"/>
      <c r="WFE603" s="50"/>
      <c r="WFF603" s="50"/>
      <c r="WFG603" s="46"/>
      <c r="WFH603" s="47"/>
      <c r="WFI603" s="46"/>
      <c r="WFJ603" s="48"/>
      <c r="WFK603" s="53"/>
      <c r="WFR603" s="15"/>
      <c r="WFS603" s="50"/>
      <c r="WFT603" s="50"/>
      <c r="WFU603" s="46"/>
      <c r="WFV603" s="47"/>
      <c r="WFW603" s="46"/>
      <c r="WFX603" s="48"/>
      <c r="WFY603" s="53"/>
      <c r="WGF603" s="15"/>
      <c r="WGG603" s="50"/>
      <c r="WGH603" s="50"/>
      <c r="WGI603" s="46"/>
      <c r="WGJ603" s="47"/>
      <c r="WGK603" s="46"/>
      <c r="WGL603" s="48"/>
      <c r="WGM603" s="53"/>
      <c r="WGT603" s="15"/>
      <c r="WGU603" s="50"/>
      <c r="WGV603" s="50"/>
      <c r="WGW603" s="46"/>
      <c r="WGX603" s="47"/>
      <c r="WGY603" s="46"/>
      <c r="WGZ603" s="48"/>
      <c r="WHA603" s="53"/>
      <c r="WHH603" s="15"/>
      <c r="WHI603" s="50"/>
      <c r="WHJ603" s="50"/>
      <c r="WHK603" s="46"/>
      <c r="WHL603" s="47"/>
      <c r="WHM603" s="46"/>
      <c r="WHN603" s="48"/>
      <c r="WHO603" s="53"/>
      <c r="WHV603" s="15"/>
      <c r="WHW603" s="50"/>
      <c r="WHX603" s="50"/>
      <c r="WHY603" s="46"/>
      <c r="WHZ603" s="47"/>
      <c r="WIA603" s="46"/>
      <c r="WIB603" s="48"/>
      <c r="WIC603" s="53"/>
      <c r="WIJ603" s="15"/>
      <c r="WIK603" s="50"/>
      <c r="WIL603" s="50"/>
      <c r="WIM603" s="46"/>
      <c r="WIN603" s="47"/>
      <c r="WIO603" s="46"/>
      <c r="WIP603" s="48"/>
      <c r="WIQ603" s="53"/>
      <c r="WIX603" s="15"/>
      <c r="WIY603" s="50"/>
      <c r="WIZ603" s="50"/>
      <c r="WJA603" s="46"/>
      <c r="WJB603" s="47"/>
      <c r="WJC603" s="46"/>
      <c r="WJD603" s="48"/>
      <c r="WJE603" s="53"/>
      <c r="WJL603" s="15"/>
      <c r="WJM603" s="50"/>
      <c r="WJN603" s="50"/>
      <c r="WJO603" s="46"/>
      <c r="WJP603" s="47"/>
      <c r="WJQ603" s="46"/>
      <c r="WJR603" s="48"/>
      <c r="WJS603" s="53"/>
      <c r="WJZ603" s="15"/>
      <c r="WKA603" s="50"/>
      <c r="WKB603" s="50"/>
      <c r="WKC603" s="46"/>
      <c r="WKD603" s="47"/>
      <c r="WKE603" s="46"/>
      <c r="WKF603" s="48"/>
      <c r="WKG603" s="53"/>
      <c r="WKN603" s="15"/>
      <c r="WKO603" s="50"/>
      <c r="WKP603" s="50"/>
      <c r="WKQ603" s="46"/>
      <c r="WKR603" s="47"/>
      <c r="WKS603" s="46"/>
      <c r="WKT603" s="48"/>
      <c r="WKU603" s="53"/>
      <c r="WLB603" s="15"/>
      <c r="WLC603" s="50"/>
      <c r="WLD603" s="50"/>
      <c r="WLE603" s="46"/>
      <c r="WLF603" s="47"/>
      <c r="WLG603" s="46"/>
      <c r="WLH603" s="48"/>
      <c r="WLI603" s="53"/>
      <c r="WLP603" s="15"/>
      <c r="WLQ603" s="50"/>
      <c r="WLR603" s="50"/>
      <c r="WLS603" s="46"/>
      <c r="WLT603" s="47"/>
      <c r="WLU603" s="46"/>
      <c r="WLV603" s="48"/>
      <c r="WLW603" s="53"/>
      <c r="WMD603" s="15"/>
      <c r="WME603" s="50"/>
      <c r="WMF603" s="50"/>
      <c r="WMG603" s="46"/>
      <c r="WMH603" s="47"/>
      <c r="WMI603" s="46"/>
      <c r="WMJ603" s="48"/>
      <c r="WMK603" s="53"/>
      <c r="WMR603" s="15"/>
      <c r="WMS603" s="50"/>
      <c r="WMT603" s="50"/>
      <c r="WMU603" s="46"/>
      <c r="WMV603" s="47"/>
      <c r="WMW603" s="46"/>
      <c r="WMX603" s="48"/>
      <c r="WMY603" s="53"/>
      <c r="WNF603" s="15"/>
      <c r="WNG603" s="50"/>
      <c r="WNH603" s="50"/>
      <c r="WNI603" s="46"/>
      <c r="WNJ603" s="47"/>
      <c r="WNK603" s="46"/>
      <c r="WNL603" s="48"/>
      <c r="WNM603" s="53"/>
      <c r="WNT603" s="15"/>
      <c r="WNU603" s="50"/>
      <c r="WNV603" s="50"/>
      <c r="WNW603" s="46"/>
      <c r="WNX603" s="47"/>
      <c r="WNY603" s="46"/>
      <c r="WNZ603" s="48"/>
      <c r="WOA603" s="53"/>
      <c r="WOH603" s="15"/>
      <c r="WOI603" s="50"/>
      <c r="WOJ603" s="50"/>
      <c r="WOK603" s="46"/>
      <c r="WOL603" s="47"/>
      <c r="WOM603" s="46"/>
      <c r="WON603" s="48"/>
      <c r="WOO603" s="53"/>
      <c r="WOV603" s="15"/>
      <c r="WOW603" s="50"/>
      <c r="WOX603" s="50"/>
      <c r="WOY603" s="46"/>
      <c r="WOZ603" s="47"/>
      <c r="WPA603" s="46"/>
      <c r="WPB603" s="48"/>
      <c r="WPC603" s="53"/>
      <c r="WPJ603" s="15"/>
      <c r="WPK603" s="50"/>
      <c r="WPL603" s="50"/>
      <c r="WPM603" s="46"/>
      <c r="WPN603" s="47"/>
      <c r="WPO603" s="46"/>
      <c r="WPP603" s="48"/>
      <c r="WPQ603" s="53"/>
      <c r="WPX603" s="15"/>
      <c r="WPY603" s="50"/>
      <c r="WPZ603" s="50"/>
      <c r="WQA603" s="46"/>
      <c r="WQB603" s="47"/>
      <c r="WQC603" s="46"/>
      <c r="WQD603" s="48"/>
      <c r="WQE603" s="53"/>
      <c r="WQL603" s="15"/>
      <c r="WQM603" s="50"/>
      <c r="WQN603" s="50"/>
      <c r="WQO603" s="46"/>
      <c r="WQP603" s="47"/>
      <c r="WQQ603" s="46"/>
      <c r="WQR603" s="48"/>
      <c r="WQS603" s="53"/>
      <c r="WQZ603" s="15"/>
      <c r="WRA603" s="50"/>
      <c r="WRB603" s="50"/>
      <c r="WRC603" s="46"/>
      <c r="WRD603" s="47"/>
      <c r="WRE603" s="46"/>
      <c r="WRF603" s="48"/>
      <c r="WRG603" s="53"/>
      <c r="WRN603" s="15"/>
      <c r="WRO603" s="50"/>
      <c r="WRP603" s="50"/>
      <c r="WRQ603" s="46"/>
      <c r="WRR603" s="47"/>
      <c r="WRS603" s="46"/>
      <c r="WRT603" s="48"/>
      <c r="WRU603" s="53"/>
      <c r="WSB603" s="15"/>
      <c r="WSC603" s="50"/>
      <c r="WSD603" s="50"/>
      <c r="WSE603" s="46"/>
      <c r="WSF603" s="47"/>
      <c r="WSG603" s="46"/>
      <c r="WSH603" s="48"/>
      <c r="WSI603" s="53"/>
      <c r="WSP603" s="15"/>
      <c r="WSQ603" s="50"/>
      <c r="WSR603" s="50"/>
      <c r="WSS603" s="46"/>
      <c r="WST603" s="47"/>
      <c r="WSU603" s="46"/>
      <c r="WSV603" s="48"/>
      <c r="WSW603" s="53"/>
      <c r="WTD603" s="15"/>
      <c r="WTE603" s="50"/>
      <c r="WTF603" s="50"/>
      <c r="WTG603" s="46"/>
      <c r="WTH603" s="47"/>
      <c r="WTI603" s="46"/>
      <c r="WTJ603" s="48"/>
      <c r="WTK603" s="53"/>
      <c r="WTR603" s="15"/>
      <c r="WTS603" s="50"/>
      <c r="WTT603" s="50"/>
      <c r="WTU603" s="46"/>
      <c r="WTV603" s="47"/>
      <c r="WTW603" s="46"/>
      <c r="WTX603" s="48"/>
      <c r="WTY603" s="53"/>
      <c r="WUF603" s="15"/>
      <c r="WUG603" s="50"/>
      <c r="WUH603" s="50"/>
      <c r="WUI603" s="46"/>
      <c r="WUJ603" s="47"/>
      <c r="WUK603" s="46"/>
      <c r="WUL603" s="48"/>
      <c r="WUM603" s="53"/>
      <c r="WUT603" s="15"/>
      <c r="WUU603" s="50"/>
      <c r="WUV603" s="50"/>
      <c r="WUW603" s="46"/>
      <c r="WUX603" s="47"/>
      <c r="WUY603" s="46"/>
      <c r="WUZ603" s="48"/>
      <c r="WVA603" s="53"/>
      <c r="WVH603" s="15"/>
      <c r="WVI603" s="50"/>
      <c r="WVJ603" s="50"/>
      <c r="WVK603" s="46"/>
      <c r="WVL603" s="47"/>
      <c r="WVM603" s="46"/>
      <c r="WVN603" s="48"/>
      <c r="WVO603" s="53"/>
      <c r="WVV603" s="15"/>
      <c r="WVW603" s="50"/>
      <c r="WVX603" s="50"/>
      <c r="WVY603" s="46"/>
      <c r="WVZ603" s="47"/>
      <c r="WWA603" s="46"/>
      <c r="WWB603" s="48"/>
      <c r="WWC603" s="53"/>
      <c r="WWJ603" s="15"/>
      <c r="WWK603" s="50"/>
      <c r="WWL603" s="50"/>
      <c r="WWM603" s="46"/>
      <c r="WWN603" s="47"/>
      <c r="WWO603" s="46"/>
      <c r="WWP603" s="48"/>
      <c r="WWQ603" s="53"/>
      <c r="WWX603" s="15"/>
      <c r="WWY603" s="50"/>
      <c r="WWZ603" s="50"/>
      <c r="WXA603" s="46"/>
      <c r="WXB603" s="47"/>
      <c r="WXC603" s="46"/>
      <c r="WXD603" s="48"/>
      <c r="WXE603" s="53"/>
      <c r="WXL603" s="15"/>
      <c r="WXM603" s="50"/>
      <c r="WXN603" s="50"/>
      <c r="WXO603" s="46"/>
      <c r="WXP603" s="47"/>
      <c r="WXQ603" s="46"/>
      <c r="WXR603" s="48"/>
      <c r="WXS603" s="53"/>
      <c r="WXZ603" s="15"/>
      <c r="WYA603" s="50"/>
      <c r="WYB603" s="50"/>
      <c r="WYC603" s="46"/>
      <c r="WYD603" s="47"/>
      <c r="WYE603" s="46"/>
      <c r="WYF603" s="48"/>
      <c r="WYG603" s="53"/>
      <c r="WYN603" s="15"/>
      <c r="WYO603" s="50"/>
      <c r="WYP603" s="50"/>
      <c r="WYQ603" s="46"/>
      <c r="WYR603" s="47"/>
      <c r="WYS603" s="46"/>
      <c r="WYT603" s="48"/>
      <c r="WYU603" s="53"/>
      <c r="WZB603" s="15"/>
      <c r="WZC603" s="50"/>
      <c r="WZD603" s="50"/>
      <c r="WZE603" s="46"/>
      <c r="WZF603" s="47"/>
      <c r="WZG603" s="46"/>
      <c r="WZH603" s="48"/>
      <c r="WZI603" s="53"/>
      <c r="WZP603" s="15"/>
      <c r="WZQ603" s="50"/>
      <c r="WZR603" s="50"/>
      <c r="WZS603" s="46"/>
      <c r="WZT603" s="47"/>
      <c r="WZU603" s="46"/>
      <c r="WZV603" s="48"/>
      <c r="WZW603" s="53"/>
      <c r="XAD603" s="15"/>
      <c r="XAE603" s="50"/>
      <c r="XAF603" s="50"/>
      <c r="XAG603" s="46"/>
      <c r="XAH603" s="47"/>
      <c r="XAI603" s="46"/>
      <c r="XAJ603" s="48"/>
      <c r="XAK603" s="53"/>
      <c r="XAR603" s="15"/>
      <c r="XAS603" s="50"/>
      <c r="XAT603" s="50"/>
      <c r="XAU603" s="46"/>
      <c r="XAV603" s="47"/>
      <c r="XAW603" s="46"/>
      <c r="XAX603" s="48"/>
      <c r="XAY603" s="53"/>
      <c r="XBF603" s="15"/>
      <c r="XBG603" s="50"/>
      <c r="XBH603" s="50"/>
      <c r="XBI603" s="46"/>
      <c r="XBJ603" s="47"/>
      <c r="XBK603" s="46"/>
      <c r="XBL603" s="48"/>
      <c r="XBM603" s="53"/>
      <c r="XBT603" s="15"/>
      <c r="XBU603" s="50"/>
      <c r="XBV603" s="50"/>
      <c r="XBW603" s="46"/>
      <c r="XBX603" s="47"/>
      <c r="XBY603" s="46"/>
      <c r="XBZ603" s="48"/>
      <c r="XCA603" s="53"/>
      <c r="XCH603" s="15"/>
      <c r="XCI603" s="50"/>
      <c r="XCJ603" s="50"/>
      <c r="XCK603" s="46"/>
      <c r="XCL603" s="47"/>
      <c r="XCM603" s="46"/>
      <c r="XCN603" s="48"/>
      <c r="XCO603" s="53"/>
      <c r="XCV603" s="15"/>
      <c r="XCW603" s="50"/>
      <c r="XCX603" s="50"/>
      <c r="XCY603" s="46"/>
      <c r="XCZ603" s="47"/>
      <c r="XDA603" s="46"/>
      <c r="XDB603" s="48"/>
      <c r="XDC603" s="53"/>
      <c r="XDJ603" s="15"/>
      <c r="XDK603" s="50"/>
      <c r="XDL603" s="50"/>
      <c r="XDM603" s="46"/>
      <c r="XDN603" s="47"/>
      <c r="XDO603" s="46"/>
      <c r="XDP603" s="48"/>
      <c r="XDQ603" s="53"/>
      <c r="XDX603" s="15"/>
      <c r="XDY603" s="50"/>
      <c r="XDZ603" s="50"/>
      <c r="XEA603" s="46"/>
      <c r="XEB603" s="47"/>
      <c r="XEC603" s="46"/>
      <c r="XED603" s="48"/>
      <c r="XEE603" s="53"/>
      <c r="XEL603" s="15"/>
      <c r="XEM603" s="50"/>
      <c r="XEN603" s="50"/>
      <c r="XEO603" s="46"/>
      <c r="XEP603" s="47"/>
      <c r="XEQ603" s="46"/>
      <c r="XER603" s="48"/>
      <c r="XES603" s="53"/>
      <c r="XEZ603" s="15"/>
      <c r="XFA603" s="50"/>
      <c r="XFB603" s="50"/>
      <c r="XFC603" s="46"/>
    </row>
    <row r="604" spans="1:4095 4102:5117 5124:6139 6146:11263 11270:12285 12292:13307 13314:16383" ht="16.2" x14ac:dyDescent="0.4">
      <c r="A604" s="15" t="str">
        <f t="shared" si="9"/>
        <v>modesg_inp_km_medios_emss_vclsmedia_scp2_emss</v>
      </c>
      <c r="B604" s="54" t="s">
        <v>27</v>
      </c>
      <c r="C604" s="50" t="s">
        <v>29</v>
      </c>
      <c r="D604" s="46" t="s">
        <v>431</v>
      </c>
      <c r="E604" s="47" t="s">
        <v>37</v>
      </c>
      <c r="F604" s="46" t="s">
        <v>494</v>
      </c>
      <c r="G604" s="48" t="s">
        <v>426</v>
      </c>
      <c r="H604" s="48" t="s">
        <v>426</v>
      </c>
      <c r="I604" s="56" t="s">
        <v>482</v>
      </c>
      <c r="J604" s="68" t="s">
        <v>514</v>
      </c>
      <c r="K604" s="68" t="s">
        <v>514</v>
      </c>
      <c r="L604" s="68"/>
      <c r="N604" s="15"/>
      <c r="O604" s="50"/>
      <c r="P604" s="50"/>
      <c r="Q604" s="46"/>
      <c r="R604" s="47"/>
      <c r="S604" s="46"/>
      <c r="T604" s="48"/>
      <c r="U604" s="53"/>
      <c r="AB604" s="15"/>
      <c r="AC604" s="50"/>
      <c r="AD604" s="50"/>
      <c r="AE604" s="46"/>
      <c r="AF604" s="47"/>
      <c r="AG604" s="46"/>
      <c r="AH604" s="48"/>
      <c r="AI604" s="53"/>
      <c r="AP604" s="15"/>
      <c r="AQ604" s="50"/>
      <c r="AR604" s="50"/>
      <c r="AS604" s="46"/>
      <c r="AT604" s="47"/>
      <c r="AU604" s="46"/>
      <c r="AV604" s="48"/>
      <c r="AW604" s="53"/>
      <c r="BD604" s="15"/>
      <c r="BE604" s="50"/>
      <c r="BF604" s="50"/>
      <c r="BG604" s="46"/>
      <c r="BH604" s="47"/>
      <c r="BI604" s="46"/>
      <c r="BJ604" s="48"/>
      <c r="BK604" s="53"/>
      <c r="BR604" s="15"/>
      <c r="BS604" s="50"/>
      <c r="BT604" s="50"/>
      <c r="BU604" s="46"/>
      <c r="BV604" s="47"/>
      <c r="BW604" s="46"/>
      <c r="BX604" s="48"/>
      <c r="BY604" s="53"/>
      <c r="CF604" s="15"/>
      <c r="CG604" s="50"/>
      <c r="CH604" s="50"/>
      <c r="CI604" s="46"/>
      <c r="CJ604" s="47"/>
      <c r="CK604" s="46"/>
      <c r="CL604" s="48"/>
      <c r="CM604" s="53"/>
      <c r="CT604" s="15"/>
      <c r="CU604" s="50"/>
      <c r="CV604" s="50"/>
      <c r="CW604" s="46"/>
      <c r="CX604" s="47"/>
      <c r="CY604" s="46"/>
      <c r="CZ604" s="48"/>
      <c r="DA604" s="53"/>
      <c r="DH604" s="15"/>
      <c r="DI604" s="50"/>
      <c r="DJ604" s="50"/>
      <c r="DK604" s="46"/>
      <c r="DL604" s="47"/>
      <c r="DM604" s="46"/>
      <c r="DN604" s="48"/>
      <c r="DO604" s="53"/>
      <c r="DV604" s="15"/>
      <c r="DW604" s="50"/>
      <c r="DX604" s="50"/>
      <c r="DY604" s="46"/>
      <c r="DZ604" s="47"/>
      <c r="EA604" s="46"/>
      <c r="EB604" s="48"/>
      <c r="EC604" s="53"/>
      <c r="EJ604" s="15"/>
      <c r="EK604" s="50"/>
      <c r="EL604" s="50"/>
      <c r="EM604" s="46"/>
      <c r="EN604" s="47"/>
      <c r="EO604" s="46"/>
      <c r="EP604" s="48"/>
      <c r="EQ604" s="53"/>
      <c r="EX604" s="15"/>
      <c r="EY604" s="50"/>
      <c r="EZ604" s="50"/>
      <c r="FA604" s="46"/>
      <c r="FB604" s="47"/>
      <c r="FC604" s="46"/>
      <c r="FD604" s="48"/>
      <c r="FE604" s="53"/>
      <c r="FL604" s="15"/>
      <c r="FM604" s="50"/>
      <c r="FN604" s="50"/>
      <c r="FO604" s="46"/>
      <c r="FP604" s="47"/>
      <c r="FQ604" s="46"/>
      <c r="FR604" s="48"/>
      <c r="FS604" s="53"/>
      <c r="FZ604" s="15"/>
      <c r="GA604" s="50"/>
      <c r="GB604" s="50"/>
      <c r="GC604" s="46"/>
      <c r="GD604" s="47"/>
      <c r="GE604" s="46"/>
      <c r="GF604" s="48"/>
      <c r="GG604" s="53"/>
      <c r="GN604" s="15"/>
      <c r="GO604" s="50"/>
      <c r="GP604" s="50"/>
      <c r="GQ604" s="46"/>
      <c r="GR604" s="47"/>
      <c r="GS604" s="46"/>
      <c r="GT604" s="48"/>
      <c r="GU604" s="53"/>
      <c r="HB604" s="15"/>
      <c r="HC604" s="50"/>
      <c r="HD604" s="50"/>
      <c r="HE604" s="46"/>
      <c r="HF604" s="47"/>
      <c r="HG604" s="46"/>
      <c r="HH604" s="48"/>
      <c r="HI604" s="53"/>
      <c r="HP604" s="15"/>
      <c r="HQ604" s="50"/>
      <c r="HR604" s="50"/>
      <c r="HS604" s="46"/>
      <c r="HT604" s="47"/>
      <c r="HU604" s="46"/>
      <c r="HV604" s="48"/>
      <c r="HW604" s="53"/>
      <c r="ID604" s="15"/>
      <c r="IE604" s="50"/>
      <c r="IF604" s="50"/>
      <c r="IG604" s="46"/>
      <c r="IH604" s="47"/>
      <c r="II604" s="46"/>
      <c r="IJ604" s="48"/>
      <c r="IK604" s="53"/>
      <c r="IR604" s="15"/>
      <c r="IS604" s="50"/>
      <c r="IT604" s="50"/>
      <c r="IU604" s="46"/>
      <c r="IV604" s="47"/>
      <c r="IW604" s="46"/>
      <c r="IX604" s="48"/>
      <c r="IY604" s="53"/>
      <c r="JF604" s="15"/>
      <c r="JG604" s="50"/>
      <c r="JH604" s="50"/>
      <c r="JI604" s="46"/>
      <c r="JJ604" s="47"/>
      <c r="JK604" s="46"/>
      <c r="JL604" s="48"/>
      <c r="JM604" s="53"/>
      <c r="JT604" s="15"/>
      <c r="JU604" s="50"/>
      <c r="JV604" s="50"/>
      <c r="JW604" s="46"/>
      <c r="JX604" s="47"/>
      <c r="JY604" s="46"/>
      <c r="JZ604" s="48"/>
      <c r="KA604" s="53"/>
      <c r="KH604" s="15"/>
      <c r="KI604" s="50"/>
      <c r="KJ604" s="50"/>
      <c r="KK604" s="46"/>
      <c r="KL604" s="47"/>
      <c r="KM604" s="46"/>
      <c r="KN604" s="48"/>
      <c r="KO604" s="53"/>
      <c r="KV604" s="15"/>
      <c r="KW604" s="50"/>
      <c r="KX604" s="50"/>
      <c r="KY604" s="46"/>
      <c r="KZ604" s="47"/>
      <c r="LA604" s="46"/>
      <c r="LB604" s="48"/>
      <c r="LC604" s="53"/>
      <c r="LJ604" s="15"/>
      <c r="LK604" s="50"/>
      <c r="LL604" s="50"/>
      <c r="LM604" s="46"/>
      <c r="LN604" s="47"/>
      <c r="LO604" s="46"/>
      <c r="LP604" s="48"/>
      <c r="LQ604" s="53"/>
      <c r="LX604" s="15"/>
      <c r="LY604" s="50"/>
      <c r="LZ604" s="50"/>
      <c r="MA604" s="46"/>
      <c r="MB604" s="47"/>
      <c r="MC604" s="46"/>
      <c r="MD604" s="48"/>
      <c r="ME604" s="53"/>
      <c r="ML604" s="15"/>
      <c r="MM604" s="50"/>
      <c r="MN604" s="50"/>
      <c r="MO604" s="46"/>
      <c r="MP604" s="47"/>
      <c r="MQ604" s="46"/>
      <c r="MR604" s="48"/>
      <c r="MS604" s="53"/>
      <c r="MZ604" s="15"/>
      <c r="NA604" s="50"/>
      <c r="NB604" s="50"/>
      <c r="NC604" s="46"/>
      <c r="ND604" s="47"/>
      <c r="NE604" s="46"/>
      <c r="NF604" s="48"/>
      <c r="NG604" s="53"/>
      <c r="NN604" s="15"/>
      <c r="NO604" s="50"/>
      <c r="NP604" s="50"/>
      <c r="NQ604" s="46"/>
      <c r="NR604" s="47"/>
      <c r="NS604" s="46"/>
      <c r="NT604" s="48"/>
      <c r="NU604" s="53"/>
      <c r="OB604" s="15"/>
      <c r="OC604" s="50"/>
      <c r="OD604" s="50"/>
      <c r="OE604" s="46"/>
      <c r="OF604" s="47"/>
      <c r="OG604" s="46"/>
      <c r="OH604" s="48"/>
      <c r="OI604" s="53"/>
      <c r="OP604" s="15"/>
      <c r="OQ604" s="50"/>
      <c r="OR604" s="50"/>
      <c r="OS604" s="46"/>
      <c r="OT604" s="47"/>
      <c r="OU604" s="46"/>
      <c r="OV604" s="48"/>
      <c r="OW604" s="53"/>
      <c r="PD604" s="15"/>
      <c r="PE604" s="50"/>
      <c r="PF604" s="50"/>
      <c r="PG604" s="46"/>
      <c r="PH604" s="47"/>
      <c r="PI604" s="46"/>
      <c r="PJ604" s="48"/>
      <c r="PK604" s="53"/>
      <c r="PR604" s="15"/>
      <c r="PS604" s="50"/>
      <c r="PT604" s="50"/>
      <c r="PU604" s="46"/>
      <c r="PV604" s="47"/>
      <c r="PW604" s="46"/>
      <c r="PX604" s="48"/>
      <c r="PY604" s="53"/>
      <c r="QF604" s="15"/>
      <c r="QG604" s="50"/>
      <c r="QH604" s="50"/>
      <c r="QI604" s="46"/>
      <c r="QJ604" s="47"/>
      <c r="QK604" s="46"/>
      <c r="QL604" s="48"/>
      <c r="QM604" s="53"/>
      <c r="QT604" s="15"/>
      <c r="QU604" s="50"/>
      <c r="QV604" s="50"/>
      <c r="QW604" s="46"/>
      <c r="QX604" s="47"/>
      <c r="QY604" s="46"/>
      <c r="QZ604" s="48"/>
      <c r="RA604" s="53"/>
      <c r="RH604" s="15"/>
      <c r="RI604" s="50"/>
      <c r="RJ604" s="50"/>
      <c r="RK604" s="46"/>
      <c r="RL604" s="47"/>
      <c r="RM604" s="46"/>
      <c r="RN604" s="48"/>
      <c r="RO604" s="53"/>
      <c r="RV604" s="15"/>
      <c r="RW604" s="50"/>
      <c r="RX604" s="50"/>
      <c r="RY604" s="46"/>
      <c r="RZ604" s="47"/>
      <c r="SA604" s="46"/>
      <c r="SB604" s="48"/>
      <c r="SC604" s="53"/>
      <c r="SJ604" s="15"/>
      <c r="SK604" s="50"/>
      <c r="SL604" s="50"/>
      <c r="SM604" s="46"/>
      <c r="SN604" s="47"/>
      <c r="SO604" s="46"/>
      <c r="SP604" s="48"/>
      <c r="SQ604" s="53"/>
      <c r="SX604" s="15"/>
      <c r="SY604" s="50"/>
      <c r="SZ604" s="50"/>
      <c r="TA604" s="46"/>
      <c r="TB604" s="47"/>
      <c r="TC604" s="46"/>
      <c r="TD604" s="48"/>
      <c r="TE604" s="53"/>
      <c r="TL604" s="15"/>
      <c r="TM604" s="50"/>
      <c r="TN604" s="50"/>
      <c r="TO604" s="46"/>
      <c r="TP604" s="47"/>
      <c r="TQ604" s="46"/>
      <c r="TR604" s="48"/>
      <c r="TS604" s="53"/>
      <c r="TZ604" s="15"/>
      <c r="UA604" s="50"/>
      <c r="UB604" s="50"/>
      <c r="UC604" s="46"/>
      <c r="UD604" s="47"/>
      <c r="UE604" s="46"/>
      <c r="UF604" s="48"/>
      <c r="UG604" s="53"/>
      <c r="UN604" s="15"/>
      <c r="UO604" s="50"/>
      <c r="UP604" s="50"/>
      <c r="UQ604" s="46"/>
      <c r="UR604" s="47"/>
      <c r="US604" s="46"/>
      <c r="UT604" s="48"/>
      <c r="UU604" s="53"/>
      <c r="VB604" s="15"/>
      <c r="VC604" s="50"/>
      <c r="VD604" s="50"/>
      <c r="VE604" s="46"/>
      <c r="VF604" s="47"/>
      <c r="VG604" s="46"/>
      <c r="VH604" s="48"/>
      <c r="VI604" s="53"/>
      <c r="VP604" s="15"/>
      <c r="VQ604" s="50"/>
      <c r="VR604" s="50"/>
      <c r="VS604" s="46"/>
      <c r="VT604" s="47"/>
      <c r="VU604" s="46"/>
      <c r="VV604" s="48"/>
      <c r="VW604" s="53"/>
      <c r="WD604" s="15"/>
      <c r="WE604" s="50"/>
      <c r="WF604" s="50"/>
      <c r="WG604" s="46"/>
      <c r="WH604" s="47"/>
      <c r="WI604" s="46"/>
      <c r="WJ604" s="48"/>
      <c r="WK604" s="53"/>
      <c r="WR604" s="15"/>
      <c r="WS604" s="50"/>
      <c r="WT604" s="50"/>
      <c r="WU604" s="46"/>
      <c r="WV604" s="47"/>
      <c r="WW604" s="46"/>
      <c r="WX604" s="48"/>
      <c r="WY604" s="53"/>
      <c r="XF604" s="15"/>
      <c r="XG604" s="50"/>
      <c r="XH604" s="50"/>
      <c r="XI604" s="46"/>
      <c r="XJ604" s="47"/>
      <c r="XK604" s="46"/>
      <c r="XL604" s="48"/>
      <c r="XM604" s="53"/>
      <c r="XT604" s="15"/>
      <c r="XU604" s="50"/>
      <c r="XV604" s="50"/>
      <c r="XW604" s="46"/>
      <c r="XX604" s="47"/>
      <c r="XY604" s="46"/>
      <c r="XZ604" s="48"/>
      <c r="YA604" s="53"/>
      <c r="YH604" s="15"/>
      <c r="YI604" s="50"/>
      <c r="YJ604" s="50"/>
      <c r="YK604" s="46"/>
      <c r="YL604" s="47"/>
      <c r="YM604" s="46"/>
      <c r="YN604" s="48"/>
      <c r="YO604" s="53"/>
      <c r="YV604" s="15"/>
      <c r="YW604" s="50"/>
      <c r="YX604" s="50"/>
      <c r="YY604" s="46"/>
      <c r="YZ604" s="47"/>
      <c r="ZA604" s="46"/>
      <c r="ZB604" s="48"/>
      <c r="ZC604" s="53"/>
      <c r="ZJ604" s="15"/>
      <c r="ZK604" s="50"/>
      <c r="ZL604" s="50"/>
      <c r="ZM604" s="46"/>
      <c r="ZN604" s="47"/>
      <c r="ZO604" s="46"/>
      <c r="ZP604" s="48"/>
      <c r="ZQ604" s="53"/>
      <c r="ZX604" s="15"/>
      <c r="ZY604" s="50"/>
      <c r="ZZ604" s="50"/>
      <c r="AAA604" s="46"/>
      <c r="AAB604" s="47"/>
      <c r="AAC604" s="46"/>
      <c r="AAD604" s="48"/>
      <c r="AAE604" s="53"/>
      <c r="AAL604" s="15"/>
      <c r="AAM604" s="50"/>
      <c r="AAN604" s="50"/>
      <c r="AAO604" s="46"/>
      <c r="AAP604" s="47"/>
      <c r="AAQ604" s="46"/>
      <c r="AAR604" s="48"/>
      <c r="AAS604" s="53"/>
      <c r="AAZ604" s="15"/>
      <c r="ABA604" s="50"/>
      <c r="ABB604" s="50"/>
      <c r="ABC604" s="46"/>
      <c r="ABD604" s="47"/>
      <c r="ABE604" s="46"/>
      <c r="ABF604" s="48"/>
      <c r="ABG604" s="53"/>
      <c r="ABN604" s="15"/>
      <c r="ABO604" s="50"/>
      <c r="ABP604" s="50"/>
      <c r="ABQ604" s="46"/>
      <c r="ABR604" s="47"/>
      <c r="ABS604" s="46"/>
      <c r="ABT604" s="48"/>
      <c r="ABU604" s="53"/>
      <c r="ACB604" s="15"/>
      <c r="ACC604" s="50"/>
      <c r="ACD604" s="50"/>
      <c r="ACE604" s="46"/>
      <c r="ACF604" s="47"/>
      <c r="ACG604" s="46"/>
      <c r="ACH604" s="48"/>
      <c r="ACI604" s="53"/>
      <c r="ACP604" s="15"/>
      <c r="ACQ604" s="50"/>
      <c r="ACR604" s="50"/>
      <c r="ACS604" s="46"/>
      <c r="ACT604" s="47"/>
      <c r="ACU604" s="46"/>
      <c r="ACV604" s="48"/>
      <c r="ACW604" s="53"/>
      <c r="ADD604" s="15"/>
      <c r="ADE604" s="50"/>
      <c r="ADF604" s="50"/>
      <c r="ADG604" s="46"/>
      <c r="ADH604" s="47"/>
      <c r="ADI604" s="46"/>
      <c r="ADJ604" s="48"/>
      <c r="ADK604" s="53"/>
      <c r="ADR604" s="15"/>
      <c r="ADS604" s="50"/>
      <c r="ADT604" s="50"/>
      <c r="ADU604" s="46"/>
      <c r="ADV604" s="47"/>
      <c r="ADW604" s="46"/>
      <c r="ADX604" s="48"/>
      <c r="ADY604" s="53"/>
      <c r="AEF604" s="15"/>
      <c r="AEG604" s="50"/>
      <c r="AEH604" s="50"/>
      <c r="AEI604" s="46"/>
      <c r="AEJ604" s="47"/>
      <c r="AEK604" s="46"/>
      <c r="AEL604" s="48"/>
      <c r="AEM604" s="53"/>
      <c r="AET604" s="15"/>
      <c r="AEU604" s="50"/>
      <c r="AEV604" s="50"/>
      <c r="AEW604" s="46"/>
      <c r="AEX604" s="47"/>
      <c r="AEY604" s="46"/>
      <c r="AEZ604" s="48"/>
      <c r="AFA604" s="53"/>
      <c r="AFH604" s="15"/>
      <c r="AFI604" s="50"/>
      <c r="AFJ604" s="50"/>
      <c r="AFK604" s="46"/>
      <c r="AFL604" s="47"/>
      <c r="AFM604" s="46"/>
      <c r="AFN604" s="48"/>
      <c r="AFO604" s="53"/>
      <c r="AFV604" s="15"/>
      <c r="AFW604" s="50"/>
      <c r="AFX604" s="50"/>
      <c r="AFY604" s="46"/>
      <c r="AFZ604" s="47"/>
      <c r="AGA604" s="46"/>
      <c r="AGB604" s="48"/>
      <c r="AGC604" s="53"/>
      <c r="AGJ604" s="15"/>
      <c r="AGK604" s="50"/>
      <c r="AGL604" s="50"/>
      <c r="AGM604" s="46"/>
      <c r="AGN604" s="47"/>
      <c r="AGO604" s="46"/>
      <c r="AGP604" s="48"/>
      <c r="AGQ604" s="53"/>
      <c r="AGX604" s="15"/>
      <c r="AGY604" s="50"/>
      <c r="AGZ604" s="50"/>
      <c r="AHA604" s="46"/>
      <c r="AHB604" s="47"/>
      <c r="AHC604" s="46"/>
      <c r="AHD604" s="48"/>
      <c r="AHE604" s="53"/>
      <c r="AHL604" s="15"/>
      <c r="AHM604" s="50"/>
      <c r="AHN604" s="50"/>
      <c r="AHO604" s="46"/>
      <c r="AHP604" s="47"/>
      <c r="AHQ604" s="46"/>
      <c r="AHR604" s="48"/>
      <c r="AHS604" s="53"/>
      <c r="AHZ604" s="15"/>
      <c r="AIA604" s="50"/>
      <c r="AIB604" s="50"/>
      <c r="AIC604" s="46"/>
      <c r="AID604" s="47"/>
      <c r="AIE604" s="46"/>
      <c r="AIF604" s="48"/>
      <c r="AIG604" s="53"/>
      <c r="AIN604" s="15"/>
      <c r="AIO604" s="50"/>
      <c r="AIP604" s="50"/>
      <c r="AIQ604" s="46"/>
      <c r="AIR604" s="47"/>
      <c r="AIS604" s="46"/>
      <c r="AIT604" s="48"/>
      <c r="AIU604" s="53"/>
      <c r="AJB604" s="15"/>
      <c r="AJC604" s="50"/>
      <c r="AJD604" s="50"/>
      <c r="AJE604" s="46"/>
      <c r="AJF604" s="47"/>
      <c r="AJG604" s="46"/>
      <c r="AJH604" s="48"/>
      <c r="AJI604" s="53"/>
      <c r="AJP604" s="15"/>
      <c r="AJQ604" s="50"/>
      <c r="AJR604" s="50"/>
      <c r="AJS604" s="46"/>
      <c r="AJT604" s="47"/>
      <c r="AJU604" s="46"/>
      <c r="AJV604" s="48"/>
      <c r="AJW604" s="53"/>
      <c r="AKD604" s="15"/>
      <c r="AKE604" s="50"/>
      <c r="AKF604" s="50"/>
      <c r="AKG604" s="46"/>
      <c r="AKH604" s="47"/>
      <c r="AKI604" s="46"/>
      <c r="AKJ604" s="48"/>
      <c r="AKK604" s="53"/>
      <c r="AKR604" s="15"/>
      <c r="AKS604" s="50"/>
      <c r="AKT604" s="50"/>
      <c r="AKU604" s="46"/>
      <c r="AKV604" s="47"/>
      <c r="AKW604" s="46"/>
      <c r="AKX604" s="48"/>
      <c r="AKY604" s="53"/>
      <c r="ALF604" s="15"/>
      <c r="ALG604" s="50"/>
      <c r="ALH604" s="50"/>
      <c r="ALI604" s="46"/>
      <c r="ALJ604" s="47"/>
      <c r="ALK604" s="46"/>
      <c r="ALL604" s="48"/>
      <c r="ALM604" s="53"/>
      <c r="ALT604" s="15"/>
      <c r="ALU604" s="50"/>
      <c r="ALV604" s="50"/>
      <c r="ALW604" s="46"/>
      <c r="ALX604" s="47"/>
      <c r="ALY604" s="46"/>
      <c r="ALZ604" s="48"/>
      <c r="AMA604" s="53"/>
      <c r="AMH604" s="15"/>
      <c r="AMI604" s="50"/>
      <c r="AMJ604" s="50"/>
      <c r="AMK604" s="46"/>
      <c r="AML604" s="47"/>
      <c r="AMM604" s="46"/>
      <c r="AMN604" s="48"/>
      <c r="AMO604" s="53"/>
      <c r="AMV604" s="15"/>
      <c r="AMW604" s="50"/>
      <c r="AMX604" s="50"/>
      <c r="AMY604" s="46"/>
      <c r="AMZ604" s="47"/>
      <c r="ANA604" s="46"/>
      <c r="ANB604" s="48"/>
      <c r="ANC604" s="53"/>
      <c r="ANJ604" s="15"/>
      <c r="ANK604" s="50"/>
      <c r="ANL604" s="50"/>
      <c r="ANM604" s="46"/>
      <c r="ANN604" s="47"/>
      <c r="ANO604" s="46"/>
      <c r="ANP604" s="48"/>
      <c r="ANQ604" s="53"/>
      <c r="ANX604" s="15"/>
      <c r="ANY604" s="50"/>
      <c r="ANZ604" s="50"/>
      <c r="AOA604" s="46"/>
      <c r="AOB604" s="47"/>
      <c r="AOC604" s="46"/>
      <c r="AOD604" s="48"/>
      <c r="AOE604" s="53"/>
      <c r="AOL604" s="15"/>
      <c r="AOM604" s="50"/>
      <c r="AON604" s="50"/>
      <c r="AOO604" s="46"/>
      <c r="AOP604" s="47"/>
      <c r="AOQ604" s="46"/>
      <c r="AOR604" s="48"/>
      <c r="AOS604" s="53"/>
      <c r="AOZ604" s="15"/>
      <c r="APA604" s="50"/>
      <c r="APB604" s="50"/>
      <c r="APC604" s="46"/>
      <c r="APD604" s="47"/>
      <c r="APE604" s="46"/>
      <c r="APF604" s="48"/>
      <c r="APG604" s="53"/>
      <c r="APN604" s="15"/>
      <c r="APO604" s="50"/>
      <c r="APP604" s="50"/>
      <c r="APQ604" s="46"/>
      <c r="APR604" s="47"/>
      <c r="APS604" s="46"/>
      <c r="APT604" s="48"/>
      <c r="APU604" s="53"/>
      <c r="AQB604" s="15"/>
      <c r="AQC604" s="50"/>
      <c r="AQD604" s="50"/>
      <c r="AQE604" s="46"/>
      <c r="AQF604" s="47"/>
      <c r="AQG604" s="46"/>
      <c r="AQH604" s="48"/>
      <c r="AQI604" s="53"/>
      <c r="AQP604" s="15"/>
      <c r="AQQ604" s="50"/>
      <c r="AQR604" s="50"/>
      <c r="AQS604" s="46"/>
      <c r="AQT604" s="47"/>
      <c r="AQU604" s="46"/>
      <c r="AQV604" s="48"/>
      <c r="AQW604" s="53"/>
      <c r="ARD604" s="15"/>
      <c r="ARE604" s="50"/>
      <c r="ARF604" s="50"/>
      <c r="ARG604" s="46"/>
      <c r="ARH604" s="47"/>
      <c r="ARI604" s="46"/>
      <c r="ARJ604" s="48"/>
      <c r="ARK604" s="53"/>
      <c r="ARR604" s="15"/>
      <c r="ARS604" s="50"/>
      <c r="ART604" s="50"/>
      <c r="ARU604" s="46"/>
      <c r="ARV604" s="47"/>
      <c r="ARW604" s="46"/>
      <c r="ARX604" s="48"/>
      <c r="ARY604" s="53"/>
      <c r="ASF604" s="15"/>
      <c r="ASG604" s="50"/>
      <c r="ASH604" s="50"/>
      <c r="ASI604" s="46"/>
      <c r="ASJ604" s="47"/>
      <c r="ASK604" s="46"/>
      <c r="ASL604" s="48"/>
      <c r="ASM604" s="53"/>
      <c r="AST604" s="15"/>
      <c r="ASU604" s="50"/>
      <c r="ASV604" s="50"/>
      <c r="ASW604" s="46"/>
      <c r="ASX604" s="47"/>
      <c r="ASY604" s="46"/>
      <c r="ASZ604" s="48"/>
      <c r="ATA604" s="53"/>
      <c r="ATH604" s="15"/>
      <c r="ATI604" s="50"/>
      <c r="ATJ604" s="50"/>
      <c r="ATK604" s="46"/>
      <c r="ATL604" s="47"/>
      <c r="ATM604" s="46"/>
      <c r="ATN604" s="48"/>
      <c r="ATO604" s="53"/>
      <c r="ATV604" s="15"/>
      <c r="ATW604" s="50"/>
      <c r="ATX604" s="50"/>
      <c r="ATY604" s="46"/>
      <c r="ATZ604" s="47"/>
      <c r="AUA604" s="46"/>
      <c r="AUB604" s="48"/>
      <c r="AUC604" s="53"/>
      <c r="AUJ604" s="15"/>
      <c r="AUK604" s="50"/>
      <c r="AUL604" s="50"/>
      <c r="AUM604" s="46"/>
      <c r="AUN604" s="47"/>
      <c r="AUO604" s="46"/>
      <c r="AUP604" s="48"/>
      <c r="AUQ604" s="53"/>
      <c r="AUX604" s="15"/>
      <c r="AUY604" s="50"/>
      <c r="AUZ604" s="50"/>
      <c r="AVA604" s="46"/>
      <c r="AVB604" s="47"/>
      <c r="AVC604" s="46"/>
      <c r="AVD604" s="48"/>
      <c r="AVE604" s="53"/>
      <c r="AVL604" s="15"/>
      <c r="AVM604" s="50"/>
      <c r="AVN604" s="50"/>
      <c r="AVO604" s="46"/>
      <c r="AVP604" s="47"/>
      <c r="AVQ604" s="46"/>
      <c r="AVR604" s="48"/>
      <c r="AVS604" s="53"/>
      <c r="AVZ604" s="15"/>
      <c r="AWA604" s="50"/>
      <c r="AWB604" s="50"/>
      <c r="AWC604" s="46"/>
      <c r="AWD604" s="47"/>
      <c r="AWE604" s="46"/>
      <c r="AWF604" s="48"/>
      <c r="AWG604" s="53"/>
      <c r="AWN604" s="15"/>
      <c r="AWO604" s="50"/>
      <c r="AWP604" s="50"/>
      <c r="AWQ604" s="46"/>
      <c r="AWR604" s="47"/>
      <c r="AWS604" s="46"/>
      <c r="AWT604" s="48"/>
      <c r="AWU604" s="53"/>
      <c r="AXB604" s="15"/>
      <c r="AXC604" s="50"/>
      <c r="AXD604" s="50"/>
      <c r="AXE604" s="46"/>
      <c r="AXF604" s="47"/>
      <c r="AXG604" s="46"/>
      <c r="AXH604" s="48"/>
      <c r="AXI604" s="53"/>
      <c r="AXP604" s="15"/>
      <c r="AXQ604" s="50"/>
      <c r="AXR604" s="50"/>
      <c r="AXS604" s="46"/>
      <c r="AXT604" s="47"/>
      <c r="AXU604" s="46"/>
      <c r="AXV604" s="48"/>
      <c r="AXW604" s="53"/>
      <c r="AYD604" s="15"/>
      <c r="AYE604" s="50"/>
      <c r="AYF604" s="50"/>
      <c r="AYG604" s="46"/>
      <c r="AYH604" s="47"/>
      <c r="AYI604" s="46"/>
      <c r="AYJ604" s="48"/>
      <c r="AYK604" s="53"/>
      <c r="AYR604" s="15"/>
      <c r="AYS604" s="50"/>
      <c r="AYT604" s="50"/>
      <c r="AYU604" s="46"/>
      <c r="AYV604" s="47"/>
      <c r="AYW604" s="46"/>
      <c r="AYX604" s="48"/>
      <c r="AYY604" s="53"/>
      <c r="AZF604" s="15"/>
      <c r="AZG604" s="50"/>
      <c r="AZH604" s="50"/>
      <c r="AZI604" s="46"/>
      <c r="AZJ604" s="47"/>
      <c r="AZK604" s="46"/>
      <c r="AZL604" s="48"/>
      <c r="AZM604" s="53"/>
      <c r="AZT604" s="15"/>
      <c r="AZU604" s="50"/>
      <c r="AZV604" s="50"/>
      <c r="AZW604" s="46"/>
      <c r="AZX604" s="47"/>
      <c r="AZY604" s="46"/>
      <c r="AZZ604" s="48"/>
      <c r="BAA604" s="53"/>
      <c r="BAH604" s="15"/>
      <c r="BAI604" s="50"/>
      <c r="BAJ604" s="50"/>
      <c r="BAK604" s="46"/>
      <c r="BAL604" s="47"/>
      <c r="BAM604" s="46"/>
      <c r="BAN604" s="48"/>
      <c r="BAO604" s="53"/>
      <c r="BAV604" s="15"/>
      <c r="BAW604" s="50"/>
      <c r="BAX604" s="50"/>
      <c r="BAY604" s="46"/>
      <c r="BAZ604" s="47"/>
      <c r="BBA604" s="46"/>
      <c r="BBB604" s="48"/>
      <c r="BBC604" s="53"/>
      <c r="BBJ604" s="15"/>
      <c r="BBK604" s="50"/>
      <c r="BBL604" s="50"/>
      <c r="BBM604" s="46"/>
      <c r="BBN604" s="47"/>
      <c r="BBO604" s="46"/>
      <c r="BBP604" s="48"/>
      <c r="BBQ604" s="53"/>
      <c r="BBX604" s="15"/>
      <c r="BBY604" s="50"/>
      <c r="BBZ604" s="50"/>
      <c r="BCA604" s="46"/>
      <c r="BCB604" s="47"/>
      <c r="BCC604" s="46"/>
      <c r="BCD604" s="48"/>
      <c r="BCE604" s="53"/>
      <c r="BCL604" s="15"/>
      <c r="BCM604" s="50"/>
      <c r="BCN604" s="50"/>
      <c r="BCO604" s="46"/>
      <c r="BCP604" s="47"/>
      <c r="BCQ604" s="46"/>
      <c r="BCR604" s="48"/>
      <c r="BCS604" s="53"/>
      <c r="BCZ604" s="15"/>
      <c r="BDA604" s="50"/>
      <c r="BDB604" s="50"/>
      <c r="BDC604" s="46"/>
      <c r="BDD604" s="47"/>
      <c r="BDE604" s="46"/>
      <c r="BDF604" s="48"/>
      <c r="BDG604" s="53"/>
      <c r="BDN604" s="15"/>
      <c r="BDO604" s="50"/>
      <c r="BDP604" s="50"/>
      <c r="BDQ604" s="46"/>
      <c r="BDR604" s="47"/>
      <c r="BDS604" s="46"/>
      <c r="BDT604" s="48"/>
      <c r="BDU604" s="53"/>
      <c r="BEB604" s="15"/>
      <c r="BEC604" s="50"/>
      <c r="BED604" s="50"/>
      <c r="BEE604" s="46"/>
      <c r="BEF604" s="47"/>
      <c r="BEG604" s="46"/>
      <c r="BEH604" s="48"/>
      <c r="BEI604" s="53"/>
      <c r="BEP604" s="15"/>
      <c r="BEQ604" s="50"/>
      <c r="BER604" s="50"/>
      <c r="BES604" s="46"/>
      <c r="BET604" s="47"/>
      <c r="BEU604" s="46"/>
      <c r="BEV604" s="48"/>
      <c r="BEW604" s="53"/>
      <c r="BFD604" s="15"/>
      <c r="BFE604" s="50"/>
      <c r="BFF604" s="50"/>
      <c r="BFG604" s="46"/>
      <c r="BFH604" s="47"/>
      <c r="BFI604" s="46"/>
      <c r="BFJ604" s="48"/>
      <c r="BFK604" s="53"/>
      <c r="BFR604" s="15"/>
      <c r="BFS604" s="50"/>
      <c r="BFT604" s="50"/>
      <c r="BFU604" s="46"/>
      <c r="BFV604" s="47"/>
      <c r="BFW604" s="46"/>
      <c r="BFX604" s="48"/>
      <c r="BFY604" s="53"/>
      <c r="BGF604" s="15"/>
      <c r="BGG604" s="50"/>
      <c r="BGH604" s="50"/>
      <c r="BGI604" s="46"/>
      <c r="BGJ604" s="47"/>
      <c r="BGK604" s="46"/>
      <c r="BGL604" s="48"/>
      <c r="BGM604" s="53"/>
      <c r="BGT604" s="15"/>
      <c r="BGU604" s="50"/>
      <c r="BGV604" s="50"/>
      <c r="BGW604" s="46"/>
      <c r="BGX604" s="47"/>
      <c r="BGY604" s="46"/>
      <c r="BGZ604" s="48"/>
      <c r="BHA604" s="53"/>
      <c r="BHH604" s="15"/>
      <c r="BHI604" s="50"/>
      <c r="BHJ604" s="50"/>
      <c r="BHK604" s="46"/>
      <c r="BHL604" s="47"/>
      <c r="BHM604" s="46"/>
      <c r="BHN604" s="48"/>
      <c r="BHO604" s="53"/>
      <c r="BHV604" s="15"/>
      <c r="BHW604" s="50"/>
      <c r="BHX604" s="50"/>
      <c r="BHY604" s="46"/>
      <c r="BHZ604" s="47"/>
      <c r="BIA604" s="46"/>
      <c r="BIB604" s="48"/>
      <c r="BIC604" s="53"/>
      <c r="BIJ604" s="15"/>
      <c r="BIK604" s="50"/>
      <c r="BIL604" s="50"/>
      <c r="BIM604" s="46"/>
      <c r="BIN604" s="47"/>
      <c r="BIO604" s="46"/>
      <c r="BIP604" s="48"/>
      <c r="BIQ604" s="53"/>
      <c r="BIX604" s="15"/>
      <c r="BIY604" s="50"/>
      <c r="BIZ604" s="50"/>
      <c r="BJA604" s="46"/>
      <c r="BJB604" s="47"/>
      <c r="BJC604" s="46"/>
      <c r="BJD604" s="48"/>
      <c r="BJE604" s="53"/>
      <c r="BJL604" s="15"/>
      <c r="BJM604" s="50"/>
      <c r="BJN604" s="50"/>
      <c r="BJO604" s="46"/>
      <c r="BJP604" s="47"/>
      <c r="BJQ604" s="46"/>
      <c r="BJR604" s="48"/>
      <c r="BJS604" s="53"/>
      <c r="BJZ604" s="15"/>
      <c r="BKA604" s="50"/>
      <c r="BKB604" s="50"/>
      <c r="BKC604" s="46"/>
      <c r="BKD604" s="47"/>
      <c r="BKE604" s="46"/>
      <c r="BKF604" s="48"/>
      <c r="BKG604" s="53"/>
      <c r="BKN604" s="15"/>
      <c r="BKO604" s="50"/>
      <c r="BKP604" s="50"/>
      <c r="BKQ604" s="46"/>
      <c r="BKR604" s="47"/>
      <c r="BKS604" s="46"/>
      <c r="BKT604" s="48"/>
      <c r="BKU604" s="53"/>
      <c r="BLB604" s="15"/>
      <c r="BLC604" s="50"/>
      <c r="BLD604" s="50"/>
      <c r="BLE604" s="46"/>
      <c r="BLF604" s="47"/>
      <c r="BLG604" s="46"/>
      <c r="BLH604" s="48"/>
      <c r="BLI604" s="53"/>
      <c r="BLP604" s="15"/>
      <c r="BLQ604" s="50"/>
      <c r="BLR604" s="50"/>
      <c r="BLS604" s="46"/>
      <c r="BLT604" s="47"/>
      <c r="BLU604" s="46"/>
      <c r="BLV604" s="48"/>
      <c r="BLW604" s="53"/>
      <c r="BMD604" s="15"/>
      <c r="BME604" s="50"/>
      <c r="BMF604" s="50"/>
      <c r="BMG604" s="46"/>
      <c r="BMH604" s="47"/>
      <c r="BMI604" s="46"/>
      <c r="BMJ604" s="48"/>
      <c r="BMK604" s="53"/>
      <c r="BMR604" s="15"/>
      <c r="BMS604" s="50"/>
      <c r="BMT604" s="50"/>
      <c r="BMU604" s="46"/>
      <c r="BMV604" s="47"/>
      <c r="BMW604" s="46"/>
      <c r="BMX604" s="48"/>
      <c r="BMY604" s="53"/>
      <c r="BNF604" s="15"/>
      <c r="BNG604" s="50"/>
      <c r="BNH604" s="50"/>
      <c r="BNI604" s="46"/>
      <c r="BNJ604" s="47"/>
      <c r="BNK604" s="46"/>
      <c r="BNL604" s="48"/>
      <c r="BNM604" s="53"/>
      <c r="BNT604" s="15"/>
      <c r="BNU604" s="50"/>
      <c r="BNV604" s="50"/>
      <c r="BNW604" s="46"/>
      <c r="BNX604" s="47"/>
      <c r="BNY604" s="46"/>
      <c r="BNZ604" s="48"/>
      <c r="BOA604" s="53"/>
      <c r="BOH604" s="15"/>
      <c r="BOI604" s="50"/>
      <c r="BOJ604" s="50"/>
      <c r="BOK604" s="46"/>
      <c r="BOL604" s="47"/>
      <c r="BOM604" s="46"/>
      <c r="BON604" s="48"/>
      <c r="BOO604" s="53"/>
      <c r="BOV604" s="15"/>
      <c r="BOW604" s="50"/>
      <c r="BOX604" s="50"/>
      <c r="BOY604" s="46"/>
      <c r="BOZ604" s="47"/>
      <c r="BPA604" s="46"/>
      <c r="BPB604" s="48"/>
      <c r="BPC604" s="53"/>
      <c r="BPJ604" s="15"/>
      <c r="BPK604" s="50"/>
      <c r="BPL604" s="50"/>
      <c r="BPM604" s="46"/>
      <c r="BPN604" s="47"/>
      <c r="BPO604" s="46"/>
      <c r="BPP604" s="48"/>
      <c r="BPQ604" s="53"/>
      <c r="BPX604" s="15"/>
      <c r="BPY604" s="50"/>
      <c r="BPZ604" s="50"/>
      <c r="BQA604" s="46"/>
      <c r="BQB604" s="47"/>
      <c r="BQC604" s="46"/>
      <c r="BQD604" s="48"/>
      <c r="BQE604" s="53"/>
      <c r="BQL604" s="15"/>
      <c r="BQM604" s="50"/>
      <c r="BQN604" s="50"/>
      <c r="BQO604" s="46"/>
      <c r="BQP604" s="47"/>
      <c r="BQQ604" s="46"/>
      <c r="BQR604" s="48"/>
      <c r="BQS604" s="53"/>
      <c r="BQZ604" s="15"/>
      <c r="BRA604" s="50"/>
      <c r="BRB604" s="50"/>
      <c r="BRC604" s="46"/>
      <c r="BRD604" s="47"/>
      <c r="BRE604" s="46"/>
      <c r="BRF604" s="48"/>
      <c r="BRG604" s="53"/>
      <c r="BRN604" s="15"/>
      <c r="BRO604" s="50"/>
      <c r="BRP604" s="50"/>
      <c r="BRQ604" s="46"/>
      <c r="BRR604" s="47"/>
      <c r="BRS604" s="46"/>
      <c r="BRT604" s="48"/>
      <c r="BRU604" s="53"/>
      <c r="BSB604" s="15"/>
      <c r="BSC604" s="50"/>
      <c r="BSD604" s="50"/>
      <c r="BSE604" s="46"/>
      <c r="BSF604" s="47"/>
      <c r="BSG604" s="46"/>
      <c r="BSH604" s="48"/>
      <c r="BSI604" s="53"/>
      <c r="BSP604" s="15"/>
      <c r="BSQ604" s="50"/>
      <c r="BSR604" s="50"/>
      <c r="BSS604" s="46"/>
      <c r="BST604" s="47"/>
      <c r="BSU604" s="46"/>
      <c r="BSV604" s="48"/>
      <c r="BSW604" s="53"/>
      <c r="BTD604" s="15"/>
      <c r="BTE604" s="50"/>
      <c r="BTF604" s="50"/>
      <c r="BTG604" s="46"/>
      <c r="BTH604" s="47"/>
      <c r="BTI604" s="46"/>
      <c r="BTJ604" s="48"/>
      <c r="BTK604" s="53"/>
      <c r="BTR604" s="15"/>
      <c r="BTS604" s="50"/>
      <c r="BTT604" s="50"/>
      <c r="BTU604" s="46"/>
      <c r="BTV604" s="47"/>
      <c r="BTW604" s="46"/>
      <c r="BTX604" s="48"/>
      <c r="BTY604" s="53"/>
      <c r="BUF604" s="15"/>
      <c r="BUG604" s="50"/>
      <c r="BUH604" s="50"/>
      <c r="BUI604" s="46"/>
      <c r="BUJ604" s="47"/>
      <c r="BUK604" s="46"/>
      <c r="BUL604" s="48"/>
      <c r="BUM604" s="53"/>
      <c r="BUT604" s="15"/>
      <c r="BUU604" s="50"/>
      <c r="BUV604" s="50"/>
      <c r="BUW604" s="46"/>
      <c r="BUX604" s="47"/>
      <c r="BUY604" s="46"/>
      <c r="BUZ604" s="48"/>
      <c r="BVA604" s="53"/>
      <c r="BVH604" s="15"/>
      <c r="BVI604" s="50"/>
      <c r="BVJ604" s="50"/>
      <c r="BVK604" s="46"/>
      <c r="BVL604" s="47"/>
      <c r="BVM604" s="46"/>
      <c r="BVN604" s="48"/>
      <c r="BVO604" s="53"/>
      <c r="BVV604" s="15"/>
      <c r="BVW604" s="50"/>
      <c r="BVX604" s="50"/>
      <c r="BVY604" s="46"/>
      <c r="BVZ604" s="47"/>
      <c r="BWA604" s="46"/>
      <c r="BWB604" s="48"/>
      <c r="BWC604" s="53"/>
      <c r="BWJ604" s="15"/>
      <c r="BWK604" s="50"/>
      <c r="BWL604" s="50"/>
      <c r="BWM604" s="46"/>
      <c r="BWN604" s="47"/>
      <c r="BWO604" s="46"/>
      <c r="BWP604" s="48"/>
      <c r="BWQ604" s="53"/>
      <c r="BWX604" s="15"/>
      <c r="BWY604" s="50"/>
      <c r="BWZ604" s="50"/>
      <c r="BXA604" s="46"/>
      <c r="BXB604" s="47"/>
      <c r="BXC604" s="46"/>
      <c r="BXD604" s="48"/>
      <c r="BXE604" s="53"/>
      <c r="BXL604" s="15"/>
      <c r="BXM604" s="50"/>
      <c r="BXN604" s="50"/>
      <c r="BXO604" s="46"/>
      <c r="BXP604" s="47"/>
      <c r="BXQ604" s="46"/>
      <c r="BXR604" s="48"/>
      <c r="BXS604" s="53"/>
      <c r="BXZ604" s="15"/>
      <c r="BYA604" s="50"/>
      <c r="BYB604" s="50"/>
      <c r="BYC604" s="46"/>
      <c r="BYD604" s="47"/>
      <c r="BYE604" s="46"/>
      <c r="BYF604" s="48"/>
      <c r="BYG604" s="53"/>
      <c r="BYN604" s="15"/>
      <c r="BYO604" s="50"/>
      <c r="BYP604" s="50"/>
      <c r="BYQ604" s="46"/>
      <c r="BYR604" s="47"/>
      <c r="BYS604" s="46"/>
      <c r="BYT604" s="48"/>
      <c r="BYU604" s="53"/>
      <c r="BZB604" s="15"/>
      <c r="BZC604" s="50"/>
      <c r="BZD604" s="50"/>
      <c r="BZE604" s="46"/>
      <c r="BZF604" s="47"/>
      <c r="BZG604" s="46"/>
      <c r="BZH604" s="48"/>
      <c r="BZI604" s="53"/>
      <c r="BZP604" s="15"/>
      <c r="BZQ604" s="50"/>
      <c r="BZR604" s="50"/>
      <c r="BZS604" s="46"/>
      <c r="BZT604" s="47"/>
      <c r="BZU604" s="46"/>
      <c r="BZV604" s="48"/>
      <c r="BZW604" s="53"/>
      <c r="CAD604" s="15"/>
      <c r="CAE604" s="50"/>
      <c r="CAF604" s="50"/>
      <c r="CAG604" s="46"/>
      <c r="CAH604" s="47"/>
      <c r="CAI604" s="46"/>
      <c r="CAJ604" s="48"/>
      <c r="CAK604" s="53"/>
      <c r="CAR604" s="15"/>
      <c r="CAS604" s="50"/>
      <c r="CAT604" s="50"/>
      <c r="CAU604" s="46"/>
      <c r="CAV604" s="47"/>
      <c r="CAW604" s="46"/>
      <c r="CAX604" s="48"/>
      <c r="CAY604" s="53"/>
      <c r="CBF604" s="15"/>
      <c r="CBG604" s="50"/>
      <c r="CBH604" s="50"/>
      <c r="CBI604" s="46"/>
      <c r="CBJ604" s="47"/>
      <c r="CBK604" s="46"/>
      <c r="CBL604" s="48"/>
      <c r="CBM604" s="53"/>
      <c r="CBT604" s="15"/>
      <c r="CBU604" s="50"/>
      <c r="CBV604" s="50"/>
      <c r="CBW604" s="46"/>
      <c r="CBX604" s="47"/>
      <c r="CBY604" s="46"/>
      <c r="CBZ604" s="48"/>
      <c r="CCA604" s="53"/>
      <c r="CCH604" s="15"/>
      <c r="CCI604" s="50"/>
      <c r="CCJ604" s="50"/>
      <c r="CCK604" s="46"/>
      <c r="CCL604" s="47"/>
      <c r="CCM604" s="46"/>
      <c r="CCN604" s="48"/>
      <c r="CCO604" s="53"/>
      <c r="CCV604" s="15"/>
      <c r="CCW604" s="50"/>
      <c r="CCX604" s="50"/>
      <c r="CCY604" s="46"/>
      <c r="CCZ604" s="47"/>
      <c r="CDA604" s="46"/>
      <c r="CDB604" s="48"/>
      <c r="CDC604" s="53"/>
      <c r="CDJ604" s="15"/>
      <c r="CDK604" s="50"/>
      <c r="CDL604" s="50"/>
      <c r="CDM604" s="46"/>
      <c r="CDN604" s="47"/>
      <c r="CDO604" s="46"/>
      <c r="CDP604" s="48"/>
      <c r="CDQ604" s="53"/>
      <c r="CDX604" s="15"/>
      <c r="CDY604" s="50"/>
      <c r="CDZ604" s="50"/>
      <c r="CEA604" s="46"/>
      <c r="CEB604" s="47"/>
      <c r="CEC604" s="46"/>
      <c r="CED604" s="48"/>
      <c r="CEE604" s="53"/>
      <c r="CEL604" s="15"/>
      <c r="CEM604" s="50"/>
      <c r="CEN604" s="50"/>
      <c r="CEO604" s="46"/>
      <c r="CEP604" s="47"/>
      <c r="CEQ604" s="46"/>
      <c r="CER604" s="48"/>
      <c r="CES604" s="53"/>
      <c r="CEZ604" s="15"/>
      <c r="CFA604" s="50"/>
      <c r="CFB604" s="50"/>
      <c r="CFC604" s="46"/>
      <c r="CFD604" s="47"/>
      <c r="CFE604" s="46"/>
      <c r="CFF604" s="48"/>
      <c r="CFG604" s="53"/>
      <c r="CFN604" s="15"/>
      <c r="CFO604" s="50"/>
      <c r="CFP604" s="50"/>
      <c r="CFQ604" s="46"/>
      <c r="CFR604" s="47"/>
      <c r="CFS604" s="46"/>
      <c r="CFT604" s="48"/>
      <c r="CFU604" s="53"/>
      <c r="CGB604" s="15"/>
      <c r="CGC604" s="50"/>
      <c r="CGD604" s="50"/>
      <c r="CGE604" s="46"/>
      <c r="CGF604" s="47"/>
      <c r="CGG604" s="46"/>
      <c r="CGH604" s="48"/>
      <c r="CGI604" s="53"/>
      <c r="CGP604" s="15"/>
      <c r="CGQ604" s="50"/>
      <c r="CGR604" s="50"/>
      <c r="CGS604" s="46"/>
      <c r="CGT604" s="47"/>
      <c r="CGU604" s="46"/>
      <c r="CGV604" s="48"/>
      <c r="CGW604" s="53"/>
      <c r="CHD604" s="15"/>
      <c r="CHE604" s="50"/>
      <c r="CHF604" s="50"/>
      <c r="CHG604" s="46"/>
      <c r="CHH604" s="47"/>
      <c r="CHI604" s="46"/>
      <c r="CHJ604" s="48"/>
      <c r="CHK604" s="53"/>
      <c r="CHR604" s="15"/>
      <c r="CHS604" s="50"/>
      <c r="CHT604" s="50"/>
      <c r="CHU604" s="46"/>
      <c r="CHV604" s="47"/>
      <c r="CHW604" s="46"/>
      <c r="CHX604" s="48"/>
      <c r="CHY604" s="53"/>
      <c r="CIF604" s="15"/>
      <c r="CIG604" s="50"/>
      <c r="CIH604" s="50"/>
      <c r="CII604" s="46"/>
      <c r="CIJ604" s="47"/>
      <c r="CIK604" s="46"/>
      <c r="CIL604" s="48"/>
      <c r="CIM604" s="53"/>
      <c r="CIT604" s="15"/>
      <c r="CIU604" s="50"/>
      <c r="CIV604" s="50"/>
      <c r="CIW604" s="46"/>
      <c r="CIX604" s="47"/>
      <c r="CIY604" s="46"/>
      <c r="CIZ604" s="48"/>
      <c r="CJA604" s="53"/>
      <c r="CJH604" s="15"/>
      <c r="CJI604" s="50"/>
      <c r="CJJ604" s="50"/>
      <c r="CJK604" s="46"/>
      <c r="CJL604" s="47"/>
      <c r="CJM604" s="46"/>
      <c r="CJN604" s="48"/>
      <c r="CJO604" s="53"/>
      <c r="CJV604" s="15"/>
      <c r="CJW604" s="50"/>
      <c r="CJX604" s="50"/>
      <c r="CJY604" s="46"/>
      <c r="CJZ604" s="47"/>
      <c r="CKA604" s="46"/>
      <c r="CKB604" s="48"/>
      <c r="CKC604" s="53"/>
      <c r="CKJ604" s="15"/>
      <c r="CKK604" s="50"/>
      <c r="CKL604" s="50"/>
      <c r="CKM604" s="46"/>
      <c r="CKN604" s="47"/>
      <c r="CKO604" s="46"/>
      <c r="CKP604" s="48"/>
      <c r="CKQ604" s="53"/>
      <c r="CKX604" s="15"/>
      <c r="CKY604" s="50"/>
      <c r="CKZ604" s="50"/>
      <c r="CLA604" s="46"/>
      <c r="CLB604" s="47"/>
      <c r="CLC604" s="46"/>
      <c r="CLD604" s="48"/>
      <c r="CLE604" s="53"/>
      <c r="CLL604" s="15"/>
      <c r="CLM604" s="50"/>
      <c r="CLN604" s="50"/>
      <c r="CLO604" s="46"/>
      <c r="CLP604" s="47"/>
      <c r="CLQ604" s="46"/>
      <c r="CLR604" s="48"/>
      <c r="CLS604" s="53"/>
      <c r="CLZ604" s="15"/>
      <c r="CMA604" s="50"/>
      <c r="CMB604" s="50"/>
      <c r="CMC604" s="46"/>
      <c r="CMD604" s="47"/>
      <c r="CME604" s="46"/>
      <c r="CMF604" s="48"/>
      <c r="CMG604" s="53"/>
      <c r="CMN604" s="15"/>
      <c r="CMO604" s="50"/>
      <c r="CMP604" s="50"/>
      <c r="CMQ604" s="46"/>
      <c r="CMR604" s="47"/>
      <c r="CMS604" s="46"/>
      <c r="CMT604" s="48"/>
      <c r="CMU604" s="53"/>
      <c r="CNB604" s="15"/>
      <c r="CNC604" s="50"/>
      <c r="CND604" s="50"/>
      <c r="CNE604" s="46"/>
      <c r="CNF604" s="47"/>
      <c r="CNG604" s="46"/>
      <c r="CNH604" s="48"/>
      <c r="CNI604" s="53"/>
      <c r="CNP604" s="15"/>
      <c r="CNQ604" s="50"/>
      <c r="CNR604" s="50"/>
      <c r="CNS604" s="46"/>
      <c r="CNT604" s="47"/>
      <c r="CNU604" s="46"/>
      <c r="CNV604" s="48"/>
      <c r="CNW604" s="53"/>
      <c r="COD604" s="15"/>
      <c r="COE604" s="50"/>
      <c r="COF604" s="50"/>
      <c r="COG604" s="46"/>
      <c r="COH604" s="47"/>
      <c r="COI604" s="46"/>
      <c r="COJ604" s="48"/>
      <c r="COK604" s="53"/>
      <c r="COR604" s="15"/>
      <c r="COS604" s="50"/>
      <c r="COT604" s="50"/>
      <c r="COU604" s="46"/>
      <c r="COV604" s="47"/>
      <c r="COW604" s="46"/>
      <c r="COX604" s="48"/>
      <c r="COY604" s="53"/>
      <c r="CPF604" s="15"/>
      <c r="CPG604" s="50"/>
      <c r="CPH604" s="50"/>
      <c r="CPI604" s="46"/>
      <c r="CPJ604" s="47"/>
      <c r="CPK604" s="46"/>
      <c r="CPL604" s="48"/>
      <c r="CPM604" s="53"/>
      <c r="CPT604" s="15"/>
      <c r="CPU604" s="50"/>
      <c r="CPV604" s="50"/>
      <c r="CPW604" s="46"/>
      <c r="CPX604" s="47"/>
      <c r="CPY604" s="46"/>
      <c r="CPZ604" s="48"/>
      <c r="CQA604" s="53"/>
      <c r="CQH604" s="15"/>
      <c r="CQI604" s="50"/>
      <c r="CQJ604" s="50"/>
      <c r="CQK604" s="46"/>
      <c r="CQL604" s="47"/>
      <c r="CQM604" s="46"/>
      <c r="CQN604" s="48"/>
      <c r="CQO604" s="53"/>
      <c r="CQV604" s="15"/>
      <c r="CQW604" s="50"/>
      <c r="CQX604" s="50"/>
      <c r="CQY604" s="46"/>
      <c r="CQZ604" s="47"/>
      <c r="CRA604" s="46"/>
      <c r="CRB604" s="48"/>
      <c r="CRC604" s="53"/>
      <c r="CRJ604" s="15"/>
      <c r="CRK604" s="50"/>
      <c r="CRL604" s="50"/>
      <c r="CRM604" s="46"/>
      <c r="CRN604" s="47"/>
      <c r="CRO604" s="46"/>
      <c r="CRP604" s="48"/>
      <c r="CRQ604" s="53"/>
      <c r="CRX604" s="15"/>
      <c r="CRY604" s="50"/>
      <c r="CRZ604" s="50"/>
      <c r="CSA604" s="46"/>
      <c r="CSB604" s="47"/>
      <c r="CSC604" s="46"/>
      <c r="CSD604" s="48"/>
      <c r="CSE604" s="53"/>
      <c r="CSL604" s="15"/>
      <c r="CSM604" s="50"/>
      <c r="CSN604" s="50"/>
      <c r="CSO604" s="46"/>
      <c r="CSP604" s="47"/>
      <c r="CSQ604" s="46"/>
      <c r="CSR604" s="48"/>
      <c r="CSS604" s="53"/>
      <c r="CSZ604" s="15"/>
      <c r="CTA604" s="50"/>
      <c r="CTB604" s="50"/>
      <c r="CTC604" s="46"/>
      <c r="CTD604" s="47"/>
      <c r="CTE604" s="46"/>
      <c r="CTF604" s="48"/>
      <c r="CTG604" s="53"/>
      <c r="CTN604" s="15"/>
      <c r="CTO604" s="50"/>
      <c r="CTP604" s="50"/>
      <c r="CTQ604" s="46"/>
      <c r="CTR604" s="47"/>
      <c r="CTS604" s="46"/>
      <c r="CTT604" s="48"/>
      <c r="CTU604" s="53"/>
      <c r="CUB604" s="15"/>
      <c r="CUC604" s="50"/>
      <c r="CUD604" s="50"/>
      <c r="CUE604" s="46"/>
      <c r="CUF604" s="47"/>
      <c r="CUG604" s="46"/>
      <c r="CUH604" s="48"/>
      <c r="CUI604" s="53"/>
      <c r="CUP604" s="15"/>
      <c r="CUQ604" s="50"/>
      <c r="CUR604" s="50"/>
      <c r="CUS604" s="46"/>
      <c r="CUT604" s="47"/>
      <c r="CUU604" s="46"/>
      <c r="CUV604" s="48"/>
      <c r="CUW604" s="53"/>
      <c r="CVD604" s="15"/>
      <c r="CVE604" s="50"/>
      <c r="CVF604" s="50"/>
      <c r="CVG604" s="46"/>
      <c r="CVH604" s="47"/>
      <c r="CVI604" s="46"/>
      <c r="CVJ604" s="48"/>
      <c r="CVK604" s="53"/>
      <c r="CVR604" s="15"/>
      <c r="CVS604" s="50"/>
      <c r="CVT604" s="50"/>
      <c r="CVU604" s="46"/>
      <c r="CVV604" s="47"/>
      <c r="CVW604" s="46"/>
      <c r="CVX604" s="48"/>
      <c r="CVY604" s="53"/>
      <c r="CWF604" s="15"/>
      <c r="CWG604" s="50"/>
      <c r="CWH604" s="50"/>
      <c r="CWI604" s="46"/>
      <c r="CWJ604" s="47"/>
      <c r="CWK604" s="46"/>
      <c r="CWL604" s="48"/>
      <c r="CWM604" s="53"/>
      <c r="CWT604" s="15"/>
      <c r="CWU604" s="50"/>
      <c r="CWV604" s="50"/>
      <c r="CWW604" s="46"/>
      <c r="CWX604" s="47"/>
      <c r="CWY604" s="46"/>
      <c r="CWZ604" s="48"/>
      <c r="CXA604" s="53"/>
      <c r="CXH604" s="15"/>
      <c r="CXI604" s="50"/>
      <c r="CXJ604" s="50"/>
      <c r="CXK604" s="46"/>
      <c r="CXL604" s="47"/>
      <c r="CXM604" s="46"/>
      <c r="CXN604" s="48"/>
      <c r="CXO604" s="53"/>
      <c r="CXV604" s="15"/>
      <c r="CXW604" s="50"/>
      <c r="CXX604" s="50"/>
      <c r="CXY604" s="46"/>
      <c r="CXZ604" s="47"/>
      <c r="CYA604" s="46"/>
      <c r="CYB604" s="48"/>
      <c r="CYC604" s="53"/>
      <c r="CYJ604" s="15"/>
      <c r="CYK604" s="50"/>
      <c r="CYL604" s="50"/>
      <c r="CYM604" s="46"/>
      <c r="CYN604" s="47"/>
      <c r="CYO604" s="46"/>
      <c r="CYP604" s="48"/>
      <c r="CYQ604" s="53"/>
      <c r="CYX604" s="15"/>
      <c r="CYY604" s="50"/>
      <c r="CYZ604" s="50"/>
      <c r="CZA604" s="46"/>
      <c r="CZB604" s="47"/>
      <c r="CZC604" s="46"/>
      <c r="CZD604" s="48"/>
      <c r="CZE604" s="53"/>
      <c r="CZL604" s="15"/>
      <c r="CZM604" s="50"/>
      <c r="CZN604" s="50"/>
      <c r="CZO604" s="46"/>
      <c r="CZP604" s="47"/>
      <c r="CZQ604" s="46"/>
      <c r="CZR604" s="48"/>
      <c r="CZS604" s="53"/>
      <c r="CZZ604" s="15"/>
      <c r="DAA604" s="50"/>
      <c r="DAB604" s="50"/>
      <c r="DAC604" s="46"/>
      <c r="DAD604" s="47"/>
      <c r="DAE604" s="46"/>
      <c r="DAF604" s="48"/>
      <c r="DAG604" s="53"/>
      <c r="DAN604" s="15"/>
      <c r="DAO604" s="50"/>
      <c r="DAP604" s="50"/>
      <c r="DAQ604" s="46"/>
      <c r="DAR604" s="47"/>
      <c r="DAS604" s="46"/>
      <c r="DAT604" s="48"/>
      <c r="DAU604" s="53"/>
      <c r="DBB604" s="15"/>
      <c r="DBC604" s="50"/>
      <c r="DBD604" s="50"/>
      <c r="DBE604" s="46"/>
      <c r="DBF604" s="47"/>
      <c r="DBG604" s="46"/>
      <c r="DBH604" s="48"/>
      <c r="DBI604" s="53"/>
      <c r="DBP604" s="15"/>
      <c r="DBQ604" s="50"/>
      <c r="DBR604" s="50"/>
      <c r="DBS604" s="46"/>
      <c r="DBT604" s="47"/>
      <c r="DBU604" s="46"/>
      <c r="DBV604" s="48"/>
      <c r="DBW604" s="53"/>
      <c r="DCD604" s="15"/>
      <c r="DCE604" s="50"/>
      <c r="DCF604" s="50"/>
      <c r="DCG604" s="46"/>
      <c r="DCH604" s="47"/>
      <c r="DCI604" s="46"/>
      <c r="DCJ604" s="48"/>
      <c r="DCK604" s="53"/>
      <c r="DCR604" s="15"/>
      <c r="DCS604" s="50"/>
      <c r="DCT604" s="50"/>
      <c r="DCU604" s="46"/>
      <c r="DCV604" s="47"/>
      <c r="DCW604" s="46"/>
      <c r="DCX604" s="48"/>
      <c r="DCY604" s="53"/>
      <c r="DDF604" s="15"/>
      <c r="DDG604" s="50"/>
      <c r="DDH604" s="50"/>
      <c r="DDI604" s="46"/>
      <c r="DDJ604" s="47"/>
      <c r="DDK604" s="46"/>
      <c r="DDL604" s="48"/>
      <c r="DDM604" s="53"/>
      <c r="DDT604" s="15"/>
      <c r="DDU604" s="50"/>
      <c r="DDV604" s="50"/>
      <c r="DDW604" s="46"/>
      <c r="DDX604" s="47"/>
      <c r="DDY604" s="46"/>
      <c r="DDZ604" s="48"/>
      <c r="DEA604" s="53"/>
      <c r="DEH604" s="15"/>
      <c r="DEI604" s="50"/>
      <c r="DEJ604" s="50"/>
      <c r="DEK604" s="46"/>
      <c r="DEL604" s="47"/>
      <c r="DEM604" s="46"/>
      <c r="DEN604" s="48"/>
      <c r="DEO604" s="53"/>
      <c r="DEV604" s="15"/>
      <c r="DEW604" s="50"/>
      <c r="DEX604" s="50"/>
      <c r="DEY604" s="46"/>
      <c r="DEZ604" s="47"/>
      <c r="DFA604" s="46"/>
      <c r="DFB604" s="48"/>
      <c r="DFC604" s="53"/>
      <c r="DFJ604" s="15"/>
      <c r="DFK604" s="50"/>
      <c r="DFL604" s="50"/>
      <c r="DFM604" s="46"/>
      <c r="DFN604" s="47"/>
      <c r="DFO604" s="46"/>
      <c r="DFP604" s="48"/>
      <c r="DFQ604" s="53"/>
      <c r="DFX604" s="15"/>
      <c r="DFY604" s="50"/>
      <c r="DFZ604" s="50"/>
      <c r="DGA604" s="46"/>
      <c r="DGB604" s="47"/>
      <c r="DGC604" s="46"/>
      <c r="DGD604" s="48"/>
      <c r="DGE604" s="53"/>
      <c r="DGL604" s="15"/>
      <c r="DGM604" s="50"/>
      <c r="DGN604" s="50"/>
      <c r="DGO604" s="46"/>
      <c r="DGP604" s="47"/>
      <c r="DGQ604" s="46"/>
      <c r="DGR604" s="48"/>
      <c r="DGS604" s="53"/>
      <c r="DGZ604" s="15"/>
      <c r="DHA604" s="50"/>
      <c r="DHB604" s="50"/>
      <c r="DHC604" s="46"/>
      <c r="DHD604" s="47"/>
      <c r="DHE604" s="46"/>
      <c r="DHF604" s="48"/>
      <c r="DHG604" s="53"/>
      <c r="DHN604" s="15"/>
      <c r="DHO604" s="50"/>
      <c r="DHP604" s="50"/>
      <c r="DHQ604" s="46"/>
      <c r="DHR604" s="47"/>
      <c r="DHS604" s="46"/>
      <c r="DHT604" s="48"/>
      <c r="DHU604" s="53"/>
      <c r="DIB604" s="15"/>
      <c r="DIC604" s="50"/>
      <c r="DID604" s="50"/>
      <c r="DIE604" s="46"/>
      <c r="DIF604" s="47"/>
      <c r="DIG604" s="46"/>
      <c r="DIH604" s="48"/>
      <c r="DII604" s="53"/>
      <c r="DIP604" s="15"/>
      <c r="DIQ604" s="50"/>
      <c r="DIR604" s="50"/>
      <c r="DIS604" s="46"/>
      <c r="DIT604" s="47"/>
      <c r="DIU604" s="46"/>
      <c r="DIV604" s="48"/>
      <c r="DIW604" s="53"/>
      <c r="DJD604" s="15"/>
      <c r="DJE604" s="50"/>
      <c r="DJF604" s="50"/>
      <c r="DJG604" s="46"/>
      <c r="DJH604" s="47"/>
      <c r="DJI604" s="46"/>
      <c r="DJJ604" s="48"/>
      <c r="DJK604" s="53"/>
      <c r="DJR604" s="15"/>
      <c r="DJS604" s="50"/>
      <c r="DJT604" s="50"/>
      <c r="DJU604" s="46"/>
      <c r="DJV604" s="47"/>
      <c r="DJW604" s="46"/>
      <c r="DJX604" s="48"/>
      <c r="DJY604" s="53"/>
      <c r="DKF604" s="15"/>
      <c r="DKG604" s="50"/>
      <c r="DKH604" s="50"/>
      <c r="DKI604" s="46"/>
      <c r="DKJ604" s="47"/>
      <c r="DKK604" s="46"/>
      <c r="DKL604" s="48"/>
      <c r="DKM604" s="53"/>
      <c r="DKT604" s="15"/>
      <c r="DKU604" s="50"/>
      <c r="DKV604" s="50"/>
      <c r="DKW604" s="46"/>
      <c r="DKX604" s="47"/>
      <c r="DKY604" s="46"/>
      <c r="DKZ604" s="48"/>
      <c r="DLA604" s="53"/>
      <c r="DLH604" s="15"/>
      <c r="DLI604" s="50"/>
      <c r="DLJ604" s="50"/>
      <c r="DLK604" s="46"/>
      <c r="DLL604" s="47"/>
      <c r="DLM604" s="46"/>
      <c r="DLN604" s="48"/>
      <c r="DLO604" s="53"/>
      <c r="DLV604" s="15"/>
      <c r="DLW604" s="50"/>
      <c r="DLX604" s="50"/>
      <c r="DLY604" s="46"/>
      <c r="DLZ604" s="47"/>
      <c r="DMA604" s="46"/>
      <c r="DMB604" s="48"/>
      <c r="DMC604" s="53"/>
      <c r="DMJ604" s="15"/>
      <c r="DMK604" s="50"/>
      <c r="DML604" s="50"/>
      <c r="DMM604" s="46"/>
      <c r="DMN604" s="47"/>
      <c r="DMO604" s="46"/>
      <c r="DMP604" s="48"/>
      <c r="DMQ604" s="53"/>
      <c r="DMX604" s="15"/>
      <c r="DMY604" s="50"/>
      <c r="DMZ604" s="50"/>
      <c r="DNA604" s="46"/>
      <c r="DNB604" s="47"/>
      <c r="DNC604" s="46"/>
      <c r="DND604" s="48"/>
      <c r="DNE604" s="53"/>
      <c r="DNL604" s="15"/>
      <c r="DNM604" s="50"/>
      <c r="DNN604" s="50"/>
      <c r="DNO604" s="46"/>
      <c r="DNP604" s="47"/>
      <c r="DNQ604" s="46"/>
      <c r="DNR604" s="48"/>
      <c r="DNS604" s="53"/>
      <c r="DNZ604" s="15"/>
      <c r="DOA604" s="50"/>
      <c r="DOB604" s="50"/>
      <c r="DOC604" s="46"/>
      <c r="DOD604" s="47"/>
      <c r="DOE604" s="46"/>
      <c r="DOF604" s="48"/>
      <c r="DOG604" s="53"/>
      <c r="DON604" s="15"/>
      <c r="DOO604" s="50"/>
      <c r="DOP604" s="50"/>
      <c r="DOQ604" s="46"/>
      <c r="DOR604" s="47"/>
      <c r="DOS604" s="46"/>
      <c r="DOT604" s="48"/>
      <c r="DOU604" s="53"/>
      <c r="DPB604" s="15"/>
      <c r="DPC604" s="50"/>
      <c r="DPD604" s="50"/>
      <c r="DPE604" s="46"/>
      <c r="DPF604" s="47"/>
      <c r="DPG604" s="46"/>
      <c r="DPH604" s="48"/>
      <c r="DPI604" s="53"/>
      <c r="DPP604" s="15"/>
      <c r="DPQ604" s="50"/>
      <c r="DPR604" s="50"/>
      <c r="DPS604" s="46"/>
      <c r="DPT604" s="47"/>
      <c r="DPU604" s="46"/>
      <c r="DPV604" s="48"/>
      <c r="DPW604" s="53"/>
      <c r="DQD604" s="15"/>
      <c r="DQE604" s="50"/>
      <c r="DQF604" s="50"/>
      <c r="DQG604" s="46"/>
      <c r="DQH604" s="47"/>
      <c r="DQI604" s="46"/>
      <c r="DQJ604" s="48"/>
      <c r="DQK604" s="53"/>
      <c r="DQR604" s="15"/>
      <c r="DQS604" s="50"/>
      <c r="DQT604" s="50"/>
      <c r="DQU604" s="46"/>
      <c r="DQV604" s="47"/>
      <c r="DQW604" s="46"/>
      <c r="DQX604" s="48"/>
      <c r="DQY604" s="53"/>
      <c r="DRF604" s="15"/>
      <c r="DRG604" s="50"/>
      <c r="DRH604" s="50"/>
      <c r="DRI604" s="46"/>
      <c r="DRJ604" s="47"/>
      <c r="DRK604" s="46"/>
      <c r="DRL604" s="48"/>
      <c r="DRM604" s="53"/>
      <c r="DRT604" s="15"/>
      <c r="DRU604" s="50"/>
      <c r="DRV604" s="50"/>
      <c r="DRW604" s="46"/>
      <c r="DRX604" s="47"/>
      <c r="DRY604" s="46"/>
      <c r="DRZ604" s="48"/>
      <c r="DSA604" s="53"/>
      <c r="DSH604" s="15"/>
      <c r="DSI604" s="50"/>
      <c r="DSJ604" s="50"/>
      <c r="DSK604" s="46"/>
      <c r="DSL604" s="47"/>
      <c r="DSM604" s="46"/>
      <c r="DSN604" s="48"/>
      <c r="DSO604" s="53"/>
      <c r="DSV604" s="15"/>
      <c r="DSW604" s="50"/>
      <c r="DSX604" s="50"/>
      <c r="DSY604" s="46"/>
      <c r="DSZ604" s="47"/>
      <c r="DTA604" s="46"/>
      <c r="DTB604" s="48"/>
      <c r="DTC604" s="53"/>
      <c r="DTJ604" s="15"/>
      <c r="DTK604" s="50"/>
      <c r="DTL604" s="50"/>
      <c r="DTM604" s="46"/>
      <c r="DTN604" s="47"/>
      <c r="DTO604" s="46"/>
      <c r="DTP604" s="48"/>
      <c r="DTQ604" s="53"/>
      <c r="DTX604" s="15"/>
      <c r="DTY604" s="50"/>
      <c r="DTZ604" s="50"/>
      <c r="DUA604" s="46"/>
      <c r="DUB604" s="47"/>
      <c r="DUC604" s="46"/>
      <c r="DUD604" s="48"/>
      <c r="DUE604" s="53"/>
      <c r="DUL604" s="15"/>
      <c r="DUM604" s="50"/>
      <c r="DUN604" s="50"/>
      <c r="DUO604" s="46"/>
      <c r="DUP604" s="47"/>
      <c r="DUQ604" s="46"/>
      <c r="DUR604" s="48"/>
      <c r="DUS604" s="53"/>
      <c r="DUZ604" s="15"/>
      <c r="DVA604" s="50"/>
      <c r="DVB604" s="50"/>
      <c r="DVC604" s="46"/>
      <c r="DVD604" s="47"/>
      <c r="DVE604" s="46"/>
      <c r="DVF604" s="48"/>
      <c r="DVG604" s="53"/>
      <c r="DVN604" s="15"/>
      <c r="DVO604" s="50"/>
      <c r="DVP604" s="50"/>
      <c r="DVQ604" s="46"/>
      <c r="DVR604" s="47"/>
      <c r="DVS604" s="46"/>
      <c r="DVT604" s="48"/>
      <c r="DVU604" s="53"/>
      <c r="DWB604" s="15"/>
      <c r="DWC604" s="50"/>
      <c r="DWD604" s="50"/>
      <c r="DWE604" s="46"/>
      <c r="DWF604" s="47"/>
      <c r="DWG604" s="46"/>
      <c r="DWH604" s="48"/>
      <c r="DWI604" s="53"/>
      <c r="DWP604" s="15"/>
      <c r="DWQ604" s="50"/>
      <c r="DWR604" s="50"/>
      <c r="DWS604" s="46"/>
      <c r="DWT604" s="47"/>
      <c r="DWU604" s="46"/>
      <c r="DWV604" s="48"/>
      <c r="DWW604" s="53"/>
      <c r="DXD604" s="15"/>
      <c r="DXE604" s="50"/>
      <c r="DXF604" s="50"/>
      <c r="DXG604" s="46"/>
      <c r="DXH604" s="47"/>
      <c r="DXI604" s="46"/>
      <c r="DXJ604" s="48"/>
      <c r="DXK604" s="53"/>
      <c r="DXR604" s="15"/>
      <c r="DXS604" s="50"/>
      <c r="DXT604" s="50"/>
      <c r="DXU604" s="46"/>
      <c r="DXV604" s="47"/>
      <c r="DXW604" s="46"/>
      <c r="DXX604" s="48"/>
      <c r="DXY604" s="53"/>
      <c r="DYF604" s="15"/>
      <c r="DYG604" s="50"/>
      <c r="DYH604" s="50"/>
      <c r="DYI604" s="46"/>
      <c r="DYJ604" s="47"/>
      <c r="DYK604" s="46"/>
      <c r="DYL604" s="48"/>
      <c r="DYM604" s="53"/>
      <c r="DYT604" s="15"/>
      <c r="DYU604" s="50"/>
      <c r="DYV604" s="50"/>
      <c r="DYW604" s="46"/>
      <c r="DYX604" s="47"/>
      <c r="DYY604" s="46"/>
      <c r="DYZ604" s="48"/>
      <c r="DZA604" s="53"/>
      <c r="DZH604" s="15"/>
      <c r="DZI604" s="50"/>
      <c r="DZJ604" s="50"/>
      <c r="DZK604" s="46"/>
      <c r="DZL604" s="47"/>
      <c r="DZM604" s="46"/>
      <c r="DZN604" s="48"/>
      <c r="DZO604" s="53"/>
      <c r="DZV604" s="15"/>
      <c r="DZW604" s="50"/>
      <c r="DZX604" s="50"/>
      <c r="DZY604" s="46"/>
      <c r="DZZ604" s="47"/>
      <c r="EAA604" s="46"/>
      <c r="EAB604" s="48"/>
      <c r="EAC604" s="53"/>
      <c r="EAJ604" s="15"/>
      <c r="EAK604" s="50"/>
      <c r="EAL604" s="50"/>
      <c r="EAM604" s="46"/>
      <c r="EAN604" s="47"/>
      <c r="EAO604" s="46"/>
      <c r="EAP604" s="48"/>
      <c r="EAQ604" s="53"/>
      <c r="EAX604" s="15"/>
      <c r="EAY604" s="50"/>
      <c r="EAZ604" s="50"/>
      <c r="EBA604" s="46"/>
      <c r="EBB604" s="47"/>
      <c r="EBC604" s="46"/>
      <c r="EBD604" s="48"/>
      <c r="EBE604" s="53"/>
      <c r="EBL604" s="15"/>
      <c r="EBM604" s="50"/>
      <c r="EBN604" s="50"/>
      <c r="EBO604" s="46"/>
      <c r="EBP604" s="47"/>
      <c r="EBQ604" s="46"/>
      <c r="EBR604" s="48"/>
      <c r="EBS604" s="53"/>
      <c r="EBZ604" s="15"/>
      <c r="ECA604" s="50"/>
      <c r="ECB604" s="50"/>
      <c r="ECC604" s="46"/>
      <c r="ECD604" s="47"/>
      <c r="ECE604" s="46"/>
      <c r="ECF604" s="48"/>
      <c r="ECG604" s="53"/>
      <c r="ECN604" s="15"/>
      <c r="ECO604" s="50"/>
      <c r="ECP604" s="50"/>
      <c r="ECQ604" s="46"/>
      <c r="ECR604" s="47"/>
      <c r="ECS604" s="46"/>
      <c r="ECT604" s="48"/>
      <c r="ECU604" s="53"/>
      <c r="EDB604" s="15"/>
      <c r="EDC604" s="50"/>
      <c r="EDD604" s="50"/>
      <c r="EDE604" s="46"/>
      <c r="EDF604" s="47"/>
      <c r="EDG604" s="46"/>
      <c r="EDH604" s="48"/>
      <c r="EDI604" s="53"/>
      <c r="EDP604" s="15"/>
      <c r="EDQ604" s="50"/>
      <c r="EDR604" s="50"/>
      <c r="EDS604" s="46"/>
      <c r="EDT604" s="47"/>
      <c r="EDU604" s="46"/>
      <c r="EDV604" s="48"/>
      <c r="EDW604" s="53"/>
      <c r="EED604" s="15"/>
      <c r="EEE604" s="50"/>
      <c r="EEF604" s="50"/>
      <c r="EEG604" s="46"/>
      <c r="EEH604" s="47"/>
      <c r="EEI604" s="46"/>
      <c r="EEJ604" s="48"/>
      <c r="EEK604" s="53"/>
      <c r="EER604" s="15"/>
      <c r="EES604" s="50"/>
      <c r="EET604" s="50"/>
      <c r="EEU604" s="46"/>
      <c r="EEV604" s="47"/>
      <c r="EEW604" s="46"/>
      <c r="EEX604" s="48"/>
      <c r="EEY604" s="53"/>
      <c r="EFF604" s="15"/>
      <c r="EFG604" s="50"/>
      <c r="EFH604" s="50"/>
      <c r="EFI604" s="46"/>
      <c r="EFJ604" s="47"/>
      <c r="EFK604" s="46"/>
      <c r="EFL604" s="48"/>
      <c r="EFM604" s="53"/>
      <c r="EFT604" s="15"/>
      <c r="EFU604" s="50"/>
      <c r="EFV604" s="50"/>
      <c r="EFW604" s="46"/>
      <c r="EFX604" s="47"/>
      <c r="EFY604" s="46"/>
      <c r="EFZ604" s="48"/>
      <c r="EGA604" s="53"/>
      <c r="EGH604" s="15"/>
      <c r="EGI604" s="50"/>
      <c r="EGJ604" s="50"/>
      <c r="EGK604" s="46"/>
      <c r="EGL604" s="47"/>
      <c r="EGM604" s="46"/>
      <c r="EGN604" s="48"/>
      <c r="EGO604" s="53"/>
      <c r="EGV604" s="15"/>
      <c r="EGW604" s="50"/>
      <c r="EGX604" s="50"/>
      <c r="EGY604" s="46"/>
      <c r="EGZ604" s="47"/>
      <c r="EHA604" s="46"/>
      <c r="EHB604" s="48"/>
      <c r="EHC604" s="53"/>
      <c r="EHJ604" s="15"/>
      <c r="EHK604" s="50"/>
      <c r="EHL604" s="50"/>
      <c r="EHM604" s="46"/>
      <c r="EHN604" s="47"/>
      <c r="EHO604" s="46"/>
      <c r="EHP604" s="48"/>
      <c r="EHQ604" s="53"/>
      <c r="EHX604" s="15"/>
      <c r="EHY604" s="50"/>
      <c r="EHZ604" s="50"/>
      <c r="EIA604" s="46"/>
      <c r="EIB604" s="47"/>
      <c r="EIC604" s="46"/>
      <c r="EID604" s="48"/>
      <c r="EIE604" s="53"/>
      <c r="EIL604" s="15"/>
      <c r="EIM604" s="50"/>
      <c r="EIN604" s="50"/>
      <c r="EIO604" s="46"/>
      <c r="EIP604" s="47"/>
      <c r="EIQ604" s="46"/>
      <c r="EIR604" s="48"/>
      <c r="EIS604" s="53"/>
      <c r="EIZ604" s="15"/>
      <c r="EJA604" s="50"/>
      <c r="EJB604" s="50"/>
      <c r="EJC604" s="46"/>
      <c r="EJD604" s="47"/>
      <c r="EJE604" s="46"/>
      <c r="EJF604" s="48"/>
      <c r="EJG604" s="53"/>
      <c r="EJN604" s="15"/>
      <c r="EJO604" s="50"/>
      <c r="EJP604" s="50"/>
      <c r="EJQ604" s="46"/>
      <c r="EJR604" s="47"/>
      <c r="EJS604" s="46"/>
      <c r="EJT604" s="48"/>
      <c r="EJU604" s="53"/>
      <c r="EKB604" s="15"/>
      <c r="EKC604" s="50"/>
      <c r="EKD604" s="50"/>
      <c r="EKE604" s="46"/>
      <c r="EKF604" s="47"/>
      <c r="EKG604" s="46"/>
      <c r="EKH604" s="48"/>
      <c r="EKI604" s="53"/>
      <c r="EKP604" s="15"/>
      <c r="EKQ604" s="50"/>
      <c r="EKR604" s="50"/>
      <c r="EKS604" s="46"/>
      <c r="EKT604" s="47"/>
      <c r="EKU604" s="46"/>
      <c r="EKV604" s="48"/>
      <c r="EKW604" s="53"/>
      <c r="ELD604" s="15"/>
      <c r="ELE604" s="50"/>
      <c r="ELF604" s="50"/>
      <c r="ELG604" s="46"/>
      <c r="ELH604" s="47"/>
      <c r="ELI604" s="46"/>
      <c r="ELJ604" s="48"/>
      <c r="ELK604" s="53"/>
      <c r="ELR604" s="15"/>
      <c r="ELS604" s="50"/>
      <c r="ELT604" s="50"/>
      <c r="ELU604" s="46"/>
      <c r="ELV604" s="47"/>
      <c r="ELW604" s="46"/>
      <c r="ELX604" s="48"/>
      <c r="ELY604" s="53"/>
      <c r="EMF604" s="15"/>
      <c r="EMG604" s="50"/>
      <c r="EMH604" s="50"/>
      <c r="EMI604" s="46"/>
      <c r="EMJ604" s="47"/>
      <c r="EMK604" s="46"/>
      <c r="EML604" s="48"/>
      <c r="EMM604" s="53"/>
      <c r="EMT604" s="15"/>
      <c r="EMU604" s="50"/>
      <c r="EMV604" s="50"/>
      <c r="EMW604" s="46"/>
      <c r="EMX604" s="47"/>
      <c r="EMY604" s="46"/>
      <c r="EMZ604" s="48"/>
      <c r="ENA604" s="53"/>
      <c r="ENH604" s="15"/>
      <c r="ENI604" s="50"/>
      <c r="ENJ604" s="50"/>
      <c r="ENK604" s="46"/>
      <c r="ENL604" s="47"/>
      <c r="ENM604" s="46"/>
      <c r="ENN604" s="48"/>
      <c r="ENO604" s="53"/>
      <c r="ENV604" s="15"/>
      <c r="ENW604" s="50"/>
      <c r="ENX604" s="50"/>
      <c r="ENY604" s="46"/>
      <c r="ENZ604" s="47"/>
      <c r="EOA604" s="46"/>
      <c r="EOB604" s="48"/>
      <c r="EOC604" s="53"/>
      <c r="EOJ604" s="15"/>
      <c r="EOK604" s="50"/>
      <c r="EOL604" s="50"/>
      <c r="EOM604" s="46"/>
      <c r="EON604" s="47"/>
      <c r="EOO604" s="46"/>
      <c r="EOP604" s="48"/>
      <c r="EOQ604" s="53"/>
      <c r="EOX604" s="15"/>
      <c r="EOY604" s="50"/>
      <c r="EOZ604" s="50"/>
      <c r="EPA604" s="46"/>
      <c r="EPB604" s="47"/>
      <c r="EPC604" s="46"/>
      <c r="EPD604" s="48"/>
      <c r="EPE604" s="53"/>
      <c r="EPL604" s="15"/>
      <c r="EPM604" s="50"/>
      <c r="EPN604" s="50"/>
      <c r="EPO604" s="46"/>
      <c r="EPP604" s="47"/>
      <c r="EPQ604" s="46"/>
      <c r="EPR604" s="48"/>
      <c r="EPS604" s="53"/>
      <c r="EPZ604" s="15"/>
      <c r="EQA604" s="50"/>
      <c r="EQB604" s="50"/>
      <c r="EQC604" s="46"/>
      <c r="EQD604" s="47"/>
      <c r="EQE604" s="46"/>
      <c r="EQF604" s="48"/>
      <c r="EQG604" s="53"/>
      <c r="EQN604" s="15"/>
      <c r="EQO604" s="50"/>
      <c r="EQP604" s="50"/>
      <c r="EQQ604" s="46"/>
      <c r="EQR604" s="47"/>
      <c r="EQS604" s="46"/>
      <c r="EQT604" s="48"/>
      <c r="EQU604" s="53"/>
      <c r="ERB604" s="15"/>
      <c r="ERC604" s="50"/>
      <c r="ERD604" s="50"/>
      <c r="ERE604" s="46"/>
      <c r="ERF604" s="47"/>
      <c r="ERG604" s="46"/>
      <c r="ERH604" s="48"/>
      <c r="ERI604" s="53"/>
      <c r="ERP604" s="15"/>
      <c r="ERQ604" s="50"/>
      <c r="ERR604" s="50"/>
      <c r="ERS604" s="46"/>
      <c r="ERT604" s="47"/>
      <c r="ERU604" s="46"/>
      <c r="ERV604" s="48"/>
      <c r="ERW604" s="53"/>
      <c r="ESD604" s="15"/>
      <c r="ESE604" s="50"/>
      <c r="ESF604" s="50"/>
      <c r="ESG604" s="46"/>
      <c r="ESH604" s="47"/>
      <c r="ESI604" s="46"/>
      <c r="ESJ604" s="48"/>
      <c r="ESK604" s="53"/>
      <c r="ESR604" s="15"/>
      <c r="ESS604" s="50"/>
      <c r="EST604" s="50"/>
      <c r="ESU604" s="46"/>
      <c r="ESV604" s="47"/>
      <c r="ESW604" s="46"/>
      <c r="ESX604" s="48"/>
      <c r="ESY604" s="53"/>
      <c r="ETF604" s="15"/>
      <c r="ETG604" s="50"/>
      <c r="ETH604" s="50"/>
      <c r="ETI604" s="46"/>
      <c r="ETJ604" s="47"/>
      <c r="ETK604" s="46"/>
      <c r="ETL604" s="48"/>
      <c r="ETM604" s="53"/>
      <c r="ETT604" s="15"/>
      <c r="ETU604" s="50"/>
      <c r="ETV604" s="50"/>
      <c r="ETW604" s="46"/>
      <c r="ETX604" s="47"/>
      <c r="ETY604" s="46"/>
      <c r="ETZ604" s="48"/>
      <c r="EUA604" s="53"/>
      <c r="EUH604" s="15"/>
      <c r="EUI604" s="50"/>
      <c r="EUJ604" s="50"/>
      <c r="EUK604" s="46"/>
      <c r="EUL604" s="47"/>
      <c r="EUM604" s="46"/>
      <c r="EUN604" s="48"/>
      <c r="EUO604" s="53"/>
      <c r="EUV604" s="15"/>
      <c r="EUW604" s="50"/>
      <c r="EUX604" s="50"/>
      <c r="EUY604" s="46"/>
      <c r="EUZ604" s="47"/>
      <c r="EVA604" s="46"/>
      <c r="EVB604" s="48"/>
      <c r="EVC604" s="53"/>
      <c r="EVJ604" s="15"/>
      <c r="EVK604" s="50"/>
      <c r="EVL604" s="50"/>
      <c r="EVM604" s="46"/>
      <c r="EVN604" s="47"/>
      <c r="EVO604" s="46"/>
      <c r="EVP604" s="48"/>
      <c r="EVQ604" s="53"/>
      <c r="EVX604" s="15"/>
      <c r="EVY604" s="50"/>
      <c r="EVZ604" s="50"/>
      <c r="EWA604" s="46"/>
      <c r="EWB604" s="47"/>
      <c r="EWC604" s="46"/>
      <c r="EWD604" s="48"/>
      <c r="EWE604" s="53"/>
      <c r="EWL604" s="15"/>
      <c r="EWM604" s="50"/>
      <c r="EWN604" s="50"/>
      <c r="EWO604" s="46"/>
      <c r="EWP604" s="47"/>
      <c r="EWQ604" s="46"/>
      <c r="EWR604" s="48"/>
      <c r="EWS604" s="53"/>
      <c r="EWZ604" s="15"/>
      <c r="EXA604" s="50"/>
      <c r="EXB604" s="50"/>
      <c r="EXC604" s="46"/>
      <c r="EXD604" s="47"/>
      <c r="EXE604" s="46"/>
      <c r="EXF604" s="48"/>
      <c r="EXG604" s="53"/>
      <c r="EXN604" s="15"/>
      <c r="EXO604" s="50"/>
      <c r="EXP604" s="50"/>
      <c r="EXQ604" s="46"/>
      <c r="EXR604" s="47"/>
      <c r="EXS604" s="46"/>
      <c r="EXT604" s="48"/>
      <c r="EXU604" s="53"/>
      <c r="EYB604" s="15"/>
      <c r="EYC604" s="50"/>
      <c r="EYD604" s="50"/>
      <c r="EYE604" s="46"/>
      <c r="EYF604" s="47"/>
      <c r="EYG604" s="46"/>
      <c r="EYH604" s="48"/>
      <c r="EYI604" s="53"/>
      <c r="EYP604" s="15"/>
      <c r="EYQ604" s="50"/>
      <c r="EYR604" s="50"/>
      <c r="EYS604" s="46"/>
      <c r="EYT604" s="47"/>
      <c r="EYU604" s="46"/>
      <c r="EYV604" s="48"/>
      <c r="EYW604" s="53"/>
      <c r="EZD604" s="15"/>
      <c r="EZE604" s="50"/>
      <c r="EZF604" s="50"/>
      <c r="EZG604" s="46"/>
      <c r="EZH604" s="47"/>
      <c r="EZI604" s="46"/>
      <c r="EZJ604" s="48"/>
      <c r="EZK604" s="53"/>
      <c r="EZR604" s="15"/>
      <c r="EZS604" s="50"/>
      <c r="EZT604" s="50"/>
      <c r="EZU604" s="46"/>
      <c r="EZV604" s="47"/>
      <c r="EZW604" s="46"/>
      <c r="EZX604" s="48"/>
      <c r="EZY604" s="53"/>
      <c r="FAF604" s="15"/>
      <c r="FAG604" s="50"/>
      <c r="FAH604" s="50"/>
      <c r="FAI604" s="46"/>
      <c r="FAJ604" s="47"/>
      <c r="FAK604" s="46"/>
      <c r="FAL604" s="48"/>
      <c r="FAM604" s="53"/>
      <c r="FAT604" s="15"/>
      <c r="FAU604" s="50"/>
      <c r="FAV604" s="50"/>
      <c r="FAW604" s="46"/>
      <c r="FAX604" s="47"/>
      <c r="FAY604" s="46"/>
      <c r="FAZ604" s="48"/>
      <c r="FBA604" s="53"/>
      <c r="FBH604" s="15"/>
      <c r="FBI604" s="50"/>
      <c r="FBJ604" s="50"/>
      <c r="FBK604" s="46"/>
      <c r="FBL604" s="47"/>
      <c r="FBM604" s="46"/>
      <c r="FBN604" s="48"/>
      <c r="FBO604" s="53"/>
      <c r="FBV604" s="15"/>
      <c r="FBW604" s="50"/>
      <c r="FBX604" s="50"/>
      <c r="FBY604" s="46"/>
      <c r="FBZ604" s="47"/>
      <c r="FCA604" s="46"/>
      <c r="FCB604" s="48"/>
      <c r="FCC604" s="53"/>
      <c r="FCJ604" s="15"/>
      <c r="FCK604" s="50"/>
      <c r="FCL604" s="50"/>
      <c r="FCM604" s="46"/>
      <c r="FCN604" s="47"/>
      <c r="FCO604" s="46"/>
      <c r="FCP604" s="48"/>
      <c r="FCQ604" s="53"/>
      <c r="FCX604" s="15"/>
      <c r="FCY604" s="50"/>
      <c r="FCZ604" s="50"/>
      <c r="FDA604" s="46"/>
      <c r="FDB604" s="47"/>
      <c r="FDC604" s="46"/>
      <c r="FDD604" s="48"/>
      <c r="FDE604" s="53"/>
      <c r="FDL604" s="15"/>
      <c r="FDM604" s="50"/>
      <c r="FDN604" s="50"/>
      <c r="FDO604" s="46"/>
      <c r="FDP604" s="47"/>
      <c r="FDQ604" s="46"/>
      <c r="FDR604" s="48"/>
      <c r="FDS604" s="53"/>
      <c r="FDZ604" s="15"/>
      <c r="FEA604" s="50"/>
      <c r="FEB604" s="50"/>
      <c r="FEC604" s="46"/>
      <c r="FED604" s="47"/>
      <c r="FEE604" s="46"/>
      <c r="FEF604" s="48"/>
      <c r="FEG604" s="53"/>
      <c r="FEN604" s="15"/>
      <c r="FEO604" s="50"/>
      <c r="FEP604" s="50"/>
      <c r="FEQ604" s="46"/>
      <c r="FER604" s="47"/>
      <c r="FES604" s="46"/>
      <c r="FET604" s="48"/>
      <c r="FEU604" s="53"/>
      <c r="FFB604" s="15"/>
      <c r="FFC604" s="50"/>
      <c r="FFD604" s="50"/>
      <c r="FFE604" s="46"/>
      <c r="FFF604" s="47"/>
      <c r="FFG604" s="46"/>
      <c r="FFH604" s="48"/>
      <c r="FFI604" s="53"/>
      <c r="FFP604" s="15"/>
      <c r="FFQ604" s="50"/>
      <c r="FFR604" s="50"/>
      <c r="FFS604" s="46"/>
      <c r="FFT604" s="47"/>
      <c r="FFU604" s="46"/>
      <c r="FFV604" s="48"/>
      <c r="FFW604" s="53"/>
      <c r="FGD604" s="15"/>
      <c r="FGE604" s="50"/>
      <c r="FGF604" s="50"/>
      <c r="FGG604" s="46"/>
      <c r="FGH604" s="47"/>
      <c r="FGI604" s="46"/>
      <c r="FGJ604" s="48"/>
      <c r="FGK604" s="53"/>
      <c r="FGR604" s="15"/>
      <c r="FGS604" s="50"/>
      <c r="FGT604" s="50"/>
      <c r="FGU604" s="46"/>
      <c r="FGV604" s="47"/>
      <c r="FGW604" s="46"/>
      <c r="FGX604" s="48"/>
      <c r="FGY604" s="53"/>
      <c r="FHF604" s="15"/>
      <c r="FHG604" s="50"/>
      <c r="FHH604" s="50"/>
      <c r="FHI604" s="46"/>
      <c r="FHJ604" s="47"/>
      <c r="FHK604" s="46"/>
      <c r="FHL604" s="48"/>
      <c r="FHM604" s="53"/>
      <c r="FHT604" s="15"/>
      <c r="FHU604" s="50"/>
      <c r="FHV604" s="50"/>
      <c r="FHW604" s="46"/>
      <c r="FHX604" s="47"/>
      <c r="FHY604" s="46"/>
      <c r="FHZ604" s="48"/>
      <c r="FIA604" s="53"/>
      <c r="FIH604" s="15"/>
      <c r="FII604" s="50"/>
      <c r="FIJ604" s="50"/>
      <c r="FIK604" s="46"/>
      <c r="FIL604" s="47"/>
      <c r="FIM604" s="46"/>
      <c r="FIN604" s="48"/>
      <c r="FIO604" s="53"/>
      <c r="FIV604" s="15"/>
      <c r="FIW604" s="50"/>
      <c r="FIX604" s="50"/>
      <c r="FIY604" s="46"/>
      <c r="FIZ604" s="47"/>
      <c r="FJA604" s="46"/>
      <c r="FJB604" s="48"/>
      <c r="FJC604" s="53"/>
      <c r="FJJ604" s="15"/>
      <c r="FJK604" s="50"/>
      <c r="FJL604" s="50"/>
      <c r="FJM604" s="46"/>
      <c r="FJN604" s="47"/>
      <c r="FJO604" s="46"/>
      <c r="FJP604" s="48"/>
      <c r="FJQ604" s="53"/>
      <c r="FJX604" s="15"/>
      <c r="FJY604" s="50"/>
      <c r="FJZ604" s="50"/>
      <c r="FKA604" s="46"/>
      <c r="FKB604" s="47"/>
      <c r="FKC604" s="46"/>
      <c r="FKD604" s="48"/>
      <c r="FKE604" s="53"/>
      <c r="FKL604" s="15"/>
      <c r="FKM604" s="50"/>
      <c r="FKN604" s="50"/>
      <c r="FKO604" s="46"/>
      <c r="FKP604" s="47"/>
      <c r="FKQ604" s="46"/>
      <c r="FKR604" s="48"/>
      <c r="FKS604" s="53"/>
      <c r="FKZ604" s="15"/>
      <c r="FLA604" s="50"/>
      <c r="FLB604" s="50"/>
      <c r="FLC604" s="46"/>
      <c r="FLD604" s="47"/>
      <c r="FLE604" s="46"/>
      <c r="FLF604" s="48"/>
      <c r="FLG604" s="53"/>
      <c r="FLN604" s="15"/>
      <c r="FLO604" s="50"/>
      <c r="FLP604" s="50"/>
      <c r="FLQ604" s="46"/>
      <c r="FLR604" s="47"/>
      <c r="FLS604" s="46"/>
      <c r="FLT604" s="48"/>
      <c r="FLU604" s="53"/>
      <c r="FMB604" s="15"/>
      <c r="FMC604" s="50"/>
      <c r="FMD604" s="50"/>
      <c r="FME604" s="46"/>
      <c r="FMF604" s="47"/>
      <c r="FMG604" s="46"/>
      <c r="FMH604" s="48"/>
      <c r="FMI604" s="53"/>
      <c r="FMP604" s="15"/>
      <c r="FMQ604" s="50"/>
      <c r="FMR604" s="50"/>
      <c r="FMS604" s="46"/>
      <c r="FMT604" s="47"/>
      <c r="FMU604" s="46"/>
      <c r="FMV604" s="48"/>
      <c r="FMW604" s="53"/>
      <c r="FND604" s="15"/>
      <c r="FNE604" s="50"/>
      <c r="FNF604" s="50"/>
      <c r="FNG604" s="46"/>
      <c r="FNH604" s="47"/>
      <c r="FNI604" s="46"/>
      <c r="FNJ604" s="48"/>
      <c r="FNK604" s="53"/>
      <c r="FNR604" s="15"/>
      <c r="FNS604" s="50"/>
      <c r="FNT604" s="50"/>
      <c r="FNU604" s="46"/>
      <c r="FNV604" s="47"/>
      <c r="FNW604" s="46"/>
      <c r="FNX604" s="48"/>
      <c r="FNY604" s="53"/>
      <c r="FOF604" s="15"/>
      <c r="FOG604" s="50"/>
      <c r="FOH604" s="50"/>
      <c r="FOI604" s="46"/>
      <c r="FOJ604" s="47"/>
      <c r="FOK604" s="46"/>
      <c r="FOL604" s="48"/>
      <c r="FOM604" s="53"/>
      <c r="FOT604" s="15"/>
      <c r="FOU604" s="50"/>
      <c r="FOV604" s="50"/>
      <c r="FOW604" s="46"/>
      <c r="FOX604" s="47"/>
      <c r="FOY604" s="46"/>
      <c r="FOZ604" s="48"/>
      <c r="FPA604" s="53"/>
      <c r="FPH604" s="15"/>
      <c r="FPI604" s="50"/>
      <c r="FPJ604" s="50"/>
      <c r="FPK604" s="46"/>
      <c r="FPL604" s="47"/>
      <c r="FPM604" s="46"/>
      <c r="FPN604" s="48"/>
      <c r="FPO604" s="53"/>
      <c r="FPV604" s="15"/>
      <c r="FPW604" s="50"/>
      <c r="FPX604" s="50"/>
      <c r="FPY604" s="46"/>
      <c r="FPZ604" s="47"/>
      <c r="FQA604" s="46"/>
      <c r="FQB604" s="48"/>
      <c r="FQC604" s="53"/>
      <c r="FQJ604" s="15"/>
      <c r="FQK604" s="50"/>
      <c r="FQL604" s="50"/>
      <c r="FQM604" s="46"/>
      <c r="FQN604" s="47"/>
      <c r="FQO604" s="46"/>
      <c r="FQP604" s="48"/>
      <c r="FQQ604" s="53"/>
      <c r="FQX604" s="15"/>
      <c r="FQY604" s="50"/>
      <c r="FQZ604" s="50"/>
      <c r="FRA604" s="46"/>
      <c r="FRB604" s="47"/>
      <c r="FRC604" s="46"/>
      <c r="FRD604" s="48"/>
      <c r="FRE604" s="53"/>
      <c r="FRL604" s="15"/>
      <c r="FRM604" s="50"/>
      <c r="FRN604" s="50"/>
      <c r="FRO604" s="46"/>
      <c r="FRP604" s="47"/>
      <c r="FRQ604" s="46"/>
      <c r="FRR604" s="48"/>
      <c r="FRS604" s="53"/>
      <c r="FRZ604" s="15"/>
      <c r="FSA604" s="50"/>
      <c r="FSB604" s="50"/>
      <c r="FSC604" s="46"/>
      <c r="FSD604" s="47"/>
      <c r="FSE604" s="46"/>
      <c r="FSF604" s="48"/>
      <c r="FSG604" s="53"/>
      <c r="FSN604" s="15"/>
      <c r="FSO604" s="50"/>
      <c r="FSP604" s="50"/>
      <c r="FSQ604" s="46"/>
      <c r="FSR604" s="47"/>
      <c r="FSS604" s="46"/>
      <c r="FST604" s="48"/>
      <c r="FSU604" s="53"/>
      <c r="FTB604" s="15"/>
      <c r="FTC604" s="50"/>
      <c r="FTD604" s="50"/>
      <c r="FTE604" s="46"/>
      <c r="FTF604" s="47"/>
      <c r="FTG604" s="46"/>
      <c r="FTH604" s="48"/>
      <c r="FTI604" s="53"/>
      <c r="FTP604" s="15"/>
      <c r="FTQ604" s="50"/>
      <c r="FTR604" s="50"/>
      <c r="FTS604" s="46"/>
      <c r="FTT604" s="47"/>
      <c r="FTU604" s="46"/>
      <c r="FTV604" s="48"/>
      <c r="FTW604" s="53"/>
      <c r="FUD604" s="15"/>
      <c r="FUE604" s="50"/>
      <c r="FUF604" s="50"/>
      <c r="FUG604" s="46"/>
      <c r="FUH604" s="47"/>
      <c r="FUI604" s="46"/>
      <c r="FUJ604" s="48"/>
      <c r="FUK604" s="53"/>
      <c r="FUR604" s="15"/>
      <c r="FUS604" s="50"/>
      <c r="FUT604" s="50"/>
      <c r="FUU604" s="46"/>
      <c r="FUV604" s="47"/>
      <c r="FUW604" s="46"/>
      <c r="FUX604" s="48"/>
      <c r="FUY604" s="53"/>
      <c r="FVF604" s="15"/>
      <c r="FVG604" s="50"/>
      <c r="FVH604" s="50"/>
      <c r="FVI604" s="46"/>
      <c r="FVJ604" s="47"/>
      <c r="FVK604" s="46"/>
      <c r="FVL604" s="48"/>
      <c r="FVM604" s="53"/>
      <c r="FVT604" s="15"/>
      <c r="FVU604" s="50"/>
      <c r="FVV604" s="50"/>
      <c r="FVW604" s="46"/>
      <c r="FVX604" s="47"/>
      <c r="FVY604" s="46"/>
      <c r="FVZ604" s="48"/>
      <c r="FWA604" s="53"/>
      <c r="FWH604" s="15"/>
      <c r="FWI604" s="50"/>
      <c r="FWJ604" s="50"/>
      <c r="FWK604" s="46"/>
      <c r="FWL604" s="47"/>
      <c r="FWM604" s="46"/>
      <c r="FWN604" s="48"/>
      <c r="FWO604" s="53"/>
      <c r="FWV604" s="15"/>
      <c r="FWW604" s="50"/>
      <c r="FWX604" s="50"/>
      <c r="FWY604" s="46"/>
      <c r="FWZ604" s="47"/>
      <c r="FXA604" s="46"/>
      <c r="FXB604" s="48"/>
      <c r="FXC604" s="53"/>
      <c r="FXJ604" s="15"/>
      <c r="FXK604" s="50"/>
      <c r="FXL604" s="50"/>
      <c r="FXM604" s="46"/>
      <c r="FXN604" s="47"/>
      <c r="FXO604" s="46"/>
      <c r="FXP604" s="48"/>
      <c r="FXQ604" s="53"/>
      <c r="FXX604" s="15"/>
      <c r="FXY604" s="50"/>
      <c r="FXZ604" s="50"/>
      <c r="FYA604" s="46"/>
      <c r="FYB604" s="47"/>
      <c r="FYC604" s="46"/>
      <c r="FYD604" s="48"/>
      <c r="FYE604" s="53"/>
      <c r="FYL604" s="15"/>
      <c r="FYM604" s="50"/>
      <c r="FYN604" s="50"/>
      <c r="FYO604" s="46"/>
      <c r="FYP604" s="47"/>
      <c r="FYQ604" s="46"/>
      <c r="FYR604" s="48"/>
      <c r="FYS604" s="53"/>
      <c r="FYZ604" s="15"/>
      <c r="FZA604" s="50"/>
      <c r="FZB604" s="50"/>
      <c r="FZC604" s="46"/>
      <c r="FZD604" s="47"/>
      <c r="FZE604" s="46"/>
      <c r="FZF604" s="48"/>
      <c r="FZG604" s="53"/>
      <c r="FZN604" s="15"/>
      <c r="FZO604" s="50"/>
      <c r="FZP604" s="50"/>
      <c r="FZQ604" s="46"/>
      <c r="FZR604" s="47"/>
      <c r="FZS604" s="46"/>
      <c r="FZT604" s="48"/>
      <c r="FZU604" s="53"/>
      <c r="GAB604" s="15"/>
      <c r="GAC604" s="50"/>
      <c r="GAD604" s="50"/>
      <c r="GAE604" s="46"/>
      <c r="GAF604" s="47"/>
      <c r="GAG604" s="46"/>
      <c r="GAH604" s="48"/>
      <c r="GAI604" s="53"/>
      <c r="GAP604" s="15"/>
      <c r="GAQ604" s="50"/>
      <c r="GAR604" s="50"/>
      <c r="GAS604" s="46"/>
      <c r="GAT604" s="47"/>
      <c r="GAU604" s="46"/>
      <c r="GAV604" s="48"/>
      <c r="GAW604" s="53"/>
      <c r="GBD604" s="15"/>
      <c r="GBE604" s="50"/>
      <c r="GBF604" s="50"/>
      <c r="GBG604" s="46"/>
      <c r="GBH604" s="47"/>
      <c r="GBI604" s="46"/>
      <c r="GBJ604" s="48"/>
      <c r="GBK604" s="53"/>
      <c r="GBR604" s="15"/>
      <c r="GBS604" s="50"/>
      <c r="GBT604" s="50"/>
      <c r="GBU604" s="46"/>
      <c r="GBV604" s="47"/>
      <c r="GBW604" s="46"/>
      <c r="GBX604" s="48"/>
      <c r="GBY604" s="53"/>
      <c r="GCF604" s="15"/>
      <c r="GCG604" s="50"/>
      <c r="GCH604" s="50"/>
      <c r="GCI604" s="46"/>
      <c r="GCJ604" s="47"/>
      <c r="GCK604" s="46"/>
      <c r="GCL604" s="48"/>
      <c r="GCM604" s="53"/>
      <c r="GCT604" s="15"/>
      <c r="GCU604" s="50"/>
      <c r="GCV604" s="50"/>
      <c r="GCW604" s="46"/>
      <c r="GCX604" s="47"/>
      <c r="GCY604" s="46"/>
      <c r="GCZ604" s="48"/>
      <c r="GDA604" s="53"/>
      <c r="GDH604" s="15"/>
      <c r="GDI604" s="50"/>
      <c r="GDJ604" s="50"/>
      <c r="GDK604" s="46"/>
      <c r="GDL604" s="47"/>
      <c r="GDM604" s="46"/>
      <c r="GDN604" s="48"/>
      <c r="GDO604" s="53"/>
      <c r="GDV604" s="15"/>
      <c r="GDW604" s="50"/>
      <c r="GDX604" s="50"/>
      <c r="GDY604" s="46"/>
      <c r="GDZ604" s="47"/>
      <c r="GEA604" s="46"/>
      <c r="GEB604" s="48"/>
      <c r="GEC604" s="53"/>
      <c r="GEJ604" s="15"/>
      <c r="GEK604" s="50"/>
      <c r="GEL604" s="50"/>
      <c r="GEM604" s="46"/>
      <c r="GEN604" s="47"/>
      <c r="GEO604" s="46"/>
      <c r="GEP604" s="48"/>
      <c r="GEQ604" s="53"/>
      <c r="GEX604" s="15"/>
      <c r="GEY604" s="50"/>
      <c r="GEZ604" s="50"/>
      <c r="GFA604" s="46"/>
      <c r="GFB604" s="47"/>
      <c r="GFC604" s="46"/>
      <c r="GFD604" s="48"/>
      <c r="GFE604" s="53"/>
      <c r="GFL604" s="15"/>
      <c r="GFM604" s="50"/>
      <c r="GFN604" s="50"/>
      <c r="GFO604" s="46"/>
      <c r="GFP604" s="47"/>
      <c r="GFQ604" s="46"/>
      <c r="GFR604" s="48"/>
      <c r="GFS604" s="53"/>
      <c r="GFZ604" s="15"/>
      <c r="GGA604" s="50"/>
      <c r="GGB604" s="50"/>
      <c r="GGC604" s="46"/>
      <c r="GGD604" s="47"/>
      <c r="GGE604" s="46"/>
      <c r="GGF604" s="48"/>
      <c r="GGG604" s="53"/>
      <c r="GGN604" s="15"/>
      <c r="GGO604" s="50"/>
      <c r="GGP604" s="50"/>
      <c r="GGQ604" s="46"/>
      <c r="GGR604" s="47"/>
      <c r="GGS604" s="46"/>
      <c r="GGT604" s="48"/>
      <c r="GGU604" s="53"/>
      <c r="GHB604" s="15"/>
      <c r="GHC604" s="50"/>
      <c r="GHD604" s="50"/>
      <c r="GHE604" s="46"/>
      <c r="GHF604" s="47"/>
      <c r="GHG604" s="46"/>
      <c r="GHH604" s="48"/>
      <c r="GHI604" s="53"/>
      <c r="GHP604" s="15"/>
      <c r="GHQ604" s="50"/>
      <c r="GHR604" s="50"/>
      <c r="GHS604" s="46"/>
      <c r="GHT604" s="47"/>
      <c r="GHU604" s="46"/>
      <c r="GHV604" s="48"/>
      <c r="GHW604" s="53"/>
      <c r="GID604" s="15"/>
      <c r="GIE604" s="50"/>
      <c r="GIF604" s="50"/>
      <c r="GIG604" s="46"/>
      <c r="GIH604" s="47"/>
      <c r="GII604" s="46"/>
      <c r="GIJ604" s="48"/>
      <c r="GIK604" s="53"/>
      <c r="GIR604" s="15"/>
      <c r="GIS604" s="50"/>
      <c r="GIT604" s="50"/>
      <c r="GIU604" s="46"/>
      <c r="GIV604" s="47"/>
      <c r="GIW604" s="46"/>
      <c r="GIX604" s="48"/>
      <c r="GIY604" s="53"/>
      <c r="GJF604" s="15"/>
      <c r="GJG604" s="50"/>
      <c r="GJH604" s="50"/>
      <c r="GJI604" s="46"/>
      <c r="GJJ604" s="47"/>
      <c r="GJK604" s="46"/>
      <c r="GJL604" s="48"/>
      <c r="GJM604" s="53"/>
      <c r="GJT604" s="15"/>
      <c r="GJU604" s="50"/>
      <c r="GJV604" s="50"/>
      <c r="GJW604" s="46"/>
      <c r="GJX604" s="47"/>
      <c r="GJY604" s="46"/>
      <c r="GJZ604" s="48"/>
      <c r="GKA604" s="53"/>
      <c r="GKH604" s="15"/>
      <c r="GKI604" s="50"/>
      <c r="GKJ604" s="50"/>
      <c r="GKK604" s="46"/>
      <c r="GKL604" s="47"/>
      <c r="GKM604" s="46"/>
      <c r="GKN604" s="48"/>
      <c r="GKO604" s="53"/>
      <c r="GKV604" s="15"/>
      <c r="GKW604" s="50"/>
      <c r="GKX604" s="50"/>
      <c r="GKY604" s="46"/>
      <c r="GKZ604" s="47"/>
      <c r="GLA604" s="46"/>
      <c r="GLB604" s="48"/>
      <c r="GLC604" s="53"/>
      <c r="GLJ604" s="15"/>
      <c r="GLK604" s="50"/>
      <c r="GLL604" s="50"/>
      <c r="GLM604" s="46"/>
      <c r="GLN604" s="47"/>
      <c r="GLO604" s="46"/>
      <c r="GLP604" s="48"/>
      <c r="GLQ604" s="53"/>
      <c r="GLX604" s="15"/>
      <c r="GLY604" s="50"/>
      <c r="GLZ604" s="50"/>
      <c r="GMA604" s="46"/>
      <c r="GMB604" s="47"/>
      <c r="GMC604" s="46"/>
      <c r="GMD604" s="48"/>
      <c r="GME604" s="53"/>
      <c r="GML604" s="15"/>
      <c r="GMM604" s="50"/>
      <c r="GMN604" s="50"/>
      <c r="GMO604" s="46"/>
      <c r="GMP604" s="47"/>
      <c r="GMQ604" s="46"/>
      <c r="GMR604" s="48"/>
      <c r="GMS604" s="53"/>
      <c r="GMZ604" s="15"/>
      <c r="GNA604" s="50"/>
      <c r="GNB604" s="50"/>
      <c r="GNC604" s="46"/>
      <c r="GND604" s="47"/>
      <c r="GNE604" s="46"/>
      <c r="GNF604" s="48"/>
      <c r="GNG604" s="53"/>
      <c r="GNN604" s="15"/>
      <c r="GNO604" s="50"/>
      <c r="GNP604" s="50"/>
      <c r="GNQ604" s="46"/>
      <c r="GNR604" s="47"/>
      <c r="GNS604" s="46"/>
      <c r="GNT604" s="48"/>
      <c r="GNU604" s="53"/>
      <c r="GOB604" s="15"/>
      <c r="GOC604" s="50"/>
      <c r="GOD604" s="50"/>
      <c r="GOE604" s="46"/>
      <c r="GOF604" s="47"/>
      <c r="GOG604" s="46"/>
      <c r="GOH604" s="48"/>
      <c r="GOI604" s="53"/>
      <c r="GOP604" s="15"/>
      <c r="GOQ604" s="50"/>
      <c r="GOR604" s="50"/>
      <c r="GOS604" s="46"/>
      <c r="GOT604" s="47"/>
      <c r="GOU604" s="46"/>
      <c r="GOV604" s="48"/>
      <c r="GOW604" s="53"/>
      <c r="GPD604" s="15"/>
      <c r="GPE604" s="50"/>
      <c r="GPF604" s="50"/>
      <c r="GPG604" s="46"/>
      <c r="GPH604" s="47"/>
      <c r="GPI604" s="46"/>
      <c r="GPJ604" s="48"/>
      <c r="GPK604" s="53"/>
      <c r="GPR604" s="15"/>
      <c r="GPS604" s="50"/>
      <c r="GPT604" s="50"/>
      <c r="GPU604" s="46"/>
      <c r="GPV604" s="47"/>
      <c r="GPW604" s="46"/>
      <c r="GPX604" s="48"/>
      <c r="GPY604" s="53"/>
      <c r="GQF604" s="15"/>
      <c r="GQG604" s="50"/>
      <c r="GQH604" s="50"/>
      <c r="GQI604" s="46"/>
      <c r="GQJ604" s="47"/>
      <c r="GQK604" s="46"/>
      <c r="GQL604" s="48"/>
      <c r="GQM604" s="53"/>
      <c r="GQT604" s="15"/>
      <c r="GQU604" s="50"/>
      <c r="GQV604" s="50"/>
      <c r="GQW604" s="46"/>
      <c r="GQX604" s="47"/>
      <c r="GQY604" s="46"/>
      <c r="GQZ604" s="48"/>
      <c r="GRA604" s="53"/>
      <c r="GRH604" s="15"/>
      <c r="GRI604" s="50"/>
      <c r="GRJ604" s="50"/>
      <c r="GRK604" s="46"/>
      <c r="GRL604" s="47"/>
      <c r="GRM604" s="46"/>
      <c r="GRN604" s="48"/>
      <c r="GRO604" s="53"/>
      <c r="GRV604" s="15"/>
      <c r="GRW604" s="50"/>
      <c r="GRX604" s="50"/>
      <c r="GRY604" s="46"/>
      <c r="GRZ604" s="47"/>
      <c r="GSA604" s="46"/>
      <c r="GSB604" s="48"/>
      <c r="GSC604" s="53"/>
      <c r="GSJ604" s="15"/>
      <c r="GSK604" s="50"/>
      <c r="GSL604" s="50"/>
      <c r="GSM604" s="46"/>
      <c r="GSN604" s="47"/>
      <c r="GSO604" s="46"/>
      <c r="GSP604" s="48"/>
      <c r="GSQ604" s="53"/>
      <c r="GSX604" s="15"/>
      <c r="GSY604" s="50"/>
      <c r="GSZ604" s="50"/>
      <c r="GTA604" s="46"/>
      <c r="GTB604" s="47"/>
      <c r="GTC604" s="46"/>
      <c r="GTD604" s="48"/>
      <c r="GTE604" s="53"/>
      <c r="GTL604" s="15"/>
      <c r="GTM604" s="50"/>
      <c r="GTN604" s="50"/>
      <c r="GTO604" s="46"/>
      <c r="GTP604" s="47"/>
      <c r="GTQ604" s="46"/>
      <c r="GTR604" s="48"/>
      <c r="GTS604" s="53"/>
      <c r="GTZ604" s="15"/>
      <c r="GUA604" s="50"/>
      <c r="GUB604" s="50"/>
      <c r="GUC604" s="46"/>
      <c r="GUD604" s="47"/>
      <c r="GUE604" s="46"/>
      <c r="GUF604" s="48"/>
      <c r="GUG604" s="53"/>
      <c r="GUN604" s="15"/>
      <c r="GUO604" s="50"/>
      <c r="GUP604" s="50"/>
      <c r="GUQ604" s="46"/>
      <c r="GUR604" s="47"/>
      <c r="GUS604" s="46"/>
      <c r="GUT604" s="48"/>
      <c r="GUU604" s="53"/>
      <c r="GVB604" s="15"/>
      <c r="GVC604" s="50"/>
      <c r="GVD604" s="50"/>
      <c r="GVE604" s="46"/>
      <c r="GVF604" s="47"/>
      <c r="GVG604" s="46"/>
      <c r="GVH604" s="48"/>
      <c r="GVI604" s="53"/>
      <c r="GVP604" s="15"/>
      <c r="GVQ604" s="50"/>
      <c r="GVR604" s="50"/>
      <c r="GVS604" s="46"/>
      <c r="GVT604" s="47"/>
      <c r="GVU604" s="46"/>
      <c r="GVV604" s="48"/>
      <c r="GVW604" s="53"/>
      <c r="GWD604" s="15"/>
      <c r="GWE604" s="50"/>
      <c r="GWF604" s="50"/>
      <c r="GWG604" s="46"/>
      <c r="GWH604" s="47"/>
      <c r="GWI604" s="46"/>
      <c r="GWJ604" s="48"/>
      <c r="GWK604" s="53"/>
      <c r="GWR604" s="15"/>
      <c r="GWS604" s="50"/>
      <c r="GWT604" s="50"/>
      <c r="GWU604" s="46"/>
      <c r="GWV604" s="47"/>
      <c r="GWW604" s="46"/>
      <c r="GWX604" s="48"/>
      <c r="GWY604" s="53"/>
      <c r="GXF604" s="15"/>
      <c r="GXG604" s="50"/>
      <c r="GXH604" s="50"/>
      <c r="GXI604" s="46"/>
      <c r="GXJ604" s="47"/>
      <c r="GXK604" s="46"/>
      <c r="GXL604" s="48"/>
      <c r="GXM604" s="53"/>
      <c r="GXT604" s="15"/>
      <c r="GXU604" s="50"/>
      <c r="GXV604" s="50"/>
      <c r="GXW604" s="46"/>
      <c r="GXX604" s="47"/>
      <c r="GXY604" s="46"/>
      <c r="GXZ604" s="48"/>
      <c r="GYA604" s="53"/>
      <c r="GYH604" s="15"/>
      <c r="GYI604" s="50"/>
      <c r="GYJ604" s="50"/>
      <c r="GYK604" s="46"/>
      <c r="GYL604" s="47"/>
      <c r="GYM604" s="46"/>
      <c r="GYN604" s="48"/>
      <c r="GYO604" s="53"/>
      <c r="GYV604" s="15"/>
      <c r="GYW604" s="50"/>
      <c r="GYX604" s="50"/>
      <c r="GYY604" s="46"/>
      <c r="GYZ604" s="47"/>
      <c r="GZA604" s="46"/>
      <c r="GZB604" s="48"/>
      <c r="GZC604" s="53"/>
      <c r="GZJ604" s="15"/>
      <c r="GZK604" s="50"/>
      <c r="GZL604" s="50"/>
      <c r="GZM604" s="46"/>
      <c r="GZN604" s="47"/>
      <c r="GZO604" s="46"/>
      <c r="GZP604" s="48"/>
      <c r="GZQ604" s="53"/>
      <c r="GZX604" s="15"/>
      <c r="GZY604" s="50"/>
      <c r="GZZ604" s="50"/>
      <c r="HAA604" s="46"/>
      <c r="HAB604" s="47"/>
      <c r="HAC604" s="46"/>
      <c r="HAD604" s="48"/>
      <c r="HAE604" s="53"/>
      <c r="HAL604" s="15"/>
      <c r="HAM604" s="50"/>
      <c r="HAN604" s="50"/>
      <c r="HAO604" s="46"/>
      <c r="HAP604" s="47"/>
      <c r="HAQ604" s="46"/>
      <c r="HAR604" s="48"/>
      <c r="HAS604" s="53"/>
      <c r="HAZ604" s="15"/>
      <c r="HBA604" s="50"/>
      <c r="HBB604" s="50"/>
      <c r="HBC604" s="46"/>
      <c r="HBD604" s="47"/>
      <c r="HBE604" s="46"/>
      <c r="HBF604" s="48"/>
      <c r="HBG604" s="53"/>
      <c r="HBN604" s="15"/>
      <c r="HBO604" s="50"/>
      <c r="HBP604" s="50"/>
      <c r="HBQ604" s="46"/>
      <c r="HBR604" s="47"/>
      <c r="HBS604" s="46"/>
      <c r="HBT604" s="48"/>
      <c r="HBU604" s="53"/>
      <c r="HCB604" s="15"/>
      <c r="HCC604" s="50"/>
      <c r="HCD604" s="50"/>
      <c r="HCE604" s="46"/>
      <c r="HCF604" s="47"/>
      <c r="HCG604" s="46"/>
      <c r="HCH604" s="48"/>
      <c r="HCI604" s="53"/>
      <c r="HCP604" s="15"/>
      <c r="HCQ604" s="50"/>
      <c r="HCR604" s="50"/>
      <c r="HCS604" s="46"/>
      <c r="HCT604" s="47"/>
      <c r="HCU604" s="46"/>
      <c r="HCV604" s="48"/>
      <c r="HCW604" s="53"/>
      <c r="HDD604" s="15"/>
      <c r="HDE604" s="50"/>
      <c r="HDF604" s="50"/>
      <c r="HDG604" s="46"/>
      <c r="HDH604" s="47"/>
      <c r="HDI604" s="46"/>
      <c r="HDJ604" s="48"/>
      <c r="HDK604" s="53"/>
      <c r="HDR604" s="15"/>
      <c r="HDS604" s="50"/>
      <c r="HDT604" s="50"/>
      <c r="HDU604" s="46"/>
      <c r="HDV604" s="47"/>
      <c r="HDW604" s="46"/>
      <c r="HDX604" s="48"/>
      <c r="HDY604" s="53"/>
      <c r="HEF604" s="15"/>
      <c r="HEG604" s="50"/>
      <c r="HEH604" s="50"/>
      <c r="HEI604" s="46"/>
      <c r="HEJ604" s="47"/>
      <c r="HEK604" s="46"/>
      <c r="HEL604" s="48"/>
      <c r="HEM604" s="53"/>
      <c r="HET604" s="15"/>
      <c r="HEU604" s="50"/>
      <c r="HEV604" s="50"/>
      <c r="HEW604" s="46"/>
      <c r="HEX604" s="47"/>
      <c r="HEY604" s="46"/>
      <c r="HEZ604" s="48"/>
      <c r="HFA604" s="53"/>
      <c r="HFH604" s="15"/>
      <c r="HFI604" s="50"/>
      <c r="HFJ604" s="50"/>
      <c r="HFK604" s="46"/>
      <c r="HFL604" s="47"/>
      <c r="HFM604" s="46"/>
      <c r="HFN604" s="48"/>
      <c r="HFO604" s="53"/>
      <c r="HFV604" s="15"/>
      <c r="HFW604" s="50"/>
      <c r="HFX604" s="50"/>
      <c r="HFY604" s="46"/>
      <c r="HFZ604" s="47"/>
      <c r="HGA604" s="46"/>
      <c r="HGB604" s="48"/>
      <c r="HGC604" s="53"/>
      <c r="HGJ604" s="15"/>
      <c r="HGK604" s="50"/>
      <c r="HGL604" s="50"/>
      <c r="HGM604" s="46"/>
      <c r="HGN604" s="47"/>
      <c r="HGO604" s="46"/>
      <c r="HGP604" s="48"/>
      <c r="HGQ604" s="53"/>
      <c r="HGX604" s="15"/>
      <c r="HGY604" s="50"/>
      <c r="HGZ604" s="50"/>
      <c r="HHA604" s="46"/>
      <c r="HHB604" s="47"/>
      <c r="HHC604" s="46"/>
      <c r="HHD604" s="48"/>
      <c r="HHE604" s="53"/>
      <c r="HHL604" s="15"/>
      <c r="HHM604" s="50"/>
      <c r="HHN604" s="50"/>
      <c r="HHO604" s="46"/>
      <c r="HHP604" s="47"/>
      <c r="HHQ604" s="46"/>
      <c r="HHR604" s="48"/>
      <c r="HHS604" s="53"/>
      <c r="HHZ604" s="15"/>
      <c r="HIA604" s="50"/>
      <c r="HIB604" s="50"/>
      <c r="HIC604" s="46"/>
      <c r="HID604" s="47"/>
      <c r="HIE604" s="46"/>
      <c r="HIF604" s="48"/>
      <c r="HIG604" s="53"/>
      <c r="HIN604" s="15"/>
      <c r="HIO604" s="50"/>
      <c r="HIP604" s="50"/>
      <c r="HIQ604" s="46"/>
      <c r="HIR604" s="47"/>
      <c r="HIS604" s="46"/>
      <c r="HIT604" s="48"/>
      <c r="HIU604" s="53"/>
      <c r="HJB604" s="15"/>
      <c r="HJC604" s="50"/>
      <c r="HJD604" s="50"/>
      <c r="HJE604" s="46"/>
      <c r="HJF604" s="47"/>
      <c r="HJG604" s="46"/>
      <c r="HJH604" s="48"/>
      <c r="HJI604" s="53"/>
      <c r="HJP604" s="15"/>
      <c r="HJQ604" s="50"/>
      <c r="HJR604" s="50"/>
      <c r="HJS604" s="46"/>
      <c r="HJT604" s="47"/>
      <c r="HJU604" s="46"/>
      <c r="HJV604" s="48"/>
      <c r="HJW604" s="53"/>
      <c r="HKD604" s="15"/>
      <c r="HKE604" s="50"/>
      <c r="HKF604" s="50"/>
      <c r="HKG604" s="46"/>
      <c r="HKH604" s="47"/>
      <c r="HKI604" s="46"/>
      <c r="HKJ604" s="48"/>
      <c r="HKK604" s="53"/>
      <c r="HKR604" s="15"/>
      <c r="HKS604" s="50"/>
      <c r="HKT604" s="50"/>
      <c r="HKU604" s="46"/>
      <c r="HKV604" s="47"/>
      <c r="HKW604" s="46"/>
      <c r="HKX604" s="48"/>
      <c r="HKY604" s="53"/>
      <c r="HLF604" s="15"/>
      <c r="HLG604" s="50"/>
      <c r="HLH604" s="50"/>
      <c r="HLI604" s="46"/>
      <c r="HLJ604" s="47"/>
      <c r="HLK604" s="46"/>
      <c r="HLL604" s="48"/>
      <c r="HLM604" s="53"/>
      <c r="HLT604" s="15"/>
      <c r="HLU604" s="50"/>
      <c r="HLV604" s="50"/>
      <c r="HLW604" s="46"/>
      <c r="HLX604" s="47"/>
      <c r="HLY604" s="46"/>
      <c r="HLZ604" s="48"/>
      <c r="HMA604" s="53"/>
      <c r="HMH604" s="15"/>
      <c r="HMI604" s="50"/>
      <c r="HMJ604" s="50"/>
      <c r="HMK604" s="46"/>
      <c r="HML604" s="47"/>
      <c r="HMM604" s="46"/>
      <c r="HMN604" s="48"/>
      <c r="HMO604" s="53"/>
      <c r="HMV604" s="15"/>
      <c r="HMW604" s="50"/>
      <c r="HMX604" s="50"/>
      <c r="HMY604" s="46"/>
      <c r="HMZ604" s="47"/>
      <c r="HNA604" s="46"/>
      <c r="HNB604" s="48"/>
      <c r="HNC604" s="53"/>
      <c r="HNJ604" s="15"/>
      <c r="HNK604" s="50"/>
      <c r="HNL604" s="50"/>
      <c r="HNM604" s="46"/>
      <c r="HNN604" s="47"/>
      <c r="HNO604" s="46"/>
      <c r="HNP604" s="48"/>
      <c r="HNQ604" s="53"/>
      <c r="HNX604" s="15"/>
      <c r="HNY604" s="50"/>
      <c r="HNZ604" s="50"/>
      <c r="HOA604" s="46"/>
      <c r="HOB604" s="47"/>
      <c r="HOC604" s="46"/>
      <c r="HOD604" s="48"/>
      <c r="HOE604" s="53"/>
      <c r="HOL604" s="15"/>
      <c r="HOM604" s="50"/>
      <c r="HON604" s="50"/>
      <c r="HOO604" s="46"/>
      <c r="HOP604" s="47"/>
      <c r="HOQ604" s="46"/>
      <c r="HOR604" s="48"/>
      <c r="HOS604" s="53"/>
      <c r="HOZ604" s="15"/>
      <c r="HPA604" s="50"/>
      <c r="HPB604" s="50"/>
      <c r="HPC604" s="46"/>
      <c r="HPD604" s="47"/>
      <c r="HPE604" s="46"/>
      <c r="HPF604" s="48"/>
      <c r="HPG604" s="53"/>
      <c r="HPN604" s="15"/>
      <c r="HPO604" s="50"/>
      <c r="HPP604" s="50"/>
      <c r="HPQ604" s="46"/>
      <c r="HPR604" s="47"/>
      <c r="HPS604" s="46"/>
      <c r="HPT604" s="48"/>
      <c r="HPU604" s="53"/>
      <c r="HQB604" s="15"/>
      <c r="HQC604" s="50"/>
      <c r="HQD604" s="50"/>
      <c r="HQE604" s="46"/>
      <c r="HQF604" s="47"/>
      <c r="HQG604" s="46"/>
      <c r="HQH604" s="48"/>
      <c r="HQI604" s="53"/>
      <c r="HQP604" s="15"/>
      <c r="HQQ604" s="50"/>
      <c r="HQR604" s="50"/>
      <c r="HQS604" s="46"/>
      <c r="HQT604" s="47"/>
      <c r="HQU604" s="46"/>
      <c r="HQV604" s="48"/>
      <c r="HQW604" s="53"/>
      <c r="HRD604" s="15"/>
      <c r="HRE604" s="50"/>
      <c r="HRF604" s="50"/>
      <c r="HRG604" s="46"/>
      <c r="HRH604" s="47"/>
      <c r="HRI604" s="46"/>
      <c r="HRJ604" s="48"/>
      <c r="HRK604" s="53"/>
      <c r="HRR604" s="15"/>
      <c r="HRS604" s="50"/>
      <c r="HRT604" s="50"/>
      <c r="HRU604" s="46"/>
      <c r="HRV604" s="47"/>
      <c r="HRW604" s="46"/>
      <c r="HRX604" s="48"/>
      <c r="HRY604" s="53"/>
      <c r="HSF604" s="15"/>
      <c r="HSG604" s="50"/>
      <c r="HSH604" s="50"/>
      <c r="HSI604" s="46"/>
      <c r="HSJ604" s="47"/>
      <c r="HSK604" s="46"/>
      <c r="HSL604" s="48"/>
      <c r="HSM604" s="53"/>
      <c r="HST604" s="15"/>
      <c r="HSU604" s="50"/>
      <c r="HSV604" s="50"/>
      <c r="HSW604" s="46"/>
      <c r="HSX604" s="47"/>
      <c r="HSY604" s="46"/>
      <c r="HSZ604" s="48"/>
      <c r="HTA604" s="53"/>
      <c r="HTH604" s="15"/>
      <c r="HTI604" s="50"/>
      <c r="HTJ604" s="50"/>
      <c r="HTK604" s="46"/>
      <c r="HTL604" s="47"/>
      <c r="HTM604" s="46"/>
      <c r="HTN604" s="48"/>
      <c r="HTO604" s="53"/>
      <c r="HTV604" s="15"/>
      <c r="HTW604" s="50"/>
      <c r="HTX604" s="50"/>
      <c r="HTY604" s="46"/>
      <c r="HTZ604" s="47"/>
      <c r="HUA604" s="46"/>
      <c r="HUB604" s="48"/>
      <c r="HUC604" s="53"/>
      <c r="HUJ604" s="15"/>
      <c r="HUK604" s="50"/>
      <c r="HUL604" s="50"/>
      <c r="HUM604" s="46"/>
      <c r="HUN604" s="47"/>
      <c r="HUO604" s="46"/>
      <c r="HUP604" s="48"/>
      <c r="HUQ604" s="53"/>
      <c r="HUX604" s="15"/>
      <c r="HUY604" s="50"/>
      <c r="HUZ604" s="50"/>
      <c r="HVA604" s="46"/>
      <c r="HVB604" s="47"/>
      <c r="HVC604" s="46"/>
      <c r="HVD604" s="48"/>
      <c r="HVE604" s="53"/>
      <c r="HVL604" s="15"/>
      <c r="HVM604" s="50"/>
      <c r="HVN604" s="50"/>
      <c r="HVO604" s="46"/>
      <c r="HVP604" s="47"/>
      <c r="HVQ604" s="46"/>
      <c r="HVR604" s="48"/>
      <c r="HVS604" s="53"/>
      <c r="HVZ604" s="15"/>
      <c r="HWA604" s="50"/>
      <c r="HWB604" s="50"/>
      <c r="HWC604" s="46"/>
      <c r="HWD604" s="47"/>
      <c r="HWE604" s="46"/>
      <c r="HWF604" s="48"/>
      <c r="HWG604" s="53"/>
      <c r="HWN604" s="15"/>
      <c r="HWO604" s="50"/>
      <c r="HWP604" s="50"/>
      <c r="HWQ604" s="46"/>
      <c r="HWR604" s="47"/>
      <c r="HWS604" s="46"/>
      <c r="HWT604" s="48"/>
      <c r="HWU604" s="53"/>
      <c r="HXB604" s="15"/>
      <c r="HXC604" s="50"/>
      <c r="HXD604" s="50"/>
      <c r="HXE604" s="46"/>
      <c r="HXF604" s="47"/>
      <c r="HXG604" s="46"/>
      <c r="HXH604" s="48"/>
      <c r="HXI604" s="53"/>
      <c r="HXP604" s="15"/>
      <c r="HXQ604" s="50"/>
      <c r="HXR604" s="50"/>
      <c r="HXS604" s="46"/>
      <c r="HXT604" s="47"/>
      <c r="HXU604" s="46"/>
      <c r="HXV604" s="48"/>
      <c r="HXW604" s="53"/>
      <c r="HYD604" s="15"/>
      <c r="HYE604" s="50"/>
      <c r="HYF604" s="50"/>
      <c r="HYG604" s="46"/>
      <c r="HYH604" s="47"/>
      <c r="HYI604" s="46"/>
      <c r="HYJ604" s="48"/>
      <c r="HYK604" s="53"/>
      <c r="HYR604" s="15"/>
      <c r="HYS604" s="50"/>
      <c r="HYT604" s="50"/>
      <c r="HYU604" s="46"/>
      <c r="HYV604" s="47"/>
      <c r="HYW604" s="46"/>
      <c r="HYX604" s="48"/>
      <c r="HYY604" s="53"/>
      <c r="HZF604" s="15"/>
      <c r="HZG604" s="50"/>
      <c r="HZH604" s="50"/>
      <c r="HZI604" s="46"/>
      <c r="HZJ604" s="47"/>
      <c r="HZK604" s="46"/>
      <c r="HZL604" s="48"/>
      <c r="HZM604" s="53"/>
      <c r="HZT604" s="15"/>
      <c r="HZU604" s="50"/>
      <c r="HZV604" s="50"/>
      <c r="HZW604" s="46"/>
      <c r="HZX604" s="47"/>
      <c r="HZY604" s="46"/>
      <c r="HZZ604" s="48"/>
      <c r="IAA604" s="53"/>
      <c r="IAH604" s="15"/>
      <c r="IAI604" s="50"/>
      <c r="IAJ604" s="50"/>
      <c r="IAK604" s="46"/>
      <c r="IAL604" s="47"/>
      <c r="IAM604" s="46"/>
      <c r="IAN604" s="48"/>
      <c r="IAO604" s="53"/>
      <c r="IAV604" s="15"/>
      <c r="IAW604" s="50"/>
      <c r="IAX604" s="50"/>
      <c r="IAY604" s="46"/>
      <c r="IAZ604" s="47"/>
      <c r="IBA604" s="46"/>
      <c r="IBB604" s="48"/>
      <c r="IBC604" s="53"/>
      <c r="IBJ604" s="15"/>
      <c r="IBK604" s="50"/>
      <c r="IBL604" s="50"/>
      <c r="IBM604" s="46"/>
      <c r="IBN604" s="47"/>
      <c r="IBO604" s="46"/>
      <c r="IBP604" s="48"/>
      <c r="IBQ604" s="53"/>
      <c r="IBX604" s="15"/>
      <c r="IBY604" s="50"/>
      <c r="IBZ604" s="50"/>
      <c r="ICA604" s="46"/>
      <c r="ICB604" s="47"/>
      <c r="ICC604" s="46"/>
      <c r="ICD604" s="48"/>
      <c r="ICE604" s="53"/>
      <c r="ICL604" s="15"/>
      <c r="ICM604" s="50"/>
      <c r="ICN604" s="50"/>
      <c r="ICO604" s="46"/>
      <c r="ICP604" s="47"/>
      <c r="ICQ604" s="46"/>
      <c r="ICR604" s="48"/>
      <c r="ICS604" s="53"/>
      <c r="ICZ604" s="15"/>
      <c r="IDA604" s="50"/>
      <c r="IDB604" s="50"/>
      <c r="IDC604" s="46"/>
      <c r="IDD604" s="47"/>
      <c r="IDE604" s="46"/>
      <c r="IDF604" s="48"/>
      <c r="IDG604" s="53"/>
      <c r="IDN604" s="15"/>
      <c r="IDO604" s="50"/>
      <c r="IDP604" s="50"/>
      <c r="IDQ604" s="46"/>
      <c r="IDR604" s="47"/>
      <c r="IDS604" s="46"/>
      <c r="IDT604" s="48"/>
      <c r="IDU604" s="53"/>
      <c r="IEB604" s="15"/>
      <c r="IEC604" s="50"/>
      <c r="IED604" s="50"/>
      <c r="IEE604" s="46"/>
      <c r="IEF604" s="47"/>
      <c r="IEG604" s="46"/>
      <c r="IEH604" s="48"/>
      <c r="IEI604" s="53"/>
      <c r="IEP604" s="15"/>
      <c r="IEQ604" s="50"/>
      <c r="IER604" s="50"/>
      <c r="IES604" s="46"/>
      <c r="IET604" s="47"/>
      <c r="IEU604" s="46"/>
      <c r="IEV604" s="48"/>
      <c r="IEW604" s="53"/>
      <c r="IFD604" s="15"/>
      <c r="IFE604" s="50"/>
      <c r="IFF604" s="50"/>
      <c r="IFG604" s="46"/>
      <c r="IFH604" s="47"/>
      <c r="IFI604" s="46"/>
      <c r="IFJ604" s="48"/>
      <c r="IFK604" s="53"/>
      <c r="IFR604" s="15"/>
      <c r="IFS604" s="50"/>
      <c r="IFT604" s="50"/>
      <c r="IFU604" s="46"/>
      <c r="IFV604" s="47"/>
      <c r="IFW604" s="46"/>
      <c r="IFX604" s="48"/>
      <c r="IFY604" s="53"/>
      <c r="IGF604" s="15"/>
      <c r="IGG604" s="50"/>
      <c r="IGH604" s="50"/>
      <c r="IGI604" s="46"/>
      <c r="IGJ604" s="47"/>
      <c r="IGK604" s="46"/>
      <c r="IGL604" s="48"/>
      <c r="IGM604" s="53"/>
      <c r="IGT604" s="15"/>
      <c r="IGU604" s="50"/>
      <c r="IGV604" s="50"/>
      <c r="IGW604" s="46"/>
      <c r="IGX604" s="47"/>
      <c r="IGY604" s="46"/>
      <c r="IGZ604" s="48"/>
      <c r="IHA604" s="53"/>
      <c r="IHH604" s="15"/>
      <c r="IHI604" s="50"/>
      <c r="IHJ604" s="50"/>
      <c r="IHK604" s="46"/>
      <c r="IHL604" s="47"/>
      <c r="IHM604" s="46"/>
      <c r="IHN604" s="48"/>
      <c r="IHO604" s="53"/>
      <c r="IHV604" s="15"/>
      <c r="IHW604" s="50"/>
      <c r="IHX604" s="50"/>
      <c r="IHY604" s="46"/>
      <c r="IHZ604" s="47"/>
      <c r="IIA604" s="46"/>
      <c r="IIB604" s="48"/>
      <c r="IIC604" s="53"/>
      <c r="IIJ604" s="15"/>
      <c r="IIK604" s="50"/>
      <c r="IIL604" s="50"/>
      <c r="IIM604" s="46"/>
      <c r="IIN604" s="47"/>
      <c r="IIO604" s="46"/>
      <c r="IIP604" s="48"/>
      <c r="IIQ604" s="53"/>
      <c r="IIX604" s="15"/>
      <c r="IIY604" s="50"/>
      <c r="IIZ604" s="50"/>
      <c r="IJA604" s="46"/>
      <c r="IJB604" s="47"/>
      <c r="IJC604" s="46"/>
      <c r="IJD604" s="48"/>
      <c r="IJE604" s="53"/>
      <c r="IJL604" s="15"/>
      <c r="IJM604" s="50"/>
      <c r="IJN604" s="50"/>
      <c r="IJO604" s="46"/>
      <c r="IJP604" s="47"/>
      <c r="IJQ604" s="46"/>
      <c r="IJR604" s="48"/>
      <c r="IJS604" s="53"/>
      <c r="IJZ604" s="15"/>
      <c r="IKA604" s="50"/>
      <c r="IKB604" s="50"/>
      <c r="IKC604" s="46"/>
      <c r="IKD604" s="47"/>
      <c r="IKE604" s="46"/>
      <c r="IKF604" s="48"/>
      <c r="IKG604" s="53"/>
      <c r="IKN604" s="15"/>
      <c r="IKO604" s="50"/>
      <c r="IKP604" s="50"/>
      <c r="IKQ604" s="46"/>
      <c r="IKR604" s="47"/>
      <c r="IKS604" s="46"/>
      <c r="IKT604" s="48"/>
      <c r="IKU604" s="53"/>
      <c r="ILB604" s="15"/>
      <c r="ILC604" s="50"/>
      <c r="ILD604" s="50"/>
      <c r="ILE604" s="46"/>
      <c r="ILF604" s="47"/>
      <c r="ILG604" s="46"/>
      <c r="ILH604" s="48"/>
      <c r="ILI604" s="53"/>
      <c r="ILP604" s="15"/>
      <c r="ILQ604" s="50"/>
      <c r="ILR604" s="50"/>
      <c r="ILS604" s="46"/>
      <c r="ILT604" s="47"/>
      <c r="ILU604" s="46"/>
      <c r="ILV604" s="48"/>
      <c r="ILW604" s="53"/>
      <c r="IMD604" s="15"/>
      <c r="IME604" s="50"/>
      <c r="IMF604" s="50"/>
      <c r="IMG604" s="46"/>
      <c r="IMH604" s="47"/>
      <c r="IMI604" s="46"/>
      <c r="IMJ604" s="48"/>
      <c r="IMK604" s="53"/>
      <c r="IMR604" s="15"/>
      <c r="IMS604" s="50"/>
      <c r="IMT604" s="50"/>
      <c r="IMU604" s="46"/>
      <c r="IMV604" s="47"/>
      <c r="IMW604" s="46"/>
      <c r="IMX604" s="48"/>
      <c r="IMY604" s="53"/>
      <c r="INF604" s="15"/>
      <c r="ING604" s="50"/>
      <c r="INH604" s="50"/>
      <c r="INI604" s="46"/>
      <c r="INJ604" s="47"/>
      <c r="INK604" s="46"/>
      <c r="INL604" s="48"/>
      <c r="INM604" s="53"/>
      <c r="INT604" s="15"/>
      <c r="INU604" s="50"/>
      <c r="INV604" s="50"/>
      <c r="INW604" s="46"/>
      <c r="INX604" s="47"/>
      <c r="INY604" s="46"/>
      <c r="INZ604" s="48"/>
      <c r="IOA604" s="53"/>
      <c r="IOH604" s="15"/>
      <c r="IOI604" s="50"/>
      <c r="IOJ604" s="50"/>
      <c r="IOK604" s="46"/>
      <c r="IOL604" s="47"/>
      <c r="IOM604" s="46"/>
      <c r="ION604" s="48"/>
      <c r="IOO604" s="53"/>
      <c r="IOV604" s="15"/>
      <c r="IOW604" s="50"/>
      <c r="IOX604" s="50"/>
      <c r="IOY604" s="46"/>
      <c r="IOZ604" s="47"/>
      <c r="IPA604" s="46"/>
      <c r="IPB604" s="48"/>
      <c r="IPC604" s="53"/>
      <c r="IPJ604" s="15"/>
      <c r="IPK604" s="50"/>
      <c r="IPL604" s="50"/>
      <c r="IPM604" s="46"/>
      <c r="IPN604" s="47"/>
      <c r="IPO604" s="46"/>
      <c r="IPP604" s="48"/>
      <c r="IPQ604" s="53"/>
      <c r="IPX604" s="15"/>
      <c r="IPY604" s="50"/>
      <c r="IPZ604" s="50"/>
      <c r="IQA604" s="46"/>
      <c r="IQB604" s="47"/>
      <c r="IQC604" s="46"/>
      <c r="IQD604" s="48"/>
      <c r="IQE604" s="53"/>
      <c r="IQL604" s="15"/>
      <c r="IQM604" s="50"/>
      <c r="IQN604" s="50"/>
      <c r="IQO604" s="46"/>
      <c r="IQP604" s="47"/>
      <c r="IQQ604" s="46"/>
      <c r="IQR604" s="48"/>
      <c r="IQS604" s="53"/>
      <c r="IQZ604" s="15"/>
      <c r="IRA604" s="50"/>
      <c r="IRB604" s="50"/>
      <c r="IRC604" s="46"/>
      <c r="IRD604" s="47"/>
      <c r="IRE604" s="46"/>
      <c r="IRF604" s="48"/>
      <c r="IRG604" s="53"/>
      <c r="IRN604" s="15"/>
      <c r="IRO604" s="50"/>
      <c r="IRP604" s="50"/>
      <c r="IRQ604" s="46"/>
      <c r="IRR604" s="47"/>
      <c r="IRS604" s="46"/>
      <c r="IRT604" s="48"/>
      <c r="IRU604" s="53"/>
      <c r="ISB604" s="15"/>
      <c r="ISC604" s="50"/>
      <c r="ISD604" s="50"/>
      <c r="ISE604" s="46"/>
      <c r="ISF604" s="47"/>
      <c r="ISG604" s="46"/>
      <c r="ISH604" s="48"/>
      <c r="ISI604" s="53"/>
      <c r="ISP604" s="15"/>
      <c r="ISQ604" s="50"/>
      <c r="ISR604" s="50"/>
      <c r="ISS604" s="46"/>
      <c r="IST604" s="47"/>
      <c r="ISU604" s="46"/>
      <c r="ISV604" s="48"/>
      <c r="ISW604" s="53"/>
      <c r="ITD604" s="15"/>
      <c r="ITE604" s="50"/>
      <c r="ITF604" s="50"/>
      <c r="ITG604" s="46"/>
      <c r="ITH604" s="47"/>
      <c r="ITI604" s="46"/>
      <c r="ITJ604" s="48"/>
      <c r="ITK604" s="53"/>
      <c r="ITR604" s="15"/>
      <c r="ITS604" s="50"/>
      <c r="ITT604" s="50"/>
      <c r="ITU604" s="46"/>
      <c r="ITV604" s="47"/>
      <c r="ITW604" s="46"/>
      <c r="ITX604" s="48"/>
      <c r="ITY604" s="53"/>
      <c r="IUF604" s="15"/>
      <c r="IUG604" s="50"/>
      <c r="IUH604" s="50"/>
      <c r="IUI604" s="46"/>
      <c r="IUJ604" s="47"/>
      <c r="IUK604" s="46"/>
      <c r="IUL604" s="48"/>
      <c r="IUM604" s="53"/>
      <c r="IUT604" s="15"/>
      <c r="IUU604" s="50"/>
      <c r="IUV604" s="50"/>
      <c r="IUW604" s="46"/>
      <c r="IUX604" s="47"/>
      <c r="IUY604" s="46"/>
      <c r="IUZ604" s="48"/>
      <c r="IVA604" s="53"/>
      <c r="IVH604" s="15"/>
      <c r="IVI604" s="50"/>
      <c r="IVJ604" s="50"/>
      <c r="IVK604" s="46"/>
      <c r="IVL604" s="47"/>
      <c r="IVM604" s="46"/>
      <c r="IVN604" s="48"/>
      <c r="IVO604" s="53"/>
      <c r="IVV604" s="15"/>
      <c r="IVW604" s="50"/>
      <c r="IVX604" s="50"/>
      <c r="IVY604" s="46"/>
      <c r="IVZ604" s="47"/>
      <c r="IWA604" s="46"/>
      <c r="IWB604" s="48"/>
      <c r="IWC604" s="53"/>
      <c r="IWJ604" s="15"/>
      <c r="IWK604" s="50"/>
      <c r="IWL604" s="50"/>
      <c r="IWM604" s="46"/>
      <c r="IWN604" s="47"/>
      <c r="IWO604" s="46"/>
      <c r="IWP604" s="48"/>
      <c r="IWQ604" s="53"/>
      <c r="IWX604" s="15"/>
      <c r="IWY604" s="50"/>
      <c r="IWZ604" s="50"/>
      <c r="IXA604" s="46"/>
      <c r="IXB604" s="47"/>
      <c r="IXC604" s="46"/>
      <c r="IXD604" s="48"/>
      <c r="IXE604" s="53"/>
      <c r="IXL604" s="15"/>
      <c r="IXM604" s="50"/>
      <c r="IXN604" s="50"/>
      <c r="IXO604" s="46"/>
      <c r="IXP604" s="47"/>
      <c r="IXQ604" s="46"/>
      <c r="IXR604" s="48"/>
      <c r="IXS604" s="53"/>
      <c r="IXZ604" s="15"/>
      <c r="IYA604" s="50"/>
      <c r="IYB604" s="50"/>
      <c r="IYC604" s="46"/>
      <c r="IYD604" s="47"/>
      <c r="IYE604" s="46"/>
      <c r="IYF604" s="48"/>
      <c r="IYG604" s="53"/>
      <c r="IYN604" s="15"/>
      <c r="IYO604" s="50"/>
      <c r="IYP604" s="50"/>
      <c r="IYQ604" s="46"/>
      <c r="IYR604" s="47"/>
      <c r="IYS604" s="46"/>
      <c r="IYT604" s="48"/>
      <c r="IYU604" s="53"/>
      <c r="IZB604" s="15"/>
      <c r="IZC604" s="50"/>
      <c r="IZD604" s="50"/>
      <c r="IZE604" s="46"/>
      <c r="IZF604" s="47"/>
      <c r="IZG604" s="46"/>
      <c r="IZH604" s="48"/>
      <c r="IZI604" s="53"/>
      <c r="IZP604" s="15"/>
      <c r="IZQ604" s="50"/>
      <c r="IZR604" s="50"/>
      <c r="IZS604" s="46"/>
      <c r="IZT604" s="47"/>
      <c r="IZU604" s="46"/>
      <c r="IZV604" s="48"/>
      <c r="IZW604" s="53"/>
      <c r="JAD604" s="15"/>
      <c r="JAE604" s="50"/>
      <c r="JAF604" s="50"/>
      <c r="JAG604" s="46"/>
      <c r="JAH604" s="47"/>
      <c r="JAI604" s="46"/>
      <c r="JAJ604" s="48"/>
      <c r="JAK604" s="53"/>
      <c r="JAR604" s="15"/>
      <c r="JAS604" s="50"/>
      <c r="JAT604" s="50"/>
      <c r="JAU604" s="46"/>
      <c r="JAV604" s="47"/>
      <c r="JAW604" s="46"/>
      <c r="JAX604" s="48"/>
      <c r="JAY604" s="53"/>
      <c r="JBF604" s="15"/>
      <c r="JBG604" s="50"/>
      <c r="JBH604" s="50"/>
      <c r="JBI604" s="46"/>
      <c r="JBJ604" s="47"/>
      <c r="JBK604" s="46"/>
      <c r="JBL604" s="48"/>
      <c r="JBM604" s="53"/>
      <c r="JBT604" s="15"/>
      <c r="JBU604" s="50"/>
      <c r="JBV604" s="50"/>
      <c r="JBW604" s="46"/>
      <c r="JBX604" s="47"/>
      <c r="JBY604" s="46"/>
      <c r="JBZ604" s="48"/>
      <c r="JCA604" s="53"/>
      <c r="JCH604" s="15"/>
      <c r="JCI604" s="50"/>
      <c r="JCJ604" s="50"/>
      <c r="JCK604" s="46"/>
      <c r="JCL604" s="47"/>
      <c r="JCM604" s="46"/>
      <c r="JCN604" s="48"/>
      <c r="JCO604" s="53"/>
      <c r="JCV604" s="15"/>
      <c r="JCW604" s="50"/>
      <c r="JCX604" s="50"/>
      <c r="JCY604" s="46"/>
      <c r="JCZ604" s="47"/>
      <c r="JDA604" s="46"/>
      <c r="JDB604" s="48"/>
      <c r="JDC604" s="53"/>
      <c r="JDJ604" s="15"/>
      <c r="JDK604" s="50"/>
      <c r="JDL604" s="50"/>
      <c r="JDM604" s="46"/>
      <c r="JDN604" s="47"/>
      <c r="JDO604" s="46"/>
      <c r="JDP604" s="48"/>
      <c r="JDQ604" s="53"/>
      <c r="JDX604" s="15"/>
      <c r="JDY604" s="50"/>
      <c r="JDZ604" s="50"/>
      <c r="JEA604" s="46"/>
      <c r="JEB604" s="47"/>
      <c r="JEC604" s="46"/>
      <c r="JED604" s="48"/>
      <c r="JEE604" s="53"/>
      <c r="JEL604" s="15"/>
      <c r="JEM604" s="50"/>
      <c r="JEN604" s="50"/>
      <c r="JEO604" s="46"/>
      <c r="JEP604" s="47"/>
      <c r="JEQ604" s="46"/>
      <c r="JER604" s="48"/>
      <c r="JES604" s="53"/>
      <c r="JEZ604" s="15"/>
      <c r="JFA604" s="50"/>
      <c r="JFB604" s="50"/>
      <c r="JFC604" s="46"/>
      <c r="JFD604" s="47"/>
      <c r="JFE604" s="46"/>
      <c r="JFF604" s="48"/>
      <c r="JFG604" s="53"/>
      <c r="JFN604" s="15"/>
      <c r="JFO604" s="50"/>
      <c r="JFP604" s="50"/>
      <c r="JFQ604" s="46"/>
      <c r="JFR604" s="47"/>
      <c r="JFS604" s="46"/>
      <c r="JFT604" s="48"/>
      <c r="JFU604" s="53"/>
      <c r="JGB604" s="15"/>
      <c r="JGC604" s="50"/>
      <c r="JGD604" s="50"/>
      <c r="JGE604" s="46"/>
      <c r="JGF604" s="47"/>
      <c r="JGG604" s="46"/>
      <c r="JGH604" s="48"/>
      <c r="JGI604" s="53"/>
      <c r="JGP604" s="15"/>
      <c r="JGQ604" s="50"/>
      <c r="JGR604" s="50"/>
      <c r="JGS604" s="46"/>
      <c r="JGT604" s="47"/>
      <c r="JGU604" s="46"/>
      <c r="JGV604" s="48"/>
      <c r="JGW604" s="53"/>
      <c r="JHD604" s="15"/>
      <c r="JHE604" s="50"/>
      <c r="JHF604" s="50"/>
      <c r="JHG604" s="46"/>
      <c r="JHH604" s="47"/>
      <c r="JHI604" s="46"/>
      <c r="JHJ604" s="48"/>
      <c r="JHK604" s="53"/>
      <c r="JHR604" s="15"/>
      <c r="JHS604" s="50"/>
      <c r="JHT604" s="50"/>
      <c r="JHU604" s="46"/>
      <c r="JHV604" s="47"/>
      <c r="JHW604" s="46"/>
      <c r="JHX604" s="48"/>
      <c r="JHY604" s="53"/>
      <c r="JIF604" s="15"/>
      <c r="JIG604" s="50"/>
      <c r="JIH604" s="50"/>
      <c r="JII604" s="46"/>
      <c r="JIJ604" s="47"/>
      <c r="JIK604" s="46"/>
      <c r="JIL604" s="48"/>
      <c r="JIM604" s="53"/>
      <c r="JIT604" s="15"/>
      <c r="JIU604" s="50"/>
      <c r="JIV604" s="50"/>
      <c r="JIW604" s="46"/>
      <c r="JIX604" s="47"/>
      <c r="JIY604" s="46"/>
      <c r="JIZ604" s="48"/>
      <c r="JJA604" s="53"/>
      <c r="JJH604" s="15"/>
      <c r="JJI604" s="50"/>
      <c r="JJJ604" s="50"/>
      <c r="JJK604" s="46"/>
      <c r="JJL604" s="47"/>
      <c r="JJM604" s="46"/>
      <c r="JJN604" s="48"/>
      <c r="JJO604" s="53"/>
      <c r="JJV604" s="15"/>
      <c r="JJW604" s="50"/>
      <c r="JJX604" s="50"/>
      <c r="JJY604" s="46"/>
      <c r="JJZ604" s="47"/>
      <c r="JKA604" s="46"/>
      <c r="JKB604" s="48"/>
      <c r="JKC604" s="53"/>
      <c r="JKJ604" s="15"/>
      <c r="JKK604" s="50"/>
      <c r="JKL604" s="50"/>
      <c r="JKM604" s="46"/>
      <c r="JKN604" s="47"/>
      <c r="JKO604" s="46"/>
      <c r="JKP604" s="48"/>
      <c r="JKQ604" s="53"/>
      <c r="JKX604" s="15"/>
      <c r="JKY604" s="50"/>
      <c r="JKZ604" s="50"/>
      <c r="JLA604" s="46"/>
      <c r="JLB604" s="47"/>
      <c r="JLC604" s="46"/>
      <c r="JLD604" s="48"/>
      <c r="JLE604" s="53"/>
      <c r="JLL604" s="15"/>
      <c r="JLM604" s="50"/>
      <c r="JLN604" s="50"/>
      <c r="JLO604" s="46"/>
      <c r="JLP604" s="47"/>
      <c r="JLQ604" s="46"/>
      <c r="JLR604" s="48"/>
      <c r="JLS604" s="53"/>
      <c r="JLZ604" s="15"/>
      <c r="JMA604" s="50"/>
      <c r="JMB604" s="50"/>
      <c r="JMC604" s="46"/>
      <c r="JMD604" s="47"/>
      <c r="JME604" s="46"/>
      <c r="JMF604" s="48"/>
      <c r="JMG604" s="53"/>
      <c r="JMN604" s="15"/>
      <c r="JMO604" s="50"/>
      <c r="JMP604" s="50"/>
      <c r="JMQ604" s="46"/>
      <c r="JMR604" s="47"/>
      <c r="JMS604" s="46"/>
      <c r="JMT604" s="48"/>
      <c r="JMU604" s="53"/>
      <c r="JNB604" s="15"/>
      <c r="JNC604" s="50"/>
      <c r="JND604" s="50"/>
      <c r="JNE604" s="46"/>
      <c r="JNF604" s="47"/>
      <c r="JNG604" s="46"/>
      <c r="JNH604" s="48"/>
      <c r="JNI604" s="53"/>
      <c r="JNP604" s="15"/>
      <c r="JNQ604" s="50"/>
      <c r="JNR604" s="50"/>
      <c r="JNS604" s="46"/>
      <c r="JNT604" s="47"/>
      <c r="JNU604" s="46"/>
      <c r="JNV604" s="48"/>
      <c r="JNW604" s="53"/>
      <c r="JOD604" s="15"/>
      <c r="JOE604" s="50"/>
      <c r="JOF604" s="50"/>
      <c r="JOG604" s="46"/>
      <c r="JOH604" s="47"/>
      <c r="JOI604" s="46"/>
      <c r="JOJ604" s="48"/>
      <c r="JOK604" s="53"/>
      <c r="JOR604" s="15"/>
      <c r="JOS604" s="50"/>
      <c r="JOT604" s="50"/>
      <c r="JOU604" s="46"/>
      <c r="JOV604" s="47"/>
      <c r="JOW604" s="46"/>
      <c r="JOX604" s="48"/>
      <c r="JOY604" s="53"/>
      <c r="JPF604" s="15"/>
      <c r="JPG604" s="50"/>
      <c r="JPH604" s="50"/>
      <c r="JPI604" s="46"/>
      <c r="JPJ604" s="47"/>
      <c r="JPK604" s="46"/>
      <c r="JPL604" s="48"/>
      <c r="JPM604" s="53"/>
      <c r="JPT604" s="15"/>
      <c r="JPU604" s="50"/>
      <c r="JPV604" s="50"/>
      <c r="JPW604" s="46"/>
      <c r="JPX604" s="47"/>
      <c r="JPY604" s="46"/>
      <c r="JPZ604" s="48"/>
      <c r="JQA604" s="53"/>
      <c r="JQH604" s="15"/>
      <c r="JQI604" s="50"/>
      <c r="JQJ604" s="50"/>
      <c r="JQK604" s="46"/>
      <c r="JQL604" s="47"/>
      <c r="JQM604" s="46"/>
      <c r="JQN604" s="48"/>
      <c r="JQO604" s="53"/>
      <c r="JQV604" s="15"/>
      <c r="JQW604" s="50"/>
      <c r="JQX604" s="50"/>
      <c r="JQY604" s="46"/>
      <c r="JQZ604" s="47"/>
      <c r="JRA604" s="46"/>
      <c r="JRB604" s="48"/>
      <c r="JRC604" s="53"/>
      <c r="JRJ604" s="15"/>
      <c r="JRK604" s="50"/>
      <c r="JRL604" s="50"/>
      <c r="JRM604" s="46"/>
      <c r="JRN604" s="47"/>
      <c r="JRO604" s="46"/>
      <c r="JRP604" s="48"/>
      <c r="JRQ604" s="53"/>
      <c r="JRX604" s="15"/>
      <c r="JRY604" s="50"/>
      <c r="JRZ604" s="50"/>
      <c r="JSA604" s="46"/>
      <c r="JSB604" s="47"/>
      <c r="JSC604" s="46"/>
      <c r="JSD604" s="48"/>
      <c r="JSE604" s="53"/>
      <c r="JSL604" s="15"/>
      <c r="JSM604" s="50"/>
      <c r="JSN604" s="50"/>
      <c r="JSO604" s="46"/>
      <c r="JSP604" s="47"/>
      <c r="JSQ604" s="46"/>
      <c r="JSR604" s="48"/>
      <c r="JSS604" s="53"/>
      <c r="JSZ604" s="15"/>
      <c r="JTA604" s="50"/>
      <c r="JTB604" s="50"/>
      <c r="JTC604" s="46"/>
      <c r="JTD604" s="47"/>
      <c r="JTE604" s="46"/>
      <c r="JTF604" s="48"/>
      <c r="JTG604" s="53"/>
      <c r="JTN604" s="15"/>
      <c r="JTO604" s="50"/>
      <c r="JTP604" s="50"/>
      <c r="JTQ604" s="46"/>
      <c r="JTR604" s="47"/>
      <c r="JTS604" s="46"/>
      <c r="JTT604" s="48"/>
      <c r="JTU604" s="53"/>
      <c r="JUB604" s="15"/>
      <c r="JUC604" s="50"/>
      <c r="JUD604" s="50"/>
      <c r="JUE604" s="46"/>
      <c r="JUF604" s="47"/>
      <c r="JUG604" s="46"/>
      <c r="JUH604" s="48"/>
      <c r="JUI604" s="53"/>
      <c r="JUP604" s="15"/>
      <c r="JUQ604" s="50"/>
      <c r="JUR604" s="50"/>
      <c r="JUS604" s="46"/>
      <c r="JUT604" s="47"/>
      <c r="JUU604" s="46"/>
      <c r="JUV604" s="48"/>
      <c r="JUW604" s="53"/>
      <c r="JVD604" s="15"/>
      <c r="JVE604" s="50"/>
      <c r="JVF604" s="50"/>
      <c r="JVG604" s="46"/>
      <c r="JVH604" s="47"/>
      <c r="JVI604" s="46"/>
      <c r="JVJ604" s="48"/>
      <c r="JVK604" s="53"/>
      <c r="JVR604" s="15"/>
      <c r="JVS604" s="50"/>
      <c r="JVT604" s="50"/>
      <c r="JVU604" s="46"/>
      <c r="JVV604" s="47"/>
      <c r="JVW604" s="46"/>
      <c r="JVX604" s="48"/>
      <c r="JVY604" s="53"/>
      <c r="JWF604" s="15"/>
      <c r="JWG604" s="50"/>
      <c r="JWH604" s="50"/>
      <c r="JWI604" s="46"/>
      <c r="JWJ604" s="47"/>
      <c r="JWK604" s="46"/>
      <c r="JWL604" s="48"/>
      <c r="JWM604" s="53"/>
      <c r="JWT604" s="15"/>
      <c r="JWU604" s="50"/>
      <c r="JWV604" s="50"/>
      <c r="JWW604" s="46"/>
      <c r="JWX604" s="47"/>
      <c r="JWY604" s="46"/>
      <c r="JWZ604" s="48"/>
      <c r="JXA604" s="53"/>
      <c r="JXH604" s="15"/>
      <c r="JXI604" s="50"/>
      <c r="JXJ604" s="50"/>
      <c r="JXK604" s="46"/>
      <c r="JXL604" s="47"/>
      <c r="JXM604" s="46"/>
      <c r="JXN604" s="48"/>
      <c r="JXO604" s="53"/>
      <c r="JXV604" s="15"/>
      <c r="JXW604" s="50"/>
      <c r="JXX604" s="50"/>
      <c r="JXY604" s="46"/>
      <c r="JXZ604" s="47"/>
      <c r="JYA604" s="46"/>
      <c r="JYB604" s="48"/>
      <c r="JYC604" s="53"/>
      <c r="JYJ604" s="15"/>
      <c r="JYK604" s="50"/>
      <c r="JYL604" s="50"/>
      <c r="JYM604" s="46"/>
      <c r="JYN604" s="47"/>
      <c r="JYO604" s="46"/>
      <c r="JYP604" s="48"/>
      <c r="JYQ604" s="53"/>
      <c r="JYX604" s="15"/>
      <c r="JYY604" s="50"/>
      <c r="JYZ604" s="50"/>
      <c r="JZA604" s="46"/>
      <c r="JZB604" s="47"/>
      <c r="JZC604" s="46"/>
      <c r="JZD604" s="48"/>
      <c r="JZE604" s="53"/>
      <c r="JZL604" s="15"/>
      <c r="JZM604" s="50"/>
      <c r="JZN604" s="50"/>
      <c r="JZO604" s="46"/>
      <c r="JZP604" s="47"/>
      <c r="JZQ604" s="46"/>
      <c r="JZR604" s="48"/>
      <c r="JZS604" s="53"/>
      <c r="JZZ604" s="15"/>
      <c r="KAA604" s="50"/>
      <c r="KAB604" s="50"/>
      <c r="KAC604" s="46"/>
      <c r="KAD604" s="47"/>
      <c r="KAE604" s="46"/>
      <c r="KAF604" s="48"/>
      <c r="KAG604" s="53"/>
      <c r="KAN604" s="15"/>
      <c r="KAO604" s="50"/>
      <c r="KAP604" s="50"/>
      <c r="KAQ604" s="46"/>
      <c r="KAR604" s="47"/>
      <c r="KAS604" s="46"/>
      <c r="KAT604" s="48"/>
      <c r="KAU604" s="53"/>
      <c r="KBB604" s="15"/>
      <c r="KBC604" s="50"/>
      <c r="KBD604" s="50"/>
      <c r="KBE604" s="46"/>
      <c r="KBF604" s="47"/>
      <c r="KBG604" s="46"/>
      <c r="KBH604" s="48"/>
      <c r="KBI604" s="53"/>
      <c r="KBP604" s="15"/>
      <c r="KBQ604" s="50"/>
      <c r="KBR604" s="50"/>
      <c r="KBS604" s="46"/>
      <c r="KBT604" s="47"/>
      <c r="KBU604" s="46"/>
      <c r="KBV604" s="48"/>
      <c r="KBW604" s="53"/>
      <c r="KCD604" s="15"/>
      <c r="KCE604" s="50"/>
      <c r="KCF604" s="50"/>
      <c r="KCG604" s="46"/>
      <c r="KCH604" s="47"/>
      <c r="KCI604" s="46"/>
      <c r="KCJ604" s="48"/>
      <c r="KCK604" s="53"/>
      <c r="KCR604" s="15"/>
      <c r="KCS604" s="50"/>
      <c r="KCT604" s="50"/>
      <c r="KCU604" s="46"/>
      <c r="KCV604" s="47"/>
      <c r="KCW604" s="46"/>
      <c r="KCX604" s="48"/>
      <c r="KCY604" s="53"/>
      <c r="KDF604" s="15"/>
      <c r="KDG604" s="50"/>
      <c r="KDH604" s="50"/>
      <c r="KDI604" s="46"/>
      <c r="KDJ604" s="47"/>
      <c r="KDK604" s="46"/>
      <c r="KDL604" s="48"/>
      <c r="KDM604" s="53"/>
      <c r="KDT604" s="15"/>
      <c r="KDU604" s="50"/>
      <c r="KDV604" s="50"/>
      <c r="KDW604" s="46"/>
      <c r="KDX604" s="47"/>
      <c r="KDY604" s="46"/>
      <c r="KDZ604" s="48"/>
      <c r="KEA604" s="53"/>
      <c r="KEH604" s="15"/>
      <c r="KEI604" s="50"/>
      <c r="KEJ604" s="50"/>
      <c r="KEK604" s="46"/>
      <c r="KEL604" s="47"/>
      <c r="KEM604" s="46"/>
      <c r="KEN604" s="48"/>
      <c r="KEO604" s="53"/>
      <c r="KEV604" s="15"/>
      <c r="KEW604" s="50"/>
      <c r="KEX604" s="50"/>
      <c r="KEY604" s="46"/>
      <c r="KEZ604" s="47"/>
      <c r="KFA604" s="46"/>
      <c r="KFB604" s="48"/>
      <c r="KFC604" s="53"/>
      <c r="KFJ604" s="15"/>
      <c r="KFK604" s="50"/>
      <c r="KFL604" s="50"/>
      <c r="KFM604" s="46"/>
      <c r="KFN604" s="47"/>
      <c r="KFO604" s="46"/>
      <c r="KFP604" s="48"/>
      <c r="KFQ604" s="53"/>
      <c r="KFX604" s="15"/>
      <c r="KFY604" s="50"/>
      <c r="KFZ604" s="50"/>
      <c r="KGA604" s="46"/>
      <c r="KGB604" s="47"/>
      <c r="KGC604" s="46"/>
      <c r="KGD604" s="48"/>
      <c r="KGE604" s="53"/>
      <c r="KGL604" s="15"/>
      <c r="KGM604" s="50"/>
      <c r="KGN604" s="50"/>
      <c r="KGO604" s="46"/>
      <c r="KGP604" s="47"/>
      <c r="KGQ604" s="46"/>
      <c r="KGR604" s="48"/>
      <c r="KGS604" s="53"/>
      <c r="KGZ604" s="15"/>
      <c r="KHA604" s="50"/>
      <c r="KHB604" s="50"/>
      <c r="KHC604" s="46"/>
      <c r="KHD604" s="47"/>
      <c r="KHE604" s="46"/>
      <c r="KHF604" s="48"/>
      <c r="KHG604" s="53"/>
      <c r="KHN604" s="15"/>
      <c r="KHO604" s="50"/>
      <c r="KHP604" s="50"/>
      <c r="KHQ604" s="46"/>
      <c r="KHR604" s="47"/>
      <c r="KHS604" s="46"/>
      <c r="KHT604" s="48"/>
      <c r="KHU604" s="53"/>
      <c r="KIB604" s="15"/>
      <c r="KIC604" s="50"/>
      <c r="KID604" s="50"/>
      <c r="KIE604" s="46"/>
      <c r="KIF604" s="47"/>
      <c r="KIG604" s="46"/>
      <c r="KIH604" s="48"/>
      <c r="KII604" s="53"/>
      <c r="KIP604" s="15"/>
      <c r="KIQ604" s="50"/>
      <c r="KIR604" s="50"/>
      <c r="KIS604" s="46"/>
      <c r="KIT604" s="47"/>
      <c r="KIU604" s="46"/>
      <c r="KIV604" s="48"/>
      <c r="KIW604" s="53"/>
      <c r="KJD604" s="15"/>
      <c r="KJE604" s="50"/>
      <c r="KJF604" s="50"/>
      <c r="KJG604" s="46"/>
      <c r="KJH604" s="47"/>
      <c r="KJI604" s="46"/>
      <c r="KJJ604" s="48"/>
      <c r="KJK604" s="53"/>
      <c r="KJR604" s="15"/>
      <c r="KJS604" s="50"/>
      <c r="KJT604" s="50"/>
      <c r="KJU604" s="46"/>
      <c r="KJV604" s="47"/>
      <c r="KJW604" s="46"/>
      <c r="KJX604" s="48"/>
      <c r="KJY604" s="53"/>
      <c r="KKF604" s="15"/>
      <c r="KKG604" s="50"/>
      <c r="KKH604" s="50"/>
      <c r="KKI604" s="46"/>
      <c r="KKJ604" s="47"/>
      <c r="KKK604" s="46"/>
      <c r="KKL604" s="48"/>
      <c r="KKM604" s="53"/>
      <c r="KKT604" s="15"/>
      <c r="KKU604" s="50"/>
      <c r="KKV604" s="50"/>
      <c r="KKW604" s="46"/>
      <c r="KKX604" s="47"/>
      <c r="KKY604" s="46"/>
      <c r="KKZ604" s="48"/>
      <c r="KLA604" s="53"/>
      <c r="KLH604" s="15"/>
      <c r="KLI604" s="50"/>
      <c r="KLJ604" s="50"/>
      <c r="KLK604" s="46"/>
      <c r="KLL604" s="47"/>
      <c r="KLM604" s="46"/>
      <c r="KLN604" s="48"/>
      <c r="KLO604" s="53"/>
      <c r="KLV604" s="15"/>
      <c r="KLW604" s="50"/>
      <c r="KLX604" s="50"/>
      <c r="KLY604" s="46"/>
      <c r="KLZ604" s="47"/>
      <c r="KMA604" s="46"/>
      <c r="KMB604" s="48"/>
      <c r="KMC604" s="53"/>
      <c r="KMJ604" s="15"/>
      <c r="KMK604" s="50"/>
      <c r="KML604" s="50"/>
      <c r="KMM604" s="46"/>
      <c r="KMN604" s="47"/>
      <c r="KMO604" s="46"/>
      <c r="KMP604" s="48"/>
      <c r="KMQ604" s="53"/>
      <c r="KMX604" s="15"/>
      <c r="KMY604" s="50"/>
      <c r="KMZ604" s="50"/>
      <c r="KNA604" s="46"/>
      <c r="KNB604" s="47"/>
      <c r="KNC604" s="46"/>
      <c r="KND604" s="48"/>
      <c r="KNE604" s="53"/>
      <c r="KNL604" s="15"/>
      <c r="KNM604" s="50"/>
      <c r="KNN604" s="50"/>
      <c r="KNO604" s="46"/>
      <c r="KNP604" s="47"/>
      <c r="KNQ604" s="46"/>
      <c r="KNR604" s="48"/>
      <c r="KNS604" s="53"/>
      <c r="KNZ604" s="15"/>
      <c r="KOA604" s="50"/>
      <c r="KOB604" s="50"/>
      <c r="KOC604" s="46"/>
      <c r="KOD604" s="47"/>
      <c r="KOE604" s="46"/>
      <c r="KOF604" s="48"/>
      <c r="KOG604" s="53"/>
      <c r="KON604" s="15"/>
      <c r="KOO604" s="50"/>
      <c r="KOP604" s="50"/>
      <c r="KOQ604" s="46"/>
      <c r="KOR604" s="47"/>
      <c r="KOS604" s="46"/>
      <c r="KOT604" s="48"/>
      <c r="KOU604" s="53"/>
      <c r="KPB604" s="15"/>
      <c r="KPC604" s="50"/>
      <c r="KPD604" s="50"/>
      <c r="KPE604" s="46"/>
      <c r="KPF604" s="47"/>
      <c r="KPG604" s="46"/>
      <c r="KPH604" s="48"/>
      <c r="KPI604" s="53"/>
      <c r="KPP604" s="15"/>
      <c r="KPQ604" s="50"/>
      <c r="KPR604" s="50"/>
      <c r="KPS604" s="46"/>
      <c r="KPT604" s="47"/>
      <c r="KPU604" s="46"/>
      <c r="KPV604" s="48"/>
      <c r="KPW604" s="53"/>
      <c r="KQD604" s="15"/>
      <c r="KQE604" s="50"/>
      <c r="KQF604" s="50"/>
      <c r="KQG604" s="46"/>
      <c r="KQH604" s="47"/>
      <c r="KQI604" s="46"/>
      <c r="KQJ604" s="48"/>
      <c r="KQK604" s="53"/>
      <c r="KQR604" s="15"/>
      <c r="KQS604" s="50"/>
      <c r="KQT604" s="50"/>
      <c r="KQU604" s="46"/>
      <c r="KQV604" s="47"/>
      <c r="KQW604" s="46"/>
      <c r="KQX604" s="48"/>
      <c r="KQY604" s="53"/>
      <c r="KRF604" s="15"/>
      <c r="KRG604" s="50"/>
      <c r="KRH604" s="50"/>
      <c r="KRI604" s="46"/>
      <c r="KRJ604" s="47"/>
      <c r="KRK604" s="46"/>
      <c r="KRL604" s="48"/>
      <c r="KRM604" s="53"/>
      <c r="KRT604" s="15"/>
      <c r="KRU604" s="50"/>
      <c r="KRV604" s="50"/>
      <c r="KRW604" s="46"/>
      <c r="KRX604" s="47"/>
      <c r="KRY604" s="46"/>
      <c r="KRZ604" s="48"/>
      <c r="KSA604" s="53"/>
      <c r="KSH604" s="15"/>
      <c r="KSI604" s="50"/>
      <c r="KSJ604" s="50"/>
      <c r="KSK604" s="46"/>
      <c r="KSL604" s="47"/>
      <c r="KSM604" s="46"/>
      <c r="KSN604" s="48"/>
      <c r="KSO604" s="53"/>
      <c r="KSV604" s="15"/>
      <c r="KSW604" s="50"/>
      <c r="KSX604" s="50"/>
      <c r="KSY604" s="46"/>
      <c r="KSZ604" s="47"/>
      <c r="KTA604" s="46"/>
      <c r="KTB604" s="48"/>
      <c r="KTC604" s="53"/>
      <c r="KTJ604" s="15"/>
      <c r="KTK604" s="50"/>
      <c r="KTL604" s="50"/>
      <c r="KTM604" s="46"/>
      <c r="KTN604" s="47"/>
      <c r="KTO604" s="46"/>
      <c r="KTP604" s="48"/>
      <c r="KTQ604" s="53"/>
      <c r="KTX604" s="15"/>
      <c r="KTY604" s="50"/>
      <c r="KTZ604" s="50"/>
      <c r="KUA604" s="46"/>
      <c r="KUB604" s="47"/>
      <c r="KUC604" s="46"/>
      <c r="KUD604" s="48"/>
      <c r="KUE604" s="53"/>
      <c r="KUL604" s="15"/>
      <c r="KUM604" s="50"/>
      <c r="KUN604" s="50"/>
      <c r="KUO604" s="46"/>
      <c r="KUP604" s="47"/>
      <c r="KUQ604" s="46"/>
      <c r="KUR604" s="48"/>
      <c r="KUS604" s="53"/>
      <c r="KUZ604" s="15"/>
      <c r="KVA604" s="50"/>
      <c r="KVB604" s="50"/>
      <c r="KVC604" s="46"/>
      <c r="KVD604" s="47"/>
      <c r="KVE604" s="46"/>
      <c r="KVF604" s="48"/>
      <c r="KVG604" s="53"/>
      <c r="KVN604" s="15"/>
      <c r="KVO604" s="50"/>
      <c r="KVP604" s="50"/>
      <c r="KVQ604" s="46"/>
      <c r="KVR604" s="47"/>
      <c r="KVS604" s="46"/>
      <c r="KVT604" s="48"/>
      <c r="KVU604" s="53"/>
      <c r="KWB604" s="15"/>
      <c r="KWC604" s="50"/>
      <c r="KWD604" s="50"/>
      <c r="KWE604" s="46"/>
      <c r="KWF604" s="47"/>
      <c r="KWG604" s="46"/>
      <c r="KWH604" s="48"/>
      <c r="KWI604" s="53"/>
      <c r="KWP604" s="15"/>
      <c r="KWQ604" s="50"/>
      <c r="KWR604" s="50"/>
      <c r="KWS604" s="46"/>
      <c r="KWT604" s="47"/>
      <c r="KWU604" s="46"/>
      <c r="KWV604" s="48"/>
      <c r="KWW604" s="53"/>
      <c r="KXD604" s="15"/>
      <c r="KXE604" s="50"/>
      <c r="KXF604" s="50"/>
      <c r="KXG604" s="46"/>
      <c r="KXH604" s="47"/>
      <c r="KXI604" s="46"/>
      <c r="KXJ604" s="48"/>
      <c r="KXK604" s="53"/>
      <c r="KXR604" s="15"/>
      <c r="KXS604" s="50"/>
      <c r="KXT604" s="50"/>
      <c r="KXU604" s="46"/>
      <c r="KXV604" s="47"/>
      <c r="KXW604" s="46"/>
      <c r="KXX604" s="48"/>
      <c r="KXY604" s="53"/>
      <c r="KYF604" s="15"/>
      <c r="KYG604" s="50"/>
      <c r="KYH604" s="50"/>
      <c r="KYI604" s="46"/>
      <c r="KYJ604" s="47"/>
      <c r="KYK604" s="46"/>
      <c r="KYL604" s="48"/>
      <c r="KYM604" s="53"/>
      <c r="KYT604" s="15"/>
      <c r="KYU604" s="50"/>
      <c r="KYV604" s="50"/>
      <c r="KYW604" s="46"/>
      <c r="KYX604" s="47"/>
      <c r="KYY604" s="46"/>
      <c r="KYZ604" s="48"/>
      <c r="KZA604" s="53"/>
      <c r="KZH604" s="15"/>
      <c r="KZI604" s="50"/>
      <c r="KZJ604" s="50"/>
      <c r="KZK604" s="46"/>
      <c r="KZL604" s="47"/>
      <c r="KZM604" s="46"/>
      <c r="KZN604" s="48"/>
      <c r="KZO604" s="53"/>
      <c r="KZV604" s="15"/>
      <c r="KZW604" s="50"/>
      <c r="KZX604" s="50"/>
      <c r="KZY604" s="46"/>
      <c r="KZZ604" s="47"/>
      <c r="LAA604" s="46"/>
      <c r="LAB604" s="48"/>
      <c r="LAC604" s="53"/>
      <c r="LAJ604" s="15"/>
      <c r="LAK604" s="50"/>
      <c r="LAL604" s="50"/>
      <c r="LAM604" s="46"/>
      <c r="LAN604" s="47"/>
      <c r="LAO604" s="46"/>
      <c r="LAP604" s="48"/>
      <c r="LAQ604" s="53"/>
      <c r="LAX604" s="15"/>
      <c r="LAY604" s="50"/>
      <c r="LAZ604" s="50"/>
      <c r="LBA604" s="46"/>
      <c r="LBB604" s="47"/>
      <c r="LBC604" s="46"/>
      <c r="LBD604" s="48"/>
      <c r="LBE604" s="53"/>
      <c r="LBL604" s="15"/>
      <c r="LBM604" s="50"/>
      <c r="LBN604" s="50"/>
      <c r="LBO604" s="46"/>
      <c r="LBP604" s="47"/>
      <c r="LBQ604" s="46"/>
      <c r="LBR604" s="48"/>
      <c r="LBS604" s="53"/>
      <c r="LBZ604" s="15"/>
      <c r="LCA604" s="50"/>
      <c r="LCB604" s="50"/>
      <c r="LCC604" s="46"/>
      <c r="LCD604" s="47"/>
      <c r="LCE604" s="46"/>
      <c r="LCF604" s="48"/>
      <c r="LCG604" s="53"/>
      <c r="LCN604" s="15"/>
      <c r="LCO604" s="50"/>
      <c r="LCP604" s="50"/>
      <c r="LCQ604" s="46"/>
      <c r="LCR604" s="47"/>
      <c r="LCS604" s="46"/>
      <c r="LCT604" s="48"/>
      <c r="LCU604" s="53"/>
      <c r="LDB604" s="15"/>
      <c r="LDC604" s="50"/>
      <c r="LDD604" s="50"/>
      <c r="LDE604" s="46"/>
      <c r="LDF604" s="47"/>
      <c r="LDG604" s="46"/>
      <c r="LDH604" s="48"/>
      <c r="LDI604" s="53"/>
      <c r="LDP604" s="15"/>
      <c r="LDQ604" s="50"/>
      <c r="LDR604" s="50"/>
      <c r="LDS604" s="46"/>
      <c r="LDT604" s="47"/>
      <c r="LDU604" s="46"/>
      <c r="LDV604" s="48"/>
      <c r="LDW604" s="53"/>
      <c r="LED604" s="15"/>
      <c r="LEE604" s="50"/>
      <c r="LEF604" s="50"/>
      <c r="LEG604" s="46"/>
      <c r="LEH604" s="47"/>
      <c r="LEI604" s="46"/>
      <c r="LEJ604" s="48"/>
      <c r="LEK604" s="53"/>
      <c r="LER604" s="15"/>
      <c r="LES604" s="50"/>
      <c r="LET604" s="50"/>
      <c r="LEU604" s="46"/>
      <c r="LEV604" s="47"/>
      <c r="LEW604" s="46"/>
      <c r="LEX604" s="48"/>
      <c r="LEY604" s="53"/>
      <c r="LFF604" s="15"/>
      <c r="LFG604" s="50"/>
      <c r="LFH604" s="50"/>
      <c r="LFI604" s="46"/>
      <c r="LFJ604" s="47"/>
      <c r="LFK604" s="46"/>
      <c r="LFL604" s="48"/>
      <c r="LFM604" s="53"/>
      <c r="LFT604" s="15"/>
      <c r="LFU604" s="50"/>
      <c r="LFV604" s="50"/>
      <c r="LFW604" s="46"/>
      <c r="LFX604" s="47"/>
      <c r="LFY604" s="46"/>
      <c r="LFZ604" s="48"/>
      <c r="LGA604" s="53"/>
      <c r="LGH604" s="15"/>
      <c r="LGI604" s="50"/>
      <c r="LGJ604" s="50"/>
      <c r="LGK604" s="46"/>
      <c r="LGL604" s="47"/>
      <c r="LGM604" s="46"/>
      <c r="LGN604" s="48"/>
      <c r="LGO604" s="53"/>
      <c r="LGV604" s="15"/>
      <c r="LGW604" s="50"/>
      <c r="LGX604" s="50"/>
      <c r="LGY604" s="46"/>
      <c r="LGZ604" s="47"/>
      <c r="LHA604" s="46"/>
      <c r="LHB604" s="48"/>
      <c r="LHC604" s="53"/>
      <c r="LHJ604" s="15"/>
      <c r="LHK604" s="50"/>
      <c r="LHL604" s="50"/>
      <c r="LHM604" s="46"/>
      <c r="LHN604" s="47"/>
      <c r="LHO604" s="46"/>
      <c r="LHP604" s="48"/>
      <c r="LHQ604" s="53"/>
      <c r="LHX604" s="15"/>
      <c r="LHY604" s="50"/>
      <c r="LHZ604" s="50"/>
      <c r="LIA604" s="46"/>
      <c r="LIB604" s="47"/>
      <c r="LIC604" s="46"/>
      <c r="LID604" s="48"/>
      <c r="LIE604" s="53"/>
      <c r="LIL604" s="15"/>
      <c r="LIM604" s="50"/>
      <c r="LIN604" s="50"/>
      <c r="LIO604" s="46"/>
      <c r="LIP604" s="47"/>
      <c r="LIQ604" s="46"/>
      <c r="LIR604" s="48"/>
      <c r="LIS604" s="53"/>
      <c r="LIZ604" s="15"/>
      <c r="LJA604" s="50"/>
      <c r="LJB604" s="50"/>
      <c r="LJC604" s="46"/>
      <c r="LJD604" s="47"/>
      <c r="LJE604" s="46"/>
      <c r="LJF604" s="48"/>
      <c r="LJG604" s="53"/>
      <c r="LJN604" s="15"/>
      <c r="LJO604" s="50"/>
      <c r="LJP604" s="50"/>
      <c r="LJQ604" s="46"/>
      <c r="LJR604" s="47"/>
      <c r="LJS604" s="46"/>
      <c r="LJT604" s="48"/>
      <c r="LJU604" s="53"/>
      <c r="LKB604" s="15"/>
      <c r="LKC604" s="50"/>
      <c r="LKD604" s="50"/>
      <c r="LKE604" s="46"/>
      <c r="LKF604" s="47"/>
      <c r="LKG604" s="46"/>
      <c r="LKH604" s="48"/>
      <c r="LKI604" s="53"/>
      <c r="LKP604" s="15"/>
      <c r="LKQ604" s="50"/>
      <c r="LKR604" s="50"/>
      <c r="LKS604" s="46"/>
      <c r="LKT604" s="47"/>
      <c r="LKU604" s="46"/>
      <c r="LKV604" s="48"/>
      <c r="LKW604" s="53"/>
      <c r="LLD604" s="15"/>
      <c r="LLE604" s="50"/>
      <c r="LLF604" s="50"/>
      <c r="LLG604" s="46"/>
      <c r="LLH604" s="47"/>
      <c r="LLI604" s="46"/>
      <c r="LLJ604" s="48"/>
      <c r="LLK604" s="53"/>
      <c r="LLR604" s="15"/>
      <c r="LLS604" s="50"/>
      <c r="LLT604" s="50"/>
      <c r="LLU604" s="46"/>
      <c r="LLV604" s="47"/>
      <c r="LLW604" s="46"/>
      <c r="LLX604" s="48"/>
      <c r="LLY604" s="53"/>
      <c r="LMF604" s="15"/>
      <c r="LMG604" s="50"/>
      <c r="LMH604" s="50"/>
      <c r="LMI604" s="46"/>
      <c r="LMJ604" s="47"/>
      <c r="LMK604" s="46"/>
      <c r="LML604" s="48"/>
      <c r="LMM604" s="53"/>
      <c r="LMT604" s="15"/>
      <c r="LMU604" s="50"/>
      <c r="LMV604" s="50"/>
      <c r="LMW604" s="46"/>
      <c r="LMX604" s="47"/>
      <c r="LMY604" s="46"/>
      <c r="LMZ604" s="48"/>
      <c r="LNA604" s="53"/>
      <c r="LNH604" s="15"/>
      <c r="LNI604" s="50"/>
      <c r="LNJ604" s="50"/>
      <c r="LNK604" s="46"/>
      <c r="LNL604" s="47"/>
      <c r="LNM604" s="46"/>
      <c r="LNN604" s="48"/>
      <c r="LNO604" s="53"/>
      <c r="LNV604" s="15"/>
      <c r="LNW604" s="50"/>
      <c r="LNX604" s="50"/>
      <c r="LNY604" s="46"/>
      <c r="LNZ604" s="47"/>
      <c r="LOA604" s="46"/>
      <c r="LOB604" s="48"/>
      <c r="LOC604" s="53"/>
      <c r="LOJ604" s="15"/>
      <c r="LOK604" s="50"/>
      <c r="LOL604" s="50"/>
      <c r="LOM604" s="46"/>
      <c r="LON604" s="47"/>
      <c r="LOO604" s="46"/>
      <c r="LOP604" s="48"/>
      <c r="LOQ604" s="53"/>
      <c r="LOX604" s="15"/>
      <c r="LOY604" s="50"/>
      <c r="LOZ604" s="50"/>
      <c r="LPA604" s="46"/>
      <c r="LPB604" s="47"/>
      <c r="LPC604" s="46"/>
      <c r="LPD604" s="48"/>
      <c r="LPE604" s="53"/>
      <c r="LPL604" s="15"/>
      <c r="LPM604" s="50"/>
      <c r="LPN604" s="50"/>
      <c r="LPO604" s="46"/>
      <c r="LPP604" s="47"/>
      <c r="LPQ604" s="46"/>
      <c r="LPR604" s="48"/>
      <c r="LPS604" s="53"/>
      <c r="LPZ604" s="15"/>
      <c r="LQA604" s="50"/>
      <c r="LQB604" s="50"/>
      <c r="LQC604" s="46"/>
      <c r="LQD604" s="47"/>
      <c r="LQE604" s="46"/>
      <c r="LQF604" s="48"/>
      <c r="LQG604" s="53"/>
      <c r="LQN604" s="15"/>
      <c r="LQO604" s="50"/>
      <c r="LQP604" s="50"/>
      <c r="LQQ604" s="46"/>
      <c r="LQR604" s="47"/>
      <c r="LQS604" s="46"/>
      <c r="LQT604" s="48"/>
      <c r="LQU604" s="53"/>
      <c r="LRB604" s="15"/>
      <c r="LRC604" s="50"/>
      <c r="LRD604" s="50"/>
      <c r="LRE604" s="46"/>
      <c r="LRF604" s="47"/>
      <c r="LRG604" s="46"/>
      <c r="LRH604" s="48"/>
      <c r="LRI604" s="53"/>
      <c r="LRP604" s="15"/>
      <c r="LRQ604" s="50"/>
      <c r="LRR604" s="50"/>
      <c r="LRS604" s="46"/>
      <c r="LRT604" s="47"/>
      <c r="LRU604" s="46"/>
      <c r="LRV604" s="48"/>
      <c r="LRW604" s="53"/>
      <c r="LSD604" s="15"/>
      <c r="LSE604" s="50"/>
      <c r="LSF604" s="50"/>
      <c r="LSG604" s="46"/>
      <c r="LSH604" s="47"/>
      <c r="LSI604" s="46"/>
      <c r="LSJ604" s="48"/>
      <c r="LSK604" s="53"/>
      <c r="LSR604" s="15"/>
      <c r="LSS604" s="50"/>
      <c r="LST604" s="50"/>
      <c r="LSU604" s="46"/>
      <c r="LSV604" s="47"/>
      <c r="LSW604" s="46"/>
      <c r="LSX604" s="48"/>
      <c r="LSY604" s="53"/>
      <c r="LTF604" s="15"/>
      <c r="LTG604" s="50"/>
      <c r="LTH604" s="50"/>
      <c r="LTI604" s="46"/>
      <c r="LTJ604" s="47"/>
      <c r="LTK604" s="46"/>
      <c r="LTL604" s="48"/>
      <c r="LTM604" s="53"/>
      <c r="LTT604" s="15"/>
      <c r="LTU604" s="50"/>
      <c r="LTV604" s="50"/>
      <c r="LTW604" s="46"/>
      <c r="LTX604" s="47"/>
      <c r="LTY604" s="46"/>
      <c r="LTZ604" s="48"/>
      <c r="LUA604" s="53"/>
      <c r="LUH604" s="15"/>
      <c r="LUI604" s="50"/>
      <c r="LUJ604" s="50"/>
      <c r="LUK604" s="46"/>
      <c r="LUL604" s="47"/>
      <c r="LUM604" s="46"/>
      <c r="LUN604" s="48"/>
      <c r="LUO604" s="53"/>
      <c r="LUV604" s="15"/>
      <c r="LUW604" s="50"/>
      <c r="LUX604" s="50"/>
      <c r="LUY604" s="46"/>
      <c r="LUZ604" s="47"/>
      <c r="LVA604" s="46"/>
      <c r="LVB604" s="48"/>
      <c r="LVC604" s="53"/>
      <c r="LVJ604" s="15"/>
      <c r="LVK604" s="50"/>
      <c r="LVL604" s="50"/>
      <c r="LVM604" s="46"/>
      <c r="LVN604" s="47"/>
      <c r="LVO604" s="46"/>
      <c r="LVP604" s="48"/>
      <c r="LVQ604" s="53"/>
      <c r="LVX604" s="15"/>
      <c r="LVY604" s="50"/>
      <c r="LVZ604" s="50"/>
      <c r="LWA604" s="46"/>
      <c r="LWB604" s="47"/>
      <c r="LWC604" s="46"/>
      <c r="LWD604" s="48"/>
      <c r="LWE604" s="53"/>
      <c r="LWL604" s="15"/>
      <c r="LWM604" s="50"/>
      <c r="LWN604" s="50"/>
      <c r="LWO604" s="46"/>
      <c r="LWP604" s="47"/>
      <c r="LWQ604" s="46"/>
      <c r="LWR604" s="48"/>
      <c r="LWS604" s="53"/>
      <c r="LWZ604" s="15"/>
      <c r="LXA604" s="50"/>
      <c r="LXB604" s="50"/>
      <c r="LXC604" s="46"/>
      <c r="LXD604" s="47"/>
      <c r="LXE604" s="46"/>
      <c r="LXF604" s="48"/>
      <c r="LXG604" s="53"/>
      <c r="LXN604" s="15"/>
      <c r="LXO604" s="50"/>
      <c r="LXP604" s="50"/>
      <c r="LXQ604" s="46"/>
      <c r="LXR604" s="47"/>
      <c r="LXS604" s="46"/>
      <c r="LXT604" s="48"/>
      <c r="LXU604" s="53"/>
      <c r="LYB604" s="15"/>
      <c r="LYC604" s="50"/>
      <c r="LYD604" s="50"/>
      <c r="LYE604" s="46"/>
      <c r="LYF604" s="47"/>
      <c r="LYG604" s="46"/>
      <c r="LYH604" s="48"/>
      <c r="LYI604" s="53"/>
      <c r="LYP604" s="15"/>
      <c r="LYQ604" s="50"/>
      <c r="LYR604" s="50"/>
      <c r="LYS604" s="46"/>
      <c r="LYT604" s="47"/>
      <c r="LYU604" s="46"/>
      <c r="LYV604" s="48"/>
      <c r="LYW604" s="53"/>
      <c r="LZD604" s="15"/>
      <c r="LZE604" s="50"/>
      <c r="LZF604" s="50"/>
      <c r="LZG604" s="46"/>
      <c r="LZH604" s="47"/>
      <c r="LZI604" s="46"/>
      <c r="LZJ604" s="48"/>
      <c r="LZK604" s="53"/>
      <c r="LZR604" s="15"/>
      <c r="LZS604" s="50"/>
      <c r="LZT604" s="50"/>
      <c r="LZU604" s="46"/>
      <c r="LZV604" s="47"/>
      <c r="LZW604" s="46"/>
      <c r="LZX604" s="48"/>
      <c r="LZY604" s="53"/>
      <c r="MAF604" s="15"/>
      <c r="MAG604" s="50"/>
      <c r="MAH604" s="50"/>
      <c r="MAI604" s="46"/>
      <c r="MAJ604" s="47"/>
      <c r="MAK604" s="46"/>
      <c r="MAL604" s="48"/>
      <c r="MAM604" s="53"/>
      <c r="MAT604" s="15"/>
      <c r="MAU604" s="50"/>
      <c r="MAV604" s="50"/>
      <c r="MAW604" s="46"/>
      <c r="MAX604" s="47"/>
      <c r="MAY604" s="46"/>
      <c r="MAZ604" s="48"/>
      <c r="MBA604" s="53"/>
      <c r="MBH604" s="15"/>
      <c r="MBI604" s="50"/>
      <c r="MBJ604" s="50"/>
      <c r="MBK604" s="46"/>
      <c r="MBL604" s="47"/>
      <c r="MBM604" s="46"/>
      <c r="MBN604" s="48"/>
      <c r="MBO604" s="53"/>
      <c r="MBV604" s="15"/>
      <c r="MBW604" s="50"/>
      <c r="MBX604" s="50"/>
      <c r="MBY604" s="46"/>
      <c r="MBZ604" s="47"/>
      <c r="MCA604" s="46"/>
      <c r="MCB604" s="48"/>
      <c r="MCC604" s="53"/>
      <c r="MCJ604" s="15"/>
      <c r="MCK604" s="50"/>
      <c r="MCL604" s="50"/>
      <c r="MCM604" s="46"/>
      <c r="MCN604" s="47"/>
      <c r="MCO604" s="46"/>
      <c r="MCP604" s="48"/>
      <c r="MCQ604" s="53"/>
      <c r="MCX604" s="15"/>
      <c r="MCY604" s="50"/>
      <c r="MCZ604" s="50"/>
      <c r="MDA604" s="46"/>
      <c r="MDB604" s="47"/>
      <c r="MDC604" s="46"/>
      <c r="MDD604" s="48"/>
      <c r="MDE604" s="53"/>
      <c r="MDL604" s="15"/>
      <c r="MDM604" s="50"/>
      <c r="MDN604" s="50"/>
      <c r="MDO604" s="46"/>
      <c r="MDP604" s="47"/>
      <c r="MDQ604" s="46"/>
      <c r="MDR604" s="48"/>
      <c r="MDS604" s="53"/>
      <c r="MDZ604" s="15"/>
      <c r="MEA604" s="50"/>
      <c r="MEB604" s="50"/>
      <c r="MEC604" s="46"/>
      <c r="MED604" s="47"/>
      <c r="MEE604" s="46"/>
      <c r="MEF604" s="48"/>
      <c r="MEG604" s="53"/>
      <c r="MEN604" s="15"/>
      <c r="MEO604" s="50"/>
      <c r="MEP604" s="50"/>
      <c r="MEQ604" s="46"/>
      <c r="MER604" s="47"/>
      <c r="MES604" s="46"/>
      <c r="MET604" s="48"/>
      <c r="MEU604" s="53"/>
      <c r="MFB604" s="15"/>
      <c r="MFC604" s="50"/>
      <c r="MFD604" s="50"/>
      <c r="MFE604" s="46"/>
      <c r="MFF604" s="47"/>
      <c r="MFG604" s="46"/>
      <c r="MFH604" s="48"/>
      <c r="MFI604" s="53"/>
      <c r="MFP604" s="15"/>
      <c r="MFQ604" s="50"/>
      <c r="MFR604" s="50"/>
      <c r="MFS604" s="46"/>
      <c r="MFT604" s="47"/>
      <c r="MFU604" s="46"/>
      <c r="MFV604" s="48"/>
      <c r="MFW604" s="53"/>
      <c r="MGD604" s="15"/>
      <c r="MGE604" s="50"/>
      <c r="MGF604" s="50"/>
      <c r="MGG604" s="46"/>
      <c r="MGH604" s="47"/>
      <c r="MGI604" s="46"/>
      <c r="MGJ604" s="48"/>
      <c r="MGK604" s="53"/>
      <c r="MGR604" s="15"/>
      <c r="MGS604" s="50"/>
      <c r="MGT604" s="50"/>
      <c r="MGU604" s="46"/>
      <c r="MGV604" s="47"/>
      <c r="MGW604" s="46"/>
      <c r="MGX604" s="48"/>
      <c r="MGY604" s="53"/>
      <c r="MHF604" s="15"/>
      <c r="MHG604" s="50"/>
      <c r="MHH604" s="50"/>
      <c r="MHI604" s="46"/>
      <c r="MHJ604" s="47"/>
      <c r="MHK604" s="46"/>
      <c r="MHL604" s="48"/>
      <c r="MHM604" s="53"/>
      <c r="MHT604" s="15"/>
      <c r="MHU604" s="50"/>
      <c r="MHV604" s="50"/>
      <c r="MHW604" s="46"/>
      <c r="MHX604" s="47"/>
      <c r="MHY604" s="46"/>
      <c r="MHZ604" s="48"/>
      <c r="MIA604" s="53"/>
      <c r="MIH604" s="15"/>
      <c r="MII604" s="50"/>
      <c r="MIJ604" s="50"/>
      <c r="MIK604" s="46"/>
      <c r="MIL604" s="47"/>
      <c r="MIM604" s="46"/>
      <c r="MIN604" s="48"/>
      <c r="MIO604" s="53"/>
      <c r="MIV604" s="15"/>
      <c r="MIW604" s="50"/>
      <c r="MIX604" s="50"/>
      <c r="MIY604" s="46"/>
      <c r="MIZ604" s="47"/>
      <c r="MJA604" s="46"/>
      <c r="MJB604" s="48"/>
      <c r="MJC604" s="53"/>
      <c r="MJJ604" s="15"/>
      <c r="MJK604" s="50"/>
      <c r="MJL604" s="50"/>
      <c r="MJM604" s="46"/>
      <c r="MJN604" s="47"/>
      <c r="MJO604" s="46"/>
      <c r="MJP604" s="48"/>
      <c r="MJQ604" s="53"/>
      <c r="MJX604" s="15"/>
      <c r="MJY604" s="50"/>
      <c r="MJZ604" s="50"/>
      <c r="MKA604" s="46"/>
      <c r="MKB604" s="47"/>
      <c r="MKC604" s="46"/>
      <c r="MKD604" s="48"/>
      <c r="MKE604" s="53"/>
      <c r="MKL604" s="15"/>
      <c r="MKM604" s="50"/>
      <c r="MKN604" s="50"/>
      <c r="MKO604" s="46"/>
      <c r="MKP604" s="47"/>
      <c r="MKQ604" s="46"/>
      <c r="MKR604" s="48"/>
      <c r="MKS604" s="53"/>
      <c r="MKZ604" s="15"/>
      <c r="MLA604" s="50"/>
      <c r="MLB604" s="50"/>
      <c r="MLC604" s="46"/>
      <c r="MLD604" s="47"/>
      <c r="MLE604" s="46"/>
      <c r="MLF604" s="48"/>
      <c r="MLG604" s="53"/>
      <c r="MLN604" s="15"/>
      <c r="MLO604" s="50"/>
      <c r="MLP604" s="50"/>
      <c r="MLQ604" s="46"/>
      <c r="MLR604" s="47"/>
      <c r="MLS604" s="46"/>
      <c r="MLT604" s="48"/>
      <c r="MLU604" s="53"/>
      <c r="MMB604" s="15"/>
      <c r="MMC604" s="50"/>
      <c r="MMD604" s="50"/>
      <c r="MME604" s="46"/>
      <c r="MMF604" s="47"/>
      <c r="MMG604" s="46"/>
      <c r="MMH604" s="48"/>
      <c r="MMI604" s="53"/>
      <c r="MMP604" s="15"/>
      <c r="MMQ604" s="50"/>
      <c r="MMR604" s="50"/>
      <c r="MMS604" s="46"/>
      <c r="MMT604" s="47"/>
      <c r="MMU604" s="46"/>
      <c r="MMV604" s="48"/>
      <c r="MMW604" s="53"/>
      <c r="MND604" s="15"/>
      <c r="MNE604" s="50"/>
      <c r="MNF604" s="50"/>
      <c r="MNG604" s="46"/>
      <c r="MNH604" s="47"/>
      <c r="MNI604" s="46"/>
      <c r="MNJ604" s="48"/>
      <c r="MNK604" s="53"/>
      <c r="MNR604" s="15"/>
      <c r="MNS604" s="50"/>
      <c r="MNT604" s="50"/>
      <c r="MNU604" s="46"/>
      <c r="MNV604" s="47"/>
      <c r="MNW604" s="46"/>
      <c r="MNX604" s="48"/>
      <c r="MNY604" s="53"/>
      <c r="MOF604" s="15"/>
      <c r="MOG604" s="50"/>
      <c r="MOH604" s="50"/>
      <c r="MOI604" s="46"/>
      <c r="MOJ604" s="47"/>
      <c r="MOK604" s="46"/>
      <c r="MOL604" s="48"/>
      <c r="MOM604" s="53"/>
      <c r="MOT604" s="15"/>
      <c r="MOU604" s="50"/>
      <c r="MOV604" s="50"/>
      <c r="MOW604" s="46"/>
      <c r="MOX604" s="47"/>
      <c r="MOY604" s="46"/>
      <c r="MOZ604" s="48"/>
      <c r="MPA604" s="53"/>
      <c r="MPH604" s="15"/>
      <c r="MPI604" s="50"/>
      <c r="MPJ604" s="50"/>
      <c r="MPK604" s="46"/>
      <c r="MPL604" s="47"/>
      <c r="MPM604" s="46"/>
      <c r="MPN604" s="48"/>
      <c r="MPO604" s="53"/>
      <c r="MPV604" s="15"/>
      <c r="MPW604" s="50"/>
      <c r="MPX604" s="50"/>
      <c r="MPY604" s="46"/>
      <c r="MPZ604" s="47"/>
      <c r="MQA604" s="46"/>
      <c r="MQB604" s="48"/>
      <c r="MQC604" s="53"/>
      <c r="MQJ604" s="15"/>
      <c r="MQK604" s="50"/>
      <c r="MQL604" s="50"/>
      <c r="MQM604" s="46"/>
      <c r="MQN604" s="47"/>
      <c r="MQO604" s="46"/>
      <c r="MQP604" s="48"/>
      <c r="MQQ604" s="53"/>
      <c r="MQX604" s="15"/>
      <c r="MQY604" s="50"/>
      <c r="MQZ604" s="50"/>
      <c r="MRA604" s="46"/>
      <c r="MRB604" s="47"/>
      <c r="MRC604" s="46"/>
      <c r="MRD604" s="48"/>
      <c r="MRE604" s="53"/>
      <c r="MRL604" s="15"/>
      <c r="MRM604" s="50"/>
      <c r="MRN604" s="50"/>
      <c r="MRO604" s="46"/>
      <c r="MRP604" s="47"/>
      <c r="MRQ604" s="46"/>
      <c r="MRR604" s="48"/>
      <c r="MRS604" s="53"/>
      <c r="MRZ604" s="15"/>
      <c r="MSA604" s="50"/>
      <c r="MSB604" s="50"/>
      <c r="MSC604" s="46"/>
      <c r="MSD604" s="47"/>
      <c r="MSE604" s="46"/>
      <c r="MSF604" s="48"/>
      <c r="MSG604" s="53"/>
      <c r="MSN604" s="15"/>
      <c r="MSO604" s="50"/>
      <c r="MSP604" s="50"/>
      <c r="MSQ604" s="46"/>
      <c r="MSR604" s="47"/>
      <c r="MSS604" s="46"/>
      <c r="MST604" s="48"/>
      <c r="MSU604" s="53"/>
      <c r="MTB604" s="15"/>
      <c r="MTC604" s="50"/>
      <c r="MTD604" s="50"/>
      <c r="MTE604" s="46"/>
      <c r="MTF604" s="47"/>
      <c r="MTG604" s="46"/>
      <c r="MTH604" s="48"/>
      <c r="MTI604" s="53"/>
      <c r="MTP604" s="15"/>
      <c r="MTQ604" s="50"/>
      <c r="MTR604" s="50"/>
      <c r="MTS604" s="46"/>
      <c r="MTT604" s="47"/>
      <c r="MTU604" s="46"/>
      <c r="MTV604" s="48"/>
      <c r="MTW604" s="53"/>
      <c r="MUD604" s="15"/>
      <c r="MUE604" s="50"/>
      <c r="MUF604" s="50"/>
      <c r="MUG604" s="46"/>
      <c r="MUH604" s="47"/>
      <c r="MUI604" s="46"/>
      <c r="MUJ604" s="48"/>
      <c r="MUK604" s="53"/>
      <c r="MUR604" s="15"/>
      <c r="MUS604" s="50"/>
      <c r="MUT604" s="50"/>
      <c r="MUU604" s="46"/>
      <c r="MUV604" s="47"/>
      <c r="MUW604" s="46"/>
      <c r="MUX604" s="48"/>
      <c r="MUY604" s="53"/>
      <c r="MVF604" s="15"/>
      <c r="MVG604" s="50"/>
      <c r="MVH604" s="50"/>
      <c r="MVI604" s="46"/>
      <c r="MVJ604" s="47"/>
      <c r="MVK604" s="46"/>
      <c r="MVL604" s="48"/>
      <c r="MVM604" s="53"/>
      <c r="MVT604" s="15"/>
      <c r="MVU604" s="50"/>
      <c r="MVV604" s="50"/>
      <c r="MVW604" s="46"/>
      <c r="MVX604" s="47"/>
      <c r="MVY604" s="46"/>
      <c r="MVZ604" s="48"/>
      <c r="MWA604" s="53"/>
      <c r="MWH604" s="15"/>
      <c r="MWI604" s="50"/>
      <c r="MWJ604" s="50"/>
      <c r="MWK604" s="46"/>
      <c r="MWL604" s="47"/>
      <c r="MWM604" s="46"/>
      <c r="MWN604" s="48"/>
      <c r="MWO604" s="53"/>
      <c r="MWV604" s="15"/>
      <c r="MWW604" s="50"/>
      <c r="MWX604" s="50"/>
      <c r="MWY604" s="46"/>
      <c r="MWZ604" s="47"/>
      <c r="MXA604" s="46"/>
      <c r="MXB604" s="48"/>
      <c r="MXC604" s="53"/>
      <c r="MXJ604" s="15"/>
      <c r="MXK604" s="50"/>
      <c r="MXL604" s="50"/>
      <c r="MXM604" s="46"/>
      <c r="MXN604" s="47"/>
      <c r="MXO604" s="46"/>
      <c r="MXP604" s="48"/>
      <c r="MXQ604" s="53"/>
      <c r="MXX604" s="15"/>
      <c r="MXY604" s="50"/>
      <c r="MXZ604" s="50"/>
      <c r="MYA604" s="46"/>
      <c r="MYB604" s="47"/>
      <c r="MYC604" s="46"/>
      <c r="MYD604" s="48"/>
      <c r="MYE604" s="53"/>
      <c r="MYL604" s="15"/>
      <c r="MYM604" s="50"/>
      <c r="MYN604" s="50"/>
      <c r="MYO604" s="46"/>
      <c r="MYP604" s="47"/>
      <c r="MYQ604" s="46"/>
      <c r="MYR604" s="48"/>
      <c r="MYS604" s="53"/>
      <c r="MYZ604" s="15"/>
      <c r="MZA604" s="50"/>
      <c r="MZB604" s="50"/>
      <c r="MZC604" s="46"/>
      <c r="MZD604" s="47"/>
      <c r="MZE604" s="46"/>
      <c r="MZF604" s="48"/>
      <c r="MZG604" s="53"/>
      <c r="MZN604" s="15"/>
      <c r="MZO604" s="50"/>
      <c r="MZP604" s="50"/>
      <c r="MZQ604" s="46"/>
      <c r="MZR604" s="47"/>
      <c r="MZS604" s="46"/>
      <c r="MZT604" s="48"/>
      <c r="MZU604" s="53"/>
      <c r="NAB604" s="15"/>
      <c r="NAC604" s="50"/>
      <c r="NAD604" s="50"/>
      <c r="NAE604" s="46"/>
      <c r="NAF604" s="47"/>
      <c r="NAG604" s="46"/>
      <c r="NAH604" s="48"/>
      <c r="NAI604" s="53"/>
      <c r="NAP604" s="15"/>
      <c r="NAQ604" s="50"/>
      <c r="NAR604" s="50"/>
      <c r="NAS604" s="46"/>
      <c r="NAT604" s="47"/>
      <c r="NAU604" s="46"/>
      <c r="NAV604" s="48"/>
      <c r="NAW604" s="53"/>
      <c r="NBD604" s="15"/>
      <c r="NBE604" s="50"/>
      <c r="NBF604" s="50"/>
      <c r="NBG604" s="46"/>
      <c r="NBH604" s="47"/>
      <c r="NBI604" s="46"/>
      <c r="NBJ604" s="48"/>
      <c r="NBK604" s="53"/>
      <c r="NBR604" s="15"/>
      <c r="NBS604" s="50"/>
      <c r="NBT604" s="50"/>
      <c r="NBU604" s="46"/>
      <c r="NBV604" s="47"/>
      <c r="NBW604" s="46"/>
      <c r="NBX604" s="48"/>
      <c r="NBY604" s="53"/>
      <c r="NCF604" s="15"/>
      <c r="NCG604" s="50"/>
      <c r="NCH604" s="50"/>
      <c r="NCI604" s="46"/>
      <c r="NCJ604" s="47"/>
      <c r="NCK604" s="46"/>
      <c r="NCL604" s="48"/>
      <c r="NCM604" s="53"/>
      <c r="NCT604" s="15"/>
      <c r="NCU604" s="50"/>
      <c r="NCV604" s="50"/>
      <c r="NCW604" s="46"/>
      <c r="NCX604" s="47"/>
      <c r="NCY604" s="46"/>
      <c r="NCZ604" s="48"/>
      <c r="NDA604" s="53"/>
      <c r="NDH604" s="15"/>
      <c r="NDI604" s="50"/>
      <c r="NDJ604" s="50"/>
      <c r="NDK604" s="46"/>
      <c r="NDL604" s="47"/>
      <c r="NDM604" s="46"/>
      <c r="NDN604" s="48"/>
      <c r="NDO604" s="53"/>
      <c r="NDV604" s="15"/>
      <c r="NDW604" s="50"/>
      <c r="NDX604" s="50"/>
      <c r="NDY604" s="46"/>
      <c r="NDZ604" s="47"/>
      <c r="NEA604" s="46"/>
      <c r="NEB604" s="48"/>
      <c r="NEC604" s="53"/>
      <c r="NEJ604" s="15"/>
      <c r="NEK604" s="50"/>
      <c r="NEL604" s="50"/>
      <c r="NEM604" s="46"/>
      <c r="NEN604" s="47"/>
      <c r="NEO604" s="46"/>
      <c r="NEP604" s="48"/>
      <c r="NEQ604" s="53"/>
      <c r="NEX604" s="15"/>
      <c r="NEY604" s="50"/>
      <c r="NEZ604" s="50"/>
      <c r="NFA604" s="46"/>
      <c r="NFB604" s="47"/>
      <c r="NFC604" s="46"/>
      <c r="NFD604" s="48"/>
      <c r="NFE604" s="53"/>
      <c r="NFL604" s="15"/>
      <c r="NFM604" s="50"/>
      <c r="NFN604" s="50"/>
      <c r="NFO604" s="46"/>
      <c r="NFP604" s="47"/>
      <c r="NFQ604" s="46"/>
      <c r="NFR604" s="48"/>
      <c r="NFS604" s="53"/>
      <c r="NFZ604" s="15"/>
      <c r="NGA604" s="50"/>
      <c r="NGB604" s="50"/>
      <c r="NGC604" s="46"/>
      <c r="NGD604" s="47"/>
      <c r="NGE604" s="46"/>
      <c r="NGF604" s="48"/>
      <c r="NGG604" s="53"/>
      <c r="NGN604" s="15"/>
      <c r="NGO604" s="50"/>
      <c r="NGP604" s="50"/>
      <c r="NGQ604" s="46"/>
      <c r="NGR604" s="47"/>
      <c r="NGS604" s="46"/>
      <c r="NGT604" s="48"/>
      <c r="NGU604" s="53"/>
      <c r="NHB604" s="15"/>
      <c r="NHC604" s="50"/>
      <c r="NHD604" s="50"/>
      <c r="NHE604" s="46"/>
      <c r="NHF604" s="47"/>
      <c r="NHG604" s="46"/>
      <c r="NHH604" s="48"/>
      <c r="NHI604" s="53"/>
      <c r="NHP604" s="15"/>
      <c r="NHQ604" s="50"/>
      <c r="NHR604" s="50"/>
      <c r="NHS604" s="46"/>
      <c r="NHT604" s="47"/>
      <c r="NHU604" s="46"/>
      <c r="NHV604" s="48"/>
      <c r="NHW604" s="53"/>
      <c r="NID604" s="15"/>
      <c r="NIE604" s="50"/>
      <c r="NIF604" s="50"/>
      <c r="NIG604" s="46"/>
      <c r="NIH604" s="47"/>
      <c r="NII604" s="46"/>
      <c r="NIJ604" s="48"/>
      <c r="NIK604" s="53"/>
      <c r="NIR604" s="15"/>
      <c r="NIS604" s="50"/>
      <c r="NIT604" s="50"/>
      <c r="NIU604" s="46"/>
      <c r="NIV604" s="47"/>
      <c r="NIW604" s="46"/>
      <c r="NIX604" s="48"/>
      <c r="NIY604" s="53"/>
      <c r="NJF604" s="15"/>
      <c r="NJG604" s="50"/>
      <c r="NJH604" s="50"/>
      <c r="NJI604" s="46"/>
      <c r="NJJ604" s="47"/>
      <c r="NJK604" s="46"/>
      <c r="NJL604" s="48"/>
      <c r="NJM604" s="53"/>
      <c r="NJT604" s="15"/>
      <c r="NJU604" s="50"/>
      <c r="NJV604" s="50"/>
      <c r="NJW604" s="46"/>
      <c r="NJX604" s="47"/>
      <c r="NJY604" s="46"/>
      <c r="NJZ604" s="48"/>
      <c r="NKA604" s="53"/>
      <c r="NKH604" s="15"/>
      <c r="NKI604" s="50"/>
      <c r="NKJ604" s="50"/>
      <c r="NKK604" s="46"/>
      <c r="NKL604" s="47"/>
      <c r="NKM604" s="46"/>
      <c r="NKN604" s="48"/>
      <c r="NKO604" s="53"/>
      <c r="NKV604" s="15"/>
      <c r="NKW604" s="50"/>
      <c r="NKX604" s="50"/>
      <c r="NKY604" s="46"/>
      <c r="NKZ604" s="47"/>
      <c r="NLA604" s="46"/>
      <c r="NLB604" s="48"/>
      <c r="NLC604" s="53"/>
      <c r="NLJ604" s="15"/>
      <c r="NLK604" s="50"/>
      <c r="NLL604" s="50"/>
      <c r="NLM604" s="46"/>
      <c r="NLN604" s="47"/>
      <c r="NLO604" s="46"/>
      <c r="NLP604" s="48"/>
      <c r="NLQ604" s="53"/>
      <c r="NLX604" s="15"/>
      <c r="NLY604" s="50"/>
      <c r="NLZ604" s="50"/>
      <c r="NMA604" s="46"/>
      <c r="NMB604" s="47"/>
      <c r="NMC604" s="46"/>
      <c r="NMD604" s="48"/>
      <c r="NME604" s="53"/>
      <c r="NML604" s="15"/>
      <c r="NMM604" s="50"/>
      <c r="NMN604" s="50"/>
      <c r="NMO604" s="46"/>
      <c r="NMP604" s="47"/>
      <c r="NMQ604" s="46"/>
      <c r="NMR604" s="48"/>
      <c r="NMS604" s="53"/>
      <c r="NMZ604" s="15"/>
      <c r="NNA604" s="50"/>
      <c r="NNB604" s="50"/>
      <c r="NNC604" s="46"/>
      <c r="NND604" s="47"/>
      <c r="NNE604" s="46"/>
      <c r="NNF604" s="48"/>
      <c r="NNG604" s="53"/>
      <c r="NNN604" s="15"/>
      <c r="NNO604" s="50"/>
      <c r="NNP604" s="50"/>
      <c r="NNQ604" s="46"/>
      <c r="NNR604" s="47"/>
      <c r="NNS604" s="46"/>
      <c r="NNT604" s="48"/>
      <c r="NNU604" s="53"/>
      <c r="NOB604" s="15"/>
      <c r="NOC604" s="50"/>
      <c r="NOD604" s="50"/>
      <c r="NOE604" s="46"/>
      <c r="NOF604" s="47"/>
      <c r="NOG604" s="46"/>
      <c r="NOH604" s="48"/>
      <c r="NOI604" s="53"/>
      <c r="NOP604" s="15"/>
      <c r="NOQ604" s="50"/>
      <c r="NOR604" s="50"/>
      <c r="NOS604" s="46"/>
      <c r="NOT604" s="47"/>
      <c r="NOU604" s="46"/>
      <c r="NOV604" s="48"/>
      <c r="NOW604" s="53"/>
      <c r="NPD604" s="15"/>
      <c r="NPE604" s="50"/>
      <c r="NPF604" s="50"/>
      <c r="NPG604" s="46"/>
      <c r="NPH604" s="47"/>
      <c r="NPI604" s="46"/>
      <c r="NPJ604" s="48"/>
      <c r="NPK604" s="53"/>
      <c r="NPR604" s="15"/>
      <c r="NPS604" s="50"/>
      <c r="NPT604" s="50"/>
      <c r="NPU604" s="46"/>
      <c r="NPV604" s="47"/>
      <c r="NPW604" s="46"/>
      <c r="NPX604" s="48"/>
      <c r="NPY604" s="53"/>
      <c r="NQF604" s="15"/>
      <c r="NQG604" s="50"/>
      <c r="NQH604" s="50"/>
      <c r="NQI604" s="46"/>
      <c r="NQJ604" s="47"/>
      <c r="NQK604" s="46"/>
      <c r="NQL604" s="48"/>
      <c r="NQM604" s="53"/>
      <c r="NQT604" s="15"/>
      <c r="NQU604" s="50"/>
      <c r="NQV604" s="50"/>
      <c r="NQW604" s="46"/>
      <c r="NQX604" s="47"/>
      <c r="NQY604" s="46"/>
      <c r="NQZ604" s="48"/>
      <c r="NRA604" s="53"/>
      <c r="NRH604" s="15"/>
      <c r="NRI604" s="50"/>
      <c r="NRJ604" s="50"/>
      <c r="NRK604" s="46"/>
      <c r="NRL604" s="47"/>
      <c r="NRM604" s="46"/>
      <c r="NRN604" s="48"/>
      <c r="NRO604" s="53"/>
      <c r="NRV604" s="15"/>
      <c r="NRW604" s="50"/>
      <c r="NRX604" s="50"/>
      <c r="NRY604" s="46"/>
      <c r="NRZ604" s="47"/>
      <c r="NSA604" s="46"/>
      <c r="NSB604" s="48"/>
      <c r="NSC604" s="53"/>
      <c r="NSJ604" s="15"/>
      <c r="NSK604" s="50"/>
      <c r="NSL604" s="50"/>
      <c r="NSM604" s="46"/>
      <c r="NSN604" s="47"/>
      <c r="NSO604" s="46"/>
      <c r="NSP604" s="48"/>
      <c r="NSQ604" s="53"/>
      <c r="NSX604" s="15"/>
      <c r="NSY604" s="50"/>
      <c r="NSZ604" s="50"/>
      <c r="NTA604" s="46"/>
      <c r="NTB604" s="47"/>
      <c r="NTC604" s="46"/>
      <c r="NTD604" s="48"/>
      <c r="NTE604" s="53"/>
      <c r="NTL604" s="15"/>
      <c r="NTM604" s="50"/>
      <c r="NTN604" s="50"/>
      <c r="NTO604" s="46"/>
      <c r="NTP604" s="47"/>
      <c r="NTQ604" s="46"/>
      <c r="NTR604" s="48"/>
      <c r="NTS604" s="53"/>
      <c r="NTZ604" s="15"/>
      <c r="NUA604" s="50"/>
      <c r="NUB604" s="50"/>
      <c r="NUC604" s="46"/>
      <c r="NUD604" s="47"/>
      <c r="NUE604" s="46"/>
      <c r="NUF604" s="48"/>
      <c r="NUG604" s="53"/>
      <c r="NUN604" s="15"/>
      <c r="NUO604" s="50"/>
      <c r="NUP604" s="50"/>
      <c r="NUQ604" s="46"/>
      <c r="NUR604" s="47"/>
      <c r="NUS604" s="46"/>
      <c r="NUT604" s="48"/>
      <c r="NUU604" s="53"/>
      <c r="NVB604" s="15"/>
      <c r="NVC604" s="50"/>
      <c r="NVD604" s="50"/>
      <c r="NVE604" s="46"/>
      <c r="NVF604" s="47"/>
      <c r="NVG604" s="46"/>
      <c r="NVH604" s="48"/>
      <c r="NVI604" s="53"/>
      <c r="NVP604" s="15"/>
      <c r="NVQ604" s="50"/>
      <c r="NVR604" s="50"/>
      <c r="NVS604" s="46"/>
      <c r="NVT604" s="47"/>
      <c r="NVU604" s="46"/>
      <c r="NVV604" s="48"/>
      <c r="NVW604" s="53"/>
      <c r="NWD604" s="15"/>
      <c r="NWE604" s="50"/>
      <c r="NWF604" s="50"/>
      <c r="NWG604" s="46"/>
      <c r="NWH604" s="47"/>
      <c r="NWI604" s="46"/>
      <c r="NWJ604" s="48"/>
      <c r="NWK604" s="53"/>
      <c r="NWR604" s="15"/>
      <c r="NWS604" s="50"/>
      <c r="NWT604" s="50"/>
      <c r="NWU604" s="46"/>
      <c r="NWV604" s="47"/>
      <c r="NWW604" s="46"/>
      <c r="NWX604" s="48"/>
      <c r="NWY604" s="53"/>
      <c r="NXF604" s="15"/>
      <c r="NXG604" s="50"/>
      <c r="NXH604" s="50"/>
      <c r="NXI604" s="46"/>
      <c r="NXJ604" s="47"/>
      <c r="NXK604" s="46"/>
      <c r="NXL604" s="48"/>
      <c r="NXM604" s="53"/>
      <c r="NXT604" s="15"/>
      <c r="NXU604" s="50"/>
      <c r="NXV604" s="50"/>
      <c r="NXW604" s="46"/>
      <c r="NXX604" s="47"/>
      <c r="NXY604" s="46"/>
      <c r="NXZ604" s="48"/>
      <c r="NYA604" s="53"/>
      <c r="NYH604" s="15"/>
      <c r="NYI604" s="50"/>
      <c r="NYJ604" s="50"/>
      <c r="NYK604" s="46"/>
      <c r="NYL604" s="47"/>
      <c r="NYM604" s="46"/>
      <c r="NYN604" s="48"/>
      <c r="NYO604" s="53"/>
      <c r="NYV604" s="15"/>
      <c r="NYW604" s="50"/>
      <c r="NYX604" s="50"/>
      <c r="NYY604" s="46"/>
      <c r="NYZ604" s="47"/>
      <c r="NZA604" s="46"/>
      <c r="NZB604" s="48"/>
      <c r="NZC604" s="53"/>
      <c r="NZJ604" s="15"/>
      <c r="NZK604" s="50"/>
      <c r="NZL604" s="50"/>
      <c r="NZM604" s="46"/>
      <c r="NZN604" s="47"/>
      <c r="NZO604" s="46"/>
      <c r="NZP604" s="48"/>
      <c r="NZQ604" s="53"/>
      <c r="NZX604" s="15"/>
      <c r="NZY604" s="50"/>
      <c r="NZZ604" s="50"/>
      <c r="OAA604" s="46"/>
      <c r="OAB604" s="47"/>
      <c r="OAC604" s="46"/>
      <c r="OAD604" s="48"/>
      <c r="OAE604" s="53"/>
      <c r="OAL604" s="15"/>
      <c r="OAM604" s="50"/>
      <c r="OAN604" s="50"/>
      <c r="OAO604" s="46"/>
      <c r="OAP604" s="47"/>
      <c r="OAQ604" s="46"/>
      <c r="OAR604" s="48"/>
      <c r="OAS604" s="53"/>
      <c r="OAZ604" s="15"/>
      <c r="OBA604" s="50"/>
      <c r="OBB604" s="50"/>
      <c r="OBC604" s="46"/>
      <c r="OBD604" s="47"/>
      <c r="OBE604" s="46"/>
      <c r="OBF604" s="48"/>
      <c r="OBG604" s="53"/>
      <c r="OBN604" s="15"/>
      <c r="OBO604" s="50"/>
      <c r="OBP604" s="50"/>
      <c r="OBQ604" s="46"/>
      <c r="OBR604" s="47"/>
      <c r="OBS604" s="46"/>
      <c r="OBT604" s="48"/>
      <c r="OBU604" s="53"/>
      <c r="OCB604" s="15"/>
      <c r="OCC604" s="50"/>
      <c r="OCD604" s="50"/>
      <c r="OCE604" s="46"/>
      <c r="OCF604" s="47"/>
      <c r="OCG604" s="46"/>
      <c r="OCH604" s="48"/>
      <c r="OCI604" s="53"/>
      <c r="OCP604" s="15"/>
      <c r="OCQ604" s="50"/>
      <c r="OCR604" s="50"/>
      <c r="OCS604" s="46"/>
      <c r="OCT604" s="47"/>
      <c r="OCU604" s="46"/>
      <c r="OCV604" s="48"/>
      <c r="OCW604" s="53"/>
      <c r="ODD604" s="15"/>
      <c r="ODE604" s="50"/>
      <c r="ODF604" s="50"/>
      <c r="ODG604" s="46"/>
      <c r="ODH604" s="47"/>
      <c r="ODI604" s="46"/>
      <c r="ODJ604" s="48"/>
      <c r="ODK604" s="53"/>
      <c r="ODR604" s="15"/>
      <c r="ODS604" s="50"/>
      <c r="ODT604" s="50"/>
      <c r="ODU604" s="46"/>
      <c r="ODV604" s="47"/>
      <c r="ODW604" s="46"/>
      <c r="ODX604" s="48"/>
      <c r="ODY604" s="53"/>
      <c r="OEF604" s="15"/>
      <c r="OEG604" s="50"/>
      <c r="OEH604" s="50"/>
      <c r="OEI604" s="46"/>
      <c r="OEJ604" s="47"/>
      <c r="OEK604" s="46"/>
      <c r="OEL604" s="48"/>
      <c r="OEM604" s="53"/>
      <c r="OET604" s="15"/>
      <c r="OEU604" s="50"/>
      <c r="OEV604" s="50"/>
      <c r="OEW604" s="46"/>
      <c r="OEX604" s="47"/>
      <c r="OEY604" s="46"/>
      <c r="OEZ604" s="48"/>
      <c r="OFA604" s="53"/>
      <c r="OFH604" s="15"/>
      <c r="OFI604" s="50"/>
      <c r="OFJ604" s="50"/>
      <c r="OFK604" s="46"/>
      <c r="OFL604" s="47"/>
      <c r="OFM604" s="46"/>
      <c r="OFN604" s="48"/>
      <c r="OFO604" s="53"/>
      <c r="OFV604" s="15"/>
      <c r="OFW604" s="50"/>
      <c r="OFX604" s="50"/>
      <c r="OFY604" s="46"/>
      <c r="OFZ604" s="47"/>
      <c r="OGA604" s="46"/>
      <c r="OGB604" s="48"/>
      <c r="OGC604" s="53"/>
      <c r="OGJ604" s="15"/>
      <c r="OGK604" s="50"/>
      <c r="OGL604" s="50"/>
      <c r="OGM604" s="46"/>
      <c r="OGN604" s="47"/>
      <c r="OGO604" s="46"/>
      <c r="OGP604" s="48"/>
      <c r="OGQ604" s="53"/>
      <c r="OGX604" s="15"/>
      <c r="OGY604" s="50"/>
      <c r="OGZ604" s="50"/>
      <c r="OHA604" s="46"/>
      <c r="OHB604" s="47"/>
      <c r="OHC604" s="46"/>
      <c r="OHD604" s="48"/>
      <c r="OHE604" s="53"/>
      <c r="OHL604" s="15"/>
      <c r="OHM604" s="50"/>
      <c r="OHN604" s="50"/>
      <c r="OHO604" s="46"/>
      <c r="OHP604" s="47"/>
      <c r="OHQ604" s="46"/>
      <c r="OHR604" s="48"/>
      <c r="OHS604" s="53"/>
      <c r="OHZ604" s="15"/>
      <c r="OIA604" s="50"/>
      <c r="OIB604" s="50"/>
      <c r="OIC604" s="46"/>
      <c r="OID604" s="47"/>
      <c r="OIE604" s="46"/>
      <c r="OIF604" s="48"/>
      <c r="OIG604" s="53"/>
      <c r="OIN604" s="15"/>
      <c r="OIO604" s="50"/>
      <c r="OIP604" s="50"/>
      <c r="OIQ604" s="46"/>
      <c r="OIR604" s="47"/>
      <c r="OIS604" s="46"/>
      <c r="OIT604" s="48"/>
      <c r="OIU604" s="53"/>
      <c r="OJB604" s="15"/>
      <c r="OJC604" s="50"/>
      <c r="OJD604" s="50"/>
      <c r="OJE604" s="46"/>
      <c r="OJF604" s="47"/>
      <c r="OJG604" s="46"/>
      <c r="OJH604" s="48"/>
      <c r="OJI604" s="53"/>
      <c r="OJP604" s="15"/>
      <c r="OJQ604" s="50"/>
      <c r="OJR604" s="50"/>
      <c r="OJS604" s="46"/>
      <c r="OJT604" s="47"/>
      <c r="OJU604" s="46"/>
      <c r="OJV604" s="48"/>
      <c r="OJW604" s="53"/>
      <c r="OKD604" s="15"/>
      <c r="OKE604" s="50"/>
      <c r="OKF604" s="50"/>
      <c r="OKG604" s="46"/>
      <c r="OKH604" s="47"/>
      <c r="OKI604" s="46"/>
      <c r="OKJ604" s="48"/>
      <c r="OKK604" s="53"/>
      <c r="OKR604" s="15"/>
      <c r="OKS604" s="50"/>
      <c r="OKT604" s="50"/>
      <c r="OKU604" s="46"/>
      <c r="OKV604" s="47"/>
      <c r="OKW604" s="46"/>
      <c r="OKX604" s="48"/>
      <c r="OKY604" s="53"/>
      <c r="OLF604" s="15"/>
      <c r="OLG604" s="50"/>
      <c r="OLH604" s="50"/>
      <c r="OLI604" s="46"/>
      <c r="OLJ604" s="47"/>
      <c r="OLK604" s="46"/>
      <c r="OLL604" s="48"/>
      <c r="OLM604" s="53"/>
      <c r="OLT604" s="15"/>
      <c r="OLU604" s="50"/>
      <c r="OLV604" s="50"/>
      <c r="OLW604" s="46"/>
      <c r="OLX604" s="47"/>
      <c r="OLY604" s="46"/>
      <c r="OLZ604" s="48"/>
      <c r="OMA604" s="53"/>
      <c r="OMH604" s="15"/>
      <c r="OMI604" s="50"/>
      <c r="OMJ604" s="50"/>
      <c r="OMK604" s="46"/>
      <c r="OML604" s="47"/>
      <c r="OMM604" s="46"/>
      <c r="OMN604" s="48"/>
      <c r="OMO604" s="53"/>
      <c r="OMV604" s="15"/>
      <c r="OMW604" s="50"/>
      <c r="OMX604" s="50"/>
      <c r="OMY604" s="46"/>
      <c r="OMZ604" s="47"/>
      <c r="ONA604" s="46"/>
      <c r="ONB604" s="48"/>
      <c r="ONC604" s="53"/>
      <c r="ONJ604" s="15"/>
      <c r="ONK604" s="50"/>
      <c r="ONL604" s="50"/>
      <c r="ONM604" s="46"/>
      <c r="ONN604" s="47"/>
      <c r="ONO604" s="46"/>
      <c r="ONP604" s="48"/>
      <c r="ONQ604" s="53"/>
      <c r="ONX604" s="15"/>
      <c r="ONY604" s="50"/>
      <c r="ONZ604" s="50"/>
      <c r="OOA604" s="46"/>
      <c r="OOB604" s="47"/>
      <c r="OOC604" s="46"/>
      <c r="OOD604" s="48"/>
      <c r="OOE604" s="53"/>
      <c r="OOL604" s="15"/>
      <c r="OOM604" s="50"/>
      <c r="OON604" s="50"/>
      <c r="OOO604" s="46"/>
      <c r="OOP604" s="47"/>
      <c r="OOQ604" s="46"/>
      <c r="OOR604" s="48"/>
      <c r="OOS604" s="53"/>
      <c r="OOZ604" s="15"/>
      <c r="OPA604" s="50"/>
      <c r="OPB604" s="50"/>
      <c r="OPC604" s="46"/>
      <c r="OPD604" s="47"/>
      <c r="OPE604" s="46"/>
      <c r="OPF604" s="48"/>
      <c r="OPG604" s="53"/>
      <c r="OPN604" s="15"/>
      <c r="OPO604" s="50"/>
      <c r="OPP604" s="50"/>
      <c r="OPQ604" s="46"/>
      <c r="OPR604" s="47"/>
      <c r="OPS604" s="46"/>
      <c r="OPT604" s="48"/>
      <c r="OPU604" s="53"/>
      <c r="OQB604" s="15"/>
      <c r="OQC604" s="50"/>
      <c r="OQD604" s="50"/>
      <c r="OQE604" s="46"/>
      <c r="OQF604" s="47"/>
      <c r="OQG604" s="46"/>
      <c r="OQH604" s="48"/>
      <c r="OQI604" s="53"/>
      <c r="OQP604" s="15"/>
      <c r="OQQ604" s="50"/>
      <c r="OQR604" s="50"/>
      <c r="OQS604" s="46"/>
      <c r="OQT604" s="47"/>
      <c r="OQU604" s="46"/>
      <c r="OQV604" s="48"/>
      <c r="OQW604" s="53"/>
      <c r="ORD604" s="15"/>
      <c r="ORE604" s="50"/>
      <c r="ORF604" s="50"/>
      <c r="ORG604" s="46"/>
      <c r="ORH604" s="47"/>
      <c r="ORI604" s="46"/>
      <c r="ORJ604" s="48"/>
      <c r="ORK604" s="53"/>
      <c r="ORR604" s="15"/>
      <c r="ORS604" s="50"/>
      <c r="ORT604" s="50"/>
      <c r="ORU604" s="46"/>
      <c r="ORV604" s="47"/>
      <c r="ORW604" s="46"/>
      <c r="ORX604" s="48"/>
      <c r="ORY604" s="53"/>
      <c r="OSF604" s="15"/>
      <c r="OSG604" s="50"/>
      <c r="OSH604" s="50"/>
      <c r="OSI604" s="46"/>
      <c r="OSJ604" s="47"/>
      <c r="OSK604" s="46"/>
      <c r="OSL604" s="48"/>
      <c r="OSM604" s="53"/>
      <c r="OST604" s="15"/>
      <c r="OSU604" s="50"/>
      <c r="OSV604" s="50"/>
      <c r="OSW604" s="46"/>
      <c r="OSX604" s="47"/>
      <c r="OSY604" s="46"/>
      <c r="OSZ604" s="48"/>
      <c r="OTA604" s="53"/>
      <c r="OTH604" s="15"/>
      <c r="OTI604" s="50"/>
      <c r="OTJ604" s="50"/>
      <c r="OTK604" s="46"/>
      <c r="OTL604" s="47"/>
      <c r="OTM604" s="46"/>
      <c r="OTN604" s="48"/>
      <c r="OTO604" s="53"/>
      <c r="OTV604" s="15"/>
      <c r="OTW604" s="50"/>
      <c r="OTX604" s="50"/>
      <c r="OTY604" s="46"/>
      <c r="OTZ604" s="47"/>
      <c r="OUA604" s="46"/>
      <c r="OUB604" s="48"/>
      <c r="OUC604" s="53"/>
      <c r="OUJ604" s="15"/>
      <c r="OUK604" s="50"/>
      <c r="OUL604" s="50"/>
      <c r="OUM604" s="46"/>
      <c r="OUN604" s="47"/>
      <c r="OUO604" s="46"/>
      <c r="OUP604" s="48"/>
      <c r="OUQ604" s="53"/>
      <c r="OUX604" s="15"/>
      <c r="OUY604" s="50"/>
      <c r="OUZ604" s="50"/>
      <c r="OVA604" s="46"/>
      <c r="OVB604" s="47"/>
      <c r="OVC604" s="46"/>
      <c r="OVD604" s="48"/>
      <c r="OVE604" s="53"/>
      <c r="OVL604" s="15"/>
      <c r="OVM604" s="50"/>
      <c r="OVN604" s="50"/>
      <c r="OVO604" s="46"/>
      <c r="OVP604" s="47"/>
      <c r="OVQ604" s="46"/>
      <c r="OVR604" s="48"/>
      <c r="OVS604" s="53"/>
      <c r="OVZ604" s="15"/>
      <c r="OWA604" s="50"/>
      <c r="OWB604" s="50"/>
      <c r="OWC604" s="46"/>
      <c r="OWD604" s="47"/>
      <c r="OWE604" s="46"/>
      <c r="OWF604" s="48"/>
      <c r="OWG604" s="53"/>
      <c r="OWN604" s="15"/>
      <c r="OWO604" s="50"/>
      <c r="OWP604" s="50"/>
      <c r="OWQ604" s="46"/>
      <c r="OWR604" s="47"/>
      <c r="OWS604" s="46"/>
      <c r="OWT604" s="48"/>
      <c r="OWU604" s="53"/>
      <c r="OXB604" s="15"/>
      <c r="OXC604" s="50"/>
      <c r="OXD604" s="50"/>
      <c r="OXE604" s="46"/>
      <c r="OXF604" s="47"/>
      <c r="OXG604" s="46"/>
      <c r="OXH604" s="48"/>
      <c r="OXI604" s="53"/>
      <c r="OXP604" s="15"/>
      <c r="OXQ604" s="50"/>
      <c r="OXR604" s="50"/>
      <c r="OXS604" s="46"/>
      <c r="OXT604" s="47"/>
      <c r="OXU604" s="46"/>
      <c r="OXV604" s="48"/>
      <c r="OXW604" s="53"/>
      <c r="OYD604" s="15"/>
      <c r="OYE604" s="50"/>
      <c r="OYF604" s="50"/>
      <c r="OYG604" s="46"/>
      <c r="OYH604" s="47"/>
      <c r="OYI604" s="46"/>
      <c r="OYJ604" s="48"/>
      <c r="OYK604" s="53"/>
      <c r="OYR604" s="15"/>
      <c r="OYS604" s="50"/>
      <c r="OYT604" s="50"/>
      <c r="OYU604" s="46"/>
      <c r="OYV604" s="47"/>
      <c r="OYW604" s="46"/>
      <c r="OYX604" s="48"/>
      <c r="OYY604" s="53"/>
      <c r="OZF604" s="15"/>
      <c r="OZG604" s="50"/>
      <c r="OZH604" s="50"/>
      <c r="OZI604" s="46"/>
      <c r="OZJ604" s="47"/>
      <c r="OZK604" s="46"/>
      <c r="OZL604" s="48"/>
      <c r="OZM604" s="53"/>
      <c r="OZT604" s="15"/>
      <c r="OZU604" s="50"/>
      <c r="OZV604" s="50"/>
      <c r="OZW604" s="46"/>
      <c r="OZX604" s="47"/>
      <c r="OZY604" s="46"/>
      <c r="OZZ604" s="48"/>
      <c r="PAA604" s="53"/>
      <c r="PAH604" s="15"/>
      <c r="PAI604" s="50"/>
      <c r="PAJ604" s="50"/>
      <c r="PAK604" s="46"/>
      <c r="PAL604" s="47"/>
      <c r="PAM604" s="46"/>
      <c r="PAN604" s="48"/>
      <c r="PAO604" s="53"/>
      <c r="PAV604" s="15"/>
      <c r="PAW604" s="50"/>
      <c r="PAX604" s="50"/>
      <c r="PAY604" s="46"/>
      <c r="PAZ604" s="47"/>
      <c r="PBA604" s="46"/>
      <c r="PBB604" s="48"/>
      <c r="PBC604" s="53"/>
      <c r="PBJ604" s="15"/>
      <c r="PBK604" s="50"/>
      <c r="PBL604" s="50"/>
      <c r="PBM604" s="46"/>
      <c r="PBN604" s="47"/>
      <c r="PBO604" s="46"/>
      <c r="PBP604" s="48"/>
      <c r="PBQ604" s="53"/>
      <c r="PBX604" s="15"/>
      <c r="PBY604" s="50"/>
      <c r="PBZ604" s="50"/>
      <c r="PCA604" s="46"/>
      <c r="PCB604" s="47"/>
      <c r="PCC604" s="46"/>
      <c r="PCD604" s="48"/>
      <c r="PCE604" s="53"/>
      <c r="PCL604" s="15"/>
      <c r="PCM604" s="50"/>
      <c r="PCN604" s="50"/>
      <c r="PCO604" s="46"/>
      <c r="PCP604" s="47"/>
      <c r="PCQ604" s="46"/>
      <c r="PCR604" s="48"/>
      <c r="PCS604" s="53"/>
      <c r="PCZ604" s="15"/>
      <c r="PDA604" s="50"/>
      <c r="PDB604" s="50"/>
      <c r="PDC604" s="46"/>
      <c r="PDD604" s="47"/>
      <c r="PDE604" s="46"/>
      <c r="PDF604" s="48"/>
      <c r="PDG604" s="53"/>
      <c r="PDN604" s="15"/>
      <c r="PDO604" s="50"/>
      <c r="PDP604" s="50"/>
      <c r="PDQ604" s="46"/>
      <c r="PDR604" s="47"/>
      <c r="PDS604" s="46"/>
      <c r="PDT604" s="48"/>
      <c r="PDU604" s="53"/>
      <c r="PEB604" s="15"/>
      <c r="PEC604" s="50"/>
      <c r="PED604" s="50"/>
      <c r="PEE604" s="46"/>
      <c r="PEF604" s="47"/>
      <c r="PEG604" s="46"/>
      <c r="PEH604" s="48"/>
      <c r="PEI604" s="53"/>
      <c r="PEP604" s="15"/>
      <c r="PEQ604" s="50"/>
      <c r="PER604" s="50"/>
      <c r="PES604" s="46"/>
      <c r="PET604" s="47"/>
      <c r="PEU604" s="46"/>
      <c r="PEV604" s="48"/>
      <c r="PEW604" s="53"/>
      <c r="PFD604" s="15"/>
      <c r="PFE604" s="50"/>
      <c r="PFF604" s="50"/>
      <c r="PFG604" s="46"/>
      <c r="PFH604" s="47"/>
      <c r="PFI604" s="46"/>
      <c r="PFJ604" s="48"/>
      <c r="PFK604" s="53"/>
      <c r="PFR604" s="15"/>
      <c r="PFS604" s="50"/>
      <c r="PFT604" s="50"/>
      <c r="PFU604" s="46"/>
      <c r="PFV604" s="47"/>
      <c r="PFW604" s="46"/>
      <c r="PFX604" s="48"/>
      <c r="PFY604" s="53"/>
      <c r="PGF604" s="15"/>
      <c r="PGG604" s="50"/>
      <c r="PGH604" s="50"/>
      <c r="PGI604" s="46"/>
      <c r="PGJ604" s="47"/>
      <c r="PGK604" s="46"/>
      <c r="PGL604" s="48"/>
      <c r="PGM604" s="53"/>
      <c r="PGT604" s="15"/>
      <c r="PGU604" s="50"/>
      <c r="PGV604" s="50"/>
      <c r="PGW604" s="46"/>
      <c r="PGX604" s="47"/>
      <c r="PGY604" s="46"/>
      <c r="PGZ604" s="48"/>
      <c r="PHA604" s="53"/>
      <c r="PHH604" s="15"/>
      <c r="PHI604" s="50"/>
      <c r="PHJ604" s="50"/>
      <c r="PHK604" s="46"/>
      <c r="PHL604" s="47"/>
      <c r="PHM604" s="46"/>
      <c r="PHN604" s="48"/>
      <c r="PHO604" s="53"/>
      <c r="PHV604" s="15"/>
      <c r="PHW604" s="50"/>
      <c r="PHX604" s="50"/>
      <c r="PHY604" s="46"/>
      <c r="PHZ604" s="47"/>
      <c r="PIA604" s="46"/>
      <c r="PIB604" s="48"/>
      <c r="PIC604" s="53"/>
      <c r="PIJ604" s="15"/>
      <c r="PIK604" s="50"/>
      <c r="PIL604" s="50"/>
      <c r="PIM604" s="46"/>
      <c r="PIN604" s="47"/>
      <c r="PIO604" s="46"/>
      <c r="PIP604" s="48"/>
      <c r="PIQ604" s="53"/>
      <c r="PIX604" s="15"/>
      <c r="PIY604" s="50"/>
      <c r="PIZ604" s="50"/>
      <c r="PJA604" s="46"/>
      <c r="PJB604" s="47"/>
      <c r="PJC604" s="46"/>
      <c r="PJD604" s="48"/>
      <c r="PJE604" s="53"/>
      <c r="PJL604" s="15"/>
      <c r="PJM604" s="50"/>
      <c r="PJN604" s="50"/>
      <c r="PJO604" s="46"/>
      <c r="PJP604" s="47"/>
      <c r="PJQ604" s="46"/>
      <c r="PJR604" s="48"/>
      <c r="PJS604" s="53"/>
      <c r="PJZ604" s="15"/>
      <c r="PKA604" s="50"/>
      <c r="PKB604" s="50"/>
      <c r="PKC604" s="46"/>
      <c r="PKD604" s="47"/>
      <c r="PKE604" s="46"/>
      <c r="PKF604" s="48"/>
      <c r="PKG604" s="53"/>
      <c r="PKN604" s="15"/>
      <c r="PKO604" s="50"/>
      <c r="PKP604" s="50"/>
      <c r="PKQ604" s="46"/>
      <c r="PKR604" s="47"/>
      <c r="PKS604" s="46"/>
      <c r="PKT604" s="48"/>
      <c r="PKU604" s="53"/>
      <c r="PLB604" s="15"/>
      <c r="PLC604" s="50"/>
      <c r="PLD604" s="50"/>
      <c r="PLE604" s="46"/>
      <c r="PLF604" s="47"/>
      <c r="PLG604" s="46"/>
      <c r="PLH604" s="48"/>
      <c r="PLI604" s="53"/>
      <c r="PLP604" s="15"/>
      <c r="PLQ604" s="50"/>
      <c r="PLR604" s="50"/>
      <c r="PLS604" s="46"/>
      <c r="PLT604" s="47"/>
      <c r="PLU604" s="46"/>
      <c r="PLV604" s="48"/>
      <c r="PLW604" s="53"/>
      <c r="PMD604" s="15"/>
      <c r="PME604" s="50"/>
      <c r="PMF604" s="50"/>
      <c r="PMG604" s="46"/>
      <c r="PMH604" s="47"/>
      <c r="PMI604" s="46"/>
      <c r="PMJ604" s="48"/>
      <c r="PMK604" s="53"/>
      <c r="PMR604" s="15"/>
      <c r="PMS604" s="50"/>
      <c r="PMT604" s="50"/>
      <c r="PMU604" s="46"/>
      <c r="PMV604" s="47"/>
      <c r="PMW604" s="46"/>
      <c r="PMX604" s="48"/>
      <c r="PMY604" s="53"/>
      <c r="PNF604" s="15"/>
      <c r="PNG604" s="50"/>
      <c r="PNH604" s="50"/>
      <c r="PNI604" s="46"/>
      <c r="PNJ604" s="47"/>
      <c r="PNK604" s="46"/>
      <c r="PNL604" s="48"/>
      <c r="PNM604" s="53"/>
      <c r="PNT604" s="15"/>
      <c r="PNU604" s="50"/>
      <c r="PNV604" s="50"/>
      <c r="PNW604" s="46"/>
      <c r="PNX604" s="47"/>
      <c r="PNY604" s="46"/>
      <c r="PNZ604" s="48"/>
      <c r="POA604" s="53"/>
      <c r="POH604" s="15"/>
      <c r="POI604" s="50"/>
      <c r="POJ604" s="50"/>
      <c r="POK604" s="46"/>
      <c r="POL604" s="47"/>
      <c r="POM604" s="46"/>
      <c r="PON604" s="48"/>
      <c r="POO604" s="53"/>
      <c r="POV604" s="15"/>
      <c r="POW604" s="50"/>
      <c r="POX604" s="50"/>
      <c r="POY604" s="46"/>
      <c r="POZ604" s="47"/>
      <c r="PPA604" s="46"/>
      <c r="PPB604" s="48"/>
      <c r="PPC604" s="53"/>
      <c r="PPJ604" s="15"/>
      <c r="PPK604" s="50"/>
      <c r="PPL604" s="50"/>
      <c r="PPM604" s="46"/>
      <c r="PPN604" s="47"/>
      <c r="PPO604" s="46"/>
      <c r="PPP604" s="48"/>
      <c r="PPQ604" s="53"/>
      <c r="PPX604" s="15"/>
      <c r="PPY604" s="50"/>
      <c r="PPZ604" s="50"/>
      <c r="PQA604" s="46"/>
      <c r="PQB604" s="47"/>
      <c r="PQC604" s="46"/>
      <c r="PQD604" s="48"/>
      <c r="PQE604" s="53"/>
      <c r="PQL604" s="15"/>
      <c r="PQM604" s="50"/>
      <c r="PQN604" s="50"/>
      <c r="PQO604" s="46"/>
      <c r="PQP604" s="47"/>
      <c r="PQQ604" s="46"/>
      <c r="PQR604" s="48"/>
      <c r="PQS604" s="53"/>
      <c r="PQZ604" s="15"/>
      <c r="PRA604" s="50"/>
      <c r="PRB604" s="50"/>
      <c r="PRC604" s="46"/>
      <c r="PRD604" s="47"/>
      <c r="PRE604" s="46"/>
      <c r="PRF604" s="48"/>
      <c r="PRG604" s="53"/>
      <c r="PRN604" s="15"/>
      <c r="PRO604" s="50"/>
      <c r="PRP604" s="50"/>
      <c r="PRQ604" s="46"/>
      <c r="PRR604" s="47"/>
      <c r="PRS604" s="46"/>
      <c r="PRT604" s="48"/>
      <c r="PRU604" s="53"/>
      <c r="PSB604" s="15"/>
      <c r="PSC604" s="50"/>
      <c r="PSD604" s="50"/>
      <c r="PSE604" s="46"/>
      <c r="PSF604" s="47"/>
      <c r="PSG604" s="46"/>
      <c r="PSH604" s="48"/>
      <c r="PSI604" s="53"/>
      <c r="PSP604" s="15"/>
      <c r="PSQ604" s="50"/>
      <c r="PSR604" s="50"/>
      <c r="PSS604" s="46"/>
      <c r="PST604" s="47"/>
      <c r="PSU604" s="46"/>
      <c r="PSV604" s="48"/>
      <c r="PSW604" s="53"/>
      <c r="PTD604" s="15"/>
      <c r="PTE604" s="50"/>
      <c r="PTF604" s="50"/>
      <c r="PTG604" s="46"/>
      <c r="PTH604" s="47"/>
      <c r="PTI604" s="46"/>
      <c r="PTJ604" s="48"/>
      <c r="PTK604" s="53"/>
      <c r="PTR604" s="15"/>
      <c r="PTS604" s="50"/>
      <c r="PTT604" s="50"/>
      <c r="PTU604" s="46"/>
      <c r="PTV604" s="47"/>
      <c r="PTW604" s="46"/>
      <c r="PTX604" s="48"/>
      <c r="PTY604" s="53"/>
      <c r="PUF604" s="15"/>
      <c r="PUG604" s="50"/>
      <c r="PUH604" s="50"/>
      <c r="PUI604" s="46"/>
      <c r="PUJ604" s="47"/>
      <c r="PUK604" s="46"/>
      <c r="PUL604" s="48"/>
      <c r="PUM604" s="53"/>
      <c r="PUT604" s="15"/>
      <c r="PUU604" s="50"/>
      <c r="PUV604" s="50"/>
      <c r="PUW604" s="46"/>
      <c r="PUX604" s="47"/>
      <c r="PUY604" s="46"/>
      <c r="PUZ604" s="48"/>
      <c r="PVA604" s="53"/>
      <c r="PVH604" s="15"/>
      <c r="PVI604" s="50"/>
      <c r="PVJ604" s="50"/>
      <c r="PVK604" s="46"/>
      <c r="PVL604" s="47"/>
      <c r="PVM604" s="46"/>
      <c r="PVN604" s="48"/>
      <c r="PVO604" s="53"/>
      <c r="PVV604" s="15"/>
      <c r="PVW604" s="50"/>
      <c r="PVX604" s="50"/>
      <c r="PVY604" s="46"/>
      <c r="PVZ604" s="47"/>
      <c r="PWA604" s="46"/>
      <c r="PWB604" s="48"/>
      <c r="PWC604" s="53"/>
      <c r="PWJ604" s="15"/>
      <c r="PWK604" s="50"/>
      <c r="PWL604" s="50"/>
      <c r="PWM604" s="46"/>
      <c r="PWN604" s="47"/>
      <c r="PWO604" s="46"/>
      <c r="PWP604" s="48"/>
      <c r="PWQ604" s="53"/>
      <c r="PWX604" s="15"/>
      <c r="PWY604" s="50"/>
      <c r="PWZ604" s="50"/>
      <c r="PXA604" s="46"/>
      <c r="PXB604" s="47"/>
      <c r="PXC604" s="46"/>
      <c r="PXD604" s="48"/>
      <c r="PXE604" s="53"/>
      <c r="PXL604" s="15"/>
      <c r="PXM604" s="50"/>
      <c r="PXN604" s="50"/>
      <c r="PXO604" s="46"/>
      <c r="PXP604" s="47"/>
      <c r="PXQ604" s="46"/>
      <c r="PXR604" s="48"/>
      <c r="PXS604" s="53"/>
      <c r="PXZ604" s="15"/>
      <c r="PYA604" s="50"/>
      <c r="PYB604" s="50"/>
      <c r="PYC604" s="46"/>
      <c r="PYD604" s="47"/>
      <c r="PYE604" s="46"/>
      <c r="PYF604" s="48"/>
      <c r="PYG604" s="53"/>
      <c r="PYN604" s="15"/>
      <c r="PYO604" s="50"/>
      <c r="PYP604" s="50"/>
      <c r="PYQ604" s="46"/>
      <c r="PYR604" s="47"/>
      <c r="PYS604" s="46"/>
      <c r="PYT604" s="48"/>
      <c r="PYU604" s="53"/>
      <c r="PZB604" s="15"/>
      <c r="PZC604" s="50"/>
      <c r="PZD604" s="50"/>
      <c r="PZE604" s="46"/>
      <c r="PZF604" s="47"/>
      <c r="PZG604" s="46"/>
      <c r="PZH604" s="48"/>
      <c r="PZI604" s="53"/>
      <c r="PZP604" s="15"/>
      <c r="PZQ604" s="50"/>
      <c r="PZR604" s="50"/>
      <c r="PZS604" s="46"/>
      <c r="PZT604" s="47"/>
      <c r="PZU604" s="46"/>
      <c r="PZV604" s="48"/>
      <c r="PZW604" s="53"/>
      <c r="QAD604" s="15"/>
      <c r="QAE604" s="50"/>
      <c r="QAF604" s="50"/>
      <c r="QAG604" s="46"/>
      <c r="QAH604" s="47"/>
      <c r="QAI604" s="46"/>
      <c r="QAJ604" s="48"/>
      <c r="QAK604" s="53"/>
      <c r="QAR604" s="15"/>
      <c r="QAS604" s="50"/>
      <c r="QAT604" s="50"/>
      <c r="QAU604" s="46"/>
      <c r="QAV604" s="47"/>
      <c r="QAW604" s="46"/>
      <c r="QAX604" s="48"/>
      <c r="QAY604" s="53"/>
      <c r="QBF604" s="15"/>
      <c r="QBG604" s="50"/>
      <c r="QBH604" s="50"/>
      <c r="QBI604" s="46"/>
      <c r="QBJ604" s="47"/>
      <c r="QBK604" s="46"/>
      <c r="QBL604" s="48"/>
      <c r="QBM604" s="53"/>
      <c r="QBT604" s="15"/>
      <c r="QBU604" s="50"/>
      <c r="QBV604" s="50"/>
      <c r="QBW604" s="46"/>
      <c r="QBX604" s="47"/>
      <c r="QBY604" s="46"/>
      <c r="QBZ604" s="48"/>
      <c r="QCA604" s="53"/>
      <c r="QCH604" s="15"/>
      <c r="QCI604" s="50"/>
      <c r="QCJ604" s="50"/>
      <c r="QCK604" s="46"/>
      <c r="QCL604" s="47"/>
      <c r="QCM604" s="46"/>
      <c r="QCN604" s="48"/>
      <c r="QCO604" s="53"/>
      <c r="QCV604" s="15"/>
      <c r="QCW604" s="50"/>
      <c r="QCX604" s="50"/>
      <c r="QCY604" s="46"/>
      <c r="QCZ604" s="47"/>
      <c r="QDA604" s="46"/>
      <c r="QDB604" s="48"/>
      <c r="QDC604" s="53"/>
      <c r="QDJ604" s="15"/>
      <c r="QDK604" s="50"/>
      <c r="QDL604" s="50"/>
      <c r="QDM604" s="46"/>
      <c r="QDN604" s="47"/>
      <c r="QDO604" s="46"/>
      <c r="QDP604" s="48"/>
      <c r="QDQ604" s="53"/>
      <c r="QDX604" s="15"/>
      <c r="QDY604" s="50"/>
      <c r="QDZ604" s="50"/>
      <c r="QEA604" s="46"/>
      <c r="QEB604" s="47"/>
      <c r="QEC604" s="46"/>
      <c r="QED604" s="48"/>
      <c r="QEE604" s="53"/>
      <c r="QEL604" s="15"/>
      <c r="QEM604" s="50"/>
      <c r="QEN604" s="50"/>
      <c r="QEO604" s="46"/>
      <c r="QEP604" s="47"/>
      <c r="QEQ604" s="46"/>
      <c r="QER604" s="48"/>
      <c r="QES604" s="53"/>
      <c r="QEZ604" s="15"/>
      <c r="QFA604" s="50"/>
      <c r="QFB604" s="50"/>
      <c r="QFC604" s="46"/>
      <c r="QFD604" s="47"/>
      <c r="QFE604" s="46"/>
      <c r="QFF604" s="48"/>
      <c r="QFG604" s="53"/>
      <c r="QFN604" s="15"/>
      <c r="QFO604" s="50"/>
      <c r="QFP604" s="50"/>
      <c r="QFQ604" s="46"/>
      <c r="QFR604" s="47"/>
      <c r="QFS604" s="46"/>
      <c r="QFT604" s="48"/>
      <c r="QFU604" s="53"/>
      <c r="QGB604" s="15"/>
      <c r="QGC604" s="50"/>
      <c r="QGD604" s="50"/>
      <c r="QGE604" s="46"/>
      <c r="QGF604" s="47"/>
      <c r="QGG604" s="46"/>
      <c r="QGH604" s="48"/>
      <c r="QGI604" s="53"/>
      <c r="QGP604" s="15"/>
      <c r="QGQ604" s="50"/>
      <c r="QGR604" s="50"/>
      <c r="QGS604" s="46"/>
      <c r="QGT604" s="47"/>
      <c r="QGU604" s="46"/>
      <c r="QGV604" s="48"/>
      <c r="QGW604" s="53"/>
      <c r="QHD604" s="15"/>
      <c r="QHE604" s="50"/>
      <c r="QHF604" s="50"/>
      <c r="QHG604" s="46"/>
      <c r="QHH604" s="47"/>
      <c r="QHI604" s="46"/>
      <c r="QHJ604" s="48"/>
      <c r="QHK604" s="53"/>
      <c r="QHR604" s="15"/>
      <c r="QHS604" s="50"/>
      <c r="QHT604" s="50"/>
      <c r="QHU604" s="46"/>
      <c r="QHV604" s="47"/>
      <c r="QHW604" s="46"/>
      <c r="QHX604" s="48"/>
      <c r="QHY604" s="53"/>
      <c r="QIF604" s="15"/>
      <c r="QIG604" s="50"/>
      <c r="QIH604" s="50"/>
      <c r="QII604" s="46"/>
      <c r="QIJ604" s="47"/>
      <c r="QIK604" s="46"/>
      <c r="QIL604" s="48"/>
      <c r="QIM604" s="53"/>
      <c r="QIT604" s="15"/>
      <c r="QIU604" s="50"/>
      <c r="QIV604" s="50"/>
      <c r="QIW604" s="46"/>
      <c r="QIX604" s="47"/>
      <c r="QIY604" s="46"/>
      <c r="QIZ604" s="48"/>
      <c r="QJA604" s="53"/>
      <c r="QJH604" s="15"/>
      <c r="QJI604" s="50"/>
      <c r="QJJ604" s="50"/>
      <c r="QJK604" s="46"/>
      <c r="QJL604" s="47"/>
      <c r="QJM604" s="46"/>
      <c r="QJN604" s="48"/>
      <c r="QJO604" s="53"/>
      <c r="QJV604" s="15"/>
      <c r="QJW604" s="50"/>
      <c r="QJX604" s="50"/>
      <c r="QJY604" s="46"/>
      <c r="QJZ604" s="47"/>
      <c r="QKA604" s="46"/>
      <c r="QKB604" s="48"/>
      <c r="QKC604" s="53"/>
      <c r="QKJ604" s="15"/>
      <c r="QKK604" s="50"/>
      <c r="QKL604" s="50"/>
      <c r="QKM604" s="46"/>
      <c r="QKN604" s="47"/>
      <c r="QKO604" s="46"/>
      <c r="QKP604" s="48"/>
      <c r="QKQ604" s="53"/>
      <c r="QKX604" s="15"/>
      <c r="QKY604" s="50"/>
      <c r="QKZ604" s="50"/>
      <c r="QLA604" s="46"/>
      <c r="QLB604" s="47"/>
      <c r="QLC604" s="46"/>
      <c r="QLD604" s="48"/>
      <c r="QLE604" s="53"/>
      <c r="QLL604" s="15"/>
      <c r="QLM604" s="50"/>
      <c r="QLN604" s="50"/>
      <c r="QLO604" s="46"/>
      <c r="QLP604" s="47"/>
      <c r="QLQ604" s="46"/>
      <c r="QLR604" s="48"/>
      <c r="QLS604" s="53"/>
      <c r="QLZ604" s="15"/>
      <c r="QMA604" s="50"/>
      <c r="QMB604" s="50"/>
      <c r="QMC604" s="46"/>
      <c r="QMD604" s="47"/>
      <c r="QME604" s="46"/>
      <c r="QMF604" s="48"/>
      <c r="QMG604" s="53"/>
      <c r="QMN604" s="15"/>
      <c r="QMO604" s="50"/>
      <c r="QMP604" s="50"/>
      <c r="QMQ604" s="46"/>
      <c r="QMR604" s="47"/>
      <c r="QMS604" s="46"/>
      <c r="QMT604" s="48"/>
      <c r="QMU604" s="53"/>
      <c r="QNB604" s="15"/>
      <c r="QNC604" s="50"/>
      <c r="QND604" s="50"/>
      <c r="QNE604" s="46"/>
      <c r="QNF604" s="47"/>
      <c r="QNG604" s="46"/>
      <c r="QNH604" s="48"/>
      <c r="QNI604" s="53"/>
      <c r="QNP604" s="15"/>
      <c r="QNQ604" s="50"/>
      <c r="QNR604" s="50"/>
      <c r="QNS604" s="46"/>
      <c r="QNT604" s="47"/>
      <c r="QNU604" s="46"/>
      <c r="QNV604" s="48"/>
      <c r="QNW604" s="53"/>
      <c r="QOD604" s="15"/>
      <c r="QOE604" s="50"/>
      <c r="QOF604" s="50"/>
      <c r="QOG604" s="46"/>
      <c r="QOH604" s="47"/>
      <c r="QOI604" s="46"/>
      <c r="QOJ604" s="48"/>
      <c r="QOK604" s="53"/>
      <c r="QOR604" s="15"/>
      <c r="QOS604" s="50"/>
      <c r="QOT604" s="50"/>
      <c r="QOU604" s="46"/>
      <c r="QOV604" s="47"/>
      <c r="QOW604" s="46"/>
      <c r="QOX604" s="48"/>
      <c r="QOY604" s="53"/>
      <c r="QPF604" s="15"/>
      <c r="QPG604" s="50"/>
      <c r="QPH604" s="50"/>
      <c r="QPI604" s="46"/>
      <c r="QPJ604" s="47"/>
      <c r="QPK604" s="46"/>
      <c r="QPL604" s="48"/>
      <c r="QPM604" s="53"/>
      <c r="QPT604" s="15"/>
      <c r="QPU604" s="50"/>
      <c r="QPV604" s="50"/>
      <c r="QPW604" s="46"/>
      <c r="QPX604" s="47"/>
      <c r="QPY604" s="46"/>
      <c r="QPZ604" s="48"/>
      <c r="QQA604" s="53"/>
      <c r="QQH604" s="15"/>
      <c r="QQI604" s="50"/>
      <c r="QQJ604" s="50"/>
      <c r="QQK604" s="46"/>
      <c r="QQL604" s="47"/>
      <c r="QQM604" s="46"/>
      <c r="QQN604" s="48"/>
      <c r="QQO604" s="53"/>
      <c r="QQV604" s="15"/>
      <c r="QQW604" s="50"/>
      <c r="QQX604" s="50"/>
      <c r="QQY604" s="46"/>
      <c r="QQZ604" s="47"/>
      <c r="QRA604" s="46"/>
      <c r="QRB604" s="48"/>
      <c r="QRC604" s="53"/>
      <c r="QRJ604" s="15"/>
      <c r="QRK604" s="50"/>
      <c r="QRL604" s="50"/>
      <c r="QRM604" s="46"/>
      <c r="QRN604" s="47"/>
      <c r="QRO604" s="46"/>
      <c r="QRP604" s="48"/>
      <c r="QRQ604" s="53"/>
      <c r="QRX604" s="15"/>
      <c r="QRY604" s="50"/>
      <c r="QRZ604" s="50"/>
      <c r="QSA604" s="46"/>
      <c r="QSB604" s="47"/>
      <c r="QSC604" s="46"/>
      <c r="QSD604" s="48"/>
      <c r="QSE604" s="53"/>
      <c r="QSL604" s="15"/>
      <c r="QSM604" s="50"/>
      <c r="QSN604" s="50"/>
      <c r="QSO604" s="46"/>
      <c r="QSP604" s="47"/>
      <c r="QSQ604" s="46"/>
      <c r="QSR604" s="48"/>
      <c r="QSS604" s="53"/>
      <c r="QSZ604" s="15"/>
      <c r="QTA604" s="50"/>
      <c r="QTB604" s="50"/>
      <c r="QTC604" s="46"/>
      <c r="QTD604" s="47"/>
      <c r="QTE604" s="46"/>
      <c r="QTF604" s="48"/>
      <c r="QTG604" s="53"/>
      <c r="QTN604" s="15"/>
      <c r="QTO604" s="50"/>
      <c r="QTP604" s="50"/>
      <c r="QTQ604" s="46"/>
      <c r="QTR604" s="47"/>
      <c r="QTS604" s="46"/>
      <c r="QTT604" s="48"/>
      <c r="QTU604" s="53"/>
      <c r="QUB604" s="15"/>
      <c r="QUC604" s="50"/>
      <c r="QUD604" s="50"/>
      <c r="QUE604" s="46"/>
      <c r="QUF604" s="47"/>
      <c r="QUG604" s="46"/>
      <c r="QUH604" s="48"/>
      <c r="QUI604" s="53"/>
      <c r="QUP604" s="15"/>
      <c r="QUQ604" s="50"/>
      <c r="QUR604" s="50"/>
      <c r="QUS604" s="46"/>
      <c r="QUT604" s="47"/>
      <c r="QUU604" s="46"/>
      <c r="QUV604" s="48"/>
      <c r="QUW604" s="53"/>
      <c r="QVD604" s="15"/>
      <c r="QVE604" s="50"/>
      <c r="QVF604" s="50"/>
      <c r="QVG604" s="46"/>
      <c r="QVH604" s="47"/>
      <c r="QVI604" s="46"/>
      <c r="QVJ604" s="48"/>
      <c r="QVK604" s="53"/>
      <c r="QVR604" s="15"/>
      <c r="QVS604" s="50"/>
      <c r="QVT604" s="50"/>
      <c r="QVU604" s="46"/>
      <c r="QVV604" s="47"/>
      <c r="QVW604" s="46"/>
      <c r="QVX604" s="48"/>
      <c r="QVY604" s="53"/>
      <c r="QWF604" s="15"/>
      <c r="QWG604" s="50"/>
      <c r="QWH604" s="50"/>
      <c r="QWI604" s="46"/>
      <c r="QWJ604" s="47"/>
      <c r="QWK604" s="46"/>
      <c r="QWL604" s="48"/>
      <c r="QWM604" s="53"/>
      <c r="QWT604" s="15"/>
      <c r="QWU604" s="50"/>
      <c r="QWV604" s="50"/>
      <c r="QWW604" s="46"/>
      <c r="QWX604" s="47"/>
      <c r="QWY604" s="46"/>
      <c r="QWZ604" s="48"/>
      <c r="QXA604" s="53"/>
      <c r="QXH604" s="15"/>
      <c r="QXI604" s="50"/>
      <c r="QXJ604" s="50"/>
      <c r="QXK604" s="46"/>
      <c r="QXL604" s="47"/>
      <c r="QXM604" s="46"/>
      <c r="QXN604" s="48"/>
      <c r="QXO604" s="53"/>
      <c r="QXV604" s="15"/>
      <c r="QXW604" s="50"/>
      <c r="QXX604" s="50"/>
      <c r="QXY604" s="46"/>
      <c r="QXZ604" s="47"/>
      <c r="QYA604" s="46"/>
      <c r="QYB604" s="48"/>
      <c r="QYC604" s="53"/>
      <c r="QYJ604" s="15"/>
      <c r="QYK604" s="50"/>
      <c r="QYL604" s="50"/>
      <c r="QYM604" s="46"/>
      <c r="QYN604" s="47"/>
      <c r="QYO604" s="46"/>
      <c r="QYP604" s="48"/>
      <c r="QYQ604" s="53"/>
      <c r="QYX604" s="15"/>
      <c r="QYY604" s="50"/>
      <c r="QYZ604" s="50"/>
      <c r="QZA604" s="46"/>
      <c r="QZB604" s="47"/>
      <c r="QZC604" s="46"/>
      <c r="QZD604" s="48"/>
      <c r="QZE604" s="53"/>
      <c r="QZL604" s="15"/>
      <c r="QZM604" s="50"/>
      <c r="QZN604" s="50"/>
      <c r="QZO604" s="46"/>
      <c r="QZP604" s="47"/>
      <c r="QZQ604" s="46"/>
      <c r="QZR604" s="48"/>
      <c r="QZS604" s="53"/>
      <c r="QZZ604" s="15"/>
      <c r="RAA604" s="50"/>
      <c r="RAB604" s="50"/>
      <c r="RAC604" s="46"/>
      <c r="RAD604" s="47"/>
      <c r="RAE604" s="46"/>
      <c r="RAF604" s="48"/>
      <c r="RAG604" s="53"/>
      <c r="RAN604" s="15"/>
      <c r="RAO604" s="50"/>
      <c r="RAP604" s="50"/>
      <c r="RAQ604" s="46"/>
      <c r="RAR604" s="47"/>
      <c r="RAS604" s="46"/>
      <c r="RAT604" s="48"/>
      <c r="RAU604" s="53"/>
      <c r="RBB604" s="15"/>
      <c r="RBC604" s="50"/>
      <c r="RBD604" s="50"/>
      <c r="RBE604" s="46"/>
      <c r="RBF604" s="47"/>
      <c r="RBG604" s="46"/>
      <c r="RBH604" s="48"/>
      <c r="RBI604" s="53"/>
      <c r="RBP604" s="15"/>
      <c r="RBQ604" s="50"/>
      <c r="RBR604" s="50"/>
      <c r="RBS604" s="46"/>
      <c r="RBT604" s="47"/>
      <c r="RBU604" s="46"/>
      <c r="RBV604" s="48"/>
      <c r="RBW604" s="53"/>
      <c r="RCD604" s="15"/>
      <c r="RCE604" s="50"/>
      <c r="RCF604" s="50"/>
      <c r="RCG604" s="46"/>
      <c r="RCH604" s="47"/>
      <c r="RCI604" s="46"/>
      <c r="RCJ604" s="48"/>
      <c r="RCK604" s="53"/>
      <c r="RCR604" s="15"/>
      <c r="RCS604" s="50"/>
      <c r="RCT604" s="50"/>
      <c r="RCU604" s="46"/>
      <c r="RCV604" s="47"/>
      <c r="RCW604" s="46"/>
      <c r="RCX604" s="48"/>
      <c r="RCY604" s="53"/>
      <c r="RDF604" s="15"/>
      <c r="RDG604" s="50"/>
      <c r="RDH604" s="50"/>
      <c r="RDI604" s="46"/>
      <c r="RDJ604" s="47"/>
      <c r="RDK604" s="46"/>
      <c r="RDL604" s="48"/>
      <c r="RDM604" s="53"/>
      <c r="RDT604" s="15"/>
      <c r="RDU604" s="50"/>
      <c r="RDV604" s="50"/>
      <c r="RDW604" s="46"/>
      <c r="RDX604" s="47"/>
      <c r="RDY604" s="46"/>
      <c r="RDZ604" s="48"/>
      <c r="REA604" s="53"/>
      <c r="REH604" s="15"/>
      <c r="REI604" s="50"/>
      <c r="REJ604" s="50"/>
      <c r="REK604" s="46"/>
      <c r="REL604" s="47"/>
      <c r="REM604" s="46"/>
      <c r="REN604" s="48"/>
      <c r="REO604" s="53"/>
      <c r="REV604" s="15"/>
      <c r="REW604" s="50"/>
      <c r="REX604" s="50"/>
      <c r="REY604" s="46"/>
      <c r="REZ604" s="47"/>
      <c r="RFA604" s="46"/>
      <c r="RFB604" s="48"/>
      <c r="RFC604" s="53"/>
      <c r="RFJ604" s="15"/>
      <c r="RFK604" s="50"/>
      <c r="RFL604" s="50"/>
      <c r="RFM604" s="46"/>
      <c r="RFN604" s="47"/>
      <c r="RFO604" s="46"/>
      <c r="RFP604" s="48"/>
      <c r="RFQ604" s="53"/>
      <c r="RFX604" s="15"/>
      <c r="RFY604" s="50"/>
      <c r="RFZ604" s="50"/>
      <c r="RGA604" s="46"/>
      <c r="RGB604" s="47"/>
      <c r="RGC604" s="46"/>
      <c r="RGD604" s="48"/>
      <c r="RGE604" s="53"/>
      <c r="RGL604" s="15"/>
      <c r="RGM604" s="50"/>
      <c r="RGN604" s="50"/>
      <c r="RGO604" s="46"/>
      <c r="RGP604" s="47"/>
      <c r="RGQ604" s="46"/>
      <c r="RGR604" s="48"/>
      <c r="RGS604" s="53"/>
      <c r="RGZ604" s="15"/>
      <c r="RHA604" s="50"/>
      <c r="RHB604" s="50"/>
      <c r="RHC604" s="46"/>
      <c r="RHD604" s="47"/>
      <c r="RHE604" s="46"/>
      <c r="RHF604" s="48"/>
      <c r="RHG604" s="53"/>
      <c r="RHN604" s="15"/>
      <c r="RHO604" s="50"/>
      <c r="RHP604" s="50"/>
      <c r="RHQ604" s="46"/>
      <c r="RHR604" s="47"/>
      <c r="RHS604" s="46"/>
      <c r="RHT604" s="48"/>
      <c r="RHU604" s="53"/>
      <c r="RIB604" s="15"/>
      <c r="RIC604" s="50"/>
      <c r="RID604" s="50"/>
      <c r="RIE604" s="46"/>
      <c r="RIF604" s="47"/>
      <c r="RIG604" s="46"/>
      <c r="RIH604" s="48"/>
      <c r="RII604" s="53"/>
      <c r="RIP604" s="15"/>
      <c r="RIQ604" s="50"/>
      <c r="RIR604" s="50"/>
      <c r="RIS604" s="46"/>
      <c r="RIT604" s="47"/>
      <c r="RIU604" s="46"/>
      <c r="RIV604" s="48"/>
      <c r="RIW604" s="53"/>
      <c r="RJD604" s="15"/>
      <c r="RJE604" s="50"/>
      <c r="RJF604" s="50"/>
      <c r="RJG604" s="46"/>
      <c r="RJH604" s="47"/>
      <c r="RJI604" s="46"/>
      <c r="RJJ604" s="48"/>
      <c r="RJK604" s="53"/>
      <c r="RJR604" s="15"/>
      <c r="RJS604" s="50"/>
      <c r="RJT604" s="50"/>
      <c r="RJU604" s="46"/>
      <c r="RJV604" s="47"/>
      <c r="RJW604" s="46"/>
      <c r="RJX604" s="48"/>
      <c r="RJY604" s="53"/>
      <c r="RKF604" s="15"/>
      <c r="RKG604" s="50"/>
      <c r="RKH604" s="50"/>
      <c r="RKI604" s="46"/>
      <c r="RKJ604" s="47"/>
      <c r="RKK604" s="46"/>
      <c r="RKL604" s="48"/>
      <c r="RKM604" s="53"/>
      <c r="RKT604" s="15"/>
      <c r="RKU604" s="50"/>
      <c r="RKV604" s="50"/>
      <c r="RKW604" s="46"/>
      <c r="RKX604" s="47"/>
      <c r="RKY604" s="46"/>
      <c r="RKZ604" s="48"/>
      <c r="RLA604" s="53"/>
      <c r="RLH604" s="15"/>
      <c r="RLI604" s="50"/>
      <c r="RLJ604" s="50"/>
      <c r="RLK604" s="46"/>
      <c r="RLL604" s="47"/>
      <c r="RLM604" s="46"/>
      <c r="RLN604" s="48"/>
      <c r="RLO604" s="53"/>
      <c r="RLV604" s="15"/>
      <c r="RLW604" s="50"/>
      <c r="RLX604" s="50"/>
      <c r="RLY604" s="46"/>
      <c r="RLZ604" s="47"/>
      <c r="RMA604" s="46"/>
      <c r="RMB604" s="48"/>
      <c r="RMC604" s="53"/>
      <c r="RMJ604" s="15"/>
      <c r="RMK604" s="50"/>
      <c r="RML604" s="50"/>
      <c r="RMM604" s="46"/>
      <c r="RMN604" s="47"/>
      <c r="RMO604" s="46"/>
      <c r="RMP604" s="48"/>
      <c r="RMQ604" s="53"/>
      <c r="RMX604" s="15"/>
      <c r="RMY604" s="50"/>
      <c r="RMZ604" s="50"/>
      <c r="RNA604" s="46"/>
      <c r="RNB604" s="47"/>
      <c r="RNC604" s="46"/>
      <c r="RND604" s="48"/>
      <c r="RNE604" s="53"/>
      <c r="RNL604" s="15"/>
      <c r="RNM604" s="50"/>
      <c r="RNN604" s="50"/>
      <c r="RNO604" s="46"/>
      <c r="RNP604" s="47"/>
      <c r="RNQ604" s="46"/>
      <c r="RNR604" s="48"/>
      <c r="RNS604" s="53"/>
      <c r="RNZ604" s="15"/>
      <c r="ROA604" s="50"/>
      <c r="ROB604" s="50"/>
      <c r="ROC604" s="46"/>
      <c r="ROD604" s="47"/>
      <c r="ROE604" s="46"/>
      <c r="ROF604" s="48"/>
      <c r="ROG604" s="53"/>
      <c r="RON604" s="15"/>
      <c r="ROO604" s="50"/>
      <c r="ROP604" s="50"/>
      <c r="ROQ604" s="46"/>
      <c r="ROR604" s="47"/>
      <c r="ROS604" s="46"/>
      <c r="ROT604" s="48"/>
      <c r="ROU604" s="53"/>
      <c r="RPB604" s="15"/>
      <c r="RPC604" s="50"/>
      <c r="RPD604" s="50"/>
      <c r="RPE604" s="46"/>
      <c r="RPF604" s="47"/>
      <c r="RPG604" s="46"/>
      <c r="RPH604" s="48"/>
      <c r="RPI604" s="53"/>
      <c r="RPP604" s="15"/>
      <c r="RPQ604" s="50"/>
      <c r="RPR604" s="50"/>
      <c r="RPS604" s="46"/>
      <c r="RPT604" s="47"/>
      <c r="RPU604" s="46"/>
      <c r="RPV604" s="48"/>
      <c r="RPW604" s="53"/>
      <c r="RQD604" s="15"/>
      <c r="RQE604" s="50"/>
      <c r="RQF604" s="50"/>
      <c r="RQG604" s="46"/>
      <c r="RQH604" s="47"/>
      <c r="RQI604" s="46"/>
      <c r="RQJ604" s="48"/>
      <c r="RQK604" s="53"/>
      <c r="RQR604" s="15"/>
      <c r="RQS604" s="50"/>
      <c r="RQT604" s="50"/>
      <c r="RQU604" s="46"/>
      <c r="RQV604" s="47"/>
      <c r="RQW604" s="46"/>
      <c r="RQX604" s="48"/>
      <c r="RQY604" s="53"/>
      <c r="RRF604" s="15"/>
      <c r="RRG604" s="50"/>
      <c r="RRH604" s="50"/>
      <c r="RRI604" s="46"/>
      <c r="RRJ604" s="47"/>
      <c r="RRK604" s="46"/>
      <c r="RRL604" s="48"/>
      <c r="RRM604" s="53"/>
      <c r="RRT604" s="15"/>
      <c r="RRU604" s="50"/>
      <c r="RRV604" s="50"/>
      <c r="RRW604" s="46"/>
      <c r="RRX604" s="47"/>
      <c r="RRY604" s="46"/>
      <c r="RRZ604" s="48"/>
      <c r="RSA604" s="53"/>
      <c r="RSH604" s="15"/>
      <c r="RSI604" s="50"/>
      <c r="RSJ604" s="50"/>
      <c r="RSK604" s="46"/>
      <c r="RSL604" s="47"/>
      <c r="RSM604" s="46"/>
      <c r="RSN604" s="48"/>
      <c r="RSO604" s="53"/>
      <c r="RSV604" s="15"/>
      <c r="RSW604" s="50"/>
      <c r="RSX604" s="50"/>
      <c r="RSY604" s="46"/>
      <c r="RSZ604" s="47"/>
      <c r="RTA604" s="46"/>
      <c r="RTB604" s="48"/>
      <c r="RTC604" s="53"/>
      <c r="RTJ604" s="15"/>
      <c r="RTK604" s="50"/>
      <c r="RTL604" s="50"/>
      <c r="RTM604" s="46"/>
      <c r="RTN604" s="47"/>
      <c r="RTO604" s="46"/>
      <c r="RTP604" s="48"/>
      <c r="RTQ604" s="53"/>
      <c r="RTX604" s="15"/>
      <c r="RTY604" s="50"/>
      <c r="RTZ604" s="50"/>
      <c r="RUA604" s="46"/>
      <c r="RUB604" s="47"/>
      <c r="RUC604" s="46"/>
      <c r="RUD604" s="48"/>
      <c r="RUE604" s="53"/>
      <c r="RUL604" s="15"/>
      <c r="RUM604" s="50"/>
      <c r="RUN604" s="50"/>
      <c r="RUO604" s="46"/>
      <c r="RUP604" s="47"/>
      <c r="RUQ604" s="46"/>
      <c r="RUR604" s="48"/>
      <c r="RUS604" s="53"/>
      <c r="RUZ604" s="15"/>
      <c r="RVA604" s="50"/>
      <c r="RVB604" s="50"/>
      <c r="RVC604" s="46"/>
      <c r="RVD604" s="47"/>
      <c r="RVE604" s="46"/>
      <c r="RVF604" s="48"/>
      <c r="RVG604" s="53"/>
      <c r="RVN604" s="15"/>
      <c r="RVO604" s="50"/>
      <c r="RVP604" s="50"/>
      <c r="RVQ604" s="46"/>
      <c r="RVR604" s="47"/>
      <c r="RVS604" s="46"/>
      <c r="RVT604" s="48"/>
      <c r="RVU604" s="53"/>
      <c r="RWB604" s="15"/>
      <c r="RWC604" s="50"/>
      <c r="RWD604" s="50"/>
      <c r="RWE604" s="46"/>
      <c r="RWF604" s="47"/>
      <c r="RWG604" s="46"/>
      <c r="RWH604" s="48"/>
      <c r="RWI604" s="53"/>
      <c r="RWP604" s="15"/>
      <c r="RWQ604" s="50"/>
      <c r="RWR604" s="50"/>
      <c r="RWS604" s="46"/>
      <c r="RWT604" s="47"/>
      <c r="RWU604" s="46"/>
      <c r="RWV604" s="48"/>
      <c r="RWW604" s="53"/>
      <c r="RXD604" s="15"/>
      <c r="RXE604" s="50"/>
      <c r="RXF604" s="50"/>
      <c r="RXG604" s="46"/>
      <c r="RXH604" s="47"/>
      <c r="RXI604" s="46"/>
      <c r="RXJ604" s="48"/>
      <c r="RXK604" s="53"/>
      <c r="RXR604" s="15"/>
      <c r="RXS604" s="50"/>
      <c r="RXT604" s="50"/>
      <c r="RXU604" s="46"/>
      <c r="RXV604" s="47"/>
      <c r="RXW604" s="46"/>
      <c r="RXX604" s="48"/>
      <c r="RXY604" s="53"/>
      <c r="RYF604" s="15"/>
      <c r="RYG604" s="50"/>
      <c r="RYH604" s="50"/>
      <c r="RYI604" s="46"/>
      <c r="RYJ604" s="47"/>
      <c r="RYK604" s="46"/>
      <c r="RYL604" s="48"/>
      <c r="RYM604" s="53"/>
      <c r="RYT604" s="15"/>
      <c r="RYU604" s="50"/>
      <c r="RYV604" s="50"/>
      <c r="RYW604" s="46"/>
      <c r="RYX604" s="47"/>
      <c r="RYY604" s="46"/>
      <c r="RYZ604" s="48"/>
      <c r="RZA604" s="53"/>
      <c r="RZH604" s="15"/>
      <c r="RZI604" s="50"/>
      <c r="RZJ604" s="50"/>
      <c r="RZK604" s="46"/>
      <c r="RZL604" s="47"/>
      <c r="RZM604" s="46"/>
      <c r="RZN604" s="48"/>
      <c r="RZO604" s="53"/>
      <c r="RZV604" s="15"/>
      <c r="RZW604" s="50"/>
      <c r="RZX604" s="50"/>
      <c r="RZY604" s="46"/>
      <c r="RZZ604" s="47"/>
      <c r="SAA604" s="46"/>
      <c r="SAB604" s="48"/>
      <c r="SAC604" s="53"/>
      <c r="SAJ604" s="15"/>
      <c r="SAK604" s="50"/>
      <c r="SAL604" s="50"/>
      <c r="SAM604" s="46"/>
      <c r="SAN604" s="47"/>
      <c r="SAO604" s="46"/>
      <c r="SAP604" s="48"/>
      <c r="SAQ604" s="53"/>
      <c r="SAX604" s="15"/>
      <c r="SAY604" s="50"/>
      <c r="SAZ604" s="50"/>
      <c r="SBA604" s="46"/>
      <c r="SBB604" s="47"/>
      <c r="SBC604" s="46"/>
      <c r="SBD604" s="48"/>
      <c r="SBE604" s="53"/>
      <c r="SBL604" s="15"/>
      <c r="SBM604" s="50"/>
      <c r="SBN604" s="50"/>
      <c r="SBO604" s="46"/>
      <c r="SBP604" s="47"/>
      <c r="SBQ604" s="46"/>
      <c r="SBR604" s="48"/>
      <c r="SBS604" s="53"/>
      <c r="SBZ604" s="15"/>
      <c r="SCA604" s="50"/>
      <c r="SCB604" s="50"/>
      <c r="SCC604" s="46"/>
      <c r="SCD604" s="47"/>
      <c r="SCE604" s="46"/>
      <c r="SCF604" s="48"/>
      <c r="SCG604" s="53"/>
      <c r="SCN604" s="15"/>
      <c r="SCO604" s="50"/>
      <c r="SCP604" s="50"/>
      <c r="SCQ604" s="46"/>
      <c r="SCR604" s="47"/>
      <c r="SCS604" s="46"/>
      <c r="SCT604" s="48"/>
      <c r="SCU604" s="53"/>
      <c r="SDB604" s="15"/>
      <c r="SDC604" s="50"/>
      <c r="SDD604" s="50"/>
      <c r="SDE604" s="46"/>
      <c r="SDF604" s="47"/>
      <c r="SDG604" s="46"/>
      <c r="SDH604" s="48"/>
      <c r="SDI604" s="53"/>
      <c r="SDP604" s="15"/>
      <c r="SDQ604" s="50"/>
      <c r="SDR604" s="50"/>
      <c r="SDS604" s="46"/>
      <c r="SDT604" s="47"/>
      <c r="SDU604" s="46"/>
      <c r="SDV604" s="48"/>
      <c r="SDW604" s="53"/>
      <c r="SED604" s="15"/>
      <c r="SEE604" s="50"/>
      <c r="SEF604" s="50"/>
      <c r="SEG604" s="46"/>
      <c r="SEH604" s="47"/>
      <c r="SEI604" s="46"/>
      <c r="SEJ604" s="48"/>
      <c r="SEK604" s="53"/>
      <c r="SER604" s="15"/>
      <c r="SES604" s="50"/>
      <c r="SET604" s="50"/>
      <c r="SEU604" s="46"/>
      <c r="SEV604" s="47"/>
      <c r="SEW604" s="46"/>
      <c r="SEX604" s="48"/>
      <c r="SEY604" s="53"/>
      <c r="SFF604" s="15"/>
      <c r="SFG604" s="50"/>
      <c r="SFH604" s="50"/>
      <c r="SFI604" s="46"/>
      <c r="SFJ604" s="47"/>
      <c r="SFK604" s="46"/>
      <c r="SFL604" s="48"/>
      <c r="SFM604" s="53"/>
      <c r="SFT604" s="15"/>
      <c r="SFU604" s="50"/>
      <c r="SFV604" s="50"/>
      <c r="SFW604" s="46"/>
      <c r="SFX604" s="47"/>
      <c r="SFY604" s="46"/>
      <c r="SFZ604" s="48"/>
      <c r="SGA604" s="53"/>
      <c r="SGH604" s="15"/>
      <c r="SGI604" s="50"/>
      <c r="SGJ604" s="50"/>
      <c r="SGK604" s="46"/>
      <c r="SGL604" s="47"/>
      <c r="SGM604" s="46"/>
      <c r="SGN604" s="48"/>
      <c r="SGO604" s="53"/>
      <c r="SGV604" s="15"/>
      <c r="SGW604" s="50"/>
      <c r="SGX604" s="50"/>
      <c r="SGY604" s="46"/>
      <c r="SGZ604" s="47"/>
      <c r="SHA604" s="46"/>
      <c r="SHB604" s="48"/>
      <c r="SHC604" s="53"/>
      <c r="SHJ604" s="15"/>
      <c r="SHK604" s="50"/>
      <c r="SHL604" s="50"/>
      <c r="SHM604" s="46"/>
      <c r="SHN604" s="47"/>
      <c r="SHO604" s="46"/>
      <c r="SHP604" s="48"/>
      <c r="SHQ604" s="53"/>
      <c r="SHX604" s="15"/>
      <c r="SHY604" s="50"/>
      <c r="SHZ604" s="50"/>
      <c r="SIA604" s="46"/>
      <c r="SIB604" s="47"/>
      <c r="SIC604" s="46"/>
      <c r="SID604" s="48"/>
      <c r="SIE604" s="53"/>
      <c r="SIL604" s="15"/>
      <c r="SIM604" s="50"/>
      <c r="SIN604" s="50"/>
      <c r="SIO604" s="46"/>
      <c r="SIP604" s="47"/>
      <c r="SIQ604" s="46"/>
      <c r="SIR604" s="48"/>
      <c r="SIS604" s="53"/>
      <c r="SIZ604" s="15"/>
      <c r="SJA604" s="50"/>
      <c r="SJB604" s="50"/>
      <c r="SJC604" s="46"/>
      <c r="SJD604" s="47"/>
      <c r="SJE604" s="46"/>
      <c r="SJF604" s="48"/>
      <c r="SJG604" s="53"/>
      <c r="SJN604" s="15"/>
      <c r="SJO604" s="50"/>
      <c r="SJP604" s="50"/>
      <c r="SJQ604" s="46"/>
      <c r="SJR604" s="47"/>
      <c r="SJS604" s="46"/>
      <c r="SJT604" s="48"/>
      <c r="SJU604" s="53"/>
      <c r="SKB604" s="15"/>
      <c r="SKC604" s="50"/>
      <c r="SKD604" s="50"/>
      <c r="SKE604" s="46"/>
      <c r="SKF604" s="47"/>
      <c r="SKG604" s="46"/>
      <c r="SKH604" s="48"/>
      <c r="SKI604" s="53"/>
      <c r="SKP604" s="15"/>
      <c r="SKQ604" s="50"/>
      <c r="SKR604" s="50"/>
      <c r="SKS604" s="46"/>
      <c r="SKT604" s="47"/>
      <c r="SKU604" s="46"/>
      <c r="SKV604" s="48"/>
      <c r="SKW604" s="53"/>
      <c r="SLD604" s="15"/>
      <c r="SLE604" s="50"/>
      <c r="SLF604" s="50"/>
      <c r="SLG604" s="46"/>
      <c r="SLH604" s="47"/>
      <c r="SLI604" s="46"/>
      <c r="SLJ604" s="48"/>
      <c r="SLK604" s="53"/>
      <c r="SLR604" s="15"/>
      <c r="SLS604" s="50"/>
      <c r="SLT604" s="50"/>
      <c r="SLU604" s="46"/>
      <c r="SLV604" s="47"/>
      <c r="SLW604" s="46"/>
      <c r="SLX604" s="48"/>
      <c r="SLY604" s="53"/>
      <c r="SMF604" s="15"/>
      <c r="SMG604" s="50"/>
      <c r="SMH604" s="50"/>
      <c r="SMI604" s="46"/>
      <c r="SMJ604" s="47"/>
      <c r="SMK604" s="46"/>
      <c r="SML604" s="48"/>
      <c r="SMM604" s="53"/>
      <c r="SMT604" s="15"/>
      <c r="SMU604" s="50"/>
      <c r="SMV604" s="50"/>
      <c r="SMW604" s="46"/>
      <c r="SMX604" s="47"/>
      <c r="SMY604" s="46"/>
      <c r="SMZ604" s="48"/>
      <c r="SNA604" s="53"/>
      <c r="SNH604" s="15"/>
      <c r="SNI604" s="50"/>
      <c r="SNJ604" s="50"/>
      <c r="SNK604" s="46"/>
      <c r="SNL604" s="47"/>
      <c r="SNM604" s="46"/>
      <c r="SNN604" s="48"/>
      <c r="SNO604" s="53"/>
      <c r="SNV604" s="15"/>
      <c r="SNW604" s="50"/>
      <c r="SNX604" s="50"/>
      <c r="SNY604" s="46"/>
      <c r="SNZ604" s="47"/>
      <c r="SOA604" s="46"/>
      <c r="SOB604" s="48"/>
      <c r="SOC604" s="53"/>
      <c r="SOJ604" s="15"/>
      <c r="SOK604" s="50"/>
      <c r="SOL604" s="50"/>
      <c r="SOM604" s="46"/>
      <c r="SON604" s="47"/>
      <c r="SOO604" s="46"/>
      <c r="SOP604" s="48"/>
      <c r="SOQ604" s="53"/>
      <c r="SOX604" s="15"/>
      <c r="SOY604" s="50"/>
      <c r="SOZ604" s="50"/>
      <c r="SPA604" s="46"/>
      <c r="SPB604" s="47"/>
      <c r="SPC604" s="46"/>
      <c r="SPD604" s="48"/>
      <c r="SPE604" s="53"/>
      <c r="SPL604" s="15"/>
      <c r="SPM604" s="50"/>
      <c r="SPN604" s="50"/>
      <c r="SPO604" s="46"/>
      <c r="SPP604" s="47"/>
      <c r="SPQ604" s="46"/>
      <c r="SPR604" s="48"/>
      <c r="SPS604" s="53"/>
      <c r="SPZ604" s="15"/>
      <c r="SQA604" s="50"/>
      <c r="SQB604" s="50"/>
      <c r="SQC604" s="46"/>
      <c r="SQD604" s="47"/>
      <c r="SQE604" s="46"/>
      <c r="SQF604" s="48"/>
      <c r="SQG604" s="53"/>
      <c r="SQN604" s="15"/>
      <c r="SQO604" s="50"/>
      <c r="SQP604" s="50"/>
      <c r="SQQ604" s="46"/>
      <c r="SQR604" s="47"/>
      <c r="SQS604" s="46"/>
      <c r="SQT604" s="48"/>
      <c r="SQU604" s="53"/>
      <c r="SRB604" s="15"/>
      <c r="SRC604" s="50"/>
      <c r="SRD604" s="50"/>
      <c r="SRE604" s="46"/>
      <c r="SRF604" s="47"/>
      <c r="SRG604" s="46"/>
      <c r="SRH604" s="48"/>
      <c r="SRI604" s="53"/>
      <c r="SRP604" s="15"/>
      <c r="SRQ604" s="50"/>
      <c r="SRR604" s="50"/>
      <c r="SRS604" s="46"/>
      <c r="SRT604" s="47"/>
      <c r="SRU604" s="46"/>
      <c r="SRV604" s="48"/>
      <c r="SRW604" s="53"/>
      <c r="SSD604" s="15"/>
      <c r="SSE604" s="50"/>
      <c r="SSF604" s="50"/>
      <c r="SSG604" s="46"/>
      <c r="SSH604" s="47"/>
      <c r="SSI604" s="46"/>
      <c r="SSJ604" s="48"/>
      <c r="SSK604" s="53"/>
      <c r="SSR604" s="15"/>
      <c r="SSS604" s="50"/>
      <c r="SST604" s="50"/>
      <c r="SSU604" s="46"/>
      <c r="SSV604" s="47"/>
      <c r="SSW604" s="46"/>
      <c r="SSX604" s="48"/>
      <c r="SSY604" s="53"/>
      <c r="STF604" s="15"/>
      <c r="STG604" s="50"/>
      <c r="STH604" s="50"/>
      <c r="STI604" s="46"/>
      <c r="STJ604" s="47"/>
      <c r="STK604" s="46"/>
      <c r="STL604" s="48"/>
      <c r="STM604" s="53"/>
      <c r="STT604" s="15"/>
      <c r="STU604" s="50"/>
      <c r="STV604" s="50"/>
      <c r="STW604" s="46"/>
      <c r="STX604" s="47"/>
      <c r="STY604" s="46"/>
      <c r="STZ604" s="48"/>
      <c r="SUA604" s="53"/>
      <c r="SUH604" s="15"/>
      <c r="SUI604" s="50"/>
      <c r="SUJ604" s="50"/>
      <c r="SUK604" s="46"/>
      <c r="SUL604" s="47"/>
      <c r="SUM604" s="46"/>
      <c r="SUN604" s="48"/>
      <c r="SUO604" s="53"/>
      <c r="SUV604" s="15"/>
      <c r="SUW604" s="50"/>
      <c r="SUX604" s="50"/>
      <c r="SUY604" s="46"/>
      <c r="SUZ604" s="47"/>
      <c r="SVA604" s="46"/>
      <c r="SVB604" s="48"/>
      <c r="SVC604" s="53"/>
      <c r="SVJ604" s="15"/>
      <c r="SVK604" s="50"/>
      <c r="SVL604" s="50"/>
      <c r="SVM604" s="46"/>
      <c r="SVN604" s="47"/>
      <c r="SVO604" s="46"/>
      <c r="SVP604" s="48"/>
      <c r="SVQ604" s="53"/>
      <c r="SVX604" s="15"/>
      <c r="SVY604" s="50"/>
      <c r="SVZ604" s="50"/>
      <c r="SWA604" s="46"/>
      <c r="SWB604" s="47"/>
      <c r="SWC604" s="46"/>
      <c r="SWD604" s="48"/>
      <c r="SWE604" s="53"/>
      <c r="SWL604" s="15"/>
      <c r="SWM604" s="50"/>
      <c r="SWN604" s="50"/>
      <c r="SWO604" s="46"/>
      <c r="SWP604" s="47"/>
      <c r="SWQ604" s="46"/>
      <c r="SWR604" s="48"/>
      <c r="SWS604" s="53"/>
      <c r="SWZ604" s="15"/>
      <c r="SXA604" s="50"/>
      <c r="SXB604" s="50"/>
      <c r="SXC604" s="46"/>
      <c r="SXD604" s="47"/>
      <c r="SXE604" s="46"/>
      <c r="SXF604" s="48"/>
      <c r="SXG604" s="53"/>
      <c r="SXN604" s="15"/>
      <c r="SXO604" s="50"/>
      <c r="SXP604" s="50"/>
      <c r="SXQ604" s="46"/>
      <c r="SXR604" s="47"/>
      <c r="SXS604" s="46"/>
      <c r="SXT604" s="48"/>
      <c r="SXU604" s="53"/>
      <c r="SYB604" s="15"/>
      <c r="SYC604" s="50"/>
      <c r="SYD604" s="50"/>
      <c r="SYE604" s="46"/>
      <c r="SYF604" s="47"/>
      <c r="SYG604" s="46"/>
      <c r="SYH604" s="48"/>
      <c r="SYI604" s="53"/>
      <c r="SYP604" s="15"/>
      <c r="SYQ604" s="50"/>
      <c r="SYR604" s="50"/>
      <c r="SYS604" s="46"/>
      <c r="SYT604" s="47"/>
      <c r="SYU604" s="46"/>
      <c r="SYV604" s="48"/>
      <c r="SYW604" s="53"/>
      <c r="SZD604" s="15"/>
      <c r="SZE604" s="50"/>
      <c r="SZF604" s="50"/>
      <c r="SZG604" s="46"/>
      <c r="SZH604" s="47"/>
      <c r="SZI604" s="46"/>
      <c r="SZJ604" s="48"/>
      <c r="SZK604" s="53"/>
      <c r="SZR604" s="15"/>
      <c r="SZS604" s="50"/>
      <c r="SZT604" s="50"/>
      <c r="SZU604" s="46"/>
      <c r="SZV604" s="47"/>
      <c r="SZW604" s="46"/>
      <c r="SZX604" s="48"/>
      <c r="SZY604" s="53"/>
      <c r="TAF604" s="15"/>
      <c r="TAG604" s="50"/>
      <c r="TAH604" s="50"/>
      <c r="TAI604" s="46"/>
      <c r="TAJ604" s="47"/>
      <c r="TAK604" s="46"/>
      <c r="TAL604" s="48"/>
      <c r="TAM604" s="53"/>
      <c r="TAT604" s="15"/>
      <c r="TAU604" s="50"/>
      <c r="TAV604" s="50"/>
      <c r="TAW604" s="46"/>
      <c r="TAX604" s="47"/>
      <c r="TAY604" s="46"/>
      <c r="TAZ604" s="48"/>
      <c r="TBA604" s="53"/>
      <c r="TBH604" s="15"/>
      <c r="TBI604" s="50"/>
      <c r="TBJ604" s="50"/>
      <c r="TBK604" s="46"/>
      <c r="TBL604" s="47"/>
      <c r="TBM604" s="46"/>
      <c r="TBN604" s="48"/>
      <c r="TBO604" s="53"/>
      <c r="TBV604" s="15"/>
      <c r="TBW604" s="50"/>
      <c r="TBX604" s="50"/>
      <c r="TBY604" s="46"/>
      <c r="TBZ604" s="47"/>
      <c r="TCA604" s="46"/>
      <c r="TCB604" s="48"/>
      <c r="TCC604" s="53"/>
      <c r="TCJ604" s="15"/>
      <c r="TCK604" s="50"/>
      <c r="TCL604" s="50"/>
      <c r="TCM604" s="46"/>
      <c r="TCN604" s="47"/>
      <c r="TCO604" s="46"/>
      <c r="TCP604" s="48"/>
      <c r="TCQ604" s="53"/>
      <c r="TCX604" s="15"/>
      <c r="TCY604" s="50"/>
      <c r="TCZ604" s="50"/>
      <c r="TDA604" s="46"/>
      <c r="TDB604" s="47"/>
      <c r="TDC604" s="46"/>
      <c r="TDD604" s="48"/>
      <c r="TDE604" s="53"/>
      <c r="TDL604" s="15"/>
      <c r="TDM604" s="50"/>
      <c r="TDN604" s="50"/>
      <c r="TDO604" s="46"/>
      <c r="TDP604" s="47"/>
      <c r="TDQ604" s="46"/>
      <c r="TDR604" s="48"/>
      <c r="TDS604" s="53"/>
      <c r="TDZ604" s="15"/>
      <c r="TEA604" s="50"/>
      <c r="TEB604" s="50"/>
      <c r="TEC604" s="46"/>
      <c r="TED604" s="47"/>
      <c r="TEE604" s="46"/>
      <c r="TEF604" s="48"/>
      <c r="TEG604" s="53"/>
      <c r="TEN604" s="15"/>
      <c r="TEO604" s="50"/>
      <c r="TEP604" s="50"/>
      <c r="TEQ604" s="46"/>
      <c r="TER604" s="47"/>
      <c r="TES604" s="46"/>
      <c r="TET604" s="48"/>
      <c r="TEU604" s="53"/>
      <c r="TFB604" s="15"/>
      <c r="TFC604" s="50"/>
      <c r="TFD604" s="50"/>
      <c r="TFE604" s="46"/>
      <c r="TFF604" s="47"/>
      <c r="TFG604" s="46"/>
      <c r="TFH604" s="48"/>
      <c r="TFI604" s="53"/>
      <c r="TFP604" s="15"/>
      <c r="TFQ604" s="50"/>
      <c r="TFR604" s="50"/>
      <c r="TFS604" s="46"/>
      <c r="TFT604" s="47"/>
      <c r="TFU604" s="46"/>
      <c r="TFV604" s="48"/>
      <c r="TFW604" s="53"/>
      <c r="TGD604" s="15"/>
      <c r="TGE604" s="50"/>
      <c r="TGF604" s="50"/>
      <c r="TGG604" s="46"/>
      <c r="TGH604" s="47"/>
      <c r="TGI604" s="46"/>
      <c r="TGJ604" s="48"/>
      <c r="TGK604" s="53"/>
      <c r="TGR604" s="15"/>
      <c r="TGS604" s="50"/>
      <c r="TGT604" s="50"/>
      <c r="TGU604" s="46"/>
      <c r="TGV604" s="47"/>
      <c r="TGW604" s="46"/>
      <c r="TGX604" s="48"/>
      <c r="TGY604" s="53"/>
      <c r="THF604" s="15"/>
      <c r="THG604" s="50"/>
      <c r="THH604" s="50"/>
      <c r="THI604" s="46"/>
      <c r="THJ604" s="47"/>
      <c r="THK604" s="46"/>
      <c r="THL604" s="48"/>
      <c r="THM604" s="53"/>
      <c r="THT604" s="15"/>
      <c r="THU604" s="50"/>
      <c r="THV604" s="50"/>
      <c r="THW604" s="46"/>
      <c r="THX604" s="47"/>
      <c r="THY604" s="46"/>
      <c r="THZ604" s="48"/>
      <c r="TIA604" s="53"/>
      <c r="TIH604" s="15"/>
      <c r="TII604" s="50"/>
      <c r="TIJ604" s="50"/>
      <c r="TIK604" s="46"/>
      <c r="TIL604" s="47"/>
      <c r="TIM604" s="46"/>
      <c r="TIN604" s="48"/>
      <c r="TIO604" s="53"/>
      <c r="TIV604" s="15"/>
      <c r="TIW604" s="50"/>
      <c r="TIX604" s="50"/>
      <c r="TIY604" s="46"/>
      <c r="TIZ604" s="47"/>
      <c r="TJA604" s="46"/>
      <c r="TJB604" s="48"/>
      <c r="TJC604" s="53"/>
      <c r="TJJ604" s="15"/>
      <c r="TJK604" s="50"/>
      <c r="TJL604" s="50"/>
      <c r="TJM604" s="46"/>
      <c r="TJN604" s="47"/>
      <c r="TJO604" s="46"/>
      <c r="TJP604" s="48"/>
      <c r="TJQ604" s="53"/>
      <c r="TJX604" s="15"/>
      <c r="TJY604" s="50"/>
      <c r="TJZ604" s="50"/>
      <c r="TKA604" s="46"/>
      <c r="TKB604" s="47"/>
      <c r="TKC604" s="46"/>
      <c r="TKD604" s="48"/>
      <c r="TKE604" s="53"/>
      <c r="TKL604" s="15"/>
      <c r="TKM604" s="50"/>
      <c r="TKN604" s="50"/>
      <c r="TKO604" s="46"/>
      <c r="TKP604" s="47"/>
      <c r="TKQ604" s="46"/>
      <c r="TKR604" s="48"/>
      <c r="TKS604" s="53"/>
      <c r="TKZ604" s="15"/>
      <c r="TLA604" s="50"/>
      <c r="TLB604" s="50"/>
      <c r="TLC604" s="46"/>
      <c r="TLD604" s="47"/>
      <c r="TLE604" s="46"/>
      <c r="TLF604" s="48"/>
      <c r="TLG604" s="53"/>
      <c r="TLN604" s="15"/>
      <c r="TLO604" s="50"/>
      <c r="TLP604" s="50"/>
      <c r="TLQ604" s="46"/>
      <c r="TLR604" s="47"/>
      <c r="TLS604" s="46"/>
      <c r="TLT604" s="48"/>
      <c r="TLU604" s="53"/>
      <c r="TMB604" s="15"/>
      <c r="TMC604" s="50"/>
      <c r="TMD604" s="50"/>
      <c r="TME604" s="46"/>
      <c r="TMF604" s="47"/>
      <c r="TMG604" s="46"/>
      <c r="TMH604" s="48"/>
      <c r="TMI604" s="53"/>
      <c r="TMP604" s="15"/>
      <c r="TMQ604" s="50"/>
      <c r="TMR604" s="50"/>
      <c r="TMS604" s="46"/>
      <c r="TMT604" s="47"/>
      <c r="TMU604" s="46"/>
      <c r="TMV604" s="48"/>
      <c r="TMW604" s="53"/>
      <c r="TND604" s="15"/>
      <c r="TNE604" s="50"/>
      <c r="TNF604" s="50"/>
      <c r="TNG604" s="46"/>
      <c r="TNH604" s="47"/>
      <c r="TNI604" s="46"/>
      <c r="TNJ604" s="48"/>
      <c r="TNK604" s="53"/>
      <c r="TNR604" s="15"/>
      <c r="TNS604" s="50"/>
      <c r="TNT604" s="50"/>
      <c r="TNU604" s="46"/>
      <c r="TNV604" s="47"/>
      <c r="TNW604" s="46"/>
      <c r="TNX604" s="48"/>
      <c r="TNY604" s="53"/>
      <c r="TOF604" s="15"/>
      <c r="TOG604" s="50"/>
      <c r="TOH604" s="50"/>
      <c r="TOI604" s="46"/>
      <c r="TOJ604" s="47"/>
      <c r="TOK604" s="46"/>
      <c r="TOL604" s="48"/>
      <c r="TOM604" s="53"/>
      <c r="TOT604" s="15"/>
      <c r="TOU604" s="50"/>
      <c r="TOV604" s="50"/>
      <c r="TOW604" s="46"/>
      <c r="TOX604" s="47"/>
      <c r="TOY604" s="46"/>
      <c r="TOZ604" s="48"/>
      <c r="TPA604" s="53"/>
      <c r="TPH604" s="15"/>
      <c r="TPI604" s="50"/>
      <c r="TPJ604" s="50"/>
      <c r="TPK604" s="46"/>
      <c r="TPL604" s="47"/>
      <c r="TPM604" s="46"/>
      <c r="TPN604" s="48"/>
      <c r="TPO604" s="53"/>
      <c r="TPV604" s="15"/>
      <c r="TPW604" s="50"/>
      <c r="TPX604" s="50"/>
      <c r="TPY604" s="46"/>
      <c r="TPZ604" s="47"/>
      <c r="TQA604" s="46"/>
      <c r="TQB604" s="48"/>
      <c r="TQC604" s="53"/>
      <c r="TQJ604" s="15"/>
      <c r="TQK604" s="50"/>
      <c r="TQL604" s="50"/>
      <c r="TQM604" s="46"/>
      <c r="TQN604" s="47"/>
      <c r="TQO604" s="46"/>
      <c r="TQP604" s="48"/>
      <c r="TQQ604" s="53"/>
      <c r="TQX604" s="15"/>
      <c r="TQY604" s="50"/>
      <c r="TQZ604" s="50"/>
      <c r="TRA604" s="46"/>
      <c r="TRB604" s="47"/>
      <c r="TRC604" s="46"/>
      <c r="TRD604" s="48"/>
      <c r="TRE604" s="53"/>
      <c r="TRL604" s="15"/>
      <c r="TRM604" s="50"/>
      <c r="TRN604" s="50"/>
      <c r="TRO604" s="46"/>
      <c r="TRP604" s="47"/>
      <c r="TRQ604" s="46"/>
      <c r="TRR604" s="48"/>
      <c r="TRS604" s="53"/>
      <c r="TRZ604" s="15"/>
      <c r="TSA604" s="50"/>
      <c r="TSB604" s="50"/>
      <c r="TSC604" s="46"/>
      <c r="TSD604" s="47"/>
      <c r="TSE604" s="46"/>
      <c r="TSF604" s="48"/>
      <c r="TSG604" s="53"/>
      <c r="TSN604" s="15"/>
      <c r="TSO604" s="50"/>
      <c r="TSP604" s="50"/>
      <c r="TSQ604" s="46"/>
      <c r="TSR604" s="47"/>
      <c r="TSS604" s="46"/>
      <c r="TST604" s="48"/>
      <c r="TSU604" s="53"/>
      <c r="TTB604" s="15"/>
      <c r="TTC604" s="50"/>
      <c r="TTD604" s="50"/>
      <c r="TTE604" s="46"/>
      <c r="TTF604" s="47"/>
      <c r="TTG604" s="46"/>
      <c r="TTH604" s="48"/>
      <c r="TTI604" s="53"/>
      <c r="TTP604" s="15"/>
      <c r="TTQ604" s="50"/>
      <c r="TTR604" s="50"/>
      <c r="TTS604" s="46"/>
      <c r="TTT604" s="47"/>
      <c r="TTU604" s="46"/>
      <c r="TTV604" s="48"/>
      <c r="TTW604" s="53"/>
      <c r="TUD604" s="15"/>
      <c r="TUE604" s="50"/>
      <c r="TUF604" s="50"/>
      <c r="TUG604" s="46"/>
      <c r="TUH604" s="47"/>
      <c r="TUI604" s="46"/>
      <c r="TUJ604" s="48"/>
      <c r="TUK604" s="53"/>
      <c r="TUR604" s="15"/>
      <c r="TUS604" s="50"/>
      <c r="TUT604" s="50"/>
      <c r="TUU604" s="46"/>
      <c r="TUV604" s="47"/>
      <c r="TUW604" s="46"/>
      <c r="TUX604" s="48"/>
      <c r="TUY604" s="53"/>
      <c r="TVF604" s="15"/>
      <c r="TVG604" s="50"/>
      <c r="TVH604" s="50"/>
      <c r="TVI604" s="46"/>
      <c r="TVJ604" s="47"/>
      <c r="TVK604" s="46"/>
      <c r="TVL604" s="48"/>
      <c r="TVM604" s="53"/>
      <c r="TVT604" s="15"/>
      <c r="TVU604" s="50"/>
      <c r="TVV604" s="50"/>
      <c r="TVW604" s="46"/>
      <c r="TVX604" s="47"/>
      <c r="TVY604" s="46"/>
      <c r="TVZ604" s="48"/>
      <c r="TWA604" s="53"/>
      <c r="TWH604" s="15"/>
      <c r="TWI604" s="50"/>
      <c r="TWJ604" s="50"/>
      <c r="TWK604" s="46"/>
      <c r="TWL604" s="47"/>
      <c r="TWM604" s="46"/>
      <c r="TWN604" s="48"/>
      <c r="TWO604" s="53"/>
      <c r="TWV604" s="15"/>
      <c r="TWW604" s="50"/>
      <c r="TWX604" s="50"/>
      <c r="TWY604" s="46"/>
      <c r="TWZ604" s="47"/>
      <c r="TXA604" s="46"/>
      <c r="TXB604" s="48"/>
      <c r="TXC604" s="53"/>
      <c r="TXJ604" s="15"/>
      <c r="TXK604" s="50"/>
      <c r="TXL604" s="50"/>
      <c r="TXM604" s="46"/>
      <c r="TXN604" s="47"/>
      <c r="TXO604" s="46"/>
      <c r="TXP604" s="48"/>
      <c r="TXQ604" s="53"/>
      <c r="TXX604" s="15"/>
      <c r="TXY604" s="50"/>
      <c r="TXZ604" s="50"/>
      <c r="TYA604" s="46"/>
      <c r="TYB604" s="47"/>
      <c r="TYC604" s="46"/>
      <c r="TYD604" s="48"/>
      <c r="TYE604" s="53"/>
      <c r="TYL604" s="15"/>
      <c r="TYM604" s="50"/>
      <c r="TYN604" s="50"/>
      <c r="TYO604" s="46"/>
      <c r="TYP604" s="47"/>
      <c r="TYQ604" s="46"/>
      <c r="TYR604" s="48"/>
      <c r="TYS604" s="53"/>
      <c r="TYZ604" s="15"/>
      <c r="TZA604" s="50"/>
      <c r="TZB604" s="50"/>
      <c r="TZC604" s="46"/>
      <c r="TZD604" s="47"/>
      <c r="TZE604" s="46"/>
      <c r="TZF604" s="48"/>
      <c r="TZG604" s="53"/>
      <c r="TZN604" s="15"/>
      <c r="TZO604" s="50"/>
      <c r="TZP604" s="50"/>
      <c r="TZQ604" s="46"/>
      <c r="TZR604" s="47"/>
      <c r="TZS604" s="46"/>
      <c r="TZT604" s="48"/>
      <c r="TZU604" s="53"/>
      <c r="UAB604" s="15"/>
      <c r="UAC604" s="50"/>
      <c r="UAD604" s="50"/>
      <c r="UAE604" s="46"/>
      <c r="UAF604" s="47"/>
      <c r="UAG604" s="46"/>
      <c r="UAH604" s="48"/>
      <c r="UAI604" s="53"/>
      <c r="UAP604" s="15"/>
      <c r="UAQ604" s="50"/>
      <c r="UAR604" s="50"/>
      <c r="UAS604" s="46"/>
      <c r="UAT604" s="47"/>
      <c r="UAU604" s="46"/>
      <c r="UAV604" s="48"/>
      <c r="UAW604" s="53"/>
      <c r="UBD604" s="15"/>
      <c r="UBE604" s="50"/>
      <c r="UBF604" s="50"/>
      <c r="UBG604" s="46"/>
      <c r="UBH604" s="47"/>
      <c r="UBI604" s="46"/>
      <c r="UBJ604" s="48"/>
      <c r="UBK604" s="53"/>
      <c r="UBR604" s="15"/>
      <c r="UBS604" s="50"/>
      <c r="UBT604" s="50"/>
      <c r="UBU604" s="46"/>
      <c r="UBV604" s="47"/>
      <c r="UBW604" s="46"/>
      <c r="UBX604" s="48"/>
      <c r="UBY604" s="53"/>
      <c r="UCF604" s="15"/>
      <c r="UCG604" s="50"/>
      <c r="UCH604" s="50"/>
      <c r="UCI604" s="46"/>
      <c r="UCJ604" s="47"/>
      <c r="UCK604" s="46"/>
      <c r="UCL604" s="48"/>
      <c r="UCM604" s="53"/>
      <c r="UCT604" s="15"/>
      <c r="UCU604" s="50"/>
      <c r="UCV604" s="50"/>
      <c r="UCW604" s="46"/>
      <c r="UCX604" s="47"/>
      <c r="UCY604" s="46"/>
      <c r="UCZ604" s="48"/>
      <c r="UDA604" s="53"/>
      <c r="UDH604" s="15"/>
      <c r="UDI604" s="50"/>
      <c r="UDJ604" s="50"/>
      <c r="UDK604" s="46"/>
      <c r="UDL604" s="47"/>
      <c r="UDM604" s="46"/>
      <c r="UDN604" s="48"/>
      <c r="UDO604" s="53"/>
      <c r="UDV604" s="15"/>
      <c r="UDW604" s="50"/>
      <c r="UDX604" s="50"/>
      <c r="UDY604" s="46"/>
      <c r="UDZ604" s="47"/>
      <c r="UEA604" s="46"/>
      <c r="UEB604" s="48"/>
      <c r="UEC604" s="53"/>
      <c r="UEJ604" s="15"/>
      <c r="UEK604" s="50"/>
      <c r="UEL604" s="50"/>
      <c r="UEM604" s="46"/>
      <c r="UEN604" s="47"/>
      <c r="UEO604" s="46"/>
      <c r="UEP604" s="48"/>
      <c r="UEQ604" s="53"/>
      <c r="UEX604" s="15"/>
      <c r="UEY604" s="50"/>
      <c r="UEZ604" s="50"/>
      <c r="UFA604" s="46"/>
      <c r="UFB604" s="47"/>
      <c r="UFC604" s="46"/>
      <c r="UFD604" s="48"/>
      <c r="UFE604" s="53"/>
      <c r="UFL604" s="15"/>
      <c r="UFM604" s="50"/>
      <c r="UFN604" s="50"/>
      <c r="UFO604" s="46"/>
      <c r="UFP604" s="47"/>
      <c r="UFQ604" s="46"/>
      <c r="UFR604" s="48"/>
      <c r="UFS604" s="53"/>
      <c r="UFZ604" s="15"/>
      <c r="UGA604" s="50"/>
      <c r="UGB604" s="50"/>
      <c r="UGC604" s="46"/>
      <c r="UGD604" s="47"/>
      <c r="UGE604" s="46"/>
      <c r="UGF604" s="48"/>
      <c r="UGG604" s="53"/>
      <c r="UGN604" s="15"/>
      <c r="UGO604" s="50"/>
      <c r="UGP604" s="50"/>
      <c r="UGQ604" s="46"/>
      <c r="UGR604" s="47"/>
      <c r="UGS604" s="46"/>
      <c r="UGT604" s="48"/>
      <c r="UGU604" s="53"/>
      <c r="UHB604" s="15"/>
      <c r="UHC604" s="50"/>
      <c r="UHD604" s="50"/>
      <c r="UHE604" s="46"/>
      <c r="UHF604" s="47"/>
      <c r="UHG604" s="46"/>
      <c r="UHH604" s="48"/>
      <c r="UHI604" s="53"/>
      <c r="UHP604" s="15"/>
      <c r="UHQ604" s="50"/>
      <c r="UHR604" s="50"/>
      <c r="UHS604" s="46"/>
      <c r="UHT604" s="47"/>
      <c r="UHU604" s="46"/>
      <c r="UHV604" s="48"/>
      <c r="UHW604" s="53"/>
      <c r="UID604" s="15"/>
      <c r="UIE604" s="50"/>
      <c r="UIF604" s="50"/>
      <c r="UIG604" s="46"/>
      <c r="UIH604" s="47"/>
      <c r="UII604" s="46"/>
      <c r="UIJ604" s="48"/>
      <c r="UIK604" s="53"/>
      <c r="UIR604" s="15"/>
      <c r="UIS604" s="50"/>
      <c r="UIT604" s="50"/>
      <c r="UIU604" s="46"/>
      <c r="UIV604" s="47"/>
      <c r="UIW604" s="46"/>
      <c r="UIX604" s="48"/>
      <c r="UIY604" s="53"/>
      <c r="UJF604" s="15"/>
      <c r="UJG604" s="50"/>
      <c r="UJH604" s="50"/>
      <c r="UJI604" s="46"/>
      <c r="UJJ604" s="47"/>
      <c r="UJK604" s="46"/>
      <c r="UJL604" s="48"/>
      <c r="UJM604" s="53"/>
      <c r="UJT604" s="15"/>
      <c r="UJU604" s="50"/>
      <c r="UJV604" s="50"/>
      <c r="UJW604" s="46"/>
      <c r="UJX604" s="47"/>
      <c r="UJY604" s="46"/>
      <c r="UJZ604" s="48"/>
      <c r="UKA604" s="53"/>
      <c r="UKH604" s="15"/>
      <c r="UKI604" s="50"/>
      <c r="UKJ604" s="50"/>
      <c r="UKK604" s="46"/>
      <c r="UKL604" s="47"/>
      <c r="UKM604" s="46"/>
      <c r="UKN604" s="48"/>
      <c r="UKO604" s="53"/>
      <c r="UKV604" s="15"/>
      <c r="UKW604" s="50"/>
      <c r="UKX604" s="50"/>
      <c r="UKY604" s="46"/>
      <c r="UKZ604" s="47"/>
      <c r="ULA604" s="46"/>
      <c r="ULB604" s="48"/>
      <c r="ULC604" s="53"/>
      <c r="ULJ604" s="15"/>
      <c r="ULK604" s="50"/>
      <c r="ULL604" s="50"/>
      <c r="ULM604" s="46"/>
      <c r="ULN604" s="47"/>
      <c r="ULO604" s="46"/>
      <c r="ULP604" s="48"/>
      <c r="ULQ604" s="53"/>
      <c r="ULX604" s="15"/>
      <c r="ULY604" s="50"/>
      <c r="ULZ604" s="50"/>
      <c r="UMA604" s="46"/>
      <c r="UMB604" s="47"/>
      <c r="UMC604" s="46"/>
      <c r="UMD604" s="48"/>
      <c r="UME604" s="53"/>
      <c r="UML604" s="15"/>
      <c r="UMM604" s="50"/>
      <c r="UMN604" s="50"/>
      <c r="UMO604" s="46"/>
      <c r="UMP604" s="47"/>
      <c r="UMQ604" s="46"/>
      <c r="UMR604" s="48"/>
      <c r="UMS604" s="53"/>
      <c r="UMZ604" s="15"/>
      <c r="UNA604" s="50"/>
      <c r="UNB604" s="50"/>
      <c r="UNC604" s="46"/>
      <c r="UND604" s="47"/>
      <c r="UNE604" s="46"/>
      <c r="UNF604" s="48"/>
      <c r="UNG604" s="53"/>
      <c r="UNN604" s="15"/>
      <c r="UNO604" s="50"/>
      <c r="UNP604" s="50"/>
      <c r="UNQ604" s="46"/>
      <c r="UNR604" s="47"/>
      <c r="UNS604" s="46"/>
      <c r="UNT604" s="48"/>
      <c r="UNU604" s="53"/>
      <c r="UOB604" s="15"/>
      <c r="UOC604" s="50"/>
      <c r="UOD604" s="50"/>
      <c r="UOE604" s="46"/>
      <c r="UOF604" s="47"/>
      <c r="UOG604" s="46"/>
      <c r="UOH604" s="48"/>
      <c r="UOI604" s="53"/>
      <c r="UOP604" s="15"/>
      <c r="UOQ604" s="50"/>
      <c r="UOR604" s="50"/>
      <c r="UOS604" s="46"/>
      <c r="UOT604" s="47"/>
      <c r="UOU604" s="46"/>
      <c r="UOV604" s="48"/>
      <c r="UOW604" s="53"/>
      <c r="UPD604" s="15"/>
      <c r="UPE604" s="50"/>
      <c r="UPF604" s="50"/>
      <c r="UPG604" s="46"/>
      <c r="UPH604" s="47"/>
      <c r="UPI604" s="46"/>
      <c r="UPJ604" s="48"/>
      <c r="UPK604" s="53"/>
      <c r="UPR604" s="15"/>
      <c r="UPS604" s="50"/>
      <c r="UPT604" s="50"/>
      <c r="UPU604" s="46"/>
      <c r="UPV604" s="47"/>
      <c r="UPW604" s="46"/>
      <c r="UPX604" s="48"/>
      <c r="UPY604" s="53"/>
      <c r="UQF604" s="15"/>
      <c r="UQG604" s="50"/>
      <c r="UQH604" s="50"/>
      <c r="UQI604" s="46"/>
      <c r="UQJ604" s="47"/>
      <c r="UQK604" s="46"/>
      <c r="UQL604" s="48"/>
      <c r="UQM604" s="53"/>
      <c r="UQT604" s="15"/>
      <c r="UQU604" s="50"/>
      <c r="UQV604" s="50"/>
      <c r="UQW604" s="46"/>
      <c r="UQX604" s="47"/>
      <c r="UQY604" s="46"/>
      <c r="UQZ604" s="48"/>
      <c r="URA604" s="53"/>
      <c r="URH604" s="15"/>
      <c r="URI604" s="50"/>
      <c r="URJ604" s="50"/>
      <c r="URK604" s="46"/>
      <c r="URL604" s="47"/>
      <c r="URM604" s="46"/>
      <c r="URN604" s="48"/>
      <c r="URO604" s="53"/>
      <c r="URV604" s="15"/>
      <c r="URW604" s="50"/>
      <c r="URX604" s="50"/>
      <c r="URY604" s="46"/>
      <c r="URZ604" s="47"/>
      <c r="USA604" s="46"/>
      <c r="USB604" s="48"/>
      <c r="USC604" s="53"/>
      <c r="USJ604" s="15"/>
      <c r="USK604" s="50"/>
      <c r="USL604" s="50"/>
      <c r="USM604" s="46"/>
      <c r="USN604" s="47"/>
      <c r="USO604" s="46"/>
      <c r="USP604" s="48"/>
      <c r="USQ604" s="53"/>
      <c r="USX604" s="15"/>
      <c r="USY604" s="50"/>
      <c r="USZ604" s="50"/>
      <c r="UTA604" s="46"/>
      <c r="UTB604" s="47"/>
      <c r="UTC604" s="46"/>
      <c r="UTD604" s="48"/>
      <c r="UTE604" s="53"/>
      <c r="UTL604" s="15"/>
      <c r="UTM604" s="50"/>
      <c r="UTN604" s="50"/>
      <c r="UTO604" s="46"/>
      <c r="UTP604" s="47"/>
      <c r="UTQ604" s="46"/>
      <c r="UTR604" s="48"/>
      <c r="UTS604" s="53"/>
      <c r="UTZ604" s="15"/>
      <c r="UUA604" s="50"/>
      <c r="UUB604" s="50"/>
      <c r="UUC604" s="46"/>
      <c r="UUD604" s="47"/>
      <c r="UUE604" s="46"/>
      <c r="UUF604" s="48"/>
      <c r="UUG604" s="53"/>
      <c r="UUN604" s="15"/>
      <c r="UUO604" s="50"/>
      <c r="UUP604" s="50"/>
      <c r="UUQ604" s="46"/>
      <c r="UUR604" s="47"/>
      <c r="UUS604" s="46"/>
      <c r="UUT604" s="48"/>
      <c r="UUU604" s="53"/>
      <c r="UVB604" s="15"/>
      <c r="UVC604" s="50"/>
      <c r="UVD604" s="50"/>
      <c r="UVE604" s="46"/>
      <c r="UVF604" s="47"/>
      <c r="UVG604" s="46"/>
      <c r="UVH604" s="48"/>
      <c r="UVI604" s="53"/>
      <c r="UVP604" s="15"/>
      <c r="UVQ604" s="50"/>
      <c r="UVR604" s="50"/>
      <c r="UVS604" s="46"/>
      <c r="UVT604" s="47"/>
      <c r="UVU604" s="46"/>
      <c r="UVV604" s="48"/>
      <c r="UVW604" s="53"/>
      <c r="UWD604" s="15"/>
      <c r="UWE604" s="50"/>
      <c r="UWF604" s="50"/>
      <c r="UWG604" s="46"/>
      <c r="UWH604" s="47"/>
      <c r="UWI604" s="46"/>
      <c r="UWJ604" s="48"/>
      <c r="UWK604" s="53"/>
      <c r="UWR604" s="15"/>
      <c r="UWS604" s="50"/>
      <c r="UWT604" s="50"/>
      <c r="UWU604" s="46"/>
      <c r="UWV604" s="47"/>
      <c r="UWW604" s="46"/>
      <c r="UWX604" s="48"/>
      <c r="UWY604" s="53"/>
      <c r="UXF604" s="15"/>
      <c r="UXG604" s="50"/>
      <c r="UXH604" s="50"/>
      <c r="UXI604" s="46"/>
      <c r="UXJ604" s="47"/>
      <c r="UXK604" s="46"/>
      <c r="UXL604" s="48"/>
      <c r="UXM604" s="53"/>
      <c r="UXT604" s="15"/>
      <c r="UXU604" s="50"/>
      <c r="UXV604" s="50"/>
      <c r="UXW604" s="46"/>
      <c r="UXX604" s="47"/>
      <c r="UXY604" s="46"/>
      <c r="UXZ604" s="48"/>
      <c r="UYA604" s="53"/>
      <c r="UYH604" s="15"/>
      <c r="UYI604" s="50"/>
      <c r="UYJ604" s="50"/>
      <c r="UYK604" s="46"/>
      <c r="UYL604" s="47"/>
      <c r="UYM604" s="46"/>
      <c r="UYN604" s="48"/>
      <c r="UYO604" s="53"/>
      <c r="UYV604" s="15"/>
      <c r="UYW604" s="50"/>
      <c r="UYX604" s="50"/>
      <c r="UYY604" s="46"/>
      <c r="UYZ604" s="47"/>
      <c r="UZA604" s="46"/>
      <c r="UZB604" s="48"/>
      <c r="UZC604" s="53"/>
      <c r="UZJ604" s="15"/>
      <c r="UZK604" s="50"/>
      <c r="UZL604" s="50"/>
      <c r="UZM604" s="46"/>
      <c r="UZN604" s="47"/>
      <c r="UZO604" s="46"/>
      <c r="UZP604" s="48"/>
      <c r="UZQ604" s="53"/>
      <c r="UZX604" s="15"/>
      <c r="UZY604" s="50"/>
      <c r="UZZ604" s="50"/>
      <c r="VAA604" s="46"/>
      <c r="VAB604" s="47"/>
      <c r="VAC604" s="46"/>
      <c r="VAD604" s="48"/>
      <c r="VAE604" s="53"/>
      <c r="VAL604" s="15"/>
      <c r="VAM604" s="50"/>
      <c r="VAN604" s="50"/>
      <c r="VAO604" s="46"/>
      <c r="VAP604" s="47"/>
      <c r="VAQ604" s="46"/>
      <c r="VAR604" s="48"/>
      <c r="VAS604" s="53"/>
      <c r="VAZ604" s="15"/>
      <c r="VBA604" s="50"/>
      <c r="VBB604" s="50"/>
      <c r="VBC604" s="46"/>
      <c r="VBD604" s="47"/>
      <c r="VBE604" s="46"/>
      <c r="VBF604" s="48"/>
      <c r="VBG604" s="53"/>
      <c r="VBN604" s="15"/>
      <c r="VBO604" s="50"/>
      <c r="VBP604" s="50"/>
      <c r="VBQ604" s="46"/>
      <c r="VBR604" s="47"/>
      <c r="VBS604" s="46"/>
      <c r="VBT604" s="48"/>
      <c r="VBU604" s="53"/>
      <c r="VCB604" s="15"/>
      <c r="VCC604" s="50"/>
      <c r="VCD604" s="50"/>
      <c r="VCE604" s="46"/>
      <c r="VCF604" s="47"/>
      <c r="VCG604" s="46"/>
      <c r="VCH604" s="48"/>
      <c r="VCI604" s="53"/>
      <c r="VCP604" s="15"/>
      <c r="VCQ604" s="50"/>
      <c r="VCR604" s="50"/>
      <c r="VCS604" s="46"/>
      <c r="VCT604" s="47"/>
      <c r="VCU604" s="46"/>
      <c r="VCV604" s="48"/>
      <c r="VCW604" s="53"/>
      <c r="VDD604" s="15"/>
      <c r="VDE604" s="50"/>
      <c r="VDF604" s="50"/>
      <c r="VDG604" s="46"/>
      <c r="VDH604" s="47"/>
      <c r="VDI604" s="46"/>
      <c r="VDJ604" s="48"/>
      <c r="VDK604" s="53"/>
      <c r="VDR604" s="15"/>
      <c r="VDS604" s="50"/>
      <c r="VDT604" s="50"/>
      <c r="VDU604" s="46"/>
      <c r="VDV604" s="47"/>
      <c r="VDW604" s="46"/>
      <c r="VDX604" s="48"/>
      <c r="VDY604" s="53"/>
      <c r="VEF604" s="15"/>
      <c r="VEG604" s="50"/>
      <c r="VEH604" s="50"/>
      <c r="VEI604" s="46"/>
      <c r="VEJ604" s="47"/>
      <c r="VEK604" s="46"/>
      <c r="VEL604" s="48"/>
      <c r="VEM604" s="53"/>
      <c r="VET604" s="15"/>
      <c r="VEU604" s="50"/>
      <c r="VEV604" s="50"/>
      <c r="VEW604" s="46"/>
      <c r="VEX604" s="47"/>
      <c r="VEY604" s="46"/>
      <c r="VEZ604" s="48"/>
      <c r="VFA604" s="53"/>
      <c r="VFH604" s="15"/>
      <c r="VFI604" s="50"/>
      <c r="VFJ604" s="50"/>
      <c r="VFK604" s="46"/>
      <c r="VFL604" s="47"/>
      <c r="VFM604" s="46"/>
      <c r="VFN604" s="48"/>
      <c r="VFO604" s="53"/>
      <c r="VFV604" s="15"/>
      <c r="VFW604" s="50"/>
      <c r="VFX604" s="50"/>
      <c r="VFY604" s="46"/>
      <c r="VFZ604" s="47"/>
      <c r="VGA604" s="46"/>
      <c r="VGB604" s="48"/>
      <c r="VGC604" s="53"/>
      <c r="VGJ604" s="15"/>
      <c r="VGK604" s="50"/>
      <c r="VGL604" s="50"/>
      <c r="VGM604" s="46"/>
      <c r="VGN604" s="47"/>
      <c r="VGO604" s="46"/>
      <c r="VGP604" s="48"/>
      <c r="VGQ604" s="53"/>
      <c r="VGX604" s="15"/>
      <c r="VGY604" s="50"/>
      <c r="VGZ604" s="50"/>
      <c r="VHA604" s="46"/>
      <c r="VHB604" s="47"/>
      <c r="VHC604" s="46"/>
      <c r="VHD604" s="48"/>
      <c r="VHE604" s="53"/>
      <c r="VHL604" s="15"/>
      <c r="VHM604" s="50"/>
      <c r="VHN604" s="50"/>
      <c r="VHO604" s="46"/>
      <c r="VHP604" s="47"/>
      <c r="VHQ604" s="46"/>
      <c r="VHR604" s="48"/>
      <c r="VHS604" s="53"/>
      <c r="VHZ604" s="15"/>
      <c r="VIA604" s="50"/>
      <c r="VIB604" s="50"/>
      <c r="VIC604" s="46"/>
      <c r="VID604" s="47"/>
      <c r="VIE604" s="46"/>
      <c r="VIF604" s="48"/>
      <c r="VIG604" s="53"/>
      <c r="VIN604" s="15"/>
      <c r="VIO604" s="50"/>
      <c r="VIP604" s="50"/>
      <c r="VIQ604" s="46"/>
      <c r="VIR604" s="47"/>
      <c r="VIS604" s="46"/>
      <c r="VIT604" s="48"/>
      <c r="VIU604" s="53"/>
      <c r="VJB604" s="15"/>
      <c r="VJC604" s="50"/>
      <c r="VJD604" s="50"/>
      <c r="VJE604" s="46"/>
      <c r="VJF604" s="47"/>
      <c r="VJG604" s="46"/>
      <c r="VJH604" s="48"/>
      <c r="VJI604" s="53"/>
      <c r="VJP604" s="15"/>
      <c r="VJQ604" s="50"/>
      <c r="VJR604" s="50"/>
      <c r="VJS604" s="46"/>
      <c r="VJT604" s="47"/>
      <c r="VJU604" s="46"/>
      <c r="VJV604" s="48"/>
      <c r="VJW604" s="53"/>
      <c r="VKD604" s="15"/>
      <c r="VKE604" s="50"/>
      <c r="VKF604" s="50"/>
      <c r="VKG604" s="46"/>
      <c r="VKH604" s="47"/>
      <c r="VKI604" s="46"/>
      <c r="VKJ604" s="48"/>
      <c r="VKK604" s="53"/>
      <c r="VKR604" s="15"/>
      <c r="VKS604" s="50"/>
      <c r="VKT604" s="50"/>
      <c r="VKU604" s="46"/>
      <c r="VKV604" s="47"/>
      <c r="VKW604" s="46"/>
      <c r="VKX604" s="48"/>
      <c r="VKY604" s="53"/>
      <c r="VLF604" s="15"/>
      <c r="VLG604" s="50"/>
      <c r="VLH604" s="50"/>
      <c r="VLI604" s="46"/>
      <c r="VLJ604" s="47"/>
      <c r="VLK604" s="46"/>
      <c r="VLL604" s="48"/>
      <c r="VLM604" s="53"/>
      <c r="VLT604" s="15"/>
      <c r="VLU604" s="50"/>
      <c r="VLV604" s="50"/>
      <c r="VLW604" s="46"/>
      <c r="VLX604" s="47"/>
      <c r="VLY604" s="46"/>
      <c r="VLZ604" s="48"/>
      <c r="VMA604" s="53"/>
      <c r="VMH604" s="15"/>
      <c r="VMI604" s="50"/>
      <c r="VMJ604" s="50"/>
      <c r="VMK604" s="46"/>
      <c r="VML604" s="47"/>
      <c r="VMM604" s="46"/>
      <c r="VMN604" s="48"/>
      <c r="VMO604" s="53"/>
      <c r="VMV604" s="15"/>
      <c r="VMW604" s="50"/>
      <c r="VMX604" s="50"/>
      <c r="VMY604" s="46"/>
      <c r="VMZ604" s="47"/>
      <c r="VNA604" s="46"/>
      <c r="VNB604" s="48"/>
      <c r="VNC604" s="53"/>
      <c r="VNJ604" s="15"/>
      <c r="VNK604" s="50"/>
      <c r="VNL604" s="50"/>
      <c r="VNM604" s="46"/>
      <c r="VNN604" s="47"/>
      <c r="VNO604" s="46"/>
      <c r="VNP604" s="48"/>
      <c r="VNQ604" s="53"/>
      <c r="VNX604" s="15"/>
      <c r="VNY604" s="50"/>
      <c r="VNZ604" s="50"/>
      <c r="VOA604" s="46"/>
      <c r="VOB604" s="47"/>
      <c r="VOC604" s="46"/>
      <c r="VOD604" s="48"/>
      <c r="VOE604" s="53"/>
      <c r="VOL604" s="15"/>
      <c r="VOM604" s="50"/>
      <c r="VON604" s="50"/>
      <c r="VOO604" s="46"/>
      <c r="VOP604" s="47"/>
      <c r="VOQ604" s="46"/>
      <c r="VOR604" s="48"/>
      <c r="VOS604" s="53"/>
      <c r="VOZ604" s="15"/>
      <c r="VPA604" s="50"/>
      <c r="VPB604" s="50"/>
      <c r="VPC604" s="46"/>
      <c r="VPD604" s="47"/>
      <c r="VPE604" s="46"/>
      <c r="VPF604" s="48"/>
      <c r="VPG604" s="53"/>
      <c r="VPN604" s="15"/>
      <c r="VPO604" s="50"/>
      <c r="VPP604" s="50"/>
      <c r="VPQ604" s="46"/>
      <c r="VPR604" s="47"/>
      <c r="VPS604" s="46"/>
      <c r="VPT604" s="48"/>
      <c r="VPU604" s="53"/>
      <c r="VQB604" s="15"/>
      <c r="VQC604" s="50"/>
      <c r="VQD604" s="50"/>
      <c r="VQE604" s="46"/>
      <c r="VQF604" s="47"/>
      <c r="VQG604" s="46"/>
      <c r="VQH604" s="48"/>
      <c r="VQI604" s="53"/>
      <c r="VQP604" s="15"/>
      <c r="VQQ604" s="50"/>
      <c r="VQR604" s="50"/>
      <c r="VQS604" s="46"/>
      <c r="VQT604" s="47"/>
      <c r="VQU604" s="46"/>
      <c r="VQV604" s="48"/>
      <c r="VQW604" s="53"/>
      <c r="VRD604" s="15"/>
      <c r="VRE604" s="50"/>
      <c r="VRF604" s="50"/>
      <c r="VRG604" s="46"/>
      <c r="VRH604" s="47"/>
      <c r="VRI604" s="46"/>
      <c r="VRJ604" s="48"/>
      <c r="VRK604" s="53"/>
      <c r="VRR604" s="15"/>
      <c r="VRS604" s="50"/>
      <c r="VRT604" s="50"/>
      <c r="VRU604" s="46"/>
      <c r="VRV604" s="47"/>
      <c r="VRW604" s="46"/>
      <c r="VRX604" s="48"/>
      <c r="VRY604" s="53"/>
      <c r="VSF604" s="15"/>
      <c r="VSG604" s="50"/>
      <c r="VSH604" s="50"/>
      <c r="VSI604" s="46"/>
      <c r="VSJ604" s="47"/>
      <c r="VSK604" s="46"/>
      <c r="VSL604" s="48"/>
      <c r="VSM604" s="53"/>
      <c r="VST604" s="15"/>
      <c r="VSU604" s="50"/>
      <c r="VSV604" s="50"/>
      <c r="VSW604" s="46"/>
      <c r="VSX604" s="47"/>
      <c r="VSY604" s="46"/>
      <c r="VSZ604" s="48"/>
      <c r="VTA604" s="53"/>
      <c r="VTH604" s="15"/>
      <c r="VTI604" s="50"/>
      <c r="VTJ604" s="50"/>
      <c r="VTK604" s="46"/>
      <c r="VTL604" s="47"/>
      <c r="VTM604" s="46"/>
      <c r="VTN604" s="48"/>
      <c r="VTO604" s="53"/>
      <c r="VTV604" s="15"/>
      <c r="VTW604" s="50"/>
      <c r="VTX604" s="50"/>
      <c r="VTY604" s="46"/>
      <c r="VTZ604" s="47"/>
      <c r="VUA604" s="46"/>
      <c r="VUB604" s="48"/>
      <c r="VUC604" s="53"/>
      <c r="VUJ604" s="15"/>
      <c r="VUK604" s="50"/>
      <c r="VUL604" s="50"/>
      <c r="VUM604" s="46"/>
      <c r="VUN604" s="47"/>
      <c r="VUO604" s="46"/>
      <c r="VUP604" s="48"/>
      <c r="VUQ604" s="53"/>
      <c r="VUX604" s="15"/>
      <c r="VUY604" s="50"/>
      <c r="VUZ604" s="50"/>
      <c r="VVA604" s="46"/>
      <c r="VVB604" s="47"/>
      <c r="VVC604" s="46"/>
      <c r="VVD604" s="48"/>
      <c r="VVE604" s="53"/>
      <c r="VVL604" s="15"/>
      <c r="VVM604" s="50"/>
      <c r="VVN604" s="50"/>
      <c r="VVO604" s="46"/>
      <c r="VVP604" s="47"/>
      <c r="VVQ604" s="46"/>
      <c r="VVR604" s="48"/>
      <c r="VVS604" s="53"/>
      <c r="VVZ604" s="15"/>
      <c r="VWA604" s="50"/>
      <c r="VWB604" s="50"/>
      <c r="VWC604" s="46"/>
      <c r="VWD604" s="47"/>
      <c r="VWE604" s="46"/>
      <c r="VWF604" s="48"/>
      <c r="VWG604" s="53"/>
      <c r="VWN604" s="15"/>
      <c r="VWO604" s="50"/>
      <c r="VWP604" s="50"/>
      <c r="VWQ604" s="46"/>
      <c r="VWR604" s="47"/>
      <c r="VWS604" s="46"/>
      <c r="VWT604" s="48"/>
      <c r="VWU604" s="53"/>
      <c r="VXB604" s="15"/>
      <c r="VXC604" s="50"/>
      <c r="VXD604" s="50"/>
      <c r="VXE604" s="46"/>
      <c r="VXF604" s="47"/>
      <c r="VXG604" s="46"/>
      <c r="VXH604" s="48"/>
      <c r="VXI604" s="53"/>
      <c r="VXP604" s="15"/>
      <c r="VXQ604" s="50"/>
      <c r="VXR604" s="50"/>
      <c r="VXS604" s="46"/>
      <c r="VXT604" s="47"/>
      <c r="VXU604" s="46"/>
      <c r="VXV604" s="48"/>
      <c r="VXW604" s="53"/>
      <c r="VYD604" s="15"/>
      <c r="VYE604" s="50"/>
      <c r="VYF604" s="50"/>
      <c r="VYG604" s="46"/>
      <c r="VYH604" s="47"/>
      <c r="VYI604" s="46"/>
      <c r="VYJ604" s="48"/>
      <c r="VYK604" s="53"/>
      <c r="VYR604" s="15"/>
      <c r="VYS604" s="50"/>
      <c r="VYT604" s="50"/>
      <c r="VYU604" s="46"/>
      <c r="VYV604" s="47"/>
      <c r="VYW604" s="46"/>
      <c r="VYX604" s="48"/>
      <c r="VYY604" s="53"/>
      <c r="VZF604" s="15"/>
      <c r="VZG604" s="50"/>
      <c r="VZH604" s="50"/>
      <c r="VZI604" s="46"/>
      <c r="VZJ604" s="47"/>
      <c r="VZK604" s="46"/>
      <c r="VZL604" s="48"/>
      <c r="VZM604" s="53"/>
      <c r="VZT604" s="15"/>
      <c r="VZU604" s="50"/>
      <c r="VZV604" s="50"/>
      <c r="VZW604" s="46"/>
      <c r="VZX604" s="47"/>
      <c r="VZY604" s="46"/>
      <c r="VZZ604" s="48"/>
      <c r="WAA604" s="53"/>
      <c r="WAH604" s="15"/>
      <c r="WAI604" s="50"/>
      <c r="WAJ604" s="50"/>
      <c r="WAK604" s="46"/>
      <c r="WAL604" s="47"/>
      <c r="WAM604" s="46"/>
      <c r="WAN604" s="48"/>
      <c r="WAO604" s="53"/>
      <c r="WAV604" s="15"/>
      <c r="WAW604" s="50"/>
      <c r="WAX604" s="50"/>
      <c r="WAY604" s="46"/>
      <c r="WAZ604" s="47"/>
      <c r="WBA604" s="46"/>
      <c r="WBB604" s="48"/>
      <c r="WBC604" s="53"/>
      <c r="WBJ604" s="15"/>
      <c r="WBK604" s="50"/>
      <c r="WBL604" s="50"/>
      <c r="WBM604" s="46"/>
      <c r="WBN604" s="47"/>
      <c r="WBO604" s="46"/>
      <c r="WBP604" s="48"/>
      <c r="WBQ604" s="53"/>
      <c r="WBX604" s="15"/>
      <c r="WBY604" s="50"/>
      <c r="WBZ604" s="50"/>
      <c r="WCA604" s="46"/>
      <c r="WCB604" s="47"/>
      <c r="WCC604" s="46"/>
      <c r="WCD604" s="48"/>
      <c r="WCE604" s="53"/>
      <c r="WCL604" s="15"/>
      <c r="WCM604" s="50"/>
      <c r="WCN604" s="50"/>
      <c r="WCO604" s="46"/>
      <c r="WCP604" s="47"/>
      <c r="WCQ604" s="46"/>
      <c r="WCR604" s="48"/>
      <c r="WCS604" s="53"/>
      <c r="WCZ604" s="15"/>
      <c r="WDA604" s="50"/>
      <c r="WDB604" s="50"/>
      <c r="WDC604" s="46"/>
      <c r="WDD604" s="47"/>
      <c r="WDE604" s="46"/>
      <c r="WDF604" s="48"/>
      <c r="WDG604" s="53"/>
      <c r="WDN604" s="15"/>
      <c r="WDO604" s="50"/>
      <c r="WDP604" s="50"/>
      <c r="WDQ604" s="46"/>
      <c r="WDR604" s="47"/>
      <c r="WDS604" s="46"/>
      <c r="WDT604" s="48"/>
      <c r="WDU604" s="53"/>
      <c r="WEB604" s="15"/>
      <c r="WEC604" s="50"/>
      <c r="WED604" s="50"/>
      <c r="WEE604" s="46"/>
      <c r="WEF604" s="47"/>
      <c r="WEG604" s="46"/>
      <c r="WEH604" s="48"/>
      <c r="WEI604" s="53"/>
      <c r="WEP604" s="15"/>
      <c r="WEQ604" s="50"/>
      <c r="WER604" s="50"/>
      <c r="WES604" s="46"/>
      <c r="WET604" s="47"/>
      <c r="WEU604" s="46"/>
      <c r="WEV604" s="48"/>
      <c r="WEW604" s="53"/>
      <c r="WFD604" s="15"/>
      <c r="WFE604" s="50"/>
      <c r="WFF604" s="50"/>
      <c r="WFG604" s="46"/>
      <c r="WFH604" s="47"/>
      <c r="WFI604" s="46"/>
      <c r="WFJ604" s="48"/>
      <c r="WFK604" s="53"/>
      <c r="WFR604" s="15"/>
      <c r="WFS604" s="50"/>
      <c r="WFT604" s="50"/>
      <c r="WFU604" s="46"/>
      <c r="WFV604" s="47"/>
      <c r="WFW604" s="46"/>
      <c r="WFX604" s="48"/>
      <c r="WFY604" s="53"/>
      <c r="WGF604" s="15"/>
      <c r="WGG604" s="50"/>
      <c r="WGH604" s="50"/>
      <c r="WGI604" s="46"/>
      <c r="WGJ604" s="47"/>
      <c r="WGK604" s="46"/>
      <c r="WGL604" s="48"/>
      <c r="WGM604" s="53"/>
      <c r="WGT604" s="15"/>
      <c r="WGU604" s="50"/>
      <c r="WGV604" s="50"/>
      <c r="WGW604" s="46"/>
      <c r="WGX604" s="47"/>
      <c r="WGY604" s="46"/>
      <c r="WGZ604" s="48"/>
      <c r="WHA604" s="53"/>
      <c r="WHH604" s="15"/>
      <c r="WHI604" s="50"/>
      <c r="WHJ604" s="50"/>
      <c r="WHK604" s="46"/>
      <c r="WHL604" s="47"/>
      <c r="WHM604" s="46"/>
      <c r="WHN604" s="48"/>
      <c r="WHO604" s="53"/>
      <c r="WHV604" s="15"/>
      <c r="WHW604" s="50"/>
      <c r="WHX604" s="50"/>
      <c r="WHY604" s="46"/>
      <c r="WHZ604" s="47"/>
      <c r="WIA604" s="46"/>
      <c r="WIB604" s="48"/>
      <c r="WIC604" s="53"/>
      <c r="WIJ604" s="15"/>
      <c r="WIK604" s="50"/>
      <c r="WIL604" s="50"/>
      <c r="WIM604" s="46"/>
      <c r="WIN604" s="47"/>
      <c r="WIO604" s="46"/>
      <c r="WIP604" s="48"/>
      <c r="WIQ604" s="53"/>
      <c r="WIX604" s="15"/>
      <c r="WIY604" s="50"/>
      <c r="WIZ604" s="50"/>
      <c r="WJA604" s="46"/>
      <c r="WJB604" s="47"/>
      <c r="WJC604" s="46"/>
      <c r="WJD604" s="48"/>
      <c r="WJE604" s="53"/>
      <c r="WJL604" s="15"/>
      <c r="WJM604" s="50"/>
      <c r="WJN604" s="50"/>
      <c r="WJO604" s="46"/>
      <c r="WJP604" s="47"/>
      <c r="WJQ604" s="46"/>
      <c r="WJR604" s="48"/>
      <c r="WJS604" s="53"/>
      <c r="WJZ604" s="15"/>
      <c r="WKA604" s="50"/>
      <c r="WKB604" s="50"/>
      <c r="WKC604" s="46"/>
      <c r="WKD604" s="47"/>
      <c r="WKE604" s="46"/>
      <c r="WKF604" s="48"/>
      <c r="WKG604" s="53"/>
      <c r="WKN604" s="15"/>
      <c r="WKO604" s="50"/>
      <c r="WKP604" s="50"/>
      <c r="WKQ604" s="46"/>
      <c r="WKR604" s="47"/>
      <c r="WKS604" s="46"/>
      <c r="WKT604" s="48"/>
      <c r="WKU604" s="53"/>
      <c r="WLB604" s="15"/>
      <c r="WLC604" s="50"/>
      <c r="WLD604" s="50"/>
      <c r="WLE604" s="46"/>
      <c r="WLF604" s="47"/>
      <c r="WLG604" s="46"/>
      <c r="WLH604" s="48"/>
      <c r="WLI604" s="53"/>
      <c r="WLP604" s="15"/>
      <c r="WLQ604" s="50"/>
      <c r="WLR604" s="50"/>
      <c r="WLS604" s="46"/>
      <c r="WLT604" s="47"/>
      <c r="WLU604" s="46"/>
      <c r="WLV604" s="48"/>
      <c r="WLW604" s="53"/>
      <c r="WMD604" s="15"/>
      <c r="WME604" s="50"/>
      <c r="WMF604" s="50"/>
      <c r="WMG604" s="46"/>
      <c r="WMH604" s="47"/>
      <c r="WMI604" s="46"/>
      <c r="WMJ604" s="48"/>
      <c r="WMK604" s="53"/>
      <c r="WMR604" s="15"/>
      <c r="WMS604" s="50"/>
      <c r="WMT604" s="50"/>
      <c r="WMU604" s="46"/>
      <c r="WMV604" s="47"/>
      <c r="WMW604" s="46"/>
      <c r="WMX604" s="48"/>
      <c r="WMY604" s="53"/>
      <c r="WNF604" s="15"/>
      <c r="WNG604" s="50"/>
      <c r="WNH604" s="50"/>
      <c r="WNI604" s="46"/>
      <c r="WNJ604" s="47"/>
      <c r="WNK604" s="46"/>
      <c r="WNL604" s="48"/>
      <c r="WNM604" s="53"/>
      <c r="WNT604" s="15"/>
      <c r="WNU604" s="50"/>
      <c r="WNV604" s="50"/>
      <c r="WNW604" s="46"/>
      <c r="WNX604" s="47"/>
      <c r="WNY604" s="46"/>
      <c r="WNZ604" s="48"/>
      <c r="WOA604" s="53"/>
      <c r="WOH604" s="15"/>
      <c r="WOI604" s="50"/>
      <c r="WOJ604" s="50"/>
      <c r="WOK604" s="46"/>
      <c r="WOL604" s="47"/>
      <c r="WOM604" s="46"/>
      <c r="WON604" s="48"/>
      <c r="WOO604" s="53"/>
      <c r="WOV604" s="15"/>
      <c r="WOW604" s="50"/>
      <c r="WOX604" s="50"/>
      <c r="WOY604" s="46"/>
      <c r="WOZ604" s="47"/>
      <c r="WPA604" s="46"/>
      <c r="WPB604" s="48"/>
      <c r="WPC604" s="53"/>
      <c r="WPJ604" s="15"/>
      <c r="WPK604" s="50"/>
      <c r="WPL604" s="50"/>
      <c r="WPM604" s="46"/>
      <c r="WPN604" s="47"/>
      <c r="WPO604" s="46"/>
      <c r="WPP604" s="48"/>
      <c r="WPQ604" s="53"/>
      <c r="WPX604" s="15"/>
      <c r="WPY604" s="50"/>
      <c r="WPZ604" s="50"/>
      <c r="WQA604" s="46"/>
      <c r="WQB604" s="47"/>
      <c r="WQC604" s="46"/>
      <c r="WQD604" s="48"/>
      <c r="WQE604" s="53"/>
      <c r="WQL604" s="15"/>
      <c r="WQM604" s="50"/>
      <c r="WQN604" s="50"/>
      <c r="WQO604" s="46"/>
      <c r="WQP604" s="47"/>
      <c r="WQQ604" s="46"/>
      <c r="WQR604" s="48"/>
      <c r="WQS604" s="53"/>
      <c r="WQZ604" s="15"/>
      <c r="WRA604" s="50"/>
      <c r="WRB604" s="50"/>
      <c r="WRC604" s="46"/>
      <c r="WRD604" s="47"/>
      <c r="WRE604" s="46"/>
      <c r="WRF604" s="48"/>
      <c r="WRG604" s="53"/>
      <c r="WRN604" s="15"/>
      <c r="WRO604" s="50"/>
      <c r="WRP604" s="50"/>
      <c r="WRQ604" s="46"/>
      <c r="WRR604" s="47"/>
      <c r="WRS604" s="46"/>
      <c r="WRT604" s="48"/>
      <c r="WRU604" s="53"/>
      <c r="WSB604" s="15"/>
      <c r="WSC604" s="50"/>
      <c r="WSD604" s="50"/>
      <c r="WSE604" s="46"/>
      <c r="WSF604" s="47"/>
      <c r="WSG604" s="46"/>
      <c r="WSH604" s="48"/>
      <c r="WSI604" s="53"/>
      <c r="WSP604" s="15"/>
      <c r="WSQ604" s="50"/>
      <c r="WSR604" s="50"/>
      <c r="WSS604" s="46"/>
      <c r="WST604" s="47"/>
      <c r="WSU604" s="46"/>
      <c r="WSV604" s="48"/>
      <c r="WSW604" s="53"/>
      <c r="WTD604" s="15"/>
      <c r="WTE604" s="50"/>
      <c r="WTF604" s="50"/>
      <c r="WTG604" s="46"/>
      <c r="WTH604" s="47"/>
      <c r="WTI604" s="46"/>
      <c r="WTJ604" s="48"/>
      <c r="WTK604" s="53"/>
      <c r="WTR604" s="15"/>
      <c r="WTS604" s="50"/>
      <c r="WTT604" s="50"/>
      <c r="WTU604" s="46"/>
      <c r="WTV604" s="47"/>
      <c r="WTW604" s="46"/>
      <c r="WTX604" s="48"/>
      <c r="WTY604" s="53"/>
      <c r="WUF604" s="15"/>
      <c r="WUG604" s="50"/>
      <c r="WUH604" s="50"/>
      <c r="WUI604" s="46"/>
      <c r="WUJ604" s="47"/>
      <c r="WUK604" s="46"/>
      <c r="WUL604" s="48"/>
      <c r="WUM604" s="53"/>
      <c r="WUT604" s="15"/>
      <c r="WUU604" s="50"/>
      <c r="WUV604" s="50"/>
      <c r="WUW604" s="46"/>
      <c r="WUX604" s="47"/>
      <c r="WUY604" s="46"/>
      <c r="WUZ604" s="48"/>
      <c r="WVA604" s="53"/>
      <c r="WVH604" s="15"/>
      <c r="WVI604" s="50"/>
      <c r="WVJ604" s="50"/>
      <c r="WVK604" s="46"/>
      <c r="WVL604" s="47"/>
      <c r="WVM604" s="46"/>
      <c r="WVN604" s="48"/>
      <c r="WVO604" s="53"/>
      <c r="WVV604" s="15"/>
      <c r="WVW604" s="50"/>
      <c r="WVX604" s="50"/>
      <c r="WVY604" s="46"/>
      <c r="WVZ604" s="47"/>
      <c r="WWA604" s="46"/>
      <c r="WWB604" s="48"/>
      <c r="WWC604" s="53"/>
      <c r="WWJ604" s="15"/>
      <c r="WWK604" s="50"/>
      <c r="WWL604" s="50"/>
      <c r="WWM604" s="46"/>
      <c r="WWN604" s="47"/>
      <c r="WWO604" s="46"/>
      <c r="WWP604" s="48"/>
      <c r="WWQ604" s="53"/>
      <c r="WWX604" s="15"/>
      <c r="WWY604" s="50"/>
      <c r="WWZ604" s="50"/>
      <c r="WXA604" s="46"/>
      <c r="WXB604" s="47"/>
      <c r="WXC604" s="46"/>
      <c r="WXD604" s="48"/>
      <c r="WXE604" s="53"/>
      <c r="WXL604" s="15"/>
      <c r="WXM604" s="50"/>
      <c r="WXN604" s="50"/>
      <c r="WXO604" s="46"/>
      <c r="WXP604" s="47"/>
      <c r="WXQ604" s="46"/>
      <c r="WXR604" s="48"/>
      <c r="WXS604" s="53"/>
      <c r="WXZ604" s="15"/>
      <c r="WYA604" s="50"/>
      <c r="WYB604" s="50"/>
      <c r="WYC604" s="46"/>
      <c r="WYD604" s="47"/>
      <c r="WYE604" s="46"/>
      <c r="WYF604" s="48"/>
      <c r="WYG604" s="53"/>
      <c r="WYN604" s="15"/>
      <c r="WYO604" s="50"/>
      <c r="WYP604" s="50"/>
      <c r="WYQ604" s="46"/>
      <c r="WYR604" s="47"/>
      <c r="WYS604" s="46"/>
      <c r="WYT604" s="48"/>
      <c r="WYU604" s="53"/>
      <c r="WZB604" s="15"/>
      <c r="WZC604" s="50"/>
      <c r="WZD604" s="50"/>
      <c r="WZE604" s="46"/>
      <c r="WZF604" s="47"/>
      <c r="WZG604" s="46"/>
      <c r="WZH604" s="48"/>
      <c r="WZI604" s="53"/>
      <c r="WZP604" s="15"/>
      <c r="WZQ604" s="50"/>
      <c r="WZR604" s="50"/>
      <c r="WZS604" s="46"/>
      <c r="WZT604" s="47"/>
      <c r="WZU604" s="46"/>
      <c r="WZV604" s="48"/>
      <c r="WZW604" s="53"/>
      <c r="XAD604" s="15"/>
      <c r="XAE604" s="50"/>
      <c r="XAF604" s="50"/>
      <c r="XAG604" s="46"/>
      <c r="XAH604" s="47"/>
      <c r="XAI604" s="46"/>
      <c r="XAJ604" s="48"/>
      <c r="XAK604" s="53"/>
      <c r="XAR604" s="15"/>
      <c r="XAS604" s="50"/>
      <c r="XAT604" s="50"/>
      <c r="XAU604" s="46"/>
      <c r="XAV604" s="47"/>
      <c r="XAW604" s="46"/>
      <c r="XAX604" s="48"/>
      <c r="XAY604" s="53"/>
      <c r="XBF604" s="15"/>
      <c r="XBG604" s="50"/>
      <c r="XBH604" s="50"/>
      <c r="XBI604" s="46"/>
      <c r="XBJ604" s="47"/>
      <c r="XBK604" s="46"/>
      <c r="XBL604" s="48"/>
      <c r="XBM604" s="53"/>
      <c r="XBT604" s="15"/>
      <c r="XBU604" s="50"/>
      <c r="XBV604" s="50"/>
      <c r="XBW604" s="46"/>
      <c r="XBX604" s="47"/>
      <c r="XBY604" s="46"/>
      <c r="XBZ604" s="48"/>
      <c r="XCA604" s="53"/>
      <c r="XCH604" s="15"/>
      <c r="XCI604" s="50"/>
      <c r="XCJ604" s="50"/>
      <c r="XCK604" s="46"/>
      <c r="XCL604" s="47"/>
      <c r="XCM604" s="46"/>
      <c r="XCN604" s="48"/>
      <c r="XCO604" s="53"/>
      <c r="XCV604" s="15"/>
      <c r="XCW604" s="50"/>
      <c r="XCX604" s="50"/>
      <c r="XCY604" s="46"/>
      <c r="XCZ604" s="47"/>
      <c r="XDA604" s="46"/>
      <c r="XDB604" s="48"/>
      <c r="XDC604" s="53"/>
      <c r="XDJ604" s="15"/>
      <c r="XDK604" s="50"/>
      <c r="XDL604" s="50"/>
      <c r="XDM604" s="46"/>
      <c r="XDN604" s="47"/>
      <c r="XDO604" s="46"/>
      <c r="XDP604" s="48"/>
      <c r="XDQ604" s="53"/>
      <c r="XDX604" s="15"/>
      <c r="XDY604" s="50"/>
      <c r="XDZ604" s="50"/>
      <c r="XEA604" s="46"/>
      <c r="XEB604" s="47"/>
      <c r="XEC604" s="46"/>
      <c r="XED604" s="48"/>
      <c r="XEE604" s="53"/>
      <c r="XEL604" s="15"/>
      <c r="XEM604" s="50"/>
      <c r="XEN604" s="50"/>
      <c r="XEO604" s="46"/>
      <c r="XEP604" s="47"/>
      <c r="XEQ604" s="46"/>
      <c r="XER604" s="48"/>
      <c r="XES604" s="53"/>
      <c r="XEZ604" s="15"/>
      <c r="XFA604" s="50"/>
      <c r="XFB604" s="50"/>
      <c r="XFC604" s="46"/>
    </row>
    <row r="605" spans="1:4095 4102:5117 5124:6139 6146:11263 11270:12285 12292:13307 13314:16383" ht="16.2" x14ac:dyDescent="0.4">
      <c r="A605" s="15" t="str">
        <f t="shared" si="9"/>
        <v>modesg_inp_km_medios_emss_vclsmedia_scp3_emss</v>
      </c>
      <c r="B605" s="59" t="s">
        <v>27</v>
      </c>
      <c r="C605" s="60" t="s">
        <v>29</v>
      </c>
      <c r="D605" s="61" t="s">
        <v>431</v>
      </c>
      <c r="E605" s="62" t="s">
        <v>37</v>
      </c>
      <c r="F605" s="61" t="s">
        <v>495</v>
      </c>
      <c r="G605" s="63" t="s">
        <v>426</v>
      </c>
      <c r="H605" s="48" t="s">
        <v>426</v>
      </c>
      <c r="I605" s="64" t="s">
        <v>482</v>
      </c>
      <c r="J605" s="68" t="s">
        <v>514</v>
      </c>
      <c r="K605" s="68" t="s">
        <v>514</v>
      </c>
      <c r="L605" s="68"/>
      <c r="N605" s="15"/>
      <c r="O605" s="50"/>
      <c r="P605" s="50"/>
      <c r="Q605" s="46"/>
      <c r="R605" s="47"/>
      <c r="S605" s="46"/>
      <c r="T605" s="48"/>
      <c r="U605" s="53"/>
      <c r="AB605" s="15"/>
      <c r="AC605" s="50"/>
      <c r="AD605" s="50"/>
      <c r="AE605" s="46"/>
      <c r="AF605" s="47"/>
      <c r="AG605" s="46"/>
      <c r="AH605" s="48"/>
      <c r="AI605" s="53"/>
      <c r="AP605" s="15"/>
      <c r="AQ605" s="50"/>
      <c r="AR605" s="50"/>
      <c r="AS605" s="46"/>
      <c r="AT605" s="47"/>
      <c r="AU605" s="46"/>
      <c r="AV605" s="48"/>
      <c r="AW605" s="53"/>
      <c r="BD605" s="15"/>
      <c r="BE605" s="50"/>
      <c r="BF605" s="50"/>
      <c r="BG605" s="46"/>
      <c r="BH605" s="47"/>
      <c r="BI605" s="46"/>
      <c r="BJ605" s="48"/>
      <c r="BK605" s="53"/>
      <c r="BR605" s="15"/>
      <c r="BS605" s="50"/>
      <c r="BT605" s="50"/>
      <c r="BU605" s="46"/>
      <c r="BV605" s="47"/>
      <c r="BW605" s="46"/>
      <c r="BX605" s="48"/>
      <c r="BY605" s="53"/>
      <c r="CF605" s="15"/>
      <c r="CG605" s="50"/>
      <c r="CH605" s="50"/>
      <c r="CI605" s="46"/>
      <c r="CJ605" s="47"/>
      <c r="CK605" s="46"/>
      <c r="CL605" s="48"/>
      <c r="CM605" s="53"/>
      <c r="CT605" s="15"/>
      <c r="CU605" s="50"/>
      <c r="CV605" s="50"/>
      <c r="CW605" s="46"/>
      <c r="CX605" s="47"/>
      <c r="CY605" s="46"/>
      <c r="CZ605" s="48"/>
      <c r="DA605" s="53"/>
      <c r="DH605" s="15"/>
      <c r="DI605" s="50"/>
      <c r="DJ605" s="50"/>
      <c r="DK605" s="46"/>
      <c r="DL605" s="47"/>
      <c r="DM605" s="46"/>
      <c r="DN605" s="48"/>
      <c r="DO605" s="53"/>
      <c r="DV605" s="15"/>
      <c r="DW605" s="50"/>
      <c r="DX605" s="50"/>
      <c r="DY605" s="46"/>
      <c r="DZ605" s="47"/>
      <c r="EA605" s="46"/>
      <c r="EB605" s="48"/>
      <c r="EC605" s="53"/>
      <c r="EJ605" s="15"/>
      <c r="EK605" s="50"/>
      <c r="EL605" s="50"/>
      <c r="EM605" s="46"/>
      <c r="EN605" s="47"/>
      <c r="EO605" s="46"/>
      <c r="EP605" s="48"/>
      <c r="EQ605" s="53"/>
      <c r="EX605" s="15"/>
      <c r="EY605" s="50"/>
      <c r="EZ605" s="50"/>
      <c r="FA605" s="46"/>
      <c r="FB605" s="47"/>
      <c r="FC605" s="46"/>
      <c r="FD605" s="48"/>
      <c r="FE605" s="53"/>
      <c r="FL605" s="15"/>
      <c r="FM605" s="50"/>
      <c r="FN605" s="50"/>
      <c r="FO605" s="46"/>
      <c r="FP605" s="47"/>
      <c r="FQ605" s="46"/>
      <c r="FR605" s="48"/>
      <c r="FS605" s="53"/>
      <c r="FZ605" s="15"/>
      <c r="GA605" s="50"/>
      <c r="GB605" s="50"/>
      <c r="GC605" s="46"/>
      <c r="GD605" s="47"/>
      <c r="GE605" s="46"/>
      <c r="GF605" s="48"/>
      <c r="GG605" s="53"/>
      <c r="GN605" s="15"/>
      <c r="GO605" s="50"/>
      <c r="GP605" s="50"/>
      <c r="GQ605" s="46"/>
      <c r="GR605" s="47"/>
      <c r="GS605" s="46"/>
      <c r="GT605" s="48"/>
      <c r="GU605" s="53"/>
      <c r="HB605" s="15"/>
      <c r="HC605" s="50"/>
      <c r="HD605" s="50"/>
      <c r="HE605" s="46"/>
      <c r="HF605" s="47"/>
      <c r="HG605" s="46"/>
      <c r="HH605" s="48"/>
      <c r="HI605" s="53"/>
      <c r="HP605" s="15"/>
      <c r="HQ605" s="50"/>
      <c r="HR605" s="50"/>
      <c r="HS605" s="46"/>
      <c r="HT605" s="47"/>
      <c r="HU605" s="46"/>
      <c r="HV605" s="48"/>
      <c r="HW605" s="53"/>
      <c r="ID605" s="15"/>
      <c r="IE605" s="50"/>
      <c r="IF605" s="50"/>
      <c r="IG605" s="46"/>
      <c r="IH605" s="47"/>
      <c r="II605" s="46"/>
      <c r="IJ605" s="48"/>
      <c r="IK605" s="53"/>
      <c r="IR605" s="15"/>
      <c r="IS605" s="50"/>
      <c r="IT605" s="50"/>
      <c r="IU605" s="46"/>
      <c r="IV605" s="47"/>
      <c r="IW605" s="46"/>
      <c r="IX605" s="48"/>
      <c r="IY605" s="53"/>
      <c r="JF605" s="15"/>
      <c r="JG605" s="50"/>
      <c r="JH605" s="50"/>
      <c r="JI605" s="46"/>
      <c r="JJ605" s="47"/>
      <c r="JK605" s="46"/>
      <c r="JL605" s="48"/>
      <c r="JM605" s="53"/>
      <c r="JT605" s="15"/>
      <c r="JU605" s="50"/>
      <c r="JV605" s="50"/>
      <c r="JW605" s="46"/>
      <c r="JX605" s="47"/>
      <c r="JY605" s="46"/>
      <c r="JZ605" s="48"/>
      <c r="KA605" s="53"/>
      <c r="KH605" s="15"/>
      <c r="KI605" s="50"/>
      <c r="KJ605" s="50"/>
      <c r="KK605" s="46"/>
      <c r="KL605" s="47"/>
      <c r="KM605" s="46"/>
      <c r="KN605" s="48"/>
      <c r="KO605" s="53"/>
      <c r="KV605" s="15"/>
      <c r="KW605" s="50"/>
      <c r="KX605" s="50"/>
      <c r="KY605" s="46"/>
      <c r="KZ605" s="47"/>
      <c r="LA605" s="46"/>
      <c r="LB605" s="48"/>
      <c r="LC605" s="53"/>
      <c r="LJ605" s="15"/>
      <c r="LK605" s="50"/>
      <c r="LL605" s="50"/>
      <c r="LM605" s="46"/>
      <c r="LN605" s="47"/>
      <c r="LO605" s="46"/>
      <c r="LP605" s="48"/>
      <c r="LQ605" s="53"/>
      <c r="LX605" s="15"/>
      <c r="LY605" s="50"/>
      <c r="LZ605" s="50"/>
      <c r="MA605" s="46"/>
      <c r="MB605" s="47"/>
      <c r="MC605" s="46"/>
      <c r="MD605" s="48"/>
      <c r="ME605" s="53"/>
      <c r="ML605" s="15"/>
      <c r="MM605" s="50"/>
      <c r="MN605" s="50"/>
      <c r="MO605" s="46"/>
      <c r="MP605" s="47"/>
      <c r="MQ605" s="46"/>
      <c r="MR605" s="48"/>
      <c r="MS605" s="53"/>
      <c r="MZ605" s="15"/>
      <c r="NA605" s="50"/>
      <c r="NB605" s="50"/>
      <c r="NC605" s="46"/>
      <c r="ND605" s="47"/>
      <c r="NE605" s="46"/>
      <c r="NF605" s="48"/>
      <c r="NG605" s="53"/>
      <c r="NN605" s="15"/>
      <c r="NO605" s="50"/>
      <c r="NP605" s="50"/>
      <c r="NQ605" s="46"/>
      <c r="NR605" s="47"/>
      <c r="NS605" s="46"/>
      <c r="NT605" s="48"/>
      <c r="NU605" s="53"/>
      <c r="OB605" s="15"/>
      <c r="OC605" s="50"/>
      <c r="OD605" s="50"/>
      <c r="OE605" s="46"/>
      <c r="OF605" s="47"/>
      <c r="OG605" s="46"/>
      <c r="OH605" s="48"/>
      <c r="OI605" s="53"/>
      <c r="OP605" s="15"/>
      <c r="OQ605" s="50"/>
      <c r="OR605" s="50"/>
      <c r="OS605" s="46"/>
      <c r="OT605" s="47"/>
      <c r="OU605" s="46"/>
      <c r="OV605" s="48"/>
      <c r="OW605" s="53"/>
      <c r="PD605" s="15"/>
      <c r="PE605" s="50"/>
      <c r="PF605" s="50"/>
      <c r="PG605" s="46"/>
      <c r="PH605" s="47"/>
      <c r="PI605" s="46"/>
      <c r="PJ605" s="48"/>
      <c r="PK605" s="53"/>
      <c r="PR605" s="15"/>
      <c r="PS605" s="50"/>
      <c r="PT605" s="50"/>
      <c r="PU605" s="46"/>
      <c r="PV605" s="47"/>
      <c r="PW605" s="46"/>
      <c r="PX605" s="48"/>
      <c r="PY605" s="53"/>
      <c r="QF605" s="15"/>
      <c r="QG605" s="50"/>
      <c r="QH605" s="50"/>
      <c r="QI605" s="46"/>
      <c r="QJ605" s="47"/>
      <c r="QK605" s="46"/>
      <c r="QL605" s="48"/>
      <c r="QM605" s="53"/>
      <c r="QT605" s="15"/>
      <c r="QU605" s="50"/>
      <c r="QV605" s="50"/>
      <c r="QW605" s="46"/>
      <c r="QX605" s="47"/>
      <c r="QY605" s="46"/>
      <c r="QZ605" s="48"/>
      <c r="RA605" s="53"/>
      <c r="RH605" s="15"/>
      <c r="RI605" s="50"/>
      <c r="RJ605" s="50"/>
      <c r="RK605" s="46"/>
      <c r="RL605" s="47"/>
      <c r="RM605" s="46"/>
      <c r="RN605" s="48"/>
      <c r="RO605" s="53"/>
      <c r="RV605" s="15"/>
      <c r="RW605" s="50"/>
      <c r="RX605" s="50"/>
      <c r="RY605" s="46"/>
      <c r="RZ605" s="47"/>
      <c r="SA605" s="46"/>
      <c r="SB605" s="48"/>
      <c r="SC605" s="53"/>
      <c r="SJ605" s="15"/>
      <c r="SK605" s="50"/>
      <c r="SL605" s="50"/>
      <c r="SM605" s="46"/>
      <c r="SN605" s="47"/>
      <c r="SO605" s="46"/>
      <c r="SP605" s="48"/>
      <c r="SQ605" s="53"/>
      <c r="SX605" s="15"/>
      <c r="SY605" s="50"/>
      <c r="SZ605" s="50"/>
      <c r="TA605" s="46"/>
      <c r="TB605" s="47"/>
      <c r="TC605" s="46"/>
      <c r="TD605" s="48"/>
      <c r="TE605" s="53"/>
      <c r="TL605" s="15"/>
      <c r="TM605" s="50"/>
      <c r="TN605" s="50"/>
      <c r="TO605" s="46"/>
      <c r="TP605" s="47"/>
      <c r="TQ605" s="46"/>
      <c r="TR605" s="48"/>
      <c r="TS605" s="53"/>
      <c r="TZ605" s="15"/>
      <c r="UA605" s="50"/>
      <c r="UB605" s="50"/>
      <c r="UC605" s="46"/>
      <c r="UD605" s="47"/>
      <c r="UE605" s="46"/>
      <c r="UF605" s="48"/>
      <c r="UG605" s="53"/>
      <c r="UN605" s="15"/>
      <c r="UO605" s="50"/>
      <c r="UP605" s="50"/>
      <c r="UQ605" s="46"/>
      <c r="UR605" s="47"/>
      <c r="US605" s="46"/>
      <c r="UT605" s="48"/>
      <c r="UU605" s="53"/>
      <c r="VB605" s="15"/>
      <c r="VC605" s="50"/>
      <c r="VD605" s="50"/>
      <c r="VE605" s="46"/>
      <c r="VF605" s="47"/>
      <c r="VG605" s="46"/>
      <c r="VH605" s="48"/>
      <c r="VI605" s="53"/>
      <c r="VP605" s="15"/>
      <c r="VQ605" s="50"/>
      <c r="VR605" s="50"/>
      <c r="VS605" s="46"/>
      <c r="VT605" s="47"/>
      <c r="VU605" s="46"/>
      <c r="VV605" s="48"/>
      <c r="VW605" s="53"/>
      <c r="WD605" s="15"/>
      <c r="WE605" s="50"/>
      <c r="WF605" s="50"/>
      <c r="WG605" s="46"/>
      <c r="WH605" s="47"/>
      <c r="WI605" s="46"/>
      <c r="WJ605" s="48"/>
      <c r="WK605" s="53"/>
      <c r="WR605" s="15"/>
      <c r="WS605" s="50"/>
      <c r="WT605" s="50"/>
      <c r="WU605" s="46"/>
      <c r="WV605" s="47"/>
      <c r="WW605" s="46"/>
      <c r="WX605" s="48"/>
      <c r="WY605" s="53"/>
      <c r="XF605" s="15"/>
      <c r="XG605" s="50"/>
      <c r="XH605" s="50"/>
      <c r="XI605" s="46"/>
      <c r="XJ605" s="47"/>
      <c r="XK605" s="46"/>
      <c r="XL605" s="48"/>
      <c r="XM605" s="53"/>
      <c r="XT605" s="15"/>
      <c r="XU605" s="50"/>
      <c r="XV605" s="50"/>
      <c r="XW605" s="46"/>
      <c r="XX605" s="47"/>
      <c r="XY605" s="46"/>
      <c r="XZ605" s="48"/>
      <c r="YA605" s="53"/>
      <c r="YH605" s="15"/>
      <c r="YI605" s="50"/>
      <c r="YJ605" s="50"/>
      <c r="YK605" s="46"/>
      <c r="YL605" s="47"/>
      <c r="YM605" s="46"/>
      <c r="YN605" s="48"/>
      <c r="YO605" s="53"/>
      <c r="YV605" s="15"/>
      <c r="YW605" s="50"/>
      <c r="YX605" s="50"/>
      <c r="YY605" s="46"/>
      <c r="YZ605" s="47"/>
      <c r="ZA605" s="46"/>
      <c r="ZB605" s="48"/>
      <c r="ZC605" s="53"/>
      <c r="ZJ605" s="15"/>
      <c r="ZK605" s="50"/>
      <c r="ZL605" s="50"/>
      <c r="ZM605" s="46"/>
      <c r="ZN605" s="47"/>
      <c r="ZO605" s="46"/>
      <c r="ZP605" s="48"/>
      <c r="ZQ605" s="53"/>
      <c r="ZX605" s="15"/>
      <c r="ZY605" s="50"/>
      <c r="ZZ605" s="50"/>
      <c r="AAA605" s="46"/>
      <c r="AAB605" s="47"/>
      <c r="AAC605" s="46"/>
      <c r="AAD605" s="48"/>
      <c r="AAE605" s="53"/>
      <c r="AAL605" s="15"/>
      <c r="AAM605" s="50"/>
      <c r="AAN605" s="50"/>
      <c r="AAO605" s="46"/>
      <c r="AAP605" s="47"/>
      <c r="AAQ605" s="46"/>
      <c r="AAR605" s="48"/>
      <c r="AAS605" s="53"/>
      <c r="AAZ605" s="15"/>
      <c r="ABA605" s="50"/>
      <c r="ABB605" s="50"/>
      <c r="ABC605" s="46"/>
      <c r="ABD605" s="47"/>
      <c r="ABE605" s="46"/>
      <c r="ABF605" s="48"/>
      <c r="ABG605" s="53"/>
      <c r="ABN605" s="15"/>
      <c r="ABO605" s="50"/>
      <c r="ABP605" s="50"/>
      <c r="ABQ605" s="46"/>
      <c r="ABR605" s="47"/>
      <c r="ABS605" s="46"/>
      <c r="ABT605" s="48"/>
      <c r="ABU605" s="53"/>
      <c r="ACB605" s="15"/>
      <c r="ACC605" s="50"/>
      <c r="ACD605" s="50"/>
      <c r="ACE605" s="46"/>
      <c r="ACF605" s="47"/>
      <c r="ACG605" s="46"/>
      <c r="ACH605" s="48"/>
      <c r="ACI605" s="53"/>
      <c r="ACP605" s="15"/>
      <c r="ACQ605" s="50"/>
      <c r="ACR605" s="50"/>
      <c r="ACS605" s="46"/>
      <c r="ACT605" s="47"/>
      <c r="ACU605" s="46"/>
      <c r="ACV605" s="48"/>
      <c r="ACW605" s="53"/>
      <c r="ADD605" s="15"/>
      <c r="ADE605" s="50"/>
      <c r="ADF605" s="50"/>
      <c r="ADG605" s="46"/>
      <c r="ADH605" s="47"/>
      <c r="ADI605" s="46"/>
      <c r="ADJ605" s="48"/>
      <c r="ADK605" s="53"/>
      <c r="ADR605" s="15"/>
      <c r="ADS605" s="50"/>
      <c r="ADT605" s="50"/>
      <c r="ADU605" s="46"/>
      <c r="ADV605" s="47"/>
      <c r="ADW605" s="46"/>
      <c r="ADX605" s="48"/>
      <c r="ADY605" s="53"/>
      <c r="AEF605" s="15"/>
      <c r="AEG605" s="50"/>
      <c r="AEH605" s="50"/>
      <c r="AEI605" s="46"/>
      <c r="AEJ605" s="47"/>
      <c r="AEK605" s="46"/>
      <c r="AEL605" s="48"/>
      <c r="AEM605" s="53"/>
      <c r="AET605" s="15"/>
      <c r="AEU605" s="50"/>
      <c r="AEV605" s="50"/>
      <c r="AEW605" s="46"/>
      <c r="AEX605" s="47"/>
      <c r="AEY605" s="46"/>
      <c r="AEZ605" s="48"/>
      <c r="AFA605" s="53"/>
      <c r="AFH605" s="15"/>
      <c r="AFI605" s="50"/>
      <c r="AFJ605" s="50"/>
      <c r="AFK605" s="46"/>
      <c r="AFL605" s="47"/>
      <c r="AFM605" s="46"/>
      <c r="AFN605" s="48"/>
      <c r="AFO605" s="53"/>
      <c r="AFV605" s="15"/>
      <c r="AFW605" s="50"/>
      <c r="AFX605" s="50"/>
      <c r="AFY605" s="46"/>
      <c r="AFZ605" s="47"/>
      <c r="AGA605" s="46"/>
      <c r="AGB605" s="48"/>
      <c r="AGC605" s="53"/>
      <c r="AGJ605" s="15"/>
      <c r="AGK605" s="50"/>
      <c r="AGL605" s="50"/>
      <c r="AGM605" s="46"/>
      <c r="AGN605" s="47"/>
      <c r="AGO605" s="46"/>
      <c r="AGP605" s="48"/>
      <c r="AGQ605" s="53"/>
      <c r="AGX605" s="15"/>
      <c r="AGY605" s="50"/>
      <c r="AGZ605" s="50"/>
      <c r="AHA605" s="46"/>
      <c r="AHB605" s="47"/>
      <c r="AHC605" s="46"/>
      <c r="AHD605" s="48"/>
      <c r="AHE605" s="53"/>
      <c r="AHL605" s="15"/>
      <c r="AHM605" s="50"/>
      <c r="AHN605" s="50"/>
      <c r="AHO605" s="46"/>
      <c r="AHP605" s="47"/>
      <c r="AHQ605" s="46"/>
      <c r="AHR605" s="48"/>
      <c r="AHS605" s="53"/>
      <c r="AHZ605" s="15"/>
      <c r="AIA605" s="50"/>
      <c r="AIB605" s="50"/>
      <c r="AIC605" s="46"/>
      <c r="AID605" s="47"/>
      <c r="AIE605" s="46"/>
      <c r="AIF605" s="48"/>
      <c r="AIG605" s="53"/>
      <c r="AIN605" s="15"/>
      <c r="AIO605" s="50"/>
      <c r="AIP605" s="50"/>
      <c r="AIQ605" s="46"/>
      <c r="AIR605" s="47"/>
      <c r="AIS605" s="46"/>
      <c r="AIT605" s="48"/>
      <c r="AIU605" s="53"/>
      <c r="AJB605" s="15"/>
      <c r="AJC605" s="50"/>
      <c r="AJD605" s="50"/>
      <c r="AJE605" s="46"/>
      <c r="AJF605" s="47"/>
      <c r="AJG605" s="46"/>
      <c r="AJH605" s="48"/>
      <c r="AJI605" s="53"/>
      <c r="AJP605" s="15"/>
      <c r="AJQ605" s="50"/>
      <c r="AJR605" s="50"/>
      <c r="AJS605" s="46"/>
      <c r="AJT605" s="47"/>
      <c r="AJU605" s="46"/>
      <c r="AJV605" s="48"/>
      <c r="AJW605" s="53"/>
      <c r="AKD605" s="15"/>
      <c r="AKE605" s="50"/>
      <c r="AKF605" s="50"/>
      <c r="AKG605" s="46"/>
      <c r="AKH605" s="47"/>
      <c r="AKI605" s="46"/>
      <c r="AKJ605" s="48"/>
      <c r="AKK605" s="53"/>
      <c r="AKR605" s="15"/>
      <c r="AKS605" s="50"/>
      <c r="AKT605" s="50"/>
      <c r="AKU605" s="46"/>
      <c r="AKV605" s="47"/>
      <c r="AKW605" s="46"/>
      <c r="AKX605" s="48"/>
      <c r="AKY605" s="53"/>
      <c r="ALF605" s="15"/>
      <c r="ALG605" s="50"/>
      <c r="ALH605" s="50"/>
      <c r="ALI605" s="46"/>
      <c r="ALJ605" s="47"/>
      <c r="ALK605" s="46"/>
      <c r="ALL605" s="48"/>
      <c r="ALM605" s="53"/>
      <c r="ALT605" s="15"/>
      <c r="ALU605" s="50"/>
      <c r="ALV605" s="50"/>
      <c r="ALW605" s="46"/>
      <c r="ALX605" s="47"/>
      <c r="ALY605" s="46"/>
      <c r="ALZ605" s="48"/>
      <c r="AMA605" s="53"/>
      <c r="AMH605" s="15"/>
      <c r="AMI605" s="50"/>
      <c r="AMJ605" s="50"/>
      <c r="AMK605" s="46"/>
      <c r="AML605" s="47"/>
      <c r="AMM605" s="46"/>
      <c r="AMN605" s="48"/>
      <c r="AMO605" s="53"/>
      <c r="AMV605" s="15"/>
      <c r="AMW605" s="50"/>
      <c r="AMX605" s="50"/>
      <c r="AMY605" s="46"/>
      <c r="AMZ605" s="47"/>
      <c r="ANA605" s="46"/>
      <c r="ANB605" s="48"/>
      <c r="ANC605" s="53"/>
      <c r="ANJ605" s="15"/>
      <c r="ANK605" s="50"/>
      <c r="ANL605" s="50"/>
      <c r="ANM605" s="46"/>
      <c r="ANN605" s="47"/>
      <c r="ANO605" s="46"/>
      <c r="ANP605" s="48"/>
      <c r="ANQ605" s="53"/>
      <c r="ANX605" s="15"/>
      <c r="ANY605" s="50"/>
      <c r="ANZ605" s="50"/>
      <c r="AOA605" s="46"/>
      <c r="AOB605" s="47"/>
      <c r="AOC605" s="46"/>
      <c r="AOD605" s="48"/>
      <c r="AOE605" s="53"/>
      <c r="AOL605" s="15"/>
      <c r="AOM605" s="50"/>
      <c r="AON605" s="50"/>
      <c r="AOO605" s="46"/>
      <c r="AOP605" s="47"/>
      <c r="AOQ605" s="46"/>
      <c r="AOR605" s="48"/>
      <c r="AOS605" s="53"/>
      <c r="AOZ605" s="15"/>
      <c r="APA605" s="50"/>
      <c r="APB605" s="50"/>
      <c r="APC605" s="46"/>
      <c r="APD605" s="47"/>
      <c r="APE605" s="46"/>
      <c r="APF605" s="48"/>
      <c r="APG605" s="53"/>
      <c r="APN605" s="15"/>
      <c r="APO605" s="50"/>
      <c r="APP605" s="50"/>
      <c r="APQ605" s="46"/>
      <c r="APR605" s="47"/>
      <c r="APS605" s="46"/>
      <c r="APT605" s="48"/>
      <c r="APU605" s="53"/>
      <c r="AQB605" s="15"/>
      <c r="AQC605" s="50"/>
      <c r="AQD605" s="50"/>
      <c r="AQE605" s="46"/>
      <c r="AQF605" s="47"/>
      <c r="AQG605" s="46"/>
      <c r="AQH605" s="48"/>
      <c r="AQI605" s="53"/>
      <c r="AQP605" s="15"/>
      <c r="AQQ605" s="50"/>
      <c r="AQR605" s="50"/>
      <c r="AQS605" s="46"/>
      <c r="AQT605" s="47"/>
      <c r="AQU605" s="46"/>
      <c r="AQV605" s="48"/>
      <c r="AQW605" s="53"/>
      <c r="ARD605" s="15"/>
      <c r="ARE605" s="50"/>
      <c r="ARF605" s="50"/>
      <c r="ARG605" s="46"/>
      <c r="ARH605" s="47"/>
      <c r="ARI605" s="46"/>
      <c r="ARJ605" s="48"/>
      <c r="ARK605" s="53"/>
      <c r="ARR605" s="15"/>
      <c r="ARS605" s="50"/>
      <c r="ART605" s="50"/>
      <c r="ARU605" s="46"/>
      <c r="ARV605" s="47"/>
      <c r="ARW605" s="46"/>
      <c r="ARX605" s="48"/>
      <c r="ARY605" s="53"/>
      <c r="ASF605" s="15"/>
      <c r="ASG605" s="50"/>
      <c r="ASH605" s="50"/>
      <c r="ASI605" s="46"/>
      <c r="ASJ605" s="47"/>
      <c r="ASK605" s="46"/>
      <c r="ASL605" s="48"/>
      <c r="ASM605" s="53"/>
      <c r="AST605" s="15"/>
      <c r="ASU605" s="50"/>
      <c r="ASV605" s="50"/>
      <c r="ASW605" s="46"/>
      <c r="ASX605" s="47"/>
      <c r="ASY605" s="46"/>
      <c r="ASZ605" s="48"/>
      <c r="ATA605" s="53"/>
      <c r="ATH605" s="15"/>
      <c r="ATI605" s="50"/>
      <c r="ATJ605" s="50"/>
      <c r="ATK605" s="46"/>
      <c r="ATL605" s="47"/>
      <c r="ATM605" s="46"/>
      <c r="ATN605" s="48"/>
      <c r="ATO605" s="53"/>
      <c r="ATV605" s="15"/>
      <c r="ATW605" s="50"/>
      <c r="ATX605" s="50"/>
      <c r="ATY605" s="46"/>
      <c r="ATZ605" s="47"/>
      <c r="AUA605" s="46"/>
      <c r="AUB605" s="48"/>
      <c r="AUC605" s="53"/>
      <c r="AUJ605" s="15"/>
      <c r="AUK605" s="50"/>
      <c r="AUL605" s="50"/>
      <c r="AUM605" s="46"/>
      <c r="AUN605" s="47"/>
      <c r="AUO605" s="46"/>
      <c r="AUP605" s="48"/>
      <c r="AUQ605" s="53"/>
      <c r="AUX605" s="15"/>
      <c r="AUY605" s="50"/>
      <c r="AUZ605" s="50"/>
      <c r="AVA605" s="46"/>
      <c r="AVB605" s="47"/>
      <c r="AVC605" s="46"/>
      <c r="AVD605" s="48"/>
      <c r="AVE605" s="53"/>
      <c r="AVL605" s="15"/>
      <c r="AVM605" s="50"/>
      <c r="AVN605" s="50"/>
      <c r="AVO605" s="46"/>
      <c r="AVP605" s="47"/>
      <c r="AVQ605" s="46"/>
      <c r="AVR605" s="48"/>
      <c r="AVS605" s="53"/>
      <c r="AVZ605" s="15"/>
      <c r="AWA605" s="50"/>
      <c r="AWB605" s="50"/>
      <c r="AWC605" s="46"/>
      <c r="AWD605" s="47"/>
      <c r="AWE605" s="46"/>
      <c r="AWF605" s="48"/>
      <c r="AWG605" s="53"/>
      <c r="AWN605" s="15"/>
      <c r="AWO605" s="50"/>
      <c r="AWP605" s="50"/>
      <c r="AWQ605" s="46"/>
      <c r="AWR605" s="47"/>
      <c r="AWS605" s="46"/>
      <c r="AWT605" s="48"/>
      <c r="AWU605" s="53"/>
      <c r="AXB605" s="15"/>
      <c r="AXC605" s="50"/>
      <c r="AXD605" s="50"/>
      <c r="AXE605" s="46"/>
      <c r="AXF605" s="47"/>
      <c r="AXG605" s="46"/>
      <c r="AXH605" s="48"/>
      <c r="AXI605" s="53"/>
      <c r="AXP605" s="15"/>
      <c r="AXQ605" s="50"/>
      <c r="AXR605" s="50"/>
      <c r="AXS605" s="46"/>
      <c r="AXT605" s="47"/>
      <c r="AXU605" s="46"/>
      <c r="AXV605" s="48"/>
      <c r="AXW605" s="53"/>
      <c r="AYD605" s="15"/>
      <c r="AYE605" s="50"/>
      <c r="AYF605" s="50"/>
      <c r="AYG605" s="46"/>
      <c r="AYH605" s="47"/>
      <c r="AYI605" s="46"/>
      <c r="AYJ605" s="48"/>
      <c r="AYK605" s="53"/>
      <c r="AYR605" s="15"/>
      <c r="AYS605" s="50"/>
      <c r="AYT605" s="50"/>
      <c r="AYU605" s="46"/>
      <c r="AYV605" s="47"/>
      <c r="AYW605" s="46"/>
      <c r="AYX605" s="48"/>
      <c r="AYY605" s="53"/>
      <c r="AZF605" s="15"/>
      <c r="AZG605" s="50"/>
      <c r="AZH605" s="50"/>
      <c r="AZI605" s="46"/>
      <c r="AZJ605" s="47"/>
      <c r="AZK605" s="46"/>
      <c r="AZL605" s="48"/>
      <c r="AZM605" s="53"/>
      <c r="AZT605" s="15"/>
      <c r="AZU605" s="50"/>
      <c r="AZV605" s="50"/>
      <c r="AZW605" s="46"/>
      <c r="AZX605" s="47"/>
      <c r="AZY605" s="46"/>
      <c r="AZZ605" s="48"/>
      <c r="BAA605" s="53"/>
      <c r="BAH605" s="15"/>
      <c r="BAI605" s="50"/>
      <c r="BAJ605" s="50"/>
      <c r="BAK605" s="46"/>
      <c r="BAL605" s="47"/>
      <c r="BAM605" s="46"/>
      <c r="BAN605" s="48"/>
      <c r="BAO605" s="53"/>
      <c r="BAV605" s="15"/>
      <c r="BAW605" s="50"/>
      <c r="BAX605" s="50"/>
      <c r="BAY605" s="46"/>
      <c r="BAZ605" s="47"/>
      <c r="BBA605" s="46"/>
      <c r="BBB605" s="48"/>
      <c r="BBC605" s="53"/>
      <c r="BBJ605" s="15"/>
      <c r="BBK605" s="50"/>
      <c r="BBL605" s="50"/>
      <c r="BBM605" s="46"/>
      <c r="BBN605" s="47"/>
      <c r="BBO605" s="46"/>
      <c r="BBP605" s="48"/>
      <c r="BBQ605" s="53"/>
      <c r="BBX605" s="15"/>
      <c r="BBY605" s="50"/>
      <c r="BBZ605" s="50"/>
      <c r="BCA605" s="46"/>
      <c r="BCB605" s="47"/>
      <c r="BCC605" s="46"/>
      <c r="BCD605" s="48"/>
      <c r="BCE605" s="53"/>
      <c r="BCL605" s="15"/>
      <c r="BCM605" s="50"/>
      <c r="BCN605" s="50"/>
      <c r="BCO605" s="46"/>
      <c r="BCP605" s="47"/>
      <c r="BCQ605" s="46"/>
      <c r="BCR605" s="48"/>
      <c r="BCS605" s="53"/>
      <c r="BCZ605" s="15"/>
      <c r="BDA605" s="50"/>
      <c r="BDB605" s="50"/>
      <c r="BDC605" s="46"/>
      <c r="BDD605" s="47"/>
      <c r="BDE605" s="46"/>
      <c r="BDF605" s="48"/>
      <c r="BDG605" s="53"/>
      <c r="BDN605" s="15"/>
      <c r="BDO605" s="50"/>
      <c r="BDP605" s="50"/>
      <c r="BDQ605" s="46"/>
      <c r="BDR605" s="47"/>
      <c r="BDS605" s="46"/>
      <c r="BDT605" s="48"/>
      <c r="BDU605" s="53"/>
      <c r="BEB605" s="15"/>
      <c r="BEC605" s="50"/>
      <c r="BED605" s="50"/>
      <c r="BEE605" s="46"/>
      <c r="BEF605" s="47"/>
      <c r="BEG605" s="46"/>
      <c r="BEH605" s="48"/>
      <c r="BEI605" s="53"/>
      <c r="BEP605" s="15"/>
      <c r="BEQ605" s="50"/>
      <c r="BER605" s="50"/>
      <c r="BES605" s="46"/>
      <c r="BET605" s="47"/>
      <c r="BEU605" s="46"/>
      <c r="BEV605" s="48"/>
      <c r="BEW605" s="53"/>
      <c r="BFD605" s="15"/>
      <c r="BFE605" s="50"/>
      <c r="BFF605" s="50"/>
      <c r="BFG605" s="46"/>
      <c r="BFH605" s="47"/>
      <c r="BFI605" s="46"/>
      <c r="BFJ605" s="48"/>
      <c r="BFK605" s="53"/>
      <c r="BFR605" s="15"/>
      <c r="BFS605" s="50"/>
      <c r="BFT605" s="50"/>
      <c r="BFU605" s="46"/>
      <c r="BFV605" s="47"/>
      <c r="BFW605" s="46"/>
      <c r="BFX605" s="48"/>
      <c r="BFY605" s="53"/>
      <c r="BGF605" s="15"/>
      <c r="BGG605" s="50"/>
      <c r="BGH605" s="50"/>
      <c r="BGI605" s="46"/>
      <c r="BGJ605" s="47"/>
      <c r="BGK605" s="46"/>
      <c r="BGL605" s="48"/>
      <c r="BGM605" s="53"/>
      <c r="BGT605" s="15"/>
      <c r="BGU605" s="50"/>
      <c r="BGV605" s="50"/>
      <c r="BGW605" s="46"/>
      <c r="BGX605" s="47"/>
      <c r="BGY605" s="46"/>
      <c r="BGZ605" s="48"/>
      <c r="BHA605" s="53"/>
      <c r="BHH605" s="15"/>
      <c r="BHI605" s="50"/>
      <c r="BHJ605" s="50"/>
      <c r="BHK605" s="46"/>
      <c r="BHL605" s="47"/>
      <c r="BHM605" s="46"/>
      <c r="BHN605" s="48"/>
      <c r="BHO605" s="53"/>
      <c r="BHV605" s="15"/>
      <c r="BHW605" s="50"/>
      <c r="BHX605" s="50"/>
      <c r="BHY605" s="46"/>
      <c r="BHZ605" s="47"/>
      <c r="BIA605" s="46"/>
      <c r="BIB605" s="48"/>
      <c r="BIC605" s="53"/>
      <c r="BIJ605" s="15"/>
      <c r="BIK605" s="50"/>
      <c r="BIL605" s="50"/>
      <c r="BIM605" s="46"/>
      <c r="BIN605" s="47"/>
      <c r="BIO605" s="46"/>
      <c r="BIP605" s="48"/>
      <c r="BIQ605" s="53"/>
      <c r="BIX605" s="15"/>
      <c r="BIY605" s="50"/>
      <c r="BIZ605" s="50"/>
      <c r="BJA605" s="46"/>
      <c r="BJB605" s="47"/>
      <c r="BJC605" s="46"/>
      <c r="BJD605" s="48"/>
      <c r="BJE605" s="53"/>
      <c r="BJL605" s="15"/>
      <c r="BJM605" s="50"/>
      <c r="BJN605" s="50"/>
      <c r="BJO605" s="46"/>
      <c r="BJP605" s="47"/>
      <c r="BJQ605" s="46"/>
      <c r="BJR605" s="48"/>
      <c r="BJS605" s="53"/>
      <c r="BJZ605" s="15"/>
      <c r="BKA605" s="50"/>
      <c r="BKB605" s="50"/>
      <c r="BKC605" s="46"/>
      <c r="BKD605" s="47"/>
      <c r="BKE605" s="46"/>
      <c r="BKF605" s="48"/>
      <c r="BKG605" s="53"/>
      <c r="BKN605" s="15"/>
      <c r="BKO605" s="50"/>
      <c r="BKP605" s="50"/>
      <c r="BKQ605" s="46"/>
      <c r="BKR605" s="47"/>
      <c r="BKS605" s="46"/>
      <c r="BKT605" s="48"/>
      <c r="BKU605" s="53"/>
      <c r="BLB605" s="15"/>
      <c r="BLC605" s="50"/>
      <c r="BLD605" s="50"/>
      <c r="BLE605" s="46"/>
      <c r="BLF605" s="47"/>
      <c r="BLG605" s="46"/>
      <c r="BLH605" s="48"/>
      <c r="BLI605" s="53"/>
      <c r="BLP605" s="15"/>
      <c r="BLQ605" s="50"/>
      <c r="BLR605" s="50"/>
      <c r="BLS605" s="46"/>
      <c r="BLT605" s="47"/>
      <c r="BLU605" s="46"/>
      <c r="BLV605" s="48"/>
      <c r="BLW605" s="53"/>
      <c r="BMD605" s="15"/>
      <c r="BME605" s="50"/>
      <c r="BMF605" s="50"/>
      <c r="BMG605" s="46"/>
      <c r="BMH605" s="47"/>
      <c r="BMI605" s="46"/>
      <c r="BMJ605" s="48"/>
      <c r="BMK605" s="53"/>
      <c r="BMR605" s="15"/>
      <c r="BMS605" s="50"/>
      <c r="BMT605" s="50"/>
      <c r="BMU605" s="46"/>
      <c r="BMV605" s="47"/>
      <c r="BMW605" s="46"/>
      <c r="BMX605" s="48"/>
      <c r="BMY605" s="53"/>
      <c r="BNF605" s="15"/>
      <c r="BNG605" s="50"/>
      <c r="BNH605" s="50"/>
      <c r="BNI605" s="46"/>
      <c r="BNJ605" s="47"/>
      <c r="BNK605" s="46"/>
      <c r="BNL605" s="48"/>
      <c r="BNM605" s="53"/>
      <c r="BNT605" s="15"/>
      <c r="BNU605" s="50"/>
      <c r="BNV605" s="50"/>
      <c r="BNW605" s="46"/>
      <c r="BNX605" s="47"/>
      <c r="BNY605" s="46"/>
      <c r="BNZ605" s="48"/>
      <c r="BOA605" s="53"/>
      <c r="BOH605" s="15"/>
      <c r="BOI605" s="50"/>
      <c r="BOJ605" s="50"/>
      <c r="BOK605" s="46"/>
      <c r="BOL605" s="47"/>
      <c r="BOM605" s="46"/>
      <c r="BON605" s="48"/>
      <c r="BOO605" s="53"/>
      <c r="BOV605" s="15"/>
      <c r="BOW605" s="50"/>
      <c r="BOX605" s="50"/>
      <c r="BOY605" s="46"/>
      <c r="BOZ605" s="47"/>
      <c r="BPA605" s="46"/>
      <c r="BPB605" s="48"/>
      <c r="BPC605" s="53"/>
      <c r="BPJ605" s="15"/>
      <c r="BPK605" s="50"/>
      <c r="BPL605" s="50"/>
      <c r="BPM605" s="46"/>
      <c r="BPN605" s="47"/>
      <c r="BPO605" s="46"/>
      <c r="BPP605" s="48"/>
      <c r="BPQ605" s="53"/>
      <c r="BPX605" s="15"/>
      <c r="BPY605" s="50"/>
      <c r="BPZ605" s="50"/>
      <c r="BQA605" s="46"/>
      <c r="BQB605" s="47"/>
      <c r="BQC605" s="46"/>
      <c r="BQD605" s="48"/>
      <c r="BQE605" s="53"/>
      <c r="BQL605" s="15"/>
      <c r="BQM605" s="50"/>
      <c r="BQN605" s="50"/>
      <c r="BQO605" s="46"/>
      <c r="BQP605" s="47"/>
      <c r="BQQ605" s="46"/>
      <c r="BQR605" s="48"/>
      <c r="BQS605" s="53"/>
      <c r="BQZ605" s="15"/>
      <c r="BRA605" s="50"/>
      <c r="BRB605" s="50"/>
      <c r="BRC605" s="46"/>
      <c r="BRD605" s="47"/>
      <c r="BRE605" s="46"/>
      <c r="BRF605" s="48"/>
      <c r="BRG605" s="53"/>
      <c r="BRN605" s="15"/>
      <c r="BRO605" s="50"/>
      <c r="BRP605" s="50"/>
      <c r="BRQ605" s="46"/>
      <c r="BRR605" s="47"/>
      <c r="BRS605" s="46"/>
      <c r="BRT605" s="48"/>
      <c r="BRU605" s="53"/>
      <c r="BSB605" s="15"/>
      <c r="BSC605" s="50"/>
      <c r="BSD605" s="50"/>
      <c r="BSE605" s="46"/>
      <c r="BSF605" s="47"/>
      <c r="BSG605" s="46"/>
      <c r="BSH605" s="48"/>
      <c r="BSI605" s="53"/>
      <c r="BSP605" s="15"/>
      <c r="BSQ605" s="50"/>
      <c r="BSR605" s="50"/>
      <c r="BSS605" s="46"/>
      <c r="BST605" s="47"/>
      <c r="BSU605" s="46"/>
      <c r="BSV605" s="48"/>
      <c r="BSW605" s="53"/>
      <c r="BTD605" s="15"/>
      <c r="BTE605" s="50"/>
      <c r="BTF605" s="50"/>
      <c r="BTG605" s="46"/>
      <c r="BTH605" s="47"/>
      <c r="BTI605" s="46"/>
      <c r="BTJ605" s="48"/>
      <c r="BTK605" s="53"/>
      <c r="BTR605" s="15"/>
      <c r="BTS605" s="50"/>
      <c r="BTT605" s="50"/>
      <c r="BTU605" s="46"/>
      <c r="BTV605" s="47"/>
      <c r="BTW605" s="46"/>
      <c r="BTX605" s="48"/>
      <c r="BTY605" s="53"/>
      <c r="BUF605" s="15"/>
      <c r="BUG605" s="50"/>
      <c r="BUH605" s="50"/>
      <c r="BUI605" s="46"/>
      <c r="BUJ605" s="47"/>
      <c r="BUK605" s="46"/>
      <c r="BUL605" s="48"/>
      <c r="BUM605" s="53"/>
      <c r="BUT605" s="15"/>
      <c r="BUU605" s="50"/>
      <c r="BUV605" s="50"/>
      <c r="BUW605" s="46"/>
      <c r="BUX605" s="47"/>
      <c r="BUY605" s="46"/>
      <c r="BUZ605" s="48"/>
      <c r="BVA605" s="53"/>
      <c r="BVH605" s="15"/>
      <c r="BVI605" s="50"/>
      <c r="BVJ605" s="50"/>
      <c r="BVK605" s="46"/>
      <c r="BVL605" s="47"/>
      <c r="BVM605" s="46"/>
      <c r="BVN605" s="48"/>
      <c r="BVO605" s="53"/>
      <c r="BVV605" s="15"/>
      <c r="BVW605" s="50"/>
      <c r="BVX605" s="50"/>
      <c r="BVY605" s="46"/>
      <c r="BVZ605" s="47"/>
      <c r="BWA605" s="46"/>
      <c r="BWB605" s="48"/>
      <c r="BWC605" s="53"/>
      <c r="BWJ605" s="15"/>
      <c r="BWK605" s="50"/>
      <c r="BWL605" s="50"/>
      <c r="BWM605" s="46"/>
      <c r="BWN605" s="47"/>
      <c r="BWO605" s="46"/>
      <c r="BWP605" s="48"/>
      <c r="BWQ605" s="53"/>
      <c r="BWX605" s="15"/>
      <c r="BWY605" s="50"/>
      <c r="BWZ605" s="50"/>
      <c r="BXA605" s="46"/>
      <c r="BXB605" s="47"/>
      <c r="BXC605" s="46"/>
      <c r="BXD605" s="48"/>
      <c r="BXE605" s="53"/>
      <c r="BXL605" s="15"/>
      <c r="BXM605" s="50"/>
      <c r="BXN605" s="50"/>
      <c r="BXO605" s="46"/>
      <c r="BXP605" s="47"/>
      <c r="BXQ605" s="46"/>
      <c r="BXR605" s="48"/>
      <c r="BXS605" s="53"/>
      <c r="BXZ605" s="15"/>
      <c r="BYA605" s="50"/>
      <c r="BYB605" s="50"/>
      <c r="BYC605" s="46"/>
      <c r="BYD605" s="47"/>
      <c r="BYE605" s="46"/>
      <c r="BYF605" s="48"/>
      <c r="BYG605" s="53"/>
      <c r="BYN605" s="15"/>
      <c r="BYO605" s="50"/>
      <c r="BYP605" s="50"/>
      <c r="BYQ605" s="46"/>
      <c r="BYR605" s="47"/>
      <c r="BYS605" s="46"/>
      <c r="BYT605" s="48"/>
      <c r="BYU605" s="53"/>
      <c r="BZB605" s="15"/>
      <c r="BZC605" s="50"/>
      <c r="BZD605" s="50"/>
      <c r="BZE605" s="46"/>
      <c r="BZF605" s="47"/>
      <c r="BZG605" s="46"/>
      <c r="BZH605" s="48"/>
      <c r="BZI605" s="53"/>
      <c r="BZP605" s="15"/>
      <c r="BZQ605" s="50"/>
      <c r="BZR605" s="50"/>
      <c r="BZS605" s="46"/>
      <c r="BZT605" s="47"/>
      <c r="BZU605" s="46"/>
      <c r="BZV605" s="48"/>
      <c r="BZW605" s="53"/>
      <c r="CAD605" s="15"/>
      <c r="CAE605" s="50"/>
      <c r="CAF605" s="50"/>
      <c r="CAG605" s="46"/>
      <c r="CAH605" s="47"/>
      <c r="CAI605" s="46"/>
      <c r="CAJ605" s="48"/>
      <c r="CAK605" s="53"/>
      <c r="CAR605" s="15"/>
      <c r="CAS605" s="50"/>
      <c r="CAT605" s="50"/>
      <c r="CAU605" s="46"/>
      <c r="CAV605" s="47"/>
      <c r="CAW605" s="46"/>
      <c r="CAX605" s="48"/>
      <c r="CAY605" s="53"/>
      <c r="CBF605" s="15"/>
      <c r="CBG605" s="50"/>
      <c r="CBH605" s="50"/>
      <c r="CBI605" s="46"/>
      <c r="CBJ605" s="47"/>
      <c r="CBK605" s="46"/>
      <c r="CBL605" s="48"/>
      <c r="CBM605" s="53"/>
      <c r="CBT605" s="15"/>
      <c r="CBU605" s="50"/>
      <c r="CBV605" s="50"/>
      <c r="CBW605" s="46"/>
      <c r="CBX605" s="47"/>
      <c r="CBY605" s="46"/>
      <c r="CBZ605" s="48"/>
      <c r="CCA605" s="53"/>
      <c r="CCH605" s="15"/>
      <c r="CCI605" s="50"/>
      <c r="CCJ605" s="50"/>
      <c r="CCK605" s="46"/>
      <c r="CCL605" s="47"/>
      <c r="CCM605" s="46"/>
      <c r="CCN605" s="48"/>
      <c r="CCO605" s="53"/>
      <c r="CCV605" s="15"/>
      <c r="CCW605" s="50"/>
      <c r="CCX605" s="50"/>
      <c r="CCY605" s="46"/>
      <c r="CCZ605" s="47"/>
      <c r="CDA605" s="46"/>
      <c r="CDB605" s="48"/>
      <c r="CDC605" s="53"/>
      <c r="CDJ605" s="15"/>
      <c r="CDK605" s="50"/>
      <c r="CDL605" s="50"/>
      <c r="CDM605" s="46"/>
      <c r="CDN605" s="47"/>
      <c r="CDO605" s="46"/>
      <c r="CDP605" s="48"/>
      <c r="CDQ605" s="53"/>
      <c r="CDX605" s="15"/>
      <c r="CDY605" s="50"/>
      <c r="CDZ605" s="50"/>
      <c r="CEA605" s="46"/>
      <c r="CEB605" s="47"/>
      <c r="CEC605" s="46"/>
      <c r="CED605" s="48"/>
      <c r="CEE605" s="53"/>
      <c r="CEL605" s="15"/>
      <c r="CEM605" s="50"/>
      <c r="CEN605" s="50"/>
      <c r="CEO605" s="46"/>
      <c r="CEP605" s="47"/>
      <c r="CEQ605" s="46"/>
      <c r="CER605" s="48"/>
      <c r="CES605" s="53"/>
      <c r="CEZ605" s="15"/>
      <c r="CFA605" s="50"/>
      <c r="CFB605" s="50"/>
      <c r="CFC605" s="46"/>
      <c r="CFD605" s="47"/>
      <c r="CFE605" s="46"/>
      <c r="CFF605" s="48"/>
      <c r="CFG605" s="53"/>
      <c r="CFN605" s="15"/>
      <c r="CFO605" s="50"/>
      <c r="CFP605" s="50"/>
      <c r="CFQ605" s="46"/>
      <c r="CFR605" s="47"/>
      <c r="CFS605" s="46"/>
      <c r="CFT605" s="48"/>
      <c r="CFU605" s="53"/>
      <c r="CGB605" s="15"/>
      <c r="CGC605" s="50"/>
      <c r="CGD605" s="50"/>
      <c r="CGE605" s="46"/>
      <c r="CGF605" s="47"/>
      <c r="CGG605" s="46"/>
      <c r="CGH605" s="48"/>
      <c r="CGI605" s="53"/>
      <c r="CGP605" s="15"/>
      <c r="CGQ605" s="50"/>
      <c r="CGR605" s="50"/>
      <c r="CGS605" s="46"/>
      <c r="CGT605" s="47"/>
      <c r="CGU605" s="46"/>
      <c r="CGV605" s="48"/>
      <c r="CGW605" s="53"/>
      <c r="CHD605" s="15"/>
      <c r="CHE605" s="50"/>
      <c r="CHF605" s="50"/>
      <c r="CHG605" s="46"/>
      <c r="CHH605" s="47"/>
      <c r="CHI605" s="46"/>
      <c r="CHJ605" s="48"/>
      <c r="CHK605" s="53"/>
      <c r="CHR605" s="15"/>
      <c r="CHS605" s="50"/>
      <c r="CHT605" s="50"/>
      <c r="CHU605" s="46"/>
      <c r="CHV605" s="47"/>
      <c r="CHW605" s="46"/>
      <c r="CHX605" s="48"/>
      <c r="CHY605" s="53"/>
      <c r="CIF605" s="15"/>
      <c r="CIG605" s="50"/>
      <c r="CIH605" s="50"/>
      <c r="CII605" s="46"/>
      <c r="CIJ605" s="47"/>
      <c r="CIK605" s="46"/>
      <c r="CIL605" s="48"/>
      <c r="CIM605" s="53"/>
      <c r="CIT605" s="15"/>
      <c r="CIU605" s="50"/>
      <c r="CIV605" s="50"/>
      <c r="CIW605" s="46"/>
      <c r="CIX605" s="47"/>
      <c r="CIY605" s="46"/>
      <c r="CIZ605" s="48"/>
      <c r="CJA605" s="53"/>
      <c r="CJH605" s="15"/>
      <c r="CJI605" s="50"/>
      <c r="CJJ605" s="50"/>
      <c r="CJK605" s="46"/>
      <c r="CJL605" s="47"/>
      <c r="CJM605" s="46"/>
      <c r="CJN605" s="48"/>
      <c r="CJO605" s="53"/>
      <c r="CJV605" s="15"/>
      <c r="CJW605" s="50"/>
      <c r="CJX605" s="50"/>
      <c r="CJY605" s="46"/>
      <c r="CJZ605" s="47"/>
      <c r="CKA605" s="46"/>
      <c r="CKB605" s="48"/>
      <c r="CKC605" s="53"/>
      <c r="CKJ605" s="15"/>
      <c r="CKK605" s="50"/>
      <c r="CKL605" s="50"/>
      <c r="CKM605" s="46"/>
      <c r="CKN605" s="47"/>
      <c r="CKO605" s="46"/>
      <c r="CKP605" s="48"/>
      <c r="CKQ605" s="53"/>
      <c r="CKX605" s="15"/>
      <c r="CKY605" s="50"/>
      <c r="CKZ605" s="50"/>
      <c r="CLA605" s="46"/>
      <c r="CLB605" s="47"/>
      <c r="CLC605" s="46"/>
      <c r="CLD605" s="48"/>
      <c r="CLE605" s="53"/>
      <c r="CLL605" s="15"/>
      <c r="CLM605" s="50"/>
      <c r="CLN605" s="50"/>
      <c r="CLO605" s="46"/>
      <c r="CLP605" s="47"/>
      <c r="CLQ605" s="46"/>
      <c r="CLR605" s="48"/>
      <c r="CLS605" s="53"/>
      <c r="CLZ605" s="15"/>
      <c r="CMA605" s="50"/>
      <c r="CMB605" s="50"/>
      <c r="CMC605" s="46"/>
      <c r="CMD605" s="47"/>
      <c r="CME605" s="46"/>
      <c r="CMF605" s="48"/>
      <c r="CMG605" s="53"/>
      <c r="CMN605" s="15"/>
      <c r="CMO605" s="50"/>
      <c r="CMP605" s="50"/>
      <c r="CMQ605" s="46"/>
      <c r="CMR605" s="47"/>
      <c r="CMS605" s="46"/>
      <c r="CMT605" s="48"/>
      <c r="CMU605" s="53"/>
      <c r="CNB605" s="15"/>
      <c r="CNC605" s="50"/>
      <c r="CND605" s="50"/>
      <c r="CNE605" s="46"/>
      <c r="CNF605" s="47"/>
      <c r="CNG605" s="46"/>
      <c r="CNH605" s="48"/>
      <c r="CNI605" s="53"/>
      <c r="CNP605" s="15"/>
      <c r="CNQ605" s="50"/>
      <c r="CNR605" s="50"/>
      <c r="CNS605" s="46"/>
      <c r="CNT605" s="47"/>
      <c r="CNU605" s="46"/>
      <c r="CNV605" s="48"/>
      <c r="CNW605" s="53"/>
      <c r="COD605" s="15"/>
      <c r="COE605" s="50"/>
      <c r="COF605" s="50"/>
      <c r="COG605" s="46"/>
      <c r="COH605" s="47"/>
      <c r="COI605" s="46"/>
      <c r="COJ605" s="48"/>
      <c r="COK605" s="53"/>
      <c r="COR605" s="15"/>
      <c r="COS605" s="50"/>
      <c r="COT605" s="50"/>
      <c r="COU605" s="46"/>
      <c r="COV605" s="47"/>
      <c r="COW605" s="46"/>
      <c r="COX605" s="48"/>
      <c r="COY605" s="53"/>
      <c r="CPF605" s="15"/>
      <c r="CPG605" s="50"/>
      <c r="CPH605" s="50"/>
      <c r="CPI605" s="46"/>
      <c r="CPJ605" s="47"/>
      <c r="CPK605" s="46"/>
      <c r="CPL605" s="48"/>
      <c r="CPM605" s="53"/>
      <c r="CPT605" s="15"/>
      <c r="CPU605" s="50"/>
      <c r="CPV605" s="50"/>
      <c r="CPW605" s="46"/>
      <c r="CPX605" s="47"/>
      <c r="CPY605" s="46"/>
      <c r="CPZ605" s="48"/>
      <c r="CQA605" s="53"/>
      <c r="CQH605" s="15"/>
      <c r="CQI605" s="50"/>
      <c r="CQJ605" s="50"/>
      <c r="CQK605" s="46"/>
      <c r="CQL605" s="47"/>
      <c r="CQM605" s="46"/>
      <c r="CQN605" s="48"/>
      <c r="CQO605" s="53"/>
      <c r="CQV605" s="15"/>
      <c r="CQW605" s="50"/>
      <c r="CQX605" s="50"/>
      <c r="CQY605" s="46"/>
      <c r="CQZ605" s="47"/>
      <c r="CRA605" s="46"/>
      <c r="CRB605" s="48"/>
      <c r="CRC605" s="53"/>
      <c r="CRJ605" s="15"/>
      <c r="CRK605" s="50"/>
      <c r="CRL605" s="50"/>
      <c r="CRM605" s="46"/>
      <c r="CRN605" s="47"/>
      <c r="CRO605" s="46"/>
      <c r="CRP605" s="48"/>
      <c r="CRQ605" s="53"/>
      <c r="CRX605" s="15"/>
      <c r="CRY605" s="50"/>
      <c r="CRZ605" s="50"/>
      <c r="CSA605" s="46"/>
      <c r="CSB605" s="47"/>
      <c r="CSC605" s="46"/>
      <c r="CSD605" s="48"/>
      <c r="CSE605" s="53"/>
      <c r="CSL605" s="15"/>
      <c r="CSM605" s="50"/>
      <c r="CSN605" s="50"/>
      <c r="CSO605" s="46"/>
      <c r="CSP605" s="47"/>
      <c r="CSQ605" s="46"/>
      <c r="CSR605" s="48"/>
      <c r="CSS605" s="53"/>
      <c r="CSZ605" s="15"/>
      <c r="CTA605" s="50"/>
      <c r="CTB605" s="50"/>
      <c r="CTC605" s="46"/>
      <c r="CTD605" s="47"/>
      <c r="CTE605" s="46"/>
      <c r="CTF605" s="48"/>
      <c r="CTG605" s="53"/>
      <c r="CTN605" s="15"/>
      <c r="CTO605" s="50"/>
      <c r="CTP605" s="50"/>
      <c r="CTQ605" s="46"/>
      <c r="CTR605" s="47"/>
      <c r="CTS605" s="46"/>
      <c r="CTT605" s="48"/>
      <c r="CTU605" s="53"/>
      <c r="CUB605" s="15"/>
      <c r="CUC605" s="50"/>
      <c r="CUD605" s="50"/>
      <c r="CUE605" s="46"/>
      <c r="CUF605" s="47"/>
      <c r="CUG605" s="46"/>
      <c r="CUH605" s="48"/>
      <c r="CUI605" s="53"/>
      <c r="CUP605" s="15"/>
      <c r="CUQ605" s="50"/>
      <c r="CUR605" s="50"/>
      <c r="CUS605" s="46"/>
      <c r="CUT605" s="47"/>
      <c r="CUU605" s="46"/>
      <c r="CUV605" s="48"/>
      <c r="CUW605" s="53"/>
      <c r="CVD605" s="15"/>
      <c r="CVE605" s="50"/>
      <c r="CVF605" s="50"/>
      <c r="CVG605" s="46"/>
      <c r="CVH605" s="47"/>
      <c r="CVI605" s="46"/>
      <c r="CVJ605" s="48"/>
      <c r="CVK605" s="53"/>
      <c r="CVR605" s="15"/>
      <c r="CVS605" s="50"/>
      <c r="CVT605" s="50"/>
      <c r="CVU605" s="46"/>
      <c r="CVV605" s="47"/>
      <c r="CVW605" s="46"/>
      <c r="CVX605" s="48"/>
      <c r="CVY605" s="53"/>
      <c r="CWF605" s="15"/>
      <c r="CWG605" s="50"/>
      <c r="CWH605" s="50"/>
      <c r="CWI605" s="46"/>
      <c r="CWJ605" s="47"/>
      <c r="CWK605" s="46"/>
      <c r="CWL605" s="48"/>
      <c r="CWM605" s="53"/>
      <c r="CWT605" s="15"/>
      <c r="CWU605" s="50"/>
      <c r="CWV605" s="50"/>
      <c r="CWW605" s="46"/>
      <c r="CWX605" s="47"/>
      <c r="CWY605" s="46"/>
      <c r="CWZ605" s="48"/>
      <c r="CXA605" s="53"/>
      <c r="CXH605" s="15"/>
      <c r="CXI605" s="50"/>
      <c r="CXJ605" s="50"/>
      <c r="CXK605" s="46"/>
      <c r="CXL605" s="47"/>
      <c r="CXM605" s="46"/>
      <c r="CXN605" s="48"/>
      <c r="CXO605" s="53"/>
      <c r="CXV605" s="15"/>
      <c r="CXW605" s="50"/>
      <c r="CXX605" s="50"/>
      <c r="CXY605" s="46"/>
      <c r="CXZ605" s="47"/>
      <c r="CYA605" s="46"/>
      <c r="CYB605" s="48"/>
      <c r="CYC605" s="53"/>
      <c r="CYJ605" s="15"/>
      <c r="CYK605" s="50"/>
      <c r="CYL605" s="50"/>
      <c r="CYM605" s="46"/>
      <c r="CYN605" s="47"/>
      <c r="CYO605" s="46"/>
      <c r="CYP605" s="48"/>
      <c r="CYQ605" s="53"/>
      <c r="CYX605" s="15"/>
      <c r="CYY605" s="50"/>
      <c r="CYZ605" s="50"/>
      <c r="CZA605" s="46"/>
      <c r="CZB605" s="47"/>
      <c r="CZC605" s="46"/>
      <c r="CZD605" s="48"/>
      <c r="CZE605" s="53"/>
      <c r="CZL605" s="15"/>
      <c r="CZM605" s="50"/>
      <c r="CZN605" s="50"/>
      <c r="CZO605" s="46"/>
      <c r="CZP605" s="47"/>
      <c r="CZQ605" s="46"/>
      <c r="CZR605" s="48"/>
      <c r="CZS605" s="53"/>
      <c r="CZZ605" s="15"/>
      <c r="DAA605" s="50"/>
      <c r="DAB605" s="50"/>
      <c r="DAC605" s="46"/>
      <c r="DAD605" s="47"/>
      <c r="DAE605" s="46"/>
      <c r="DAF605" s="48"/>
      <c r="DAG605" s="53"/>
      <c r="DAN605" s="15"/>
      <c r="DAO605" s="50"/>
      <c r="DAP605" s="50"/>
      <c r="DAQ605" s="46"/>
      <c r="DAR605" s="47"/>
      <c r="DAS605" s="46"/>
      <c r="DAT605" s="48"/>
      <c r="DAU605" s="53"/>
      <c r="DBB605" s="15"/>
      <c r="DBC605" s="50"/>
      <c r="DBD605" s="50"/>
      <c r="DBE605" s="46"/>
      <c r="DBF605" s="47"/>
      <c r="DBG605" s="46"/>
      <c r="DBH605" s="48"/>
      <c r="DBI605" s="53"/>
      <c r="DBP605" s="15"/>
      <c r="DBQ605" s="50"/>
      <c r="DBR605" s="50"/>
      <c r="DBS605" s="46"/>
      <c r="DBT605" s="47"/>
      <c r="DBU605" s="46"/>
      <c r="DBV605" s="48"/>
      <c r="DBW605" s="53"/>
      <c r="DCD605" s="15"/>
      <c r="DCE605" s="50"/>
      <c r="DCF605" s="50"/>
      <c r="DCG605" s="46"/>
      <c r="DCH605" s="47"/>
      <c r="DCI605" s="46"/>
      <c r="DCJ605" s="48"/>
      <c r="DCK605" s="53"/>
      <c r="DCR605" s="15"/>
      <c r="DCS605" s="50"/>
      <c r="DCT605" s="50"/>
      <c r="DCU605" s="46"/>
      <c r="DCV605" s="47"/>
      <c r="DCW605" s="46"/>
      <c r="DCX605" s="48"/>
      <c r="DCY605" s="53"/>
      <c r="DDF605" s="15"/>
      <c r="DDG605" s="50"/>
      <c r="DDH605" s="50"/>
      <c r="DDI605" s="46"/>
      <c r="DDJ605" s="47"/>
      <c r="DDK605" s="46"/>
      <c r="DDL605" s="48"/>
      <c r="DDM605" s="53"/>
      <c r="DDT605" s="15"/>
      <c r="DDU605" s="50"/>
      <c r="DDV605" s="50"/>
      <c r="DDW605" s="46"/>
      <c r="DDX605" s="47"/>
      <c r="DDY605" s="46"/>
      <c r="DDZ605" s="48"/>
      <c r="DEA605" s="53"/>
      <c r="DEH605" s="15"/>
      <c r="DEI605" s="50"/>
      <c r="DEJ605" s="50"/>
      <c r="DEK605" s="46"/>
      <c r="DEL605" s="47"/>
      <c r="DEM605" s="46"/>
      <c r="DEN605" s="48"/>
      <c r="DEO605" s="53"/>
      <c r="DEV605" s="15"/>
      <c r="DEW605" s="50"/>
      <c r="DEX605" s="50"/>
      <c r="DEY605" s="46"/>
      <c r="DEZ605" s="47"/>
      <c r="DFA605" s="46"/>
      <c r="DFB605" s="48"/>
      <c r="DFC605" s="53"/>
      <c r="DFJ605" s="15"/>
      <c r="DFK605" s="50"/>
      <c r="DFL605" s="50"/>
      <c r="DFM605" s="46"/>
      <c r="DFN605" s="47"/>
      <c r="DFO605" s="46"/>
      <c r="DFP605" s="48"/>
      <c r="DFQ605" s="53"/>
      <c r="DFX605" s="15"/>
      <c r="DFY605" s="50"/>
      <c r="DFZ605" s="50"/>
      <c r="DGA605" s="46"/>
      <c r="DGB605" s="47"/>
      <c r="DGC605" s="46"/>
      <c r="DGD605" s="48"/>
      <c r="DGE605" s="53"/>
      <c r="DGL605" s="15"/>
      <c r="DGM605" s="50"/>
      <c r="DGN605" s="50"/>
      <c r="DGO605" s="46"/>
      <c r="DGP605" s="47"/>
      <c r="DGQ605" s="46"/>
      <c r="DGR605" s="48"/>
      <c r="DGS605" s="53"/>
      <c r="DGZ605" s="15"/>
      <c r="DHA605" s="50"/>
      <c r="DHB605" s="50"/>
      <c r="DHC605" s="46"/>
      <c r="DHD605" s="47"/>
      <c r="DHE605" s="46"/>
      <c r="DHF605" s="48"/>
      <c r="DHG605" s="53"/>
      <c r="DHN605" s="15"/>
      <c r="DHO605" s="50"/>
      <c r="DHP605" s="50"/>
      <c r="DHQ605" s="46"/>
      <c r="DHR605" s="47"/>
      <c r="DHS605" s="46"/>
      <c r="DHT605" s="48"/>
      <c r="DHU605" s="53"/>
      <c r="DIB605" s="15"/>
      <c r="DIC605" s="50"/>
      <c r="DID605" s="50"/>
      <c r="DIE605" s="46"/>
      <c r="DIF605" s="47"/>
      <c r="DIG605" s="46"/>
      <c r="DIH605" s="48"/>
      <c r="DII605" s="53"/>
      <c r="DIP605" s="15"/>
      <c r="DIQ605" s="50"/>
      <c r="DIR605" s="50"/>
      <c r="DIS605" s="46"/>
      <c r="DIT605" s="47"/>
      <c r="DIU605" s="46"/>
      <c r="DIV605" s="48"/>
      <c r="DIW605" s="53"/>
      <c r="DJD605" s="15"/>
      <c r="DJE605" s="50"/>
      <c r="DJF605" s="50"/>
      <c r="DJG605" s="46"/>
      <c r="DJH605" s="47"/>
      <c r="DJI605" s="46"/>
      <c r="DJJ605" s="48"/>
      <c r="DJK605" s="53"/>
      <c r="DJR605" s="15"/>
      <c r="DJS605" s="50"/>
      <c r="DJT605" s="50"/>
      <c r="DJU605" s="46"/>
      <c r="DJV605" s="47"/>
      <c r="DJW605" s="46"/>
      <c r="DJX605" s="48"/>
      <c r="DJY605" s="53"/>
      <c r="DKF605" s="15"/>
      <c r="DKG605" s="50"/>
      <c r="DKH605" s="50"/>
      <c r="DKI605" s="46"/>
      <c r="DKJ605" s="47"/>
      <c r="DKK605" s="46"/>
      <c r="DKL605" s="48"/>
      <c r="DKM605" s="53"/>
      <c r="DKT605" s="15"/>
      <c r="DKU605" s="50"/>
      <c r="DKV605" s="50"/>
      <c r="DKW605" s="46"/>
      <c r="DKX605" s="47"/>
      <c r="DKY605" s="46"/>
      <c r="DKZ605" s="48"/>
      <c r="DLA605" s="53"/>
      <c r="DLH605" s="15"/>
      <c r="DLI605" s="50"/>
      <c r="DLJ605" s="50"/>
      <c r="DLK605" s="46"/>
      <c r="DLL605" s="47"/>
      <c r="DLM605" s="46"/>
      <c r="DLN605" s="48"/>
      <c r="DLO605" s="53"/>
      <c r="DLV605" s="15"/>
      <c r="DLW605" s="50"/>
      <c r="DLX605" s="50"/>
      <c r="DLY605" s="46"/>
      <c r="DLZ605" s="47"/>
      <c r="DMA605" s="46"/>
      <c r="DMB605" s="48"/>
      <c r="DMC605" s="53"/>
      <c r="DMJ605" s="15"/>
      <c r="DMK605" s="50"/>
      <c r="DML605" s="50"/>
      <c r="DMM605" s="46"/>
      <c r="DMN605" s="47"/>
      <c r="DMO605" s="46"/>
      <c r="DMP605" s="48"/>
      <c r="DMQ605" s="53"/>
      <c r="DMX605" s="15"/>
      <c r="DMY605" s="50"/>
      <c r="DMZ605" s="50"/>
      <c r="DNA605" s="46"/>
      <c r="DNB605" s="47"/>
      <c r="DNC605" s="46"/>
      <c r="DND605" s="48"/>
      <c r="DNE605" s="53"/>
      <c r="DNL605" s="15"/>
      <c r="DNM605" s="50"/>
      <c r="DNN605" s="50"/>
      <c r="DNO605" s="46"/>
      <c r="DNP605" s="47"/>
      <c r="DNQ605" s="46"/>
      <c r="DNR605" s="48"/>
      <c r="DNS605" s="53"/>
      <c r="DNZ605" s="15"/>
      <c r="DOA605" s="50"/>
      <c r="DOB605" s="50"/>
      <c r="DOC605" s="46"/>
      <c r="DOD605" s="47"/>
      <c r="DOE605" s="46"/>
      <c r="DOF605" s="48"/>
      <c r="DOG605" s="53"/>
      <c r="DON605" s="15"/>
      <c r="DOO605" s="50"/>
      <c r="DOP605" s="50"/>
      <c r="DOQ605" s="46"/>
      <c r="DOR605" s="47"/>
      <c r="DOS605" s="46"/>
      <c r="DOT605" s="48"/>
      <c r="DOU605" s="53"/>
      <c r="DPB605" s="15"/>
      <c r="DPC605" s="50"/>
      <c r="DPD605" s="50"/>
      <c r="DPE605" s="46"/>
      <c r="DPF605" s="47"/>
      <c r="DPG605" s="46"/>
      <c r="DPH605" s="48"/>
      <c r="DPI605" s="53"/>
      <c r="DPP605" s="15"/>
      <c r="DPQ605" s="50"/>
      <c r="DPR605" s="50"/>
      <c r="DPS605" s="46"/>
      <c r="DPT605" s="47"/>
      <c r="DPU605" s="46"/>
      <c r="DPV605" s="48"/>
      <c r="DPW605" s="53"/>
      <c r="DQD605" s="15"/>
      <c r="DQE605" s="50"/>
      <c r="DQF605" s="50"/>
      <c r="DQG605" s="46"/>
      <c r="DQH605" s="47"/>
      <c r="DQI605" s="46"/>
      <c r="DQJ605" s="48"/>
      <c r="DQK605" s="53"/>
      <c r="DQR605" s="15"/>
      <c r="DQS605" s="50"/>
      <c r="DQT605" s="50"/>
      <c r="DQU605" s="46"/>
      <c r="DQV605" s="47"/>
      <c r="DQW605" s="46"/>
      <c r="DQX605" s="48"/>
      <c r="DQY605" s="53"/>
      <c r="DRF605" s="15"/>
      <c r="DRG605" s="50"/>
      <c r="DRH605" s="50"/>
      <c r="DRI605" s="46"/>
      <c r="DRJ605" s="47"/>
      <c r="DRK605" s="46"/>
      <c r="DRL605" s="48"/>
      <c r="DRM605" s="53"/>
      <c r="DRT605" s="15"/>
      <c r="DRU605" s="50"/>
      <c r="DRV605" s="50"/>
      <c r="DRW605" s="46"/>
      <c r="DRX605" s="47"/>
      <c r="DRY605" s="46"/>
      <c r="DRZ605" s="48"/>
      <c r="DSA605" s="53"/>
      <c r="DSH605" s="15"/>
      <c r="DSI605" s="50"/>
      <c r="DSJ605" s="50"/>
      <c r="DSK605" s="46"/>
      <c r="DSL605" s="47"/>
      <c r="DSM605" s="46"/>
      <c r="DSN605" s="48"/>
      <c r="DSO605" s="53"/>
      <c r="DSV605" s="15"/>
      <c r="DSW605" s="50"/>
      <c r="DSX605" s="50"/>
      <c r="DSY605" s="46"/>
      <c r="DSZ605" s="47"/>
      <c r="DTA605" s="46"/>
      <c r="DTB605" s="48"/>
      <c r="DTC605" s="53"/>
      <c r="DTJ605" s="15"/>
      <c r="DTK605" s="50"/>
      <c r="DTL605" s="50"/>
      <c r="DTM605" s="46"/>
      <c r="DTN605" s="47"/>
      <c r="DTO605" s="46"/>
      <c r="DTP605" s="48"/>
      <c r="DTQ605" s="53"/>
      <c r="DTX605" s="15"/>
      <c r="DTY605" s="50"/>
      <c r="DTZ605" s="50"/>
      <c r="DUA605" s="46"/>
      <c r="DUB605" s="47"/>
      <c r="DUC605" s="46"/>
      <c r="DUD605" s="48"/>
      <c r="DUE605" s="53"/>
      <c r="DUL605" s="15"/>
      <c r="DUM605" s="50"/>
      <c r="DUN605" s="50"/>
      <c r="DUO605" s="46"/>
      <c r="DUP605" s="47"/>
      <c r="DUQ605" s="46"/>
      <c r="DUR605" s="48"/>
      <c r="DUS605" s="53"/>
      <c r="DUZ605" s="15"/>
      <c r="DVA605" s="50"/>
      <c r="DVB605" s="50"/>
      <c r="DVC605" s="46"/>
      <c r="DVD605" s="47"/>
      <c r="DVE605" s="46"/>
      <c r="DVF605" s="48"/>
      <c r="DVG605" s="53"/>
      <c r="DVN605" s="15"/>
      <c r="DVO605" s="50"/>
      <c r="DVP605" s="50"/>
      <c r="DVQ605" s="46"/>
      <c r="DVR605" s="47"/>
      <c r="DVS605" s="46"/>
      <c r="DVT605" s="48"/>
      <c r="DVU605" s="53"/>
      <c r="DWB605" s="15"/>
      <c r="DWC605" s="50"/>
      <c r="DWD605" s="50"/>
      <c r="DWE605" s="46"/>
      <c r="DWF605" s="47"/>
      <c r="DWG605" s="46"/>
      <c r="DWH605" s="48"/>
      <c r="DWI605" s="53"/>
      <c r="DWP605" s="15"/>
      <c r="DWQ605" s="50"/>
      <c r="DWR605" s="50"/>
      <c r="DWS605" s="46"/>
      <c r="DWT605" s="47"/>
      <c r="DWU605" s="46"/>
      <c r="DWV605" s="48"/>
      <c r="DWW605" s="53"/>
      <c r="DXD605" s="15"/>
      <c r="DXE605" s="50"/>
      <c r="DXF605" s="50"/>
      <c r="DXG605" s="46"/>
      <c r="DXH605" s="47"/>
      <c r="DXI605" s="46"/>
      <c r="DXJ605" s="48"/>
      <c r="DXK605" s="53"/>
      <c r="DXR605" s="15"/>
      <c r="DXS605" s="50"/>
      <c r="DXT605" s="50"/>
      <c r="DXU605" s="46"/>
      <c r="DXV605" s="47"/>
      <c r="DXW605" s="46"/>
      <c r="DXX605" s="48"/>
      <c r="DXY605" s="53"/>
      <c r="DYF605" s="15"/>
      <c r="DYG605" s="50"/>
      <c r="DYH605" s="50"/>
      <c r="DYI605" s="46"/>
      <c r="DYJ605" s="47"/>
      <c r="DYK605" s="46"/>
      <c r="DYL605" s="48"/>
      <c r="DYM605" s="53"/>
      <c r="DYT605" s="15"/>
      <c r="DYU605" s="50"/>
      <c r="DYV605" s="50"/>
      <c r="DYW605" s="46"/>
      <c r="DYX605" s="47"/>
      <c r="DYY605" s="46"/>
      <c r="DYZ605" s="48"/>
      <c r="DZA605" s="53"/>
      <c r="DZH605" s="15"/>
      <c r="DZI605" s="50"/>
      <c r="DZJ605" s="50"/>
      <c r="DZK605" s="46"/>
      <c r="DZL605" s="47"/>
      <c r="DZM605" s="46"/>
      <c r="DZN605" s="48"/>
      <c r="DZO605" s="53"/>
      <c r="DZV605" s="15"/>
      <c r="DZW605" s="50"/>
      <c r="DZX605" s="50"/>
      <c r="DZY605" s="46"/>
      <c r="DZZ605" s="47"/>
      <c r="EAA605" s="46"/>
      <c r="EAB605" s="48"/>
      <c r="EAC605" s="53"/>
      <c r="EAJ605" s="15"/>
      <c r="EAK605" s="50"/>
      <c r="EAL605" s="50"/>
      <c r="EAM605" s="46"/>
      <c r="EAN605" s="47"/>
      <c r="EAO605" s="46"/>
      <c r="EAP605" s="48"/>
      <c r="EAQ605" s="53"/>
      <c r="EAX605" s="15"/>
      <c r="EAY605" s="50"/>
      <c r="EAZ605" s="50"/>
      <c r="EBA605" s="46"/>
      <c r="EBB605" s="47"/>
      <c r="EBC605" s="46"/>
      <c r="EBD605" s="48"/>
      <c r="EBE605" s="53"/>
      <c r="EBL605" s="15"/>
      <c r="EBM605" s="50"/>
      <c r="EBN605" s="50"/>
      <c r="EBO605" s="46"/>
      <c r="EBP605" s="47"/>
      <c r="EBQ605" s="46"/>
      <c r="EBR605" s="48"/>
      <c r="EBS605" s="53"/>
      <c r="EBZ605" s="15"/>
      <c r="ECA605" s="50"/>
      <c r="ECB605" s="50"/>
      <c r="ECC605" s="46"/>
      <c r="ECD605" s="47"/>
      <c r="ECE605" s="46"/>
      <c r="ECF605" s="48"/>
      <c r="ECG605" s="53"/>
      <c r="ECN605" s="15"/>
      <c r="ECO605" s="50"/>
      <c r="ECP605" s="50"/>
      <c r="ECQ605" s="46"/>
      <c r="ECR605" s="47"/>
      <c r="ECS605" s="46"/>
      <c r="ECT605" s="48"/>
      <c r="ECU605" s="53"/>
      <c r="EDB605" s="15"/>
      <c r="EDC605" s="50"/>
      <c r="EDD605" s="50"/>
      <c r="EDE605" s="46"/>
      <c r="EDF605" s="47"/>
      <c r="EDG605" s="46"/>
      <c r="EDH605" s="48"/>
      <c r="EDI605" s="53"/>
      <c r="EDP605" s="15"/>
      <c r="EDQ605" s="50"/>
      <c r="EDR605" s="50"/>
      <c r="EDS605" s="46"/>
      <c r="EDT605" s="47"/>
      <c r="EDU605" s="46"/>
      <c r="EDV605" s="48"/>
      <c r="EDW605" s="53"/>
      <c r="EED605" s="15"/>
      <c r="EEE605" s="50"/>
      <c r="EEF605" s="50"/>
      <c r="EEG605" s="46"/>
      <c r="EEH605" s="47"/>
      <c r="EEI605" s="46"/>
      <c r="EEJ605" s="48"/>
      <c r="EEK605" s="53"/>
      <c r="EER605" s="15"/>
      <c r="EES605" s="50"/>
      <c r="EET605" s="50"/>
      <c r="EEU605" s="46"/>
      <c r="EEV605" s="47"/>
      <c r="EEW605" s="46"/>
      <c r="EEX605" s="48"/>
      <c r="EEY605" s="53"/>
      <c r="EFF605" s="15"/>
      <c r="EFG605" s="50"/>
      <c r="EFH605" s="50"/>
      <c r="EFI605" s="46"/>
      <c r="EFJ605" s="47"/>
      <c r="EFK605" s="46"/>
      <c r="EFL605" s="48"/>
      <c r="EFM605" s="53"/>
      <c r="EFT605" s="15"/>
      <c r="EFU605" s="50"/>
      <c r="EFV605" s="50"/>
      <c r="EFW605" s="46"/>
      <c r="EFX605" s="47"/>
      <c r="EFY605" s="46"/>
      <c r="EFZ605" s="48"/>
      <c r="EGA605" s="53"/>
      <c r="EGH605" s="15"/>
      <c r="EGI605" s="50"/>
      <c r="EGJ605" s="50"/>
      <c r="EGK605" s="46"/>
      <c r="EGL605" s="47"/>
      <c r="EGM605" s="46"/>
      <c r="EGN605" s="48"/>
      <c r="EGO605" s="53"/>
      <c r="EGV605" s="15"/>
      <c r="EGW605" s="50"/>
      <c r="EGX605" s="50"/>
      <c r="EGY605" s="46"/>
      <c r="EGZ605" s="47"/>
      <c r="EHA605" s="46"/>
      <c r="EHB605" s="48"/>
      <c r="EHC605" s="53"/>
      <c r="EHJ605" s="15"/>
      <c r="EHK605" s="50"/>
      <c r="EHL605" s="50"/>
      <c r="EHM605" s="46"/>
      <c r="EHN605" s="47"/>
      <c r="EHO605" s="46"/>
      <c r="EHP605" s="48"/>
      <c r="EHQ605" s="53"/>
      <c r="EHX605" s="15"/>
      <c r="EHY605" s="50"/>
      <c r="EHZ605" s="50"/>
      <c r="EIA605" s="46"/>
      <c r="EIB605" s="47"/>
      <c r="EIC605" s="46"/>
      <c r="EID605" s="48"/>
      <c r="EIE605" s="53"/>
      <c r="EIL605" s="15"/>
      <c r="EIM605" s="50"/>
      <c r="EIN605" s="50"/>
      <c r="EIO605" s="46"/>
      <c r="EIP605" s="47"/>
      <c r="EIQ605" s="46"/>
      <c r="EIR605" s="48"/>
      <c r="EIS605" s="53"/>
      <c r="EIZ605" s="15"/>
      <c r="EJA605" s="50"/>
      <c r="EJB605" s="50"/>
      <c r="EJC605" s="46"/>
      <c r="EJD605" s="47"/>
      <c r="EJE605" s="46"/>
      <c r="EJF605" s="48"/>
      <c r="EJG605" s="53"/>
      <c r="EJN605" s="15"/>
      <c r="EJO605" s="50"/>
      <c r="EJP605" s="50"/>
      <c r="EJQ605" s="46"/>
      <c r="EJR605" s="47"/>
      <c r="EJS605" s="46"/>
      <c r="EJT605" s="48"/>
      <c r="EJU605" s="53"/>
      <c r="EKB605" s="15"/>
      <c r="EKC605" s="50"/>
      <c r="EKD605" s="50"/>
      <c r="EKE605" s="46"/>
      <c r="EKF605" s="47"/>
      <c r="EKG605" s="46"/>
      <c r="EKH605" s="48"/>
      <c r="EKI605" s="53"/>
      <c r="EKP605" s="15"/>
      <c r="EKQ605" s="50"/>
      <c r="EKR605" s="50"/>
      <c r="EKS605" s="46"/>
      <c r="EKT605" s="47"/>
      <c r="EKU605" s="46"/>
      <c r="EKV605" s="48"/>
      <c r="EKW605" s="53"/>
      <c r="ELD605" s="15"/>
      <c r="ELE605" s="50"/>
      <c r="ELF605" s="50"/>
      <c r="ELG605" s="46"/>
      <c r="ELH605" s="47"/>
      <c r="ELI605" s="46"/>
      <c r="ELJ605" s="48"/>
      <c r="ELK605" s="53"/>
      <c r="ELR605" s="15"/>
      <c r="ELS605" s="50"/>
      <c r="ELT605" s="50"/>
      <c r="ELU605" s="46"/>
      <c r="ELV605" s="47"/>
      <c r="ELW605" s="46"/>
      <c r="ELX605" s="48"/>
      <c r="ELY605" s="53"/>
      <c r="EMF605" s="15"/>
      <c r="EMG605" s="50"/>
      <c r="EMH605" s="50"/>
      <c r="EMI605" s="46"/>
      <c r="EMJ605" s="47"/>
      <c r="EMK605" s="46"/>
      <c r="EML605" s="48"/>
      <c r="EMM605" s="53"/>
      <c r="EMT605" s="15"/>
      <c r="EMU605" s="50"/>
      <c r="EMV605" s="50"/>
      <c r="EMW605" s="46"/>
      <c r="EMX605" s="47"/>
      <c r="EMY605" s="46"/>
      <c r="EMZ605" s="48"/>
      <c r="ENA605" s="53"/>
      <c r="ENH605" s="15"/>
      <c r="ENI605" s="50"/>
      <c r="ENJ605" s="50"/>
      <c r="ENK605" s="46"/>
      <c r="ENL605" s="47"/>
      <c r="ENM605" s="46"/>
      <c r="ENN605" s="48"/>
      <c r="ENO605" s="53"/>
      <c r="ENV605" s="15"/>
      <c r="ENW605" s="50"/>
      <c r="ENX605" s="50"/>
      <c r="ENY605" s="46"/>
      <c r="ENZ605" s="47"/>
      <c r="EOA605" s="46"/>
      <c r="EOB605" s="48"/>
      <c r="EOC605" s="53"/>
      <c r="EOJ605" s="15"/>
      <c r="EOK605" s="50"/>
      <c r="EOL605" s="50"/>
      <c r="EOM605" s="46"/>
      <c r="EON605" s="47"/>
      <c r="EOO605" s="46"/>
      <c r="EOP605" s="48"/>
      <c r="EOQ605" s="53"/>
      <c r="EOX605" s="15"/>
      <c r="EOY605" s="50"/>
      <c r="EOZ605" s="50"/>
      <c r="EPA605" s="46"/>
      <c r="EPB605" s="47"/>
      <c r="EPC605" s="46"/>
      <c r="EPD605" s="48"/>
      <c r="EPE605" s="53"/>
      <c r="EPL605" s="15"/>
      <c r="EPM605" s="50"/>
      <c r="EPN605" s="50"/>
      <c r="EPO605" s="46"/>
      <c r="EPP605" s="47"/>
      <c r="EPQ605" s="46"/>
      <c r="EPR605" s="48"/>
      <c r="EPS605" s="53"/>
      <c r="EPZ605" s="15"/>
      <c r="EQA605" s="50"/>
      <c r="EQB605" s="50"/>
      <c r="EQC605" s="46"/>
      <c r="EQD605" s="47"/>
      <c r="EQE605" s="46"/>
      <c r="EQF605" s="48"/>
      <c r="EQG605" s="53"/>
      <c r="EQN605" s="15"/>
      <c r="EQO605" s="50"/>
      <c r="EQP605" s="50"/>
      <c r="EQQ605" s="46"/>
      <c r="EQR605" s="47"/>
      <c r="EQS605" s="46"/>
      <c r="EQT605" s="48"/>
      <c r="EQU605" s="53"/>
      <c r="ERB605" s="15"/>
      <c r="ERC605" s="50"/>
      <c r="ERD605" s="50"/>
      <c r="ERE605" s="46"/>
      <c r="ERF605" s="47"/>
      <c r="ERG605" s="46"/>
      <c r="ERH605" s="48"/>
      <c r="ERI605" s="53"/>
      <c r="ERP605" s="15"/>
      <c r="ERQ605" s="50"/>
      <c r="ERR605" s="50"/>
      <c r="ERS605" s="46"/>
      <c r="ERT605" s="47"/>
      <c r="ERU605" s="46"/>
      <c r="ERV605" s="48"/>
      <c r="ERW605" s="53"/>
      <c r="ESD605" s="15"/>
      <c r="ESE605" s="50"/>
      <c r="ESF605" s="50"/>
      <c r="ESG605" s="46"/>
      <c r="ESH605" s="47"/>
      <c r="ESI605" s="46"/>
      <c r="ESJ605" s="48"/>
      <c r="ESK605" s="53"/>
      <c r="ESR605" s="15"/>
      <c r="ESS605" s="50"/>
      <c r="EST605" s="50"/>
      <c r="ESU605" s="46"/>
      <c r="ESV605" s="47"/>
      <c r="ESW605" s="46"/>
      <c r="ESX605" s="48"/>
      <c r="ESY605" s="53"/>
      <c r="ETF605" s="15"/>
      <c r="ETG605" s="50"/>
      <c r="ETH605" s="50"/>
      <c r="ETI605" s="46"/>
      <c r="ETJ605" s="47"/>
      <c r="ETK605" s="46"/>
      <c r="ETL605" s="48"/>
      <c r="ETM605" s="53"/>
      <c r="ETT605" s="15"/>
      <c r="ETU605" s="50"/>
      <c r="ETV605" s="50"/>
      <c r="ETW605" s="46"/>
      <c r="ETX605" s="47"/>
      <c r="ETY605" s="46"/>
      <c r="ETZ605" s="48"/>
      <c r="EUA605" s="53"/>
      <c r="EUH605" s="15"/>
      <c r="EUI605" s="50"/>
      <c r="EUJ605" s="50"/>
      <c r="EUK605" s="46"/>
      <c r="EUL605" s="47"/>
      <c r="EUM605" s="46"/>
      <c r="EUN605" s="48"/>
      <c r="EUO605" s="53"/>
      <c r="EUV605" s="15"/>
      <c r="EUW605" s="50"/>
      <c r="EUX605" s="50"/>
      <c r="EUY605" s="46"/>
      <c r="EUZ605" s="47"/>
      <c r="EVA605" s="46"/>
      <c r="EVB605" s="48"/>
      <c r="EVC605" s="53"/>
      <c r="EVJ605" s="15"/>
      <c r="EVK605" s="50"/>
      <c r="EVL605" s="50"/>
      <c r="EVM605" s="46"/>
      <c r="EVN605" s="47"/>
      <c r="EVO605" s="46"/>
      <c r="EVP605" s="48"/>
      <c r="EVQ605" s="53"/>
      <c r="EVX605" s="15"/>
      <c r="EVY605" s="50"/>
      <c r="EVZ605" s="50"/>
      <c r="EWA605" s="46"/>
      <c r="EWB605" s="47"/>
      <c r="EWC605" s="46"/>
      <c r="EWD605" s="48"/>
      <c r="EWE605" s="53"/>
      <c r="EWL605" s="15"/>
      <c r="EWM605" s="50"/>
      <c r="EWN605" s="50"/>
      <c r="EWO605" s="46"/>
      <c r="EWP605" s="47"/>
      <c r="EWQ605" s="46"/>
      <c r="EWR605" s="48"/>
      <c r="EWS605" s="53"/>
      <c r="EWZ605" s="15"/>
      <c r="EXA605" s="50"/>
      <c r="EXB605" s="50"/>
      <c r="EXC605" s="46"/>
      <c r="EXD605" s="47"/>
      <c r="EXE605" s="46"/>
      <c r="EXF605" s="48"/>
      <c r="EXG605" s="53"/>
      <c r="EXN605" s="15"/>
      <c r="EXO605" s="50"/>
      <c r="EXP605" s="50"/>
      <c r="EXQ605" s="46"/>
      <c r="EXR605" s="47"/>
      <c r="EXS605" s="46"/>
      <c r="EXT605" s="48"/>
      <c r="EXU605" s="53"/>
      <c r="EYB605" s="15"/>
      <c r="EYC605" s="50"/>
      <c r="EYD605" s="50"/>
      <c r="EYE605" s="46"/>
      <c r="EYF605" s="47"/>
      <c r="EYG605" s="46"/>
      <c r="EYH605" s="48"/>
      <c r="EYI605" s="53"/>
      <c r="EYP605" s="15"/>
      <c r="EYQ605" s="50"/>
      <c r="EYR605" s="50"/>
      <c r="EYS605" s="46"/>
      <c r="EYT605" s="47"/>
      <c r="EYU605" s="46"/>
      <c r="EYV605" s="48"/>
      <c r="EYW605" s="53"/>
      <c r="EZD605" s="15"/>
      <c r="EZE605" s="50"/>
      <c r="EZF605" s="50"/>
      <c r="EZG605" s="46"/>
      <c r="EZH605" s="47"/>
      <c r="EZI605" s="46"/>
      <c r="EZJ605" s="48"/>
      <c r="EZK605" s="53"/>
      <c r="EZR605" s="15"/>
      <c r="EZS605" s="50"/>
      <c r="EZT605" s="50"/>
      <c r="EZU605" s="46"/>
      <c r="EZV605" s="47"/>
      <c r="EZW605" s="46"/>
      <c r="EZX605" s="48"/>
      <c r="EZY605" s="53"/>
      <c r="FAF605" s="15"/>
      <c r="FAG605" s="50"/>
      <c r="FAH605" s="50"/>
      <c r="FAI605" s="46"/>
      <c r="FAJ605" s="47"/>
      <c r="FAK605" s="46"/>
      <c r="FAL605" s="48"/>
      <c r="FAM605" s="53"/>
      <c r="FAT605" s="15"/>
      <c r="FAU605" s="50"/>
      <c r="FAV605" s="50"/>
      <c r="FAW605" s="46"/>
      <c r="FAX605" s="47"/>
      <c r="FAY605" s="46"/>
      <c r="FAZ605" s="48"/>
      <c r="FBA605" s="53"/>
      <c r="FBH605" s="15"/>
      <c r="FBI605" s="50"/>
      <c r="FBJ605" s="50"/>
      <c r="FBK605" s="46"/>
      <c r="FBL605" s="47"/>
      <c r="FBM605" s="46"/>
      <c r="FBN605" s="48"/>
      <c r="FBO605" s="53"/>
      <c r="FBV605" s="15"/>
      <c r="FBW605" s="50"/>
      <c r="FBX605" s="50"/>
      <c r="FBY605" s="46"/>
      <c r="FBZ605" s="47"/>
      <c r="FCA605" s="46"/>
      <c r="FCB605" s="48"/>
      <c r="FCC605" s="53"/>
      <c r="FCJ605" s="15"/>
      <c r="FCK605" s="50"/>
      <c r="FCL605" s="50"/>
      <c r="FCM605" s="46"/>
      <c r="FCN605" s="47"/>
      <c r="FCO605" s="46"/>
      <c r="FCP605" s="48"/>
      <c r="FCQ605" s="53"/>
      <c r="FCX605" s="15"/>
      <c r="FCY605" s="50"/>
      <c r="FCZ605" s="50"/>
      <c r="FDA605" s="46"/>
      <c r="FDB605" s="47"/>
      <c r="FDC605" s="46"/>
      <c r="FDD605" s="48"/>
      <c r="FDE605" s="53"/>
      <c r="FDL605" s="15"/>
      <c r="FDM605" s="50"/>
      <c r="FDN605" s="50"/>
      <c r="FDO605" s="46"/>
      <c r="FDP605" s="47"/>
      <c r="FDQ605" s="46"/>
      <c r="FDR605" s="48"/>
      <c r="FDS605" s="53"/>
      <c r="FDZ605" s="15"/>
      <c r="FEA605" s="50"/>
      <c r="FEB605" s="50"/>
      <c r="FEC605" s="46"/>
      <c r="FED605" s="47"/>
      <c r="FEE605" s="46"/>
      <c r="FEF605" s="48"/>
      <c r="FEG605" s="53"/>
      <c r="FEN605" s="15"/>
      <c r="FEO605" s="50"/>
      <c r="FEP605" s="50"/>
      <c r="FEQ605" s="46"/>
      <c r="FER605" s="47"/>
      <c r="FES605" s="46"/>
      <c r="FET605" s="48"/>
      <c r="FEU605" s="53"/>
      <c r="FFB605" s="15"/>
      <c r="FFC605" s="50"/>
      <c r="FFD605" s="50"/>
      <c r="FFE605" s="46"/>
      <c r="FFF605" s="47"/>
      <c r="FFG605" s="46"/>
      <c r="FFH605" s="48"/>
      <c r="FFI605" s="53"/>
      <c r="FFP605" s="15"/>
      <c r="FFQ605" s="50"/>
      <c r="FFR605" s="50"/>
      <c r="FFS605" s="46"/>
      <c r="FFT605" s="47"/>
      <c r="FFU605" s="46"/>
      <c r="FFV605" s="48"/>
      <c r="FFW605" s="53"/>
      <c r="FGD605" s="15"/>
      <c r="FGE605" s="50"/>
      <c r="FGF605" s="50"/>
      <c r="FGG605" s="46"/>
      <c r="FGH605" s="47"/>
      <c r="FGI605" s="46"/>
      <c r="FGJ605" s="48"/>
      <c r="FGK605" s="53"/>
      <c r="FGR605" s="15"/>
      <c r="FGS605" s="50"/>
      <c r="FGT605" s="50"/>
      <c r="FGU605" s="46"/>
      <c r="FGV605" s="47"/>
      <c r="FGW605" s="46"/>
      <c r="FGX605" s="48"/>
      <c r="FGY605" s="53"/>
      <c r="FHF605" s="15"/>
      <c r="FHG605" s="50"/>
      <c r="FHH605" s="50"/>
      <c r="FHI605" s="46"/>
      <c r="FHJ605" s="47"/>
      <c r="FHK605" s="46"/>
      <c r="FHL605" s="48"/>
      <c r="FHM605" s="53"/>
      <c r="FHT605" s="15"/>
      <c r="FHU605" s="50"/>
      <c r="FHV605" s="50"/>
      <c r="FHW605" s="46"/>
      <c r="FHX605" s="47"/>
      <c r="FHY605" s="46"/>
      <c r="FHZ605" s="48"/>
      <c r="FIA605" s="53"/>
      <c r="FIH605" s="15"/>
      <c r="FII605" s="50"/>
      <c r="FIJ605" s="50"/>
      <c r="FIK605" s="46"/>
      <c r="FIL605" s="47"/>
      <c r="FIM605" s="46"/>
      <c r="FIN605" s="48"/>
      <c r="FIO605" s="53"/>
      <c r="FIV605" s="15"/>
      <c r="FIW605" s="50"/>
      <c r="FIX605" s="50"/>
      <c r="FIY605" s="46"/>
      <c r="FIZ605" s="47"/>
      <c r="FJA605" s="46"/>
      <c r="FJB605" s="48"/>
      <c r="FJC605" s="53"/>
      <c r="FJJ605" s="15"/>
      <c r="FJK605" s="50"/>
      <c r="FJL605" s="50"/>
      <c r="FJM605" s="46"/>
      <c r="FJN605" s="47"/>
      <c r="FJO605" s="46"/>
      <c r="FJP605" s="48"/>
      <c r="FJQ605" s="53"/>
      <c r="FJX605" s="15"/>
      <c r="FJY605" s="50"/>
      <c r="FJZ605" s="50"/>
      <c r="FKA605" s="46"/>
      <c r="FKB605" s="47"/>
      <c r="FKC605" s="46"/>
      <c r="FKD605" s="48"/>
      <c r="FKE605" s="53"/>
      <c r="FKL605" s="15"/>
      <c r="FKM605" s="50"/>
      <c r="FKN605" s="50"/>
      <c r="FKO605" s="46"/>
      <c r="FKP605" s="47"/>
      <c r="FKQ605" s="46"/>
      <c r="FKR605" s="48"/>
      <c r="FKS605" s="53"/>
      <c r="FKZ605" s="15"/>
      <c r="FLA605" s="50"/>
      <c r="FLB605" s="50"/>
      <c r="FLC605" s="46"/>
      <c r="FLD605" s="47"/>
      <c r="FLE605" s="46"/>
      <c r="FLF605" s="48"/>
      <c r="FLG605" s="53"/>
      <c r="FLN605" s="15"/>
      <c r="FLO605" s="50"/>
      <c r="FLP605" s="50"/>
      <c r="FLQ605" s="46"/>
      <c r="FLR605" s="47"/>
      <c r="FLS605" s="46"/>
      <c r="FLT605" s="48"/>
      <c r="FLU605" s="53"/>
      <c r="FMB605" s="15"/>
      <c r="FMC605" s="50"/>
      <c r="FMD605" s="50"/>
      <c r="FME605" s="46"/>
      <c r="FMF605" s="47"/>
      <c r="FMG605" s="46"/>
      <c r="FMH605" s="48"/>
      <c r="FMI605" s="53"/>
      <c r="FMP605" s="15"/>
      <c r="FMQ605" s="50"/>
      <c r="FMR605" s="50"/>
      <c r="FMS605" s="46"/>
      <c r="FMT605" s="47"/>
      <c r="FMU605" s="46"/>
      <c r="FMV605" s="48"/>
      <c r="FMW605" s="53"/>
      <c r="FND605" s="15"/>
      <c r="FNE605" s="50"/>
      <c r="FNF605" s="50"/>
      <c r="FNG605" s="46"/>
      <c r="FNH605" s="47"/>
      <c r="FNI605" s="46"/>
      <c r="FNJ605" s="48"/>
      <c r="FNK605" s="53"/>
      <c r="FNR605" s="15"/>
      <c r="FNS605" s="50"/>
      <c r="FNT605" s="50"/>
      <c r="FNU605" s="46"/>
      <c r="FNV605" s="47"/>
      <c r="FNW605" s="46"/>
      <c r="FNX605" s="48"/>
      <c r="FNY605" s="53"/>
      <c r="FOF605" s="15"/>
      <c r="FOG605" s="50"/>
      <c r="FOH605" s="50"/>
      <c r="FOI605" s="46"/>
      <c r="FOJ605" s="47"/>
      <c r="FOK605" s="46"/>
      <c r="FOL605" s="48"/>
      <c r="FOM605" s="53"/>
      <c r="FOT605" s="15"/>
      <c r="FOU605" s="50"/>
      <c r="FOV605" s="50"/>
      <c r="FOW605" s="46"/>
      <c r="FOX605" s="47"/>
      <c r="FOY605" s="46"/>
      <c r="FOZ605" s="48"/>
      <c r="FPA605" s="53"/>
      <c r="FPH605" s="15"/>
      <c r="FPI605" s="50"/>
      <c r="FPJ605" s="50"/>
      <c r="FPK605" s="46"/>
      <c r="FPL605" s="47"/>
      <c r="FPM605" s="46"/>
      <c r="FPN605" s="48"/>
      <c r="FPO605" s="53"/>
      <c r="FPV605" s="15"/>
      <c r="FPW605" s="50"/>
      <c r="FPX605" s="50"/>
      <c r="FPY605" s="46"/>
      <c r="FPZ605" s="47"/>
      <c r="FQA605" s="46"/>
      <c r="FQB605" s="48"/>
      <c r="FQC605" s="53"/>
      <c r="FQJ605" s="15"/>
      <c r="FQK605" s="50"/>
      <c r="FQL605" s="50"/>
      <c r="FQM605" s="46"/>
      <c r="FQN605" s="47"/>
      <c r="FQO605" s="46"/>
      <c r="FQP605" s="48"/>
      <c r="FQQ605" s="53"/>
      <c r="FQX605" s="15"/>
      <c r="FQY605" s="50"/>
      <c r="FQZ605" s="50"/>
      <c r="FRA605" s="46"/>
      <c r="FRB605" s="47"/>
      <c r="FRC605" s="46"/>
      <c r="FRD605" s="48"/>
      <c r="FRE605" s="53"/>
      <c r="FRL605" s="15"/>
      <c r="FRM605" s="50"/>
      <c r="FRN605" s="50"/>
      <c r="FRO605" s="46"/>
      <c r="FRP605" s="47"/>
      <c r="FRQ605" s="46"/>
      <c r="FRR605" s="48"/>
      <c r="FRS605" s="53"/>
      <c r="FRZ605" s="15"/>
      <c r="FSA605" s="50"/>
      <c r="FSB605" s="50"/>
      <c r="FSC605" s="46"/>
      <c r="FSD605" s="47"/>
      <c r="FSE605" s="46"/>
      <c r="FSF605" s="48"/>
      <c r="FSG605" s="53"/>
      <c r="FSN605" s="15"/>
      <c r="FSO605" s="50"/>
      <c r="FSP605" s="50"/>
      <c r="FSQ605" s="46"/>
      <c r="FSR605" s="47"/>
      <c r="FSS605" s="46"/>
      <c r="FST605" s="48"/>
      <c r="FSU605" s="53"/>
      <c r="FTB605" s="15"/>
      <c r="FTC605" s="50"/>
      <c r="FTD605" s="50"/>
      <c r="FTE605" s="46"/>
      <c r="FTF605" s="47"/>
      <c r="FTG605" s="46"/>
      <c r="FTH605" s="48"/>
      <c r="FTI605" s="53"/>
      <c r="FTP605" s="15"/>
      <c r="FTQ605" s="50"/>
      <c r="FTR605" s="50"/>
      <c r="FTS605" s="46"/>
      <c r="FTT605" s="47"/>
      <c r="FTU605" s="46"/>
      <c r="FTV605" s="48"/>
      <c r="FTW605" s="53"/>
      <c r="FUD605" s="15"/>
      <c r="FUE605" s="50"/>
      <c r="FUF605" s="50"/>
      <c r="FUG605" s="46"/>
      <c r="FUH605" s="47"/>
      <c r="FUI605" s="46"/>
      <c r="FUJ605" s="48"/>
      <c r="FUK605" s="53"/>
      <c r="FUR605" s="15"/>
      <c r="FUS605" s="50"/>
      <c r="FUT605" s="50"/>
      <c r="FUU605" s="46"/>
      <c r="FUV605" s="47"/>
      <c r="FUW605" s="46"/>
      <c r="FUX605" s="48"/>
      <c r="FUY605" s="53"/>
      <c r="FVF605" s="15"/>
      <c r="FVG605" s="50"/>
      <c r="FVH605" s="50"/>
      <c r="FVI605" s="46"/>
      <c r="FVJ605" s="47"/>
      <c r="FVK605" s="46"/>
      <c r="FVL605" s="48"/>
      <c r="FVM605" s="53"/>
      <c r="FVT605" s="15"/>
      <c r="FVU605" s="50"/>
      <c r="FVV605" s="50"/>
      <c r="FVW605" s="46"/>
      <c r="FVX605" s="47"/>
      <c r="FVY605" s="46"/>
      <c r="FVZ605" s="48"/>
      <c r="FWA605" s="53"/>
      <c r="FWH605" s="15"/>
      <c r="FWI605" s="50"/>
      <c r="FWJ605" s="50"/>
      <c r="FWK605" s="46"/>
      <c r="FWL605" s="47"/>
      <c r="FWM605" s="46"/>
      <c r="FWN605" s="48"/>
      <c r="FWO605" s="53"/>
      <c r="FWV605" s="15"/>
      <c r="FWW605" s="50"/>
      <c r="FWX605" s="50"/>
      <c r="FWY605" s="46"/>
      <c r="FWZ605" s="47"/>
      <c r="FXA605" s="46"/>
      <c r="FXB605" s="48"/>
      <c r="FXC605" s="53"/>
      <c r="FXJ605" s="15"/>
      <c r="FXK605" s="50"/>
      <c r="FXL605" s="50"/>
      <c r="FXM605" s="46"/>
      <c r="FXN605" s="47"/>
      <c r="FXO605" s="46"/>
      <c r="FXP605" s="48"/>
      <c r="FXQ605" s="53"/>
      <c r="FXX605" s="15"/>
      <c r="FXY605" s="50"/>
      <c r="FXZ605" s="50"/>
      <c r="FYA605" s="46"/>
      <c r="FYB605" s="47"/>
      <c r="FYC605" s="46"/>
      <c r="FYD605" s="48"/>
      <c r="FYE605" s="53"/>
      <c r="FYL605" s="15"/>
      <c r="FYM605" s="50"/>
      <c r="FYN605" s="50"/>
      <c r="FYO605" s="46"/>
      <c r="FYP605" s="47"/>
      <c r="FYQ605" s="46"/>
      <c r="FYR605" s="48"/>
      <c r="FYS605" s="53"/>
      <c r="FYZ605" s="15"/>
      <c r="FZA605" s="50"/>
      <c r="FZB605" s="50"/>
      <c r="FZC605" s="46"/>
      <c r="FZD605" s="47"/>
      <c r="FZE605" s="46"/>
      <c r="FZF605" s="48"/>
      <c r="FZG605" s="53"/>
      <c r="FZN605" s="15"/>
      <c r="FZO605" s="50"/>
      <c r="FZP605" s="50"/>
      <c r="FZQ605" s="46"/>
      <c r="FZR605" s="47"/>
      <c r="FZS605" s="46"/>
      <c r="FZT605" s="48"/>
      <c r="FZU605" s="53"/>
      <c r="GAB605" s="15"/>
      <c r="GAC605" s="50"/>
      <c r="GAD605" s="50"/>
      <c r="GAE605" s="46"/>
      <c r="GAF605" s="47"/>
      <c r="GAG605" s="46"/>
      <c r="GAH605" s="48"/>
      <c r="GAI605" s="53"/>
      <c r="GAP605" s="15"/>
      <c r="GAQ605" s="50"/>
      <c r="GAR605" s="50"/>
      <c r="GAS605" s="46"/>
      <c r="GAT605" s="47"/>
      <c r="GAU605" s="46"/>
      <c r="GAV605" s="48"/>
      <c r="GAW605" s="53"/>
      <c r="GBD605" s="15"/>
      <c r="GBE605" s="50"/>
      <c r="GBF605" s="50"/>
      <c r="GBG605" s="46"/>
      <c r="GBH605" s="47"/>
      <c r="GBI605" s="46"/>
      <c r="GBJ605" s="48"/>
      <c r="GBK605" s="53"/>
      <c r="GBR605" s="15"/>
      <c r="GBS605" s="50"/>
      <c r="GBT605" s="50"/>
      <c r="GBU605" s="46"/>
      <c r="GBV605" s="47"/>
      <c r="GBW605" s="46"/>
      <c r="GBX605" s="48"/>
      <c r="GBY605" s="53"/>
      <c r="GCF605" s="15"/>
      <c r="GCG605" s="50"/>
      <c r="GCH605" s="50"/>
      <c r="GCI605" s="46"/>
      <c r="GCJ605" s="47"/>
      <c r="GCK605" s="46"/>
      <c r="GCL605" s="48"/>
      <c r="GCM605" s="53"/>
      <c r="GCT605" s="15"/>
      <c r="GCU605" s="50"/>
      <c r="GCV605" s="50"/>
      <c r="GCW605" s="46"/>
      <c r="GCX605" s="47"/>
      <c r="GCY605" s="46"/>
      <c r="GCZ605" s="48"/>
      <c r="GDA605" s="53"/>
      <c r="GDH605" s="15"/>
      <c r="GDI605" s="50"/>
      <c r="GDJ605" s="50"/>
      <c r="GDK605" s="46"/>
      <c r="GDL605" s="47"/>
      <c r="GDM605" s="46"/>
      <c r="GDN605" s="48"/>
      <c r="GDO605" s="53"/>
      <c r="GDV605" s="15"/>
      <c r="GDW605" s="50"/>
      <c r="GDX605" s="50"/>
      <c r="GDY605" s="46"/>
      <c r="GDZ605" s="47"/>
      <c r="GEA605" s="46"/>
      <c r="GEB605" s="48"/>
      <c r="GEC605" s="53"/>
      <c r="GEJ605" s="15"/>
      <c r="GEK605" s="50"/>
      <c r="GEL605" s="50"/>
      <c r="GEM605" s="46"/>
      <c r="GEN605" s="47"/>
      <c r="GEO605" s="46"/>
      <c r="GEP605" s="48"/>
      <c r="GEQ605" s="53"/>
      <c r="GEX605" s="15"/>
      <c r="GEY605" s="50"/>
      <c r="GEZ605" s="50"/>
      <c r="GFA605" s="46"/>
      <c r="GFB605" s="47"/>
      <c r="GFC605" s="46"/>
      <c r="GFD605" s="48"/>
      <c r="GFE605" s="53"/>
      <c r="GFL605" s="15"/>
      <c r="GFM605" s="50"/>
      <c r="GFN605" s="50"/>
      <c r="GFO605" s="46"/>
      <c r="GFP605" s="47"/>
      <c r="GFQ605" s="46"/>
      <c r="GFR605" s="48"/>
      <c r="GFS605" s="53"/>
      <c r="GFZ605" s="15"/>
      <c r="GGA605" s="50"/>
      <c r="GGB605" s="50"/>
      <c r="GGC605" s="46"/>
      <c r="GGD605" s="47"/>
      <c r="GGE605" s="46"/>
      <c r="GGF605" s="48"/>
      <c r="GGG605" s="53"/>
      <c r="GGN605" s="15"/>
      <c r="GGO605" s="50"/>
      <c r="GGP605" s="50"/>
      <c r="GGQ605" s="46"/>
      <c r="GGR605" s="47"/>
      <c r="GGS605" s="46"/>
      <c r="GGT605" s="48"/>
      <c r="GGU605" s="53"/>
      <c r="GHB605" s="15"/>
      <c r="GHC605" s="50"/>
      <c r="GHD605" s="50"/>
      <c r="GHE605" s="46"/>
      <c r="GHF605" s="47"/>
      <c r="GHG605" s="46"/>
      <c r="GHH605" s="48"/>
      <c r="GHI605" s="53"/>
      <c r="GHP605" s="15"/>
      <c r="GHQ605" s="50"/>
      <c r="GHR605" s="50"/>
      <c r="GHS605" s="46"/>
      <c r="GHT605" s="47"/>
      <c r="GHU605" s="46"/>
      <c r="GHV605" s="48"/>
      <c r="GHW605" s="53"/>
      <c r="GID605" s="15"/>
      <c r="GIE605" s="50"/>
      <c r="GIF605" s="50"/>
      <c r="GIG605" s="46"/>
      <c r="GIH605" s="47"/>
      <c r="GII605" s="46"/>
      <c r="GIJ605" s="48"/>
      <c r="GIK605" s="53"/>
      <c r="GIR605" s="15"/>
      <c r="GIS605" s="50"/>
      <c r="GIT605" s="50"/>
      <c r="GIU605" s="46"/>
      <c r="GIV605" s="47"/>
      <c r="GIW605" s="46"/>
      <c r="GIX605" s="48"/>
      <c r="GIY605" s="53"/>
      <c r="GJF605" s="15"/>
      <c r="GJG605" s="50"/>
      <c r="GJH605" s="50"/>
      <c r="GJI605" s="46"/>
      <c r="GJJ605" s="47"/>
      <c r="GJK605" s="46"/>
      <c r="GJL605" s="48"/>
      <c r="GJM605" s="53"/>
      <c r="GJT605" s="15"/>
      <c r="GJU605" s="50"/>
      <c r="GJV605" s="50"/>
      <c r="GJW605" s="46"/>
      <c r="GJX605" s="47"/>
      <c r="GJY605" s="46"/>
      <c r="GJZ605" s="48"/>
      <c r="GKA605" s="53"/>
      <c r="GKH605" s="15"/>
      <c r="GKI605" s="50"/>
      <c r="GKJ605" s="50"/>
      <c r="GKK605" s="46"/>
      <c r="GKL605" s="47"/>
      <c r="GKM605" s="46"/>
      <c r="GKN605" s="48"/>
      <c r="GKO605" s="53"/>
      <c r="GKV605" s="15"/>
      <c r="GKW605" s="50"/>
      <c r="GKX605" s="50"/>
      <c r="GKY605" s="46"/>
      <c r="GKZ605" s="47"/>
      <c r="GLA605" s="46"/>
      <c r="GLB605" s="48"/>
      <c r="GLC605" s="53"/>
      <c r="GLJ605" s="15"/>
      <c r="GLK605" s="50"/>
      <c r="GLL605" s="50"/>
      <c r="GLM605" s="46"/>
      <c r="GLN605" s="47"/>
      <c r="GLO605" s="46"/>
      <c r="GLP605" s="48"/>
      <c r="GLQ605" s="53"/>
      <c r="GLX605" s="15"/>
      <c r="GLY605" s="50"/>
      <c r="GLZ605" s="50"/>
      <c r="GMA605" s="46"/>
      <c r="GMB605" s="47"/>
      <c r="GMC605" s="46"/>
      <c r="GMD605" s="48"/>
      <c r="GME605" s="53"/>
      <c r="GML605" s="15"/>
      <c r="GMM605" s="50"/>
      <c r="GMN605" s="50"/>
      <c r="GMO605" s="46"/>
      <c r="GMP605" s="47"/>
      <c r="GMQ605" s="46"/>
      <c r="GMR605" s="48"/>
      <c r="GMS605" s="53"/>
      <c r="GMZ605" s="15"/>
      <c r="GNA605" s="50"/>
      <c r="GNB605" s="50"/>
      <c r="GNC605" s="46"/>
      <c r="GND605" s="47"/>
      <c r="GNE605" s="46"/>
      <c r="GNF605" s="48"/>
      <c r="GNG605" s="53"/>
      <c r="GNN605" s="15"/>
      <c r="GNO605" s="50"/>
      <c r="GNP605" s="50"/>
      <c r="GNQ605" s="46"/>
      <c r="GNR605" s="47"/>
      <c r="GNS605" s="46"/>
      <c r="GNT605" s="48"/>
      <c r="GNU605" s="53"/>
      <c r="GOB605" s="15"/>
      <c r="GOC605" s="50"/>
      <c r="GOD605" s="50"/>
      <c r="GOE605" s="46"/>
      <c r="GOF605" s="47"/>
      <c r="GOG605" s="46"/>
      <c r="GOH605" s="48"/>
      <c r="GOI605" s="53"/>
      <c r="GOP605" s="15"/>
      <c r="GOQ605" s="50"/>
      <c r="GOR605" s="50"/>
      <c r="GOS605" s="46"/>
      <c r="GOT605" s="47"/>
      <c r="GOU605" s="46"/>
      <c r="GOV605" s="48"/>
      <c r="GOW605" s="53"/>
      <c r="GPD605" s="15"/>
      <c r="GPE605" s="50"/>
      <c r="GPF605" s="50"/>
      <c r="GPG605" s="46"/>
      <c r="GPH605" s="47"/>
      <c r="GPI605" s="46"/>
      <c r="GPJ605" s="48"/>
      <c r="GPK605" s="53"/>
      <c r="GPR605" s="15"/>
      <c r="GPS605" s="50"/>
      <c r="GPT605" s="50"/>
      <c r="GPU605" s="46"/>
      <c r="GPV605" s="47"/>
      <c r="GPW605" s="46"/>
      <c r="GPX605" s="48"/>
      <c r="GPY605" s="53"/>
      <c r="GQF605" s="15"/>
      <c r="GQG605" s="50"/>
      <c r="GQH605" s="50"/>
      <c r="GQI605" s="46"/>
      <c r="GQJ605" s="47"/>
      <c r="GQK605" s="46"/>
      <c r="GQL605" s="48"/>
      <c r="GQM605" s="53"/>
      <c r="GQT605" s="15"/>
      <c r="GQU605" s="50"/>
      <c r="GQV605" s="50"/>
      <c r="GQW605" s="46"/>
      <c r="GQX605" s="47"/>
      <c r="GQY605" s="46"/>
      <c r="GQZ605" s="48"/>
      <c r="GRA605" s="53"/>
      <c r="GRH605" s="15"/>
      <c r="GRI605" s="50"/>
      <c r="GRJ605" s="50"/>
      <c r="GRK605" s="46"/>
      <c r="GRL605" s="47"/>
      <c r="GRM605" s="46"/>
      <c r="GRN605" s="48"/>
      <c r="GRO605" s="53"/>
      <c r="GRV605" s="15"/>
      <c r="GRW605" s="50"/>
      <c r="GRX605" s="50"/>
      <c r="GRY605" s="46"/>
      <c r="GRZ605" s="47"/>
      <c r="GSA605" s="46"/>
      <c r="GSB605" s="48"/>
      <c r="GSC605" s="53"/>
      <c r="GSJ605" s="15"/>
      <c r="GSK605" s="50"/>
      <c r="GSL605" s="50"/>
      <c r="GSM605" s="46"/>
      <c r="GSN605" s="47"/>
      <c r="GSO605" s="46"/>
      <c r="GSP605" s="48"/>
      <c r="GSQ605" s="53"/>
      <c r="GSX605" s="15"/>
      <c r="GSY605" s="50"/>
      <c r="GSZ605" s="50"/>
      <c r="GTA605" s="46"/>
      <c r="GTB605" s="47"/>
      <c r="GTC605" s="46"/>
      <c r="GTD605" s="48"/>
      <c r="GTE605" s="53"/>
      <c r="GTL605" s="15"/>
      <c r="GTM605" s="50"/>
      <c r="GTN605" s="50"/>
      <c r="GTO605" s="46"/>
      <c r="GTP605" s="47"/>
      <c r="GTQ605" s="46"/>
      <c r="GTR605" s="48"/>
      <c r="GTS605" s="53"/>
      <c r="GTZ605" s="15"/>
      <c r="GUA605" s="50"/>
      <c r="GUB605" s="50"/>
      <c r="GUC605" s="46"/>
      <c r="GUD605" s="47"/>
      <c r="GUE605" s="46"/>
      <c r="GUF605" s="48"/>
      <c r="GUG605" s="53"/>
      <c r="GUN605" s="15"/>
      <c r="GUO605" s="50"/>
      <c r="GUP605" s="50"/>
      <c r="GUQ605" s="46"/>
      <c r="GUR605" s="47"/>
      <c r="GUS605" s="46"/>
      <c r="GUT605" s="48"/>
      <c r="GUU605" s="53"/>
      <c r="GVB605" s="15"/>
      <c r="GVC605" s="50"/>
      <c r="GVD605" s="50"/>
      <c r="GVE605" s="46"/>
      <c r="GVF605" s="47"/>
      <c r="GVG605" s="46"/>
      <c r="GVH605" s="48"/>
      <c r="GVI605" s="53"/>
      <c r="GVP605" s="15"/>
      <c r="GVQ605" s="50"/>
      <c r="GVR605" s="50"/>
      <c r="GVS605" s="46"/>
      <c r="GVT605" s="47"/>
      <c r="GVU605" s="46"/>
      <c r="GVV605" s="48"/>
      <c r="GVW605" s="53"/>
      <c r="GWD605" s="15"/>
      <c r="GWE605" s="50"/>
      <c r="GWF605" s="50"/>
      <c r="GWG605" s="46"/>
      <c r="GWH605" s="47"/>
      <c r="GWI605" s="46"/>
      <c r="GWJ605" s="48"/>
      <c r="GWK605" s="53"/>
      <c r="GWR605" s="15"/>
      <c r="GWS605" s="50"/>
      <c r="GWT605" s="50"/>
      <c r="GWU605" s="46"/>
      <c r="GWV605" s="47"/>
      <c r="GWW605" s="46"/>
      <c r="GWX605" s="48"/>
      <c r="GWY605" s="53"/>
      <c r="GXF605" s="15"/>
      <c r="GXG605" s="50"/>
      <c r="GXH605" s="50"/>
      <c r="GXI605" s="46"/>
      <c r="GXJ605" s="47"/>
      <c r="GXK605" s="46"/>
      <c r="GXL605" s="48"/>
      <c r="GXM605" s="53"/>
      <c r="GXT605" s="15"/>
      <c r="GXU605" s="50"/>
      <c r="GXV605" s="50"/>
      <c r="GXW605" s="46"/>
      <c r="GXX605" s="47"/>
      <c r="GXY605" s="46"/>
      <c r="GXZ605" s="48"/>
      <c r="GYA605" s="53"/>
      <c r="GYH605" s="15"/>
      <c r="GYI605" s="50"/>
      <c r="GYJ605" s="50"/>
      <c r="GYK605" s="46"/>
      <c r="GYL605" s="47"/>
      <c r="GYM605" s="46"/>
      <c r="GYN605" s="48"/>
      <c r="GYO605" s="53"/>
      <c r="GYV605" s="15"/>
      <c r="GYW605" s="50"/>
      <c r="GYX605" s="50"/>
      <c r="GYY605" s="46"/>
      <c r="GYZ605" s="47"/>
      <c r="GZA605" s="46"/>
      <c r="GZB605" s="48"/>
      <c r="GZC605" s="53"/>
      <c r="GZJ605" s="15"/>
      <c r="GZK605" s="50"/>
      <c r="GZL605" s="50"/>
      <c r="GZM605" s="46"/>
      <c r="GZN605" s="47"/>
      <c r="GZO605" s="46"/>
      <c r="GZP605" s="48"/>
      <c r="GZQ605" s="53"/>
      <c r="GZX605" s="15"/>
      <c r="GZY605" s="50"/>
      <c r="GZZ605" s="50"/>
      <c r="HAA605" s="46"/>
      <c r="HAB605" s="47"/>
      <c r="HAC605" s="46"/>
      <c r="HAD605" s="48"/>
      <c r="HAE605" s="53"/>
      <c r="HAL605" s="15"/>
      <c r="HAM605" s="50"/>
      <c r="HAN605" s="50"/>
      <c r="HAO605" s="46"/>
      <c r="HAP605" s="47"/>
      <c r="HAQ605" s="46"/>
      <c r="HAR605" s="48"/>
      <c r="HAS605" s="53"/>
      <c r="HAZ605" s="15"/>
      <c r="HBA605" s="50"/>
      <c r="HBB605" s="50"/>
      <c r="HBC605" s="46"/>
      <c r="HBD605" s="47"/>
      <c r="HBE605" s="46"/>
      <c r="HBF605" s="48"/>
      <c r="HBG605" s="53"/>
      <c r="HBN605" s="15"/>
      <c r="HBO605" s="50"/>
      <c r="HBP605" s="50"/>
      <c r="HBQ605" s="46"/>
      <c r="HBR605" s="47"/>
      <c r="HBS605" s="46"/>
      <c r="HBT605" s="48"/>
      <c r="HBU605" s="53"/>
      <c r="HCB605" s="15"/>
      <c r="HCC605" s="50"/>
      <c r="HCD605" s="50"/>
      <c r="HCE605" s="46"/>
      <c r="HCF605" s="47"/>
      <c r="HCG605" s="46"/>
      <c r="HCH605" s="48"/>
      <c r="HCI605" s="53"/>
      <c r="HCP605" s="15"/>
      <c r="HCQ605" s="50"/>
      <c r="HCR605" s="50"/>
      <c r="HCS605" s="46"/>
      <c r="HCT605" s="47"/>
      <c r="HCU605" s="46"/>
      <c r="HCV605" s="48"/>
      <c r="HCW605" s="53"/>
      <c r="HDD605" s="15"/>
      <c r="HDE605" s="50"/>
      <c r="HDF605" s="50"/>
      <c r="HDG605" s="46"/>
      <c r="HDH605" s="47"/>
      <c r="HDI605" s="46"/>
      <c r="HDJ605" s="48"/>
      <c r="HDK605" s="53"/>
      <c r="HDR605" s="15"/>
      <c r="HDS605" s="50"/>
      <c r="HDT605" s="50"/>
      <c r="HDU605" s="46"/>
      <c r="HDV605" s="47"/>
      <c r="HDW605" s="46"/>
      <c r="HDX605" s="48"/>
      <c r="HDY605" s="53"/>
      <c r="HEF605" s="15"/>
      <c r="HEG605" s="50"/>
      <c r="HEH605" s="50"/>
      <c r="HEI605" s="46"/>
      <c r="HEJ605" s="47"/>
      <c r="HEK605" s="46"/>
      <c r="HEL605" s="48"/>
      <c r="HEM605" s="53"/>
      <c r="HET605" s="15"/>
      <c r="HEU605" s="50"/>
      <c r="HEV605" s="50"/>
      <c r="HEW605" s="46"/>
      <c r="HEX605" s="47"/>
      <c r="HEY605" s="46"/>
      <c r="HEZ605" s="48"/>
      <c r="HFA605" s="53"/>
      <c r="HFH605" s="15"/>
      <c r="HFI605" s="50"/>
      <c r="HFJ605" s="50"/>
      <c r="HFK605" s="46"/>
      <c r="HFL605" s="47"/>
      <c r="HFM605" s="46"/>
      <c r="HFN605" s="48"/>
      <c r="HFO605" s="53"/>
      <c r="HFV605" s="15"/>
      <c r="HFW605" s="50"/>
      <c r="HFX605" s="50"/>
      <c r="HFY605" s="46"/>
      <c r="HFZ605" s="47"/>
      <c r="HGA605" s="46"/>
      <c r="HGB605" s="48"/>
      <c r="HGC605" s="53"/>
      <c r="HGJ605" s="15"/>
      <c r="HGK605" s="50"/>
      <c r="HGL605" s="50"/>
      <c r="HGM605" s="46"/>
      <c r="HGN605" s="47"/>
      <c r="HGO605" s="46"/>
      <c r="HGP605" s="48"/>
      <c r="HGQ605" s="53"/>
      <c r="HGX605" s="15"/>
      <c r="HGY605" s="50"/>
      <c r="HGZ605" s="50"/>
      <c r="HHA605" s="46"/>
      <c r="HHB605" s="47"/>
      <c r="HHC605" s="46"/>
      <c r="HHD605" s="48"/>
      <c r="HHE605" s="53"/>
      <c r="HHL605" s="15"/>
      <c r="HHM605" s="50"/>
      <c r="HHN605" s="50"/>
      <c r="HHO605" s="46"/>
      <c r="HHP605" s="47"/>
      <c r="HHQ605" s="46"/>
      <c r="HHR605" s="48"/>
      <c r="HHS605" s="53"/>
      <c r="HHZ605" s="15"/>
      <c r="HIA605" s="50"/>
      <c r="HIB605" s="50"/>
      <c r="HIC605" s="46"/>
      <c r="HID605" s="47"/>
      <c r="HIE605" s="46"/>
      <c r="HIF605" s="48"/>
      <c r="HIG605" s="53"/>
      <c r="HIN605" s="15"/>
      <c r="HIO605" s="50"/>
      <c r="HIP605" s="50"/>
      <c r="HIQ605" s="46"/>
      <c r="HIR605" s="47"/>
      <c r="HIS605" s="46"/>
      <c r="HIT605" s="48"/>
      <c r="HIU605" s="53"/>
      <c r="HJB605" s="15"/>
      <c r="HJC605" s="50"/>
      <c r="HJD605" s="50"/>
      <c r="HJE605" s="46"/>
      <c r="HJF605" s="47"/>
      <c r="HJG605" s="46"/>
      <c r="HJH605" s="48"/>
      <c r="HJI605" s="53"/>
      <c r="HJP605" s="15"/>
      <c r="HJQ605" s="50"/>
      <c r="HJR605" s="50"/>
      <c r="HJS605" s="46"/>
      <c r="HJT605" s="47"/>
      <c r="HJU605" s="46"/>
      <c r="HJV605" s="48"/>
      <c r="HJW605" s="53"/>
      <c r="HKD605" s="15"/>
      <c r="HKE605" s="50"/>
      <c r="HKF605" s="50"/>
      <c r="HKG605" s="46"/>
      <c r="HKH605" s="47"/>
      <c r="HKI605" s="46"/>
      <c r="HKJ605" s="48"/>
      <c r="HKK605" s="53"/>
      <c r="HKR605" s="15"/>
      <c r="HKS605" s="50"/>
      <c r="HKT605" s="50"/>
      <c r="HKU605" s="46"/>
      <c r="HKV605" s="47"/>
      <c r="HKW605" s="46"/>
      <c r="HKX605" s="48"/>
      <c r="HKY605" s="53"/>
      <c r="HLF605" s="15"/>
      <c r="HLG605" s="50"/>
      <c r="HLH605" s="50"/>
      <c r="HLI605" s="46"/>
      <c r="HLJ605" s="47"/>
      <c r="HLK605" s="46"/>
      <c r="HLL605" s="48"/>
      <c r="HLM605" s="53"/>
      <c r="HLT605" s="15"/>
      <c r="HLU605" s="50"/>
      <c r="HLV605" s="50"/>
      <c r="HLW605" s="46"/>
      <c r="HLX605" s="47"/>
      <c r="HLY605" s="46"/>
      <c r="HLZ605" s="48"/>
      <c r="HMA605" s="53"/>
      <c r="HMH605" s="15"/>
      <c r="HMI605" s="50"/>
      <c r="HMJ605" s="50"/>
      <c r="HMK605" s="46"/>
      <c r="HML605" s="47"/>
      <c r="HMM605" s="46"/>
      <c r="HMN605" s="48"/>
      <c r="HMO605" s="53"/>
      <c r="HMV605" s="15"/>
      <c r="HMW605" s="50"/>
      <c r="HMX605" s="50"/>
      <c r="HMY605" s="46"/>
      <c r="HMZ605" s="47"/>
      <c r="HNA605" s="46"/>
      <c r="HNB605" s="48"/>
      <c r="HNC605" s="53"/>
      <c r="HNJ605" s="15"/>
      <c r="HNK605" s="50"/>
      <c r="HNL605" s="50"/>
      <c r="HNM605" s="46"/>
      <c r="HNN605" s="47"/>
      <c r="HNO605" s="46"/>
      <c r="HNP605" s="48"/>
      <c r="HNQ605" s="53"/>
      <c r="HNX605" s="15"/>
      <c r="HNY605" s="50"/>
      <c r="HNZ605" s="50"/>
      <c r="HOA605" s="46"/>
      <c r="HOB605" s="47"/>
      <c r="HOC605" s="46"/>
      <c r="HOD605" s="48"/>
      <c r="HOE605" s="53"/>
      <c r="HOL605" s="15"/>
      <c r="HOM605" s="50"/>
      <c r="HON605" s="50"/>
      <c r="HOO605" s="46"/>
      <c r="HOP605" s="47"/>
      <c r="HOQ605" s="46"/>
      <c r="HOR605" s="48"/>
      <c r="HOS605" s="53"/>
      <c r="HOZ605" s="15"/>
      <c r="HPA605" s="50"/>
      <c r="HPB605" s="50"/>
      <c r="HPC605" s="46"/>
      <c r="HPD605" s="47"/>
      <c r="HPE605" s="46"/>
      <c r="HPF605" s="48"/>
      <c r="HPG605" s="53"/>
      <c r="HPN605" s="15"/>
      <c r="HPO605" s="50"/>
      <c r="HPP605" s="50"/>
      <c r="HPQ605" s="46"/>
      <c r="HPR605" s="47"/>
      <c r="HPS605" s="46"/>
      <c r="HPT605" s="48"/>
      <c r="HPU605" s="53"/>
      <c r="HQB605" s="15"/>
      <c r="HQC605" s="50"/>
      <c r="HQD605" s="50"/>
      <c r="HQE605" s="46"/>
      <c r="HQF605" s="47"/>
      <c r="HQG605" s="46"/>
      <c r="HQH605" s="48"/>
      <c r="HQI605" s="53"/>
      <c r="HQP605" s="15"/>
      <c r="HQQ605" s="50"/>
      <c r="HQR605" s="50"/>
      <c r="HQS605" s="46"/>
      <c r="HQT605" s="47"/>
      <c r="HQU605" s="46"/>
      <c r="HQV605" s="48"/>
      <c r="HQW605" s="53"/>
      <c r="HRD605" s="15"/>
      <c r="HRE605" s="50"/>
      <c r="HRF605" s="50"/>
      <c r="HRG605" s="46"/>
      <c r="HRH605" s="47"/>
      <c r="HRI605" s="46"/>
      <c r="HRJ605" s="48"/>
      <c r="HRK605" s="53"/>
      <c r="HRR605" s="15"/>
      <c r="HRS605" s="50"/>
      <c r="HRT605" s="50"/>
      <c r="HRU605" s="46"/>
      <c r="HRV605" s="47"/>
      <c r="HRW605" s="46"/>
      <c r="HRX605" s="48"/>
      <c r="HRY605" s="53"/>
      <c r="HSF605" s="15"/>
      <c r="HSG605" s="50"/>
      <c r="HSH605" s="50"/>
      <c r="HSI605" s="46"/>
      <c r="HSJ605" s="47"/>
      <c r="HSK605" s="46"/>
      <c r="HSL605" s="48"/>
      <c r="HSM605" s="53"/>
      <c r="HST605" s="15"/>
      <c r="HSU605" s="50"/>
      <c r="HSV605" s="50"/>
      <c r="HSW605" s="46"/>
      <c r="HSX605" s="47"/>
      <c r="HSY605" s="46"/>
      <c r="HSZ605" s="48"/>
      <c r="HTA605" s="53"/>
      <c r="HTH605" s="15"/>
      <c r="HTI605" s="50"/>
      <c r="HTJ605" s="50"/>
      <c r="HTK605" s="46"/>
      <c r="HTL605" s="47"/>
      <c r="HTM605" s="46"/>
      <c r="HTN605" s="48"/>
      <c r="HTO605" s="53"/>
      <c r="HTV605" s="15"/>
      <c r="HTW605" s="50"/>
      <c r="HTX605" s="50"/>
      <c r="HTY605" s="46"/>
      <c r="HTZ605" s="47"/>
      <c r="HUA605" s="46"/>
      <c r="HUB605" s="48"/>
      <c r="HUC605" s="53"/>
      <c r="HUJ605" s="15"/>
      <c r="HUK605" s="50"/>
      <c r="HUL605" s="50"/>
      <c r="HUM605" s="46"/>
      <c r="HUN605" s="47"/>
      <c r="HUO605" s="46"/>
      <c r="HUP605" s="48"/>
      <c r="HUQ605" s="53"/>
      <c r="HUX605" s="15"/>
      <c r="HUY605" s="50"/>
      <c r="HUZ605" s="50"/>
      <c r="HVA605" s="46"/>
      <c r="HVB605" s="47"/>
      <c r="HVC605" s="46"/>
      <c r="HVD605" s="48"/>
      <c r="HVE605" s="53"/>
      <c r="HVL605" s="15"/>
      <c r="HVM605" s="50"/>
      <c r="HVN605" s="50"/>
      <c r="HVO605" s="46"/>
      <c r="HVP605" s="47"/>
      <c r="HVQ605" s="46"/>
      <c r="HVR605" s="48"/>
      <c r="HVS605" s="53"/>
      <c r="HVZ605" s="15"/>
      <c r="HWA605" s="50"/>
      <c r="HWB605" s="50"/>
      <c r="HWC605" s="46"/>
      <c r="HWD605" s="47"/>
      <c r="HWE605" s="46"/>
      <c r="HWF605" s="48"/>
      <c r="HWG605" s="53"/>
      <c r="HWN605" s="15"/>
      <c r="HWO605" s="50"/>
      <c r="HWP605" s="50"/>
      <c r="HWQ605" s="46"/>
      <c r="HWR605" s="47"/>
      <c r="HWS605" s="46"/>
      <c r="HWT605" s="48"/>
      <c r="HWU605" s="53"/>
      <c r="HXB605" s="15"/>
      <c r="HXC605" s="50"/>
      <c r="HXD605" s="50"/>
      <c r="HXE605" s="46"/>
      <c r="HXF605" s="47"/>
      <c r="HXG605" s="46"/>
      <c r="HXH605" s="48"/>
      <c r="HXI605" s="53"/>
      <c r="HXP605" s="15"/>
      <c r="HXQ605" s="50"/>
      <c r="HXR605" s="50"/>
      <c r="HXS605" s="46"/>
      <c r="HXT605" s="47"/>
      <c r="HXU605" s="46"/>
      <c r="HXV605" s="48"/>
      <c r="HXW605" s="53"/>
      <c r="HYD605" s="15"/>
      <c r="HYE605" s="50"/>
      <c r="HYF605" s="50"/>
      <c r="HYG605" s="46"/>
      <c r="HYH605" s="47"/>
      <c r="HYI605" s="46"/>
      <c r="HYJ605" s="48"/>
      <c r="HYK605" s="53"/>
      <c r="HYR605" s="15"/>
      <c r="HYS605" s="50"/>
      <c r="HYT605" s="50"/>
      <c r="HYU605" s="46"/>
      <c r="HYV605" s="47"/>
      <c r="HYW605" s="46"/>
      <c r="HYX605" s="48"/>
      <c r="HYY605" s="53"/>
      <c r="HZF605" s="15"/>
      <c r="HZG605" s="50"/>
      <c r="HZH605" s="50"/>
      <c r="HZI605" s="46"/>
      <c r="HZJ605" s="47"/>
      <c r="HZK605" s="46"/>
      <c r="HZL605" s="48"/>
      <c r="HZM605" s="53"/>
      <c r="HZT605" s="15"/>
      <c r="HZU605" s="50"/>
      <c r="HZV605" s="50"/>
      <c r="HZW605" s="46"/>
      <c r="HZX605" s="47"/>
      <c r="HZY605" s="46"/>
      <c r="HZZ605" s="48"/>
      <c r="IAA605" s="53"/>
      <c r="IAH605" s="15"/>
      <c r="IAI605" s="50"/>
      <c r="IAJ605" s="50"/>
      <c r="IAK605" s="46"/>
      <c r="IAL605" s="47"/>
      <c r="IAM605" s="46"/>
      <c r="IAN605" s="48"/>
      <c r="IAO605" s="53"/>
      <c r="IAV605" s="15"/>
      <c r="IAW605" s="50"/>
      <c r="IAX605" s="50"/>
      <c r="IAY605" s="46"/>
      <c r="IAZ605" s="47"/>
      <c r="IBA605" s="46"/>
      <c r="IBB605" s="48"/>
      <c r="IBC605" s="53"/>
      <c r="IBJ605" s="15"/>
      <c r="IBK605" s="50"/>
      <c r="IBL605" s="50"/>
      <c r="IBM605" s="46"/>
      <c r="IBN605" s="47"/>
      <c r="IBO605" s="46"/>
      <c r="IBP605" s="48"/>
      <c r="IBQ605" s="53"/>
      <c r="IBX605" s="15"/>
      <c r="IBY605" s="50"/>
      <c r="IBZ605" s="50"/>
      <c r="ICA605" s="46"/>
      <c r="ICB605" s="47"/>
      <c r="ICC605" s="46"/>
      <c r="ICD605" s="48"/>
      <c r="ICE605" s="53"/>
      <c r="ICL605" s="15"/>
      <c r="ICM605" s="50"/>
      <c r="ICN605" s="50"/>
      <c r="ICO605" s="46"/>
      <c r="ICP605" s="47"/>
      <c r="ICQ605" s="46"/>
      <c r="ICR605" s="48"/>
      <c r="ICS605" s="53"/>
      <c r="ICZ605" s="15"/>
      <c r="IDA605" s="50"/>
      <c r="IDB605" s="50"/>
      <c r="IDC605" s="46"/>
      <c r="IDD605" s="47"/>
      <c r="IDE605" s="46"/>
      <c r="IDF605" s="48"/>
      <c r="IDG605" s="53"/>
      <c r="IDN605" s="15"/>
      <c r="IDO605" s="50"/>
      <c r="IDP605" s="50"/>
      <c r="IDQ605" s="46"/>
      <c r="IDR605" s="47"/>
      <c r="IDS605" s="46"/>
      <c r="IDT605" s="48"/>
      <c r="IDU605" s="53"/>
      <c r="IEB605" s="15"/>
      <c r="IEC605" s="50"/>
      <c r="IED605" s="50"/>
      <c r="IEE605" s="46"/>
      <c r="IEF605" s="47"/>
      <c r="IEG605" s="46"/>
      <c r="IEH605" s="48"/>
      <c r="IEI605" s="53"/>
      <c r="IEP605" s="15"/>
      <c r="IEQ605" s="50"/>
      <c r="IER605" s="50"/>
      <c r="IES605" s="46"/>
      <c r="IET605" s="47"/>
      <c r="IEU605" s="46"/>
      <c r="IEV605" s="48"/>
      <c r="IEW605" s="53"/>
      <c r="IFD605" s="15"/>
      <c r="IFE605" s="50"/>
      <c r="IFF605" s="50"/>
      <c r="IFG605" s="46"/>
      <c r="IFH605" s="47"/>
      <c r="IFI605" s="46"/>
      <c r="IFJ605" s="48"/>
      <c r="IFK605" s="53"/>
      <c r="IFR605" s="15"/>
      <c r="IFS605" s="50"/>
      <c r="IFT605" s="50"/>
      <c r="IFU605" s="46"/>
      <c r="IFV605" s="47"/>
      <c r="IFW605" s="46"/>
      <c r="IFX605" s="48"/>
      <c r="IFY605" s="53"/>
      <c r="IGF605" s="15"/>
      <c r="IGG605" s="50"/>
      <c r="IGH605" s="50"/>
      <c r="IGI605" s="46"/>
      <c r="IGJ605" s="47"/>
      <c r="IGK605" s="46"/>
      <c r="IGL605" s="48"/>
      <c r="IGM605" s="53"/>
      <c r="IGT605" s="15"/>
      <c r="IGU605" s="50"/>
      <c r="IGV605" s="50"/>
      <c r="IGW605" s="46"/>
      <c r="IGX605" s="47"/>
      <c r="IGY605" s="46"/>
      <c r="IGZ605" s="48"/>
      <c r="IHA605" s="53"/>
      <c r="IHH605" s="15"/>
      <c r="IHI605" s="50"/>
      <c r="IHJ605" s="50"/>
      <c r="IHK605" s="46"/>
      <c r="IHL605" s="47"/>
      <c r="IHM605" s="46"/>
      <c r="IHN605" s="48"/>
      <c r="IHO605" s="53"/>
      <c r="IHV605" s="15"/>
      <c r="IHW605" s="50"/>
      <c r="IHX605" s="50"/>
      <c r="IHY605" s="46"/>
      <c r="IHZ605" s="47"/>
      <c r="IIA605" s="46"/>
      <c r="IIB605" s="48"/>
      <c r="IIC605" s="53"/>
      <c r="IIJ605" s="15"/>
      <c r="IIK605" s="50"/>
      <c r="IIL605" s="50"/>
      <c r="IIM605" s="46"/>
      <c r="IIN605" s="47"/>
      <c r="IIO605" s="46"/>
      <c r="IIP605" s="48"/>
      <c r="IIQ605" s="53"/>
      <c r="IIX605" s="15"/>
      <c r="IIY605" s="50"/>
      <c r="IIZ605" s="50"/>
      <c r="IJA605" s="46"/>
      <c r="IJB605" s="47"/>
      <c r="IJC605" s="46"/>
      <c r="IJD605" s="48"/>
      <c r="IJE605" s="53"/>
      <c r="IJL605" s="15"/>
      <c r="IJM605" s="50"/>
      <c r="IJN605" s="50"/>
      <c r="IJO605" s="46"/>
      <c r="IJP605" s="47"/>
      <c r="IJQ605" s="46"/>
      <c r="IJR605" s="48"/>
      <c r="IJS605" s="53"/>
      <c r="IJZ605" s="15"/>
      <c r="IKA605" s="50"/>
      <c r="IKB605" s="50"/>
      <c r="IKC605" s="46"/>
      <c r="IKD605" s="47"/>
      <c r="IKE605" s="46"/>
      <c r="IKF605" s="48"/>
      <c r="IKG605" s="53"/>
      <c r="IKN605" s="15"/>
      <c r="IKO605" s="50"/>
      <c r="IKP605" s="50"/>
      <c r="IKQ605" s="46"/>
      <c r="IKR605" s="47"/>
      <c r="IKS605" s="46"/>
      <c r="IKT605" s="48"/>
      <c r="IKU605" s="53"/>
      <c r="ILB605" s="15"/>
      <c r="ILC605" s="50"/>
      <c r="ILD605" s="50"/>
      <c r="ILE605" s="46"/>
      <c r="ILF605" s="47"/>
      <c r="ILG605" s="46"/>
      <c r="ILH605" s="48"/>
      <c r="ILI605" s="53"/>
      <c r="ILP605" s="15"/>
      <c r="ILQ605" s="50"/>
      <c r="ILR605" s="50"/>
      <c r="ILS605" s="46"/>
      <c r="ILT605" s="47"/>
      <c r="ILU605" s="46"/>
      <c r="ILV605" s="48"/>
      <c r="ILW605" s="53"/>
      <c r="IMD605" s="15"/>
      <c r="IME605" s="50"/>
      <c r="IMF605" s="50"/>
      <c r="IMG605" s="46"/>
      <c r="IMH605" s="47"/>
      <c r="IMI605" s="46"/>
      <c r="IMJ605" s="48"/>
      <c r="IMK605" s="53"/>
      <c r="IMR605" s="15"/>
      <c r="IMS605" s="50"/>
      <c r="IMT605" s="50"/>
      <c r="IMU605" s="46"/>
      <c r="IMV605" s="47"/>
      <c r="IMW605" s="46"/>
      <c r="IMX605" s="48"/>
      <c r="IMY605" s="53"/>
      <c r="INF605" s="15"/>
      <c r="ING605" s="50"/>
      <c r="INH605" s="50"/>
      <c r="INI605" s="46"/>
      <c r="INJ605" s="47"/>
      <c r="INK605" s="46"/>
      <c r="INL605" s="48"/>
      <c r="INM605" s="53"/>
      <c r="INT605" s="15"/>
      <c r="INU605" s="50"/>
      <c r="INV605" s="50"/>
      <c r="INW605" s="46"/>
      <c r="INX605" s="47"/>
      <c r="INY605" s="46"/>
      <c r="INZ605" s="48"/>
      <c r="IOA605" s="53"/>
      <c r="IOH605" s="15"/>
      <c r="IOI605" s="50"/>
      <c r="IOJ605" s="50"/>
      <c r="IOK605" s="46"/>
      <c r="IOL605" s="47"/>
      <c r="IOM605" s="46"/>
      <c r="ION605" s="48"/>
      <c r="IOO605" s="53"/>
      <c r="IOV605" s="15"/>
      <c r="IOW605" s="50"/>
      <c r="IOX605" s="50"/>
      <c r="IOY605" s="46"/>
      <c r="IOZ605" s="47"/>
      <c r="IPA605" s="46"/>
      <c r="IPB605" s="48"/>
      <c r="IPC605" s="53"/>
      <c r="IPJ605" s="15"/>
      <c r="IPK605" s="50"/>
      <c r="IPL605" s="50"/>
      <c r="IPM605" s="46"/>
      <c r="IPN605" s="47"/>
      <c r="IPO605" s="46"/>
      <c r="IPP605" s="48"/>
      <c r="IPQ605" s="53"/>
      <c r="IPX605" s="15"/>
      <c r="IPY605" s="50"/>
      <c r="IPZ605" s="50"/>
      <c r="IQA605" s="46"/>
      <c r="IQB605" s="47"/>
      <c r="IQC605" s="46"/>
      <c r="IQD605" s="48"/>
      <c r="IQE605" s="53"/>
      <c r="IQL605" s="15"/>
      <c r="IQM605" s="50"/>
      <c r="IQN605" s="50"/>
      <c r="IQO605" s="46"/>
      <c r="IQP605" s="47"/>
      <c r="IQQ605" s="46"/>
      <c r="IQR605" s="48"/>
      <c r="IQS605" s="53"/>
      <c r="IQZ605" s="15"/>
      <c r="IRA605" s="50"/>
      <c r="IRB605" s="50"/>
      <c r="IRC605" s="46"/>
      <c r="IRD605" s="47"/>
      <c r="IRE605" s="46"/>
      <c r="IRF605" s="48"/>
      <c r="IRG605" s="53"/>
      <c r="IRN605" s="15"/>
      <c r="IRO605" s="50"/>
      <c r="IRP605" s="50"/>
      <c r="IRQ605" s="46"/>
      <c r="IRR605" s="47"/>
      <c r="IRS605" s="46"/>
      <c r="IRT605" s="48"/>
      <c r="IRU605" s="53"/>
      <c r="ISB605" s="15"/>
      <c r="ISC605" s="50"/>
      <c r="ISD605" s="50"/>
      <c r="ISE605" s="46"/>
      <c r="ISF605" s="47"/>
      <c r="ISG605" s="46"/>
      <c r="ISH605" s="48"/>
      <c r="ISI605" s="53"/>
      <c r="ISP605" s="15"/>
      <c r="ISQ605" s="50"/>
      <c r="ISR605" s="50"/>
      <c r="ISS605" s="46"/>
      <c r="IST605" s="47"/>
      <c r="ISU605" s="46"/>
      <c r="ISV605" s="48"/>
      <c r="ISW605" s="53"/>
      <c r="ITD605" s="15"/>
      <c r="ITE605" s="50"/>
      <c r="ITF605" s="50"/>
      <c r="ITG605" s="46"/>
      <c r="ITH605" s="47"/>
      <c r="ITI605" s="46"/>
      <c r="ITJ605" s="48"/>
      <c r="ITK605" s="53"/>
      <c r="ITR605" s="15"/>
      <c r="ITS605" s="50"/>
      <c r="ITT605" s="50"/>
      <c r="ITU605" s="46"/>
      <c r="ITV605" s="47"/>
      <c r="ITW605" s="46"/>
      <c r="ITX605" s="48"/>
      <c r="ITY605" s="53"/>
      <c r="IUF605" s="15"/>
      <c r="IUG605" s="50"/>
      <c r="IUH605" s="50"/>
      <c r="IUI605" s="46"/>
      <c r="IUJ605" s="47"/>
      <c r="IUK605" s="46"/>
      <c r="IUL605" s="48"/>
      <c r="IUM605" s="53"/>
      <c r="IUT605" s="15"/>
      <c r="IUU605" s="50"/>
      <c r="IUV605" s="50"/>
      <c r="IUW605" s="46"/>
      <c r="IUX605" s="47"/>
      <c r="IUY605" s="46"/>
      <c r="IUZ605" s="48"/>
      <c r="IVA605" s="53"/>
      <c r="IVH605" s="15"/>
      <c r="IVI605" s="50"/>
      <c r="IVJ605" s="50"/>
      <c r="IVK605" s="46"/>
      <c r="IVL605" s="47"/>
      <c r="IVM605" s="46"/>
      <c r="IVN605" s="48"/>
      <c r="IVO605" s="53"/>
      <c r="IVV605" s="15"/>
      <c r="IVW605" s="50"/>
      <c r="IVX605" s="50"/>
      <c r="IVY605" s="46"/>
      <c r="IVZ605" s="47"/>
      <c r="IWA605" s="46"/>
      <c r="IWB605" s="48"/>
      <c r="IWC605" s="53"/>
      <c r="IWJ605" s="15"/>
      <c r="IWK605" s="50"/>
      <c r="IWL605" s="50"/>
      <c r="IWM605" s="46"/>
      <c r="IWN605" s="47"/>
      <c r="IWO605" s="46"/>
      <c r="IWP605" s="48"/>
      <c r="IWQ605" s="53"/>
      <c r="IWX605" s="15"/>
      <c r="IWY605" s="50"/>
      <c r="IWZ605" s="50"/>
      <c r="IXA605" s="46"/>
      <c r="IXB605" s="47"/>
      <c r="IXC605" s="46"/>
      <c r="IXD605" s="48"/>
      <c r="IXE605" s="53"/>
      <c r="IXL605" s="15"/>
      <c r="IXM605" s="50"/>
      <c r="IXN605" s="50"/>
      <c r="IXO605" s="46"/>
      <c r="IXP605" s="47"/>
      <c r="IXQ605" s="46"/>
      <c r="IXR605" s="48"/>
      <c r="IXS605" s="53"/>
      <c r="IXZ605" s="15"/>
      <c r="IYA605" s="50"/>
      <c r="IYB605" s="50"/>
      <c r="IYC605" s="46"/>
      <c r="IYD605" s="47"/>
      <c r="IYE605" s="46"/>
      <c r="IYF605" s="48"/>
      <c r="IYG605" s="53"/>
      <c r="IYN605" s="15"/>
      <c r="IYO605" s="50"/>
      <c r="IYP605" s="50"/>
      <c r="IYQ605" s="46"/>
      <c r="IYR605" s="47"/>
      <c r="IYS605" s="46"/>
      <c r="IYT605" s="48"/>
      <c r="IYU605" s="53"/>
      <c r="IZB605" s="15"/>
      <c r="IZC605" s="50"/>
      <c r="IZD605" s="50"/>
      <c r="IZE605" s="46"/>
      <c r="IZF605" s="47"/>
      <c r="IZG605" s="46"/>
      <c r="IZH605" s="48"/>
      <c r="IZI605" s="53"/>
      <c r="IZP605" s="15"/>
      <c r="IZQ605" s="50"/>
      <c r="IZR605" s="50"/>
      <c r="IZS605" s="46"/>
      <c r="IZT605" s="47"/>
      <c r="IZU605" s="46"/>
      <c r="IZV605" s="48"/>
      <c r="IZW605" s="53"/>
      <c r="JAD605" s="15"/>
      <c r="JAE605" s="50"/>
      <c r="JAF605" s="50"/>
      <c r="JAG605" s="46"/>
      <c r="JAH605" s="47"/>
      <c r="JAI605" s="46"/>
      <c r="JAJ605" s="48"/>
      <c r="JAK605" s="53"/>
      <c r="JAR605" s="15"/>
      <c r="JAS605" s="50"/>
      <c r="JAT605" s="50"/>
      <c r="JAU605" s="46"/>
      <c r="JAV605" s="47"/>
      <c r="JAW605" s="46"/>
      <c r="JAX605" s="48"/>
      <c r="JAY605" s="53"/>
      <c r="JBF605" s="15"/>
      <c r="JBG605" s="50"/>
      <c r="JBH605" s="50"/>
      <c r="JBI605" s="46"/>
      <c r="JBJ605" s="47"/>
      <c r="JBK605" s="46"/>
      <c r="JBL605" s="48"/>
      <c r="JBM605" s="53"/>
      <c r="JBT605" s="15"/>
      <c r="JBU605" s="50"/>
      <c r="JBV605" s="50"/>
      <c r="JBW605" s="46"/>
      <c r="JBX605" s="47"/>
      <c r="JBY605" s="46"/>
      <c r="JBZ605" s="48"/>
      <c r="JCA605" s="53"/>
      <c r="JCH605" s="15"/>
      <c r="JCI605" s="50"/>
      <c r="JCJ605" s="50"/>
      <c r="JCK605" s="46"/>
      <c r="JCL605" s="47"/>
      <c r="JCM605" s="46"/>
      <c r="JCN605" s="48"/>
      <c r="JCO605" s="53"/>
      <c r="JCV605" s="15"/>
      <c r="JCW605" s="50"/>
      <c r="JCX605" s="50"/>
      <c r="JCY605" s="46"/>
      <c r="JCZ605" s="47"/>
      <c r="JDA605" s="46"/>
      <c r="JDB605" s="48"/>
      <c r="JDC605" s="53"/>
      <c r="JDJ605" s="15"/>
      <c r="JDK605" s="50"/>
      <c r="JDL605" s="50"/>
      <c r="JDM605" s="46"/>
      <c r="JDN605" s="47"/>
      <c r="JDO605" s="46"/>
      <c r="JDP605" s="48"/>
      <c r="JDQ605" s="53"/>
      <c r="JDX605" s="15"/>
      <c r="JDY605" s="50"/>
      <c r="JDZ605" s="50"/>
      <c r="JEA605" s="46"/>
      <c r="JEB605" s="47"/>
      <c r="JEC605" s="46"/>
      <c r="JED605" s="48"/>
      <c r="JEE605" s="53"/>
      <c r="JEL605" s="15"/>
      <c r="JEM605" s="50"/>
      <c r="JEN605" s="50"/>
      <c r="JEO605" s="46"/>
      <c r="JEP605" s="47"/>
      <c r="JEQ605" s="46"/>
      <c r="JER605" s="48"/>
      <c r="JES605" s="53"/>
      <c r="JEZ605" s="15"/>
      <c r="JFA605" s="50"/>
      <c r="JFB605" s="50"/>
      <c r="JFC605" s="46"/>
      <c r="JFD605" s="47"/>
      <c r="JFE605" s="46"/>
      <c r="JFF605" s="48"/>
      <c r="JFG605" s="53"/>
      <c r="JFN605" s="15"/>
      <c r="JFO605" s="50"/>
      <c r="JFP605" s="50"/>
      <c r="JFQ605" s="46"/>
      <c r="JFR605" s="47"/>
      <c r="JFS605" s="46"/>
      <c r="JFT605" s="48"/>
      <c r="JFU605" s="53"/>
      <c r="JGB605" s="15"/>
      <c r="JGC605" s="50"/>
      <c r="JGD605" s="50"/>
      <c r="JGE605" s="46"/>
      <c r="JGF605" s="47"/>
      <c r="JGG605" s="46"/>
      <c r="JGH605" s="48"/>
      <c r="JGI605" s="53"/>
      <c r="JGP605" s="15"/>
      <c r="JGQ605" s="50"/>
      <c r="JGR605" s="50"/>
      <c r="JGS605" s="46"/>
      <c r="JGT605" s="47"/>
      <c r="JGU605" s="46"/>
      <c r="JGV605" s="48"/>
      <c r="JGW605" s="53"/>
      <c r="JHD605" s="15"/>
      <c r="JHE605" s="50"/>
      <c r="JHF605" s="50"/>
      <c r="JHG605" s="46"/>
      <c r="JHH605" s="47"/>
      <c r="JHI605" s="46"/>
      <c r="JHJ605" s="48"/>
      <c r="JHK605" s="53"/>
      <c r="JHR605" s="15"/>
      <c r="JHS605" s="50"/>
      <c r="JHT605" s="50"/>
      <c r="JHU605" s="46"/>
      <c r="JHV605" s="47"/>
      <c r="JHW605" s="46"/>
      <c r="JHX605" s="48"/>
      <c r="JHY605" s="53"/>
      <c r="JIF605" s="15"/>
      <c r="JIG605" s="50"/>
      <c r="JIH605" s="50"/>
      <c r="JII605" s="46"/>
      <c r="JIJ605" s="47"/>
      <c r="JIK605" s="46"/>
      <c r="JIL605" s="48"/>
      <c r="JIM605" s="53"/>
      <c r="JIT605" s="15"/>
      <c r="JIU605" s="50"/>
      <c r="JIV605" s="50"/>
      <c r="JIW605" s="46"/>
      <c r="JIX605" s="47"/>
      <c r="JIY605" s="46"/>
      <c r="JIZ605" s="48"/>
      <c r="JJA605" s="53"/>
      <c r="JJH605" s="15"/>
      <c r="JJI605" s="50"/>
      <c r="JJJ605" s="50"/>
      <c r="JJK605" s="46"/>
      <c r="JJL605" s="47"/>
      <c r="JJM605" s="46"/>
      <c r="JJN605" s="48"/>
      <c r="JJO605" s="53"/>
      <c r="JJV605" s="15"/>
      <c r="JJW605" s="50"/>
      <c r="JJX605" s="50"/>
      <c r="JJY605" s="46"/>
      <c r="JJZ605" s="47"/>
      <c r="JKA605" s="46"/>
      <c r="JKB605" s="48"/>
      <c r="JKC605" s="53"/>
      <c r="JKJ605" s="15"/>
      <c r="JKK605" s="50"/>
      <c r="JKL605" s="50"/>
      <c r="JKM605" s="46"/>
      <c r="JKN605" s="47"/>
      <c r="JKO605" s="46"/>
      <c r="JKP605" s="48"/>
      <c r="JKQ605" s="53"/>
      <c r="JKX605" s="15"/>
      <c r="JKY605" s="50"/>
      <c r="JKZ605" s="50"/>
      <c r="JLA605" s="46"/>
      <c r="JLB605" s="47"/>
      <c r="JLC605" s="46"/>
      <c r="JLD605" s="48"/>
      <c r="JLE605" s="53"/>
      <c r="JLL605" s="15"/>
      <c r="JLM605" s="50"/>
      <c r="JLN605" s="50"/>
      <c r="JLO605" s="46"/>
      <c r="JLP605" s="47"/>
      <c r="JLQ605" s="46"/>
      <c r="JLR605" s="48"/>
      <c r="JLS605" s="53"/>
      <c r="JLZ605" s="15"/>
      <c r="JMA605" s="50"/>
      <c r="JMB605" s="50"/>
      <c r="JMC605" s="46"/>
      <c r="JMD605" s="47"/>
      <c r="JME605" s="46"/>
      <c r="JMF605" s="48"/>
      <c r="JMG605" s="53"/>
      <c r="JMN605" s="15"/>
      <c r="JMO605" s="50"/>
      <c r="JMP605" s="50"/>
      <c r="JMQ605" s="46"/>
      <c r="JMR605" s="47"/>
      <c r="JMS605" s="46"/>
      <c r="JMT605" s="48"/>
      <c r="JMU605" s="53"/>
      <c r="JNB605" s="15"/>
      <c r="JNC605" s="50"/>
      <c r="JND605" s="50"/>
      <c r="JNE605" s="46"/>
      <c r="JNF605" s="47"/>
      <c r="JNG605" s="46"/>
      <c r="JNH605" s="48"/>
      <c r="JNI605" s="53"/>
      <c r="JNP605" s="15"/>
      <c r="JNQ605" s="50"/>
      <c r="JNR605" s="50"/>
      <c r="JNS605" s="46"/>
      <c r="JNT605" s="47"/>
      <c r="JNU605" s="46"/>
      <c r="JNV605" s="48"/>
      <c r="JNW605" s="53"/>
      <c r="JOD605" s="15"/>
      <c r="JOE605" s="50"/>
      <c r="JOF605" s="50"/>
      <c r="JOG605" s="46"/>
      <c r="JOH605" s="47"/>
      <c r="JOI605" s="46"/>
      <c r="JOJ605" s="48"/>
      <c r="JOK605" s="53"/>
      <c r="JOR605" s="15"/>
      <c r="JOS605" s="50"/>
      <c r="JOT605" s="50"/>
      <c r="JOU605" s="46"/>
      <c r="JOV605" s="47"/>
      <c r="JOW605" s="46"/>
      <c r="JOX605" s="48"/>
      <c r="JOY605" s="53"/>
      <c r="JPF605" s="15"/>
      <c r="JPG605" s="50"/>
      <c r="JPH605" s="50"/>
      <c r="JPI605" s="46"/>
      <c r="JPJ605" s="47"/>
      <c r="JPK605" s="46"/>
      <c r="JPL605" s="48"/>
      <c r="JPM605" s="53"/>
      <c r="JPT605" s="15"/>
      <c r="JPU605" s="50"/>
      <c r="JPV605" s="50"/>
      <c r="JPW605" s="46"/>
      <c r="JPX605" s="47"/>
      <c r="JPY605" s="46"/>
      <c r="JPZ605" s="48"/>
      <c r="JQA605" s="53"/>
      <c r="JQH605" s="15"/>
      <c r="JQI605" s="50"/>
      <c r="JQJ605" s="50"/>
      <c r="JQK605" s="46"/>
      <c r="JQL605" s="47"/>
      <c r="JQM605" s="46"/>
      <c r="JQN605" s="48"/>
      <c r="JQO605" s="53"/>
      <c r="JQV605" s="15"/>
      <c r="JQW605" s="50"/>
      <c r="JQX605" s="50"/>
      <c r="JQY605" s="46"/>
      <c r="JQZ605" s="47"/>
      <c r="JRA605" s="46"/>
      <c r="JRB605" s="48"/>
      <c r="JRC605" s="53"/>
      <c r="JRJ605" s="15"/>
      <c r="JRK605" s="50"/>
      <c r="JRL605" s="50"/>
      <c r="JRM605" s="46"/>
      <c r="JRN605" s="47"/>
      <c r="JRO605" s="46"/>
      <c r="JRP605" s="48"/>
      <c r="JRQ605" s="53"/>
      <c r="JRX605" s="15"/>
      <c r="JRY605" s="50"/>
      <c r="JRZ605" s="50"/>
      <c r="JSA605" s="46"/>
      <c r="JSB605" s="47"/>
      <c r="JSC605" s="46"/>
      <c r="JSD605" s="48"/>
      <c r="JSE605" s="53"/>
      <c r="JSL605" s="15"/>
      <c r="JSM605" s="50"/>
      <c r="JSN605" s="50"/>
      <c r="JSO605" s="46"/>
      <c r="JSP605" s="47"/>
      <c r="JSQ605" s="46"/>
      <c r="JSR605" s="48"/>
      <c r="JSS605" s="53"/>
      <c r="JSZ605" s="15"/>
      <c r="JTA605" s="50"/>
      <c r="JTB605" s="50"/>
      <c r="JTC605" s="46"/>
      <c r="JTD605" s="47"/>
      <c r="JTE605" s="46"/>
      <c r="JTF605" s="48"/>
      <c r="JTG605" s="53"/>
      <c r="JTN605" s="15"/>
      <c r="JTO605" s="50"/>
      <c r="JTP605" s="50"/>
      <c r="JTQ605" s="46"/>
      <c r="JTR605" s="47"/>
      <c r="JTS605" s="46"/>
      <c r="JTT605" s="48"/>
      <c r="JTU605" s="53"/>
      <c r="JUB605" s="15"/>
      <c r="JUC605" s="50"/>
      <c r="JUD605" s="50"/>
      <c r="JUE605" s="46"/>
      <c r="JUF605" s="47"/>
      <c r="JUG605" s="46"/>
      <c r="JUH605" s="48"/>
      <c r="JUI605" s="53"/>
      <c r="JUP605" s="15"/>
      <c r="JUQ605" s="50"/>
      <c r="JUR605" s="50"/>
      <c r="JUS605" s="46"/>
      <c r="JUT605" s="47"/>
      <c r="JUU605" s="46"/>
      <c r="JUV605" s="48"/>
      <c r="JUW605" s="53"/>
      <c r="JVD605" s="15"/>
      <c r="JVE605" s="50"/>
      <c r="JVF605" s="50"/>
      <c r="JVG605" s="46"/>
      <c r="JVH605" s="47"/>
      <c r="JVI605" s="46"/>
      <c r="JVJ605" s="48"/>
      <c r="JVK605" s="53"/>
      <c r="JVR605" s="15"/>
      <c r="JVS605" s="50"/>
      <c r="JVT605" s="50"/>
      <c r="JVU605" s="46"/>
      <c r="JVV605" s="47"/>
      <c r="JVW605" s="46"/>
      <c r="JVX605" s="48"/>
      <c r="JVY605" s="53"/>
      <c r="JWF605" s="15"/>
      <c r="JWG605" s="50"/>
      <c r="JWH605" s="50"/>
      <c r="JWI605" s="46"/>
      <c r="JWJ605" s="47"/>
      <c r="JWK605" s="46"/>
      <c r="JWL605" s="48"/>
      <c r="JWM605" s="53"/>
      <c r="JWT605" s="15"/>
      <c r="JWU605" s="50"/>
      <c r="JWV605" s="50"/>
      <c r="JWW605" s="46"/>
      <c r="JWX605" s="47"/>
      <c r="JWY605" s="46"/>
      <c r="JWZ605" s="48"/>
      <c r="JXA605" s="53"/>
      <c r="JXH605" s="15"/>
      <c r="JXI605" s="50"/>
      <c r="JXJ605" s="50"/>
      <c r="JXK605" s="46"/>
      <c r="JXL605" s="47"/>
      <c r="JXM605" s="46"/>
      <c r="JXN605" s="48"/>
      <c r="JXO605" s="53"/>
      <c r="JXV605" s="15"/>
      <c r="JXW605" s="50"/>
      <c r="JXX605" s="50"/>
      <c r="JXY605" s="46"/>
      <c r="JXZ605" s="47"/>
      <c r="JYA605" s="46"/>
      <c r="JYB605" s="48"/>
      <c r="JYC605" s="53"/>
      <c r="JYJ605" s="15"/>
      <c r="JYK605" s="50"/>
      <c r="JYL605" s="50"/>
      <c r="JYM605" s="46"/>
      <c r="JYN605" s="47"/>
      <c r="JYO605" s="46"/>
      <c r="JYP605" s="48"/>
      <c r="JYQ605" s="53"/>
      <c r="JYX605" s="15"/>
      <c r="JYY605" s="50"/>
      <c r="JYZ605" s="50"/>
      <c r="JZA605" s="46"/>
      <c r="JZB605" s="47"/>
      <c r="JZC605" s="46"/>
      <c r="JZD605" s="48"/>
      <c r="JZE605" s="53"/>
      <c r="JZL605" s="15"/>
      <c r="JZM605" s="50"/>
      <c r="JZN605" s="50"/>
      <c r="JZO605" s="46"/>
      <c r="JZP605" s="47"/>
      <c r="JZQ605" s="46"/>
      <c r="JZR605" s="48"/>
      <c r="JZS605" s="53"/>
      <c r="JZZ605" s="15"/>
      <c r="KAA605" s="50"/>
      <c r="KAB605" s="50"/>
      <c r="KAC605" s="46"/>
      <c r="KAD605" s="47"/>
      <c r="KAE605" s="46"/>
      <c r="KAF605" s="48"/>
      <c r="KAG605" s="53"/>
      <c r="KAN605" s="15"/>
      <c r="KAO605" s="50"/>
      <c r="KAP605" s="50"/>
      <c r="KAQ605" s="46"/>
      <c r="KAR605" s="47"/>
      <c r="KAS605" s="46"/>
      <c r="KAT605" s="48"/>
      <c r="KAU605" s="53"/>
      <c r="KBB605" s="15"/>
      <c r="KBC605" s="50"/>
      <c r="KBD605" s="50"/>
      <c r="KBE605" s="46"/>
      <c r="KBF605" s="47"/>
      <c r="KBG605" s="46"/>
      <c r="KBH605" s="48"/>
      <c r="KBI605" s="53"/>
      <c r="KBP605" s="15"/>
      <c r="KBQ605" s="50"/>
      <c r="KBR605" s="50"/>
      <c r="KBS605" s="46"/>
      <c r="KBT605" s="47"/>
      <c r="KBU605" s="46"/>
      <c r="KBV605" s="48"/>
      <c r="KBW605" s="53"/>
      <c r="KCD605" s="15"/>
      <c r="KCE605" s="50"/>
      <c r="KCF605" s="50"/>
      <c r="KCG605" s="46"/>
      <c r="KCH605" s="47"/>
      <c r="KCI605" s="46"/>
      <c r="KCJ605" s="48"/>
      <c r="KCK605" s="53"/>
      <c r="KCR605" s="15"/>
      <c r="KCS605" s="50"/>
      <c r="KCT605" s="50"/>
      <c r="KCU605" s="46"/>
      <c r="KCV605" s="47"/>
      <c r="KCW605" s="46"/>
      <c r="KCX605" s="48"/>
      <c r="KCY605" s="53"/>
      <c r="KDF605" s="15"/>
      <c r="KDG605" s="50"/>
      <c r="KDH605" s="50"/>
      <c r="KDI605" s="46"/>
      <c r="KDJ605" s="47"/>
      <c r="KDK605" s="46"/>
      <c r="KDL605" s="48"/>
      <c r="KDM605" s="53"/>
      <c r="KDT605" s="15"/>
      <c r="KDU605" s="50"/>
      <c r="KDV605" s="50"/>
      <c r="KDW605" s="46"/>
      <c r="KDX605" s="47"/>
      <c r="KDY605" s="46"/>
      <c r="KDZ605" s="48"/>
      <c r="KEA605" s="53"/>
      <c r="KEH605" s="15"/>
      <c r="KEI605" s="50"/>
      <c r="KEJ605" s="50"/>
      <c r="KEK605" s="46"/>
      <c r="KEL605" s="47"/>
      <c r="KEM605" s="46"/>
      <c r="KEN605" s="48"/>
      <c r="KEO605" s="53"/>
      <c r="KEV605" s="15"/>
      <c r="KEW605" s="50"/>
      <c r="KEX605" s="50"/>
      <c r="KEY605" s="46"/>
      <c r="KEZ605" s="47"/>
      <c r="KFA605" s="46"/>
      <c r="KFB605" s="48"/>
      <c r="KFC605" s="53"/>
      <c r="KFJ605" s="15"/>
      <c r="KFK605" s="50"/>
      <c r="KFL605" s="50"/>
      <c r="KFM605" s="46"/>
      <c r="KFN605" s="47"/>
      <c r="KFO605" s="46"/>
      <c r="KFP605" s="48"/>
      <c r="KFQ605" s="53"/>
      <c r="KFX605" s="15"/>
      <c r="KFY605" s="50"/>
      <c r="KFZ605" s="50"/>
      <c r="KGA605" s="46"/>
      <c r="KGB605" s="47"/>
      <c r="KGC605" s="46"/>
      <c r="KGD605" s="48"/>
      <c r="KGE605" s="53"/>
      <c r="KGL605" s="15"/>
      <c r="KGM605" s="50"/>
      <c r="KGN605" s="50"/>
      <c r="KGO605" s="46"/>
      <c r="KGP605" s="47"/>
      <c r="KGQ605" s="46"/>
      <c r="KGR605" s="48"/>
      <c r="KGS605" s="53"/>
      <c r="KGZ605" s="15"/>
      <c r="KHA605" s="50"/>
      <c r="KHB605" s="50"/>
      <c r="KHC605" s="46"/>
      <c r="KHD605" s="47"/>
      <c r="KHE605" s="46"/>
      <c r="KHF605" s="48"/>
      <c r="KHG605" s="53"/>
      <c r="KHN605" s="15"/>
      <c r="KHO605" s="50"/>
      <c r="KHP605" s="50"/>
      <c r="KHQ605" s="46"/>
      <c r="KHR605" s="47"/>
      <c r="KHS605" s="46"/>
      <c r="KHT605" s="48"/>
      <c r="KHU605" s="53"/>
      <c r="KIB605" s="15"/>
      <c r="KIC605" s="50"/>
      <c r="KID605" s="50"/>
      <c r="KIE605" s="46"/>
      <c r="KIF605" s="47"/>
      <c r="KIG605" s="46"/>
      <c r="KIH605" s="48"/>
      <c r="KII605" s="53"/>
      <c r="KIP605" s="15"/>
      <c r="KIQ605" s="50"/>
      <c r="KIR605" s="50"/>
      <c r="KIS605" s="46"/>
      <c r="KIT605" s="47"/>
      <c r="KIU605" s="46"/>
      <c r="KIV605" s="48"/>
      <c r="KIW605" s="53"/>
      <c r="KJD605" s="15"/>
      <c r="KJE605" s="50"/>
      <c r="KJF605" s="50"/>
      <c r="KJG605" s="46"/>
      <c r="KJH605" s="47"/>
      <c r="KJI605" s="46"/>
      <c r="KJJ605" s="48"/>
      <c r="KJK605" s="53"/>
      <c r="KJR605" s="15"/>
      <c r="KJS605" s="50"/>
      <c r="KJT605" s="50"/>
      <c r="KJU605" s="46"/>
      <c r="KJV605" s="47"/>
      <c r="KJW605" s="46"/>
      <c r="KJX605" s="48"/>
      <c r="KJY605" s="53"/>
      <c r="KKF605" s="15"/>
      <c r="KKG605" s="50"/>
      <c r="KKH605" s="50"/>
      <c r="KKI605" s="46"/>
      <c r="KKJ605" s="47"/>
      <c r="KKK605" s="46"/>
      <c r="KKL605" s="48"/>
      <c r="KKM605" s="53"/>
      <c r="KKT605" s="15"/>
      <c r="KKU605" s="50"/>
      <c r="KKV605" s="50"/>
      <c r="KKW605" s="46"/>
      <c r="KKX605" s="47"/>
      <c r="KKY605" s="46"/>
      <c r="KKZ605" s="48"/>
      <c r="KLA605" s="53"/>
      <c r="KLH605" s="15"/>
      <c r="KLI605" s="50"/>
      <c r="KLJ605" s="50"/>
      <c r="KLK605" s="46"/>
      <c r="KLL605" s="47"/>
      <c r="KLM605" s="46"/>
      <c r="KLN605" s="48"/>
      <c r="KLO605" s="53"/>
      <c r="KLV605" s="15"/>
      <c r="KLW605" s="50"/>
      <c r="KLX605" s="50"/>
      <c r="KLY605" s="46"/>
      <c r="KLZ605" s="47"/>
      <c r="KMA605" s="46"/>
      <c r="KMB605" s="48"/>
      <c r="KMC605" s="53"/>
      <c r="KMJ605" s="15"/>
      <c r="KMK605" s="50"/>
      <c r="KML605" s="50"/>
      <c r="KMM605" s="46"/>
      <c r="KMN605" s="47"/>
      <c r="KMO605" s="46"/>
      <c r="KMP605" s="48"/>
      <c r="KMQ605" s="53"/>
      <c r="KMX605" s="15"/>
      <c r="KMY605" s="50"/>
      <c r="KMZ605" s="50"/>
      <c r="KNA605" s="46"/>
      <c r="KNB605" s="47"/>
      <c r="KNC605" s="46"/>
      <c r="KND605" s="48"/>
      <c r="KNE605" s="53"/>
      <c r="KNL605" s="15"/>
      <c r="KNM605" s="50"/>
      <c r="KNN605" s="50"/>
      <c r="KNO605" s="46"/>
      <c r="KNP605" s="47"/>
      <c r="KNQ605" s="46"/>
      <c r="KNR605" s="48"/>
      <c r="KNS605" s="53"/>
      <c r="KNZ605" s="15"/>
      <c r="KOA605" s="50"/>
      <c r="KOB605" s="50"/>
      <c r="KOC605" s="46"/>
      <c r="KOD605" s="47"/>
      <c r="KOE605" s="46"/>
      <c r="KOF605" s="48"/>
      <c r="KOG605" s="53"/>
      <c r="KON605" s="15"/>
      <c r="KOO605" s="50"/>
      <c r="KOP605" s="50"/>
      <c r="KOQ605" s="46"/>
      <c r="KOR605" s="47"/>
      <c r="KOS605" s="46"/>
      <c r="KOT605" s="48"/>
      <c r="KOU605" s="53"/>
      <c r="KPB605" s="15"/>
      <c r="KPC605" s="50"/>
      <c r="KPD605" s="50"/>
      <c r="KPE605" s="46"/>
      <c r="KPF605" s="47"/>
      <c r="KPG605" s="46"/>
      <c r="KPH605" s="48"/>
      <c r="KPI605" s="53"/>
      <c r="KPP605" s="15"/>
      <c r="KPQ605" s="50"/>
      <c r="KPR605" s="50"/>
      <c r="KPS605" s="46"/>
      <c r="KPT605" s="47"/>
      <c r="KPU605" s="46"/>
      <c r="KPV605" s="48"/>
      <c r="KPW605" s="53"/>
      <c r="KQD605" s="15"/>
      <c r="KQE605" s="50"/>
      <c r="KQF605" s="50"/>
      <c r="KQG605" s="46"/>
      <c r="KQH605" s="47"/>
      <c r="KQI605" s="46"/>
      <c r="KQJ605" s="48"/>
      <c r="KQK605" s="53"/>
      <c r="KQR605" s="15"/>
      <c r="KQS605" s="50"/>
      <c r="KQT605" s="50"/>
      <c r="KQU605" s="46"/>
      <c r="KQV605" s="47"/>
      <c r="KQW605" s="46"/>
      <c r="KQX605" s="48"/>
      <c r="KQY605" s="53"/>
      <c r="KRF605" s="15"/>
      <c r="KRG605" s="50"/>
      <c r="KRH605" s="50"/>
      <c r="KRI605" s="46"/>
      <c r="KRJ605" s="47"/>
      <c r="KRK605" s="46"/>
      <c r="KRL605" s="48"/>
      <c r="KRM605" s="53"/>
      <c r="KRT605" s="15"/>
      <c r="KRU605" s="50"/>
      <c r="KRV605" s="50"/>
      <c r="KRW605" s="46"/>
      <c r="KRX605" s="47"/>
      <c r="KRY605" s="46"/>
      <c r="KRZ605" s="48"/>
      <c r="KSA605" s="53"/>
      <c r="KSH605" s="15"/>
      <c r="KSI605" s="50"/>
      <c r="KSJ605" s="50"/>
      <c r="KSK605" s="46"/>
      <c r="KSL605" s="47"/>
      <c r="KSM605" s="46"/>
      <c r="KSN605" s="48"/>
      <c r="KSO605" s="53"/>
      <c r="KSV605" s="15"/>
      <c r="KSW605" s="50"/>
      <c r="KSX605" s="50"/>
      <c r="KSY605" s="46"/>
      <c r="KSZ605" s="47"/>
      <c r="KTA605" s="46"/>
      <c r="KTB605" s="48"/>
      <c r="KTC605" s="53"/>
      <c r="KTJ605" s="15"/>
      <c r="KTK605" s="50"/>
      <c r="KTL605" s="50"/>
      <c r="KTM605" s="46"/>
      <c r="KTN605" s="47"/>
      <c r="KTO605" s="46"/>
      <c r="KTP605" s="48"/>
      <c r="KTQ605" s="53"/>
      <c r="KTX605" s="15"/>
      <c r="KTY605" s="50"/>
      <c r="KTZ605" s="50"/>
      <c r="KUA605" s="46"/>
      <c r="KUB605" s="47"/>
      <c r="KUC605" s="46"/>
      <c r="KUD605" s="48"/>
      <c r="KUE605" s="53"/>
      <c r="KUL605" s="15"/>
      <c r="KUM605" s="50"/>
      <c r="KUN605" s="50"/>
      <c r="KUO605" s="46"/>
      <c r="KUP605" s="47"/>
      <c r="KUQ605" s="46"/>
      <c r="KUR605" s="48"/>
      <c r="KUS605" s="53"/>
      <c r="KUZ605" s="15"/>
      <c r="KVA605" s="50"/>
      <c r="KVB605" s="50"/>
      <c r="KVC605" s="46"/>
      <c r="KVD605" s="47"/>
      <c r="KVE605" s="46"/>
      <c r="KVF605" s="48"/>
      <c r="KVG605" s="53"/>
      <c r="KVN605" s="15"/>
      <c r="KVO605" s="50"/>
      <c r="KVP605" s="50"/>
      <c r="KVQ605" s="46"/>
      <c r="KVR605" s="47"/>
      <c r="KVS605" s="46"/>
      <c r="KVT605" s="48"/>
      <c r="KVU605" s="53"/>
      <c r="KWB605" s="15"/>
      <c r="KWC605" s="50"/>
      <c r="KWD605" s="50"/>
      <c r="KWE605" s="46"/>
      <c r="KWF605" s="47"/>
      <c r="KWG605" s="46"/>
      <c r="KWH605" s="48"/>
      <c r="KWI605" s="53"/>
      <c r="KWP605" s="15"/>
      <c r="KWQ605" s="50"/>
      <c r="KWR605" s="50"/>
      <c r="KWS605" s="46"/>
      <c r="KWT605" s="47"/>
      <c r="KWU605" s="46"/>
      <c r="KWV605" s="48"/>
      <c r="KWW605" s="53"/>
      <c r="KXD605" s="15"/>
      <c r="KXE605" s="50"/>
      <c r="KXF605" s="50"/>
      <c r="KXG605" s="46"/>
      <c r="KXH605" s="47"/>
      <c r="KXI605" s="46"/>
      <c r="KXJ605" s="48"/>
      <c r="KXK605" s="53"/>
      <c r="KXR605" s="15"/>
      <c r="KXS605" s="50"/>
      <c r="KXT605" s="50"/>
      <c r="KXU605" s="46"/>
      <c r="KXV605" s="47"/>
      <c r="KXW605" s="46"/>
      <c r="KXX605" s="48"/>
      <c r="KXY605" s="53"/>
      <c r="KYF605" s="15"/>
      <c r="KYG605" s="50"/>
      <c r="KYH605" s="50"/>
      <c r="KYI605" s="46"/>
      <c r="KYJ605" s="47"/>
      <c r="KYK605" s="46"/>
      <c r="KYL605" s="48"/>
      <c r="KYM605" s="53"/>
      <c r="KYT605" s="15"/>
      <c r="KYU605" s="50"/>
      <c r="KYV605" s="50"/>
      <c r="KYW605" s="46"/>
      <c r="KYX605" s="47"/>
      <c r="KYY605" s="46"/>
      <c r="KYZ605" s="48"/>
      <c r="KZA605" s="53"/>
      <c r="KZH605" s="15"/>
      <c r="KZI605" s="50"/>
      <c r="KZJ605" s="50"/>
      <c r="KZK605" s="46"/>
      <c r="KZL605" s="47"/>
      <c r="KZM605" s="46"/>
      <c r="KZN605" s="48"/>
      <c r="KZO605" s="53"/>
      <c r="KZV605" s="15"/>
      <c r="KZW605" s="50"/>
      <c r="KZX605" s="50"/>
      <c r="KZY605" s="46"/>
      <c r="KZZ605" s="47"/>
      <c r="LAA605" s="46"/>
      <c r="LAB605" s="48"/>
      <c r="LAC605" s="53"/>
      <c r="LAJ605" s="15"/>
      <c r="LAK605" s="50"/>
      <c r="LAL605" s="50"/>
      <c r="LAM605" s="46"/>
      <c r="LAN605" s="47"/>
      <c r="LAO605" s="46"/>
      <c r="LAP605" s="48"/>
      <c r="LAQ605" s="53"/>
      <c r="LAX605" s="15"/>
      <c r="LAY605" s="50"/>
      <c r="LAZ605" s="50"/>
      <c r="LBA605" s="46"/>
      <c r="LBB605" s="47"/>
      <c r="LBC605" s="46"/>
      <c r="LBD605" s="48"/>
      <c r="LBE605" s="53"/>
      <c r="LBL605" s="15"/>
      <c r="LBM605" s="50"/>
      <c r="LBN605" s="50"/>
      <c r="LBO605" s="46"/>
      <c r="LBP605" s="47"/>
      <c r="LBQ605" s="46"/>
      <c r="LBR605" s="48"/>
      <c r="LBS605" s="53"/>
      <c r="LBZ605" s="15"/>
      <c r="LCA605" s="50"/>
      <c r="LCB605" s="50"/>
      <c r="LCC605" s="46"/>
      <c r="LCD605" s="47"/>
      <c r="LCE605" s="46"/>
      <c r="LCF605" s="48"/>
      <c r="LCG605" s="53"/>
      <c r="LCN605" s="15"/>
      <c r="LCO605" s="50"/>
      <c r="LCP605" s="50"/>
      <c r="LCQ605" s="46"/>
      <c r="LCR605" s="47"/>
      <c r="LCS605" s="46"/>
      <c r="LCT605" s="48"/>
      <c r="LCU605" s="53"/>
      <c r="LDB605" s="15"/>
      <c r="LDC605" s="50"/>
      <c r="LDD605" s="50"/>
      <c r="LDE605" s="46"/>
      <c r="LDF605" s="47"/>
      <c r="LDG605" s="46"/>
      <c r="LDH605" s="48"/>
      <c r="LDI605" s="53"/>
      <c r="LDP605" s="15"/>
      <c r="LDQ605" s="50"/>
      <c r="LDR605" s="50"/>
      <c r="LDS605" s="46"/>
      <c r="LDT605" s="47"/>
      <c r="LDU605" s="46"/>
      <c r="LDV605" s="48"/>
      <c r="LDW605" s="53"/>
      <c r="LED605" s="15"/>
      <c r="LEE605" s="50"/>
      <c r="LEF605" s="50"/>
      <c r="LEG605" s="46"/>
      <c r="LEH605" s="47"/>
      <c r="LEI605" s="46"/>
      <c r="LEJ605" s="48"/>
      <c r="LEK605" s="53"/>
      <c r="LER605" s="15"/>
      <c r="LES605" s="50"/>
      <c r="LET605" s="50"/>
      <c r="LEU605" s="46"/>
      <c r="LEV605" s="47"/>
      <c r="LEW605" s="46"/>
      <c r="LEX605" s="48"/>
      <c r="LEY605" s="53"/>
      <c r="LFF605" s="15"/>
      <c r="LFG605" s="50"/>
      <c r="LFH605" s="50"/>
      <c r="LFI605" s="46"/>
      <c r="LFJ605" s="47"/>
      <c r="LFK605" s="46"/>
      <c r="LFL605" s="48"/>
      <c r="LFM605" s="53"/>
      <c r="LFT605" s="15"/>
      <c r="LFU605" s="50"/>
      <c r="LFV605" s="50"/>
      <c r="LFW605" s="46"/>
      <c r="LFX605" s="47"/>
      <c r="LFY605" s="46"/>
      <c r="LFZ605" s="48"/>
      <c r="LGA605" s="53"/>
      <c r="LGH605" s="15"/>
      <c r="LGI605" s="50"/>
      <c r="LGJ605" s="50"/>
      <c r="LGK605" s="46"/>
      <c r="LGL605" s="47"/>
      <c r="LGM605" s="46"/>
      <c r="LGN605" s="48"/>
      <c r="LGO605" s="53"/>
      <c r="LGV605" s="15"/>
      <c r="LGW605" s="50"/>
      <c r="LGX605" s="50"/>
      <c r="LGY605" s="46"/>
      <c r="LGZ605" s="47"/>
      <c r="LHA605" s="46"/>
      <c r="LHB605" s="48"/>
      <c r="LHC605" s="53"/>
      <c r="LHJ605" s="15"/>
      <c r="LHK605" s="50"/>
      <c r="LHL605" s="50"/>
      <c r="LHM605" s="46"/>
      <c r="LHN605" s="47"/>
      <c r="LHO605" s="46"/>
      <c r="LHP605" s="48"/>
      <c r="LHQ605" s="53"/>
      <c r="LHX605" s="15"/>
      <c r="LHY605" s="50"/>
      <c r="LHZ605" s="50"/>
      <c r="LIA605" s="46"/>
      <c r="LIB605" s="47"/>
      <c r="LIC605" s="46"/>
      <c r="LID605" s="48"/>
      <c r="LIE605" s="53"/>
      <c r="LIL605" s="15"/>
      <c r="LIM605" s="50"/>
      <c r="LIN605" s="50"/>
      <c r="LIO605" s="46"/>
      <c r="LIP605" s="47"/>
      <c r="LIQ605" s="46"/>
      <c r="LIR605" s="48"/>
      <c r="LIS605" s="53"/>
      <c r="LIZ605" s="15"/>
      <c r="LJA605" s="50"/>
      <c r="LJB605" s="50"/>
      <c r="LJC605" s="46"/>
      <c r="LJD605" s="47"/>
      <c r="LJE605" s="46"/>
      <c r="LJF605" s="48"/>
      <c r="LJG605" s="53"/>
      <c r="LJN605" s="15"/>
      <c r="LJO605" s="50"/>
      <c r="LJP605" s="50"/>
      <c r="LJQ605" s="46"/>
      <c r="LJR605" s="47"/>
      <c r="LJS605" s="46"/>
      <c r="LJT605" s="48"/>
      <c r="LJU605" s="53"/>
      <c r="LKB605" s="15"/>
      <c r="LKC605" s="50"/>
      <c r="LKD605" s="50"/>
      <c r="LKE605" s="46"/>
      <c r="LKF605" s="47"/>
      <c r="LKG605" s="46"/>
      <c r="LKH605" s="48"/>
      <c r="LKI605" s="53"/>
      <c r="LKP605" s="15"/>
      <c r="LKQ605" s="50"/>
      <c r="LKR605" s="50"/>
      <c r="LKS605" s="46"/>
      <c r="LKT605" s="47"/>
      <c r="LKU605" s="46"/>
      <c r="LKV605" s="48"/>
      <c r="LKW605" s="53"/>
      <c r="LLD605" s="15"/>
      <c r="LLE605" s="50"/>
      <c r="LLF605" s="50"/>
      <c r="LLG605" s="46"/>
      <c r="LLH605" s="47"/>
      <c r="LLI605" s="46"/>
      <c r="LLJ605" s="48"/>
      <c r="LLK605" s="53"/>
      <c r="LLR605" s="15"/>
      <c r="LLS605" s="50"/>
      <c r="LLT605" s="50"/>
      <c r="LLU605" s="46"/>
      <c r="LLV605" s="47"/>
      <c r="LLW605" s="46"/>
      <c r="LLX605" s="48"/>
      <c r="LLY605" s="53"/>
      <c r="LMF605" s="15"/>
      <c r="LMG605" s="50"/>
      <c r="LMH605" s="50"/>
      <c r="LMI605" s="46"/>
      <c r="LMJ605" s="47"/>
      <c r="LMK605" s="46"/>
      <c r="LML605" s="48"/>
      <c r="LMM605" s="53"/>
      <c r="LMT605" s="15"/>
      <c r="LMU605" s="50"/>
      <c r="LMV605" s="50"/>
      <c r="LMW605" s="46"/>
      <c r="LMX605" s="47"/>
      <c r="LMY605" s="46"/>
      <c r="LMZ605" s="48"/>
      <c r="LNA605" s="53"/>
      <c r="LNH605" s="15"/>
      <c r="LNI605" s="50"/>
      <c r="LNJ605" s="50"/>
      <c r="LNK605" s="46"/>
      <c r="LNL605" s="47"/>
      <c r="LNM605" s="46"/>
      <c r="LNN605" s="48"/>
      <c r="LNO605" s="53"/>
      <c r="LNV605" s="15"/>
      <c r="LNW605" s="50"/>
      <c r="LNX605" s="50"/>
      <c r="LNY605" s="46"/>
      <c r="LNZ605" s="47"/>
      <c r="LOA605" s="46"/>
      <c r="LOB605" s="48"/>
      <c r="LOC605" s="53"/>
      <c r="LOJ605" s="15"/>
      <c r="LOK605" s="50"/>
      <c r="LOL605" s="50"/>
      <c r="LOM605" s="46"/>
      <c r="LON605" s="47"/>
      <c r="LOO605" s="46"/>
      <c r="LOP605" s="48"/>
      <c r="LOQ605" s="53"/>
      <c r="LOX605" s="15"/>
      <c r="LOY605" s="50"/>
      <c r="LOZ605" s="50"/>
      <c r="LPA605" s="46"/>
      <c r="LPB605" s="47"/>
      <c r="LPC605" s="46"/>
      <c r="LPD605" s="48"/>
      <c r="LPE605" s="53"/>
      <c r="LPL605" s="15"/>
      <c r="LPM605" s="50"/>
      <c r="LPN605" s="50"/>
      <c r="LPO605" s="46"/>
      <c r="LPP605" s="47"/>
      <c r="LPQ605" s="46"/>
      <c r="LPR605" s="48"/>
      <c r="LPS605" s="53"/>
      <c r="LPZ605" s="15"/>
      <c r="LQA605" s="50"/>
      <c r="LQB605" s="50"/>
      <c r="LQC605" s="46"/>
      <c r="LQD605" s="47"/>
      <c r="LQE605" s="46"/>
      <c r="LQF605" s="48"/>
      <c r="LQG605" s="53"/>
      <c r="LQN605" s="15"/>
      <c r="LQO605" s="50"/>
      <c r="LQP605" s="50"/>
      <c r="LQQ605" s="46"/>
      <c r="LQR605" s="47"/>
      <c r="LQS605" s="46"/>
      <c r="LQT605" s="48"/>
      <c r="LQU605" s="53"/>
      <c r="LRB605" s="15"/>
      <c r="LRC605" s="50"/>
      <c r="LRD605" s="50"/>
      <c r="LRE605" s="46"/>
      <c r="LRF605" s="47"/>
      <c r="LRG605" s="46"/>
      <c r="LRH605" s="48"/>
      <c r="LRI605" s="53"/>
      <c r="LRP605" s="15"/>
      <c r="LRQ605" s="50"/>
      <c r="LRR605" s="50"/>
      <c r="LRS605" s="46"/>
      <c r="LRT605" s="47"/>
      <c r="LRU605" s="46"/>
      <c r="LRV605" s="48"/>
      <c r="LRW605" s="53"/>
      <c r="LSD605" s="15"/>
      <c r="LSE605" s="50"/>
      <c r="LSF605" s="50"/>
      <c r="LSG605" s="46"/>
      <c r="LSH605" s="47"/>
      <c r="LSI605" s="46"/>
      <c r="LSJ605" s="48"/>
      <c r="LSK605" s="53"/>
      <c r="LSR605" s="15"/>
      <c r="LSS605" s="50"/>
      <c r="LST605" s="50"/>
      <c r="LSU605" s="46"/>
      <c r="LSV605" s="47"/>
      <c r="LSW605" s="46"/>
      <c r="LSX605" s="48"/>
      <c r="LSY605" s="53"/>
      <c r="LTF605" s="15"/>
      <c r="LTG605" s="50"/>
      <c r="LTH605" s="50"/>
      <c r="LTI605" s="46"/>
      <c r="LTJ605" s="47"/>
      <c r="LTK605" s="46"/>
      <c r="LTL605" s="48"/>
      <c r="LTM605" s="53"/>
      <c r="LTT605" s="15"/>
      <c r="LTU605" s="50"/>
      <c r="LTV605" s="50"/>
      <c r="LTW605" s="46"/>
      <c r="LTX605" s="47"/>
      <c r="LTY605" s="46"/>
      <c r="LTZ605" s="48"/>
      <c r="LUA605" s="53"/>
      <c r="LUH605" s="15"/>
      <c r="LUI605" s="50"/>
      <c r="LUJ605" s="50"/>
      <c r="LUK605" s="46"/>
      <c r="LUL605" s="47"/>
      <c r="LUM605" s="46"/>
      <c r="LUN605" s="48"/>
      <c r="LUO605" s="53"/>
      <c r="LUV605" s="15"/>
      <c r="LUW605" s="50"/>
      <c r="LUX605" s="50"/>
      <c r="LUY605" s="46"/>
      <c r="LUZ605" s="47"/>
      <c r="LVA605" s="46"/>
      <c r="LVB605" s="48"/>
      <c r="LVC605" s="53"/>
      <c r="LVJ605" s="15"/>
      <c r="LVK605" s="50"/>
      <c r="LVL605" s="50"/>
      <c r="LVM605" s="46"/>
      <c r="LVN605" s="47"/>
      <c r="LVO605" s="46"/>
      <c r="LVP605" s="48"/>
      <c r="LVQ605" s="53"/>
      <c r="LVX605" s="15"/>
      <c r="LVY605" s="50"/>
      <c r="LVZ605" s="50"/>
      <c r="LWA605" s="46"/>
      <c r="LWB605" s="47"/>
      <c r="LWC605" s="46"/>
      <c r="LWD605" s="48"/>
      <c r="LWE605" s="53"/>
      <c r="LWL605" s="15"/>
      <c r="LWM605" s="50"/>
      <c r="LWN605" s="50"/>
      <c r="LWO605" s="46"/>
      <c r="LWP605" s="47"/>
      <c r="LWQ605" s="46"/>
      <c r="LWR605" s="48"/>
      <c r="LWS605" s="53"/>
      <c r="LWZ605" s="15"/>
      <c r="LXA605" s="50"/>
      <c r="LXB605" s="50"/>
      <c r="LXC605" s="46"/>
      <c r="LXD605" s="47"/>
      <c r="LXE605" s="46"/>
      <c r="LXF605" s="48"/>
      <c r="LXG605" s="53"/>
      <c r="LXN605" s="15"/>
      <c r="LXO605" s="50"/>
      <c r="LXP605" s="50"/>
      <c r="LXQ605" s="46"/>
      <c r="LXR605" s="47"/>
      <c r="LXS605" s="46"/>
      <c r="LXT605" s="48"/>
      <c r="LXU605" s="53"/>
      <c r="LYB605" s="15"/>
      <c r="LYC605" s="50"/>
      <c r="LYD605" s="50"/>
      <c r="LYE605" s="46"/>
      <c r="LYF605" s="47"/>
      <c r="LYG605" s="46"/>
      <c r="LYH605" s="48"/>
      <c r="LYI605" s="53"/>
      <c r="LYP605" s="15"/>
      <c r="LYQ605" s="50"/>
      <c r="LYR605" s="50"/>
      <c r="LYS605" s="46"/>
      <c r="LYT605" s="47"/>
      <c r="LYU605" s="46"/>
      <c r="LYV605" s="48"/>
      <c r="LYW605" s="53"/>
      <c r="LZD605" s="15"/>
      <c r="LZE605" s="50"/>
      <c r="LZF605" s="50"/>
      <c r="LZG605" s="46"/>
      <c r="LZH605" s="47"/>
      <c r="LZI605" s="46"/>
      <c r="LZJ605" s="48"/>
      <c r="LZK605" s="53"/>
      <c r="LZR605" s="15"/>
      <c r="LZS605" s="50"/>
      <c r="LZT605" s="50"/>
      <c r="LZU605" s="46"/>
      <c r="LZV605" s="47"/>
      <c r="LZW605" s="46"/>
      <c r="LZX605" s="48"/>
      <c r="LZY605" s="53"/>
      <c r="MAF605" s="15"/>
      <c r="MAG605" s="50"/>
      <c r="MAH605" s="50"/>
      <c r="MAI605" s="46"/>
      <c r="MAJ605" s="47"/>
      <c r="MAK605" s="46"/>
      <c r="MAL605" s="48"/>
      <c r="MAM605" s="53"/>
      <c r="MAT605" s="15"/>
      <c r="MAU605" s="50"/>
      <c r="MAV605" s="50"/>
      <c r="MAW605" s="46"/>
      <c r="MAX605" s="47"/>
      <c r="MAY605" s="46"/>
      <c r="MAZ605" s="48"/>
      <c r="MBA605" s="53"/>
      <c r="MBH605" s="15"/>
      <c r="MBI605" s="50"/>
      <c r="MBJ605" s="50"/>
      <c r="MBK605" s="46"/>
      <c r="MBL605" s="47"/>
      <c r="MBM605" s="46"/>
      <c r="MBN605" s="48"/>
      <c r="MBO605" s="53"/>
      <c r="MBV605" s="15"/>
      <c r="MBW605" s="50"/>
      <c r="MBX605" s="50"/>
      <c r="MBY605" s="46"/>
      <c r="MBZ605" s="47"/>
      <c r="MCA605" s="46"/>
      <c r="MCB605" s="48"/>
      <c r="MCC605" s="53"/>
      <c r="MCJ605" s="15"/>
      <c r="MCK605" s="50"/>
      <c r="MCL605" s="50"/>
      <c r="MCM605" s="46"/>
      <c r="MCN605" s="47"/>
      <c r="MCO605" s="46"/>
      <c r="MCP605" s="48"/>
      <c r="MCQ605" s="53"/>
      <c r="MCX605" s="15"/>
      <c r="MCY605" s="50"/>
      <c r="MCZ605" s="50"/>
      <c r="MDA605" s="46"/>
      <c r="MDB605" s="47"/>
      <c r="MDC605" s="46"/>
      <c r="MDD605" s="48"/>
      <c r="MDE605" s="53"/>
      <c r="MDL605" s="15"/>
      <c r="MDM605" s="50"/>
      <c r="MDN605" s="50"/>
      <c r="MDO605" s="46"/>
      <c r="MDP605" s="47"/>
      <c r="MDQ605" s="46"/>
      <c r="MDR605" s="48"/>
      <c r="MDS605" s="53"/>
      <c r="MDZ605" s="15"/>
      <c r="MEA605" s="50"/>
      <c r="MEB605" s="50"/>
      <c r="MEC605" s="46"/>
      <c r="MED605" s="47"/>
      <c r="MEE605" s="46"/>
      <c r="MEF605" s="48"/>
      <c r="MEG605" s="53"/>
      <c r="MEN605" s="15"/>
      <c r="MEO605" s="50"/>
      <c r="MEP605" s="50"/>
      <c r="MEQ605" s="46"/>
      <c r="MER605" s="47"/>
      <c r="MES605" s="46"/>
      <c r="MET605" s="48"/>
      <c r="MEU605" s="53"/>
      <c r="MFB605" s="15"/>
      <c r="MFC605" s="50"/>
      <c r="MFD605" s="50"/>
      <c r="MFE605" s="46"/>
      <c r="MFF605" s="47"/>
      <c r="MFG605" s="46"/>
      <c r="MFH605" s="48"/>
      <c r="MFI605" s="53"/>
      <c r="MFP605" s="15"/>
      <c r="MFQ605" s="50"/>
      <c r="MFR605" s="50"/>
      <c r="MFS605" s="46"/>
      <c r="MFT605" s="47"/>
      <c r="MFU605" s="46"/>
      <c r="MFV605" s="48"/>
      <c r="MFW605" s="53"/>
      <c r="MGD605" s="15"/>
      <c r="MGE605" s="50"/>
      <c r="MGF605" s="50"/>
      <c r="MGG605" s="46"/>
      <c r="MGH605" s="47"/>
      <c r="MGI605" s="46"/>
      <c r="MGJ605" s="48"/>
      <c r="MGK605" s="53"/>
      <c r="MGR605" s="15"/>
      <c r="MGS605" s="50"/>
      <c r="MGT605" s="50"/>
      <c r="MGU605" s="46"/>
      <c r="MGV605" s="47"/>
      <c r="MGW605" s="46"/>
      <c r="MGX605" s="48"/>
      <c r="MGY605" s="53"/>
      <c r="MHF605" s="15"/>
      <c r="MHG605" s="50"/>
      <c r="MHH605" s="50"/>
      <c r="MHI605" s="46"/>
      <c r="MHJ605" s="47"/>
      <c r="MHK605" s="46"/>
      <c r="MHL605" s="48"/>
      <c r="MHM605" s="53"/>
      <c r="MHT605" s="15"/>
      <c r="MHU605" s="50"/>
      <c r="MHV605" s="50"/>
      <c r="MHW605" s="46"/>
      <c r="MHX605" s="47"/>
      <c r="MHY605" s="46"/>
      <c r="MHZ605" s="48"/>
      <c r="MIA605" s="53"/>
      <c r="MIH605" s="15"/>
      <c r="MII605" s="50"/>
      <c r="MIJ605" s="50"/>
      <c r="MIK605" s="46"/>
      <c r="MIL605" s="47"/>
      <c r="MIM605" s="46"/>
      <c r="MIN605" s="48"/>
      <c r="MIO605" s="53"/>
      <c r="MIV605" s="15"/>
      <c r="MIW605" s="50"/>
      <c r="MIX605" s="50"/>
      <c r="MIY605" s="46"/>
      <c r="MIZ605" s="47"/>
      <c r="MJA605" s="46"/>
      <c r="MJB605" s="48"/>
      <c r="MJC605" s="53"/>
      <c r="MJJ605" s="15"/>
      <c r="MJK605" s="50"/>
      <c r="MJL605" s="50"/>
      <c r="MJM605" s="46"/>
      <c r="MJN605" s="47"/>
      <c r="MJO605" s="46"/>
      <c r="MJP605" s="48"/>
      <c r="MJQ605" s="53"/>
      <c r="MJX605" s="15"/>
      <c r="MJY605" s="50"/>
      <c r="MJZ605" s="50"/>
      <c r="MKA605" s="46"/>
      <c r="MKB605" s="47"/>
      <c r="MKC605" s="46"/>
      <c r="MKD605" s="48"/>
      <c r="MKE605" s="53"/>
      <c r="MKL605" s="15"/>
      <c r="MKM605" s="50"/>
      <c r="MKN605" s="50"/>
      <c r="MKO605" s="46"/>
      <c r="MKP605" s="47"/>
      <c r="MKQ605" s="46"/>
      <c r="MKR605" s="48"/>
      <c r="MKS605" s="53"/>
      <c r="MKZ605" s="15"/>
      <c r="MLA605" s="50"/>
      <c r="MLB605" s="50"/>
      <c r="MLC605" s="46"/>
      <c r="MLD605" s="47"/>
      <c r="MLE605" s="46"/>
      <c r="MLF605" s="48"/>
      <c r="MLG605" s="53"/>
      <c r="MLN605" s="15"/>
      <c r="MLO605" s="50"/>
      <c r="MLP605" s="50"/>
      <c r="MLQ605" s="46"/>
      <c r="MLR605" s="47"/>
      <c r="MLS605" s="46"/>
      <c r="MLT605" s="48"/>
      <c r="MLU605" s="53"/>
      <c r="MMB605" s="15"/>
      <c r="MMC605" s="50"/>
      <c r="MMD605" s="50"/>
      <c r="MME605" s="46"/>
      <c r="MMF605" s="47"/>
      <c r="MMG605" s="46"/>
      <c r="MMH605" s="48"/>
      <c r="MMI605" s="53"/>
      <c r="MMP605" s="15"/>
      <c r="MMQ605" s="50"/>
      <c r="MMR605" s="50"/>
      <c r="MMS605" s="46"/>
      <c r="MMT605" s="47"/>
      <c r="MMU605" s="46"/>
      <c r="MMV605" s="48"/>
      <c r="MMW605" s="53"/>
      <c r="MND605" s="15"/>
      <c r="MNE605" s="50"/>
      <c r="MNF605" s="50"/>
      <c r="MNG605" s="46"/>
      <c r="MNH605" s="47"/>
      <c r="MNI605" s="46"/>
      <c r="MNJ605" s="48"/>
      <c r="MNK605" s="53"/>
      <c r="MNR605" s="15"/>
      <c r="MNS605" s="50"/>
      <c r="MNT605" s="50"/>
      <c r="MNU605" s="46"/>
      <c r="MNV605" s="47"/>
      <c r="MNW605" s="46"/>
      <c r="MNX605" s="48"/>
      <c r="MNY605" s="53"/>
      <c r="MOF605" s="15"/>
      <c r="MOG605" s="50"/>
      <c r="MOH605" s="50"/>
      <c r="MOI605" s="46"/>
      <c r="MOJ605" s="47"/>
      <c r="MOK605" s="46"/>
      <c r="MOL605" s="48"/>
      <c r="MOM605" s="53"/>
      <c r="MOT605" s="15"/>
      <c r="MOU605" s="50"/>
      <c r="MOV605" s="50"/>
      <c r="MOW605" s="46"/>
      <c r="MOX605" s="47"/>
      <c r="MOY605" s="46"/>
      <c r="MOZ605" s="48"/>
      <c r="MPA605" s="53"/>
      <c r="MPH605" s="15"/>
      <c r="MPI605" s="50"/>
      <c r="MPJ605" s="50"/>
      <c r="MPK605" s="46"/>
      <c r="MPL605" s="47"/>
      <c r="MPM605" s="46"/>
      <c r="MPN605" s="48"/>
      <c r="MPO605" s="53"/>
      <c r="MPV605" s="15"/>
      <c r="MPW605" s="50"/>
      <c r="MPX605" s="50"/>
      <c r="MPY605" s="46"/>
      <c r="MPZ605" s="47"/>
      <c r="MQA605" s="46"/>
      <c r="MQB605" s="48"/>
      <c r="MQC605" s="53"/>
      <c r="MQJ605" s="15"/>
      <c r="MQK605" s="50"/>
      <c r="MQL605" s="50"/>
      <c r="MQM605" s="46"/>
      <c r="MQN605" s="47"/>
      <c r="MQO605" s="46"/>
      <c r="MQP605" s="48"/>
      <c r="MQQ605" s="53"/>
      <c r="MQX605" s="15"/>
      <c r="MQY605" s="50"/>
      <c r="MQZ605" s="50"/>
      <c r="MRA605" s="46"/>
      <c r="MRB605" s="47"/>
      <c r="MRC605" s="46"/>
      <c r="MRD605" s="48"/>
      <c r="MRE605" s="53"/>
      <c r="MRL605" s="15"/>
      <c r="MRM605" s="50"/>
      <c r="MRN605" s="50"/>
      <c r="MRO605" s="46"/>
      <c r="MRP605" s="47"/>
      <c r="MRQ605" s="46"/>
      <c r="MRR605" s="48"/>
      <c r="MRS605" s="53"/>
      <c r="MRZ605" s="15"/>
      <c r="MSA605" s="50"/>
      <c r="MSB605" s="50"/>
      <c r="MSC605" s="46"/>
      <c r="MSD605" s="47"/>
      <c r="MSE605" s="46"/>
      <c r="MSF605" s="48"/>
      <c r="MSG605" s="53"/>
      <c r="MSN605" s="15"/>
      <c r="MSO605" s="50"/>
      <c r="MSP605" s="50"/>
      <c r="MSQ605" s="46"/>
      <c r="MSR605" s="47"/>
      <c r="MSS605" s="46"/>
      <c r="MST605" s="48"/>
      <c r="MSU605" s="53"/>
      <c r="MTB605" s="15"/>
      <c r="MTC605" s="50"/>
      <c r="MTD605" s="50"/>
      <c r="MTE605" s="46"/>
      <c r="MTF605" s="47"/>
      <c r="MTG605" s="46"/>
      <c r="MTH605" s="48"/>
      <c r="MTI605" s="53"/>
      <c r="MTP605" s="15"/>
      <c r="MTQ605" s="50"/>
      <c r="MTR605" s="50"/>
      <c r="MTS605" s="46"/>
      <c r="MTT605" s="47"/>
      <c r="MTU605" s="46"/>
      <c r="MTV605" s="48"/>
      <c r="MTW605" s="53"/>
      <c r="MUD605" s="15"/>
      <c r="MUE605" s="50"/>
      <c r="MUF605" s="50"/>
      <c r="MUG605" s="46"/>
      <c r="MUH605" s="47"/>
      <c r="MUI605" s="46"/>
      <c r="MUJ605" s="48"/>
      <c r="MUK605" s="53"/>
      <c r="MUR605" s="15"/>
      <c r="MUS605" s="50"/>
      <c r="MUT605" s="50"/>
      <c r="MUU605" s="46"/>
      <c r="MUV605" s="47"/>
      <c r="MUW605" s="46"/>
      <c r="MUX605" s="48"/>
      <c r="MUY605" s="53"/>
      <c r="MVF605" s="15"/>
      <c r="MVG605" s="50"/>
      <c r="MVH605" s="50"/>
      <c r="MVI605" s="46"/>
      <c r="MVJ605" s="47"/>
      <c r="MVK605" s="46"/>
      <c r="MVL605" s="48"/>
      <c r="MVM605" s="53"/>
      <c r="MVT605" s="15"/>
      <c r="MVU605" s="50"/>
      <c r="MVV605" s="50"/>
      <c r="MVW605" s="46"/>
      <c r="MVX605" s="47"/>
      <c r="MVY605" s="46"/>
      <c r="MVZ605" s="48"/>
      <c r="MWA605" s="53"/>
      <c r="MWH605" s="15"/>
      <c r="MWI605" s="50"/>
      <c r="MWJ605" s="50"/>
      <c r="MWK605" s="46"/>
      <c r="MWL605" s="47"/>
      <c r="MWM605" s="46"/>
      <c r="MWN605" s="48"/>
      <c r="MWO605" s="53"/>
      <c r="MWV605" s="15"/>
      <c r="MWW605" s="50"/>
      <c r="MWX605" s="50"/>
      <c r="MWY605" s="46"/>
      <c r="MWZ605" s="47"/>
      <c r="MXA605" s="46"/>
      <c r="MXB605" s="48"/>
      <c r="MXC605" s="53"/>
      <c r="MXJ605" s="15"/>
      <c r="MXK605" s="50"/>
      <c r="MXL605" s="50"/>
      <c r="MXM605" s="46"/>
      <c r="MXN605" s="47"/>
      <c r="MXO605" s="46"/>
      <c r="MXP605" s="48"/>
      <c r="MXQ605" s="53"/>
      <c r="MXX605" s="15"/>
      <c r="MXY605" s="50"/>
      <c r="MXZ605" s="50"/>
      <c r="MYA605" s="46"/>
      <c r="MYB605" s="47"/>
      <c r="MYC605" s="46"/>
      <c r="MYD605" s="48"/>
      <c r="MYE605" s="53"/>
      <c r="MYL605" s="15"/>
      <c r="MYM605" s="50"/>
      <c r="MYN605" s="50"/>
      <c r="MYO605" s="46"/>
      <c r="MYP605" s="47"/>
      <c r="MYQ605" s="46"/>
      <c r="MYR605" s="48"/>
      <c r="MYS605" s="53"/>
      <c r="MYZ605" s="15"/>
      <c r="MZA605" s="50"/>
      <c r="MZB605" s="50"/>
      <c r="MZC605" s="46"/>
      <c r="MZD605" s="47"/>
      <c r="MZE605" s="46"/>
      <c r="MZF605" s="48"/>
      <c r="MZG605" s="53"/>
      <c r="MZN605" s="15"/>
      <c r="MZO605" s="50"/>
      <c r="MZP605" s="50"/>
      <c r="MZQ605" s="46"/>
      <c r="MZR605" s="47"/>
      <c r="MZS605" s="46"/>
      <c r="MZT605" s="48"/>
      <c r="MZU605" s="53"/>
      <c r="NAB605" s="15"/>
      <c r="NAC605" s="50"/>
      <c r="NAD605" s="50"/>
      <c r="NAE605" s="46"/>
      <c r="NAF605" s="47"/>
      <c r="NAG605" s="46"/>
      <c r="NAH605" s="48"/>
      <c r="NAI605" s="53"/>
      <c r="NAP605" s="15"/>
      <c r="NAQ605" s="50"/>
      <c r="NAR605" s="50"/>
      <c r="NAS605" s="46"/>
      <c r="NAT605" s="47"/>
      <c r="NAU605" s="46"/>
      <c r="NAV605" s="48"/>
      <c r="NAW605" s="53"/>
      <c r="NBD605" s="15"/>
      <c r="NBE605" s="50"/>
      <c r="NBF605" s="50"/>
      <c r="NBG605" s="46"/>
      <c r="NBH605" s="47"/>
      <c r="NBI605" s="46"/>
      <c r="NBJ605" s="48"/>
      <c r="NBK605" s="53"/>
      <c r="NBR605" s="15"/>
      <c r="NBS605" s="50"/>
      <c r="NBT605" s="50"/>
      <c r="NBU605" s="46"/>
      <c r="NBV605" s="47"/>
      <c r="NBW605" s="46"/>
      <c r="NBX605" s="48"/>
      <c r="NBY605" s="53"/>
      <c r="NCF605" s="15"/>
      <c r="NCG605" s="50"/>
      <c r="NCH605" s="50"/>
      <c r="NCI605" s="46"/>
      <c r="NCJ605" s="47"/>
      <c r="NCK605" s="46"/>
      <c r="NCL605" s="48"/>
      <c r="NCM605" s="53"/>
      <c r="NCT605" s="15"/>
      <c r="NCU605" s="50"/>
      <c r="NCV605" s="50"/>
      <c r="NCW605" s="46"/>
      <c r="NCX605" s="47"/>
      <c r="NCY605" s="46"/>
      <c r="NCZ605" s="48"/>
      <c r="NDA605" s="53"/>
      <c r="NDH605" s="15"/>
      <c r="NDI605" s="50"/>
      <c r="NDJ605" s="50"/>
      <c r="NDK605" s="46"/>
      <c r="NDL605" s="47"/>
      <c r="NDM605" s="46"/>
      <c r="NDN605" s="48"/>
      <c r="NDO605" s="53"/>
      <c r="NDV605" s="15"/>
      <c r="NDW605" s="50"/>
      <c r="NDX605" s="50"/>
      <c r="NDY605" s="46"/>
      <c r="NDZ605" s="47"/>
      <c r="NEA605" s="46"/>
      <c r="NEB605" s="48"/>
      <c r="NEC605" s="53"/>
      <c r="NEJ605" s="15"/>
      <c r="NEK605" s="50"/>
      <c r="NEL605" s="50"/>
      <c r="NEM605" s="46"/>
      <c r="NEN605" s="47"/>
      <c r="NEO605" s="46"/>
      <c r="NEP605" s="48"/>
      <c r="NEQ605" s="53"/>
      <c r="NEX605" s="15"/>
      <c r="NEY605" s="50"/>
      <c r="NEZ605" s="50"/>
      <c r="NFA605" s="46"/>
      <c r="NFB605" s="47"/>
      <c r="NFC605" s="46"/>
      <c r="NFD605" s="48"/>
      <c r="NFE605" s="53"/>
      <c r="NFL605" s="15"/>
      <c r="NFM605" s="50"/>
      <c r="NFN605" s="50"/>
      <c r="NFO605" s="46"/>
      <c r="NFP605" s="47"/>
      <c r="NFQ605" s="46"/>
      <c r="NFR605" s="48"/>
      <c r="NFS605" s="53"/>
      <c r="NFZ605" s="15"/>
      <c r="NGA605" s="50"/>
      <c r="NGB605" s="50"/>
      <c r="NGC605" s="46"/>
      <c r="NGD605" s="47"/>
      <c r="NGE605" s="46"/>
      <c r="NGF605" s="48"/>
      <c r="NGG605" s="53"/>
      <c r="NGN605" s="15"/>
      <c r="NGO605" s="50"/>
      <c r="NGP605" s="50"/>
      <c r="NGQ605" s="46"/>
      <c r="NGR605" s="47"/>
      <c r="NGS605" s="46"/>
      <c r="NGT605" s="48"/>
      <c r="NGU605" s="53"/>
      <c r="NHB605" s="15"/>
      <c r="NHC605" s="50"/>
      <c r="NHD605" s="50"/>
      <c r="NHE605" s="46"/>
      <c r="NHF605" s="47"/>
      <c r="NHG605" s="46"/>
      <c r="NHH605" s="48"/>
      <c r="NHI605" s="53"/>
      <c r="NHP605" s="15"/>
      <c r="NHQ605" s="50"/>
      <c r="NHR605" s="50"/>
      <c r="NHS605" s="46"/>
      <c r="NHT605" s="47"/>
      <c r="NHU605" s="46"/>
      <c r="NHV605" s="48"/>
      <c r="NHW605" s="53"/>
      <c r="NID605" s="15"/>
      <c r="NIE605" s="50"/>
      <c r="NIF605" s="50"/>
      <c r="NIG605" s="46"/>
      <c r="NIH605" s="47"/>
      <c r="NII605" s="46"/>
      <c r="NIJ605" s="48"/>
      <c r="NIK605" s="53"/>
      <c r="NIR605" s="15"/>
      <c r="NIS605" s="50"/>
      <c r="NIT605" s="50"/>
      <c r="NIU605" s="46"/>
      <c r="NIV605" s="47"/>
      <c r="NIW605" s="46"/>
      <c r="NIX605" s="48"/>
      <c r="NIY605" s="53"/>
      <c r="NJF605" s="15"/>
      <c r="NJG605" s="50"/>
      <c r="NJH605" s="50"/>
      <c r="NJI605" s="46"/>
      <c r="NJJ605" s="47"/>
      <c r="NJK605" s="46"/>
      <c r="NJL605" s="48"/>
      <c r="NJM605" s="53"/>
      <c r="NJT605" s="15"/>
      <c r="NJU605" s="50"/>
      <c r="NJV605" s="50"/>
      <c r="NJW605" s="46"/>
      <c r="NJX605" s="47"/>
      <c r="NJY605" s="46"/>
      <c r="NJZ605" s="48"/>
      <c r="NKA605" s="53"/>
      <c r="NKH605" s="15"/>
      <c r="NKI605" s="50"/>
      <c r="NKJ605" s="50"/>
      <c r="NKK605" s="46"/>
      <c r="NKL605" s="47"/>
      <c r="NKM605" s="46"/>
      <c r="NKN605" s="48"/>
      <c r="NKO605" s="53"/>
      <c r="NKV605" s="15"/>
      <c r="NKW605" s="50"/>
      <c r="NKX605" s="50"/>
      <c r="NKY605" s="46"/>
      <c r="NKZ605" s="47"/>
      <c r="NLA605" s="46"/>
      <c r="NLB605" s="48"/>
      <c r="NLC605" s="53"/>
      <c r="NLJ605" s="15"/>
      <c r="NLK605" s="50"/>
      <c r="NLL605" s="50"/>
      <c r="NLM605" s="46"/>
      <c r="NLN605" s="47"/>
      <c r="NLO605" s="46"/>
      <c r="NLP605" s="48"/>
      <c r="NLQ605" s="53"/>
      <c r="NLX605" s="15"/>
      <c r="NLY605" s="50"/>
      <c r="NLZ605" s="50"/>
      <c r="NMA605" s="46"/>
      <c r="NMB605" s="47"/>
      <c r="NMC605" s="46"/>
      <c r="NMD605" s="48"/>
      <c r="NME605" s="53"/>
      <c r="NML605" s="15"/>
      <c r="NMM605" s="50"/>
      <c r="NMN605" s="50"/>
      <c r="NMO605" s="46"/>
      <c r="NMP605" s="47"/>
      <c r="NMQ605" s="46"/>
      <c r="NMR605" s="48"/>
      <c r="NMS605" s="53"/>
      <c r="NMZ605" s="15"/>
      <c r="NNA605" s="50"/>
      <c r="NNB605" s="50"/>
      <c r="NNC605" s="46"/>
      <c r="NND605" s="47"/>
      <c r="NNE605" s="46"/>
      <c r="NNF605" s="48"/>
      <c r="NNG605" s="53"/>
      <c r="NNN605" s="15"/>
      <c r="NNO605" s="50"/>
      <c r="NNP605" s="50"/>
      <c r="NNQ605" s="46"/>
      <c r="NNR605" s="47"/>
      <c r="NNS605" s="46"/>
      <c r="NNT605" s="48"/>
      <c r="NNU605" s="53"/>
      <c r="NOB605" s="15"/>
      <c r="NOC605" s="50"/>
      <c r="NOD605" s="50"/>
      <c r="NOE605" s="46"/>
      <c r="NOF605" s="47"/>
      <c r="NOG605" s="46"/>
      <c r="NOH605" s="48"/>
      <c r="NOI605" s="53"/>
      <c r="NOP605" s="15"/>
      <c r="NOQ605" s="50"/>
      <c r="NOR605" s="50"/>
      <c r="NOS605" s="46"/>
      <c r="NOT605" s="47"/>
      <c r="NOU605" s="46"/>
      <c r="NOV605" s="48"/>
      <c r="NOW605" s="53"/>
      <c r="NPD605" s="15"/>
      <c r="NPE605" s="50"/>
      <c r="NPF605" s="50"/>
      <c r="NPG605" s="46"/>
      <c r="NPH605" s="47"/>
      <c r="NPI605" s="46"/>
      <c r="NPJ605" s="48"/>
      <c r="NPK605" s="53"/>
      <c r="NPR605" s="15"/>
      <c r="NPS605" s="50"/>
      <c r="NPT605" s="50"/>
      <c r="NPU605" s="46"/>
      <c r="NPV605" s="47"/>
      <c r="NPW605" s="46"/>
      <c r="NPX605" s="48"/>
      <c r="NPY605" s="53"/>
      <c r="NQF605" s="15"/>
      <c r="NQG605" s="50"/>
      <c r="NQH605" s="50"/>
      <c r="NQI605" s="46"/>
      <c r="NQJ605" s="47"/>
      <c r="NQK605" s="46"/>
      <c r="NQL605" s="48"/>
      <c r="NQM605" s="53"/>
      <c r="NQT605" s="15"/>
      <c r="NQU605" s="50"/>
      <c r="NQV605" s="50"/>
      <c r="NQW605" s="46"/>
      <c r="NQX605" s="47"/>
      <c r="NQY605" s="46"/>
      <c r="NQZ605" s="48"/>
      <c r="NRA605" s="53"/>
      <c r="NRH605" s="15"/>
      <c r="NRI605" s="50"/>
      <c r="NRJ605" s="50"/>
      <c r="NRK605" s="46"/>
      <c r="NRL605" s="47"/>
      <c r="NRM605" s="46"/>
      <c r="NRN605" s="48"/>
      <c r="NRO605" s="53"/>
      <c r="NRV605" s="15"/>
      <c r="NRW605" s="50"/>
      <c r="NRX605" s="50"/>
      <c r="NRY605" s="46"/>
      <c r="NRZ605" s="47"/>
      <c r="NSA605" s="46"/>
      <c r="NSB605" s="48"/>
      <c r="NSC605" s="53"/>
      <c r="NSJ605" s="15"/>
      <c r="NSK605" s="50"/>
      <c r="NSL605" s="50"/>
      <c r="NSM605" s="46"/>
      <c r="NSN605" s="47"/>
      <c r="NSO605" s="46"/>
      <c r="NSP605" s="48"/>
      <c r="NSQ605" s="53"/>
      <c r="NSX605" s="15"/>
      <c r="NSY605" s="50"/>
      <c r="NSZ605" s="50"/>
      <c r="NTA605" s="46"/>
      <c r="NTB605" s="47"/>
      <c r="NTC605" s="46"/>
      <c r="NTD605" s="48"/>
      <c r="NTE605" s="53"/>
      <c r="NTL605" s="15"/>
      <c r="NTM605" s="50"/>
      <c r="NTN605" s="50"/>
      <c r="NTO605" s="46"/>
      <c r="NTP605" s="47"/>
      <c r="NTQ605" s="46"/>
      <c r="NTR605" s="48"/>
      <c r="NTS605" s="53"/>
      <c r="NTZ605" s="15"/>
      <c r="NUA605" s="50"/>
      <c r="NUB605" s="50"/>
      <c r="NUC605" s="46"/>
      <c r="NUD605" s="47"/>
      <c r="NUE605" s="46"/>
      <c r="NUF605" s="48"/>
      <c r="NUG605" s="53"/>
      <c r="NUN605" s="15"/>
      <c r="NUO605" s="50"/>
      <c r="NUP605" s="50"/>
      <c r="NUQ605" s="46"/>
      <c r="NUR605" s="47"/>
      <c r="NUS605" s="46"/>
      <c r="NUT605" s="48"/>
      <c r="NUU605" s="53"/>
      <c r="NVB605" s="15"/>
      <c r="NVC605" s="50"/>
      <c r="NVD605" s="50"/>
      <c r="NVE605" s="46"/>
      <c r="NVF605" s="47"/>
      <c r="NVG605" s="46"/>
      <c r="NVH605" s="48"/>
      <c r="NVI605" s="53"/>
      <c r="NVP605" s="15"/>
      <c r="NVQ605" s="50"/>
      <c r="NVR605" s="50"/>
      <c r="NVS605" s="46"/>
      <c r="NVT605" s="47"/>
      <c r="NVU605" s="46"/>
      <c r="NVV605" s="48"/>
      <c r="NVW605" s="53"/>
      <c r="NWD605" s="15"/>
      <c r="NWE605" s="50"/>
      <c r="NWF605" s="50"/>
      <c r="NWG605" s="46"/>
      <c r="NWH605" s="47"/>
      <c r="NWI605" s="46"/>
      <c r="NWJ605" s="48"/>
      <c r="NWK605" s="53"/>
      <c r="NWR605" s="15"/>
      <c r="NWS605" s="50"/>
      <c r="NWT605" s="50"/>
      <c r="NWU605" s="46"/>
      <c r="NWV605" s="47"/>
      <c r="NWW605" s="46"/>
      <c r="NWX605" s="48"/>
      <c r="NWY605" s="53"/>
      <c r="NXF605" s="15"/>
      <c r="NXG605" s="50"/>
      <c r="NXH605" s="50"/>
      <c r="NXI605" s="46"/>
      <c r="NXJ605" s="47"/>
      <c r="NXK605" s="46"/>
      <c r="NXL605" s="48"/>
      <c r="NXM605" s="53"/>
      <c r="NXT605" s="15"/>
      <c r="NXU605" s="50"/>
      <c r="NXV605" s="50"/>
      <c r="NXW605" s="46"/>
      <c r="NXX605" s="47"/>
      <c r="NXY605" s="46"/>
      <c r="NXZ605" s="48"/>
      <c r="NYA605" s="53"/>
      <c r="NYH605" s="15"/>
      <c r="NYI605" s="50"/>
      <c r="NYJ605" s="50"/>
      <c r="NYK605" s="46"/>
      <c r="NYL605" s="47"/>
      <c r="NYM605" s="46"/>
      <c r="NYN605" s="48"/>
      <c r="NYO605" s="53"/>
      <c r="NYV605" s="15"/>
      <c r="NYW605" s="50"/>
      <c r="NYX605" s="50"/>
      <c r="NYY605" s="46"/>
      <c r="NYZ605" s="47"/>
      <c r="NZA605" s="46"/>
      <c r="NZB605" s="48"/>
      <c r="NZC605" s="53"/>
      <c r="NZJ605" s="15"/>
      <c r="NZK605" s="50"/>
      <c r="NZL605" s="50"/>
      <c r="NZM605" s="46"/>
      <c r="NZN605" s="47"/>
      <c r="NZO605" s="46"/>
      <c r="NZP605" s="48"/>
      <c r="NZQ605" s="53"/>
      <c r="NZX605" s="15"/>
      <c r="NZY605" s="50"/>
      <c r="NZZ605" s="50"/>
      <c r="OAA605" s="46"/>
      <c r="OAB605" s="47"/>
      <c r="OAC605" s="46"/>
      <c r="OAD605" s="48"/>
      <c r="OAE605" s="53"/>
      <c r="OAL605" s="15"/>
      <c r="OAM605" s="50"/>
      <c r="OAN605" s="50"/>
      <c r="OAO605" s="46"/>
      <c r="OAP605" s="47"/>
      <c r="OAQ605" s="46"/>
      <c r="OAR605" s="48"/>
      <c r="OAS605" s="53"/>
      <c r="OAZ605" s="15"/>
      <c r="OBA605" s="50"/>
      <c r="OBB605" s="50"/>
      <c r="OBC605" s="46"/>
      <c r="OBD605" s="47"/>
      <c r="OBE605" s="46"/>
      <c r="OBF605" s="48"/>
      <c r="OBG605" s="53"/>
      <c r="OBN605" s="15"/>
      <c r="OBO605" s="50"/>
      <c r="OBP605" s="50"/>
      <c r="OBQ605" s="46"/>
      <c r="OBR605" s="47"/>
      <c r="OBS605" s="46"/>
      <c r="OBT605" s="48"/>
      <c r="OBU605" s="53"/>
      <c r="OCB605" s="15"/>
      <c r="OCC605" s="50"/>
      <c r="OCD605" s="50"/>
      <c r="OCE605" s="46"/>
      <c r="OCF605" s="47"/>
      <c r="OCG605" s="46"/>
      <c r="OCH605" s="48"/>
      <c r="OCI605" s="53"/>
      <c r="OCP605" s="15"/>
      <c r="OCQ605" s="50"/>
      <c r="OCR605" s="50"/>
      <c r="OCS605" s="46"/>
      <c r="OCT605" s="47"/>
      <c r="OCU605" s="46"/>
      <c r="OCV605" s="48"/>
      <c r="OCW605" s="53"/>
      <c r="ODD605" s="15"/>
      <c r="ODE605" s="50"/>
      <c r="ODF605" s="50"/>
      <c r="ODG605" s="46"/>
      <c r="ODH605" s="47"/>
      <c r="ODI605" s="46"/>
      <c r="ODJ605" s="48"/>
      <c r="ODK605" s="53"/>
      <c r="ODR605" s="15"/>
      <c r="ODS605" s="50"/>
      <c r="ODT605" s="50"/>
      <c r="ODU605" s="46"/>
      <c r="ODV605" s="47"/>
      <c r="ODW605" s="46"/>
      <c r="ODX605" s="48"/>
      <c r="ODY605" s="53"/>
      <c r="OEF605" s="15"/>
      <c r="OEG605" s="50"/>
      <c r="OEH605" s="50"/>
      <c r="OEI605" s="46"/>
      <c r="OEJ605" s="47"/>
      <c r="OEK605" s="46"/>
      <c r="OEL605" s="48"/>
      <c r="OEM605" s="53"/>
      <c r="OET605" s="15"/>
      <c r="OEU605" s="50"/>
      <c r="OEV605" s="50"/>
      <c r="OEW605" s="46"/>
      <c r="OEX605" s="47"/>
      <c r="OEY605" s="46"/>
      <c r="OEZ605" s="48"/>
      <c r="OFA605" s="53"/>
      <c r="OFH605" s="15"/>
      <c r="OFI605" s="50"/>
      <c r="OFJ605" s="50"/>
      <c r="OFK605" s="46"/>
      <c r="OFL605" s="47"/>
      <c r="OFM605" s="46"/>
      <c r="OFN605" s="48"/>
      <c r="OFO605" s="53"/>
      <c r="OFV605" s="15"/>
      <c r="OFW605" s="50"/>
      <c r="OFX605" s="50"/>
      <c r="OFY605" s="46"/>
      <c r="OFZ605" s="47"/>
      <c r="OGA605" s="46"/>
      <c r="OGB605" s="48"/>
      <c r="OGC605" s="53"/>
      <c r="OGJ605" s="15"/>
      <c r="OGK605" s="50"/>
      <c r="OGL605" s="50"/>
      <c r="OGM605" s="46"/>
      <c r="OGN605" s="47"/>
      <c r="OGO605" s="46"/>
      <c r="OGP605" s="48"/>
      <c r="OGQ605" s="53"/>
      <c r="OGX605" s="15"/>
      <c r="OGY605" s="50"/>
      <c r="OGZ605" s="50"/>
      <c r="OHA605" s="46"/>
      <c r="OHB605" s="47"/>
      <c r="OHC605" s="46"/>
      <c r="OHD605" s="48"/>
      <c r="OHE605" s="53"/>
      <c r="OHL605" s="15"/>
      <c r="OHM605" s="50"/>
      <c r="OHN605" s="50"/>
      <c r="OHO605" s="46"/>
      <c r="OHP605" s="47"/>
      <c r="OHQ605" s="46"/>
      <c r="OHR605" s="48"/>
      <c r="OHS605" s="53"/>
      <c r="OHZ605" s="15"/>
      <c r="OIA605" s="50"/>
      <c r="OIB605" s="50"/>
      <c r="OIC605" s="46"/>
      <c r="OID605" s="47"/>
      <c r="OIE605" s="46"/>
      <c r="OIF605" s="48"/>
      <c r="OIG605" s="53"/>
      <c r="OIN605" s="15"/>
      <c r="OIO605" s="50"/>
      <c r="OIP605" s="50"/>
      <c r="OIQ605" s="46"/>
      <c r="OIR605" s="47"/>
      <c r="OIS605" s="46"/>
      <c r="OIT605" s="48"/>
      <c r="OIU605" s="53"/>
      <c r="OJB605" s="15"/>
      <c r="OJC605" s="50"/>
      <c r="OJD605" s="50"/>
      <c r="OJE605" s="46"/>
      <c r="OJF605" s="47"/>
      <c r="OJG605" s="46"/>
      <c r="OJH605" s="48"/>
      <c r="OJI605" s="53"/>
      <c r="OJP605" s="15"/>
      <c r="OJQ605" s="50"/>
      <c r="OJR605" s="50"/>
      <c r="OJS605" s="46"/>
      <c r="OJT605" s="47"/>
      <c r="OJU605" s="46"/>
      <c r="OJV605" s="48"/>
      <c r="OJW605" s="53"/>
      <c r="OKD605" s="15"/>
      <c r="OKE605" s="50"/>
      <c r="OKF605" s="50"/>
      <c r="OKG605" s="46"/>
      <c r="OKH605" s="47"/>
      <c r="OKI605" s="46"/>
      <c r="OKJ605" s="48"/>
      <c r="OKK605" s="53"/>
      <c r="OKR605" s="15"/>
      <c r="OKS605" s="50"/>
      <c r="OKT605" s="50"/>
      <c r="OKU605" s="46"/>
      <c r="OKV605" s="47"/>
      <c r="OKW605" s="46"/>
      <c r="OKX605" s="48"/>
      <c r="OKY605" s="53"/>
      <c r="OLF605" s="15"/>
      <c r="OLG605" s="50"/>
      <c r="OLH605" s="50"/>
      <c r="OLI605" s="46"/>
      <c r="OLJ605" s="47"/>
      <c r="OLK605" s="46"/>
      <c r="OLL605" s="48"/>
      <c r="OLM605" s="53"/>
      <c r="OLT605" s="15"/>
      <c r="OLU605" s="50"/>
      <c r="OLV605" s="50"/>
      <c r="OLW605" s="46"/>
      <c r="OLX605" s="47"/>
      <c r="OLY605" s="46"/>
      <c r="OLZ605" s="48"/>
      <c r="OMA605" s="53"/>
      <c r="OMH605" s="15"/>
      <c r="OMI605" s="50"/>
      <c r="OMJ605" s="50"/>
      <c r="OMK605" s="46"/>
      <c r="OML605" s="47"/>
      <c r="OMM605" s="46"/>
      <c r="OMN605" s="48"/>
      <c r="OMO605" s="53"/>
      <c r="OMV605" s="15"/>
      <c r="OMW605" s="50"/>
      <c r="OMX605" s="50"/>
      <c r="OMY605" s="46"/>
      <c r="OMZ605" s="47"/>
      <c r="ONA605" s="46"/>
      <c r="ONB605" s="48"/>
      <c r="ONC605" s="53"/>
      <c r="ONJ605" s="15"/>
      <c r="ONK605" s="50"/>
      <c r="ONL605" s="50"/>
      <c r="ONM605" s="46"/>
      <c r="ONN605" s="47"/>
      <c r="ONO605" s="46"/>
      <c r="ONP605" s="48"/>
      <c r="ONQ605" s="53"/>
      <c r="ONX605" s="15"/>
      <c r="ONY605" s="50"/>
      <c r="ONZ605" s="50"/>
      <c r="OOA605" s="46"/>
      <c r="OOB605" s="47"/>
      <c r="OOC605" s="46"/>
      <c r="OOD605" s="48"/>
      <c r="OOE605" s="53"/>
      <c r="OOL605" s="15"/>
      <c r="OOM605" s="50"/>
      <c r="OON605" s="50"/>
      <c r="OOO605" s="46"/>
      <c r="OOP605" s="47"/>
      <c r="OOQ605" s="46"/>
      <c r="OOR605" s="48"/>
      <c r="OOS605" s="53"/>
      <c r="OOZ605" s="15"/>
      <c r="OPA605" s="50"/>
      <c r="OPB605" s="50"/>
      <c r="OPC605" s="46"/>
      <c r="OPD605" s="47"/>
      <c r="OPE605" s="46"/>
      <c r="OPF605" s="48"/>
      <c r="OPG605" s="53"/>
      <c r="OPN605" s="15"/>
      <c r="OPO605" s="50"/>
      <c r="OPP605" s="50"/>
      <c r="OPQ605" s="46"/>
      <c r="OPR605" s="47"/>
      <c r="OPS605" s="46"/>
      <c r="OPT605" s="48"/>
      <c r="OPU605" s="53"/>
      <c r="OQB605" s="15"/>
      <c r="OQC605" s="50"/>
      <c r="OQD605" s="50"/>
      <c r="OQE605" s="46"/>
      <c r="OQF605" s="47"/>
      <c r="OQG605" s="46"/>
      <c r="OQH605" s="48"/>
      <c r="OQI605" s="53"/>
      <c r="OQP605" s="15"/>
      <c r="OQQ605" s="50"/>
      <c r="OQR605" s="50"/>
      <c r="OQS605" s="46"/>
      <c r="OQT605" s="47"/>
      <c r="OQU605" s="46"/>
      <c r="OQV605" s="48"/>
      <c r="OQW605" s="53"/>
      <c r="ORD605" s="15"/>
      <c r="ORE605" s="50"/>
      <c r="ORF605" s="50"/>
      <c r="ORG605" s="46"/>
      <c r="ORH605" s="47"/>
      <c r="ORI605" s="46"/>
      <c r="ORJ605" s="48"/>
      <c r="ORK605" s="53"/>
      <c r="ORR605" s="15"/>
      <c r="ORS605" s="50"/>
      <c r="ORT605" s="50"/>
      <c r="ORU605" s="46"/>
      <c r="ORV605" s="47"/>
      <c r="ORW605" s="46"/>
      <c r="ORX605" s="48"/>
      <c r="ORY605" s="53"/>
      <c r="OSF605" s="15"/>
      <c r="OSG605" s="50"/>
      <c r="OSH605" s="50"/>
      <c r="OSI605" s="46"/>
      <c r="OSJ605" s="47"/>
      <c r="OSK605" s="46"/>
      <c r="OSL605" s="48"/>
      <c r="OSM605" s="53"/>
      <c r="OST605" s="15"/>
      <c r="OSU605" s="50"/>
      <c r="OSV605" s="50"/>
      <c r="OSW605" s="46"/>
      <c r="OSX605" s="47"/>
      <c r="OSY605" s="46"/>
      <c r="OSZ605" s="48"/>
      <c r="OTA605" s="53"/>
      <c r="OTH605" s="15"/>
      <c r="OTI605" s="50"/>
      <c r="OTJ605" s="50"/>
      <c r="OTK605" s="46"/>
      <c r="OTL605" s="47"/>
      <c r="OTM605" s="46"/>
      <c r="OTN605" s="48"/>
      <c r="OTO605" s="53"/>
      <c r="OTV605" s="15"/>
      <c r="OTW605" s="50"/>
      <c r="OTX605" s="50"/>
      <c r="OTY605" s="46"/>
      <c r="OTZ605" s="47"/>
      <c r="OUA605" s="46"/>
      <c r="OUB605" s="48"/>
      <c r="OUC605" s="53"/>
      <c r="OUJ605" s="15"/>
      <c r="OUK605" s="50"/>
      <c r="OUL605" s="50"/>
      <c r="OUM605" s="46"/>
      <c r="OUN605" s="47"/>
      <c r="OUO605" s="46"/>
      <c r="OUP605" s="48"/>
      <c r="OUQ605" s="53"/>
      <c r="OUX605" s="15"/>
      <c r="OUY605" s="50"/>
      <c r="OUZ605" s="50"/>
      <c r="OVA605" s="46"/>
      <c r="OVB605" s="47"/>
      <c r="OVC605" s="46"/>
      <c r="OVD605" s="48"/>
      <c r="OVE605" s="53"/>
      <c r="OVL605" s="15"/>
      <c r="OVM605" s="50"/>
      <c r="OVN605" s="50"/>
      <c r="OVO605" s="46"/>
      <c r="OVP605" s="47"/>
      <c r="OVQ605" s="46"/>
      <c r="OVR605" s="48"/>
      <c r="OVS605" s="53"/>
      <c r="OVZ605" s="15"/>
      <c r="OWA605" s="50"/>
      <c r="OWB605" s="50"/>
      <c r="OWC605" s="46"/>
      <c r="OWD605" s="47"/>
      <c r="OWE605" s="46"/>
      <c r="OWF605" s="48"/>
      <c r="OWG605" s="53"/>
      <c r="OWN605" s="15"/>
      <c r="OWO605" s="50"/>
      <c r="OWP605" s="50"/>
      <c r="OWQ605" s="46"/>
      <c r="OWR605" s="47"/>
      <c r="OWS605" s="46"/>
      <c r="OWT605" s="48"/>
      <c r="OWU605" s="53"/>
      <c r="OXB605" s="15"/>
      <c r="OXC605" s="50"/>
      <c r="OXD605" s="50"/>
      <c r="OXE605" s="46"/>
      <c r="OXF605" s="47"/>
      <c r="OXG605" s="46"/>
      <c r="OXH605" s="48"/>
      <c r="OXI605" s="53"/>
      <c r="OXP605" s="15"/>
      <c r="OXQ605" s="50"/>
      <c r="OXR605" s="50"/>
      <c r="OXS605" s="46"/>
      <c r="OXT605" s="47"/>
      <c r="OXU605" s="46"/>
      <c r="OXV605" s="48"/>
      <c r="OXW605" s="53"/>
      <c r="OYD605" s="15"/>
      <c r="OYE605" s="50"/>
      <c r="OYF605" s="50"/>
      <c r="OYG605" s="46"/>
      <c r="OYH605" s="47"/>
      <c r="OYI605" s="46"/>
      <c r="OYJ605" s="48"/>
      <c r="OYK605" s="53"/>
      <c r="OYR605" s="15"/>
      <c r="OYS605" s="50"/>
      <c r="OYT605" s="50"/>
      <c r="OYU605" s="46"/>
      <c r="OYV605" s="47"/>
      <c r="OYW605" s="46"/>
      <c r="OYX605" s="48"/>
      <c r="OYY605" s="53"/>
      <c r="OZF605" s="15"/>
      <c r="OZG605" s="50"/>
      <c r="OZH605" s="50"/>
      <c r="OZI605" s="46"/>
      <c r="OZJ605" s="47"/>
      <c r="OZK605" s="46"/>
      <c r="OZL605" s="48"/>
      <c r="OZM605" s="53"/>
      <c r="OZT605" s="15"/>
      <c r="OZU605" s="50"/>
      <c r="OZV605" s="50"/>
      <c r="OZW605" s="46"/>
      <c r="OZX605" s="47"/>
      <c r="OZY605" s="46"/>
      <c r="OZZ605" s="48"/>
      <c r="PAA605" s="53"/>
      <c r="PAH605" s="15"/>
      <c r="PAI605" s="50"/>
      <c r="PAJ605" s="50"/>
      <c r="PAK605" s="46"/>
      <c r="PAL605" s="47"/>
      <c r="PAM605" s="46"/>
      <c r="PAN605" s="48"/>
      <c r="PAO605" s="53"/>
      <c r="PAV605" s="15"/>
      <c r="PAW605" s="50"/>
      <c r="PAX605" s="50"/>
      <c r="PAY605" s="46"/>
      <c r="PAZ605" s="47"/>
      <c r="PBA605" s="46"/>
      <c r="PBB605" s="48"/>
      <c r="PBC605" s="53"/>
      <c r="PBJ605" s="15"/>
      <c r="PBK605" s="50"/>
      <c r="PBL605" s="50"/>
      <c r="PBM605" s="46"/>
      <c r="PBN605" s="47"/>
      <c r="PBO605" s="46"/>
      <c r="PBP605" s="48"/>
      <c r="PBQ605" s="53"/>
      <c r="PBX605" s="15"/>
      <c r="PBY605" s="50"/>
      <c r="PBZ605" s="50"/>
      <c r="PCA605" s="46"/>
      <c r="PCB605" s="47"/>
      <c r="PCC605" s="46"/>
      <c r="PCD605" s="48"/>
      <c r="PCE605" s="53"/>
      <c r="PCL605" s="15"/>
      <c r="PCM605" s="50"/>
      <c r="PCN605" s="50"/>
      <c r="PCO605" s="46"/>
      <c r="PCP605" s="47"/>
      <c r="PCQ605" s="46"/>
      <c r="PCR605" s="48"/>
      <c r="PCS605" s="53"/>
      <c r="PCZ605" s="15"/>
      <c r="PDA605" s="50"/>
      <c r="PDB605" s="50"/>
      <c r="PDC605" s="46"/>
      <c r="PDD605" s="47"/>
      <c r="PDE605" s="46"/>
      <c r="PDF605" s="48"/>
      <c r="PDG605" s="53"/>
      <c r="PDN605" s="15"/>
      <c r="PDO605" s="50"/>
      <c r="PDP605" s="50"/>
      <c r="PDQ605" s="46"/>
      <c r="PDR605" s="47"/>
      <c r="PDS605" s="46"/>
      <c r="PDT605" s="48"/>
      <c r="PDU605" s="53"/>
      <c r="PEB605" s="15"/>
      <c r="PEC605" s="50"/>
      <c r="PED605" s="50"/>
      <c r="PEE605" s="46"/>
      <c r="PEF605" s="47"/>
      <c r="PEG605" s="46"/>
      <c r="PEH605" s="48"/>
      <c r="PEI605" s="53"/>
      <c r="PEP605" s="15"/>
      <c r="PEQ605" s="50"/>
      <c r="PER605" s="50"/>
      <c r="PES605" s="46"/>
      <c r="PET605" s="47"/>
      <c r="PEU605" s="46"/>
      <c r="PEV605" s="48"/>
      <c r="PEW605" s="53"/>
      <c r="PFD605" s="15"/>
      <c r="PFE605" s="50"/>
      <c r="PFF605" s="50"/>
      <c r="PFG605" s="46"/>
      <c r="PFH605" s="47"/>
      <c r="PFI605" s="46"/>
      <c r="PFJ605" s="48"/>
      <c r="PFK605" s="53"/>
      <c r="PFR605" s="15"/>
      <c r="PFS605" s="50"/>
      <c r="PFT605" s="50"/>
      <c r="PFU605" s="46"/>
      <c r="PFV605" s="47"/>
      <c r="PFW605" s="46"/>
      <c r="PFX605" s="48"/>
      <c r="PFY605" s="53"/>
      <c r="PGF605" s="15"/>
      <c r="PGG605" s="50"/>
      <c r="PGH605" s="50"/>
      <c r="PGI605" s="46"/>
      <c r="PGJ605" s="47"/>
      <c r="PGK605" s="46"/>
      <c r="PGL605" s="48"/>
      <c r="PGM605" s="53"/>
      <c r="PGT605" s="15"/>
      <c r="PGU605" s="50"/>
      <c r="PGV605" s="50"/>
      <c r="PGW605" s="46"/>
      <c r="PGX605" s="47"/>
      <c r="PGY605" s="46"/>
      <c r="PGZ605" s="48"/>
      <c r="PHA605" s="53"/>
      <c r="PHH605" s="15"/>
      <c r="PHI605" s="50"/>
      <c r="PHJ605" s="50"/>
      <c r="PHK605" s="46"/>
      <c r="PHL605" s="47"/>
      <c r="PHM605" s="46"/>
      <c r="PHN605" s="48"/>
      <c r="PHO605" s="53"/>
      <c r="PHV605" s="15"/>
      <c r="PHW605" s="50"/>
      <c r="PHX605" s="50"/>
      <c r="PHY605" s="46"/>
      <c r="PHZ605" s="47"/>
      <c r="PIA605" s="46"/>
      <c r="PIB605" s="48"/>
      <c r="PIC605" s="53"/>
      <c r="PIJ605" s="15"/>
      <c r="PIK605" s="50"/>
      <c r="PIL605" s="50"/>
      <c r="PIM605" s="46"/>
      <c r="PIN605" s="47"/>
      <c r="PIO605" s="46"/>
      <c r="PIP605" s="48"/>
      <c r="PIQ605" s="53"/>
      <c r="PIX605" s="15"/>
      <c r="PIY605" s="50"/>
      <c r="PIZ605" s="50"/>
      <c r="PJA605" s="46"/>
      <c r="PJB605" s="47"/>
      <c r="PJC605" s="46"/>
      <c r="PJD605" s="48"/>
      <c r="PJE605" s="53"/>
      <c r="PJL605" s="15"/>
      <c r="PJM605" s="50"/>
      <c r="PJN605" s="50"/>
      <c r="PJO605" s="46"/>
      <c r="PJP605" s="47"/>
      <c r="PJQ605" s="46"/>
      <c r="PJR605" s="48"/>
      <c r="PJS605" s="53"/>
      <c r="PJZ605" s="15"/>
      <c r="PKA605" s="50"/>
      <c r="PKB605" s="50"/>
      <c r="PKC605" s="46"/>
      <c r="PKD605" s="47"/>
      <c r="PKE605" s="46"/>
      <c r="PKF605" s="48"/>
      <c r="PKG605" s="53"/>
      <c r="PKN605" s="15"/>
      <c r="PKO605" s="50"/>
      <c r="PKP605" s="50"/>
      <c r="PKQ605" s="46"/>
      <c r="PKR605" s="47"/>
      <c r="PKS605" s="46"/>
      <c r="PKT605" s="48"/>
      <c r="PKU605" s="53"/>
      <c r="PLB605" s="15"/>
      <c r="PLC605" s="50"/>
      <c r="PLD605" s="50"/>
      <c r="PLE605" s="46"/>
      <c r="PLF605" s="47"/>
      <c r="PLG605" s="46"/>
      <c r="PLH605" s="48"/>
      <c r="PLI605" s="53"/>
      <c r="PLP605" s="15"/>
      <c r="PLQ605" s="50"/>
      <c r="PLR605" s="50"/>
      <c r="PLS605" s="46"/>
      <c r="PLT605" s="47"/>
      <c r="PLU605" s="46"/>
      <c r="PLV605" s="48"/>
      <c r="PLW605" s="53"/>
      <c r="PMD605" s="15"/>
      <c r="PME605" s="50"/>
      <c r="PMF605" s="50"/>
      <c r="PMG605" s="46"/>
      <c r="PMH605" s="47"/>
      <c r="PMI605" s="46"/>
      <c r="PMJ605" s="48"/>
      <c r="PMK605" s="53"/>
      <c r="PMR605" s="15"/>
      <c r="PMS605" s="50"/>
      <c r="PMT605" s="50"/>
      <c r="PMU605" s="46"/>
      <c r="PMV605" s="47"/>
      <c r="PMW605" s="46"/>
      <c r="PMX605" s="48"/>
      <c r="PMY605" s="53"/>
      <c r="PNF605" s="15"/>
      <c r="PNG605" s="50"/>
      <c r="PNH605" s="50"/>
      <c r="PNI605" s="46"/>
      <c r="PNJ605" s="47"/>
      <c r="PNK605" s="46"/>
      <c r="PNL605" s="48"/>
      <c r="PNM605" s="53"/>
      <c r="PNT605" s="15"/>
      <c r="PNU605" s="50"/>
      <c r="PNV605" s="50"/>
      <c r="PNW605" s="46"/>
      <c r="PNX605" s="47"/>
      <c r="PNY605" s="46"/>
      <c r="PNZ605" s="48"/>
      <c r="POA605" s="53"/>
      <c r="POH605" s="15"/>
      <c r="POI605" s="50"/>
      <c r="POJ605" s="50"/>
      <c r="POK605" s="46"/>
      <c r="POL605" s="47"/>
      <c r="POM605" s="46"/>
      <c r="PON605" s="48"/>
      <c r="POO605" s="53"/>
      <c r="POV605" s="15"/>
      <c r="POW605" s="50"/>
      <c r="POX605" s="50"/>
      <c r="POY605" s="46"/>
      <c r="POZ605" s="47"/>
      <c r="PPA605" s="46"/>
      <c r="PPB605" s="48"/>
      <c r="PPC605" s="53"/>
      <c r="PPJ605" s="15"/>
      <c r="PPK605" s="50"/>
      <c r="PPL605" s="50"/>
      <c r="PPM605" s="46"/>
      <c r="PPN605" s="47"/>
      <c r="PPO605" s="46"/>
      <c r="PPP605" s="48"/>
      <c r="PPQ605" s="53"/>
      <c r="PPX605" s="15"/>
      <c r="PPY605" s="50"/>
      <c r="PPZ605" s="50"/>
      <c r="PQA605" s="46"/>
      <c r="PQB605" s="47"/>
      <c r="PQC605" s="46"/>
      <c r="PQD605" s="48"/>
      <c r="PQE605" s="53"/>
      <c r="PQL605" s="15"/>
      <c r="PQM605" s="50"/>
      <c r="PQN605" s="50"/>
      <c r="PQO605" s="46"/>
      <c r="PQP605" s="47"/>
      <c r="PQQ605" s="46"/>
      <c r="PQR605" s="48"/>
      <c r="PQS605" s="53"/>
      <c r="PQZ605" s="15"/>
      <c r="PRA605" s="50"/>
      <c r="PRB605" s="50"/>
      <c r="PRC605" s="46"/>
      <c r="PRD605" s="47"/>
      <c r="PRE605" s="46"/>
      <c r="PRF605" s="48"/>
      <c r="PRG605" s="53"/>
      <c r="PRN605" s="15"/>
      <c r="PRO605" s="50"/>
      <c r="PRP605" s="50"/>
      <c r="PRQ605" s="46"/>
      <c r="PRR605" s="47"/>
      <c r="PRS605" s="46"/>
      <c r="PRT605" s="48"/>
      <c r="PRU605" s="53"/>
      <c r="PSB605" s="15"/>
      <c r="PSC605" s="50"/>
      <c r="PSD605" s="50"/>
      <c r="PSE605" s="46"/>
      <c r="PSF605" s="47"/>
      <c r="PSG605" s="46"/>
      <c r="PSH605" s="48"/>
      <c r="PSI605" s="53"/>
      <c r="PSP605" s="15"/>
      <c r="PSQ605" s="50"/>
      <c r="PSR605" s="50"/>
      <c r="PSS605" s="46"/>
      <c r="PST605" s="47"/>
      <c r="PSU605" s="46"/>
      <c r="PSV605" s="48"/>
      <c r="PSW605" s="53"/>
      <c r="PTD605" s="15"/>
      <c r="PTE605" s="50"/>
      <c r="PTF605" s="50"/>
      <c r="PTG605" s="46"/>
      <c r="PTH605" s="47"/>
      <c r="PTI605" s="46"/>
      <c r="PTJ605" s="48"/>
      <c r="PTK605" s="53"/>
      <c r="PTR605" s="15"/>
      <c r="PTS605" s="50"/>
      <c r="PTT605" s="50"/>
      <c r="PTU605" s="46"/>
      <c r="PTV605" s="47"/>
      <c r="PTW605" s="46"/>
      <c r="PTX605" s="48"/>
      <c r="PTY605" s="53"/>
      <c r="PUF605" s="15"/>
      <c r="PUG605" s="50"/>
      <c r="PUH605" s="50"/>
      <c r="PUI605" s="46"/>
      <c r="PUJ605" s="47"/>
      <c r="PUK605" s="46"/>
      <c r="PUL605" s="48"/>
      <c r="PUM605" s="53"/>
      <c r="PUT605" s="15"/>
      <c r="PUU605" s="50"/>
      <c r="PUV605" s="50"/>
      <c r="PUW605" s="46"/>
      <c r="PUX605" s="47"/>
      <c r="PUY605" s="46"/>
      <c r="PUZ605" s="48"/>
      <c r="PVA605" s="53"/>
      <c r="PVH605" s="15"/>
      <c r="PVI605" s="50"/>
      <c r="PVJ605" s="50"/>
      <c r="PVK605" s="46"/>
      <c r="PVL605" s="47"/>
      <c r="PVM605" s="46"/>
      <c r="PVN605" s="48"/>
      <c r="PVO605" s="53"/>
      <c r="PVV605" s="15"/>
      <c r="PVW605" s="50"/>
      <c r="PVX605" s="50"/>
      <c r="PVY605" s="46"/>
      <c r="PVZ605" s="47"/>
      <c r="PWA605" s="46"/>
      <c r="PWB605" s="48"/>
      <c r="PWC605" s="53"/>
      <c r="PWJ605" s="15"/>
      <c r="PWK605" s="50"/>
      <c r="PWL605" s="50"/>
      <c r="PWM605" s="46"/>
      <c r="PWN605" s="47"/>
      <c r="PWO605" s="46"/>
      <c r="PWP605" s="48"/>
      <c r="PWQ605" s="53"/>
      <c r="PWX605" s="15"/>
      <c r="PWY605" s="50"/>
      <c r="PWZ605" s="50"/>
      <c r="PXA605" s="46"/>
      <c r="PXB605" s="47"/>
      <c r="PXC605" s="46"/>
      <c r="PXD605" s="48"/>
      <c r="PXE605" s="53"/>
      <c r="PXL605" s="15"/>
      <c r="PXM605" s="50"/>
      <c r="PXN605" s="50"/>
      <c r="PXO605" s="46"/>
      <c r="PXP605" s="47"/>
      <c r="PXQ605" s="46"/>
      <c r="PXR605" s="48"/>
      <c r="PXS605" s="53"/>
      <c r="PXZ605" s="15"/>
      <c r="PYA605" s="50"/>
      <c r="PYB605" s="50"/>
      <c r="PYC605" s="46"/>
      <c r="PYD605" s="47"/>
      <c r="PYE605" s="46"/>
      <c r="PYF605" s="48"/>
      <c r="PYG605" s="53"/>
      <c r="PYN605" s="15"/>
      <c r="PYO605" s="50"/>
      <c r="PYP605" s="50"/>
      <c r="PYQ605" s="46"/>
      <c r="PYR605" s="47"/>
      <c r="PYS605" s="46"/>
      <c r="PYT605" s="48"/>
      <c r="PYU605" s="53"/>
      <c r="PZB605" s="15"/>
      <c r="PZC605" s="50"/>
      <c r="PZD605" s="50"/>
      <c r="PZE605" s="46"/>
      <c r="PZF605" s="47"/>
      <c r="PZG605" s="46"/>
      <c r="PZH605" s="48"/>
      <c r="PZI605" s="53"/>
      <c r="PZP605" s="15"/>
      <c r="PZQ605" s="50"/>
      <c r="PZR605" s="50"/>
      <c r="PZS605" s="46"/>
      <c r="PZT605" s="47"/>
      <c r="PZU605" s="46"/>
      <c r="PZV605" s="48"/>
      <c r="PZW605" s="53"/>
      <c r="QAD605" s="15"/>
      <c r="QAE605" s="50"/>
      <c r="QAF605" s="50"/>
      <c r="QAG605" s="46"/>
      <c r="QAH605" s="47"/>
      <c r="QAI605" s="46"/>
      <c r="QAJ605" s="48"/>
      <c r="QAK605" s="53"/>
      <c r="QAR605" s="15"/>
      <c r="QAS605" s="50"/>
      <c r="QAT605" s="50"/>
      <c r="QAU605" s="46"/>
      <c r="QAV605" s="47"/>
      <c r="QAW605" s="46"/>
      <c r="QAX605" s="48"/>
      <c r="QAY605" s="53"/>
      <c r="QBF605" s="15"/>
      <c r="QBG605" s="50"/>
      <c r="QBH605" s="50"/>
      <c r="QBI605" s="46"/>
      <c r="QBJ605" s="47"/>
      <c r="QBK605" s="46"/>
      <c r="QBL605" s="48"/>
      <c r="QBM605" s="53"/>
      <c r="QBT605" s="15"/>
      <c r="QBU605" s="50"/>
      <c r="QBV605" s="50"/>
      <c r="QBW605" s="46"/>
      <c r="QBX605" s="47"/>
      <c r="QBY605" s="46"/>
      <c r="QBZ605" s="48"/>
      <c r="QCA605" s="53"/>
      <c r="QCH605" s="15"/>
      <c r="QCI605" s="50"/>
      <c r="QCJ605" s="50"/>
      <c r="QCK605" s="46"/>
      <c r="QCL605" s="47"/>
      <c r="QCM605" s="46"/>
      <c r="QCN605" s="48"/>
      <c r="QCO605" s="53"/>
      <c r="QCV605" s="15"/>
      <c r="QCW605" s="50"/>
      <c r="QCX605" s="50"/>
      <c r="QCY605" s="46"/>
      <c r="QCZ605" s="47"/>
      <c r="QDA605" s="46"/>
      <c r="QDB605" s="48"/>
      <c r="QDC605" s="53"/>
      <c r="QDJ605" s="15"/>
      <c r="QDK605" s="50"/>
      <c r="QDL605" s="50"/>
      <c r="QDM605" s="46"/>
      <c r="QDN605" s="47"/>
      <c r="QDO605" s="46"/>
      <c r="QDP605" s="48"/>
      <c r="QDQ605" s="53"/>
      <c r="QDX605" s="15"/>
      <c r="QDY605" s="50"/>
      <c r="QDZ605" s="50"/>
      <c r="QEA605" s="46"/>
      <c r="QEB605" s="47"/>
      <c r="QEC605" s="46"/>
      <c r="QED605" s="48"/>
      <c r="QEE605" s="53"/>
      <c r="QEL605" s="15"/>
      <c r="QEM605" s="50"/>
      <c r="QEN605" s="50"/>
      <c r="QEO605" s="46"/>
      <c r="QEP605" s="47"/>
      <c r="QEQ605" s="46"/>
      <c r="QER605" s="48"/>
      <c r="QES605" s="53"/>
      <c r="QEZ605" s="15"/>
      <c r="QFA605" s="50"/>
      <c r="QFB605" s="50"/>
      <c r="QFC605" s="46"/>
      <c r="QFD605" s="47"/>
      <c r="QFE605" s="46"/>
      <c r="QFF605" s="48"/>
      <c r="QFG605" s="53"/>
      <c r="QFN605" s="15"/>
      <c r="QFO605" s="50"/>
      <c r="QFP605" s="50"/>
      <c r="QFQ605" s="46"/>
      <c r="QFR605" s="47"/>
      <c r="QFS605" s="46"/>
      <c r="QFT605" s="48"/>
      <c r="QFU605" s="53"/>
      <c r="QGB605" s="15"/>
      <c r="QGC605" s="50"/>
      <c r="QGD605" s="50"/>
      <c r="QGE605" s="46"/>
      <c r="QGF605" s="47"/>
      <c r="QGG605" s="46"/>
      <c r="QGH605" s="48"/>
      <c r="QGI605" s="53"/>
      <c r="QGP605" s="15"/>
      <c r="QGQ605" s="50"/>
      <c r="QGR605" s="50"/>
      <c r="QGS605" s="46"/>
      <c r="QGT605" s="47"/>
      <c r="QGU605" s="46"/>
      <c r="QGV605" s="48"/>
      <c r="QGW605" s="53"/>
      <c r="QHD605" s="15"/>
      <c r="QHE605" s="50"/>
      <c r="QHF605" s="50"/>
      <c r="QHG605" s="46"/>
      <c r="QHH605" s="47"/>
      <c r="QHI605" s="46"/>
      <c r="QHJ605" s="48"/>
      <c r="QHK605" s="53"/>
      <c r="QHR605" s="15"/>
      <c r="QHS605" s="50"/>
      <c r="QHT605" s="50"/>
      <c r="QHU605" s="46"/>
      <c r="QHV605" s="47"/>
      <c r="QHW605" s="46"/>
      <c r="QHX605" s="48"/>
      <c r="QHY605" s="53"/>
      <c r="QIF605" s="15"/>
      <c r="QIG605" s="50"/>
      <c r="QIH605" s="50"/>
      <c r="QII605" s="46"/>
      <c r="QIJ605" s="47"/>
      <c r="QIK605" s="46"/>
      <c r="QIL605" s="48"/>
      <c r="QIM605" s="53"/>
      <c r="QIT605" s="15"/>
      <c r="QIU605" s="50"/>
      <c r="QIV605" s="50"/>
      <c r="QIW605" s="46"/>
      <c r="QIX605" s="47"/>
      <c r="QIY605" s="46"/>
      <c r="QIZ605" s="48"/>
      <c r="QJA605" s="53"/>
      <c r="QJH605" s="15"/>
      <c r="QJI605" s="50"/>
      <c r="QJJ605" s="50"/>
      <c r="QJK605" s="46"/>
      <c r="QJL605" s="47"/>
      <c r="QJM605" s="46"/>
      <c r="QJN605" s="48"/>
      <c r="QJO605" s="53"/>
      <c r="QJV605" s="15"/>
      <c r="QJW605" s="50"/>
      <c r="QJX605" s="50"/>
      <c r="QJY605" s="46"/>
      <c r="QJZ605" s="47"/>
      <c r="QKA605" s="46"/>
      <c r="QKB605" s="48"/>
      <c r="QKC605" s="53"/>
      <c r="QKJ605" s="15"/>
      <c r="QKK605" s="50"/>
      <c r="QKL605" s="50"/>
      <c r="QKM605" s="46"/>
      <c r="QKN605" s="47"/>
      <c r="QKO605" s="46"/>
      <c r="QKP605" s="48"/>
      <c r="QKQ605" s="53"/>
      <c r="QKX605" s="15"/>
      <c r="QKY605" s="50"/>
      <c r="QKZ605" s="50"/>
      <c r="QLA605" s="46"/>
      <c r="QLB605" s="47"/>
      <c r="QLC605" s="46"/>
      <c r="QLD605" s="48"/>
      <c r="QLE605" s="53"/>
      <c r="QLL605" s="15"/>
      <c r="QLM605" s="50"/>
      <c r="QLN605" s="50"/>
      <c r="QLO605" s="46"/>
      <c r="QLP605" s="47"/>
      <c r="QLQ605" s="46"/>
      <c r="QLR605" s="48"/>
      <c r="QLS605" s="53"/>
      <c r="QLZ605" s="15"/>
      <c r="QMA605" s="50"/>
      <c r="QMB605" s="50"/>
      <c r="QMC605" s="46"/>
      <c r="QMD605" s="47"/>
      <c r="QME605" s="46"/>
      <c r="QMF605" s="48"/>
      <c r="QMG605" s="53"/>
      <c r="QMN605" s="15"/>
      <c r="QMO605" s="50"/>
      <c r="QMP605" s="50"/>
      <c r="QMQ605" s="46"/>
      <c r="QMR605" s="47"/>
      <c r="QMS605" s="46"/>
      <c r="QMT605" s="48"/>
      <c r="QMU605" s="53"/>
      <c r="QNB605" s="15"/>
      <c r="QNC605" s="50"/>
      <c r="QND605" s="50"/>
      <c r="QNE605" s="46"/>
      <c r="QNF605" s="47"/>
      <c r="QNG605" s="46"/>
      <c r="QNH605" s="48"/>
      <c r="QNI605" s="53"/>
      <c r="QNP605" s="15"/>
      <c r="QNQ605" s="50"/>
      <c r="QNR605" s="50"/>
      <c r="QNS605" s="46"/>
      <c r="QNT605" s="47"/>
      <c r="QNU605" s="46"/>
      <c r="QNV605" s="48"/>
      <c r="QNW605" s="53"/>
      <c r="QOD605" s="15"/>
      <c r="QOE605" s="50"/>
      <c r="QOF605" s="50"/>
      <c r="QOG605" s="46"/>
      <c r="QOH605" s="47"/>
      <c r="QOI605" s="46"/>
      <c r="QOJ605" s="48"/>
      <c r="QOK605" s="53"/>
      <c r="QOR605" s="15"/>
      <c r="QOS605" s="50"/>
      <c r="QOT605" s="50"/>
      <c r="QOU605" s="46"/>
      <c r="QOV605" s="47"/>
      <c r="QOW605" s="46"/>
      <c r="QOX605" s="48"/>
      <c r="QOY605" s="53"/>
      <c r="QPF605" s="15"/>
      <c r="QPG605" s="50"/>
      <c r="QPH605" s="50"/>
      <c r="QPI605" s="46"/>
      <c r="QPJ605" s="47"/>
      <c r="QPK605" s="46"/>
      <c r="QPL605" s="48"/>
      <c r="QPM605" s="53"/>
      <c r="QPT605" s="15"/>
      <c r="QPU605" s="50"/>
      <c r="QPV605" s="50"/>
      <c r="QPW605" s="46"/>
      <c r="QPX605" s="47"/>
      <c r="QPY605" s="46"/>
      <c r="QPZ605" s="48"/>
      <c r="QQA605" s="53"/>
      <c r="QQH605" s="15"/>
      <c r="QQI605" s="50"/>
      <c r="QQJ605" s="50"/>
      <c r="QQK605" s="46"/>
      <c r="QQL605" s="47"/>
      <c r="QQM605" s="46"/>
      <c r="QQN605" s="48"/>
      <c r="QQO605" s="53"/>
      <c r="QQV605" s="15"/>
      <c r="QQW605" s="50"/>
      <c r="QQX605" s="50"/>
      <c r="QQY605" s="46"/>
      <c r="QQZ605" s="47"/>
      <c r="QRA605" s="46"/>
      <c r="QRB605" s="48"/>
      <c r="QRC605" s="53"/>
      <c r="QRJ605" s="15"/>
      <c r="QRK605" s="50"/>
      <c r="QRL605" s="50"/>
      <c r="QRM605" s="46"/>
      <c r="QRN605" s="47"/>
      <c r="QRO605" s="46"/>
      <c r="QRP605" s="48"/>
      <c r="QRQ605" s="53"/>
      <c r="QRX605" s="15"/>
      <c r="QRY605" s="50"/>
      <c r="QRZ605" s="50"/>
      <c r="QSA605" s="46"/>
      <c r="QSB605" s="47"/>
      <c r="QSC605" s="46"/>
      <c r="QSD605" s="48"/>
      <c r="QSE605" s="53"/>
      <c r="QSL605" s="15"/>
      <c r="QSM605" s="50"/>
      <c r="QSN605" s="50"/>
      <c r="QSO605" s="46"/>
      <c r="QSP605" s="47"/>
      <c r="QSQ605" s="46"/>
      <c r="QSR605" s="48"/>
      <c r="QSS605" s="53"/>
      <c r="QSZ605" s="15"/>
      <c r="QTA605" s="50"/>
      <c r="QTB605" s="50"/>
      <c r="QTC605" s="46"/>
      <c r="QTD605" s="47"/>
      <c r="QTE605" s="46"/>
      <c r="QTF605" s="48"/>
      <c r="QTG605" s="53"/>
      <c r="QTN605" s="15"/>
      <c r="QTO605" s="50"/>
      <c r="QTP605" s="50"/>
      <c r="QTQ605" s="46"/>
      <c r="QTR605" s="47"/>
      <c r="QTS605" s="46"/>
      <c r="QTT605" s="48"/>
      <c r="QTU605" s="53"/>
      <c r="QUB605" s="15"/>
      <c r="QUC605" s="50"/>
      <c r="QUD605" s="50"/>
      <c r="QUE605" s="46"/>
      <c r="QUF605" s="47"/>
      <c r="QUG605" s="46"/>
      <c r="QUH605" s="48"/>
      <c r="QUI605" s="53"/>
      <c r="QUP605" s="15"/>
      <c r="QUQ605" s="50"/>
      <c r="QUR605" s="50"/>
      <c r="QUS605" s="46"/>
      <c r="QUT605" s="47"/>
      <c r="QUU605" s="46"/>
      <c r="QUV605" s="48"/>
      <c r="QUW605" s="53"/>
      <c r="QVD605" s="15"/>
      <c r="QVE605" s="50"/>
      <c r="QVF605" s="50"/>
      <c r="QVG605" s="46"/>
      <c r="QVH605" s="47"/>
      <c r="QVI605" s="46"/>
      <c r="QVJ605" s="48"/>
      <c r="QVK605" s="53"/>
      <c r="QVR605" s="15"/>
      <c r="QVS605" s="50"/>
      <c r="QVT605" s="50"/>
      <c r="QVU605" s="46"/>
      <c r="QVV605" s="47"/>
      <c r="QVW605" s="46"/>
      <c r="QVX605" s="48"/>
      <c r="QVY605" s="53"/>
      <c r="QWF605" s="15"/>
      <c r="QWG605" s="50"/>
      <c r="QWH605" s="50"/>
      <c r="QWI605" s="46"/>
      <c r="QWJ605" s="47"/>
      <c r="QWK605" s="46"/>
      <c r="QWL605" s="48"/>
      <c r="QWM605" s="53"/>
      <c r="QWT605" s="15"/>
      <c r="QWU605" s="50"/>
      <c r="QWV605" s="50"/>
      <c r="QWW605" s="46"/>
      <c r="QWX605" s="47"/>
      <c r="QWY605" s="46"/>
      <c r="QWZ605" s="48"/>
      <c r="QXA605" s="53"/>
      <c r="QXH605" s="15"/>
      <c r="QXI605" s="50"/>
      <c r="QXJ605" s="50"/>
      <c r="QXK605" s="46"/>
      <c r="QXL605" s="47"/>
      <c r="QXM605" s="46"/>
      <c r="QXN605" s="48"/>
      <c r="QXO605" s="53"/>
      <c r="QXV605" s="15"/>
      <c r="QXW605" s="50"/>
      <c r="QXX605" s="50"/>
      <c r="QXY605" s="46"/>
      <c r="QXZ605" s="47"/>
      <c r="QYA605" s="46"/>
      <c r="QYB605" s="48"/>
      <c r="QYC605" s="53"/>
      <c r="QYJ605" s="15"/>
      <c r="QYK605" s="50"/>
      <c r="QYL605" s="50"/>
      <c r="QYM605" s="46"/>
      <c r="QYN605" s="47"/>
      <c r="QYO605" s="46"/>
      <c r="QYP605" s="48"/>
      <c r="QYQ605" s="53"/>
      <c r="QYX605" s="15"/>
      <c r="QYY605" s="50"/>
      <c r="QYZ605" s="50"/>
      <c r="QZA605" s="46"/>
      <c r="QZB605" s="47"/>
      <c r="QZC605" s="46"/>
      <c r="QZD605" s="48"/>
      <c r="QZE605" s="53"/>
      <c r="QZL605" s="15"/>
      <c r="QZM605" s="50"/>
      <c r="QZN605" s="50"/>
      <c r="QZO605" s="46"/>
      <c r="QZP605" s="47"/>
      <c r="QZQ605" s="46"/>
      <c r="QZR605" s="48"/>
      <c r="QZS605" s="53"/>
      <c r="QZZ605" s="15"/>
      <c r="RAA605" s="50"/>
      <c r="RAB605" s="50"/>
      <c r="RAC605" s="46"/>
      <c r="RAD605" s="47"/>
      <c r="RAE605" s="46"/>
      <c r="RAF605" s="48"/>
      <c r="RAG605" s="53"/>
      <c r="RAN605" s="15"/>
      <c r="RAO605" s="50"/>
      <c r="RAP605" s="50"/>
      <c r="RAQ605" s="46"/>
      <c r="RAR605" s="47"/>
      <c r="RAS605" s="46"/>
      <c r="RAT605" s="48"/>
      <c r="RAU605" s="53"/>
      <c r="RBB605" s="15"/>
      <c r="RBC605" s="50"/>
      <c r="RBD605" s="50"/>
      <c r="RBE605" s="46"/>
      <c r="RBF605" s="47"/>
      <c r="RBG605" s="46"/>
      <c r="RBH605" s="48"/>
      <c r="RBI605" s="53"/>
      <c r="RBP605" s="15"/>
      <c r="RBQ605" s="50"/>
      <c r="RBR605" s="50"/>
      <c r="RBS605" s="46"/>
      <c r="RBT605" s="47"/>
      <c r="RBU605" s="46"/>
      <c r="RBV605" s="48"/>
      <c r="RBW605" s="53"/>
      <c r="RCD605" s="15"/>
      <c r="RCE605" s="50"/>
      <c r="RCF605" s="50"/>
      <c r="RCG605" s="46"/>
      <c r="RCH605" s="47"/>
      <c r="RCI605" s="46"/>
      <c r="RCJ605" s="48"/>
      <c r="RCK605" s="53"/>
      <c r="RCR605" s="15"/>
      <c r="RCS605" s="50"/>
      <c r="RCT605" s="50"/>
      <c r="RCU605" s="46"/>
      <c r="RCV605" s="47"/>
      <c r="RCW605" s="46"/>
      <c r="RCX605" s="48"/>
      <c r="RCY605" s="53"/>
      <c r="RDF605" s="15"/>
      <c r="RDG605" s="50"/>
      <c r="RDH605" s="50"/>
      <c r="RDI605" s="46"/>
      <c r="RDJ605" s="47"/>
      <c r="RDK605" s="46"/>
      <c r="RDL605" s="48"/>
      <c r="RDM605" s="53"/>
      <c r="RDT605" s="15"/>
      <c r="RDU605" s="50"/>
      <c r="RDV605" s="50"/>
      <c r="RDW605" s="46"/>
      <c r="RDX605" s="47"/>
      <c r="RDY605" s="46"/>
      <c r="RDZ605" s="48"/>
      <c r="REA605" s="53"/>
      <c r="REH605" s="15"/>
      <c r="REI605" s="50"/>
      <c r="REJ605" s="50"/>
      <c r="REK605" s="46"/>
      <c r="REL605" s="47"/>
      <c r="REM605" s="46"/>
      <c r="REN605" s="48"/>
      <c r="REO605" s="53"/>
      <c r="REV605" s="15"/>
      <c r="REW605" s="50"/>
      <c r="REX605" s="50"/>
      <c r="REY605" s="46"/>
      <c r="REZ605" s="47"/>
      <c r="RFA605" s="46"/>
      <c r="RFB605" s="48"/>
      <c r="RFC605" s="53"/>
      <c r="RFJ605" s="15"/>
      <c r="RFK605" s="50"/>
      <c r="RFL605" s="50"/>
      <c r="RFM605" s="46"/>
      <c r="RFN605" s="47"/>
      <c r="RFO605" s="46"/>
      <c r="RFP605" s="48"/>
      <c r="RFQ605" s="53"/>
      <c r="RFX605" s="15"/>
      <c r="RFY605" s="50"/>
      <c r="RFZ605" s="50"/>
      <c r="RGA605" s="46"/>
      <c r="RGB605" s="47"/>
      <c r="RGC605" s="46"/>
      <c r="RGD605" s="48"/>
      <c r="RGE605" s="53"/>
      <c r="RGL605" s="15"/>
      <c r="RGM605" s="50"/>
      <c r="RGN605" s="50"/>
      <c r="RGO605" s="46"/>
      <c r="RGP605" s="47"/>
      <c r="RGQ605" s="46"/>
      <c r="RGR605" s="48"/>
      <c r="RGS605" s="53"/>
      <c r="RGZ605" s="15"/>
      <c r="RHA605" s="50"/>
      <c r="RHB605" s="50"/>
      <c r="RHC605" s="46"/>
      <c r="RHD605" s="47"/>
      <c r="RHE605" s="46"/>
      <c r="RHF605" s="48"/>
      <c r="RHG605" s="53"/>
      <c r="RHN605" s="15"/>
      <c r="RHO605" s="50"/>
      <c r="RHP605" s="50"/>
      <c r="RHQ605" s="46"/>
      <c r="RHR605" s="47"/>
      <c r="RHS605" s="46"/>
      <c r="RHT605" s="48"/>
      <c r="RHU605" s="53"/>
      <c r="RIB605" s="15"/>
      <c r="RIC605" s="50"/>
      <c r="RID605" s="50"/>
      <c r="RIE605" s="46"/>
      <c r="RIF605" s="47"/>
      <c r="RIG605" s="46"/>
      <c r="RIH605" s="48"/>
      <c r="RII605" s="53"/>
      <c r="RIP605" s="15"/>
      <c r="RIQ605" s="50"/>
      <c r="RIR605" s="50"/>
      <c r="RIS605" s="46"/>
      <c r="RIT605" s="47"/>
      <c r="RIU605" s="46"/>
      <c r="RIV605" s="48"/>
      <c r="RIW605" s="53"/>
      <c r="RJD605" s="15"/>
      <c r="RJE605" s="50"/>
      <c r="RJF605" s="50"/>
      <c r="RJG605" s="46"/>
      <c r="RJH605" s="47"/>
      <c r="RJI605" s="46"/>
      <c r="RJJ605" s="48"/>
      <c r="RJK605" s="53"/>
      <c r="RJR605" s="15"/>
      <c r="RJS605" s="50"/>
      <c r="RJT605" s="50"/>
      <c r="RJU605" s="46"/>
      <c r="RJV605" s="47"/>
      <c r="RJW605" s="46"/>
      <c r="RJX605" s="48"/>
      <c r="RJY605" s="53"/>
      <c r="RKF605" s="15"/>
      <c r="RKG605" s="50"/>
      <c r="RKH605" s="50"/>
      <c r="RKI605" s="46"/>
      <c r="RKJ605" s="47"/>
      <c r="RKK605" s="46"/>
      <c r="RKL605" s="48"/>
      <c r="RKM605" s="53"/>
      <c r="RKT605" s="15"/>
      <c r="RKU605" s="50"/>
      <c r="RKV605" s="50"/>
      <c r="RKW605" s="46"/>
      <c r="RKX605" s="47"/>
      <c r="RKY605" s="46"/>
      <c r="RKZ605" s="48"/>
      <c r="RLA605" s="53"/>
      <c r="RLH605" s="15"/>
      <c r="RLI605" s="50"/>
      <c r="RLJ605" s="50"/>
      <c r="RLK605" s="46"/>
      <c r="RLL605" s="47"/>
      <c r="RLM605" s="46"/>
      <c r="RLN605" s="48"/>
      <c r="RLO605" s="53"/>
      <c r="RLV605" s="15"/>
      <c r="RLW605" s="50"/>
      <c r="RLX605" s="50"/>
      <c r="RLY605" s="46"/>
      <c r="RLZ605" s="47"/>
      <c r="RMA605" s="46"/>
      <c r="RMB605" s="48"/>
      <c r="RMC605" s="53"/>
      <c r="RMJ605" s="15"/>
      <c r="RMK605" s="50"/>
      <c r="RML605" s="50"/>
      <c r="RMM605" s="46"/>
      <c r="RMN605" s="47"/>
      <c r="RMO605" s="46"/>
      <c r="RMP605" s="48"/>
      <c r="RMQ605" s="53"/>
      <c r="RMX605" s="15"/>
      <c r="RMY605" s="50"/>
      <c r="RMZ605" s="50"/>
      <c r="RNA605" s="46"/>
      <c r="RNB605" s="47"/>
      <c r="RNC605" s="46"/>
      <c r="RND605" s="48"/>
      <c r="RNE605" s="53"/>
      <c r="RNL605" s="15"/>
      <c r="RNM605" s="50"/>
      <c r="RNN605" s="50"/>
      <c r="RNO605" s="46"/>
      <c r="RNP605" s="47"/>
      <c r="RNQ605" s="46"/>
      <c r="RNR605" s="48"/>
      <c r="RNS605" s="53"/>
      <c r="RNZ605" s="15"/>
      <c r="ROA605" s="50"/>
      <c r="ROB605" s="50"/>
      <c r="ROC605" s="46"/>
      <c r="ROD605" s="47"/>
      <c r="ROE605" s="46"/>
      <c r="ROF605" s="48"/>
      <c r="ROG605" s="53"/>
      <c r="RON605" s="15"/>
      <c r="ROO605" s="50"/>
      <c r="ROP605" s="50"/>
      <c r="ROQ605" s="46"/>
      <c r="ROR605" s="47"/>
      <c r="ROS605" s="46"/>
      <c r="ROT605" s="48"/>
      <c r="ROU605" s="53"/>
      <c r="RPB605" s="15"/>
      <c r="RPC605" s="50"/>
      <c r="RPD605" s="50"/>
      <c r="RPE605" s="46"/>
      <c r="RPF605" s="47"/>
      <c r="RPG605" s="46"/>
      <c r="RPH605" s="48"/>
      <c r="RPI605" s="53"/>
      <c r="RPP605" s="15"/>
      <c r="RPQ605" s="50"/>
      <c r="RPR605" s="50"/>
      <c r="RPS605" s="46"/>
      <c r="RPT605" s="47"/>
      <c r="RPU605" s="46"/>
      <c r="RPV605" s="48"/>
      <c r="RPW605" s="53"/>
      <c r="RQD605" s="15"/>
      <c r="RQE605" s="50"/>
      <c r="RQF605" s="50"/>
      <c r="RQG605" s="46"/>
      <c r="RQH605" s="47"/>
      <c r="RQI605" s="46"/>
      <c r="RQJ605" s="48"/>
      <c r="RQK605" s="53"/>
      <c r="RQR605" s="15"/>
      <c r="RQS605" s="50"/>
      <c r="RQT605" s="50"/>
      <c r="RQU605" s="46"/>
      <c r="RQV605" s="47"/>
      <c r="RQW605" s="46"/>
      <c r="RQX605" s="48"/>
      <c r="RQY605" s="53"/>
      <c r="RRF605" s="15"/>
      <c r="RRG605" s="50"/>
      <c r="RRH605" s="50"/>
      <c r="RRI605" s="46"/>
      <c r="RRJ605" s="47"/>
      <c r="RRK605" s="46"/>
      <c r="RRL605" s="48"/>
      <c r="RRM605" s="53"/>
      <c r="RRT605" s="15"/>
      <c r="RRU605" s="50"/>
      <c r="RRV605" s="50"/>
      <c r="RRW605" s="46"/>
      <c r="RRX605" s="47"/>
      <c r="RRY605" s="46"/>
      <c r="RRZ605" s="48"/>
      <c r="RSA605" s="53"/>
      <c r="RSH605" s="15"/>
      <c r="RSI605" s="50"/>
      <c r="RSJ605" s="50"/>
      <c r="RSK605" s="46"/>
      <c r="RSL605" s="47"/>
      <c r="RSM605" s="46"/>
      <c r="RSN605" s="48"/>
      <c r="RSO605" s="53"/>
      <c r="RSV605" s="15"/>
      <c r="RSW605" s="50"/>
      <c r="RSX605" s="50"/>
      <c r="RSY605" s="46"/>
      <c r="RSZ605" s="47"/>
      <c r="RTA605" s="46"/>
      <c r="RTB605" s="48"/>
      <c r="RTC605" s="53"/>
      <c r="RTJ605" s="15"/>
      <c r="RTK605" s="50"/>
      <c r="RTL605" s="50"/>
      <c r="RTM605" s="46"/>
      <c r="RTN605" s="47"/>
      <c r="RTO605" s="46"/>
      <c r="RTP605" s="48"/>
      <c r="RTQ605" s="53"/>
      <c r="RTX605" s="15"/>
      <c r="RTY605" s="50"/>
      <c r="RTZ605" s="50"/>
      <c r="RUA605" s="46"/>
      <c r="RUB605" s="47"/>
      <c r="RUC605" s="46"/>
      <c r="RUD605" s="48"/>
      <c r="RUE605" s="53"/>
      <c r="RUL605" s="15"/>
      <c r="RUM605" s="50"/>
      <c r="RUN605" s="50"/>
      <c r="RUO605" s="46"/>
      <c r="RUP605" s="47"/>
      <c r="RUQ605" s="46"/>
      <c r="RUR605" s="48"/>
      <c r="RUS605" s="53"/>
      <c r="RUZ605" s="15"/>
      <c r="RVA605" s="50"/>
      <c r="RVB605" s="50"/>
      <c r="RVC605" s="46"/>
      <c r="RVD605" s="47"/>
      <c r="RVE605" s="46"/>
      <c r="RVF605" s="48"/>
      <c r="RVG605" s="53"/>
      <c r="RVN605" s="15"/>
      <c r="RVO605" s="50"/>
      <c r="RVP605" s="50"/>
      <c r="RVQ605" s="46"/>
      <c r="RVR605" s="47"/>
      <c r="RVS605" s="46"/>
      <c r="RVT605" s="48"/>
      <c r="RVU605" s="53"/>
      <c r="RWB605" s="15"/>
      <c r="RWC605" s="50"/>
      <c r="RWD605" s="50"/>
      <c r="RWE605" s="46"/>
      <c r="RWF605" s="47"/>
      <c r="RWG605" s="46"/>
      <c r="RWH605" s="48"/>
      <c r="RWI605" s="53"/>
      <c r="RWP605" s="15"/>
      <c r="RWQ605" s="50"/>
      <c r="RWR605" s="50"/>
      <c r="RWS605" s="46"/>
      <c r="RWT605" s="47"/>
      <c r="RWU605" s="46"/>
      <c r="RWV605" s="48"/>
      <c r="RWW605" s="53"/>
      <c r="RXD605" s="15"/>
      <c r="RXE605" s="50"/>
      <c r="RXF605" s="50"/>
      <c r="RXG605" s="46"/>
      <c r="RXH605" s="47"/>
      <c r="RXI605" s="46"/>
      <c r="RXJ605" s="48"/>
      <c r="RXK605" s="53"/>
      <c r="RXR605" s="15"/>
      <c r="RXS605" s="50"/>
      <c r="RXT605" s="50"/>
      <c r="RXU605" s="46"/>
      <c r="RXV605" s="47"/>
      <c r="RXW605" s="46"/>
      <c r="RXX605" s="48"/>
      <c r="RXY605" s="53"/>
      <c r="RYF605" s="15"/>
      <c r="RYG605" s="50"/>
      <c r="RYH605" s="50"/>
      <c r="RYI605" s="46"/>
      <c r="RYJ605" s="47"/>
      <c r="RYK605" s="46"/>
      <c r="RYL605" s="48"/>
      <c r="RYM605" s="53"/>
      <c r="RYT605" s="15"/>
      <c r="RYU605" s="50"/>
      <c r="RYV605" s="50"/>
      <c r="RYW605" s="46"/>
      <c r="RYX605" s="47"/>
      <c r="RYY605" s="46"/>
      <c r="RYZ605" s="48"/>
      <c r="RZA605" s="53"/>
      <c r="RZH605" s="15"/>
      <c r="RZI605" s="50"/>
      <c r="RZJ605" s="50"/>
      <c r="RZK605" s="46"/>
      <c r="RZL605" s="47"/>
      <c r="RZM605" s="46"/>
      <c r="RZN605" s="48"/>
      <c r="RZO605" s="53"/>
      <c r="RZV605" s="15"/>
      <c r="RZW605" s="50"/>
      <c r="RZX605" s="50"/>
      <c r="RZY605" s="46"/>
      <c r="RZZ605" s="47"/>
      <c r="SAA605" s="46"/>
      <c r="SAB605" s="48"/>
      <c r="SAC605" s="53"/>
      <c r="SAJ605" s="15"/>
      <c r="SAK605" s="50"/>
      <c r="SAL605" s="50"/>
      <c r="SAM605" s="46"/>
      <c r="SAN605" s="47"/>
      <c r="SAO605" s="46"/>
      <c r="SAP605" s="48"/>
      <c r="SAQ605" s="53"/>
      <c r="SAX605" s="15"/>
      <c r="SAY605" s="50"/>
      <c r="SAZ605" s="50"/>
      <c r="SBA605" s="46"/>
      <c r="SBB605" s="47"/>
      <c r="SBC605" s="46"/>
      <c r="SBD605" s="48"/>
      <c r="SBE605" s="53"/>
      <c r="SBL605" s="15"/>
      <c r="SBM605" s="50"/>
      <c r="SBN605" s="50"/>
      <c r="SBO605" s="46"/>
      <c r="SBP605" s="47"/>
      <c r="SBQ605" s="46"/>
      <c r="SBR605" s="48"/>
      <c r="SBS605" s="53"/>
      <c r="SBZ605" s="15"/>
      <c r="SCA605" s="50"/>
      <c r="SCB605" s="50"/>
      <c r="SCC605" s="46"/>
      <c r="SCD605" s="47"/>
      <c r="SCE605" s="46"/>
      <c r="SCF605" s="48"/>
      <c r="SCG605" s="53"/>
      <c r="SCN605" s="15"/>
      <c r="SCO605" s="50"/>
      <c r="SCP605" s="50"/>
      <c r="SCQ605" s="46"/>
      <c r="SCR605" s="47"/>
      <c r="SCS605" s="46"/>
      <c r="SCT605" s="48"/>
      <c r="SCU605" s="53"/>
      <c r="SDB605" s="15"/>
      <c r="SDC605" s="50"/>
      <c r="SDD605" s="50"/>
      <c r="SDE605" s="46"/>
      <c r="SDF605" s="47"/>
      <c r="SDG605" s="46"/>
      <c r="SDH605" s="48"/>
      <c r="SDI605" s="53"/>
      <c r="SDP605" s="15"/>
      <c r="SDQ605" s="50"/>
      <c r="SDR605" s="50"/>
      <c r="SDS605" s="46"/>
      <c r="SDT605" s="47"/>
      <c r="SDU605" s="46"/>
      <c r="SDV605" s="48"/>
      <c r="SDW605" s="53"/>
      <c r="SED605" s="15"/>
      <c r="SEE605" s="50"/>
      <c r="SEF605" s="50"/>
      <c r="SEG605" s="46"/>
      <c r="SEH605" s="47"/>
      <c r="SEI605" s="46"/>
      <c r="SEJ605" s="48"/>
      <c r="SEK605" s="53"/>
      <c r="SER605" s="15"/>
      <c r="SES605" s="50"/>
      <c r="SET605" s="50"/>
      <c r="SEU605" s="46"/>
      <c r="SEV605" s="47"/>
      <c r="SEW605" s="46"/>
      <c r="SEX605" s="48"/>
      <c r="SEY605" s="53"/>
      <c r="SFF605" s="15"/>
      <c r="SFG605" s="50"/>
      <c r="SFH605" s="50"/>
      <c r="SFI605" s="46"/>
      <c r="SFJ605" s="47"/>
      <c r="SFK605" s="46"/>
      <c r="SFL605" s="48"/>
      <c r="SFM605" s="53"/>
      <c r="SFT605" s="15"/>
      <c r="SFU605" s="50"/>
      <c r="SFV605" s="50"/>
      <c r="SFW605" s="46"/>
      <c r="SFX605" s="47"/>
      <c r="SFY605" s="46"/>
      <c r="SFZ605" s="48"/>
      <c r="SGA605" s="53"/>
      <c r="SGH605" s="15"/>
      <c r="SGI605" s="50"/>
      <c r="SGJ605" s="50"/>
      <c r="SGK605" s="46"/>
      <c r="SGL605" s="47"/>
      <c r="SGM605" s="46"/>
      <c r="SGN605" s="48"/>
      <c r="SGO605" s="53"/>
      <c r="SGV605" s="15"/>
      <c r="SGW605" s="50"/>
      <c r="SGX605" s="50"/>
      <c r="SGY605" s="46"/>
      <c r="SGZ605" s="47"/>
      <c r="SHA605" s="46"/>
      <c r="SHB605" s="48"/>
      <c r="SHC605" s="53"/>
      <c r="SHJ605" s="15"/>
      <c r="SHK605" s="50"/>
      <c r="SHL605" s="50"/>
      <c r="SHM605" s="46"/>
      <c r="SHN605" s="47"/>
      <c r="SHO605" s="46"/>
      <c r="SHP605" s="48"/>
      <c r="SHQ605" s="53"/>
      <c r="SHX605" s="15"/>
      <c r="SHY605" s="50"/>
      <c r="SHZ605" s="50"/>
      <c r="SIA605" s="46"/>
      <c r="SIB605" s="47"/>
      <c r="SIC605" s="46"/>
      <c r="SID605" s="48"/>
      <c r="SIE605" s="53"/>
      <c r="SIL605" s="15"/>
      <c r="SIM605" s="50"/>
      <c r="SIN605" s="50"/>
      <c r="SIO605" s="46"/>
      <c r="SIP605" s="47"/>
      <c r="SIQ605" s="46"/>
      <c r="SIR605" s="48"/>
      <c r="SIS605" s="53"/>
      <c r="SIZ605" s="15"/>
      <c r="SJA605" s="50"/>
      <c r="SJB605" s="50"/>
      <c r="SJC605" s="46"/>
      <c r="SJD605" s="47"/>
      <c r="SJE605" s="46"/>
      <c r="SJF605" s="48"/>
      <c r="SJG605" s="53"/>
      <c r="SJN605" s="15"/>
      <c r="SJO605" s="50"/>
      <c r="SJP605" s="50"/>
      <c r="SJQ605" s="46"/>
      <c r="SJR605" s="47"/>
      <c r="SJS605" s="46"/>
      <c r="SJT605" s="48"/>
      <c r="SJU605" s="53"/>
      <c r="SKB605" s="15"/>
      <c r="SKC605" s="50"/>
      <c r="SKD605" s="50"/>
      <c r="SKE605" s="46"/>
      <c r="SKF605" s="47"/>
      <c r="SKG605" s="46"/>
      <c r="SKH605" s="48"/>
      <c r="SKI605" s="53"/>
      <c r="SKP605" s="15"/>
      <c r="SKQ605" s="50"/>
      <c r="SKR605" s="50"/>
      <c r="SKS605" s="46"/>
      <c r="SKT605" s="47"/>
      <c r="SKU605" s="46"/>
      <c r="SKV605" s="48"/>
      <c r="SKW605" s="53"/>
      <c r="SLD605" s="15"/>
      <c r="SLE605" s="50"/>
      <c r="SLF605" s="50"/>
      <c r="SLG605" s="46"/>
      <c r="SLH605" s="47"/>
      <c r="SLI605" s="46"/>
      <c r="SLJ605" s="48"/>
      <c r="SLK605" s="53"/>
      <c r="SLR605" s="15"/>
      <c r="SLS605" s="50"/>
      <c r="SLT605" s="50"/>
      <c r="SLU605" s="46"/>
      <c r="SLV605" s="47"/>
      <c r="SLW605" s="46"/>
      <c r="SLX605" s="48"/>
      <c r="SLY605" s="53"/>
      <c r="SMF605" s="15"/>
      <c r="SMG605" s="50"/>
      <c r="SMH605" s="50"/>
      <c r="SMI605" s="46"/>
      <c r="SMJ605" s="47"/>
      <c r="SMK605" s="46"/>
      <c r="SML605" s="48"/>
      <c r="SMM605" s="53"/>
      <c r="SMT605" s="15"/>
      <c r="SMU605" s="50"/>
      <c r="SMV605" s="50"/>
      <c r="SMW605" s="46"/>
      <c r="SMX605" s="47"/>
      <c r="SMY605" s="46"/>
      <c r="SMZ605" s="48"/>
      <c r="SNA605" s="53"/>
      <c r="SNH605" s="15"/>
      <c r="SNI605" s="50"/>
      <c r="SNJ605" s="50"/>
      <c r="SNK605" s="46"/>
      <c r="SNL605" s="47"/>
      <c r="SNM605" s="46"/>
      <c r="SNN605" s="48"/>
      <c r="SNO605" s="53"/>
      <c r="SNV605" s="15"/>
      <c r="SNW605" s="50"/>
      <c r="SNX605" s="50"/>
      <c r="SNY605" s="46"/>
      <c r="SNZ605" s="47"/>
      <c r="SOA605" s="46"/>
      <c r="SOB605" s="48"/>
      <c r="SOC605" s="53"/>
      <c r="SOJ605" s="15"/>
      <c r="SOK605" s="50"/>
      <c r="SOL605" s="50"/>
      <c r="SOM605" s="46"/>
      <c r="SON605" s="47"/>
      <c r="SOO605" s="46"/>
      <c r="SOP605" s="48"/>
      <c r="SOQ605" s="53"/>
      <c r="SOX605" s="15"/>
      <c r="SOY605" s="50"/>
      <c r="SOZ605" s="50"/>
      <c r="SPA605" s="46"/>
      <c r="SPB605" s="47"/>
      <c r="SPC605" s="46"/>
      <c r="SPD605" s="48"/>
      <c r="SPE605" s="53"/>
      <c r="SPL605" s="15"/>
      <c r="SPM605" s="50"/>
      <c r="SPN605" s="50"/>
      <c r="SPO605" s="46"/>
      <c r="SPP605" s="47"/>
      <c r="SPQ605" s="46"/>
      <c r="SPR605" s="48"/>
      <c r="SPS605" s="53"/>
      <c r="SPZ605" s="15"/>
      <c r="SQA605" s="50"/>
      <c r="SQB605" s="50"/>
      <c r="SQC605" s="46"/>
      <c r="SQD605" s="47"/>
      <c r="SQE605" s="46"/>
      <c r="SQF605" s="48"/>
      <c r="SQG605" s="53"/>
      <c r="SQN605" s="15"/>
      <c r="SQO605" s="50"/>
      <c r="SQP605" s="50"/>
      <c r="SQQ605" s="46"/>
      <c r="SQR605" s="47"/>
      <c r="SQS605" s="46"/>
      <c r="SQT605" s="48"/>
      <c r="SQU605" s="53"/>
      <c r="SRB605" s="15"/>
      <c r="SRC605" s="50"/>
      <c r="SRD605" s="50"/>
      <c r="SRE605" s="46"/>
      <c r="SRF605" s="47"/>
      <c r="SRG605" s="46"/>
      <c r="SRH605" s="48"/>
      <c r="SRI605" s="53"/>
      <c r="SRP605" s="15"/>
      <c r="SRQ605" s="50"/>
      <c r="SRR605" s="50"/>
      <c r="SRS605" s="46"/>
      <c r="SRT605" s="47"/>
      <c r="SRU605" s="46"/>
      <c r="SRV605" s="48"/>
      <c r="SRW605" s="53"/>
      <c r="SSD605" s="15"/>
      <c r="SSE605" s="50"/>
      <c r="SSF605" s="50"/>
      <c r="SSG605" s="46"/>
      <c r="SSH605" s="47"/>
      <c r="SSI605" s="46"/>
      <c r="SSJ605" s="48"/>
      <c r="SSK605" s="53"/>
      <c r="SSR605" s="15"/>
      <c r="SSS605" s="50"/>
      <c r="SST605" s="50"/>
      <c r="SSU605" s="46"/>
      <c r="SSV605" s="47"/>
      <c r="SSW605" s="46"/>
      <c r="SSX605" s="48"/>
      <c r="SSY605" s="53"/>
      <c r="STF605" s="15"/>
      <c r="STG605" s="50"/>
      <c r="STH605" s="50"/>
      <c r="STI605" s="46"/>
      <c r="STJ605" s="47"/>
      <c r="STK605" s="46"/>
      <c r="STL605" s="48"/>
      <c r="STM605" s="53"/>
      <c r="STT605" s="15"/>
      <c r="STU605" s="50"/>
      <c r="STV605" s="50"/>
      <c r="STW605" s="46"/>
      <c r="STX605" s="47"/>
      <c r="STY605" s="46"/>
      <c r="STZ605" s="48"/>
      <c r="SUA605" s="53"/>
      <c r="SUH605" s="15"/>
      <c r="SUI605" s="50"/>
      <c r="SUJ605" s="50"/>
      <c r="SUK605" s="46"/>
      <c r="SUL605" s="47"/>
      <c r="SUM605" s="46"/>
      <c r="SUN605" s="48"/>
      <c r="SUO605" s="53"/>
      <c r="SUV605" s="15"/>
      <c r="SUW605" s="50"/>
      <c r="SUX605" s="50"/>
      <c r="SUY605" s="46"/>
      <c r="SUZ605" s="47"/>
      <c r="SVA605" s="46"/>
      <c r="SVB605" s="48"/>
      <c r="SVC605" s="53"/>
      <c r="SVJ605" s="15"/>
      <c r="SVK605" s="50"/>
      <c r="SVL605" s="50"/>
      <c r="SVM605" s="46"/>
      <c r="SVN605" s="47"/>
      <c r="SVO605" s="46"/>
      <c r="SVP605" s="48"/>
      <c r="SVQ605" s="53"/>
      <c r="SVX605" s="15"/>
      <c r="SVY605" s="50"/>
      <c r="SVZ605" s="50"/>
      <c r="SWA605" s="46"/>
      <c r="SWB605" s="47"/>
      <c r="SWC605" s="46"/>
      <c r="SWD605" s="48"/>
      <c r="SWE605" s="53"/>
      <c r="SWL605" s="15"/>
      <c r="SWM605" s="50"/>
      <c r="SWN605" s="50"/>
      <c r="SWO605" s="46"/>
      <c r="SWP605" s="47"/>
      <c r="SWQ605" s="46"/>
      <c r="SWR605" s="48"/>
      <c r="SWS605" s="53"/>
      <c r="SWZ605" s="15"/>
      <c r="SXA605" s="50"/>
      <c r="SXB605" s="50"/>
      <c r="SXC605" s="46"/>
      <c r="SXD605" s="47"/>
      <c r="SXE605" s="46"/>
      <c r="SXF605" s="48"/>
      <c r="SXG605" s="53"/>
      <c r="SXN605" s="15"/>
      <c r="SXO605" s="50"/>
      <c r="SXP605" s="50"/>
      <c r="SXQ605" s="46"/>
      <c r="SXR605" s="47"/>
      <c r="SXS605" s="46"/>
      <c r="SXT605" s="48"/>
      <c r="SXU605" s="53"/>
      <c r="SYB605" s="15"/>
      <c r="SYC605" s="50"/>
      <c r="SYD605" s="50"/>
      <c r="SYE605" s="46"/>
      <c r="SYF605" s="47"/>
      <c r="SYG605" s="46"/>
      <c r="SYH605" s="48"/>
      <c r="SYI605" s="53"/>
      <c r="SYP605" s="15"/>
      <c r="SYQ605" s="50"/>
      <c r="SYR605" s="50"/>
      <c r="SYS605" s="46"/>
      <c r="SYT605" s="47"/>
      <c r="SYU605" s="46"/>
      <c r="SYV605" s="48"/>
      <c r="SYW605" s="53"/>
      <c r="SZD605" s="15"/>
      <c r="SZE605" s="50"/>
      <c r="SZF605" s="50"/>
      <c r="SZG605" s="46"/>
      <c r="SZH605" s="47"/>
      <c r="SZI605" s="46"/>
      <c r="SZJ605" s="48"/>
      <c r="SZK605" s="53"/>
      <c r="SZR605" s="15"/>
      <c r="SZS605" s="50"/>
      <c r="SZT605" s="50"/>
      <c r="SZU605" s="46"/>
      <c r="SZV605" s="47"/>
      <c r="SZW605" s="46"/>
      <c r="SZX605" s="48"/>
      <c r="SZY605" s="53"/>
      <c r="TAF605" s="15"/>
      <c r="TAG605" s="50"/>
      <c r="TAH605" s="50"/>
      <c r="TAI605" s="46"/>
      <c r="TAJ605" s="47"/>
      <c r="TAK605" s="46"/>
      <c r="TAL605" s="48"/>
      <c r="TAM605" s="53"/>
      <c r="TAT605" s="15"/>
      <c r="TAU605" s="50"/>
      <c r="TAV605" s="50"/>
      <c r="TAW605" s="46"/>
      <c r="TAX605" s="47"/>
      <c r="TAY605" s="46"/>
      <c r="TAZ605" s="48"/>
      <c r="TBA605" s="53"/>
      <c r="TBH605" s="15"/>
      <c r="TBI605" s="50"/>
      <c r="TBJ605" s="50"/>
      <c r="TBK605" s="46"/>
      <c r="TBL605" s="47"/>
      <c r="TBM605" s="46"/>
      <c r="TBN605" s="48"/>
      <c r="TBO605" s="53"/>
      <c r="TBV605" s="15"/>
      <c r="TBW605" s="50"/>
      <c r="TBX605" s="50"/>
      <c r="TBY605" s="46"/>
      <c r="TBZ605" s="47"/>
      <c r="TCA605" s="46"/>
      <c r="TCB605" s="48"/>
      <c r="TCC605" s="53"/>
      <c r="TCJ605" s="15"/>
      <c r="TCK605" s="50"/>
      <c r="TCL605" s="50"/>
      <c r="TCM605" s="46"/>
      <c r="TCN605" s="47"/>
      <c r="TCO605" s="46"/>
      <c r="TCP605" s="48"/>
      <c r="TCQ605" s="53"/>
      <c r="TCX605" s="15"/>
      <c r="TCY605" s="50"/>
      <c r="TCZ605" s="50"/>
      <c r="TDA605" s="46"/>
      <c r="TDB605" s="47"/>
      <c r="TDC605" s="46"/>
      <c r="TDD605" s="48"/>
      <c r="TDE605" s="53"/>
      <c r="TDL605" s="15"/>
      <c r="TDM605" s="50"/>
      <c r="TDN605" s="50"/>
      <c r="TDO605" s="46"/>
      <c r="TDP605" s="47"/>
      <c r="TDQ605" s="46"/>
      <c r="TDR605" s="48"/>
      <c r="TDS605" s="53"/>
      <c r="TDZ605" s="15"/>
      <c r="TEA605" s="50"/>
      <c r="TEB605" s="50"/>
      <c r="TEC605" s="46"/>
      <c r="TED605" s="47"/>
      <c r="TEE605" s="46"/>
      <c r="TEF605" s="48"/>
      <c r="TEG605" s="53"/>
      <c r="TEN605" s="15"/>
      <c r="TEO605" s="50"/>
      <c r="TEP605" s="50"/>
      <c r="TEQ605" s="46"/>
      <c r="TER605" s="47"/>
      <c r="TES605" s="46"/>
      <c r="TET605" s="48"/>
      <c r="TEU605" s="53"/>
      <c r="TFB605" s="15"/>
      <c r="TFC605" s="50"/>
      <c r="TFD605" s="50"/>
      <c r="TFE605" s="46"/>
      <c r="TFF605" s="47"/>
      <c r="TFG605" s="46"/>
      <c r="TFH605" s="48"/>
      <c r="TFI605" s="53"/>
      <c r="TFP605" s="15"/>
      <c r="TFQ605" s="50"/>
      <c r="TFR605" s="50"/>
      <c r="TFS605" s="46"/>
      <c r="TFT605" s="47"/>
      <c r="TFU605" s="46"/>
      <c r="TFV605" s="48"/>
      <c r="TFW605" s="53"/>
      <c r="TGD605" s="15"/>
      <c r="TGE605" s="50"/>
      <c r="TGF605" s="50"/>
      <c r="TGG605" s="46"/>
      <c r="TGH605" s="47"/>
      <c r="TGI605" s="46"/>
      <c r="TGJ605" s="48"/>
      <c r="TGK605" s="53"/>
      <c r="TGR605" s="15"/>
      <c r="TGS605" s="50"/>
      <c r="TGT605" s="50"/>
      <c r="TGU605" s="46"/>
      <c r="TGV605" s="47"/>
      <c r="TGW605" s="46"/>
      <c r="TGX605" s="48"/>
      <c r="TGY605" s="53"/>
      <c r="THF605" s="15"/>
      <c r="THG605" s="50"/>
      <c r="THH605" s="50"/>
      <c r="THI605" s="46"/>
      <c r="THJ605" s="47"/>
      <c r="THK605" s="46"/>
      <c r="THL605" s="48"/>
      <c r="THM605" s="53"/>
      <c r="THT605" s="15"/>
      <c r="THU605" s="50"/>
      <c r="THV605" s="50"/>
      <c r="THW605" s="46"/>
      <c r="THX605" s="47"/>
      <c r="THY605" s="46"/>
      <c r="THZ605" s="48"/>
      <c r="TIA605" s="53"/>
      <c r="TIH605" s="15"/>
      <c r="TII605" s="50"/>
      <c r="TIJ605" s="50"/>
      <c r="TIK605" s="46"/>
      <c r="TIL605" s="47"/>
      <c r="TIM605" s="46"/>
      <c r="TIN605" s="48"/>
      <c r="TIO605" s="53"/>
      <c r="TIV605" s="15"/>
      <c r="TIW605" s="50"/>
      <c r="TIX605" s="50"/>
      <c r="TIY605" s="46"/>
      <c r="TIZ605" s="47"/>
      <c r="TJA605" s="46"/>
      <c r="TJB605" s="48"/>
      <c r="TJC605" s="53"/>
      <c r="TJJ605" s="15"/>
      <c r="TJK605" s="50"/>
      <c r="TJL605" s="50"/>
      <c r="TJM605" s="46"/>
      <c r="TJN605" s="47"/>
      <c r="TJO605" s="46"/>
      <c r="TJP605" s="48"/>
      <c r="TJQ605" s="53"/>
      <c r="TJX605" s="15"/>
      <c r="TJY605" s="50"/>
      <c r="TJZ605" s="50"/>
      <c r="TKA605" s="46"/>
      <c r="TKB605" s="47"/>
      <c r="TKC605" s="46"/>
      <c r="TKD605" s="48"/>
      <c r="TKE605" s="53"/>
      <c r="TKL605" s="15"/>
      <c r="TKM605" s="50"/>
      <c r="TKN605" s="50"/>
      <c r="TKO605" s="46"/>
      <c r="TKP605" s="47"/>
      <c r="TKQ605" s="46"/>
      <c r="TKR605" s="48"/>
      <c r="TKS605" s="53"/>
      <c r="TKZ605" s="15"/>
      <c r="TLA605" s="50"/>
      <c r="TLB605" s="50"/>
      <c r="TLC605" s="46"/>
      <c r="TLD605" s="47"/>
      <c r="TLE605" s="46"/>
      <c r="TLF605" s="48"/>
      <c r="TLG605" s="53"/>
      <c r="TLN605" s="15"/>
      <c r="TLO605" s="50"/>
      <c r="TLP605" s="50"/>
      <c r="TLQ605" s="46"/>
      <c r="TLR605" s="47"/>
      <c r="TLS605" s="46"/>
      <c r="TLT605" s="48"/>
      <c r="TLU605" s="53"/>
      <c r="TMB605" s="15"/>
      <c r="TMC605" s="50"/>
      <c r="TMD605" s="50"/>
      <c r="TME605" s="46"/>
      <c r="TMF605" s="47"/>
      <c r="TMG605" s="46"/>
      <c r="TMH605" s="48"/>
      <c r="TMI605" s="53"/>
      <c r="TMP605" s="15"/>
      <c r="TMQ605" s="50"/>
      <c r="TMR605" s="50"/>
      <c r="TMS605" s="46"/>
      <c r="TMT605" s="47"/>
      <c r="TMU605" s="46"/>
      <c r="TMV605" s="48"/>
      <c r="TMW605" s="53"/>
      <c r="TND605" s="15"/>
      <c r="TNE605" s="50"/>
      <c r="TNF605" s="50"/>
      <c r="TNG605" s="46"/>
      <c r="TNH605" s="47"/>
      <c r="TNI605" s="46"/>
      <c r="TNJ605" s="48"/>
      <c r="TNK605" s="53"/>
      <c r="TNR605" s="15"/>
      <c r="TNS605" s="50"/>
      <c r="TNT605" s="50"/>
      <c r="TNU605" s="46"/>
      <c r="TNV605" s="47"/>
      <c r="TNW605" s="46"/>
      <c r="TNX605" s="48"/>
      <c r="TNY605" s="53"/>
      <c r="TOF605" s="15"/>
      <c r="TOG605" s="50"/>
      <c r="TOH605" s="50"/>
      <c r="TOI605" s="46"/>
      <c r="TOJ605" s="47"/>
      <c r="TOK605" s="46"/>
      <c r="TOL605" s="48"/>
      <c r="TOM605" s="53"/>
      <c r="TOT605" s="15"/>
      <c r="TOU605" s="50"/>
      <c r="TOV605" s="50"/>
      <c r="TOW605" s="46"/>
      <c r="TOX605" s="47"/>
      <c r="TOY605" s="46"/>
      <c r="TOZ605" s="48"/>
      <c r="TPA605" s="53"/>
      <c r="TPH605" s="15"/>
      <c r="TPI605" s="50"/>
      <c r="TPJ605" s="50"/>
      <c r="TPK605" s="46"/>
      <c r="TPL605" s="47"/>
      <c r="TPM605" s="46"/>
      <c r="TPN605" s="48"/>
      <c r="TPO605" s="53"/>
      <c r="TPV605" s="15"/>
      <c r="TPW605" s="50"/>
      <c r="TPX605" s="50"/>
      <c r="TPY605" s="46"/>
      <c r="TPZ605" s="47"/>
      <c r="TQA605" s="46"/>
      <c r="TQB605" s="48"/>
      <c r="TQC605" s="53"/>
      <c r="TQJ605" s="15"/>
      <c r="TQK605" s="50"/>
      <c r="TQL605" s="50"/>
      <c r="TQM605" s="46"/>
      <c r="TQN605" s="47"/>
      <c r="TQO605" s="46"/>
      <c r="TQP605" s="48"/>
      <c r="TQQ605" s="53"/>
      <c r="TQX605" s="15"/>
      <c r="TQY605" s="50"/>
      <c r="TQZ605" s="50"/>
      <c r="TRA605" s="46"/>
      <c r="TRB605" s="47"/>
      <c r="TRC605" s="46"/>
      <c r="TRD605" s="48"/>
      <c r="TRE605" s="53"/>
      <c r="TRL605" s="15"/>
      <c r="TRM605" s="50"/>
      <c r="TRN605" s="50"/>
      <c r="TRO605" s="46"/>
      <c r="TRP605" s="47"/>
      <c r="TRQ605" s="46"/>
      <c r="TRR605" s="48"/>
      <c r="TRS605" s="53"/>
      <c r="TRZ605" s="15"/>
      <c r="TSA605" s="50"/>
      <c r="TSB605" s="50"/>
      <c r="TSC605" s="46"/>
      <c r="TSD605" s="47"/>
      <c r="TSE605" s="46"/>
      <c r="TSF605" s="48"/>
      <c r="TSG605" s="53"/>
      <c r="TSN605" s="15"/>
      <c r="TSO605" s="50"/>
      <c r="TSP605" s="50"/>
      <c r="TSQ605" s="46"/>
      <c r="TSR605" s="47"/>
      <c r="TSS605" s="46"/>
      <c r="TST605" s="48"/>
      <c r="TSU605" s="53"/>
      <c r="TTB605" s="15"/>
      <c r="TTC605" s="50"/>
      <c r="TTD605" s="50"/>
      <c r="TTE605" s="46"/>
      <c r="TTF605" s="47"/>
      <c r="TTG605" s="46"/>
      <c r="TTH605" s="48"/>
      <c r="TTI605" s="53"/>
      <c r="TTP605" s="15"/>
      <c r="TTQ605" s="50"/>
      <c r="TTR605" s="50"/>
      <c r="TTS605" s="46"/>
      <c r="TTT605" s="47"/>
      <c r="TTU605" s="46"/>
      <c r="TTV605" s="48"/>
      <c r="TTW605" s="53"/>
      <c r="TUD605" s="15"/>
      <c r="TUE605" s="50"/>
      <c r="TUF605" s="50"/>
      <c r="TUG605" s="46"/>
      <c r="TUH605" s="47"/>
      <c r="TUI605" s="46"/>
      <c r="TUJ605" s="48"/>
      <c r="TUK605" s="53"/>
      <c r="TUR605" s="15"/>
      <c r="TUS605" s="50"/>
      <c r="TUT605" s="50"/>
      <c r="TUU605" s="46"/>
      <c r="TUV605" s="47"/>
      <c r="TUW605" s="46"/>
      <c r="TUX605" s="48"/>
      <c r="TUY605" s="53"/>
      <c r="TVF605" s="15"/>
      <c r="TVG605" s="50"/>
      <c r="TVH605" s="50"/>
      <c r="TVI605" s="46"/>
      <c r="TVJ605" s="47"/>
      <c r="TVK605" s="46"/>
      <c r="TVL605" s="48"/>
      <c r="TVM605" s="53"/>
      <c r="TVT605" s="15"/>
      <c r="TVU605" s="50"/>
      <c r="TVV605" s="50"/>
      <c r="TVW605" s="46"/>
      <c r="TVX605" s="47"/>
      <c r="TVY605" s="46"/>
      <c r="TVZ605" s="48"/>
      <c r="TWA605" s="53"/>
      <c r="TWH605" s="15"/>
      <c r="TWI605" s="50"/>
      <c r="TWJ605" s="50"/>
      <c r="TWK605" s="46"/>
      <c r="TWL605" s="47"/>
      <c r="TWM605" s="46"/>
      <c r="TWN605" s="48"/>
      <c r="TWO605" s="53"/>
      <c r="TWV605" s="15"/>
      <c r="TWW605" s="50"/>
      <c r="TWX605" s="50"/>
      <c r="TWY605" s="46"/>
      <c r="TWZ605" s="47"/>
      <c r="TXA605" s="46"/>
      <c r="TXB605" s="48"/>
      <c r="TXC605" s="53"/>
      <c r="TXJ605" s="15"/>
      <c r="TXK605" s="50"/>
      <c r="TXL605" s="50"/>
      <c r="TXM605" s="46"/>
      <c r="TXN605" s="47"/>
      <c r="TXO605" s="46"/>
      <c r="TXP605" s="48"/>
      <c r="TXQ605" s="53"/>
      <c r="TXX605" s="15"/>
      <c r="TXY605" s="50"/>
      <c r="TXZ605" s="50"/>
      <c r="TYA605" s="46"/>
      <c r="TYB605" s="47"/>
      <c r="TYC605" s="46"/>
      <c r="TYD605" s="48"/>
      <c r="TYE605" s="53"/>
      <c r="TYL605" s="15"/>
      <c r="TYM605" s="50"/>
      <c r="TYN605" s="50"/>
      <c r="TYO605" s="46"/>
      <c r="TYP605" s="47"/>
      <c r="TYQ605" s="46"/>
      <c r="TYR605" s="48"/>
      <c r="TYS605" s="53"/>
      <c r="TYZ605" s="15"/>
      <c r="TZA605" s="50"/>
      <c r="TZB605" s="50"/>
      <c r="TZC605" s="46"/>
      <c r="TZD605" s="47"/>
      <c r="TZE605" s="46"/>
      <c r="TZF605" s="48"/>
      <c r="TZG605" s="53"/>
      <c r="TZN605" s="15"/>
      <c r="TZO605" s="50"/>
      <c r="TZP605" s="50"/>
      <c r="TZQ605" s="46"/>
      <c r="TZR605" s="47"/>
      <c r="TZS605" s="46"/>
      <c r="TZT605" s="48"/>
      <c r="TZU605" s="53"/>
      <c r="UAB605" s="15"/>
      <c r="UAC605" s="50"/>
      <c r="UAD605" s="50"/>
      <c r="UAE605" s="46"/>
      <c r="UAF605" s="47"/>
      <c r="UAG605" s="46"/>
      <c r="UAH605" s="48"/>
      <c r="UAI605" s="53"/>
      <c r="UAP605" s="15"/>
      <c r="UAQ605" s="50"/>
      <c r="UAR605" s="50"/>
      <c r="UAS605" s="46"/>
      <c r="UAT605" s="47"/>
      <c r="UAU605" s="46"/>
      <c r="UAV605" s="48"/>
      <c r="UAW605" s="53"/>
      <c r="UBD605" s="15"/>
      <c r="UBE605" s="50"/>
      <c r="UBF605" s="50"/>
      <c r="UBG605" s="46"/>
      <c r="UBH605" s="47"/>
      <c r="UBI605" s="46"/>
      <c r="UBJ605" s="48"/>
      <c r="UBK605" s="53"/>
      <c r="UBR605" s="15"/>
      <c r="UBS605" s="50"/>
      <c r="UBT605" s="50"/>
      <c r="UBU605" s="46"/>
      <c r="UBV605" s="47"/>
      <c r="UBW605" s="46"/>
      <c r="UBX605" s="48"/>
      <c r="UBY605" s="53"/>
      <c r="UCF605" s="15"/>
      <c r="UCG605" s="50"/>
      <c r="UCH605" s="50"/>
      <c r="UCI605" s="46"/>
      <c r="UCJ605" s="47"/>
      <c r="UCK605" s="46"/>
      <c r="UCL605" s="48"/>
      <c r="UCM605" s="53"/>
      <c r="UCT605" s="15"/>
      <c r="UCU605" s="50"/>
      <c r="UCV605" s="50"/>
      <c r="UCW605" s="46"/>
      <c r="UCX605" s="47"/>
      <c r="UCY605" s="46"/>
      <c r="UCZ605" s="48"/>
      <c r="UDA605" s="53"/>
      <c r="UDH605" s="15"/>
      <c r="UDI605" s="50"/>
      <c r="UDJ605" s="50"/>
      <c r="UDK605" s="46"/>
      <c r="UDL605" s="47"/>
      <c r="UDM605" s="46"/>
      <c r="UDN605" s="48"/>
      <c r="UDO605" s="53"/>
      <c r="UDV605" s="15"/>
      <c r="UDW605" s="50"/>
      <c r="UDX605" s="50"/>
      <c r="UDY605" s="46"/>
      <c r="UDZ605" s="47"/>
      <c r="UEA605" s="46"/>
      <c r="UEB605" s="48"/>
      <c r="UEC605" s="53"/>
      <c r="UEJ605" s="15"/>
      <c r="UEK605" s="50"/>
      <c r="UEL605" s="50"/>
      <c r="UEM605" s="46"/>
      <c r="UEN605" s="47"/>
      <c r="UEO605" s="46"/>
      <c r="UEP605" s="48"/>
      <c r="UEQ605" s="53"/>
      <c r="UEX605" s="15"/>
      <c r="UEY605" s="50"/>
      <c r="UEZ605" s="50"/>
      <c r="UFA605" s="46"/>
      <c r="UFB605" s="47"/>
      <c r="UFC605" s="46"/>
      <c r="UFD605" s="48"/>
      <c r="UFE605" s="53"/>
      <c r="UFL605" s="15"/>
      <c r="UFM605" s="50"/>
      <c r="UFN605" s="50"/>
      <c r="UFO605" s="46"/>
      <c r="UFP605" s="47"/>
      <c r="UFQ605" s="46"/>
      <c r="UFR605" s="48"/>
      <c r="UFS605" s="53"/>
      <c r="UFZ605" s="15"/>
      <c r="UGA605" s="50"/>
      <c r="UGB605" s="50"/>
      <c r="UGC605" s="46"/>
      <c r="UGD605" s="47"/>
      <c r="UGE605" s="46"/>
      <c r="UGF605" s="48"/>
      <c r="UGG605" s="53"/>
      <c r="UGN605" s="15"/>
      <c r="UGO605" s="50"/>
      <c r="UGP605" s="50"/>
      <c r="UGQ605" s="46"/>
      <c r="UGR605" s="47"/>
      <c r="UGS605" s="46"/>
      <c r="UGT605" s="48"/>
      <c r="UGU605" s="53"/>
      <c r="UHB605" s="15"/>
      <c r="UHC605" s="50"/>
      <c r="UHD605" s="50"/>
      <c r="UHE605" s="46"/>
      <c r="UHF605" s="47"/>
      <c r="UHG605" s="46"/>
      <c r="UHH605" s="48"/>
      <c r="UHI605" s="53"/>
      <c r="UHP605" s="15"/>
      <c r="UHQ605" s="50"/>
      <c r="UHR605" s="50"/>
      <c r="UHS605" s="46"/>
      <c r="UHT605" s="47"/>
      <c r="UHU605" s="46"/>
      <c r="UHV605" s="48"/>
      <c r="UHW605" s="53"/>
      <c r="UID605" s="15"/>
      <c r="UIE605" s="50"/>
      <c r="UIF605" s="50"/>
      <c r="UIG605" s="46"/>
      <c r="UIH605" s="47"/>
      <c r="UII605" s="46"/>
      <c r="UIJ605" s="48"/>
      <c r="UIK605" s="53"/>
      <c r="UIR605" s="15"/>
      <c r="UIS605" s="50"/>
      <c r="UIT605" s="50"/>
      <c r="UIU605" s="46"/>
      <c r="UIV605" s="47"/>
      <c r="UIW605" s="46"/>
      <c r="UIX605" s="48"/>
      <c r="UIY605" s="53"/>
      <c r="UJF605" s="15"/>
      <c r="UJG605" s="50"/>
      <c r="UJH605" s="50"/>
      <c r="UJI605" s="46"/>
      <c r="UJJ605" s="47"/>
      <c r="UJK605" s="46"/>
      <c r="UJL605" s="48"/>
      <c r="UJM605" s="53"/>
      <c r="UJT605" s="15"/>
      <c r="UJU605" s="50"/>
      <c r="UJV605" s="50"/>
      <c r="UJW605" s="46"/>
      <c r="UJX605" s="47"/>
      <c r="UJY605" s="46"/>
      <c r="UJZ605" s="48"/>
      <c r="UKA605" s="53"/>
      <c r="UKH605" s="15"/>
      <c r="UKI605" s="50"/>
      <c r="UKJ605" s="50"/>
      <c r="UKK605" s="46"/>
      <c r="UKL605" s="47"/>
      <c r="UKM605" s="46"/>
      <c r="UKN605" s="48"/>
      <c r="UKO605" s="53"/>
      <c r="UKV605" s="15"/>
      <c r="UKW605" s="50"/>
      <c r="UKX605" s="50"/>
      <c r="UKY605" s="46"/>
      <c r="UKZ605" s="47"/>
      <c r="ULA605" s="46"/>
      <c r="ULB605" s="48"/>
      <c r="ULC605" s="53"/>
      <c r="ULJ605" s="15"/>
      <c r="ULK605" s="50"/>
      <c r="ULL605" s="50"/>
      <c r="ULM605" s="46"/>
      <c r="ULN605" s="47"/>
      <c r="ULO605" s="46"/>
      <c r="ULP605" s="48"/>
      <c r="ULQ605" s="53"/>
      <c r="ULX605" s="15"/>
      <c r="ULY605" s="50"/>
      <c r="ULZ605" s="50"/>
      <c r="UMA605" s="46"/>
      <c r="UMB605" s="47"/>
      <c r="UMC605" s="46"/>
      <c r="UMD605" s="48"/>
      <c r="UME605" s="53"/>
      <c r="UML605" s="15"/>
      <c r="UMM605" s="50"/>
      <c r="UMN605" s="50"/>
      <c r="UMO605" s="46"/>
      <c r="UMP605" s="47"/>
      <c r="UMQ605" s="46"/>
      <c r="UMR605" s="48"/>
      <c r="UMS605" s="53"/>
      <c r="UMZ605" s="15"/>
      <c r="UNA605" s="50"/>
      <c r="UNB605" s="50"/>
      <c r="UNC605" s="46"/>
      <c r="UND605" s="47"/>
      <c r="UNE605" s="46"/>
      <c r="UNF605" s="48"/>
      <c r="UNG605" s="53"/>
      <c r="UNN605" s="15"/>
      <c r="UNO605" s="50"/>
      <c r="UNP605" s="50"/>
      <c r="UNQ605" s="46"/>
      <c r="UNR605" s="47"/>
      <c r="UNS605" s="46"/>
      <c r="UNT605" s="48"/>
      <c r="UNU605" s="53"/>
      <c r="UOB605" s="15"/>
      <c r="UOC605" s="50"/>
      <c r="UOD605" s="50"/>
      <c r="UOE605" s="46"/>
      <c r="UOF605" s="47"/>
      <c r="UOG605" s="46"/>
      <c r="UOH605" s="48"/>
      <c r="UOI605" s="53"/>
      <c r="UOP605" s="15"/>
      <c r="UOQ605" s="50"/>
      <c r="UOR605" s="50"/>
      <c r="UOS605" s="46"/>
      <c r="UOT605" s="47"/>
      <c r="UOU605" s="46"/>
      <c r="UOV605" s="48"/>
      <c r="UOW605" s="53"/>
      <c r="UPD605" s="15"/>
      <c r="UPE605" s="50"/>
      <c r="UPF605" s="50"/>
      <c r="UPG605" s="46"/>
      <c r="UPH605" s="47"/>
      <c r="UPI605" s="46"/>
      <c r="UPJ605" s="48"/>
      <c r="UPK605" s="53"/>
      <c r="UPR605" s="15"/>
      <c r="UPS605" s="50"/>
      <c r="UPT605" s="50"/>
      <c r="UPU605" s="46"/>
      <c r="UPV605" s="47"/>
      <c r="UPW605" s="46"/>
      <c r="UPX605" s="48"/>
      <c r="UPY605" s="53"/>
      <c r="UQF605" s="15"/>
      <c r="UQG605" s="50"/>
      <c r="UQH605" s="50"/>
      <c r="UQI605" s="46"/>
      <c r="UQJ605" s="47"/>
      <c r="UQK605" s="46"/>
      <c r="UQL605" s="48"/>
      <c r="UQM605" s="53"/>
      <c r="UQT605" s="15"/>
      <c r="UQU605" s="50"/>
      <c r="UQV605" s="50"/>
      <c r="UQW605" s="46"/>
      <c r="UQX605" s="47"/>
      <c r="UQY605" s="46"/>
      <c r="UQZ605" s="48"/>
      <c r="URA605" s="53"/>
      <c r="URH605" s="15"/>
      <c r="URI605" s="50"/>
      <c r="URJ605" s="50"/>
      <c r="URK605" s="46"/>
      <c r="URL605" s="47"/>
      <c r="URM605" s="46"/>
      <c r="URN605" s="48"/>
      <c r="URO605" s="53"/>
      <c r="URV605" s="15"/>
      <c r="URW605" s="50"/>
      <c r="URX605" s="50"/>
      <c r="URY605" s="46"/>
      <c r="URZ605" s="47"/>
      <c r="USA605" s="46"/>
      <c r="USB605" s="48"/>
      <c r="USC605" s="53"/>
      <c r="USJ605" s="15"/>
      <c r="USK605" s="50"/>
      <c r="USL605" s="50"/>
      <c r="USM605" s="46"/>
      <c r="USN605" s="47"/>
      <c r="USO605" s="46"/>
      <c r="USP605" s="48"/>
      <c r="USQ605" s="53"/>
      <c r="USX605" s="15"/>
      <c r="USY605" s="50"/>
      <c r="USZ605" s="50"/>
      <c r="UTA605" s="46"/>
      <c r="UTB605" s="47"/>
      <c r="UTC605" s="46"/>
      <c r="UTD605" s="48"/>
      <c r="UTE605" s="53"/>
      <c r="UTL605" s="15"/>
      <c r="UTM605" s="50"/>
      <c r="UTN605" s="50"/>
      <c r="UTO605" s="46"/>
      <c r="UTP605" s="47"/>
      <c r="UTQ605" s="46"/>
      <c r="UTR605" s="48"/>
      <c r="UTS605" s="53"/>
      <c r="UTZ605" s="15"/>
      <c r="UUA605" s="50"/>
      <c r="UUB605" s="50"/>
      <c r="UUC605" s="46"/>
      <c r="UUD605" s="47"/>
      <c r="UUE605" s="46"/>
      <c r="UUF605" s="48"/>
      <c r="UUG605" s="53"/>
      <c r="UUN605" s="15"/>
      <c r="UUO605" s="50"/>
      <c r="UUP605" s="50"/>
      <c r="UUQ605" s="46"/>
      <c r="UUR605" s="47"/>
      <c r="UUS605" s="46"/>
      <c r="UUT605" s="48"/>
      <c r="UUU605" s="53"/>
      <c r="UVB605" s="15"/>
      <c r="UVC605" s="50"/>
      <c r="UVD605" s="50"/>
      <c r="UVE605" s="46"/>
      <c r="UVF605" s="47"/>
      <c r="UVG605" s="46"/>
      <c r="UVH605" s="48"/>
      <c r="UVI605" s="53"/>
      <c r="UVP605" s="15"/>
      <c r="UVQ605" s="50"/>
      <c r="UVR605" s="50"/>
      <c r="UVS605" s="46"/>
      <c r="UVT605" s="47"/>
      <c r="UVU605" s="46"/>
      <c r="UVV605" s="48"/>
      <c r="UVW605" s="53"/>
      <c r="UWD605" s="15"/>
      <c r="UWE605" s="50"/>
      <c r="UWF605" s="50"/>
      <c r="UWG605" s="46"/>
      <c r="UWH605" s="47"/>
      <c r="UWI605" s="46"/>
      <c r="UWJ605" s="48"/>
      <c r="UWK605" s="53"/>
      <c r="UWR605" s="15"/>
      <c r="UWS605" s="50"/>
      <c r="UWT605" s="50"/>
      <c r="UWU605" s="46"/>
      <c r="UWV605" s="47"/>
      <c r="UWW605" s="46"/>
      <c r="UWX605" s="48"/>
      <c r="UWY605" s="53"/>
      <c r="UXF605" s="15"/>
      <c r="UXG605" s="50"/>
      <c r="UXH605" s="50"/>
      <c r="UXI605" s="46"/>
      <c r="UXJ605" s="47"/>
      <c r="UXK605" s="46"/>
      <c r="UXL605" s="48"/>
      <c r="UXM605" s="53"/>
      <c r="UXT605" s="15"/>
      <c r="UXU605" s="50"/>
      <c r="UXV605" s="50"/>
      <c r="UXW605" s="46"/>
      <c r="UXX605" s="47"/>
      <c r="UXY605" s="46"/>
      <c r="UXZ605" s="48"/>
      <c r="UYA605" s="53"/>
      <c r="UYH605" s="15"/>
      <c r="UYI605" s="50"/>
      <c r="UYJ605" s="50"/>
      <c r="UYK605" s="46"/>
      <c r="UYL605" s="47"/>
      <c r="UYM605" s="46"/>
      <c r="UYN605" s="48"/>
      <c r="UYO605" s="53"/>
      <c r="UYV605" s="15"/>
      <c r="UYW605" s="50"/>
      <c r="UYX605" s="50"/>
      <c r="UYY605" s="46"/>
      <c r="UYZ605" s="47"/>
      <c r="UZA605" s="46"/>
      <c r="UZB605" s="48"/>
      <c r="UZC605" s="53"/>
      <c r="UZJ605" s="15"/>
      <c r="UZK605" s="50"/>
      <c r="UZL605" s="50"/>
      <c r="UZM605" s="46"/>
      <c r="UZN605" s="47"/>
      <c r="UZO605" s="46"/>
      <c r="UZP605" s="48"/>
      <c r="UZQ605" s="53"/>
      <c r="UZX605" s="15"/>
      <c r="UZY605" s="50"/>
      <c r="UZZ605" s="50"/>
      <c r="VAA605" s="46"/>
      <c r="VAB605" s="47"/>
      <c r="VAC605" s="46"/>
      <c r="VAD605" s="48"/>
      <c r="VAE605" s="53"/>
      <c r="VAL605" s="15"/>
      <c r="VAM605" s="50"/>
      <c r="VAN605" s="50"/>
      <c r="VAO605" s="46"/>
      <c r="VAP605" s="47"/>
      <c r="VAQ605" s="46"/>
      <c r="VAR605" s="48"/>
      <c r="VAS605" s="53"/>
      <c r="VAZ605" s="15"/>
      <c r="VBA605" s="50"/>
      <c r="VBB605" s="50"/>
      <c r="VBC605" s="46"/>
      <c r="VBD605" s="47"/>
      <c r="VBE605" s="46"/>
      <c r="VBF605" s="48"/>
      <c r="VBG605" s="53"/>
      <c r="VBN605" s="15"/>
      <c r="VBO605" s="50"/>
      <c r="VBP605" s="50"/>
      <c r="VBQ605" s="46"/>
      <c r="VBR605" s="47"/>
      <c r="VBS605" s="46"/>
      <c r="VBT605" s="48"/>
      <c r="VBU605" s="53"/>
      <c r="VCB605" s="15"/>
      <c r="VCC605" s="50"/>
      <c r="VCD605" s="50"/>
      <c r="VCE605" s="46"/>
      <c r="VCF605" s="47"/>
      <c r="VCG605" s="46"/>
      <c r="VCH605" s="48"/>
      <c r="VCI605" s="53"/>
      <c r="VCP605" s="15"/>
      <c r="VCQ605" s="50"/>
      <c r="VCR605" s="50"/>
      <c r="VCS605" s="46"/>
      <c r="VCT605" s="47"/>
      <c r="VCU605" s="46"/>
      <c r="VCV605" s="48"/>
      <c r="VCW605" s="53"/>
      <c r="VDD605" s="15"/>
      <c r="VDE605" s="50"/>
      <c r="VDF605" s="50"/>
      <c r="VDG605" s="46"/>
      <c r="VDH605" s="47"/>
      <c r="VDI605" s="46"/>
      <c r="VDJ605" s="48"/>
      <c r="VDK605" s="53"/>
      <c r="VDR605" s="15"/>
      <c r="VDS605" s="50"/>
      <c r="VDT605" s="50"/>
      <c r="VDU605" s="46"/>
      <c r="VDV605" s="47"/>
      <c r="VDW605" s="46"/>
      <c r="VDX605" s="48"/>
      <c r="VDY605" s="53"/>
      <c r="VEF605" s="15"/>
      <c r="VEG605" s="50"/>
      <c r="VEH605" s="50"/>
      <c r="VEI605" s="46"/>
      <c r="VEJ605" s="47"/>
      <c r="VEK605" s="46"/>
      <c r="VEL605" s="48"/>
      <c r="VEM605" s="53"/>
      <c r="VET605" s="15"/>
      <c r="VEU605" s="50"/>
      <c r="VEV605" s="50"/>
      <c r="VEW605" s="46"/>
      <c r="VEX605" s="47"/>
      <c r="VEY605" s="46"/>
      <c r="VEZ605" s="48"/>
      <c r="VFA605" s="53"/>
      <c r="VFH605" s="15"/>
      <c r="VFI605" s="50"/>
      <c r="VFJ605" s="50"/>
      <c r="VFK605" s="46"/>
      <c r="VFL605" s="47"/>
      <c r="VFM605" s="46"/>
      <c r="VFN605" s="48"/>
      <c r="VFO605" s="53"/>
      <c r="VFV605" s="15"/>
      <c r="VFW605" s="50"/>
      <c r="VFX605" s="50"/>
      <c r="VFY605" s="46"/>
      <c r="VFZ605" s="47"/>
      <c r="VGA605" s="46"/>
      <c r="VGB605" s="48"/>
      <c r="VGC605" s="53"/>
      <c r="VGJ605" s="15"/>
      <c r="VGK605" s="50"/>
      <c r="VGL605" s="50"/>
      <c r="VGM605" s="46"/>
      <c r="VGN605" s="47"/>
      <c r="VGO605" s="46"/>
      <c r="VGP605" s="48"/>
      <c r="VGQ605" s="53"/>
      <c r="VGX605" s="15"/>
      <c r="VGY605" s="50"/>
      <c r="VGZ605" s="50"/>
      <c r="VHA605" s="46"/>
      <c r="VHB605" s="47"/>
      <c r="VHC605" s="46"/>
      <c r="VHD605" s="48"/>
      <c r="VHE605" s="53"/>
      <c r="VHL605" s="15"/>
      <c r="VHM605" s="50"/>
      <c r="VHN605" s="50"/>
      <c r="VHO605" s="46"/>
      <c r="VHP605" s="47"/>
      <c r="VHQ605" s="46"/>
      <c r="VHR605" s="48"/>
      <c r="VHS605" s="53"/>
      <c r="VHZ605" s="15"/>
      <c r="VIA605" s="50"/>
      <c r="VIB605" s="50"/>
      <c r="VIC605" s="46"/>
      <c r="VID605" s="47"/>
      <c r="VIE605" s="46"/>
      <c r="VIF605" s="48"/>
      <c r="VIG605" s="53"/>
      <c r="VIN605" s="15"/>
      <c r="VIO605" s="50"/>
      <c r="VIP605" s="50"/>
      <c r="VIQ605" s="46"/>
      <c r="VIR605" s="47"/>
      <c r="VIS605" s="46"/>
      <c r="VIT605" s="48"/>
      <c r="VIU605" s="53"/>
      <c r="VJB605" s="15"/>
      <c r="VJC605" s="50"/>
      <c r="VJD605" s="50"/>
      <c r="VJE605" s="46"/>
      <c r="VJF605" s="47"/>
      <c r="VJG605" s="46"/>
      <c r="VJH605" s="48"/>
      <c r="VJI605" s="53"/>
      <c r="VJP605" s="15"/>
      <c r="VJQ605" s="50"/>
      <c r="VJR605" s="50"/>
      <c r="VJS605" s="46"/>
      <c r="VJT605" s="47"/>
      <c r="VJU605" s="46"/>
      <c r="VJV605" s="48"/>
      <c r="VJW605" s="53"/>
      <c r="VKD605" s="15"/>
      <c r="VKE605" s="50"/>
      <c r="VKF605" s="50"/>
      <c r="VKG605" s="46"/>
      <c r="VKH605" s="47"/>
      <c r="VKI605" s="46"/>
      <c r="VKJ605" s="48"/>
      <c r="VKK605" s="53"/>
      <c r="VKR605" s="15"/>
      <c r="VKS605" s="50"/>
      <c r="VKT605" s="50"/>
      <c r="VKU605" s="46"/>
      <c r="VKV605" s="47"/>
      <c r="VKW605" s="46"/>
      <c r="VKX605" s="48"/>
      <c r="VKY605" s="53"/>
      <c r="VLF605" s="15"/>
      <c r="VLG605" s="50"/>
      <c r="VLH605" s="50"/>
      <c r="VLI605" s="46"/>
      <c r="VLJ605" s="47"/>
      <c r="VLK605" s="46"/>
      <c r="VLL605" s="48"/>
      <c r="VLM605" s="53"/>
      <c r="VLT605" s="15"/>
      <c r="VLU605" s="50"/>
      <c r="VLV605" s="50"/>
      <c r="VLW605" s="46"/>
      <c r="VLX605" s="47"/>
      <c r="VLY605" s="46"/>
      <c r="VLZ605" s="48"/>
      <c r="VMA605" s="53"/>
      <c r="VMH605" s="15"/>
      <c r="VMI605" s="50"/>
      <c r="VMJ605" s="50"/>
      <c r="VMK605" s="46"/>
      <c r="VML605" s="47"/>
      <c r="VMM605" s="46"/>
      <c r="VMN605" s="48"/>
      <c r="VMO605" s="53"/>
      <c r="VMV605" s="15"/>
      <c r="VMW605" s="50"/>
      <c r="VMX605" s="50"/>
      <c r="VMY605" s="46"/>
      <c r="VMZ605" s="47"/>
      <c r="VNA605" s="46"/>
      <c r="VNB605" s="48"/>
      <c r="VNC605" s="53"/>
      <c r="VNJ605" s="15"/>
      <c r="VNK605" s="50"/>
      <c r="VNL605" s="50"/>
      <c r="VNM605" s="46"/>
      <c r="VNN605" s="47"/>
      <c r="VNO605" s="46"/>
      <c r="VNP605" s="48"/>
      <c r="VNQ605" s="53"/>
      <c r="VNX605" s="15"/>
      <c r="VNY605" s="50"/>
      <c r="VNZ605" s="50"/>
      <c r="VOA605" s="46"/>
      <c r="VOB605" s="47"/>
      <c r="VOC605" s="46"/>
      <c r="VOD605" s="48"/>
      <c r="VOE605" s="53"/>
      <c r="VOL605" s="15"/>
      <c r="VOM605" s="50"/>
      <c r="VON605" s="50"/>
      <c r="VOO605" s="46"/>
      <c r="VOP605" s="47"/>
      <c r="VOQ605" s="46"/>
      <c r="VOR605" s="48"/>
      <c r="VOS605" s="53"/>
      <c r="VOZ605" s="15"/>
      <c r="VPA605" s="50"/>
      <c r="VPB605" s="50"/>
      <c r="VPC605" s="46"/>
      <c r="VPD605" s="47"/>
      <c r="VPE605" s="46"/>
      <c r="VPF605" s="48"/>
      <c r="VPG605" s="53"/>
      <c r="VPN605" s="15"/>
      <c r="VPO605" s="50"/>
      <c r="VPP605" s="50"/>
      <c r="VPQ605" s="46"/>
      <c r="VPR605" s="47"/>
      <c r="VPS605" s="46"/>
      <c r="VPT605" s="48"/>
      <c r="VPU605" s="53"/>
      <c r="VQB605" s="15"/>
      <c r="VQC605" s="50"/>
      <c r="VQD605" s="50"/>
      <c r="VQE605" s="46"/>
      <c r="VQF605" s="47"/>
      <c r="VQG605" s="46"/>
      <c r="VQH605" s="48"/>
      <c r="VQI605" s="53"/>
      <c r="VQP605" s="15"/>
      <c r="VQQ605" s="50"/>
      <c r="VQR605" s="50"/>
      <c r="VQS605" s="46"/>
      <c r="VQT605" s="47"/>
      <c r="VQU605" s="46"/>
      <c r="VQV605" s="48"/>
      <c r="VQW605" s="53"/>
      <c r="VRD605" s="15"/>
      <c r="VRE605" s="50"/>
      <c r="VRF605" s="50"/>
      <c r="VRG605" s="46"/>
      <c r="VRH605" s="47"/>
      <c r="VRI605" s="46"/>
      <c r="VRJ605" s="48"/>
      <c r="VRK605" s="53"/>
      <c r="VRR605" s="15"/>
      <c r="VRS605" s="50"/>
      <c r="VRT605" s="50"/>
      <c r="VRU605" s="46"/>
      <c r="VRV605" s="47"/>
      <c r="VRW605" s="46"/>
      <c r="VRX605" s="48"/>
      <c r="VRY605" s="53"/>
      <c r="VSF605" s="15"/>
      <c r="VSG605" s="50"/>
      <c r="VSH605" s="50"/>
      <c r="VSI605" s="46"/>
      <c r="VSJ605" s="47"/>
      <c r="VSK605" s="46"/>
      <c r="VSL605" s="48"/>
      <c r="VSM605" s="53"/>
      <c r="VST605" s="15"/>
      <c r="VSU605" s="50"/>
      <c r="VSV605" s="50"/>
      <c r="VSW605" s="46"/>
      <c r="VSX605" s="47"/>
      <c r="VSY605" s="46"/>
      <c r="VSZ605" s="48"/>
      <c r="VTA605" s="53"/>
      <c r="VTH605" s="15"/>
      <c r="VTI605" s="50"/>
      <c r="VTJ605" s="50"/>
      <c r="VTK605" s="46"/>
      <c r="VTL605" s="47"/>
      <c r="VTM605" s="46"/>
      <c r="VTN605" s="48"/>
      <c r="VTO605" s="53"/>
      <c r="VTV605" s="15"/>
      <c r="VTW605" s="50"/>
      <c r="VTX605" s="50"/>
      <c r="VTY605" s="46"/>
      <c r="VTZ605" s="47"/>
      <c r="VUA605" s="46"/>
      <c r="VUB605" s="48"/>
      <c r="VUC605" s="53"/>
      <c r="VUJ605" s="15"/>
      <c r="VUK605" s="50"/>
      <c r="VUL605" s="50"/>
      <c r="VUM605" s="46"/>
      <c r="VUN605" s="47"/>
      <c r="VUO605" s="46"/>
      <c r="VUP605" s="48"/>
      <c r="VUQ605" s="53"/>
      <c r="VUX605" s="15"/>
      <c r="VUY605" s="50"/>
      <c r="VUZ605" s="50"/>
      <c r="VVA605" s="46"/>
      <c r="VVB605" s="47"/>
      <c r="VVC605" s="46"/>
      <c r="VVD605" s="48"/>
      <c r="VVE605" s="53"/>
      <c r="VVL605" s="15"/>
      <c r="VVM605" s="50"/>
      <c r="VVN605" s="50"/>
      <c r="VVO605" s="46"/>
      <c r="VVP605" s="47"/>
      <c r="VVQ605" s="46"/>
      <c r="VVR605" s="48"/>
      <c r="VVS605" s="53"/>
      <c r="VVZ605" s="15"/>
      <c r="VWA605" s="50"/>
      <c r="VWB605" s="50"/>
      <c r="VWC605" s="46"/>
      <c r="VWD605" s="47"/>
      <c r="VWE605" s="46"/>
      <c r="VWF605" s="48"/>
      <c r="VWG605" s="53"/>
      <c r="VWN605" s="15"/>
      <c r="VWO605" s="50"/>
      <c r="VWP605" s="50"/>
      <c r="VWQ605" s="46"/>
      <c r="VWR605" s="47"/>
      <c r="VWS605" s="46"/>
      <c r="VWT605" s="48"/>
      <c r="VWU605" s="53"/>
      <c r="VXB605" s="15"/>
      <c r="VXC605" s="50"/>
      <c r="VXD605" s="50"/>
      <c r="VXE605" s="46"/>
      <c r="VXF605" s="47"/>
      <c r="VXG605" s="46"/>
      <c r="VXH605" s="48"/>
      <c r="VXI605" s="53"/>
      <c r="VXP605" s="15"/>
      <c r="VXQ605" s="50"/>
      <c r="VXR605" s="50"/>
      <c r="VXS605" s="46"/>
      <c r="VXT605" s="47"/>
      <c r="VXU605" s="46"/>
      <c r="VXV605" s="48"/>
      <c r="VXW605" s="53"/>
      <c r="VYD605" s="15"/>
      <c r="VYE605" s="50"/>
      <c r="VYF605" s="50"/>
      <c r="VYG605" s="46"/>
      <c r="VYH605" s="47"/>
      <c r="VYI605" s="46"/>
      <c r="VYJ605" s="48"/>
      <c r="VYK605" s="53"/>
      <c r="VYR605" s="15"/>
      <c r="VYS605" s="50"/>
      <c r="VYT605" s="50"/>
      <c r="VYU605" s="46"/>
      <c r="VYV605" s="47"/>
      <c r="VYW605" s="46"/>
      <c r="VYX605" s="48"/>
      <c r="VYY605" s="53"/>
      <c r="VZF605" s="15"/>
      <c r="VZG605" s="50"/>
      <c r="VZH605" s="50"/>
      <c r="VZI605" s="46"/>
      <c r="VZJ605" s="47"/>
      <c r="VZK605" s="46"/>
      <c r="VZL605" s="48"/>
      <c r="VZM605" s="53"/>
      <c r="VZT605" s="15"/>
      <c r="VZU605" s="50"/>
      <c r="VZV605" s="50"/>
      <c r="VZW605" s="46"/>
      <c r="VZX605" s="47"/>
      <c r="VZY605" s="46"/>
      <c r="VZZ605" s="48"/>
      <c r="WAA605" s="53"/>
      <c r="WAH605" s="15"/>
      <c r="WAI605" s="50"/>
      <c r="WAJ605" s="50"/>
      <c r="WAK605" s="46"/>
      <c r="WAL605" s="47"/>
      <c r="WAM605" s="46"/>
      <c r="WAN605" s="48"/>
      <c r="WAO605" s="53"/>
      <c r="WAV605" s="15"/>
      <c r="WAW605" s="50"/>
      <c r="WAX605" s="50"/>
      <c r="WAY605" s="46"/>
      <c r="WAZ605" s="47"/>
      <c r="WBA605" s="46"/>
      <c r="WBB605" s="48"/>
      <c r="WBC605" s="53"/>
      <c r="WBJ605" s="15"/>
      <c r="WBK605" s="50"/>
      <c r="WBL605" s="50"/>
      <c r="WBM605" s="46"/>
      <c r="WBN605" s="47"/>
      <c r="WBO605" s="46"/>
      <c r="WBP605" s="48"/>
      <c r="WBQ605" s="53"/>
      <c r="WBX605" s="15"/>
      <c r="WBY605" s="50"/>
      <c r="WBZ605" s="50"/>
      <c r="WCA605" s="46"/>
      <c r="WCB605" s="47"/>
      <c r="WCC605" s="46"/>
      <c r="WCD605" s="48"/>
      <c r="WCE605" s="53"/>
      <c r="WCL605" s="15"/>
      <c r="WCM605" s="50"/>
      <c r="WCN605" s="50"/>
      <c r="WCO605" s="46"/>
      <c r="WCP605" s="47"/>
      <c r="WCQ605" s="46"/>
      <c r="WCR605" s="48"/>
      <c r="WCS605" s="53"/>
      <c r="WCZ605" s="15"/>
      <c r="WDA605" s="50"/>
      <c r="WDB605" s="50"/>
      <c r="WDC605" s="46"/>
      <c r="WDD605" s="47"/>
      <c r="WDE605" s="46"/>
      <c r="WDF605" s="48"/>
      <c r="WDG605" s="53"/>
      <c r="WDN605" s="15"/>
      <c r="WDO605" s="50"/>
      <c r="WDP605" s="50"/>
      <c r="WDQ605" s="46"/>
      <c r="WDR605" s="47"/>
      <c r="WDS605" s="46"/>
      <c r="WDT605" s="48"/>
      <c r="WDU605" s="53"/>
      <c r="WEB605" s="15"/>
      <c r="WEC605" s="50"/>
      <c r="WED605" s="50"/>
      <c r="WEE605" s="46"/>
      <c r="WEF605" s="47"/>
      <c r="WEG605" s="46"/>
      <c r="WEH605" s="48"/>
      <c r="WEI605" s="53"/>
      <c r="WEP605" s="15"/>
      <c r="WEQ605" s="50"/>
      <c r="WER605" s="50"/>
      <c r="WES605" s="46"/>
      <c r="WET605" s="47"/>
      <c r="WEU605" s="46"/>
      <c r="WEV605" s="48"/>
      <c r="WEW605" s="53"/>
      <c r="WFD605" s="15"/>
      <c r="WFE605" s="50"/>
      <c r="WFF605" s="50"/>
      <c r="WFG605" s="46"/>
      <c r="WFH605" s="47"/>
      <c r="WFI605" s="46"/>
      <c r="WFJ605" s="48"/>
      <c r="WFK605" s="53"/>
      <c r="WFR605" s="15"/>
      <c r="WFS605" s="50"/>
      <c r="WFT605" s="50"/>
      <c r="WFU605" s="46"/>
      <c r="WFV605" s="47"/>
      <c r="WFW605" s="46"/>
      <c r="WFX605" s="48"/>
      <c r="WFY605" s="53"/>
      <c r="WGF605" s="15"/>
      <c r="WGG605" s="50"/>
      <c r="WGH605" s="50"/>
      <c r="WGI605" s="46"/>
      <c r="WGJ605" s="47"/>
      <c r="WGK605" s="46"/>
      <c r="WGL605" s="48"/>
      <c r="WGM605" s="53"/>
      <c r="WGT605" s="15"/>
      <c r="WGU605" s="50"/>
      <c r="WGV605" s="50"/>
      <c r="WGW605" s="46"/>
      <c r="WGX605" s="47"/>
      <c r="WGY605" s="46"/>
      <c r="WGZ605" s="48"/>
      <c r="WHA605" s="53"/>
      <c r="WHH605" s="15"/>
      <c r="WHI605" s="50"/>
      <c r="WHJ605" s="50"/>
      <c r="WHK605" s="46"/>
      <c r="WHL605" s="47"/>
      <c r="WHM605" s="46"/>
      <c r="WHN605" s="48"/>
      <c r="WHO605" s="53"/>
      <c r="WHV605" s="15"/>
      <c r="WHW605" s="50"/>
      <c r="WHX605" s="50"/>
      <c r="WHY605" s="46"/>
      <c r="WHZ605" s="47"/>
      <c r="WIA605" s="46"/>
      <c r="WIB605" s="48"/>
      <c r="WIC605" s="53"/>
      <c r="WIJ605" s="15"/>
      <c r="WIK605" s="50"/>
      <c r="WIL605" s="50"/>
      <c r="WIM605" s="46"/>
      <c r="WIN605" s="47"/>
      <c r="WIO605" s="46"/>
      <c r="WIP605" s="48"/>
      <c r="WIQ605" s="53"/>
      <c r="WIX605" s="15"/>
      <c r="WIY605" s="50"/>
      <c r="WIZ605" s="50"/>
      <c r="WJA605" s="46"/>
      <c r="WJB605" s="47"/>
      <c r="WJC605" s="46"/>
      <c r="WJD605" s="48"/>
      <c r="WJE605" s="53"/>
      <c r="WJL605" s="15"/>
      <c r="WJM605" s="50"/>
      <c r="WJN605" s="50"/>
      <c r="WJO605" s="46"/>
      <c r="WJP605" s="47"/>
      <c r="WJQ605" s="46"/>
      <c r="WJR605" s="48"/>
      <c r="WJS605" s="53"/>
      <c r="WJZ605" s="15"/>
      <c r="WKA605" s="50"/>
      <c r="WKB605" s="50"/>
      <c r="WKC605" s="46"/>
      <c r="WKD605" s="47"/>
      <c r="WKE605" s="46"/>
      <c r="WKF605" s="48"/>
      <c r="WKG605" s="53"/>
      <c r="WKN605" s="15"/>
      <c r="WKO605" s="50"/>
      <c r="WKP605" s="50"/>
      <c r="WKQ605" s="46"/>
      <c r="WKR605" s="47"/>
      <c r="WKS605" s="46"/>
      <c r="WKT605" s="48"/>
      <c r="WKU605" s="53"/>
      <c r="WLB605" s="15"/>
      <c r="WLC605" s="50"/>
      <c r="WLD605" s="50"/>
      <c r="WLE605" s="46"/>
      <c r="WLF605" s="47"/>
      <c r="WLG605" s="46"/>
      <c r="WLH605" s="48"/>
      <c r="WLI605" s="53"/>
      <c r="WLP605" s="15"/>
      <c r="WLQ605" s="50"/>
      <c r="WLR605" s="50"/>
      <c r="WLS605" s="46"/>
      <c r="WLT605" s="47"/>
      <c r="WLU605" s="46"/>
      <c r="WLV605" s="48"/>
      <c r="WLW605" s="53"/>
      <c r="WMD605" s="15"/>
      <c r="WME605" s="50"/>
      <c r="WMF605" s="50"/>
      <c r="WMG605" s="46"/>
      <c r="WMH605" s="47"/>
      <c r="WMI605" s="46"/>
      <c r="WMJ605" s="48"/>
      <c r="WMK605" s="53"/>
      <c r="WMR605" s="15"/>
      <c r="WMS605" s="50"/>
      <c r="WMT605" s="50"/>
      <c r="WMU605" s="46"/>
      <c r="WMV605" s="47"/>
      <c r="WMW605" s="46"/>
      <c r="WMX605" s="48"/>
      <c r="WMY605" s="53"/>
      <c r="WNF605" s="15"/>
      <c r="WNG605" s="50"/>
      <c r="WNH605" s="50"/>
      <c r="WNI605" s="46"/>
      <c r="WNJ605" s="47"/>
      <c r="WNK605" s="46"/>
      <c r="WNL605" s="48"/>
      <c r="WNM605" s="53"/>
      <c r="WNT605" s="15"/>
      <c r="WNU605" s="50"/>
      <c r="WNV605" s="50"/>
      <c r="WNW605" s="46"/>
      <c r="WNX605" s="47"/>
      <c r="WNY605" s="46"/>
      <c r="WNZ605" s="48"/>
      <c r="WOA605" s="53"/>
      <c r="WOH605" s="15"/>
      <c r="WOI605" s="50"/>
      <c r="WOJ605" s="50"/>
      <c r="WOK605" s="46"/>
      <c r="WOL605" s="47"/>
      <c r="WOM605" s="46"/>
      <c r="WON605" s="48"/>
      <c r="WOO605" s="53"/>
      <c r="WOV605" s="15"/>
      <c r="WOW605" s="50"/>
      <c r="WOX605" s="50"/>
      <c r="WOY605" s="46"/>
      <c r="WOZ605" s="47"/>
      <c r="WPA605" s="46"/>
      <c r="WPB605" s="48"/>
      <c r="WPC605" s="53"/>
      <c r="WPJ605" s="15"/>
      <c r="WPK605" s="50"/>
      <c r="WPL605" s="50"/>
      <c r="WPM605" s="46"/>
      <c r="WPN605" s="47"/>
      <c r="WPO605" s="46"/>
      <c r="WPP605" s="48"/>
      <c r="WPQ605" s="53"/>
      <c r="WPX605" s="15"/>
      <c r="WPY605" s="50"/>
      <c r="WPZ605" s="50"/>
      <c r="WQA605" s="46"/>
      <c r="WQB605" s="47"/>
      <c r="WQC605" s="46"/>
      <c r="WQD605" s="48"/>
      <c r="WQE605" s="53"/>
      <c r="WQL605" s="15"/>
      <c r="WQM605" s="50"/>
      <c r="WQN605" s="50"/>
      <c r="WQO605" s="46"/>
      <c r="WQP605" s="47"/>
      <c r="WQQ605" s="46"/>
      <c r="WQR605" s="48"/>
      <c r="WQS605" s="53"/>
      <c r="WQZ605" s="15"/>
      <c r="WRA605" s="50"/>
      <c r="WRB605" s="50"/>
      <c r="WRC605" s="46"/>
      <c r="WRD605" s="47"/>
      <c r="WRE605" s="46"/>
      <c r="WRF605" s="48"/>
      <c r="WRG605" s="53"/>
      <c r="WRN605" s="15"/>
      <c r="WRO605" s="50"/>
      <c r="WRP605" s="50"/>
      <c r="WRQ605" s="46"/>
      <c r="WRR605" s="47"/>
      <c r="WRS605" s="46"/>
      <c r="WRT605" s="48"/>
      <c r="WRU605" s="53"/>
      <c r="WSB605" s="15"/>
      <c r="WSC605" s="50"/>
      <c r="WSD605" s="50"/>
      <c r="WSE605" s="46"/>
      <c r="WSF605" s="47"/>
      <c r="WSG605" s="46"/>
      <c r="WSH605" s="48"/>
      <c r="WSI605" s="53"/>
      <c r="WSP605" s="15"/>
      <c r="WSQ605" s="50"/>
      <c r="WSR605" s="50"/>
      <c r="WSS605" s="46"/>
      <c r="WST605" s="47"/>
      <c r="WSU605" s="46"/>
      <c r="WSV605" s="48"/>
      <c r="WSW605" s="53"/>
      <c r="WTD605" s="15"/>
      <c r="WTE605" s="50"/>
      <c r="WTF605" s="50"/>
      <c r="WTG605" s="46"/>
      <c r="WTH605" s="47"/>
      <c r="WTI605" s="46"/>
      <c r="WTJ605" s="48"/>
      <c r="WTK605" s="53"/>
      <c r="WTR605" s="15"/>
      <c r="WTS605" s="50"/>
      <c r="WTT605" s="50"/>
      <c r="WTU605" s="46"/>
      <c r="WTV605" s="47"/>
      <c r="WTW605" s="46"/>
      <c r="WTX605" s="48"/>
      <c r="WTY605" s="53"/>
      <c r="WUF605" s="15"/>
      <c r="WUG605" s="50"/>
      <c r="WUH605" s="50"/>
      <c r="WUI605" s="46"/>
      <c r="WUJ605" s="47"/>
      <c r="WUK605" s="46"/>
      <c r="WUL605" s="48"/>
      <c r="WUM605" s="53"/>
      <c r="WUT605" s="15"/>
      <c r="WUU605" s="50"/>
      <c r="WUV605" s="50"/>
      <c r="WUW605" s="46"/>
      <c r="WUX605" s="47"/>
      <c r="WUY605" s="46"/>
      <c r="WUZ605" s="48"/>
      <c r="WVA605" s="53"/>
      <c r="WVH605" s="15"/>
      <c r="WVI605" s="50"/>
      <c r="WVJ605" s="50"/>
      <c r="WVK605" s="46"/>
      <c r="WVL605" s="47"/>
      <c r="WVM605" s="46"/>
      <c r="WVN605" s="48"/>
      <c r="WVO605" s="53"/>
      <c r="WVV605" s="15"/>
      <c r="WVW605" s="50"/>
      <c r="WVX605" s="50"/>
      <c r="WVY605" s="46"/>
      <c r="WVZ605" s="47"/>
      <c r="WWA605" s="46"/>
      <c r="WWB605" s="48"/>
      <c r="WWC605" s="53"/>
      <c r="WWJ605" s="15"/>
      <c r="WWK605" s="50"/>
      <c r="WWL605" s="50"/>
      <c r="WWM605" s="46"/>
      <c r="WWN605" s="47"/>
      <c r="WWO605" s="46"/>
      <c r="WWP605" s="48"/>
      <c r="WWQ605" s="53"/>
      <c r="WWX605" s="15"/>
      <c r="WWY605" s="50"/>
      <c r="WWZ605" s="50"/>
      <c r="WXA605" s="46"/>
      <c r="WXB605" s="47"/>
      <c r="WXC605" s="46"/>
      <c r="WXD605" s="48"/>
      <c r="WXE605" s="53"/>
      <c r="WXL605" s="15"/>
      <c r="WXM605" s="50"/>
      <c r="WXN605" s="50"/>
      <c r="WXO605" s="46"/>
      <c r="WXP605" s="47"/>
      <c r="WXQ605" s="46"/>
      <c r="WXR605" s="48"/>
      <c r="WXS605" s="53"/>
      <c r="WXZ605" s="15"/>
      <c r="WYA605" s="50"/>
      <c r="WYB605" s="50"/>
      <c r="WYC605" s="46"/>
      <c r="WYD605" s="47"/>
      <c r="WYE605" s="46"/>
      <c r="WYF605" s="48"/>
      <c r="WYG605" s="53"/>
      <c r="WYN605" s="15"/>
      <c r="WYO605" s="50"/>
      <c r="WYP605" s="50"/>
      <c r="WYQ605" s="46"/>
      <c r="WYR605" s="47"/>
      <c r="WYS605" s="46"/>
      <c r="WYT605" s="48"/>
      <c r="WYU605" s="53"/>
      <c r="WZB605" s="15"/>
      <c r="WZC605" s="50"/>
      <c r="WZD605" s="50"/>
      <c r="WZE605" s="46"/>
      <c r="WZF605" s="47"/>
      <c r="WZG605" s="46"/>
      <c r="WZH605" s="48"/>
      <c r="WZI605" s="53"/>
      <c r="WZP605" s="15"/>
      <c r="WZQ605" s="50"/>
      <c r="WZR605" s="50"/>
      <c r="WZS605" s="46"/>
      <c r="WZT605" s="47"/>
      <c r="WZU605" s="46"/>
      <c r="WZV605" s="48"/>
      <c r="WZW605" s="53"/>
      <c r="XAD605" s="15"/>
      <c r="XAE605" s="50"/>
      <c r="XAF605" s="50"/>
      <c r="XAG605" s="46"/>
      <c r="XAH605" s="47"/>
      <c r="XAI605" s="46"/>
      <c r="XAJ605" s="48"/>
      <c r="XAK605" s="53"/>
      <c r="XAR605" s="15"/>
      <c r="XAS605" s="50"/>
      <c r="XAT605" s="50"/>
      <c r="XAU605" s="46"/>
      <c r="XAV605" s="47"/>
      <c r="XAW605" s="46"/>
      <c r="XAX605" s="48"/>
      <c r="XAY605" s="53"/>
      <c r="XBF605" s="15"/>
      <c r="XBG605" s="50"/>
      <c r="XBH605" s="50"/>
      <c r="XBI605" s="46"/>
      <c r="XBJ605" s="47"/>
      <c r="XBK605" s="46"/>
      <c r="XBL605" s="48"/>
      <c r="XBM605" s="53"/>
      <c r="XBT605" s="15"/>
      <c r="XBU605" s="50"/>
      <c r="XBV605" s="50"/>
      <c r="XBW605" s="46"/>
      <c r="XBX605" s="47"/>
      <c r="XBY605" s="46"/>
      <c r="XBZ605" s="48"/>
      <c r="XCA605" s="53"/>
      <c r="XCH605" s="15"/>
      <c r="XCI605" s="50"/>
      <c r="XCJ605" s="50"/>
      <c r="XCK605" s="46"/>
      <c r="XCL605" s="47"/>
      <c r="XCM605" s="46"/>
      <c r="XCN605" s="48"/>
      <c r="XCO605" s="53"/>
      <c r="XCV605" s="15"/>
      <c r="XCW605" s="50"/>
      <c r="XCX605" s="50"/>
      <c r="XCY605" s="46"/>
      <c r="XCZ605" s="47"/>
      <c r="XDA605" s="46"/>
      <c r="XDB605" s="48"/>
      <c r="XDC605" s="53"/>
      <c r="XDJ605" s="15"/>
      <c r="XDK605" s="50"/>
      <c r="XDL605" s="50"/>
      <c r="XDM605" s="46"/>
      <c r="XDN605" s="47"/>
      <c r="XDO605" s="46"/>
      <c r="XDP605" s="48"/>
      <c r="XDQ605" s="53"/>
      <c r="XDX605" s="15"/>
      <c r="XDY605" s="50"/>
      <c r="XDZ605" s="50"/>
      <c r="XEA605" s="46"/>
      <c r="XEB605" s="47"/>
      <c r="XEC605" s="46"/>
      <c r="XED605" s="48"/>
      <c r="XEE605" s="53"/>
      <c r="XEL605" s="15"/>
      <c r="XEM605" s="50"/>
      <c r="XEN605" s="50"/>
      <c r="XEO605" s="46"/>
      <c r="XEP605" s="47"/>
      <c r="XEQ605" s="46"/>
      <c r="XER605" s="48"/>
      <c r="XES605" s="53"/>
      <c r="XEZ605" s="15"/>
      <c r="XFA605" s="50"/>
      <c r="XFB605" s="50"/>
      <c r="XFC605" s="46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P148"/>
  <sheetViews>
    <sheetView showGridLines="0" topLeftCell="A125" zoomScale="85" zoomScaleNormal="85" workbookViewId="0">
      <selection activeCell="A5" sqref="A5"/>
    </sheetView>
  </sheetViews>
  <sheetFormatPr defaultRowHeight="13.8" x14ac:dyDescent="0.25"/>
  <cols>
    <col min="1" max="1" width="3.69921875" customWidth="1"/>
    <col min="2" max="2" width="34.8984375" bestFit="1" customWidth="1"/>
    <col min="3" max="3" width="15.09765625" bestFit="1" customWidth="1"/>
    <col min="4" max="4" width="11.19921875" bestFit="1" customWidth="1"/>
    <col min="5" max="5" width="37.59765625" bestFit="1" customWidth="1"/>
    <col min="6" max="7" width="11" bestFit="1" customWidth="1"/>
    <col min="8" max="8" width="14.3984375" bestFit="1" customWidth="1"/>
    <col min="9" max="9" width="11.69921875" bestFit="1" customWidth="1"/>
    <col min="10" max="10" width="11" bestFit="1" customWidth="1"/>
    <col min="13" max="13" width="26" bestFit="1" customWidth="1"/>
    <col min="14" max="14" width="16.09765625" bestFit="1" customWidth="1"/>
    <col min="15" max="15" width="11.69921875" bestFit="1" customWidth="1"/>
    <col min="16" max="16" width="11.19921875" bestFit="1" customWidth="1"/>
    <col min="17" max="17" width="14.296875" bestFit="1" customWidth="1"/>
    <col min="18" max="18" width="14.3984375" bestFit="1" customWidth="1"/>
    <col min="19" max="19" width="11" bestFit="1" customWidth="1"/>
    <col min="20" max="20" width="11.69921875" bestFit="1" customWidth="1"/>
    <col min="21" max="21" width="11" bestFit="1" customWidth="1"/>
  </cols>
  <sheetData>
    <row r="2" spans="2:12" ht="22.2" x14ac:dyDescent="0.55000000000000004">
      <c r="B2" s="36" t="s">
        <v>476</v>
      </c>
      <c r="C2" s="4"/>
      <c r="D2" s="4"/>
      <c r="E2" s="4"/>
      <c r="F2" s="4"/>
      <c r="G2" s="4"/>
      <c r="H2" s="4"/>
      <c r="I2" s="4"/>
      <c r="J2" s="4"/>
      <c r="K2" s="4"/>
      <c r="L2" s="4"/>
    </row>
    <row r="5" spans="2:12" x14ac:dyDescent="0.25">
      <c r="B5" s="19" t="s">
        <v>6</v>
      </c>
      <c r="C5" t="s" vm="3">
        <v>27</v>
      </c>
    </row>
    <row r="6" spans="2:12" x14ac:dyDescent="0.25">
      <c r="B6" s="19" t="s">
        <v>28</v>
      </c>
      <c r="C6" t="s" vm="4">
        <v>422</v>
      </c>
    </row>
    <row r="7" spans="2:12" x14ac:dyDescent="0.25">
      <c r="B7" s="19" t="s">
        <v>424</v>
      </c>
      <c r="C7" t="s" vm="5">
        <v>431</v>
      </c>
    </row>
    <row r="9" spans="2:12" x14ac:dyDescent="0.25">
      <c r="B9" s="19" t="s">
        <v>469</v>
      </c>
      <c r="C9" s="19" t="s">
        <v>470</v>
      </c>
    </row>
    <row r="10" spans="2:12" x14ac:dyDescent="0.25">
      <c r="B10" s="19" t="s">
        <v>420</v>
      </c>
      <c r="C10" t="s">
        <v>426</v>
      </c>
      <c r="D10" t="s">
        <v>425</v>
      </c>
      <c r="E10" t="s">
        <v>429</v>
      </c>
      <c r="F10" t="s">
        <v>428</v>
      </c>
      <c r="G10" t="s">
        <v>421</v>
      </c>
    </row>
    <row r="11" spans="2:12" x14ac:dyDescent="0.25">
      <c r="B11" s="20" t="s">
        <v>303</v>
      </c>
      <c r="C11" s="118">
        <v>1</v>
      </c>
      <c r="D11" s="118">
        <v>13</v>
      </c>
      <c r="E11" s="118">
        <v>1</v>
      </c>
      <c r="F11" s="118"/>
      <c r="G11" s="118">
        <v>15</v>
      </c>
    </row>
    <row r="12" spans="2:12" x14ac:dyDescent="0.25">
      <c r="B12" s="20" t="s">
        <v>313</v>
      </c>
      <c r="C12" s="118">
        <v>3</v>
      </c>
      <c r="D12" s="118">
        <v>7</v>
      </c>
      <c r="E12" s="118">
        <v>10</v>
      </c>
      <c r="F12" s="118"/>
      <c r="G12" s="118">
        <v>20</v>
      </c>
    </row>
    <row r="13" spans="2:12" x14ac:dyDescent="0.25">
      <c r="B13" s="20" t="s">
        <v>312</v>
      </c>
      <c r="C13" s="118">
        <v>3</v>
      </c>
      <c r="D13" s="118">
        <v>3</v>
      </c>
      <c r="E13" s="118">
        <v>11</v>
      </c>
      <c r="F13" s="118"/>
      <c r="G13" s="118">
        <v>17</v>
      </c>
    </row>
    <row r="14" spans="2:12" x14ac:dyDescent="0.25">
      <c r="B14" s="20" t="s">
        <v>311</v>
      </c>
      <c r="C14" s="118"/>
      <c r="D14" s="118"/>
      <c r="E14" s="118">
        <v>65</v>
      </c>
      <c r="F14" s="118"/>
      <c r="G14" s="118">
        <v>65</v>
      </c>
    </row>
    <row r="15" spans="2:12" x14ac:dyDescent="0.25">
      <c r="B15" s="20" t="s">
        <v>310</v>
      </c>
      <c r="C15" s="118">
        <v>1</v>
      </c>
      <c r="D15" s="118">
        <v>27</v>
      </c>
      <c r="E15" s="118">
        <v>3</v>
      </c>
      <c r="F15" s="118">
        <v>1</v>
      </c>
      <c r="G15" s="118">
        <v>32</v>
      </c>
    </row>
    <row r="16" spans="2:12" x14ac:dyDescent="0.25">
      <c r="B16" s="20" t="s">
        <v>309</v>
      </c>
      <c r="C16" s="118"/>
      <c r="D16" s="118"/>
      <c r="E16" s="118"/>
      <c r="F16" s="118">
        <v>12</v>
      </c>
      <c r="G16" s="118">
        <v>12</v>
      </c>
    </row>
    <row r="17" spans="2:7" x14ac:dyDescent="0.25">
      <c r="B17" s="20" t="s">
        <v>421</v>
      </c>
      <c r="C17" s="118">
        <v>8</v>
      </c>
      <c r="D17" s="118">
        <v>50</v>
      </c>
      <c r="E17" s="118">
        <v>90</v>
      </c>
      <c r="F17" s="118">
        <v>13</v>
      </c>
      <c r="G17" s="118">
        <v>161</v>
      </c>
    </row>
    <row r="23" spans="2:7" x14ac:dyDescent="0.25">
      <c r="B23" s="19" t="s">
        <v>6</v>
      </c>
      <c r="C23" t="s" vm="3">
        <v>27</v>
      </c>
    </row>
    <row r="24" spans="2:7" x14ac:dyDescent="0.25">
      <c r="B24" s="19" t="s">
        <v>28</v>
      </c>
      <c r="C24" t="s" vm="4">
        <v>422</v>
      </c>
    </row>
    <row r="25" spans="2:7" x14ac:dyDescent="0.25">
      <c r="B25" s="19" t="s">
        <v>424</v>
      </c>
      <c r="C25" t="s" vm="5">
        <v>431</v>
      </c>
    </row>
    <row r="27" spans="2:7" x14ac:dyDescent="0.25">
      <c r="B27" s="19" t="s">
        <v>420</v>
      </c>
      <c r="C27" t="s">
        <v>469</v>
      </c>
    </row>
    <row r="28" spans="2:7" x14ac:dyDescent="0.25">
      <c r="B28" s="20" t="s">
        <v>426</v>
      </c>
      <c r="C28" s="118">
        <v>8</v>
      </c>
    </row>
    <row r="29" spans="2:7" x14ac:dyDescent="0.25">
      <c r="B29" s="20" t="s">
        <v>425</v>
      </c>
      <c r="C29" s="118">
        <v>50</v>
      </c>
    </row>
    <row r="30" spans="2:7" x14ac:dyDescent="0.25">
      <c r="B30" s="20" t="s">
        <v>429</v>
      </c>
      <c r="C30" s="118">
        <v>90</v>
      </c>
    </row>
    <row r="31" spans="2:7" x14ac:dyDescent="0.25">
      <c r="B31" s="20" t="s">
        <v>428</v>
      </c>
      <c r="C31" s="118">
        <v>13</v>
      </c>
    </row>
    <row r="32" spans="2:7" x14ac:dyDescent="0.25">
      <c r="B32" s="20" t="s">
        <v>421</v>
      </c>
      <c r="C32" s="118">
        <v>161</v>
      </c>
    </row>
    <row r="42" spans="2:16" ht="22.2" x14ac:dyDescent="0.55000000000000004">
      <c r="B42" s="36" t="s">
        <v>474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4" spans="2:16" x14ac:dyDescent="0.25">
      <c r="B44" s="19" t="s">
        <v>6</v>
      </c>
      <c r="C44" t="s" vm="3">
        <v>27</v>
      </c>
    </row>
    <row r="45" spans="2:16" x14ac:dyDescent="0.25">
      <c r="B45" s="19" t="s">
        <v>28</v>
      </c>
      <c r="C45" t="s" vm="6">
        <v>422</v>
      </c>
    </row>
    <row r="46" spans="2:16" x14ac:dyDescent="0.25">
      <c r="B46" s="19" t="s">
        <v>424</v>
      </c>
      <c r="C46" t="s" vm="5">
        <v>431</v>
      </c>
    </row>
    <row r="48" spans="2:16" x14ac:dyDescent="0.25">
      <c r="B48" s="19" t="s">
        <v>469</v>
      </c>
      <c r="C48" s="19" t="s">
        <v>470</v>
      </c>
    </row>
    <row r="49" spans="2:10" x14ac:dyDescent="0.25">
      <c r="B49" s="19" t="s">
        <v>420</v>
      </c>
      <c r="C49" t="s">
        <v>426</v>
      </c>
      <c r="D49" t="s">
        <v>425</v>
      </c>
      <c r="E49" t="s">
        <v>429</v>
      </c>
      <c r="F49" t="s">
        <v>462</v>
      </c>
      <c r="G49" t="s">
        <v>428</v>
      </c>
      <c r="H49" t="s">
        <v>427</v>
      </c>
      <c r="I49" t="s">
        <v>464</v>
      </c>
      <c r="J49" t="s">
        <v>421</v>
      </c>
    </row>
    <row r="50" spans="2:10" x14ac:dyDescent="0.25">
      <c r="B50" s="20" t="s">
        <v>316</v>
      </c>
      <c r="C50" s="118"/>
      <c r="D50" s="118">
        <v>18</v>
      </c>
      <c r="E50" s="118"/>
      <c r="F50" s="118"/>
      <c r="G50" s="118">
        <v>10</v>
      </c>
      <c r="H50" s="118"/>
      <c r="I50" s="118"/>
      <c r="J50" s="118">
        <v>28</v>
      </c>
    </row>
    <row r="51" spans="2:10" x14ac:dyDescent="0.25">
      <c r="B51" s="20" t="s">
        <v>315</v>
      </c>
      <c r="C51" s="118"/>
      <c r="D51" s="118">
        <v>1</v>
      </c>
      <c r="E51" s="118"/>
      <c r="F51" s="118"/>
      <c r="G51" s="118">
        <v>12</v>
      </c>
      <c r="H51" s="118"/>
      <c r="I51" s="118">
        <v>1</v>
      </c>
      <c r="J51" s="118">
        <v>14</v>
      </c>
    </row>
    <row r="52" spans="2:10" x14ac:dyDescent="0.25">
      <c r="B52" s="20" t="s">
        <v>314</v>
      </c>
      <c r="C52" s="118"/>
      <c r="D52" s="118">
        <v>8</v>
      </c>
      <c r="E52" s="118"/>
      <c r="F52" s="118">
        <v>7</v>
      </c>
      <c r="G52" s="118"/>
      <c r="H52" s="118"/>
      <c r="I52" s="118"/>
      <c r="J52" s="118">
        <v>15</v>
      </c>
    </row>
    <row r="53" spans="2:10" x14ac:dyDescent="0.25">
      <c r="B53" s="20" t="s">
        <v>301</v>
      </c>
      <c r="C53" s="118"/>
      <c r="D53" s="118">
        <v>2</v>
      </c>
      <c r="E53" s="118"/>
      <c r="F53" s="118">
        <v>30</v>
      </c>
      <c r="G53" s="118"/>
      <c r="H53" s="118"/>
      <c r="I53" s="118"/>
      <c r="J53" s="118">
        <v>32</v>
      </c>
    </row>
    <row r="54" spans="2:10" x14ac:dyDescent="0.25">
      <c r="B54" s="20" t="s">
        <v>302</v>
      </c>
      <c r="C54" s="118"/>
      <c r="D54" s="118">
        <v>6</v>
      </c>
      <c r="E54" s="118">
        <v>4</v>
      </c>
      <c r="F54" s="118">
        <v>8</v>
      </c>
      <c r="G54" s="118"/>
      <c r="H54" s="118"/>
      <c r="I54" s="118"/>
      <c r="J54" s="118">
        <v>18</v>
      </c>
    </row>
    <row r="55" spans="2:10" x14ac:dyDescent="0.25">
      <c r="B55" s="20" t="s">
        <v>40</v>
      </c>
      <c r="C55" s="118"/>
      <c r="D55" s="118">
        <v>6</v>
      </c>
      <c r="E55" s="118"/>
      <c r="F55" s="118"/>
      <c r="G55" s="118"/>
      <c r="H55" s="118"/>
      <c r="I55" s="118"/>
      <c r="J55" s="118">
        <v>6</v>
      </c>
    </row>
    <row r="56" spans="2:10" x14ac:dyDescent="0.25">
      <c r="B56" s="20" t="s">
        <v>39</v>
      </c>
      <c r="C56" s="118"/>
      <c r="D56" s="118"/>
      <c r="E56" s="118"/>
      <c r="F56" s="118"/>
      <c r="G56" s="118"/>
      <c r="H56" s="118">
        <v>40</v>
      </c>
      <c r="I56" s="118"/>
      <c r="J56" s="118">
        <v>40</v>
      </c>
    </row>
    <row r="57" spans="2:10" x14ac:dyDescent="0.25">
      <c r="B57" s="20" t="s">
        <v>37</v>
      </c>
      <c r="C57" s="118">
        <v>3</v>
      </c>
      <c r="D57" s="118"/>
      <c r="E57" s="118"/>
      <c r="F57" s="118"/>
      <c r="G57" s="118"/>
      <c r="H57" s="118">
        <v>6</v>
      </c>
      <c r="I57" s="118"/>
      <c r="J57" s="118">
        <v>9</v>
      </c>
    </row>
    <row r="58" spans="2:10" x14ac:dyDescent="0.25">
      <c r="B58" s="20" t="s">
        <v>36</v>
      </c>
      <c r="C58" s="118"/>
      <c r="D58" s="118"/>
      <c r="E58" s="118"/>
      <c r="F58" s="118"/>
      <c r="G58" s="118"/>
      <c r="H58" s="118">
        <v>17</v>
      </c>
      <c r="I58" s="118"/>
      <c r="J58" s="118">
        <v>17</v>
      </c>
    </row>
    <row r="59" spans="2:10" x14ac:dyDescent="0.25">
      <c r="B59" s="20" t="s">
        <v>41</v>
      </c>
      <c r="C59" s="118"/>
      <c r="D59" s="118">
        <v>15</v>
      </c>
      <c r="E59" s="118">
        <v>2</v>
      </c>
      <c r="F59" s="118"/>
      <c r="G59" s="118"/>
      <c r="H59" s="118"/>
      <c r="I59" s="118"/>
      <c r="J59" s="118">
        <v>17</v>
      </c>
    </row>
    <row r="60" spans="2:10" x14ac:dyDescent="0.25">
      <c r="B60" s="20" t="s">
        <v>42</v>
      </c>
      <c r="C60" s="118">
        <v>7</v>
      </c>
      <c r="D60" s="118"/>
      <c r="E60" s="118"/>
      <c r="F60" s="118"/>
      <c r="G60" s="118"/>
      <c r="H60" s="118">
        <v>14</v>
      </c>
      <c r="I60" s="118"/>
      <c r="J60" s="118">
        <v>21</v>
      </c>
    </row>
    <row r="61" spans="2:10" x14ac:dyDescent="0.25">
      <c r="B61" s="20" t="s">
        <v>43</v>
      </c>
      <c r="C61" s="118"/>
      <c r="D61" s="118"/>
      <c r="E61" s="118"/>
      <c r="F61" s="118"/>
      <c r="G61" s="118"/>
      <c r="H61" s="118">
        <v>18</v>
      </c>
      <c r="I61" s="118"/>
      <c r="J61" s="118">
        <v>18</v>
      </c>
    </row>
    <row r="62" spans="2:10" x14ac:dyDescent="0.25">
      <c r="B62" s="20" t="s">
        <v>38</v>
      </c>
      <c r="C62" s="118"/>
      <c r="D62" s="118">
        <v>7</v>
      </c>
      <c r="E62" s="118"/>
      <c r="F62" s="118"/>
      <c r="G62" s="118"/>
      <c r="H62" s="118"/>
      <c r="I62" s="118"/>
      <c r="J62" s="118">
        <v>7</v>
      </c>
    </row>
    <row r="63" spans="2:10" x14ac:dyDescent="0.25">
      <c r="B63" s="20" t="s">
        <v>421</v>
      </c>
      <c r="C63" s="118">
        <v>10</v>
      </c>
      <c r="D63" s="118">
        <v>63</v>
      </c>
      <c r="E63" s="118">
        <v>6</v>
      </c>
      <c r="F63" s="118">
        <v>45</v>
      </c>
      <c r="G63" s="118">
        <v>22</v>
      </c>
      <c r="H63" s="118">
        <v>95</v>
      </c>
      <c r="I63" s="118">
        <v>1</v>
      </c>
      <c r="J63" s="118">
        <v>242</v>
      </c>
    </row>
    <row r="68" spans="2:3" x14ac:dyDescent="0.25">
      <c r="B68" s="19" t="s">
        <v>6</v>
      </c>
      <c r="C68" t="s" vm="3">
        <v>27</v>
      </c>
    </row>
    <row r="69" spans="2:3" x14ac:dyDescent="0.25">
      <c r="B69" s="19" t="s">
        <v>28</v>
      </c>
      <c r="C69" t="s" vm="6">
        <v>422</v>
      </c>
    </row>
    <row r="70" spans="2:3" x14ac:dyDescent="0.25">
      <c r="B70" s="19" t="s">
        <v>424</v>
      </c>
      <c r="C70" t="s" vm="5">
        <v>431</v>
      </c>
    </row>
    <row r="72" spans="2:3" x14ac:dyDescent="0.25">
      <c r="B72" s="19" t="s">
        <v>420</v>
      </c>
      <c r="C72" t="s">
        <v>469</v>
      </c>
    </row>
    <row r="73" spans="2:3" x14ac:dyDescent="0.25">
      <c r="B73" s="20" t="s">
        <v>426</v>
      </c>
      <c r="C73" s="118">
        <v>10</v>
      </c>
    </row>
    <row r="74" spans="2:3" x14ac:dyDescent="0.25">
      <c r="B74" s="20" t="s">
        <v>425</v>
      </c>
      <c r="C74" s="118">
        <v>63</v>
      </c>
    </row>
    <row r="75" spans="2:3" x14ac:dyDescent="0.25">
      <c r="B75" s="20" t="s">
        <v>429</v>
      </c>
      <c r="C75" s="118">
        <v>6</v>
      </c>
    </row>
    <row r="76" spans="2:3" x14ac:dyDescent="0.25">
      <c r="B76" s="20" t="s">
        <v>462</v>
      </c>
      <c r="C76" s="118">
        <v>45</v>
      </c>
    </row>
    <row r="77" spans="2:3" x14ac:dyDescent="0.25">
      <c r="B77" s="20" t="s">
        <v>428</v>
      </c>
      <c r="C77" s="118">
        <v>22</v>
      </c>
    </row>
    <row r="78" spans="2:3" x14ac:dyDescent="0.25">
      <c r="B78" s="20" t="s">
        <v>427</v>
      </c>
      <c r="C78" s="118">
        <v>95</v>
      </c>
    </row>
    <row r="79" spans="2:3" x14ac:dyDescent="0.25">
      <c r="B79" s="20" t="s">
        <v>464</v>
      </c>
      <c r="C79" s="118">
        <v>1</v>
      </c>
    </row>
    <row r="80" spans="2:3" x14ac:dyDescent="0.25">
      <c r="B80" s="20" t="s">
        <v>421</v>
      </c>
      <c r="C80" s="118">
        <v>242</v>
      </c>
    </row>
    <row r="87" spans="2:16" ht="22.2" x14ac:dyDescent="0.55000000000000004">
      <c r="B87" s="36" t="s">
        <v>475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2:16" ht="22.2" x14ac:dyDescent="0.55000000000000004">
      <c r="B88" s="51"/>
    </row>
    <row r="90" spans="2:16" x14ac:dyDescent="0.25">
      <c r="B90" s="19" t="s">
        <v>6</v>
      </c>
      <c r="C90" t="s" vm="3">
        <v>27</v>
      </c>
    </row>
    <row r="91" spans="2:16" x14ac:dyDescent="0.25">
      <c r="B91" s="19" t="s">
        <v>28</v>
      </c>
      <c r="C91" t="s" vm="7">
        <v>27</v>
      </c>
    </row>
    <row r="92" spans="2:16" x14ac:dyDescent="0.25">
      <c r="B92" s="19" t="s">
        <v>424</v>
      </c>
      <c r="C92" t="s" vm="5">
        <v>431</v>
      </c>
    </row>
    <row r="94" spans="2:16" x14ac:dyDescent="0.25">
      <c r="B94" s="19" t="s">
        <v>469</v>
      </c>
      <c r="C94" s="19" t="s">
        <v>470</v>
      </c>
    </row>
    <row r="95" spans="2:16" x14ac:dyDescent="0.25">
      <c r="B95" s="19" t="s">
        <v>420</v>
      </c>
      <c r="C95" t="s">
        <v>464</v>
      </c>
      <c r="D95" t="s">
        <v>421</v>
      </c>
    </row>
    <row r="96" spans="2:16" x14ac:dyDescent="0.25">
      <c r="B96" s="20" t="s">
        <v>290</v>
      </c>
      <c r="C96" s="118">
        <v>34</v>
      </c>
      <c r="D96" s="118">
        <v>34</v>
      </c>
    </row>
    <row r="97" spans="2:4" x14ac:dyDescent="0.25">
      <c r="B97" s="20" t="s">
        <v>288</v>
      </c>
      <c r="C97" s="118">
        <v>43</v>
      </c>
      <c r="D97" s="118">
        <v>43</v>
      </c>
    </row>
    <row r="98" spans="2:4" x14ac:dyDescent="0.25">
      <c r="B98" s="20" t="s">
        <v>289</v>
      </c>
      <c r="C98" s="118">
        <v>20</v>
      </c>
      <c r="D98" s="118">
        <v>20</v>
      </c>
    </row>
    <row r="99" spans="2:4" x14ac:dyDescent="0.25">
      <c r="B99" s="20" t="s">
        <v>453</v>
      </c>
      <c r="C99" s="118">
        <v>5</v>
      </c>
      <c r="D99" s="118">
        <v>5</v>
      </c>
    </row>
    <row r="100" spans="2:4" x14ac:dyDescent="0.25">
      <c r="B100" s="20" t="s">
        <v>454</v>
      </c>
      <c r="C100" s="118">
        <v>5</v>
      </c>
      <c r="D100" s="118">
        <v>5</v>
      </c>
    </row>
    <row r="101" spans="2:4" x14ac:dyDescent="0.25">
      <c r="B101" s="20" t="s">
        <v>291</v>
      </c>
      <c r="C101" s="118">
        <v>10</v>
      </c>
      <c r="D101" s="118">
        <v>10</v>
      </c>
    </row>
    <row r="102" spans="2:4" x14ac:dyDescent="0.25">
      <c r="B102" s="20" t="s">
        <v>295</v>
      </c>
      <c r="C102" s="118">
        <v>9</v>
      </c>
      <c r="D102" s="118">
        <v>9</v>
      </c>
    </row>
    <row r="103" spans="2:4" x14ac:dyDescent="0.25">
      <c r="B103" s="20" t="s">
        <v>421</v>
      </c>
      <c r="C103" s="118">
        <v>126</v>
      </c>
      <c r="D103" s="118">
        <v>126</v>
      </c>
    </row>
    <row r="108" spans="2:4" x14ac:dyDescent="0.25">
      <c r="B108" s="20"/>
    </row>
    <row r="109" spans="2:4" x14ac:dyDescent="0.25">
      <c r="B109" s="20"/>
    </row>
    <row r="111" spans="2:4" x14ac:dyDescent="0.25">
      <c r="B111" s="19" t="s">
        <v>6</v>
      </c>
      <c r="C111" t="s" vm="3">
        <v>27</v>
      </c>
    </row>
    <row r="112" spans="2:4" x14ac:dyDescent="0.25">
      <c r="B112" s="19" t="s">
        <v>28</v>
      </c>
      <c r="C112" t="s" vm="7">
        <v>27</v>
      </c>
    </row>
    <row r="113" spans="2:3" x14ac:dyDescent="0.25">
      <c r="B113" s="19" t="s">
        <v>424</v>
      </c>
      <c r="C113" t="s" vm="5">
        <v>431</v>
      </c>
    </row>
    <row r="115" spans="2:3" x14ac:dyDescent="0.25">
      <c r="B115" s="19" t="s">
        <v>420</v>
      </c>
      <c r="C115" t="s">
        <v>469</v>
      </c>
    </row>
    <row r="116" spans="2:3" x14ac:dyDescent="0.25">
      <c r="B116" s="20" t="s">
        <v>464</v>
      </c>
      <c r="C116" s="118">
        <v>126</v>
      </c>
    </row>
    <row r="117" spans="2:3" x14ac:dyDescent="0.25">
      <c r="B117" s="20" t="s">
        <v>421</v>
      </c>
      <c r="C117" s="118">
        <v>126</v>
      </c>
    </row>
    <row r="118" spans="2:3" x14ac:dyDescent="0.25">
      <c r="B118" s="20"/>
    </row>
    <row r="119" spans="2:3" x14ac:dyDescent="0.25">
      <c r="B119" s="20"/>
    </row>
    <row r="120" spans="2:3" x14ac:dyDescent="0.25">
      <c r="B120" s="20"/>
    </row>
    <row r="121" spans="2:3" x14ac:dyDescent="0.25">
      <c r="B121" s="20"/>
    </row>
    <row r="122" spans="2:3" x14ac:dyDescent="0.25">
      <c r="B122" s="20"/>
    </row>
    <row r="123" spans="2:3" x14ac:dyDescent="0.25">
      <c r="B123" s="20"/>
    </row>
    <row r="124" spans="2:3" x14ac:dyDescent="0.25">
      <c r="B124" s="20"/>
    </row>
    <row r="125" spans="2:3" x14ac:dyDescent="0.25">
      <c r="B125" s="20"/>
    </row>
    <row r="129" spans="2:16" ht="22.2" x14ac:dyDescent="0.55000000000000004">
      <c r="B129" s="36" t="s">
        <v>477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2" spans="2:16" x14ac:dyDescent="0.25">
      <c r="B132" s="19" t="s">
        <v>6</v>
      </c>
      <c r="C132" t="s" vm="2">
        <v>5</v>
      </c>
    </row>
    <row r="133" spans="2:16" x14ac:dyDescent="0.25">
      <c r="B133" s="19" t="s">
        <v>424</v>
      </c>
      <c r="C133" t="s" vm="1">
        <v>431</v>
      </c>
    </row>
    <row r="135" spans="2:16" x14ac:dyDescent="0.25">
      <c r="B135" s="19" t="s">
        <v>469</v>
      </c>
      <c r="C135" s="19" t="s">
        <v>470</v>
      </c>
    </row>
    <row r="136" spans="2:16" x14ac:dyDescent="0.25">
      <c r="B136" s="19" t="s">
        <v>420</v>
      </c>
      <c r="C136" t="s">
        <v>425</v>
      </c>
      <c r="D136" t="s">
        <v>429</v>
      </c>
      <c r="E136" t="s">
        <v>462</v>
      </c>
      <c r="F136" t="s">
        <v>421</v>
      </c>
    </row>
    <row r="137" spans="2:16" x14ac:dyDescent="0.25">
      <c r="B137" s="20" t="s">
        <v>308</v>
      </c>
      <c r="C137" s="118">
        <v>23</v>
      </c>
      <c r="D137" s="118">
        <v>26</v>
      </c>
      <c r="E137" s="118">
        <v>1</v>
      </c>
      <c r="F137" s="118">
        <v>50</v>
      </c>
    </row>
    <row r="138" spans="2:16" x14ac:dyDescent="0.25">
      <c r="B138" s="20" t="s">
        <v>421</v>
      </c>
      <c r="C138" s="118">
        <v>23</v>
      </c>
      <c r="D138" s="118">
        <v>26</v>
      </c>
      <c r="E138" s="118">
        <v>1</v>
      </c>
      <c r="F138" s="118">
        <v>50</v>
      </c>
    </row>
    <row r="141" spans="2:16" x14ac:dyDescent="0.25">
      <c r="B141" s="19" t="s">
        <v>6</v>
      </c>
      <c r="C141" t="s" vm="2">
        <v>5</v>
      </c>
    </row>
    <row r="142" spans="2:16" x14ac:dyDescent="0.25">
      <c r="B142" s="19" t="s">
        <v>424</v>
      </c>
      <c r="C142" t="s" vm="1">
        <v>431</v>
      </c>
    </row>
    <row r="144" spans="2:16" x14ac:dyDescent="0.25">
      <c r="B144" s="19" t="s">
        <v>420</v>
      </c>
      <c r="C144" t="s">
        <v>469</v>
      </c>
    </row>
    <row r="145" spans="2:3" x14ac:dyDescent="0.25">
      <c r="B145" s="20" t="s">
        <v>425</v>
      </c>
      <c r="C145" s="118">
        <v>23</v>
      </c>
    </row>
    <row r="146" spans="2:3" x14ac:dyDescent="0.25">
      <c r="B146" s="20" t="s">
        <v>429</v>
      </c>
      <c r="C146" s="118">
        <v>26</v>
      </c>
    </row>
    <row r="147" spans="2:3" x14ac:dyDescent="0.25">
      <c r="B147" s="20" t="s">
        <v>462</v>
      </c>
      <c r="C147" s="118">
        <v>1</v>
      </c>
    </row>
    <row r="148" spans="2:3" x14ac:dyDescent="0.25">
      <c r="B148" s="20" t="s">
        <v>421</v>
      </c>
      <c r="C148" s="118">
        <v>50</v>
      </c>
    </row>
  </sheetData>
  <pageMargins left="0.7" right="0.7" top="0.75" bottom="0.75" header="0.3" footer="0.3"/>
  <pageSetup paperSize="9" orientation="portrait"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2:J23"/>
  <sheetViews>
    <sheetView topLeftCell="A7" zoomScale="85" zoomScaleNormal="85" workbookViewId="0">
      <selection activeCell="A5" sqref="A5"/>
    </sheetView>
  </sheetViews>
  <sheetFormatPr defaultRowHeight="13.8" x14ac:dyDescent="0.25"/>
  <cols>
    <col min="1" max="1" width="31.09765625" bestFit="1" customWidth="1"/>
    <col min="2" max="2" width="58.09765625" customWidth="1"/>
    <col min="3" max="3" width="100.69921875" customWidth="1"/>
  </cols>
  <sheetData>
    <row r="2" spans="2:10" x14ac:dyDescent="0.25">
      <c r="D2" t="s">
        <v>18</v>
      </c>
    </row>
    <row r="3" spans="2:10" ht="17.399999999999999" x14ac:dyDescent="0.45">
      <c r="B3" s="6" t="s">
        <v>2</v>
      </c>
      <c r="D3" t="s">
        <v>19</v>
      </c>
    </row>
    <row r="4" spans="2:10" ht="17.399999999999999" x14ac:dyDescent="0.45">
      <c r="B4" s="22" t="s">
        <v>1</v>
      </c>
      <c r="C4" s="22" t="s">
        <v>0</v>
      </c>
      <c r="D4" s="21" t="s">
        <v>20</v>
      </c>
      <c r="E4" s="21" t="s">
        <v>21</v>
      </c>
      <c r="F4" s="21" t="s">
        <v>22</v>
      </c>
      <c r="H4" s="16" t="s">
        <v>20</v>
      </c>
      <c r="I4" s="16" t="s">
        <v>21</v>
      </c>
      <c r="J4" s="16" t="s">
        <v>22</v>
      </c>
    </row>
    <row r="5" spans="2:10" ht="34.799999999999997" x14ac:dyDescent="0.45">
      <c r="B5" s="2" t="s">
        <v>9</v>
      </c>
      <c r="C5" s="3" t="s">
        <v>35</v>
      </c>
      <c r="D5">
        <v>8</v>
      </c>
      <c r="E5">
        <v>8</v>
      </c>
      <c r="F5">
        <v>8</v>
      </c>
      <c r="H5" s="16">
        <v>1</v>
      </c>
      <c r="I5" s="16">
        <v>3</v>
      </c>
      <c r="J5" s="16">
        <v>8</v>
      </c>
    </row>
    <row r="6" spans="2:10" ht="34.799999999999997" x14ac:dyDescent="0.45">
      <c r="B6" s="2" t="s">
        <v>10</v>
      </c>
      <c r="C6" s="3" t="s">
        <v>24</v>
      </c>
      <c r="D6">
        <v>2</v>
      </c>
      <c r="E6">
        <v>4</v>
      </c>
      <c r="F6">
        <v>8</v>
      </c>
      <c r="H6" s="16">
        <v>1</v>
      </c>
      <c r="I6" s="16">
        <v>3</v>
      </c>
      <c r="J6" s="16">
        <v>4</v>
      </c>
    </row>
    <row r="7" spans="2:10" ht="17.399999999999999" x14ac:dyDescent="0.45">
      <c r="B7" s="2" t="s">
        <v>13</v>
      </c>
      <c r="C7" s="3" t="s">
        <v>25</v>
      </c>
      <c r="D7">
        <v>2</v>
      </c>
      <c r="E7">
        <v>4</v>
      </c>
      <c r="F7">
        <v>8</v>
      </c>
      <c r="H7" s="16">
        <v>1</v>
      </c>
      <c r="I7" s="16">
        <v>1</v>
      </c>
      <c r="J7" s="16">
        <v>2</v>
      </c>
    </row>
    <row r="8" spans="2:10" ht="17.399999999999999" x14ac:dyDescent="0.45">
      <c r="B8" s="13" t="s">
        <v>11</v>
      </c>
      <c r="C8" s="3" t="s">
        <v>23</v>
      </c>
      <c r="D8">
        <v>2</v>
      </c>
      <c r="E8">
        <v>4</v>
      </c>
      <c r="F8">
        <v>8</v>
      </c>
      <c r="H8" s="16">
        <v>2</v>
      </c>
      <c r="I8" s="16">
        <v>4</v>
      </c>
      <c r="J8" s="16">
        <v>4</v>
      </c>
    </row>
    <row r="9" spans="2:10" ht="17.399999999999999" x14ac:dyDescent="0.45">
      <c r="B9" s="14" t="s">
        <v>12</v>
      </c>
      <c r="C9" s="3" t="s">
        <v>17</v>
      </c>
      <c r="D9">
        <v>1</v>
      </c>
      <c r="E9">
        <v>1</v>
      </c>
      <c r="F9">
        <v>1</v>
      </c>
      <c r="H9" s="16"/>
      <c r="I9" s="16"/>
      <c r="J9" s="16"/>
    </row>
    <row r="10" spans="2:10" ht="52.2" x14ac:dyDescent="0.45">
      <c r="B10" s="2" t="s">
        <v>15</v>
      </c>
      <c r="C10" s="3" t="s">
        <v>129</v>
      </c>
      <c r="D10">
        <v>0.1</v>
      </c>
      <c r="E10">
        <v>0.1</v>
      </c>
      <c r="F10">
        <v>0.1</v>
      </c>
      <c r="H10" s="16">
        <v>0.1</v>
      </c>
      <c r="I10" s="16">
        <v>0.5</v>
      </c>
      <c r="J10" s="16">
        <v>0.5</v>
      </c>
    </row>
    <row r="11" spans="2:10" ht="17.399999999999999" x14ac:dyDescent="0.45">
      <c r="B11" s="14" t="s">
        <v>16</v>
      </c>
      <c r="C11" s="3" t="s">
        <v>14</v>
      </c>
      <c r="D11">
        <v>1</v>
      </c>
      <c r="E11">
        <v>2</v>
      </c>
      <c r="F11">
        <v>2</v>
      </c>
      <c r="H11" s="16"/>
      <c r="I11" s="16"/>
      <c r="J11" s="16"/>
    </row>
    <row r="12" spans="2:10" ht="17.399999999999999" x14ac:dyDescent="0.45">
      <c r="B12" s="14" t="s">
        <v>31</v>
      </c>
      <c r="C12" s="3" t="s">
        <v>32</v>
      </c>
      <c r="D12">
        <v>0.5</v>
      </c>
      <c r="E12">
        <v>0.5</v>
      </c>
      <c r="F12">
        <v>0.5</v>
      </c>
      <c r="H12" s="16">
        <v>0.5</v>
      </c>
      <c r="I12" s="16">
        <v>0.5</v>
      </c>
      <c r="J12" s="16">
        <v>0.5</v>
      </c>
    </row>
    <row r="13" spans="2:10" ht="34.799999999999997" x14ac:dyDescent="0.45">
      <c r="B13" s="17" t="s">
        <v>33</v>
      </c>
      <c r="C13" s="3" t="s">
        <v>34</v>
      </c>
      <c r="D13">
        <v>0.5</v>
      </c>
      <c r="E13">
        <v>0.5</v>
      </c>
      <c r="F13">
        <v>0.5</v>
      </c>
      <c r="H13" s="16">
        <v>0.5</v>
      </c>
      <c r="I13" s="16">
        <v>0.5</v>
      </c>
      <c r="J13" s="16">
        <v>0.5</v>
      </c>
    </row>
    <row r="14" spans="2:10" ht="17.399999999999999" x14ac:dyDescent="0.45">
      <c r="B14" s="18"/>
      <c r="C14" s="12"/>
    </row>
    <row r="15" spans="2:10" x14ac:dyDescent="0.25">
      <c r="B15" s="5" t="s">
        <v>3</v>
      </c>
    </row>
    <row r="16" spans="2:10" ht="17.399999999999999" x14ac:dyDescent="0.25">
      <c r="B16" s="7" t="s">
        <v>425</v>
      </c>
      <c r="C16">
        <f>_xlfn.NUMBERVALUE(LEFT(B16,1))</f>
        <v>1</v>
      </c>
      <c r="D16" s="24">
        <v>1</v>
      </c>
    </row>
    <row r="17" spans="1:4" ht="17.399999999999999" x14ac:dyDescent="0.25">
      <c r="A17" t="s">
        <v>417</v>
      </c>
      <c r="B17" s="7" t="s">
        <v>462</v>
      </c>
      <c r="C17">
        <f t="shared" ref="C17:C23" si="0">_xlfn.NUMBERVALUE(LEFT(B17,1))</f>
        <v>3</v>
      </c>
      <c r="D17" s="24">
        <v>0.25</v>
      </c>
    </row>
    <row r="18" spans="1:4" ht="17.399999999999999" x14ac:dyDescent="0.25">
      <c r="B18" s="9" t="s">
        <v>464</v>
      </c>
      <c r="C18">
        <f t="shared" si="0"/>
        <v>7</v>
      </c>
      <c r="D18" s="24">
        <v>0</v>
      </c>
    </row>
    <row r="19" spans="1:4" ht="17.399999999999999" x14ac:dyDescent="0.45">
      <c r="B19" s="1" t="s">
        <v>429</v>
      </c>
      <c r="C19">
        <f t="shared" si="0"/>
        <v>2</v>
      </c>
      <c r="D19" s="24">
        <v>0.5</v>
      </c>
    </row>
    <row r="20" spans="1:4" ht="17.399999999999999" x14ac:dyDescent="0.45">
      <c r="A20" t="s">
        <v>463</v>
      </c>
      <c r="B20" s="10" t="s">
        <v>428</v>
      </c>
      <c r="C20">
        <f t="shared" si="0"/>
        <v>4</v>
      </c>
      <c r="D20" s="24">
        <v>0.25</v>
      </c>
    </row>
    <row r="21" spans="1:4" ht="17.399999999999999" x14ac:dyDescent="0.45">
      <c r="A21" t="s">
        <v>418</v>
      </c>
      <c r="B21" s="8" t="s">
        <v>427</v>
      </c>
      <c r="C21">
        <f t="shared" si="0"/>
        <v>5</v>
      </c>
      <c r="D21" s="24">
        <v>0.25</v>
      </c>
    </row>
    <row r="22" spans="1:4" ht="17.399999999999999" x14ac:dyDescent="0.45">
      <c r="B22" s="8" t="s">
        <v>465</v>
      </c>
      <c r="C22">
        <f t="shared" si="0"/>
        <v>6</v>
      </c>
      <c r="D22" s="24">
        <v>0.25</v>
      </c>
    </row>
    <row r="23" spans="1:4" ht="17.399999999999999" x14ac:dyDescent="0.45">
      <c r="A23" t="s">
        <v>419</v>
      </c>
      <c r="B23" s="1" t="s">
        <v>426</v>
      </c>
      <c r="C23">
        <f t="shared" si="0"/>
        <v>0</v>
      </c>
      <c r="D23" s="24">
        <v>0</v>
      </c>
    </row>
  </sheetData>
  <conditionalFormatting sqref="B16:B23">
    <cfRule type="cellIs" dxfId="3" priority="1" operator="equal">
      <formula>$B$23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B95969BE-C34E-49F0-8570-DF3795205EE0}">
            <xm:f>NOT(ISERROR(SEARCH($B$21,B16)))</xm:f>
            <xm:f>$B$21</xm:f>
            <x14:dxf>
              <font>
                <b/>
                <i val="0"/>
                <color rgb="FFC00000"/>
              </font>
              <fill>
                <patternFill>
                  <bgColor theme="5" tint="0.79998168889431442"/>
                </patternFill>
              </fill>
            </x14:dxf>
          </x14:cfRule>
          <x14:cfRule type="containsText" priority="3" operator="containsText" id="{B0574C7E-907B-4484-A1CC-EBB9AA1C8984}">
            <xm:f>NOT(ISERROR(SEARCH($B$19,B16)))</xm:f>
            <xm:f>$B$19</xm:f>
            <x14:dxf>
              <font>
                <b/>
                <i val="0"/>
                <color theme="7" tint="-0.24994659260841701"/>
              </font>
              <fill>
                <patternFill>
                  <bgColor theme="7" tint="0.79998168889431442"/>
                </patternFill>
              </fill>
            </x14:dxf>
          </x14:cfRule>
          <x14:cfRule type="containsText" priority="4" operator="containsText" id="{189E0EEA-8B4A-4A84-ABC7-266A6AAD0E7B}">
            <xm:f>NOT(ISERROR(SEARCH($B$16,B16)))</xm:f>
            <xm:f>$B$16</xm:f>
            <x14:dxf>
              <font>
                <b/>
                <i val="0"/>
                <color theme="9"/>
              </font>
              <fill>
                <patternFill>
                  <bgColor theme="9" tint="0.79998168889431442"/>
                </patternFill>
              </fill>
            </x14:dxf>
          </x14:cfRule>
          <xm:sqref>B16:B23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1375E9B6A4047927DE3870E45B8D5" ma:contentTypeVersion="14" ma:contentTypeDescription="Create a new document." ma:contentTypeScope="" ma:versionID="9509e3bd7a53296b38bbd3a833f46522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bca3a58271a3b4c0fd3d9c38081ec184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8AAA335-33FC-43F6-B758-4189E316609B}">
  <ds:schemaRefs>
    <ds:schemaRef ds:uri="http://schemas.microsoft.com/sharepoint/v3"/>
    <ds:schemaRef ds:uri="http://www.w3.org/XML/1998/namespace"/>
    <ds:schemaRef ds:uri="http://schemas.microsoft.com/office/infopath/2007/PartnerControls"/>
    <ds:schemaRef ds:uri="http://purl.org/dc/terms/"/>
    <ds:schemaRef ds:uri="0683c779-04fc-4b63-89c9-6c25ffa1c0a4"/>
    <ds:schemaRef ds:uri="6ea7b29d-57ec-408d-9ea9-cf73b04f66d5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40692DC-BB1C-45FF-ACF8-BDA7EA45A9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683c779-04fc-4b63-89c9-6c25ffa1c0a4"/>
    <ds:schemaRef ds:uri="6ea7b29d-57ec-408d-9ea9-cf73b04f66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Âmbito de atuação</vt:lpstr>
      <vt:lpstr>1. Status Resumo</vt:lpstr>
      <vt:lpstr>2. Status Detalhe Campos</vt:lpstr>
      <vt:lpstr>Aux - Pivots2</vt:lpstr>
      <vt:lpstr>Auxiliar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Crespo Rodrigues Antunes Correia;j.silva08@servexternos.santander.pt</dc:creator>
  <cp:lastModifiedBy>Nádia Genebra Ahmad</cp:lastModifiedBy>
  <cp:lastPrinted>2024-07-02T10:02:55Z</cp:lastPrinted>
  <dcterms:created xsi:type="dcterms:W3CDTF">2024-07-02T08:46:04Z</dcterms:created>
  <dcterms:modified xsi:type="dcterms:W3CDTF">2024-07-26T16:42:15Z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0x0101007511375E9B6A4047927DE3870E45B8D5</vt:lpwstr>
  </property>
  <property fmtid="{D5CDD505-2E9C-101B-9397-08002B2CF9AE}" pid="10" name="MediaServiceImageTags">
    <vt:lpwstr/>
  </property>
</Properties>
</file>