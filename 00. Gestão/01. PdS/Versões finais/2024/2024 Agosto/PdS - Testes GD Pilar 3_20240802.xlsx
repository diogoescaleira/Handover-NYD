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Agosto/"/>
    </mc:Choice>
  </mc:AlternateContent>
  <xr:revisionPtr revIDLastSave="8" documentId="8_{52BB18BA-05C5-4636-9BD5-6EA1FE529CEE}" xr6:coauthVersionLast="47" xr6:coauthVersionMax="47" xr10:uidLastSave="{9BF58ED2-8E31-4D80-93CD-55B0418BB129}"/>
  <workbookProtection workbookAlgorithmName="SHA-512" workbookHashValue="PgzqYKBhmv8VyOAiXojeb07nKQMB+FWNO19O44nchovhzxcrQvUpomsEsjA+56azt/4iC2rc657L/K2jMsno7Q==" workbookSaltValue="yobmw7dFzblWeTJI/oTJ8g==" workbookSpinCount="100000" lockStructure="1"/>
  <bookViews>
    <workbookView xWindow="-120" yWindow="-16320" windowWidth="29040" windowHeight="15840" xr2:uid="{00000000-000D-0000-FFFF-FFFF00000000}"/>
  </bookViews>
  <sheets>
    <sheet name="Âmbito de atuação" sheetId="16" r:id="rId1"/>
    <sheet name="1. Status Resumo" sheetId="15" r:id="rId2"/>
    <sheet name="2. Status Detalhe Campos" sheetId="17" r:id="rId3"/>
    <sheet name="Aux - Pivots2" sheetId="18" state="hidden" r:id="rId4"/>
    <sheet name="Auxiliar" sheetId="3" state="hidden" r:id="rId5"/>
  </sheets>
  <definedNames>
    <definedName name="_xlnm._FilterDatabase" localSheetId="2" hidden="1">'2. Status Detalhe Campos'!$A$6:$J$605</definedName>
    <definedName name="_xlcn.WorksheetConnection_2.StatusDetalheCamposB6G5991" hidden="1">'2. Status Detalhe Campos'!$B$6:$G$595</definedName>
    <definedName name="_xlcn.WorksheetConnection_2.StatusDetalheCamposB6G6051" hidden="1">'2. Status Detalhe Campos'!$B$6:$G$605</definedName>
    <definedName name="_xlcn.WorksheetConnection_Sheet2B2G5451" hidden="1">'2. Status Detalhe Campos'!$B$6:$G$544</definedName>
    <definedName name="_xlcn.WorksheetConnection_TestesGDPilar3Plano_versãotrabalho_V1.2.xlsxTable41" hidden="1">Table4[]</definedName>
  </definedNames>
  <calcPr calcId="191029"/>
  <pivotCaches>
    <pivotCache cacheId="36" r:id="rId6"/>
    <pivotCache cacheId="37" r:id="rId7"/>
    <pivotCache cacheId="38" r:id="rId8"/>
    <pivotCache cacheId="39" r:id="rId9"/>
    <pivotCache cacheId="40" r:id="rId10"/>
    <pivotCache cacheId="41" r:id="rId11"/>
    <pivotCache cacheId="42" r:id="rId12"/>
    <pivotCache cacheId="4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estes GD Pilar 3 - Plano_versão trabalho_V1.2.xlsx!Table4"/>
          <x15:modelTable id="Range" name="Range" connection="WorksheetConnection_Sheet2!$B$2:$G$545"/>
          <x15:modelTable id="Range 2" name="Range 2" connection="WorksheetConnection_2. Status Detalhe Campos!$B$6:$G$605"/>
          <x15:modelTable id="Range 1" name="Range 1" connection="WorksheetConnection_2. Status Detalhe Campos!$B$6:$G$59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5" l="1"/>
  <c r="T50" i="15"/>
  <c r="U97" i="15" l="1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U81" i="15" l="1"/>
  <c r="U47" i="15"/>
  <c r="T89" i="15" l="1"/>
  <c r="T88" i="15"/>
  <c r="T87" i="15"/>
  <c r="T86" i="15"/>
  <c r="T85" i="15"/>
  <c r="T84" i="15"/>
  <c r="T83" i="15"/>
  <c r="T82" i="15"/>
  <c r="T48" i="15" l="1"/>
  <c r="T49" i="15"/>
  <c r="T51" i="15"/>
  <c r="T52" i="15"/>
  <c r="T53" i="15"/>
  <c r="T54" i="15"/>
  <c r="T55" i="15"/>
  <c r="T26" i="15"/>
  <c r="T27" i="15"/>
  <c r="T28" i="15"/>
  <c r="T29" i="15"/>
  <c r="T30" i="15"/>
  <c r="T31" i="15"/>
  <c r="T32" i="15"/>
  <c r="T33" i="15"/>
  <c r="T105" i="15"/>
  <c r="T104" i="15"/>
  <c r="T103" i="15"/>
  <c r="T102" i="15"/>
  <c r="T101" i="15"/>
  <c r="T100" i="15"/>
  <c r="T99" i="15"/>
  <c r="T98" i="15"/>
  <c r="T106" i="15" l="1"/>
  <c r="T81" i="15"/>
  <c r="T47" i="15"/>
  <c r="T97" i="15" s="1"/>
  <c r="T90" i="15"/>
  <c r="T56" i="15"/>
  <c r="T34" i="15"/>
  <c r="A8" i="17"/>
  <c r="A7" i="17"/>
  <c r="C22" i="3"/>
  <c r="C23" i="3" l="1"/>
  <c r="C21" i="3"/>
  <c r="C20" i="3"/>
  <c r="C19" i="3"/>
  <c r="C18" i="3"/>
  <c r="C17" i="3"/>
  <c r="C16" i="3"/>
  <c r="U87" i="15" l="1"/>
  <c r="V87" i="15" s="1"/>
  <c r="U86" i="15"/>
  <c r="V86" i="15" s="1"/>
  <c r="U85" i="15"/>
  <c r="V85" i="15" s="1"/>
  <c r="U82" i="15"/>
  <c r="U84" i="15"/>
  <c r="V84" i="15" s="1"/>
  <c r="U83" i="15"/>
  <c r="V83" i="15" s="1"/>
  <c r="U89" i="15"/>
  <c r="V89" i="15" s="1"/>
  <c r="U88" i="15"/>
  <c r="V88" i="15" s="1"/>
  <c r="U33" i="15"/>
  <c r="V33" i="15" s="1"/>
  <c r="U48" i="15"/>
  <c r="U52" i="15"/>
  <c r="V52" i="15" s="1"/>
  <c r="U26" i="15"/>
  <c r="U53" i="15"/>
  <c r="V53" i="15" s="1"/>
  <c r="U27" i="15"/>
  <c r="V27" i="15" s="1"/>
  <c r="U30" i="15"/>
  <c r="V30" i="15" s="1"/>
  <c r="U49" i="15"/>
  <c r="V49" i="15" s="1"/>
  <c r="U31" i="15"/>
  <c r="V31" i="15" s="1"/>
  <c r="U32" i="15"/>
  <c r="V32" i="15" s="1"/>
  <c r="U50" i="15"/>
  <c r="V50" i="15" s="1"/>
  <c r="U28" i="15"/>
  <c r="V28" i="15" s="1"/>
  <c r="U54" i="15"/>
  <c r="V54" i="15" s="1"/>
  <c r="U51" i="15"/>
  <c r="V51" i="15" s="1"/>
  <c r="U29" i="15"/>
  <c r="V29" i="15" s="1"/>
  <c r="U55" i="15"/>
  <c r="V55" i="15" s="1"/>
  <c r="U105" i="15"/>
  <c r="V105" i="15" s="1"/>
  <c r="U104" i="15"/>
  <c r="V104" i="15" s="1"/>
  <c r="U103" i="15"/>
  <c r="V103" i="15" s="1"/>
  <c r="U102" i="15"/>
  <c r="V102" i="15" s="1"/>
  <c r="U101" i="15"/>
  <c r="V101" i="15" s="1"/>
  <c r="U100" i="15"/>
  <c r="V100" i="15" s="1"/>
  <c r="U99" i="15"/>
  <c r="V99" i="15" s="1"/>
  <c r="U98" i="15"/>
  <c r="U106" i="15" l="1"/>
  <c r="D101" i="15" s="1"/>
  <c r="V98" i="15"/>
  <c r="V48" i="15"/>
  <c r="U56" i="15"/>
  <c r="V82" i="15"/>
  <c r="U90" i="15"/>
  <c r="D85" i="15" s="1"/>
  <c r="V26" i="15"/>
  <c r="U34" i="15"/>
  <c r="D29" i="15" s="1"/>
  <c r="D51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59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2.StatusDetalheCamposB6G5991"/>
        </x15:connection>
      </ext>
    </extLst>
  </connection>
  <connection id="3" xr16:uid="{00000000-0015-0000-FFFF-FFFF02000000}" name="WorksheetConnection_2. Status Detalhe Campos!$B$6:$G$60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4" xr16:uid="{00000000-0015-0000-FFFF-FFFF03000000}" name="WorksheetConnection_Sheet2!$B$2:$G$5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  <connection id="5" xr16:uid="{00000000-0015-0000-FFFF-FFFF04000000}" name="WorksheetConnection_Testes GD Pilar 3 - Plano_versão trabalho_V1.2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TestesGDPilar3Plano_versãotrabalho_V1.2.xlsxTable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ange 1].[Tipo de teste].&amp;[2. Campo]}"/>
    <s v="{[Range 1].[Âmbito].&amp;[GD]}"/>
    <s v="{[Table4].[Âmbito].&amp;[Pilar III]}"/>
    <s v="{[Table4].[Sub-âmbito].&amp;[Bens Imóveis - Input],[Table4].[Sub-âmbito].&amp;[Bens Imóveis - Output]}"/>
    <s v="{[Table4].[Tipo de teste].&amp;[2. Campo]}"/>
    <s v="{[Table4].[Sub-âmbito].&amp;[Modelo Verde - Input],[Table4].[Sub-âmbito].&amp;[Modelo Verde - Output]}"/>
    <s v="{[Table4].[Sub-âmbito].&amp;[Pilar III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<sst xmlns="http://schemas.openxmlformats.org/spreadsheetml/2006/main" count="6429" uniqueCount="531">
  <si>
    <t>Âmbito de atuação</t>
  </si>
  <si>
    <t>Modelo Relacional - Modelo Verde</t>
  </si>
  <si>
    <t>Modelo Relacional - Bens Imóveis</t>
  </si>
  <si>
    <t>Legenda:</t>
  </si>
  <si>
    <t>Tabelas âmbito de atuação</t>
  </si>
  <si>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</si>
  <si>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</si>
  <si>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</si>
  <si>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</si>
  <si>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</si>
  <si>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</si>
  <si>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</si>
  <si>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</si>
  <si>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GD</t>
  </si>
  <si>
    <t>Bens Imóveis - Input</t>
  </si>
  <si>
    <t>1. Universo</t>
  </si>
  <si>
    <t>cd_imv_inp_certif_estimativa</t>
  </si>
  <si>
    <t>n.a.</t>
  </si>
  <si>
    <t>2. Campo</t>
  </si>
  <si>
    <t>cempbem</t>
  </si>
  <si>
    <t>chave_encriptada</t>
  </si>
  <si>
    <t>ckbalbem</t>
  </si>
  <si>
    <t>ckctabem</t>
  </si>
  <si>
    <t>ckrefbem</t>
  </si>
  <si>
    <t>data_extraccao_info</t>
  </si>
  <si>
    <t>epc</t>
  </si>
  <si>
    <t>fornecedor</t>
  </si>
  <si>
    <t>metodo_info</t>
  </si>
  <si>
    <t>score_qualidade</t>
  </si>
  <si>
    <t>vlr_cnsm_ano</t>
  </si>
  <si>
    <t>vlr_emss_ano</t>
  </si>
  <si>
    <t>Bens Imóveis - Output</t>
  </si>
  <si>
    <t>cd_imv_out_prc</t>
  </si>
  <si>
    <t>cd_imv_out_trz_cred_prc</t>
  </si>
  <si>
    <t>cempresa</t>
  </si>
  <si>
    <t>ckbalcao</t>
  </si>
  <si>
    <t>cknumcta</t>
  </si>
  <si>
    <t>cod_estd_prcs</t>
  </si>
  <si>
    <t>cod_grt</t>
  </si>
  <si>
    <t>cod_moeda</t>
  </si>
  <si>
    <t>cod_observacao</t>
  </si>
  <si>
    <t>cod_prd_grnt</t>
  </si>
  <si>
    <t>cod_sprd_grnt</t>
  </si>
  <si>
    <t>cod_tipo</t>
  </si>
  <si>
    <t>comp_id_gar</t>
  </si>
  <si>
    <t>data_inicio</t>
  </si>
  <si>
    <t>data_vcmt</t>
  </si>
  <si>
    <t>montante_eur</t>
  </si>
  <si>
    <t>montante_org</t>
  </si>
  <si>
    <t>origem</t>
  </si>
  <si>
    <t>ref_date</t>
  </si>
  <si>
    <t>cempresp</t>
  </si>
  <si>
    <t>ckbalres</t>
  </si>
  <si>
    <t>ckctares</t>
  </si>
  <si>
    <t>ckrefresp</t>
  </si>
  <si>
    <t>cod_fnld</t>
  </si>
  <si>
    <t>cod_ocupacao</t>
  </si>
  <si>
    <t>cod_prd_resp</t>
  </si>
  <si>
    <t>cod_sit</t>
  </si>
  <si>
    <t>cod_sprd_resp</t>
  </si>
  <si>
    <t>data_fim</t>
  </si>
  <si>
    <t>idetgar</t>
  </si>
  <si>
    <t>num_prop</t>
  </si>
  <si>
    <t>cd_imv_out_trz_prc_bens_imv</t>
  </si>
  <si>
    <t>data_assc</t>
  </si>
  <si>
    <t>flg_adj</t>
  </si>
  <si>
    <t>flg_col</t>
  </si>
  <si>
    <t>flg_fin</t>
  </si>
  <si>
    <t>flg_pro</t>
  </si>
  <si>
    <t>cd_imv_out_bens</t>
  </si>
  <si>
    <t>ano_construcao</t>
  </si>
  <si>
    <t>area_util</t>
  </si>
  <si>
    <t>cod_art_matr</t>
  </si>
  <si>
    <t>cod_avl</t>
  </si>
  <si>
    <t>cod_bem</t>
  </si>
  <si>
    <t>cod_disconf</t>
  </si>
  <si>
    <t>cod_fin_bem</t>
  </si>
  <si>
    <t>cod_idd_pred</t>
  </si>
  <si>
    <t>cod_morada</t>
  </si>
  <si>
    <t>cod_pais</t>
  </si>
  <si>
    <t>cod_post</t>
  </si>
  <si>
    <t>cod_tp_bem</t>
  </si>
  <si>
    <t>data_avl</t>
  </si>
  <si>
    <t>data_lic_util</t>
  </si>
  <si>
    <t>ficha</t>
  </si>
  <si>
    <t>id_frac</t>
  </si>
  <si>
    <t>localid</t>
  </si>
  <si>
    <t>lote</t>
  </si>
  <si>
    <t>montante_avl</t>
  </si>
  <si>
    <t>montante_avl_dist</t>
  </si>
  <si>
    <t>montante_vnd_rap</t>
  </si>
  <si>
    <t>morada</t>
  </si>
  <si>
    <t>num</t>
  </si>
  <si>
    <t>perc_obra</t>
  </si>
  <si>
    <t>prealcons</t>
  </si>
  <si>
    <t>urbaniz</t>
  </si>
  <si>
    <t>cd_imv_out_certif</t>
  </si>
  <si>
    <t>cod_cnsrvtr_rgst_prdl</t>
  </si>
  <si>
    <t>cod_inscrc</t>
  </si>
  <si>
    <t>cod_sce</t>
  </si>
  <si>
    <t>data_epc</t>
  </si>
  <si>
    <t>data_exprc_epc</t>
  </si>
  <si>
    <t>flg_efcc_enrg_cnsm_tp_s</t>
  </si>
  <si>
    <t>flg_efcnc_enrg_cnsm_tp_t</t>
  </si>
  <si>
    <t>flg_efcnc_enrgtc</t>
  </si>
  <si>
    <t>flg_efcnc_enrgtc_rnvv</t>
  </si>
  <si>
    <t>flg_nzeb</t>
  </si>
  <si>
    <t>nvl_efcc_enrg</t>
  </si>
  <si>
    <t>tp_crtfcd</t>
  </si>
  <si>
    <t>vlr_agua_qnt_sant_edfc</t>
  </si>
  <si>
    <t>vlr_agua_qnt_snt_rnvv</t>
  </si>
  <si>
    <t>vlr_agua_qnt_sntr_rfrc</t>
  </si>
  <si>
    <t>vlr_alttt</t>
  </si>
  <si>
    <t>vlr_aqcmnt_ambnt_edfc</t>
  </si>
  <si>
    <t>vlr_aqcmnt_ambnt_rfrc</t>
  </si>
  <si>
    <t>vlr_aqcmnt_ambnt_rnvv</t>
  </si>
  <si>
    <t>vlr_arrfcmnt_ambnt_edfc</t>
  </si>
  <si>
    <t>vlr_arrfcmnt_ambnt_renvv</t>
  </si>
  <si>
    <t>vlr_arrfcmnt_ambnt_rfrc</t>
  </si>
  <si>
    <t>vlr_class_enrg_aps_mdd</t>
  </si>
  <si>
    <t>vlr_comp_trmc_cbrtrs</t>
  </si>
  <si>
    <t>vlr_comp_trmc_jnls</t>
  </si>
  <si>
    <t>vlr_comp_trmc_prds</t>
  </si>
  <si>
    <t>vlr_comp_trmc_pvmnts</t>
  </si>
  <si>
    <t>vlr_comp_trmc_sstmtcn_vntld</t>
  </si>
  <si>
    <t>vlr_cst_ttl_invstmnt_estmd</t>
  </si>
  <si>
    <t>vlr_drc_estc_aqcmnt</t>
  </si>
  <si>
    <t>vlr_drc_estc_arrfcmnt</t>
  </si>
  <si>
    <t>vlr_emss_co2</t>
  </si>
  <si>
    <t>vlr_enrg_eltc_vntldr</t>
  </si>
  <si>
    <t>vlr_enrg_fnts_rnvv_otr_uso</t>
  </si>
  <si>
    <t>vlr_enrg_fnts_rnvv_regl</t>
  </si>
  <si>
    <t>vlr_enrg_renew</t>
  </si>
  <si>
    <t>vlr_enrg_utl_agua_qt_snt</t>
  </si>
  <si>
    <t>vlr_enrg_utl_arrfcmnt</t>
  </si>
  <si>
    <t>vlr_grs_dia</t>
  </si>
  <si>
    <t>vlr_ncssdd_enrg_prmr</t>
  </si>
  <si>
    <t>vlr_ncssdd_enrg_utl_aqcd</t>
  </si>
  <si>
    <t>vlr_prd_gnh_invrn_prd_prt</t>
  </si>
  <si>
    <t>vlr_prd_gnh_invrn_pvmnt</t>
  </si>
  <si>
    <t>vlr_prds_gnhs_invrn_cbrtr</t>
  </si>
  <si>
    <t>vlr_prds_gnhs_invrn_jnl</t>
  </si>
  <si>
    <t>vlr_prds_gnhs_invrn_rfc</t>
  </si>
  <si>
    <t>vlr_prds_gnhs_invrn_vntnh</t>
  </si>
  <si>
    <t>vlr_prds_gnhs_vr_cbrtr</t>
  </si>
  <si>
    <t>vlr_prds_gnhs_vr_jnl</t>
  </si>
  <si>
    <t>vlr_prds_gnhs_vr_prd_prt</t>
  </si>
  <si>
    <t>vlr_prds_gnhs_vr_rfrc</t>
  </si>
  <si>
    <t>vlr_rdc_anl_estmd_ftr</t>
  </si>
  <si>
    <t>vlr_tmprtr_md_extrr</t>
  </si>
  <si>
    <t>zn_clmtc_invrn</t>
  </si>
  <si>
    <t>zn_clmtc_vr</t>
  </si>
  <si>
    <t>2. Em Teste</t>
  </si>
  <si>
    <t>Modelo Verde - Input</t>
  </si>
  <si>
    <t>modesg_param_sfcs_taxon_europeia</t>
  </si>
  <si>
    <t>cbalcao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</si>
  <si>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</si>
  <si>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</si>
  <si>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</si>
  <si>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</si>
  <si>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</si>
  <si>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</si>
  <si>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</si>
  <si>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</si>
  <si>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</si>
  <si>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</si>
  <si>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</si>
  <si>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</si>
  <si>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</si>
  <si>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</si>
  <si>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</si>
  <si>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</si>
  <si>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</si>
  <si>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</si>
  <si>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</si>
  <si>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</si>
  <si>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</si>
  <si>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</si>
  <si>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zcliente</t>
  </si>
  <si>
    <t>zdeposit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</si>
  <si>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</si>
  <si>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</si>
  <si>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</si>
  <si>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</si>
  <si>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</si>
  <si>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</si>
  <si>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</si>
  <si>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</si>
  <si>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</si>
  <si>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</si>
  <si>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</si>
  <si>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</si>
  <si>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</si>
  <si>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</si>
  <si>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</si>
  <si>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</si>
  <si>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</si>
  <si>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</si>
  <si>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</si>
  <si>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</si>
  <si>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</si>
  <si>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</si>
  <si>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</si>
  <si>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</si>
  <si>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</si>
  <si>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</si>
  <si>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</si>
  <si>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</si>
  <si>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</si>
  <si>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</si>
  <si>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</si>
  <si>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</si>
  <si>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</si>
  <si>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</si>
  <si>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</si>
  <si>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</si>
  <si>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</si>
  <si>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</si>
  <si>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</si>
  <si>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</si>
  <si>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</si>
  <si>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</si>
  <si>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</si>
  <si>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</si>
  <si>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</si>
  <si>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</si>
  <si>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</si>
  <si>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</si>
  <si>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</si>
  <si>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</si>
  <si>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</si>
  <si>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</si>
  <si>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</si>
  <si>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</si>
  <si>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</si>
  <si>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</si>
  <si>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</si>
  <si>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</si>
  <si>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</si>
  <si>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</si>
  <si>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</si>
  <si>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</si>
  <si>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</si>
  <si>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</si>
  <si>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</si>
  <si>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</si>
  <si>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</si>
  <si>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</si>
  <si>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</si>
  <si>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</si>
  <si>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</si>
  <si>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</si>
  <si>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</si>
  <si>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</si>
  <si>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</si>
  <si>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</si>
  <si>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</si>
  <si>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</si>
  <si>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</si>
  <si>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</si>
  <si>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</si>
  <si>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</si>
  <si>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</si>
  <si>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</si>
  <si>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</si>
  <si>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classification_level_1</t>
  </si>
  <si>
    <t>asset_class</t>
  </si>
  <si>
    <t>methodology_option</t>
  </si>
  <si>
    <t>unidades_fator_de_emissao</t>
  </si>
  <si>
    <t>emission_factor_type</t>
  </si>
  <si>
    <t>tipo_bem</t>
  </si>
  <si>
    <t>tipo_finalidade_bem</t>
  </si>
  <si>
    <t>flg_ftr_emss_area</t>
  </si>
  <si>
    <t>unidade_fator_emissao</t>
  </si>
  <si>
    <t>scp_ftr_emss_ano1</t>
  </si>
  <si>
    <t>Modelo Verde - Output</t>
  </si>
  <si>
    <t>modesg_out_bens_imoveis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</si>
  <si>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</si>
  <si>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</si>
  <si>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</si>
  <si>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</si>
  <si>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</si>
  <si>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</si>
  <si>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</si>
  <si>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</si>
  <si>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</si>
  <si>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</si>
  <si>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</si>
  <si>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</si>
  <si>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</si>
  <si>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</si>
  <si>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</si>
  <si>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ordem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</si>
  <si>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</si>
  <si>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</si>
  <si>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</si>
  <si>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</si>
  <si>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</si>
  <si>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</si>
  <si>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</si>
  <si>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</si>
  <si>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</si>
  <si>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</si>
  <si>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</si>
  <si>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</si>
  <si>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</si>
  <si>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</si>
  <si>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</si>
  <si>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</si>
  <si>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</si>
  <si>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</si>
  <si>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</si>
  <si>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</si>
  <si>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</si>
  <si>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</si>
  <si>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</si>
  <si>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</si>
  <si>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</si>
  <si>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</si>
  <si>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</si>
  <si>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</si>
  <si>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</si>
  <si>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</si>
  <si>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</si>
  <si>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</si>
  <si>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</si>
  <si>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</si>
  <si>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</si>
  <si>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</si>
  <si>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</si>
  <si>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</si>
  <si>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</si>
  <si>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</si>
  <si>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</si>
  <si>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</si>
  <si>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</si>
  <si>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</si>
  <si>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</si>
  <si>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</si>
  <si>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</si>
  <si>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</si>
  <si>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</si>
  <si>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</si>
  <si>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</si>
  <si>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</si>
  <si>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</si>
  <si>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</si>
  <si>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</si>
  <si>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</si>
  <si>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</si>
  <si>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</si>
  <si>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</si>
  <si>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</si>
  <si>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</si>
  <si>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</si>
  <si>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</si>
  <si>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</si>
  <si>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</si>
  <si>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</si>
  <si>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</si>
  <si>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</si>
  <si>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</si>
  <si>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</si>
  <si>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</si>
  <si>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</si>
  <si>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</si>
  <si>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</si>
  <si>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</si>
  <si>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</si>
  <si>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</si>
  <si>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</si>
  <si>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</si>
  <si>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</si>
  <si>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</si>
  <si>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</si>
  <si>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</si>
  <si>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</si>
  <si>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</si>
  <si>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</si>
  <si>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</si>
  <si>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</si>
  <si>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</si>
  <si>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</si>
  <si>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</si>
  <si>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</si>
  <si>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</si>
  <si>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</si>
  <si>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</si>
  <si>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</si>
  <si>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</si>
  <si>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</si>
  <si>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</si>
  <si>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</si>
  <si>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</si>
  <si>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</si>
  <si>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</si>
  <si>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</si>
  <si>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</si>
  <si>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</si>
  <si>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</si>
  <si>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</si>
  <si>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</si>
  <si>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</si>
  <si>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</si>
  <si>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</si>
  <si>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</si>
  <si>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</si>
  <si>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</si>
  <si>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</si>
  <si>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</si>
  <si>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</si>
  <si>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</si>
  <si>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</si>
  <si>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</si>
  <si>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</si>
  <si>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</si>
  <si>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</si>
  <si>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</si>
  <si>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</si>
  <si>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</si>
  <si>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</si>
  <si>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</si>
  <si>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</si>
  <si>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</si>
  <si>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</si>
  <si>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</si>
  <si>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</si>
  <si>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</si>
  <si>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</si>
  <si>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</si>
  <si>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</si>
  <si>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 xml:space="preserve">1. Modelo de Bens Imóveis </t>
  </si>
  <si>
    <t>Resumo</t>
  </si>
  <si>
    <t>Detalhe por Tabela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</si>
  <si>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</si>
  <si>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</si>
  <si>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</si>
  <si>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</si>
  <si>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</si>
  <si>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</si>
  <si>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</si>
  <si>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</si>
  <si>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</si>
  <si>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&gt;</t>
  </si>
  <si>
    <t>Universo Bens Colateralizados (MUG)</t>
  </si>
  <si>
    <t>OK</t>
  </si>
  <si>
    <t>Universo Bens Não Colateralizados (GP)</t>
  </si>
  <si>
    <t>Universo Bens Adjudicados</t>
  </si>
  <si>
    <t>Não serão testados neste projeto</t>
  </si>
  <si>
    <t>2. Modelo Verde</t>
  </si>
  <si>
    <t>3. Loan Tape | Pilar III</t>
  </si>
  <si>
    <t>4. Loan Tape | Green Dashboard</t>
  </si>
  <si>
    <t>Status Atual</t>
  </si>
  <si>
    <t>Status Anterior</t>
  </si>
  <si>
    <t>Observações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</si>
  <si>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</si>
  <si>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</si>
  <si>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</si>
  <si>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</si>
  <si>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</si>
  <si>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22/07/2024: Entrega de campo para testes</t>
  </si>
  <si>
    <t>Novo Campo - IT já implementou</t>
  </si>
  <si>
    <t>Novo Campo</t>
  </si>
  <si>
    <t>Alteração estrutural</t>
  </si>
  <si>
    <t>Novo Campo no input corporativo</t>
  </si>
  <si>
    <t>18/07/2024: Em validação com Corporação sobre a possibilidade de valores zero (contra especificação)</t>
  </si>
  <si>
    <t>Pendente do input</t>
  </si>
  <si>
    <t>Pendente de definição de prioridade por parte de área de negócio (Bernardo Vedor)</t>
  </si>
  <si>
    <t>26/07/2024: Campo não espelhado na documentação da Deloitte (LT ESTR)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</si>
  <si>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</si>
  <si>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</si>
  <si>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</si>
  <si>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</si>
  <si>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</si>
  <si>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</si>
  <si>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</si>
  <si>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</si>
  <si>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</si>
  <si>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</si>
  <si>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Grand Total</t>
  </si>
  <si>
    <t>1. Modelo Bens imóveis</t>
  </si>
  <si>
    <t>(Multiple Items)</t>
  </si>
  <si>
    <t>Count of Campo</t>
  </si>
  <si>
    <t>Column Labels</t>
  </si>
  <si>
    <t>Row Labels</t>
  </si>
  <si>
    <t>Complexidade</t>
  </si>
  <si>
    <t>1. Teste de universo</t>
  </si>
  <si>
    <t>Alta</t>
  </si>
  <si>
    <t>2. Simulação</t>
  </si>
  <si>
    <t>3. Testes comparativos (Espec. VS Impl.)</t>
  </si>
  <si>
    <t>4. Validação de parametrizações</t>
  </si>
  <si>
    <t>6. Validação de formatos</t>
  </si>
  <si>
    <t>7. Validação de controlos corporativos</t>
  </si>
  <si>
    <t>5. Teste comparativos com LT</t>
  </si>
  <si>
    <t>Baixa</t>
  </si>
  <si>
    <t>Média</t>
  </si>
  <si>
    <t>9. Teste de Integridade</t>
  </si>
  <si>
    <t>8. Teste de Carregamento</t>
  </si>
  <si>
    <t>Estimação Horas</t>
  </si>
  <si>
    <t>Tipologia de testes</t>
  </si>
  <si>
    <t>Categorização de Testes</t>
  </si>
  <si>
    <t>Descrição</t>
  </si>
  <si>
    <t>1. Validação de universo de contratos (quando comparado âmbito "CDG" e "PM", e numero de registos)
2. Controlos sobre o desdobramento de chaves nas relações FR-MIS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</si>
  <si>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</si>
  <si>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</si>
  <si>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</si>
  <si>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</si>
  <si>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</si>
  <si>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Validar controlos corporativos e se a especificação cumpre os requisitos.</t>
  </si>
  <si>
    <t>Garantir que o carregamento do ficheiro é realizado com sucesso no Front.</t>
  </si>
  <si>
    <t>Garantir integridade entre o ficheiro importado pela equipa de testes e o ficheiro de tecnologia (Ex: Garantir que a informação de todos os campos está correta de acordo com os dados corporativos)</t>
  </si>
  <si>
    <t>Pendente de outros campos/tabelas</t>
  </si>
  <si>
    <t>Validação da Susana/conceito/alterações</t>
  </si>
  <si>
    <t>Por IT</t>
  </si>
  <si>
    <t>Campo eliminado</t>
  </si>
  <si>
    <t>NOK &gt; Em validação EF</t>
  </si>
  <si>
    <t>Em Teste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</si>
  <si>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26 de julho a 01 de agosto</t>
    </r>
  </si>
  <si>
    <r>
      <t xml:space="preserve">1. Foi realizada uma reunião de esclarecimento/dúvida relativamente à especificação as-is e to-be dos campos e desagregação da chave do contrato com as equipas envolvidas. 
</t>
    </r>
    <r>
      <rPr>
        <b/>
        <sz val="12"/>
        <color theme="1"/>
        <rFont val="Santander Text"/>
        <family val="2"/>
      </rPr>
      <t xml:space="preserve">
Este bloco encontra-se em stand by pela equipa de testes.</t>
    </r>
  </si>
  <si>
    <t>Status (campos)</t>
  </si>
  <si>
    <r>
      <t xml:space="preserve">1. Foram iniciados os testes aos </t>
    </r>
    <r>
      <rPr>
        <b/>
        <sz val="11"/>
        <rFont val="Santander Text"/>
        <family val="2"/>
      </rPr>
      <t>campos de atributos</t>
    </r>
    <r>
      <rPr>
        <sz val="11"/>
        <rFont val="Santander Text"/>
        <family val="2"/>
      </rPr>
      <t xml:space="preserve">, com foco na tabela de </t>
    </r>
    <r>
      <rPr>
        <b/>
        <sz val="11"/>
        <rFont val="Santander Text"/>
        <family val="2"/>
      </rPr>
      <t xml:space="preserve">output de bens imóveis </t>
    </r>
    <r>
      <rPr>
        <sz val="11"/>
        <rFont val="Santander Text"/>
        <family val="2"/>
      </rPr>
      <t xml:space="preserve">(os testes incluem a </t>
    </r>
    <r>
      <rPr>
        <b/>
        <sz val="11"/>
        <rFont val="Santander Text"/>
        <family val="2"/>
      </rPr>
      <t>simulação</t>
    </r>
    <r>
      <rPr>
        <sz val="11"/>
        <rFont val="Santander Text"/>
        <family val="2"/>
      </rPr>
      <t xml:space="preserve"> de todo o </t>
    </r>
    <r>
      <rPr>
        <b/>
        <sz val="11"/>
        <rFont val="Santander Text"/>
        <family val="2"/>
      </rPr>
      <t xml:space="preserve">universo </t>
    </r>
    <r>
      <rPr>
        <sz val="11"/>
        <rFont val="Santander Text"/>
        <family val="2"/>
      </rPr>
      <t xml:space="preserve">e respetivos </t>
    </r>
    <r>
      <rPr>
        <b/>
        <sz val="11"/>
        <rFont val="Santander Text"/>
        <family val="2"/>
      </rPr>
      <t xml:space="preserve">campos de atributos </t>
    </r>
    <r>
      <rPr>
        <sz val="11"/>
        <rFont val="Santander Text"/>
        <family val="2"/>
      </rPr>
      <t xml:space="preserve">e </t>
    </r>
    <r>
      <rPr>
        <b/>
        <sz val="11"/>
        <rFont val="Santander Text"/>
        <family val="2"/>
      </rPr>
      <t xml:space="preserve">comparação </t>
    </r>
    <r>
      <rPr>
        <sz val="11"/>
        <rFont val="Santander Text"/>
        <family val="2"/>
      </rPr>
      <t xml:space="preserve">com a </t>
    </r>
    <r>
      <rPr>
        <b/>
        <sz val="11"/>
        <rFont val="Santander Text"/>
        <family val="2"/>
      </rPr>
      <t>implementação de IT</t>
    </r>
    <r>
      <rPr>
        <sz val="11"/>
        <rFont val="Santander Text"/>
        <family val="2"/>
      </rPr>
      <t xml:space="preserve">).
2. No seguimento dos testes realizados à tabela supramencionada:
      2.1. foram realizadas reuniões de </t>
    </r>
    <r>
      <rPr>
        <b/>
        <sz val="11"/>
        <rFont val="Santander Text"/>
        <family val="2"/>
      </rPr>
      <t>esclarecimento sobre o aprovisionamento de 6 campos</t>
    </r>
    <r>
      <rPr>
        <sz val="11"/>
        <rFont val="Santander Text"/>
        <family val="2"/>
      </rPr>
      <t xml:space="preserve"> com a equipa de CDO e IT NYD MUG - De forma a garantir coerência com o MUG, estes campos devem ser </t>
    </r>
    <r>
      <rPr>
        <b/>
        <sz val="11"/>
        <rFont val="Santander Text"/>
        <family val="2"/>
      </rPr>
      <t>corrigidos por IT</t>
    </r>
    <r>
      <rPr>
        <sz val="11"/>
        <rFont val="Santander Text"/>
        <family val="2"/>
      </rPr>
      <t xml:space="preserve"> (pouco impacto na implementação mas com impactos a nível de resultados na data da realização do teste).
      2.2. Foram </t>
    </r>
    <r>
      <rPr>
        <b/>
        <sz val="11"/>
        <rFont val="Santander Text"/>
        <family val="2"/>
      </rPr>
      <t>concluídos com sucesso 3 campos</t>
    </r>
    <r>
      <rPr>
        <sz val="11"/>
        <rFont val="Santander Text"/>
        <family val="2"/>
      </rPr>
      <t>.
3. Deve ser repensado o modo de</t>
    </r>
    <r>
      <rPr>
        <b/>
        <sz val="11"/>
        <rFont val="Santander Text"/>
        <family val="2"/>
      </rPr>
      <t xml:space="preserve"> upload do Input da Gloval no front do Data Lake</t>
    </r>
    <r>
      <rPr>
        <sz val="11"/>
        <rFont val="Santander Text"/>
        <family val="2"/>
      </rPr>
      <t xml:space="preserve"> por forma a não "esmagar" a informação já carregada previamente ou atualizar caso necessário (afeta 65 campos). Reunião de revisão do processo </t>
    </r>
    <r>
      <rPr>
        <b/>
        <sz val="11"/>
        <rFont val="Santander Text"/>
        <family val="2"/>
      </rPr>
      <t>re-agendada para dia 05/08/2024.</t>
    </r>
  </si>
  <si>
    <t>Status (Universos)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</si>
  <si>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</si>
  <si>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OK (coerente com Modelo de Bens Imóveis)</t>
  </si>
  <si>
    <r>
      <t xml:space="preserve">1. Continua em curso o </t>
    </r>
    <r>
      <rPr>
        <b/>
        <sz val="11"/>
        <color theme="1"/>
        <rFont val="Santander Text"/>
        <family val="2"/>
      </rPr>
      <t xml:space="preserve">assessment ao Modelo Verde. 
</t>
    </r>
    <r>
      <rPr>
        <sz val="11"/>
        <color theme="1"/>
        <rFont val="Santander Text"/>
        <family val="2"/>
      </rPr>
      <t xml:space="preserve">
2. Os campos que dependem da hierarquia de ordem de aprovisionamento da tabela de clientes (LEI, ISIN, KGL) foram entregues a</t>
    </r>
    <r>
      <rPr>
        <b/>
        <sz val="11"/>
        <color theme="1"/>
        <rFont val="Santander Text"/>
        <family val="2"/>
      </rPr>
      <t xml:space="preserve"> 31 de julho (30 campos </t>
    </r>
    <r>
      <rPr>
        <sz val="11"/>
        <color theme="1"/>
        <rFont val="Santander Text"/>
        <family val="2"/>
      </rPr>
      <t xml:space="preserve">passaram para o estado de </t>
    </r>
    <r>
      <rPr>
        <b/>
        <sz val="11"/>
        <color theme="1"/>
        <rFont val="Santander Text"/>
        <family val="2"/>
      </rPr>
      <t>"Em teste")</t>
    </r>
    <r>
      <rPr>
        <sz val="11"/>
        <color theme="1"/>
        <rFont val="Santander Text"/>
        <family val="2"/>
      </rPr>
      <t xml:space="preserve">.
</t>
    </r>
    <r>
      <rPr>
        <u/>
        <sz val="11"/>
        <color theme="1"/>
        <rFont val="Santander Text"/>
        <family val="2"/>
      </rPr>
      <t xml:space="preserve">3. Temas endereçados: 
</t>
    </r>
    <r>
      <rPr>
        <sz val="11"/>
        <color theme="1"/>
        <rFont val="Santander Text"/>
        <family val="2"/>
      </rPr>
      <t xml:space="preserve">
</t>
    </r>
    <r>
      <rPr>
        <b/>
        <u/>
        <sz val="11"/>
        <color theme="1"/>
        <rFont val="Santander Text"/>
        <family val="2"/>
      </rPr>
      <t xml:space="preserve">      3.1. Marcação verde (modesg_param_sfcs_taxon_europeia):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Está a ser revista pela equipa de testes. Foi simulada a marcação com a atual parametrização com o objetivo de </t>
    </r>
    <r>
      <rPr>
        <b/>
        <sz val="11"/>
        <color theme="1"/>
        <rFont val="Santander Text"/>
        <family val="2"/>
      </rPr>
      <t xml:space="preserve">identificar contratos com mais que uma categoria sfcs no mesmo nível hierárquico - </t>
    </r>
    <r>
      <rPr>
        <sz val="11"/>
        <color theme="1"/>
        <rFont val="Santander Text"/>
        <family val="2"/>
      </rPr>
      <t xml:space="preserve">Foi realizada uma </t>
    </r>
    <r>
      <rPr>
        <b/>
        <sz val="11"/>
        <color theme="1"/>
        <rFont val="Santander Text"/>
        <family val="2"/>
      </rPr>
      <t xml:space="preserve">reunião para apresentação </t>
    </r>
    <r>
      <rPr>
        <sz val="11"/>
        <color theme="1"/>
        <rFont val="Santander Text"/>
        <family val="2"/>
      </rPr>
      <t>e discussão das casuisticas</t>
    </r>
    <r>
      <rPr>
        <b/>
        <sz val="11"/>
        <color theme="1"/>
        <rFont val="Santander Text"/>
        <family val="2"/>
      </rPr>
      <t xml:space="preserve">. </t>
    </r>
    <r>
      <rPr>
        <sz val="11"/>
        <color theme="1"/>
        <rFont val="Santander Text"/>
        <family val="2"/>
      </rPr>
      <t xml:space="preserve">A tabela deve ser </t>
    </r>
    <r>
      <rPr>
        <b/>
        <sz val="11"/>
        <color theme="1"/>
        <rFont val="Santander Text"/>
        <family val="2"/>
      </rPr>
      <t xml:space="preserve">revista pelo Controlo de Gestão </t>
    </r>
    <r>
      <rPr>
        <sz val="11"/>
        <color theme="1"/>
        <rFont val="Santander Text"/>
        <family val="2"/>
      </rPr>
      <t xml:space="preserve">para alteração da mesma (dependência).
</t>
    </r>
    <r>
      <rPr>
        <b/>
        <sz val="11"/>
        <color theme="1"/>
        <rFont val="Santander Text"/>
        <family val="2"/>
      </rPr>
      <t xml:space="preserve"> </t>
    </r>
    <r>
      <rPr>
        <b/>
        <u/>
        <sz val="11"/>
        <color theme="1"/>
        <rFont val="Santander Text"/>
        <family val="2"/>
      </rPr>
      <t xml:space="preserve">     3.2. Universo de Veiculos (Modesg_out_ems_vcls):
</t>
    </r>
    <r>
      <rPr>
        <sz val="11"/>
        <color theme="1"/>
        <rFont val="Santander Text"/>
        <family val="2"/>
      </rPr>
      <t xml:space="preserve">Foi realizada uma </t>
    </r>
    <r>
      <rPr>
        <b/>
        <sz val="11"/>
        <color theme="1"/>
        <rFont val="Santander Text"/>
        <family val="2"/>
      </rPr>
      <t>sessão com IT NYD MV para esclarecimentos sobre as  alteração de especificação</t>
    </r>
    <r>
      <rPr>
        <sz val="11"/>
        <color theme="1"/>
        <rFont val="Santander Text"/>
        <family val="2"/>
      </rPr>
      <t xml:space="preserve"> ao universo de veículos, definida com a área de Leasing em Maio de 2024. Serão necessários </t>
    </r>
    <r>
      <rPr>
        <b/>
        <sz val="11"/>
        <color theme="1"/>
        <rFont val="Santander Text"/>
        <family val="2"/>
      </rPr>
      <t xml:space="preserve">esclarecimentos adicionais com as áreas de Leasing e CDO para aprovisionamento do Universo </t>
    </r>
    <r>
      <rPr>
        <sz val="11"/>
        <color theme="1"/>
        <rFont val="Santander Text"/>
        <family val="2"/>
      </rPr>
      <t xml:space="preserve">(proposta da equipa de testes: tabela de parametrização).
</t>
    </r>
    <r>
      <rPr>
        <b/>
        <u/>
        <sz val="11"/>
        <color theme="1"/>
        <rFont val="Santander Text"/>
        <family val="2"/>
      </rPr>
      <t xml:space="preserve">      3.3. Input Emissões de Bens imóveis (modesg_inp_emss_bens_imoveis):
</t>
    </r>
    <r>
      <rPr>
        <sz val="11"/>
        <color theme="1"/>
        <rFont val="Santander Text"/>
        <family val="2"/>
      </rPr>
      <t xml:space="preserve">Foi realizada uma </t>
    </r>
    <r>
      <rPr>
        <b/>
        <sz val="11"/>
        <color theme="1"/>
        <rFont val="Santander Text"/>
        <family val="2"/>
      </rPr>
      <t>sessão com IT NYD MV</t>
    </r>
    <r>
      <rPr>
        <sz val="11"/>
        <color theme="1"/>
        <rFont val="Santander Text"/>
        <family val="2"/>
      </rPr>
      <t xml:space="preserve"> para esclarecimento sobre o aprovionamento das </t>
    </r>
    <r>
      <rPr>
        <b/>
        <sz val="11"/>
        <color theme="1"/>
        <rFont val="Santander Text"/>
        <family val="2"/>
      </rPr>
      <t>finalidades dos bens</t>
    </r>
    <r>
      <rPr>
        <sz val="11"/>
        <color theme="1"/>
        <rFont val="Santander Text"/>
        <family val="2"/>
      </rPr>
      <t xml:space="preserve">. No Input Corporativo, os códigos são </t>
    </r>
    <r>
      <rPr>
        <b/>
        <sz val="11"/>
        <color theme="1"/>
        <rFont val="Santander Text"/>
        <family val="2"/>
      </rPr>
      <t xml:space="preserve">mais granulares do que </t>
    </r>
    <r>
      <rPr>
        <sz val="11"/>
        <color theme="1"/>
        <rFont val="Santander Text"/>
        <family val="2"/>
      </rPr>
      <t xml:space="preserve">os aprovisionados nos </t>
    </r>
    <r>
      <rPr>
        <b/>
        <sz val="11"/>
        <color theme="1"/>
        <rFont val="Santander Text"/>
        <family val="2"/>
      </rPr>
      <t>sistemas fonte do Banco</t>
    </r>
    <r>
      <rPr>
        <sz val="11"/>
        <color theme="1"/>
        <rFont val="Santander Text"/>
        <family val="2"/>
      </rPr>
      <t xml:space="preserve">, e, consequentemente no DL. Será necessário agendar uma </t>
    </r>
    <r>
      <rPr>
        <b/>
        <sz val="11"/>
        <color theme="1"/>
        <rFont val="Santander Text"/>
        <family val="2"/>
      </rPr>
      <t xml:space="preserve">reunião com a Área de Negócio </t>
    </r>
    <r>
      <rPr>
        <sz val="11"/>
        <color theme="1"/>
        <rFont val="Santander Text"/>
        <family val="2"/>
      </rPr>
      <t xml:space="preserve">para definição de </t>
    </r>
    <r>
      <rPr>
        <b/>
        <sz val="11"/>
        <color theme="1"/>
        <rFont val="Santander Text"/>
        <family val="2"/>
      </rPr>
      <t xml:space="preserve">nova metodologia de aprovisionamento </t>
    </r>
    <r>
      <rPr>
        <sz val="11"/>
        <color theme="1"/>
        <rFont val="Santander Text"/>
        <family val="2"/>
      </rPr>
      <t xml:space="preserve">(proposta: tabela de parametrização).
4. Foi re-agendada uma reunião para decisão sobre alterações aos </t>
    </r>
    <r>
      <rPr>
        <b/>
        <i/>
        <sz val="11"/>
        <color theme="1"/>
        <rFont val="Santander Text"/>
        <family val="2"/>
      </rPr>
      <t xml:space="preserve">inputs </t>
    </r>
    <r>
      <rPr>
        <b/>
        <sz val="11"/>
        <color theme="1"/>
        <rFont val="Santander Text"/>
        <family val="2"/>
      </rPr>
      <t xml:space="preserve">corporativos </t>
    </r>
    <r>
      <rPr>
        <sz val="11"/>
        <color theme="1"/>
        <rFont val="Santander Text"/>
        <family val="2"/>
      </rPr>
      <t xml:space="preserve">dia </t>
    </r>
    <r>
      <rPr>
        <b/>
        <sz val="11"/>
        <color theme="1"/>
        <rFont val="Santander Text"/>
        <family val="2"/>
      </rPr>
      <t>6/08/2024</t>
    </r>
    <r>
      <rPr>
        <sz val="11"/>
        <color theme="1"/>
        <rFont val="Santander Text"/>
        <family val="2"/>
      </rPr>
      <t>.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</si>
  <si>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</si>
  <si>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NOK &gt; Alterações estruturais</t>
  </si>
  <si>
    <t>modesg_out_ems_vcls</t>
  </si>
  <si>
    <r>
      <t>1.Foram iniciados os testes aos campos da Loan Tape Estrutural que devem ser reportados na Loan Tape - Pilar III (</t>
    </r>
    <r>
      <rPr>
        <b/>
        <sz val="11"/>
        <color theme="1" tint="4.9989318521683403E-2"/>
        <rFont val="Santander Text"/>
        <family val="2"/>
      </rPr>
      <t>testes regressivos sobre 37 campos</t>
    </r>
    <r>
      <rPr>
        <sz val="11"/>
        <color theme="1" tint="4.9989318521683403E-2"/>
        <rFont val="Santander Text"/>
        <family val="2"/>
      </rPr>
      <t xml:space="preserve">). Não obstante, </t>
    </r>
    <r>
      <rPr>
        <b/>
        <sz val="11"/>
        <color theme="1" tint="4.9989318521683403E-2"/>
        <rFont val="Santander Text"/>
        <family val="2"/>
      </rPr>
      <t xml:space="preserve">apenas foi possível testar 9 </t>
    </r>
    <r>
      <rPr>
        <sz val="11"/>
        <color theme="1" tint="4.9989318521683403E-2"/>
        <rFont val="Santander Text"/>
        <family val="2"/>
      </rPr>
      <t xml:space="preserve">campos devido a </t>
    </r>
    <r>
      <rPr>
        <b/>
        <sz val="11"/>
        <color theme="1" tint="4.9989318521683403E-2"/>
        <rFont val="Santander Text"/>
        <family val="2"/>
      </rPr>
      <t>problemas de memória no Data Lake</t>
    </r>
    <r>
      <rPr>
        <sz val="11"/>
        <color theme="1" tint="4.9989318521683403E-2"/>
        <rFont val="Santander Text"/>
        <family val="2"/>
      </rPr>
      <t xml:space="preserve">.
2. Foram </t>
    </r>
    <r>
      <rPr>
        <b/>
        <sz val="11"/>
        <color theme="1" tint="4.9989318521683403E-2"/>
        <rFont val="Santander Text"/>
        <family val="2"/>
      </rPr>
      <t>concluídos com sucesso 2 campos</t>
    </r>
    <r>
      <rPr>
        <sz val="11"/>
        <color theme="1" tint="4.9989318521683403E-2"/>
        <rFont val="Santander Text"/>
        <family val="2"/>
      </rPr>
      <t xml:space="preserve">.
</t>
    </r>
    <r>
      <rPr>
        <u/>
        <sz val="9"/>
        <color theme="0" tint="-0.499984740745262"/>
        <rFont val="Santander Text"/>
        <family val="2"/>
      </rPr>
      <t>Notas</t>
    </r>
    <r>
      <rPr>
        <sz val="9"/>
        <color theme="0" tint="-0.499984740745262"/>
        <rFont val="Santander Text"/>
        <family val="2"/>
      </rPr>
      <t>:
1. Universo de contratos deve corresponder ao da Loan Tape Estrutural. 
2. Na tabela da Protection apenas serão testadas os imóveis colateralizados.</t>
    </r>
  </si>
  <si>
    <r>
      <t xml:space="preserve">1. Apesar dos testes ao </t>
    </r>
    <r>
      <rPr>
        <b/>
        <sz val="12"/>
        <color theme="1"/>
        <rFont val="Santander Text"/>
        <family val="2"/>
      </rPr>
      <t xml:space="preserve">Green Dashboard se encontrarem em </t>
    </r>
    <r>
      <rPr>
        <b/>
        <i/>
        <sz val="12"/>
        <color theme="1"/>
        <rFont val="Santander Text"/>
        <family val="2"/>
      </rPr>
      <t>Stand By,</t>
    </r>
    <r>
      <rPr>
        <sz val="12"/>
        <color theme="1"/>
        <rFont val="Santander Text"/>
        <family val="2"/>
      </rPr>
      <t xml:space="preserve"> ainda foram realizadas reuniões de esclarecimentos com área de negócio sobre a desagregação dos contratos por </t>
    </r>
    <r>
      <rPr>
        <i/>
        <sz val="12"/>
        <color theme="1"/>
        <rFont val="Santander Text"/>
        <family val="2"/>
      </rPr>
      <t>Business Area</t>
    </r>
    <r>
      <rPr>
        <sz val="12"/>
        <color theme="1"/>
        <rFont val="Santander Text"/>
        <family val="2"/>
      </rPr>
      <t xml:space="preserve"> e serão agendadas reuniões de seguimento.
2. Foram realizadas reuniões de esclarecimento de </t>
    </r>
    <r>
      <rPr>
        <b/>
        <sz val="12"/>
        <color theme="1"/>
        <rFont val="Santander Text"/>
        <family val="2"/>
      </rPr>
      <t>alteração de especificação</t>
    </r>
    <r>
      <rPr>
        <sz val="12"/>
        <color theme="1"/>
        <rFont val="Santander Text"/>
        <family val="2"/>
      </rPr>
      <t xml:space="preserve">. A tabela de parametrização de marcação Verde encontra-se a ser revista uma vez que, com a paramemetrzação atual, existem contratos com mais que uma categoria sfcs no mesmo nível hierárquico. 
3. Paralelamente, deu-se continuidade ao Assessmente transversal do Modelo Verde.
4. Sobre os testes ao Modelo de Bens Imóveis, os </t>
    </r>
    <r>
      <rPr>
        <b/>
        <sz val="12"/>
        <color theme="1"/>
        <rFont val="Santander Text"/>
        <family val="2"/>
      </rPr>
      <t xml:space="preserve">testes aos atributos </t>
    </r>
    <r>
      <rPr>
        <sz val="12"/>
        <color theme="1"/>
        <rFont val="Santander Text"/>
        <family val="2"/>
      </rPr>
      <t xml:space="preserve">das tabelas de </t>
    </r>
    <r>
      <rPr>
        <i/>
        <sz val="12"/>
        <color theme="1"/>
        <rFont val="Santander Text"/>
        <family val="2"/>
      </rPr>
      <t>output</t>
    </r>
    <r>
      <rPr>
        <sz val="12"/>
        <color theme="1"/>
        <rFont val="Santander Text"/>
        <family val="2"/>
      </rPr>
      <t xml:space="preserve"> foi iniciado, com foco na </t>
    </r>
    <r>
      <rPr>
        <b/>
        <sz val="12"/>
        <color theme="1"/>
        <rFont val="Santander Text"/>
        <family val="2"/>
      </rPr>
      <t>de bens imóveis (cd_imv_out_bens)</t>
    </r>
    <r>
      <rPr>
        <sz val="12"/>
        <color theme="1"/>
        <rFont val="Santander Text"/>
        <family val="2"/>
      </rPr>
      <t xml:space="preserve">. Foram realizadas </t>
    </r>
    <r>
      <rPr>
        <b/>
        <sz val="12"/>
        <color theme="1"/>
        <rFont val="Santander Text"/>
        <family val="2"/>
      </rPr>
      <t xml:space="preserve">reuniões de re-especificação </t>
    </r>
    <r>
      <rPr>
        <sz val="12"/>
        <color theme="1"/>
        <rFont val="Santander Text"/>
        <family val="2"/>
      </rPr>
      <t>sobre o aprovisionamento dos campos de atributos de modo a garantir a coerência com o MUG.
5. Foram iniciados os testes aos campos da Loan Tape Estrutural que devem ser reportados na Loan Tape - Pilar III (</t>
    </r>
    <r>
      <rPr>
        <b/>
        <sz val="12"/>
        <color theme="1"/>
        <rFont val="Santander Text"/>
        <family val="2"/>
      </rPr>
      <t xml:space="preserve">testes regressivos sobre </t>
    </r>
    <r>
      <rPr>
        <sz val="12"/>
        <color theme="1"/>
        <rFont val="Santander Text"/>
        <family val="2"/>
      </rPr>
      <t xml:space="preserve">37 </t>
    </r>
    <r>
      <rPr>
        <b/>
        <sz val="12"/>
        <color theme="1"/>
        <rFont val="Santander Text"/>
        <family val="2"/>
      </rPr>
      <t>campos)</t>
    </r>
    <r>
      <rPr>
        <sz val="12"/>
        <color theme="1"/>
        <rFont val="Santander Text"/>
        <family val="2"/>
      </rPr>
      <t xml:space="preserve">. Não obstante, apenas foi possível testar 9 campos devido a problemas de memória no </t>
    </r>
    <r>
      <rPr>
        <i/>
        <sz val="12"/>
        <color theme="1"/>
        <rFont val="Santander Text"/>
        <family val="2"/>
      </rPr>
      <t>Data Lake.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</si>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</sst>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color rgb="FFC00000"/>
      <name val="Santander Text"/>
      <family val="2"/>
    </font>
    <font>
      <sz val="11"/>
      <name val="Santander Text"/>
      <family val="2"/>
    </font>
    <font>
      <sz val="11"/>
      <color rgb="FF00B050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FF0000"/>
      <name val="Santander Headline"/>
      <family val="2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sz val="11"/>
      <color theme="1"/>
      <name val="Santander Headline"/>
      <family val="2"/>
    </font>
    <font>
      <b/>
      <sz val="11"/>
      <name val="Santander Headline"/>
      <family val="2"/>
    </font>
    <font>
      <b/>
      <sz val="1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2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i/>
      <sz val="12"/>
      <color theme="1"/>
      <name val="Santander Text"/>
      <family val="2"/>
    </font>
    <font>
      <i/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b/>
      <sz val="11"/>
      <color theme="9"/>
      <name val="Santander Text"/>
      <family val="2"/>
    </font>
    <font>
      <sz val="11"/>
      <color theme="1" tint="4.9989318521683403E-2"/>
      <name val="Santander Text"/>
      <family val="2"/>
    </font>
    <font>
      <u/>
      <sz val="9"/>
      <color theme="0" tint="-0.499984740745262"/>
      <name val="Santander Text"/>
      <family val="2"/>
    </font>
    <font>
      <sz val="9"/>
      <color theme="0" tint="-0.499984740745262"/>
      <name val="Santander Text"/>
      <family val="2"/>
    </font>
    <font>
      <b/>
      <i/>
      <sz val="11"/>
      <color theme="1"/>
      <name val="Santander Text"/>
      <family val="2"/>
    </font>
    <font>
      <u/>
      <sz val="11"/>
      <color theme="1"/>
      <name val="Santander Text"/>
      <family val="2"/>
    </font>
    <font>
      <b/>
      <sz val="11"/>
      <color theme="1" tint="4.9989318521683403E-2"/>
      <name val="Santander Tex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</cellStyleXfs>
  <cellXfs count="1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wrapText="1"/>
    </xf>
    <xf numFmtId="0" fontId="0" fillId="5" borderId="0" xfId="0" applyFill="1"/>
    <xf numFmtId="0" fontId="6" fillId="0" borderId="0" xfId="0" applyFont="1"/>
    <xf numFmtId="0" fontId="8" fillId="0" borderId="0" xfId="0" applyFont="1"/>
    <xf numFmtId="10" fontId="5" fillId="0" borderId="1" xfId="1" applyNumberFormat="1" applyFont="1" applyBorder="1" applyAlignment="1">
      <alignment vertical="center"/>
    </xf>
    <xf numFmtId="10" fontId="3" fillId="0" borderId="1" xfId="1" applyNumberFormat="1" applyFont="1" applyBorder="1" applyAlignment="1">
      <alignment horizontal="left"/>
    </xf>
    <xf numFmtId="10" fontId="2" fillId="0" borderId="1" xfId="1" applyNumberFormat="1" applyFont="1" applyBorder="1" applyAlignment="1">
      <alignment vertical="center"/>
    </xf>
    <xf numFmtId="10" fontId="9" fillId="0" borderId="1" xfId="1" applyNumberFormat="1" applyFont="1" applyBorder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wrapText="1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0" fillId="0" borderId="0" xfId="0" applyFont="1"/>
    <xf numFmtId="0" fontId="0" fillId="4" borderId="0" xfId="0" applyFill="1"/>
    <xf numFmtId="0" fontId="2" fillId="3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4" fillId="2" borderId="1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 vertical="center"/>
    </xf>
    <xf numFmtId="9" fontId="0" fillId="0" borderId="0" xfId="0" applyNumberFormat="1"/>
    <xf numFmtId="0" fontId="2" fillId="10" borderId="0" xfId="0" applyFont="1" applyFill="1"/>
    <xf numFmtId="0" fontId="2" fillId="5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7" fillId="5" borderId="0" xfId="0" applyFont="1" applyFill="1"/>
    <xf numFmtId="0" fontId="12" fillId="0" borderId="0" xfId="0" applyFont="1"/>
    <xf numFmtId="0" fontId="20" fillId="5" borderId="0" xfId="0" applyFont="1" applyFill="1"/>
    <xf numFmtId="0" fontId="12" fillId="0" borderId="3" xfId="0" applyFont="1" applyBorder="1"/>
    <xf numFmtId="0" fontId="2" fillId="0" borderId="3" xfId="0" applyFont="1" applyBorder="1"/>
    <xf numFmtId="16" fontId="12" fillId="0" borderId="3" xfId="0" applyNumberFormat="1" applyFont="1" applyBorder="1"/>
    <xf numFmtId="0" fontId="19" fillId="0" borderId="3" xfId="0" applyFont="1" applyBorder="1" applyAlignment="1">
      <alignment horizontal="right" indent="1"/>
    </xf>
    <xf numFmtId="0" fontId="11" fillId="4" borderId="15" xfId="0" applyFont="1" applyFill="1" applyBorder="1" applyAlignment="1">
      <alignment horizontal="left" vertical="center"/>
    </xf>
    <xf numFmtId="0" fontId="16" fillId="0" borderId="15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/>
    <xf numFmtId="0" fontId="23" fillId="0" borderId="15" xfId="0" applyFont="1" applyBorder="1" applyAlignment="1">
      <alignment horizontal="left" vertical="center" readingOrder="1"/>
    </xf>
    <xf numFmtId="0" fontId="22" fillId="11" borderId="15" xfId="0" applyFont="1" applyFill="1" applyBorder="1" applyAlignment="1">
      <alignment vertical="center"/>
    </xf>
    <xf numFmtId="0" fontId="17" fillId="0" borderId="0" xfId="0" applyFont="1"/>
    <xf numFmtId="0" fontId="2" fillId="0" borderId="16" xfId="0" applyFont="1" applyBorder="1"/>
    <xf numFmtId="0" fontId="22" fillId="11" borderId="6" xfId="0" applyFont="1" applyFill="1" applyBorder="1" applyAlignment="1">
      <alignment vertical="center"/>
    </xf>
    <xf numFmtId="0" fontId="11" fillId="4" borderId="10" xfId="0" applyFont="1" applyFill="1" applyBorder="1" applyAlignment="1">
      <alignment horizontal="left" vertical="center"/>
    </xf>
    <xf numFmtId="0" fontId="16" fillId="0" borderId="5" xfId="0" applyFont="1" applyBorder="1"/>
    <xf numFmtId="0" fontId="16" fillId="7" borderId="5" xfId="0" applyFont="1" applyFill="1" applyBorder="1"/>
    <xf numFmtId="0" fontId="16" fillId="8" borderId="5" xfId="0" applyFont="1" applyFill="1" applyBorder="1"/>
    <xf numFmtId="0" fontId="22" fillId="11" borderId="9" xfId="0" applyFont="1" applyFill="1" applyBorder="1" applyAlignment="1">
      <alignment vertical="center"/>
    </xf>
    <xf numFmtId="0" fontId="22" fillId="11" borderId="17" xfId="0" applyFont="1" applyFill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left" vertical="center"/>
    </xf>
    <xf numFmtId="0" fontId="16" fillId="0" borderId="17" xfId="0" applyFont="1" applyBorder="1"/>
    <xf numFmtId="0" fontId="16" fillId="0" borderId="7" xfId="0" applyFont="1" applyBorder="1"/>
    <xf numFmtId="0" fontId="11" fillId="4" borderId="0" xfId="0" applyFont="1" applyFill="1" applyAlignment="1">
      <alignment horizontal="left" vertical="center"/>
    </xf>
    <xf numFmtId="14" fontId="16" fillId="0" borderId="15" xfId="0" applyNumberFormat="1" applyFont="1" applyBorder="1"/>
    <xf numFmtId="14" fontId="16" fillId="0" borderId="5" xfId="0" applyNumberFormat="1" applyFont="1" applyBorder="1"/>
    <xf numFmtId="0" fontId="26" fillId="0" borderId="7" xfId="0" applyFont="1" applyBorder="1" applyAlignment="1">
      <alignment horizontal="left" vertical="center" wrapText="1" indent="1"/>
    </xf>
    <xf numFmtId="0" fontId="26" fillId="0" borderId="8" xfId="0" applyFont="1" applyBorder="1" applyAlignment="1">
      <alignment horizontal="left" vertical="center" wrapText="1" indent="1"/>
    </xf>
    <xf numFmtId="0" fontId="26" fillId="0" borderId="9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left" vertical="center" wrapText="1" indent="1"/>
    </xf>
    <xf numFmtId="0" fontId="26" fillId="0" borderId="11" xfId="0" applyFont="1" applyBorder="1" applyAlignment="1">
      <alignment horizontal="left" vertical="center" wrapText="1" indent="1"/>
    </xf>
    <xf numFmtId="0" fontId="26" fillId="0" borderId="12" xfId="0" applyFont="1" applyBorder="1" applyAlignment="1">
      <alignment horizontal="left" vertical="center" wrapText="1" indent="1"/>
    </xf>
    <xf numFmtId="0" fontId="26" fillId="0" borderId="13" xfId="0" applyFont="1" applyBorder="1" applyAlignment="1">
      <alignment horizontal="left" vertical="center" wrapText="1" indent="1"/>
    </xf>
    <xf numFmtId="0" fontId="26" fillId="0" borderId="14" xfId="0" applyFont="1" applyBorder="1" applyAlignment="1">
      <alignment horizontal="left" vertical="center" wrapText="1" indent="1"/>
    </xf>
    <xf numFmtId="0" fontId="36" fillId="9" borderId="7" xfId="0" applyFont="1" applyFill="1" applyBorder="1" applyAlignment="1">
      <alignment horizontal="left" vertical="center" wrapText="1" indent="1"/>
    </xf>
    <xf numFmtId="0" fontId="36" fillId="9" borderId="8" xfId="0" applyFont="1" applyFill="1" applyBorder="1" applyAlignment="1">
      <alignment horizontal="left" vertical="center" indent="1"/>
    </xf>
    <xf numFmtId="0" fontId="36" fillId="9" borderId="9" xfId="0" applyFont="1" applyFill="1" applyBorder="1" applyAlignment="1">
      <alignment horizontal="left" vertical="center" indent="1"/>
    </xf>
    <xf numFmtId="0" fontId="36" fillId="9" borderId="10" xfId="0" applyFont="1" applyFill="1" applyBorder="1" applyAlignment="1">
      <alignment horizontal="left" vertical="center" indent="1"/>
    </xf>
    <xf numFmtId="0" fontId="36" fillId="9" borderId="11" xfId="0" applyFont="1" applyFill="1" applyBorder="1" applyAlignment="1">
      <alignment horizontal="left" vertical="center" indent="1"/>
    </xf>
    <xf numFmtId="0" fontId="36" fillId="9" borderId="12" xfId="0" applyFont="1" applyFill="1" applyBorder="1" applyAlignment="1">
      <alignment horizontal="left" vertical="center" indent="1"/>
    </xf>
    <xf numFmtId="0" fontId="36" fillId="9" borderId="13" xfId="0" applyFont="1" applyFill="1" applyBorder="1" applyAlignment="1">
      <alignment horizontal="left" vertical="center" indent="1"/>
    </xf>
    <xf numFmtId="0" fontId="36" fillId="9" borderId="14" xfId="0" applyFont="1" applyFill="1" applyBorder="1" applyAlignment="1">
      <alignment horizontal="left" vertical="center" indent="1"/>
    </xf>
    <xf numFmtId="0" fontId="2" fillId="9" borderId="7" xfId="0" applyFont="1" applyFill="1" applyBorder="1" applyAlignment="1">
      <alignment horizontal="left" vertical="center" wrapText="1" indent="1"/>
    </xf>
    <xf numFmtId="0" fontId="2" fillId="9" borderId="8" xfId="0" applyFont="1" applyFill="1" applyBorder="1" applyAlignment="1">
      <alignment horizontal="left" vertical="center" indent="1"/>
    </xf>
    <xf numFmtId="0" fontId="2" fillId="9" borderId="9" xfId="0" applyFont="1" applyFill="1" applyBorder="1" applyAlignment="1">
      <alignment horizontal="left" vertical="center" indent="1"/>
    </xf>
    <xf numFmtId="0" fontId="2" fillId="9" borderId="10" xfId="0" applyFont="1" applyFill="1" applyBorder="1" applyAlignment="1">
      <alignment horizontal="left" vertical="center" indent="1"/>
    </xf>
    <xf numFmtId="0" fontId="2" fillId="9" borderId="11" xfId="0" applyFont="1" applyFill="1" applyBorder="1" applyAlignment="1">
      <alignment horizontal="left" vertical="center" indent="1"/>
    </xf>
    <xf numFmtId="0" fontId="2" fillId="9" borderId="12" xfId="0" applyFont="1" applyFill="1" applyBorder="1" applyAlignment="1">
      <alignment horizontal="left" vertical="center" indent="1"/>
    </xf>
    <xf numFmtId="0" fontId="2" fillId="9" borderId="13" xfId="0" applyFont="1" applyFill="1" applyBorder="1" applyAlignment="1">
      <alignment horizontal="left" vertical="center" indent="1"/>
    </xf>
    <xf numFmtId="0" fontId="2" fillId="9" borderId="14" xfId="0" applyFont="1" applyFill="1" applyBorder="1" applyAlignment="1">
      <alignment horizontal="left" vertical="center" indent="1"/>
    </xf>
    <xf numFmtId="0" fontId="4" fillId="9" borderId="7" xfId="0" applyFont="1" applyFill="1" applyBorder="1" applyAlignment="1">
      <alignment horizontal="left" vertical="center" wrapText="1" indent="1"/>
    </xf>
    <xf numFmtId="0" fontId="4" fillId="9" borderId="8" xfId="0" applyFont="1" applyFill="1" applyBorder="1" applyAlignment="1">
      <alignment horizontal="left" vertical="center" wrapText="1" indent="1"/>
    </xf>
    <xf numFmtId="0" fontId="4" fillId="9" borderId="9" xfId="0" applyFont="1" applyFill="1" applyBorder="1" applyAlignment="1">
      <alignment horizontal="left" vertical="center" wrapText="1" indent="1"/>
    </xf>
    <xf numFmtId="0" fontId="4" fillId="9" borderId="10" xfId="0" applyFont="1" applyFill="1" applyBorder="1" applyAlignment="1">
      <alignment horizontal="left" vertical="center" wrapText="1" indent="1"/>
    </xf>
    <xf numFmtId="0" fontId="4" fillId="9" borderId="11" xfId="0" applyFont="1" applyFill="1" applyBorder="1" applyAlignment="1">
      <alignment horizontal="left" vertical="center" wrapText="1" indent="1"/>
    </xf>
    <xf numFmtId="0" fontId="4" fillId="9" borderId="12" xfId="0" applyFont="1" applyFill="1" applyBorder="1" applyAlignment="1">
      <alignment horizontal="left" vertical="center" wrapText="1" indent="1"/>
    </xf>
    <xf numFmtId="0" fontId="4" fillId="9" borderId="13" xfId="0" applyFont="1" applyFill="1" applyBorder="1" applyAlignment="1">
      <alignment horizontal="left" vertical="center" wrapText="1" indent="1"/>
    </xf>
    <xf numFmtId="0" fontId="4" fillId="9" borderId="14" xfId="0" applyFont="1" applyFill="1" applyBorder="1" applyAlignment="1">
      <alignment horizontal="left" vertical="center" wrapText="1" indent="1"/>
    </xf>
    <xf numFmtId="0" fontId="0" fillId="0" borderId="0" xfId="0" applyNumberFormat="1"/>
    <xf numFmtId="0" fontId="2" fillId="9" borderId="8" xfId="0" applyFont="1" applyFill="1" applyBorder="1" applyAlignment="1">
      <alignment horizontal="left" vertical="top" wrapText="1" indent="1"/>
    </xf>
    <xf numFmtId="0" fontId="2" fillId="9" borderId="0" xfId="0" applyFont="1" applyFill="1" applyBorder="1" applyAlignment="1">
      <alignment horizontal="left" vertical="top" wrapText="1" indent="1"/>
    </xf>
    <xf numFmtId="0" fontId="2" fillId="0" borderId="0" xfId="0" applyFont="1" applyBorder="1"/>
    <xf numFmtId="0" fontId="4" fillId="9" borderId="0" xfId="0" applyFont="1" applyFill="1" applyBorder="1" applyAlignment="1">
      <alignment horizontal="left" vertical="center" wrapText="1" indent="1"/>
    </xf>
    <xf numFmtId="0" fontId="2" fillId="9" borderId="7" xfId="0" applyFont="1" applyFill="1" applyBorder="1" applyAlignment="1">
      <alignment horizontal="left" vertical="top" wrapText="1" indent="1"/>
    </xf>
    <xf numFmtId="0" fontId="2" fillId="9" borderId="9" xfId="0" applyFont="1" applyFill="1" applyBorder="1" applyAlignment="1">
      <alignment horizontal="left" vertical="top" wrapText="1" indent="1"/>
    </xf>
    <xf numFmtId="0" fontId="2" fillId="9" borderId="10" xfId="0" applyFont="1" applyFill="1" applyBorder="1" applyAlignment="1">
      <alignment horizontal="left" vertical="top" wrapText="1" indent="1"/>
    </xf>
    <xf numFmtId="0" fontId="2" fillId="9" borderId="11" xfId="0" applyFont="1" applyFill="1" applyBorder="1" applyAlignment="1">
      <alignment horizontal="left" vertical="top" wrapText="1" indent="1"/>
    </xf>
    <xf numFmtId="0" fontId="2" fillId="9" borderId="12" xfId="0" applyFont="1" applyFill="1" applyBorder="1" applyAlignment="1">
      <alignment horizontal="left" vertical="top" wrapText="1" indent="1"/>
    </xf>
    <xf numFmtId="0" fontId="2" fillId="9" borderId="13" xfId="0" applyFont="1" applyFill="1" applyBorder="1" applyAlignment="1">
      <alignment horizontal="left" vertical="top" wrapText="1" indent="1"/>
    </xf>
    <xf numFmtId="0" fontId="2" fillId="9" borderId="14" xfId="0" applyFont="1" applyFill="1" applyBorder="1" applyAlignment="1">
      <alignment horizontal="left" vertical="top" wrapText="1" indent="1"/>
    </xf>
    <xf numFmtId="0" fontId="36" fillId="9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2" fillId="0" borderId="9" xfId="0" applyFont="1" applyFill="1" applyBorder="1"/>
    <xf numFmtId="0" fontId="18" fillId="0" borderId="0" xfId="0" applyFont="1" applyBorder="1"/>
    <xf numFmtId="0" fontId="21" fillId="0" borderId="0" xfId="0" applyFont="1" applyBorder="1"/>
    <xf numFmtId="0" fontId="2" fillId="0" borderId="11" xfId="0" applyFont="1" applyFill="1" applyBorder="1"/>
    <xf numFmtId="0" fontId="29" fillId="0" borderId="0" xfId="0" quotePrefix="1" applyFont="1" applyBorder="1"/>
    <xf numFmtId="0" fontId="2" fillId="0" borderId="11" xfId="0" applyFont="1" applyFill="1" applyBorder="1" applyAlignment="1">
      <alignment horizontal="left" vertical="top" wrapText="1" indent="1"/>
    </xf>
    <xf numFmtId="0" fontId="25" fillId="0" borderId="0" xfId="0" applyFont="1" applyBorder="1" applyAlignment="1">
      <alignment horizontal="center"/>
    </xf>
    <xf numFmtId="0" fontId="12" fillId="0" borderId="0" xfId="0" applyFont="1" applyBorder="1"/>
    <xf numFmtId="0" fontId="29" fillId="0" borderId="0" xfId="0" applyFont="1" applyBorder="1"/>
    <xf numFmtId="0" fontId="12" fillId="0" borderId="0" xfId="0" applyFont="1" applyBorder="1" applyAlignment="1">
      <alignment horizontal="right"/>
    </xf>
    <xf numFmtId="0" fontId="34" fillId="0" borderId="0" xfId="0" applyFont="1" applyBorder="1"/>
    <xf numFmtId="0" fontId="32" fillId="0" borderId="0" xfId="0" applyFont="1" applyBorder="1"/>
    <xf numFmtId="0" fontId="35" fillId="0" borderId="0" xfId="0" applyFont="1" applyBorder="1"/>
    <xf numFmtId="0" fontId="36" fillId="0" borderId="11" xfId="0" applyFont="1" applyFill="1" applyBorder="1" applyAlignment="1">
      <alignment horizontal="left" vertical="center" indent="1"/>
    </xf>
    <xf numFmtId="0" fontId="2" fillId="0" borderId="11" xfId="0" applyFont="1" applyFill="1" applyBorder="1" applyAlignment="1">
      <alignment horizontal="left" vertical="center" indent="1"/>
    </xf>
    <xf numFmtId="0" fontId="4" fillId="0" borderId="11" xfId="0" applyFont="1" applyFill="1" applyBorder="1" applyAlignment="1">
      <alignment horizontal="left" vertical="center" wrapText="1" indent="1"/>
    </xf>
    <xf numFmtId="0" fontId="33" fillId="0" borderId="0" xfId="0" applyFont="1" applyBorder="1"/>
    <xf numFmtId="0" fontId="2" fillId="0" borderId="14" xfId="0" applyFont="1" applyFill="1" applyBorder="1"/>
    <xf numFmtId="0" fontId="26" fillId="0" borderId="0" xfId="0" applyFont="1" applyBorder="1" applyAlignment="1">
      <alignment horizontal="left" vertical="center" wrapText="1" indent="1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7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2025247523894006E-2"/>
              <c:y val="-0.13799595965215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strRef>
              <c:f>'Aux - Pivots2'!$C$27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Lbls>
            <c:dLbl>
              <c:idx val="4"/>
              <c:layout>
                <c:manualLayout>
                  <c:x val="-2.2025247523894006E-2"/>
                  <c:y val="-0.137995959652154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Pivots2'!$B$28:$B$33</c:f>
              <c:strCache>
                <c:ptCount val="5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4. Validação EF</c:v>
                </c:pt>
                <c:pt idx="4">
                  <c:v>5. Em Correção</c:v>
                </c:pt>
              </c:strCache>
            </c:strRef>
          </c:cat>
          <c:val>
            <c:numRef>
              <c:f>'Aux - Pivots2'!$C$28:$C$33</c:f>
              <c:numCache>
                <c:formatCode>General</c:formatCode>
                <c:ptCount val="5"/>
                <c:pt idx="0">
                  <c:v>8</c:v>
                </c:pt>
                <c:pt idx="1">
                  <c:v>53</c:v>
                </c:pt>
                <c:pt idx="2">
                  <c:v>82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Pivots2'!$C$48:$C$49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Pivots2'!$C$50:$C$63</c:f>
              <c:numCache>
                <c:formatCode>General</c:formatCode>
                <c:ptCount val="13"/>
                <c:pt idx="7">
                  <c:v>3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strRef>
              <c:f>'Aux - Pivots2'!$D$48:$D$49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Pivots2'!$D$50:$D$63</c:f>
              <c:numCache>
                <c:formatCode>General</c:formatCode>
                <c:ptCount val="13"/>
                <c:pt idx="0">
                  <c:v>18</c:v>
                </c:pt>
                <c:pt idx="1">
                  <c:v>1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9">
                  <c:v>17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strRef>
              <c:f>'Aux - Pivots2'!$E$48:$E$49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Pivots2'!$E$50:$E$63</c:f>
              <c:numCache>
                <c:formatCode>General</c:formatCode>
                <c:ptCount val="13"/>
                <c:pt idx="3">
                  <c:v>30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strRef>
              <c:f>'Aux - Pivots2'!$F$48:$F$49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Pivots2'!$F$50:$F$63</c:f>
              <c:numCache>
                <c:formatCode>General</c:formatCode>
                <c:ptCount val="13"/>
                <c:pt idx="2">
                  <c:v>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strRef>
              <c:f>'Aux - Pivots2'!$G$48:$G$49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Pivots2'!$G$50:$G$63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0-4B61-B7F6-CFC53BD2568F}"/>
            </c:ext>
          </c:extLst>
        </c:ser>
        <c:ser>
          <c:idx val="5"/>
          <c:order val="5"/>
          <c:tx>
            <c:strRef>
              <c:f>'Aux - Pivots2'!$H$48:$H$49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Pivots2'!$H$50:$H$63</c:f>
              <c:numCache>
                <c:formatCode>General</c:formatCode>
                <c:ptCount val="13"/>
                <c:pt idx="6">
                  <c:v>40</c:v>
                </c:pt>
                <c:pt idx="7">
                  <c:v>6</c:v>
                </c:pt>
                <c:pt idx="8">
                  <c:v>17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D0-4B61-B7F6-CFC53BD2568F}"/>
            </c:ext>
          </c:extLst>
        </c:ser>
        <c:ser>
          <c:idx val="6"/>
          <c:order val="6"/>
          <c:tx>
            <c:strRef>
              <c:f>'Aux - Pivots2'!$I$48:$I$49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5D0-4B61-B7F6-CFC53BD2568F}"/>
              </c:ext>
            </c:extLst>
          </c:dPt>
          <c:dLbls>
            <c:dLbl>
              <c:idx val="1"/>
              <c:layout>
                <c:manualLayout>
                  <c:x val="7.8670629072327286E-1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D0-4B61-B7F6-CFC53BD25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Pivots2'!$I$50:$I$63</c:f>
              <c:numCache>
                <c:formatCode>General</c:formatCode>
                <c:ptCount val="1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Pivots2'!$C$72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Lbls>
            <c:dLbl>
              <c:idx val="6"/>
              <c:layout>
                <c:manualLayout>
                  <c:x val="-1.3677872110818766E-2"/>
                  <c:y val="-0.129430860911213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Pivots2'!$B$73:$B$80</c:f>
              <c:strCache>
                <c:ptCount val="7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3. Pendente de outros desenvolvimentos</c:v>
                </c:pt>
                <c:pt idx="4">
                  <c:v>4. Validação EF</c:v>
                </c:pt>
                <c:pt idx="5">
                  <c:v>5. Em Correção</c:v>
                </c:pt>
                <c:pt idx="6">
                  <c:v>7. Por iniciar</c:v>
                </c:pt>
              </c:strCache>
            </c:strRef>
          </c:cat>
          <c:val>
            <c:numRef>
              <c:f>'Aux - Pivots2'!$C$73:$C$80</c:f>
              <c:numCache>
                <c:formatCode>General</c:formatCode>
                <c:ptCount val="7"/>
                <c:pt idx="0">
                  <c:v>10</c:v>
                </c:pt>
                <c:pt idx="1">
                  <c:v>65</c:v>
                </c:pt>
                <c:pt idx="2">
                  <c:v>34</c:v>
                </c:pt>
                <c:pt idx="3">
                  <c:v>15</c:v>
                </c:pt>
                <c:pt idx="4">
                  <c:v>22</c:v>
                </c:pt>
                <c:pt idx="5">
                  <c:v>95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Pivots2'!$C$94:$C$95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1"/>
              <c:layout>
                <c:manualLayout>
                  <c:x val="2.2663407180945178E-3"/>
                  <c:y val="-5.067996956009387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FF-4CFF-97F0-1CEACC2C6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Pivots2'!$B$96:$B$103</c:f>
              <c:strCache>
                <c:ptCount val="7"/>
                <c:pt idx="0">
                  <c:v>lt002_instrument</c:v>
                </c:pt>
                <c:pt idx="1">
                  <c:v>lt003_entity</c:v>
                </c:pt>
                <c:pt idx="2">
                  <c:v>lt004_protection</c:v>
                </c:pt>
                <c:pt idx="3">
                  <c:v>lt005_instr_ent</c:v>
                </c:pt>
                <c:pt idx="4">
                  <c:v>lt006_instr_prot</c:v>
                </c:pt>
                <c:pt idx="5">
                  <c:v>lt825_mthd_usd_instrmnt</c:v>
                </c:pt>
                <c:pt idx="6">
                  <c:v>lt826_esg_sbsctr</c:v>
                </c:pt>
              </c:strCache>
            </c:strRef>
          </c:cat>
          <c:val>
            <c:numRef>
              <c:f>'Aux - Pivots2'!$C$96:$C$103</c:f>
              <c:numCache>
                <c:formatCode>General</c:formatCode>
                <c:ptCount val="7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strRef>
              <c:f>'Aux - Pivots2'!$D$94:$D$95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Pivots2'!$B$96:$B$103</c:f>
              <c:strCache>
                <c:ptCount val="7"/>
                <c:pt idx="0">
                  <c:v>lt002_instrument</c:v>
                </c:pt>
                <c:pt idx="1">
                  <c:v>lt003_entity</c:v>
                </c:pt>
                <c:pt idx="2">
                  <c:v>lt004_protection</c:v>
                </c:pt>
                <c:pt idx="3">
                  <c:v>lt005_instr_ent</c:v>
                </c:pt>
                <c:pt idx="4">
                  <c:v>lt006_instr_prot</c:v>
                </c:pt>
                <c:pt idx="5">
                  <c:v>lt825_mthd_usd_instrmnt</c:v>
                </c:pt>
                <c:pt idx="6">
                  <c:v>lt826_esg_sbsctr</c:v>
                </c:pt>
              </c:strCache>
            </c:strRef>
          </c:cat>
          <c:val>
            <c:numRef>
              <c:f>'Aux - Pivots2'!$D$96:$D$103</c:f>
              <c:numCache>
                <c:formatCode>General</c:formatCode>
                <c:ptCount val="7"/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strRef>
              <c:f>'Aux - Pivots2'!$E$94:$E$95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Pivots2'!$B$96:$B$103</c:f>
              <c:strCache>
                <c:ptCount val="7"/>
                <c:pt idx="0">
                  <c:v>lt002_instrument</c:v>
                </c:pt>
                <c:pt idx="1">
                  <c:v>lt003_entity</c:v>
                </c:pt>
                <c:pt idx="2">
                  <c:v>lt004_protection</c:v>
                </c:pt>
                <c:pt idx="3">
                  <c:v>lt005_instr_ent</c:v>
                </c:pt>
                <c:pt idx="4">
                  <c:v>lt006_instr_prot</c:v>
                </c:pt>
                <c:pt idx="5">
                  <c:v>lt825_mthd_usd_instrmnt</c:v>
                </c:pt>
                <c:pt idx="6">
                  <c:v>lt826_esg_sbsctr</c:v>
                </c:pt>
              </c:strCache>
            </c:strRef>
          </c:cat>
          <c:val>
            <c:numRef>
              <c:f>'Aux - Pivots2'!$E$96:$E$103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Pivots2'!$C$115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Lbls>
            <c:dLbl>
              <c:idx val="1"/>
              <c:layout>
                <c:manualLayout>
                  <c:x val="-0.10101132523677256"/>
                  <c:y val="-0.12686333756325943"/>
                </c:manualLayout>
              </c:layout>
              <c:tx>
                <c:rich>
                  <a:bodyPr/>
                  <a:lstStyle/>
                  <a:p>
                    <a:fld id="{9C7055CE-D46E-49AD-ABFF-F9E6EA84297B}" type="PERCENTAGE">
                      <a:rPr lang="en-US">
                        <a:solidFill>
                          <a:schemeClr val="tx2"/>
                        </a:solidFill>
                      </a:rPr>
                      <a:pPr/>
                      <a:t>[PERCENTAGE]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D08-4C05-B1C4-CBB96626B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Pivots2'!$B$116:$B$119</c:f>
              <c:strCache>
                <c:ptCount val="3"/>
                <c:pt idx="0">
                  <c:v>7. Por iniciar</c:v>
                </c:pt>
                <c:pt idx="1">
                  <c:v>1. Concluído</c:v>
                </c:pt>
                <c:pt idx="2">
                  <c:v>2. Em Teste</c:v>
                </c:pt>
              </c:strCache>
            </c:strRef>
          </c:cat>
          <c:val>
            <c:numRef>
              <c:f>'Aux - Pivots2'!$C$116:$C$119</c:f>
              <c:numCache>
                <c:formatCode>General</c:formatCode>
                <c:ptCount val="3"/>
                <c:pt idx="0">
                  <c:v>117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Pivots2'!$C$135:$C$136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Pivots2'!$C$137:$C$138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strRef>
              <c:f>'Aux - Pivots2'!$D$135:$D$136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Pivots2'!$D$137:$D$138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strRef>
              <c:f>'Aux - Pivots2'!$E$135:$E$136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Pivots2'!$E$137:$E$138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Pivots2'!$C$144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Pivots2'!$B$145:$B$148</c:f>
              <c:strCache>
                <c:ptCount val="3"/>
                <c:pt idx="0">
                  <c:v>1. Concluído</c:v>
                </c:pt>
                <c:pt idx="1">
                  <c:v>2. Em Teste</c:v>
                </c:pt>
                <c:pt idx="2">
                  <c:v>3. Pendente de outros desenvolvimentos</c:v>
                </c:pt>
              </c:strCache>
            </c:strRef>
          </c:cat>
          <c:val>
            <c:numRef>
              <c:f>'Aux - Pivots2'!$C$145:$C$148</c:f>
              <c:numCache>
                <c:formatCode>General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3_20240802.xlsx]Aux - Pivots2!PivotTable1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'Aux - Pivots2'!$C$9:$C$10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4"/>
              <c:layout>
                <c:manualLayout>
                  <c:x val="0"/>
                  <c:y val="-5.88649720970762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Pivots2'!$C$11:$C$17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strRef>
              <c:f>'Aux - Pivots2'!$D$9:$D$10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Pivots2'!$D$11:$D$17</c:f>
              <c:numCache>
                <c:formatCode>General</c:formatCode>
                <c:ptCount val="6"/>
                <c:pt idx="0">
                  <c:v>14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strRef>
              <c:f>'Aux - Pivots2'!$E$9:$E$10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Pivots2'!$E$11:$E$17</c:f>
              <c:numCache>
                <c:formatCode>General</c:formatCode>
                <c:ptCount val="6"/>
                <c:pt idx="1">
                  <c:v>10</c:v>
                </c:pt>
                <c:pt idx="2">
                  <c:v>11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strRef>
              <c:f>'Aux - Pivots2'!$F$9:$F$10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Pivots2'!$F$11:$F$17</c:f>
              <c:numCache>
                <c:formatCode>General</c:formatCode>
                <c:ptCount val="6"/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66-4CCE-9846-E24A498DDF73}"/>
            </c:ext>
          </c:extLst>
        </c:ser>
        <c:ser>
          <c:idx val="4"/>
          <c:order val="4"/>
          <c:tx>
            <c:strRef>
              <c:f>'Aux - Pivots2'!$G$9:$G$10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Pivots2'!$G$11:$G$17</c:f>
              <c:numCache>
                <c:formatCode>General</c:formatCode>
                <c:ptCount val="6"/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6-4EDF-B036-BB0588A037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1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758" y="96612"/>
          <a:ext cx="934444" cy="438730"/>
        </a:xfrm>
        <a:prstGeom prst="rect">
          <a:avLst/>
        </a:prstGeom>
      </xdr:spPr>
    </xdr:pic>
    <xdr:clientData/>
  </xdr:twoCellAnchor>
  <xdr:twoCellAnchor>
    <xdr:from>
      <xdr:col>7</xdr:col>
      <xdr:colOff>581353</xdr:colOff>
      <xdr:row>11</xdr:row>
      <xdr:rowOff>55176</xdr:rowOff>
    </xdr:from>
    <xdr:to>
      <xdr:col>12</xdr:col>
      <xdr:colOff>616762</xdr:colOff>
      <xdr:row>19</xdr:row>
      <xdr:rowOff>56436</xdr:rowOff>
    </xdr:to>
    <xdr:sp macro="" textlink="">
      <xdr:nvSpPr>
        <xdr:cNvPr id="5" name="Rectángulo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25824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11</xdr:row>
      <xdr:rowOff>58986</xdr:rowOff>
    </xdr:from>
    <xdr:to>
      <xdr:col>7</xdr:col>
      <xdr:colOff>50743</xdr:colOff>
      <xdr:row>19</xdr:row>
      <xdr:rowOff>35714</xdr:rowOff>
    </xdr:to>
    <xdr:sp macro="" textlink="">
      <xdr:nvSpPr>
        <xdr:cNvPr id="6" name="Rectángulo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01851" y="2322574"/>
          <a:ext cx="3393363" cy="176966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592594</xdr:colOff>
      <xdr:row>9</xdr:row>
      <xdr:rowOff>134438</xdr:rowOff>
    </xdr:from>
    <xdr:to>
      <xdr:col>12</xdr:col>
      <xdr:colOff>628479</xdr:colOff>
      <xdr:row>11</xdr:row>
      <xdr:rowOff>27604</xdr:rowOff>
    </xdr:to>
    <xdr:sp macro="" textlink="">
      <xdr:nvSpPr>
        <xdr:cNvPr id="7" name="Rectángulo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37065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9</xdr:row>
      <xdr:rowOff>130628</xdr:rowOff>
    </xdr:from>
    <xdr:to>
      <xdr:col>7</xdr:col>
      <xdr:colOff>50744</xdr:colOff>
      <xdr:row>11</xdr:row>
      <xdr:rowOff>27346</xdr:rowOff>
    </xdr:to>
    <xdr:sp macro="" textlink="">
      <xdr:nvSpPr>
        <xdr:cNvPr id="8" name="Rectángulo 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1852" y="1945981"/>
          <a:ext cx="3393363" cy="344953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239945</xdr:colOff>
      <xdr:row>11</xdr:row>
      <xdr:rowOff>188463</xdr:rowOff>
    </xdr:from>
    <xdr:to>
      <xdr:col>6</xdr:col>
      <xdr:colOff>483717</xdr:colOff>
      <xdr:row>12</xdr:row>
      <xdr:rowOff>206908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22651" y="2452051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List of Paris Excluded Companies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13</xdr:row>
      <xdr:rowOff>59112</xdr:rowOff>
    </xdr:from>
    <xdr:to>
      <xdr:col>6</xdr:col>
      <xdr:colOff>483716</xdr:colOff>
      <xdr:row>14</xdr:row>
      <xdr:rowOff>77558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22650" y="2770936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GAR External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227553</xdr:colOff>
      <xdr:row>14</xdr:row>
      <xdr:rowOff>172929</xdr:rowOff>
    </xdr:from>
    <xdr:to>
      <xdr:col>6</xdr:col>
      <xdr:colOff>478945</xdr:colOff>
      <xdr:row>15</xdr:row>
      <xdr:rowOff>170419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10259" y="3108870"/>
          <a:ext cx="294080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16</xdr:row>
      <xdr:rowOff>211594</xdr:rowOff>
    </xdr:from>
    <xdr:to>
      <xdr:col>6</xdr:col>
      <xdr:colOff>483716</xdr:colOff>
      <xdr:row>17</xdr:row>
      <xdr:rowOff>209084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822650" y="3595770"/>
          <a:ext cx="293318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11</xdr:row>
      <xdr:rowOff>188463</xdr:rowOff>
    </xdr:from>
    <xdr:to>
      <xdr:col>12</xdr:col>
      <xdr:colOff>387865</xdr:colOff>
      <xdr:row>12</xdr:row>
      <xdr:rowOff>203098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749007" y="2452051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modesg_inp_empr_excl_paris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13</xdr:row>
      <xdr:rowOff>62922</xdr:rowOff>
    </xdr:from>
    <xdr:to>
      <xdr:col>12</xdr:col>
      <xdr:colOff>387865</xdr:colOff>
      <xdr:row>14</xdr:row>
      <xdr:rowOff>77558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749007" y="2774746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modesg_inp_nfrd_alinhamento_tax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14</xdr:row>
      <xdr:rowOff>169119</xdr:rowOff>
    </xdr:from>
    <xdr:to>
      <xdr:col>12</xdr:col>
      <xdr:colOff>387865</xdr:colOff>
      <xdr:row>15</xdr:row>
      <xdr:rowOff>174229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749007" y="3105060"/>
          <a:ext cx="2945093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16</xdr:row>
      <xdr:rowOff>41674</xdr:rowOff>
    </xdr:from>
    <xdr:to>
      <xdr:col>12</xdr:col>
      <xdr:colOff>387865</xdr:colOff>
      <xdr:row>18</xdr:row>
      <xdr:rowOff>154886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752817" y="3425850"/>
          <a:ext cx="2943188" cy="561448"/>
          <a:chOff x="4320951" y="2385099"/>
          <a:chExt cx="2955600" cy="54735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38509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modesg_inp_emss_scib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701548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modesg_inp_emss_nace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92391</xdr:colOff>
      <xdr:row>12</xdr:row>
      <xdr:rowOff>92294</xdr:rowOff>
    </xdr:from>
    <xdr:to>
      <xdr:col>7</xdr:col>
      <xdr:colOff>549591</xdr:colOff>
      <xdr:row>12</xdr:row>
      <xdr:rowOff>92294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036862" y="2580000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13</xdr:row>
      <xdr:rowOff>173725</xdr:rowOff>
    </xdr:from>
    <xdr:to>
      <xdr:col>7</xdr:col>
      <xdr:colOff>549591</xdr:colOff>
      <xdr:row>13</xdr:row>
      <xdr:rowOff>173725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036862" y="2885549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15</xdr:row>
      <xdr:rowOff>59615</xdr:rowOff>
    </xdr:from>
    <xdr:to>
      <xdr:col>7</xdr:col>
      <xdr:colOff>549591</xdr:colOff>
      <xdr:row>15</xdr:row>
      <xdr:rowOff>59615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036862" y="3219674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17</xdr:row>
      <xdr:rowOff>96318</xdr:rowOff>
    </xdr:from>
    <xdr:to>
      <xdr:col>7</xdr:col>
      <xdr:colOff>578627</xdr:colOff>
      <xdr:row>18</xdr:row>
      <xdr:rowOff>21287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037112" y="3704612"/>
          <a:ext cx="485986" cy="149087"/>
        </a:xfrm>
        <a:prstGeom prst="bentConnector3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16</xdr:row>
      <xdr:rowOff>167718</xdr:rowOff>
    </xdr:from>
    <xdr:to>
      <xdr:col>7</xdr:col>
      <xdr:colOff>578627</xdr:colOff>
      <xdr:row>17</xdr:row>
      <xdr:rowOff>60757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037112" y="3551894"/>
          <a:ext cx="485986" cy="117157"/>
        </a:xfrm>
        <a:prstGeom prst="bentConnector3">
          <a:avLst>
            <a:gd name="adj1" fmla="val 50000"/>
          </a:avLst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478829</xdr:colOff>
      <xdr:row>11</xdr:row>
      <xdr:rowOff>55176</xdr:rowOff>
    </xdr:from>
    <xdr:to>
      <xdr:col>18</xdr:col>
      <xdr:colOff>514237</xdr:colOff>
      <xdr:row>19</xdr:row>
      <xdr:rowOff>56436</xdr:rowOff>
    </xdr:to>
    <xdr:sp macro="" textlink="">
      <xdr:nvSpPr>
        <xdr:cNvPr id="22" name="Rectángulo 6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457417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478829</xdr:colOff>
      <xdr:row>9</xdr:row>
      <xdr:rowOff>134438</xdr:rowOff>
    </xdr:from>
    <xdr:to>
      <xdr:col>18</xdr:col>
      <xdr:colOff>514713</xdr:colOff>
      <xdr:row>11</xdr:row>
      <xdr:rowOff>27604</xdr:rowOff>
    </xdr:to>
    <xdr:sp macro="" textlink="">
      <xdr:nvSpPr>
        <xdr:cNvPr id="23" name="Rectángulo 6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457417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152071</xdr:colOff>
      <xdr:row>14</xdr:row>
      <xdr:rowOff>169119</xdr:rowOff>
    </xdr:from>
    <xdr:to>
      <xdr:col>18</xdr:col>
      <xdr:colOff>162928</xdr:colOff>
      <xdr:row>15</xdr:row>
      <xdr:rowOff>174229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803012" y="3105060"/>
          <a:ext cx="2700269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modesg_out_empr_info_nfin</a:t>
          </a:r>
        </a:p>
      </xdr:txBody>
    </xdr:sp>
    <xdr:clientData/>
  </xdr:twoCellAnchor>
  <xdr:twoCellAnchor>
    <xdr:from>
      <xdr:col>12</xdr:col>
      <xdr:colOff>616762</xdr:colOff>
      <xdr:row>15</xdr:row>
      <xdr:rowOff>55805</xdr:rowOff>
    </xdr:from>
    <xdr:to>
      <xdr:col>13</xdr:col>
      <xdr:colOff>478828</xdr:colOff>
      <xdr:row>15</xdr:row>
      <xdr:rowOff>55805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5" idx="3"/>
          <a:endCxn id="22" idx="1"/>
        </xdr:cNvCxnSpPr>
      </xdr:nvCxnSpPr>
      <xdr:spPr>
        <a:xfrm>
          <a:off x="7922997" y="3215864"/>
          <a:ext cx="534419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588488</xdr:colOff>
      <xdr:row>21</xdr:row>
      <xdr:rowOff>184117</xdr:rowOff>
    </xdr:from>
    <xdr:to>
      <xdr:col>12</xdr:col>
      <xdr:colOff>628677</xdr:colOff>
      <xdr:row>24</xdr:row>
      <xdr:rowOff>169587</xdr:rowOff>
    </xdr:to>
    <xdr:sp macro="" textlink="">
      <xdr:nvSpPr>
        <xdr:cNvPr id="33" name="Rectángulo 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532959" y="4688882"/>
          <a:ext cx="3401953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15335</xdr:colOff>
      <xdr:row>21</xdr:row>
      <xdr:rowOff>183660</xdr:rowOff>
    </xdr:from>
    <xdr:to>
      <xdr:col>7</xdr:col>
      <xdr:colOff>53618</xdr:colOff>
      <xdr:row>24</xdr:row>
      <xdr:rowOff>141842</xdr:rowOff>
    </xdr:to>
    <xdr:sp macro="" textlink="">
      <xdr:nvSpPr>
        <xdr:cNvPr id="34" name="Rectángulo 6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98041" y="4688425"/>
          <a:ext cx="3400048" cy="63053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590212</xdr:colOff>
      <xdr:row>20</xdr:row>
      <xdr:rowOff>21405</xdr:rowOff>
    </xdr:from>
    <xdr:to>
      <xdr:col>12</xdr:col>
      <xdr:colOff>628971</xdr:colOff>
      <xdr:row>21</xdr:row>
      <xdr:rowOff>145043</xdr:rowOff>
    </xdr:to>
    <xdr:sp macro="" textlink="">
      <xdr:nvSpPr>
        <xdr:cNvPr id="35" name="Rectángulo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534683" y="4302052"/>
          <a:ext cx="340052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(Taxonomia</a:t>
          </a:r>
          <a:r>
            <a:rPr kumimoji="0" lang="en-GB" sz="12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 Europeira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9621</xdr:colOff>
      <xdr:row>20</xdr:row>
      <xdr:rowOff>17595</xdr:rowOff>
    </xdr:from>
    <xdr:to>
      <xdr:col>7</xdr:col>
      <xdr:colOff>47904</xdr:colOff>
      <xdr:row>21</xdr:row>
      <xdr:rowOff>148625</xdr:rowOff>
    </xdr:to>
    <xdr:sp macro="" textlink="">
      <xdr:nvSpPr>
        <xdr:cNvPr id="36" name="Rectángulo 6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92327" y="4298242"/>
          <a:ext cx="3400048" cy="35514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Ficheiro de parametrização</a:t>
          </a:r>
        </a:p>
      </xdr:txBody>
    </xdr:sp>
    <xdr:clientData/>
  </xdr:twoCellAnchor>
  <xdr:twoCellAnchor>
    <xdr:from>
      <xdr:col>2</xdr:col>
      <xdr:colOff>245618</xdr:colOff>
      <xdr:row>22</xdr:row>
      <xdr:rowOff>85592</xdr:rowOff>
    </xdr:from>
    <xdr:to>
      <xdr:col>6</xdr:col>
      <xdr:colOff>474733</xdr:colOff>
      <xdr:row>24</xdr:row>
      <xdr:rowOff>32937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28324" y="4814474"/>
          <a:ext cx="2918527" cy="39558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 defTabSz="914400" rtl="0" eaLnBrk="1" latinLnBrk="0" hangingPunct="1">
            <a:defRPr/>
          </a:pPr>
          <a:r>
            <a:rPr lang="pt-PT" sz="1200" kern="1200">
              <a:solidFill>
                <a:prstClr val="black"/>
              </a:solidFill>
              <a:latin typeface="Santander Text" panose="020B0504020201020104" pitchFamily="34" charset="0"/>
              <a:ea typeface="+mn-ea"/>
              <a:cs typeface="+mn-cs"/>
            </a:rPr>
            <a:t>Modelo Verde - Parametrização SFCS e Taxonomia Europeia</a:t>
          </a:r>
          <a:endParaRPr lang="pt-BR" altLang="pt-PT" sz="1200" kern="1200">
            <a:solidFill>
              <a:prstClr val="black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133797</xdr:colOff>
      <xdr:row>22</xdr:row>
      <xdr:rowOff>88512</xdr:rowOff>
    </xdr:from>
    <xdr:to>
      <xdr:col>12</xdr:col>
      <xdr:colOff>401491</xdr:colOff>
      <xdr:row>24</xdr:row>
      <xdr:rowOff>20120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750621" y="4817394"/>
          <a:ext cx="2957105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modesg_param_sfcs_taxon_europeia</a:t>
          </a:r>
        </a:p>
      </xdr:txBody>
    </xdr:sp>
    <xdr:clientData/>
  </xdr:twoCellAnchor>
  <xdr:twoCellAnchor>
    <xdr:from>
      <xdr:col>7</xdr:col>
      <xdr:colOff>92391</xdr:colOff>
      <xdr:row>22</xdr:row>
      <xdr:rowOff>209096</xdr:rowOff>
    </xdr:from>
    <xdr:to>
      <xdr:col>7</xdr:col>
      <xdr:colOff>549591</xdr:colOff>
      <xdr:row>22</xdr:row>
      <xdr:rowOff>209096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4036862" y="4937978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479765</xdr:colOff>
      <xdr:row>21</xdr:row>
      <xdr:rowOff>184117</xdr:rowOff>
    </xdr:from>
    <xdr:to>
      <xdr:col>18</xdr:col>
      <xdr:colOff>518048</xdr:colOff>
      <xdr:row>24</xdr:row>
      <xdr:rowOff>169587</xdr:rowOff>
    </xdr:to>
    <xdr:sp macro="" textlink="">
      <xdr:nvSpPr>
        <xdr:cNvPr id="40" name="Rectángulo 6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458353" y="4688882"/>
          <a:ext cx="3400048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479765</xdr:colOff>
      <xdr:row>20</xdr:row>
      <xdr:rowOff>21405</xdr:rowOff>
    </xdr:from>
    <xdr:to>
      <xdr:col>18</xdr:col>
      <xdr:colOff>510903</xdr:colOff>
      <xdr:row>21</xdr:row>
      <xdr:rowOff>145043</xdr:rowOff>
    </xdr:to>
    <xdr:sp macro="" textlink="">
      <xdr:nvSpPr>
        <xdr:cNvPr id="41" name="Rectángulo 6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458353" y="4302052"/>
          <a:ext cx="339290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(Taxonomia Europeira)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153302</xdr:colOff>
      <xdr:row>22</xdr:row>
      <xdr:rowOff>88512</xdr:rowOff>
    </xdr:from>
    <xdr:to>
      <xdr:col>18</xdr:col>
      <xdr:colOff>172157</xdr:colOff>
      <xdr:row>24</xdr:row>
      <xdr:rowOff>20120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8804243" y="4817394"/>
          <a:ext cx="2708267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modesg_out_sfcs_taxon_europeia</a:t>
          </a:r>
        </a:p>
      </xdr:txBody>
    </xdr:sp>
    <xdr:clientData/>
  </xdr:twoCellAnchor>
  <xdr:twoCellAnchor>
    <xdr:from>
      <xdr:col>12</xdr:col>
      <xdr:colOff>593637</xdr:colOff>
      <xdr:row>22</xdr:row>
      <xdr:rowOff>209096</xdr:rowOff>
    </xdr:from>
    <xdr:to>
      <xdr:col>13</xdr:col>
      <xdr:colOff>479765</xdr:colOff>
      <xdr:row>22</xdr:row>
      <xdr:rowOff>209096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899872" y="4937978"/>
          <a:ext cx="558481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590968</xdr:colOff>
      <xdr:row>27</xdr:row>
      <xdr:rowOff>62138</xdr:rowOff>
    </xdr:from>
    <xdr:to>
      <xdr:col>12</xdr:col>
      <xdr:colOff>626197</xdr:colOff>
      <xdr:row>31</xdr:row>
      <xdr:rowOff>49392</xdr:rowOff>
    </xdr:to>
    <xdr:sp macro="" textlink="">
      <xdr:nvSpPr>
        <xdr:cNvPr id="45" name="Rectángulo 6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35439" y="5911609"/>
          <a:ext cx="3396993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27</xdr:row>
      <xdr:rowOff>56422</xdr:rowOff>
    </xdr:from>
    <xdr:to>
      <xdr:col>7</xdr:col>
      <xdr:colOff>54373</xdr:colOff>
      <xdr:row>31</xdr:row>
      <xdr:rowOff>43023</xdr:rowOff>
    </xdr:to>
    <xdr:sp macro="" textlink="">
      <xdr:nvSpPr>
        <xdr:cNvPr id="46" name="Rectángulo 6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01851" y="5905893"/>
          <a:ext cx="3396993" cy="883071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25</xdr:row>
      <xdr:rowOff>131271</xdr:rowOff>
    </xdr:from>
    <xdr:to>
      <xdr:col>12</xdr:col>
      <xdr:colOff>626487</xdr:colOff>
      <xdr:row>27</xdr:row>
      <xdr:rowOff>26599</xdr:rowOff>
    </xdr:to>
    <xdr:sp macro="" textlink="">
      <xdr:nvSpPr>
        <xdr:cNvPr id="47" name="Rectángulo 6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533349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Móveis - Veículos)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25</xdr:row>
      <xdr:rowOff>131271</xdr:rowOff>
    </xdr:from>
    <xdr:to>
      <xdr:col>7</xdr:col>
      <xdr:colOff>54374</xdr:colOff>
      <xdr:row>27</xdr:row>
      <xdr:rowOff>33981</xdr:rowOff>
    </xdr:to>
    <xdr:sp macro="" textlink="">
      <xdr:nvSpPr>
        <xdr:cNvPr id="48" name="Rectángulo 6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01852" y="5532506"/>
          <a:ext cx="3396993" cy="350946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28</xdr:row>
      <xdr:rowOff>163553</xdr:rowOff>
    </xdr:from>
    <xdr:to>
      <xdr:col>6</xdr:col>
      <xdr:colOff>479609</xdr:colOff>
      <xdr:row>29</xdr:row>
      <xdr:rowOff>175249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830385" y="6237141"/>
          <a:ext cx="2921342" cy="23581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27</xdr:row>
      <xdr:rowOff>223796</xdr:rowOff>
    </xdr:from>
    <xdr:to>
      <xdr:col>12</xdr:col>
      <xdr:colOff>397183</xdr:colOff>
      <xdr:row>29</xdr:row>
      <xdr:rowOff>5660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3023" y="6073267"/>
          <a:ext cx="2950395" cy="23009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modesg_inp_emss_vcls</a:t>
          </a:r>
        </a:p>
      </xdr:txBody>
    </xdr:sp>
    <xdr:clientData/>
  </xdr:twoCellAnchor>
  <xdr:twoCellAnchor>
    <xdr:from>
      <xdr:col>8</xdr:col>
      <xdr:colOff>136199</xdr:colOff>
      <xdr:row>29</xdr:row>
      <xdr:rowOff>104325</xdr:rowOff>
    </xdr:from>
    <xdr:to>
      <xdr:col>12</xdr:col>
      <xdr:colOff>397183</xdr:colOff>
      <xdr:row>30</xdr:row>
      <xdr:rowOff>131261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753023" y="6402031"/>
          <a:ext cx="2950395" cy="25105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modesg_inp_km_medios_emss_vcls</a:t>
          </a:r>
        </a:p>
      </xdr:txBody>
    </xdr:sp>
    <xdr:clientData/>
  </xdr:twoCellAnchor>
  <xdr:twoCellAnchor>
    <xdr:from>
      <xdr:col>13</xdr:col>
      <xdr:colOff>477105</xdr:colOff>
      <xdr:row>27</xdr:row>
      <xdr:rowOff>62138</xdr:rowOff>
    </xdr:from>
    <xdr:to>
      <xdr:col>18</xdr:col>
      <xdr:colOff>514238</xdr:colOff>
      <xdr:row>31</xdr:row>
      <xdr:rowOff>49392</xdr:rowOff>
    </xdr:to>
    <xdr:sp macro="" textlink="">
      <xdr:nvSpPr>
        <xdr:cNvPr id="52" name="Rectángulo 6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455693" y="5911609"/>
          <a:ext cx="3398898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25</xdr:row>
      <xdr:rowOff>131271</xdr:rowOff>
    </xdr:from>
    <xdr:to>
      <xdr:col>18</xdr:col>
      <xdr:colOff>514713</xdr:colOff>
      <xdr:row>27</xdr:row>
      <xdr:rowOff>26599</xdr:rowOff>
    </xdr:to>
    <xdr:sp macro="" textlink="">
      <xdr:nvSpPr>
        <xdr:cNvPr id="53" name="Rectángulo 6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455693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Móveis - Veículos)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28</xdr:row>
      <xdr:rowOff>154356</xdr:rowOff>
    </xdr:from>
    <xdr:to>
      <xdr:col>18</xdr:col>
      <xdr:colOff>172276</xdr:colOff>
      <xdr:row>29</xdr:row>
      <xdr:rowOff>175577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8805275" y="6227944"/>
          <a:ext cx="2707354" cy="24533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modesg_out_emss_vcls</a:t>
          </a:r>
        </a:p>
      </xdr:txBody>
    </xdr:sp>
    <xdr:clientData/>
  </xdr:twoCellAnchor>
  <xdr:twoCellAnchor>
    <xdr:from>
      <xdr:col>7</xdr:col>
      <xdr:colOff>96437</xdr:colOff>
      <xdr:row>28</xdr:row>
      <xdr:rowOff>172499</xdr:rowOff>
    </xdr:from>
    <xdr:to>
      <xdr:col>7</xdr:col>
      <xdr:colOff>578627</xdr:colOff>
      <xdr:row>30</xdr:row>
      <xdr:rowOff>22209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4037098" y="6242277"/>
          <a:ext cx="487905" cy="297946"/>
          <a:chOff x="3740581" y="4615607"/>
          <a:chExt cx="588196" cy="312799"/>
        </a:xfrm>
      </xdr:grpSpPr>
      <xdr:cxnSp macro="">
        <xdr:nvCxnSpPr>
          <xdr:cNvPr id="58" name="Elbow Connector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Elbow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590968</xdr:colOff>
      <xdr:row>33</xdr:row>
      <xdr:rowOff>163193</xdr:rowOff>
    </xdr:from>
    <xdr:to>
      <xdr:col>12</xdr:col>
      <xdr:colOff>626197</xdr:colOff>
      <xdr:row>37</xdr:row>
      <xdr:rowOff>136861</xdr:rowOff>
    </xdr:to>
    <xdr:sp macro="" textlink="">
      <xdr:nvSpPr>
        <xdr:cNvPr id="61" name="Rectángulo 6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535439" y="7357369"/>
          <a:ext cx="3396993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33</xdr:row>
      <xdr:rowOff>153667</xdr:rowOff>
    </xdr:from>
    <xdr:to>
      <xdr:col>7</xdr:col>
      <xdr:colOff>54373</xdr:colOff>
      <xdr:row>37</xdr:row>
      <xdr:rowOff>128903</xdr:rowOff>
    </xdr:to>
    <xdr:sp macro="" textlink="">
      <xdr:nvSpPr>
        <xdr:cNvPr id="62" name="Rectángulo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01851" y="7347843"/>
          <a:ext cx="3396993" cy="871707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32</xdr:row>
      <xdr:rowOff>21981</xdr:rowOff>
    </xdr:from>
    <xdr:to>
      <xdr:col>12</xdr:col>
      <xdr:colOff>626487</xdr:colOff>
      <xdr:row>33</xdr:row>
      <xdr:rowOff>126529</xdr:rowOff>
    </xdr:to>
    <xdr:sp macro="" textlink="">
      <xdr:nvSpPr>
        <xdr:cNvPr id="63" name="Rectángulo 6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533349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Im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óveis)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32</xdr:row>
      <xdr:rowOff>6741</xdr:rowOff>
    </xdr:from>
    <xdr:to>
      <xdr:col>7</xdr:col>
      <xdr:colOff>54374</xdr:colOff>
      <xdr:row>33</xdr:row>
      <xdr:rowOff>131962</xdr:rowOff>
    </xdr:to>
    <xdr:sp macro="" textlink="">
      <xdr:nvSpPr>
        <xdr:cNvPr id="64" name="Rectángulo 6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601852" y="6976800"/>
          <a:ext cx="3396993" cy="34933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35</xdr:row>
      <xdr:rowOff>7461</xdr:rowOff>
    </xdr:from>
    <xdr:to>
      <xdr:col>6</xdr:col>
      <xdr:colOff>479609</xdr:colOff>
      <xdr:row>36</xdr:row>
      <xdr:rowOff>33847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830385" y="7649873"/>
          <a:ext cx="2921342" cy="25050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34</xdr:row>
      <xdr:rowOff>106130</xdr:rowOff>
    </xdr:from>
    <xdr:to>
      <xdr:col>12</xdr:col>
      <xdr:colOff>397183</xdr:colOff>
      <xdr:row>35</xdr:row>
      <xdr:rowOff>88700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4753023" y="7524424"/>
          <a:ext cx="2950395" cy="20668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modesg_inp_emss_bens_imoveis</a:t>
          </a:r>
        </a:p>
      </xdr:txBody>
    </xdr:sp>
    <xdr:clientData/>
  </xdr:twoCellAnchor>
  <xdr:twoCellAnchor>
    <xdr:from>
      <xdr:col>8</xdr:col>
      <xdr:colOff>136199</xdr:colOff>
      <xdr:row>35</xdr:row>
      <xdr:rowOff>192404</xdr:rowOff>
    </xdr:from>
    <xdr:to>
      <xdr:col>12</xdr:col>
      <xdr:colOff>397183</xdr:colOff>
      <xdr:row>36</xdr:row>
      <xdr:rowOff>205455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4753023" y="7834816"/>
          <a:ext cx="2950395" cy="23716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</a:p>
      </xdr:txBody>
    </xdr:sp>
    <xdr:clientData/>
  </xdr:twoCellAnchor>
  <xdr:twoCellAnchor>
    <xdr:from>
      <xdr:col>13</xdr:col>
      <xdr:colOff>477105</xdr:colOff>
      <xdr:row>33</xdr:row>
      <xdr:rowOff>163193</xdr:rowOff>
    </xdr:from>
    <xdr:to>
      <xdr:col>18</xdr:col>
      <xdr:colOff>514238</xdr:colOff>
      <xdr:row>37</xdr:row>
      <xdr:rowOff>136861</xdr:rowOff>
    </xdr:to>
    <xdr:sp macro="" textlink="">
      <xdr:nvSpPr>
        <xdr:cNvPr id="68" name="Rectángulo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455693" y="7357369"/>
          <a:ext cx="3398898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32</xdr:row>
      <xdr:rowOff>21981</xdr:rowOff>
    </xdr:from>
    <xdr:to>
      <xdr:col>18</xdr:col>
      <xdr:colOff>514713</xdr:colOff>
      <xdr:row>33</xdr:row>
      <xdr:rowOff>126529</xdr:rowOff>
    </xdr:to>
    <xdr:sp macro="" textlink="">
      <xdr:nvSpPr>
        <xdr:cNvPr id="69" name="Rectángulo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455693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Imóveis)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35</xdr:row>
      <xdr:rowOff>32396</xdr:rowOff>
    </xdr:from>
    <xdr:to>
      <xdr:col>18</xdr:col>
      <xdr:colOff>172276</xdr:colOff>
      <xdr:row>36</xdr:row>
      <xdr:rowOff>49257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8805275" y="7674808"/>
          <a:ext cx="2707354" cy="24097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modesg_out_bens_imoveis</a:t>
          </a:r>
        </a:p>
      </xdr:txBody>
    </xdr:sp>
    <xdr:clientData/>
  </xdr:twoCellAnchor>
  <xdr:twoCellAnchor>
    <xdr:from>
      <xdr:col>7</xdr:col>
      <xdr:colOff>94532</xdr:colOff>
      <xdr:row>35</xdr:row>
      <xdr:rowOff>27801</xdr:rowOff>
    </xdr:from>
    <xdr:to>
      <xdr:col>7</xdr:col>
      <xdr:colOff>578627</xdr:colOff>
      <xdr:row>36</xdr:row>
      <xdr:rowOff>131241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4042813" y="7668308"/>
          <a:ext cx="482190" cy="333272"/>
          <a:chOff x="3740581" y="4615607"/>
          <a:chExt cx="588196" cy="312799"/>
        </a:xfrm>
      </xdr:grpSpPr>
      <xdr:cxnSp macro="">
        <xdr:nvCxnSpPr>
          <xdr:cNvPr id="74" name="Elbow Connector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Elbow Connector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662654</xdr:colOff>
      <xdr:row>10</xdr:row>
      <xdr:rowOff>2001</xdr:rowOff>
    </xdr:from>
    <xdr:to>
      <xdr:col>38</xdr:col>
      <xdr:colOff>51446</xdr:colOff>
      <xdr:row>30</xdr:row>
      <xdr:rowOff>14018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>
          <a:grpSpLocks noChangeAspect="1"/>
        </xdr:cNvGrpSpPr>
      </xdr:nvGrpSpPr>
      <xdr:grpSpPr>
        <a:xfrm>
          <a:off x="13351523" y="2041472"/>
          <a:ext cx="11491145" cy="4498180"/>
          <a:chOff x="13239750" y="1986643"/>
          <a:chExt cx="11382083" cy="4372314"/>
        </a:xfrm>
      </xdr:grpSpPr>
      <xdr:grpSp>
        <xdr:nvGrpSpPr>
          <xdr:cNvPr id="183" name="Group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 noChangeAspect="1"/>
          </xdr:cNvGrpSpPr>
        </xdr:nvGrpSpPr>
        <xdr:grpSpPr>
          <a:xfrm>
            <a:off x="13239750" y="1986643"/>
            <a:ext cx="3419733" cy="860016"/>
            <a:chOff x="520414" y="633351"/>
            <a:chExt cx="3415923" cy="867636"/>
          </a:xfrm>
        </xdr:grpSpPr>
        <xdr:sp macro="" textlink="">
          <xdr:nvSpPr>
            <xdr:cNvPr id="215" name="Rectángulo 68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/>
          </xdr:nvSpPr>
          <xdr:spPr>
            <a:xfrm>
              <a:off x="520414" y="10004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6" name="Rectángulo 69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/>
          </xdr:nvSpPr>
          <xdr:spPr>
            <a:xfrm>
              <a:off x="520415" y="6333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i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Inputs</a:t>
              </a:r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11352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SANTANDER_INMUEBLES (Gloval)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3068642"/>
            <a:ext cx="3415923" cy="869541"/>
            <a:chOff x="520414" y="1738251"/>
            <a:chExt cx="3415923" cy="867636"/>
          </a:xfrm>
        </xdr:grpSpPr>
        <xdr:sp macro="" textlink="">
          <xdr:nvSpPr>
            <xdr:cNvPr id="212" name="Rectángulo 68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20414" y="21053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3" name="Rectángulo 69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/>
          </xdr:nvSpPr>
          <xdr:spPr>
            <a:xfrm>
              <a:off x="520415" y="17382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MUG</a:t>
              </a:r>
            </a:p>
          </xdr:txBody>
        </xdr:sp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22401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colaterizados</a:t>
              </a: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5495131"/>
            <a:ext cx="3415923" cy="863826"/>
            <a:chOff x="520414" y="4143744"/>
            <a:chExt cx="3415923" cy="867636"/>
          </a:xfrm>
        </xdr:grpSpPr>
        <xdr:sp macro="" textlink="">
          <xdr:nvSpPr>
            <xdr:cNvPr id="209" name="Rectángulo 6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520414" y="4510881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0" name="Rectángulo 6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/>
          </xdr:nvSpPr>
          <xdr:spPr>
            <a:xfrm>
              <a:off x="520415" y="4143744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IVT</a:t>
              </a: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4645680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adjudicados</a:t>
              </a: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86" name="Rectángulo 69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spect="1"/>
          </xdr:cNvSpPr>
        </xdr:nvSpPr>
        <xdr:spPr>
          <a:xfrm>
            <a:off x="17219563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Bens Imóveis - </a:t>
            </a:r>
            <a:r>
              <a:rPr lang="en-GB" sz="1200" b="1" i="1">
                <a:solidFill>
                  <a:prstClr val="white"/>
                </a:solidFill>
                <a:latin typeface="Santander Text" panose="020B0504020201020104" pitchFamily="34" charset="0"/>
              </a:rPr>
              <a:t>Inputs</a:t>
            </a:r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 noChangeAspect="1"/>
          </xdr:cNvGrpSpPr>
        </xdr:nvGrpSpPr>
        <xdr:grpSpPr>
          <a:xfrm>
            <a:off x="17210176" y="2353780"/>
            <a:ext cx="3423542" cy="497912"/>
            <a:chOff x="4490840" y="1002094"/>
            <a:chExt cx="3415922" cy="507437"/>
          </a:xfrm>
        </xdr:grpSpPr>
        <xdr:sp macro="" textlink="">
          <xdr:nvSpPr>
            <xdr:cNvPr id="207" name="Rectángulo 68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4490840" y="1002094"/>
              <a:ext cx="3415922" cy="5074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1001" y="114036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cd_imv_inp_certif_estimativa</a:t>
              </a:r>
            </a:p>
          </xdr:txBody>
        </xdr:sp>
      </xdr:grpSp>
      <xdr:cxnSp macro="">
        <xdr:nvCxnSpPr>
          <xdr:cNvPr id="188" name="Straight Arrow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>
            <a:cxnSpLocks noChangeAspect="1"/>
          </xdr:cNvCxnSpPr>
        </xdr:nvCxnSpPr>
        <xdr:spPr>
          <a:xfrm>
            <a:off x="16631367" y="2597062"/>
            <a:ext cx="56489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4152546"/>
            <a:ext cx="3415923" cy="1128221"/>
            <a:chOff x="520414" y="2870282"/>
            <a:chExt cx="3415923" cy="1132031"/>
          </a:xfrm>
        </xdr:grpSpPr>
        <xdr:sp macro="" textlink="">
          <xdr:nvSpPr>
            <xdr:cNvPr id="203" name="Rectángulo 68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520414" y="3237419"/>
              <a:ext cx="3415922" cy="76489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4" name="Rectángulo 69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520415" y="2870282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Aplicação GP</a:t>
              </a: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372218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exclusivamente financiados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686543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sobre empr. não hipotecários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90" name="Rectángulo 6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/>
          </xdr:cNvSpPr>
        </xdr:nvSpPr>
        <xdr:spPr>
          <a:xfrm>
            <a:off x="21203528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Bens imóveis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Outputs</a:t>
            </a:r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GrpSpPr>
            <a:grpSpLocks noChangeAspect="1"/>
          </xdr:cNvGrpSpPr>
        </xdr:nvGrpSpPr>
        <xdr:grpSpPr>
          <a:xfrm>
            <a:off x="21200196" y="2353780"/>
            <a:ext cx="3421637" cy="1747244"/>
            <a:chOff x="4814690" y="2904017"/>
            <a:chExt cx="3415922" cy="1749149"/>
          </a:xfrm>
        </xdr:grpSpPr>
        <xdr:sp macro="" textlink="">
          <xdr:nvSpPr>
            <xdr:cNvPr id="196" name="Rectángulo 68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SpPr/>
          </xdr:nvSpPr>
          <xdr:spPr>
            <a:xfrm>
              <a:off x="4814690" y="2904017"/>
              <a:ext cx="3415922" cy="17491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030243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cd_imv_out_bens</a:t>
              </a: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34669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cd_imv_out_certif</a:t>
              </a: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663141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cd_imv_out_prc</a:t>
              </a:r>
            </a:p>
          </xdr:txBody>
        </xdr:sp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/>
          </xdr:nvGrpSpPr>
          <xdr:grpSpPr>
            <a:xfrm>
              <a:off x="5044851" y="3979590"/>
              <a:ext cx="2955600" cy="547350"/>
              <a:chOff x="4320951" y="2385099"/>
              <a:chExt cx="2955600" cy="547350"/>
            </a:xfrm>
          </xdr:grpSpPr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385099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cd_imv_out_trz_cred_prc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701548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cd_imv_out_trz_prc_bens_imv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</xdr:grpSp>
      </xdr:grpSp>
      <xdr:cxnSp macro="">
        <xdr:nvCxnSpPr>
          <xdr:cNvPr id="192" name="Elbow Connector 96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>
            <a:cxnSpLocks noChangeAspect="1"/>
            <a:stCxn id="212" idx="3"/>
            <a:endCxn id="196" idx="1"/>
          </xdr:cNvCxnSpPr>
        </xdr:nvCxnSpPr>
        <xdr:spPr>
          <a:xfrm flipV="1">
            <a:off x="16657577" y="3227402"/>
            <a:ext cx="4542619" cy="45236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Elbow Connector 9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69605" y="3227402"/>
            <a:ext cx="4530591" cy="1676634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Elbow Connector 98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71660" y="3227402"/>
            <a:ext cx="4528536" cy="2885838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Elbow Connector 96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CxnSpPr>
            <a:cxnSpLocks/>
          </xdr:cNvCxnSpPr>
        </xdr:nvCxnSpPr>
        <xdr:spPr>
          <a:xfrm>
            <a:off x="20655403" y="2581779"/>
            <a:ext cx="753986" cy="352607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625783</xdr:colOff>
      <xdr:row>29</xdr:row>
      <xdr:rowOff>56381</xdr:rowOff>
    </xdr:from>
    <xdr:to>
      <xdr:col>13</xdr:col>
      <xdr:colOff>479957</xdr:colOff>
      <xdr:row>29</xdr:row>
      <xdr:rowOff>56381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45" idx="3"/>
          <a:endCxn id="52" idx="1"/>
        </xdr:cNvCxnSpPr>
      </xdr:nvCxnSpPr>
      <xdr:spPr>
        <a:xfrm>
          <a:off x="7932018" y="6354087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625783</xdr:colOff>
      <xdr:row>35</xdr:row>
      <xdr:rowOff>144332</xdr:rowOff>
    </xdr:from>
    <xdr:to>
      <xdr:col>13</xdr:col>
      <xdr:colOff>479957</xdr:colOff>
      <xdr:row>35</xdr:row>
      <xdr:rowOff>144332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stCxn id="61" idx="3"/>
          <a:endCxn id="68" idx="1"/>
        </xdr:cNvCxnSpPr>
      </xdr:nvCxnSpPr>
      <xdr:spPr>
        <a:xfrm>
          <a:off x="7932018" y="7786744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24</xdr:row>
      <xdr:rowOff>0</xdr:rowOff>
    </xdr:from>
    <xdr:to>
      <xdr:col>6</xdr:col>
      <xdr:colOff>151318</xdr:colOff>
      <xdr:row>34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522636</xdr:colOff>
      <xdr:row>25</xdr:row>
      <xdr:rowOff>60414</xdr:rowOff>
    </xdr:from>
    <xdr:to>
      <xdr:col>14</xdr:col>
      <xdr:colOff>621111</xdr:colOff>
      <xdr:row>25</xdr:row>
      <xdr:rowOff>174129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173577" y="4845326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26</xdr:row>
      <xdr:rowOff>57538</xdr:rowOff>
    </xdr:from>
    <xdr:to>
      <xdr:col>14</xdr:col>
      <xdr:colOff>621111</xdr:colOff>
      <xdr:row>26</xdr:row>
      <xdr:rowOff>169348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173577" y="5066567"/>
          <a:ext cx="98475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27</xdr:row>
      <xdr:rowOff>56118</xdr:rowOff>
    </xdr:from>
    <xdr:to>
      <xdr:col>14</xdr:col>
      <xdr:colOff>621111</xdr:colOff>
      <xdr:row>27</xdr:row>
      <xdr:rowOff>173643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173577" y="5289265"/>
          <a:ext cx="98475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28</xdr:row>
      <xdr:rowOff>60189</xdr:rowOff>
    </xdr:from>
    <xdr:to>
      <xdr:col>14</xdr:col>
      <xdr:colOff>632959</xdr:colOff>
      <xdr:row>28</xdr:row>
      <xdr:rowOff>167769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9173575" y="5517454"/>
          <a:ext cx="110325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29</xdr:row>
      <xdr:rowOff>74234</xdr:rowOff>
    </xdr:from>
    <xdr:to>
      <xdr:col>14</xdr:col>
      <xdr:colOff>621111</xdr:colOff>
      <xdr:row>29</xdr:row>
      <xdr:rowOff>189854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/>
        </xdr:cNvSpPr>
      </xdr:nvSpPr>
      <xdr:spPr>
        <a:xfrm>
          <a:off x="9173577" y="5755616"/>
          <a:ext cx="98475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30</xdr:row>
      <xdr:rowOff>74943</xdr:rowOff>
    </xdr:from>
    <xdr:to>
      <xdr:col>14</xdr:col>
      <xdr:colOff>621111</xdr:colOff>
      <xdr:row>30</xdr:row>
      <xdr:rowOff>188658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173577" y="5980443"/>
          <a:ext cx="98475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32</xdr:row>
      <xdr:rowOff>56346</xdr:rowOff>
    </xdr:from>
    <xdr:to>
      <xdr:col>14</xdr:col>
      <xdr:colOff>621111</xdr:colOff>
      <xdr:row>32</xdr:row>
      <xdr:rowOff>173871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173577" y="6410081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31</xdr:row>
      <xdr:rowOff>92090</xdr:rowOff>
    </xdr:from>
    <xdr:to>
      <xdr:col>14</xdr:col>
      <xdr:colOff>621111</xdr:colOff>
      <xdr:row>31</xdr:row>
      <xdr:rowOff>209615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173577" y="6221708"/>
          <a:ext cx="98475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47</xdr:row>
      <xdr:rowOff>60414</xdr:rowOff>
    </xdr:from>
    <xdr:to>
      <xdr:col>14</xdr:col>
      <xdr:colOff>621111</xdr:colOff>
      <xdr:row>47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48</xdr:row>
      <xdr:rowOff>57538</xdr:rowOff>
    </xdr:from>
    <xdr:to>
      <xdr:col>14</xdr:col>
      <xdr:colOff>621111</xdr:colOff>
      <xdr:row>48</xdr:row>
      <xdr:rowOff>169348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171672" y="4838640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49</xdr:row>
      <xdr:rowOff>56118</xdr:rowOff>
    </xdr:from>
    <xdr:to>
      <xdr:col>14</xdr:col>
      <xdr:colOff>621111</xdr:colOff>
      <xdr:row>49</xdr:row>
      <xdr:rowOff>173643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171672" y="506895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50</xdr:row>
      <xdr:rowOff>60189</xdr:rowOff>
    </xdr:from>
    <xdr:to>
      <xdr:col>14</xdr:col>
      <xdr:colOff>632959</xdr:colOff>
      <xdr:row>50</xdr:row>
      <xdr:rowOff>167769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171670" y="5289526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51</xdr:row>
      <xdr:rowOff>74234</xdr:rowOff>
    </xdr:from>
    <xdr:to>
      <xdr:col>14</xdr:col>
      <xdr:colOff>621111</xdr:colOff>
      <xdr:row>51</xdr:row>
      <xdr:rowOff>189854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171672" y="5531499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52</xdr:row>
      <xdr:rowOff>74943</xdr:rowOff>
    </xdr:from>
    <xdr:to>
      <xdr:col>14</xdr:col>
      <xdr:colOff>621111</xdr:colOff>
      <xdr:row>52</xdr:row>
      <xdr:rowOff>188658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171672" y="575632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54</xdr:row>
      <xdr:rowOff>56346</xdr:rowOff>
    </xdr:from>
    <xdr:to>
      <xdr:col>14</xdr:col>
      <xdr:colOff>621111</xdr:colOff>
      <xdr:row>54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53</xdr:row>
      <xdr:rowOff>92090</xdr:rowOff>
    </xdr:from>
    <xdr:to>
      <xdr:col>14</xdr:col>
      <xdr:colOff>621111</xdr:colOff>
      <xdr:row>53</xdr:row>
      <xdr:rowOff>209615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171672" y="6001400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81</xdr:row>
      <xdr:rowOff>60414</xdr:rowOff>
    </xdr:from>
    <xdr:to>
      <xdr:col>14</xdr:col>
      <xdr:colOff>621111</xdr:colOff>
      <xdr:row>81</xdr:row>
      <xdr:rowOff>174129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171672" y="810242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82</xdr:row>
      <xdr:rowOff>57538</xdr:rowOff>
    </xdr:from>
    <xdr:to>
      <xdr:col>14</xdr:col>
      <xdr:colOff>621111</xdr:colOff>
      <xdr:row>82</xdr:row>
      <xdr:rowOff>169348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171672" y="8323669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83</xdr:row>
      <xdr:rowOff>56118</xdr:rowOff>
    </xdr:from>
    <xdr:to>
      <xdr:col>14</xdr:col>
      <xdr:colOff>621111</xdr:colOff>
      <xdr:row>83</xdr:row>
      <xdr:rowOff>173643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171672" y="855398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84</xdr:row>
      <xdr:rowOff>60189</xdr:rowOff>
    </xdr:from>
    <xdr:to>
      <xdr:col>14</xdr:col>
      <xdr:colOff>632959</xdr:colOff>
      <xdr:row>84</xdr:row>
      <xdr:rowOff>167769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171670" y="8774555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85</xdr:row>
      <xdr:rowOff>74234</xdr:rowOff>
    </xdr:from>
    <xdr:to>
      <xdr:col>14</xdr:col>
      <xdr:colOff>621111</xdr:colOff>
      <xdr:row>85</xdr:row>
      <xdr:rowOff>189854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171672" y="9016528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86</xdr:row>
      <xdr:rowOff>74943</xdr:rowOff>
    </xdr:from>
    <xdr:to>
      <xdr:col>14</xdr:col>
      <xdr:colOff>621111</xdr:colOff>
      <xdr:row>86</xdr:row>
      <xdr:rowOff>188658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171672" y="924135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88</xdr:row>
      <xdr:rowOff>56346</xdr:rowOff>
    </xdr:from>
    <xdr:to>
      <xdr:col>14</xdr:col>
      <xdr:colOff>621111</xdr:colOff>
      <xdr:row>88</xdr:row>
      <xdr:rowOff>173871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171672" y="967480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87</xdr:row>
      <xdr:rowOff>92090</xdr:rowOff>
    </xdr:from>
    <xdr:to>
      <xdr:col>14</xdr:col>
      <xdr:colOff>621111</xdr:colOff>
      <xdr:row>87</xdr:row>
      <xdr:rowOff>209615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171672" y="948642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46</xdr:row>
      <xdr:rowOff>76535</xdr:rowOff>
    </xdr:from>
    <xdr:to>
      <xdr:col>14</xdr:col>
      <xdr:colOff>246753</xdr:colOff>
      <xdr:row>66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255772</xdr:colOff>
      <xdr:row>45</xdr:row>
      <xdr:rowOff>95817</xdr:rowOff>
    </xdr:from>
    <xdr:to>
      <xdr:col>6</xdr:col>
      <xdr:colOff>67836</xdr:colOff>
      <xdr:row>57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93006</xdr:colOff>
      <xdr:row>80</xdr:row>
      <xdr:rowOff>37660</xdr:rowOff>
    </xdr:from>
    <xdr:to>
      <xdr:col>14</xdr:col>
      <xdr:colOff>397922</xdr:colOff>
      <xdr:row>91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16605</xdr:colOff>
      <xdr:row>79</xdr:row>
      <xdr:rowOff>37656</xdr:rowOff>
    </xdr:from>
    <xdr:to>
      <xdr:col>5</xdr:col>
      <xdr:colOff>664817</xdr:colOff>
      <xdr:row>91</xdr:row>
      <xdr:rowOff>110495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97</xdr:row>
      <xdr:rowOff>60414</xdr:rowOff>
    </xdr:from>
    <xdr:to>
      <xdr:col>14</xdr:col>
      <xdr:colOff>621111</xdr:colOff>
      <xdr:row>97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98</xdr:row>
      <xdr:rowOff>57538</xdr:rowOff>
    </xdr:from>
    <xdr:to>
      <xdr:col>14</xdr:col>
      <xdr:colOff>621111</xdr:colOff>
      <xdr:row>98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99</xdr:row>
      <xdr:rowOff>56118</xdr:rowOff>
    </xdr:from>
    <xdr:to>
      <xdr:col>14</xdr:col>
      <xdr:colOff>621111</xdr:colOff>
      <xdr:row>99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100</xdr:row>
      <xdr:rowOff>60189</xdr:rowOff>
    </xdr:from>
    <xdr:to>
      <xdr:col>14</xdr:col>
      <xdr:colOff>632959</xdr:colOff>
      <xdr:row>100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101</xdr:row>
      <xdr:rowOff>74234</xdr:rowOff>
    </xdr:from>
    <xdr:to>
      <xdr:col>14</xdr:col>
      <xdr:colOff>621111</xdr:colOff>
      <xdr:row>101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102</xdr:row>
      <xdr:rowOff>74943</xdr:rowOff>
    </xdr:from>
    <xdr:to>
      <xdr:col>14</xdr:col>
      <xdr:colOff>621111</xdr:colOff>
      <xdr:row>102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104</xdr:row>
      <xdr:rowOff>56346</xdr:rowOff>
    </xdr:from>
    <xdr:to>
      <xdr:col>14</xdr:col>
      <xdr:colOff>621111</xdr:colOff>
      <xdr:row>104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103</xdr:row>
      <xdr:rowOff>92090</xdr:rowOff>
    </xdr:from>
    <xdr:to>
      <xdr:col>14</xdr:col>
      <xdr:colOff>621111</xdr:colOff>
      <xdr:row>103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99</xdr:row>
      <xdr:rowOff>130394</xdr:rowOff>
    </xdr:from>
    <xdr:to>
      <xdr:col>14</xdr:col>
      <xdr:colOff>369793</xdr:colOff>
      <xdr:row>102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95</xdr:row>
      <xdr:rowOff>78081</xdr:rowOff>
    </xdr:from>
    <xdr:to>
      <xdr:col>6</xdr:col>
      <xdr:colOff>327030</xdr:colOff>
      <xdr:row>107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109527</xdr:colOff>
      <xdr:row>24</xdr:row>
      <xdr:rowOff>150185</xdr:rowOff>
    </xdr:from>
    <xdr:to>
      <xdr:col>14</xdr:col>
      <xdr:colOff>449645</xdr:colOff>
      <xdr:row>34</xdr:row>
      <xdr:rowOff>98212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0</xdr:colOff>
      <xdr:row>1</xdr:row>
      <xdr:rowOff>0</xdr:rowOff>
    </xdr:from>
    <xdr:to>
      <xdr:col>2</xdr:col>
      <xdr:colOff>589078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248841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43171297" backgroundQuery="1" createdVersion="8" refreshedVersion="8" minRefreshableVersion="3" recordCount="0" supportSubquery="1" supportAdvancedDrill="1" xr:uid="{00000000-000A-0000-FFFF-FFFFE6000000}">
  <cacheSource type="external" connectionId="1"/>
  <cacheFields count="5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">
        <s v="lt002_insrmnt"/>
      </sharedItems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4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2175928" backgroundQuery="1" createdVersion="8" refreshedVersion="8" minRefreshableVersion="3" recordCount="0" supportSubquery="1" supportAdvancedDrill="1" xr:uid="{00000000-000A-0000-FFFF-FFFFD7000000}">
  <cacheSource type="external" connectionId="1"/>
  <cacheFields count="6"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6">
        <s v="cd_imv_inp_certif_estimativa"/>
        <s v="cd_imv_out_bens"/>
        <s v="cd_imv_out_certif"/>
        <s v="cd_imv_out_prc"/>
        <s v="cd_imv_out_trz_cred_prc"/>
        <s v="cd_imv_out_trz_prc_bens_imv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0555558" backgroundQuery="1" createdVersion="8" refreshedVersion="8" minRefreshableVersion="3" recordCount="0" supportSubquery="1" supportAdvancedDrill="1" xr:uid="{00000000-000A-0000-FFFF-FFFFDA000000}">
  <cacheSource type="external" connectionId="1"/>
  <cacheFields count="7">
    <cacheField name="[Range].[Sub-âmbito].[Sub-âmbito]" caption="Sub-âmbito" numFmtId="0" hierarchy="1" level="1">
      <sharedItems containsSemiMixedTypes="0" containsNonDate="0" containsString="0"/>
    </cacheField>
    <cacheField name="[Range].[Tipo de teste].[Tipo de teste]" caption="Tipo de teste" numFmtId="0" hierarchy="2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po de teste]" caption="Tipo de teste" attribute="1" defaultMemberUniqueName="[Range].[Tipo de teste].[All]" allUniqueName="[Range].[Tipo de tes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33912037" backgroundQuery="1" createdVersion="8" refreshedVersion="8" minRefreshableVersion="3" recordCount="0" supportSubquery="1" supportAdvancedDrill="1" xr:uid="{00000000-000A-0000-FFFF-FFFFD4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41782404" backgroundQuery="1" createdVersion="8" refreshedVersion="8" minRefreshableVersion="3" recordCount="0" supportSubquery="1" supportAdvancedDrill="1" xr:uid="{00000000-000A-0000-FFFF-FFFFE9000000}">
  <cacheSource type="external" connectionId="1"/>
  <cacheFields count="4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3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7083333" backgroundQuery="1" createdVersion="8" refreshedVersion="8" minRefreshableVersion="3" recordCount="0" supportSubquery="1" supportAdvancedDrill="1" xr:uid="{00000000-000A-0000-FFFF-FFFFE0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6">
        <s v="1. Concluído"/>
        <s v="2. Em Teste"/>
        <s v="7. Por iniciar"/>
        <s v="3. Pendente de outros desenvolvimentos" u="1"/>
        <s v="4. Validação EF" u="1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8935187" backgroundQuery="1" createdVersion="8" refreshedVersion="8" minRefreshableVersion="3" recordCount="0" supportSubquery="1" supportAdvancedDrill="1" xr:uid="{00000000-000A-0000-FFFF-FFFFDD000000}">
  <cacheSource type="external" connectionId="1"/>
  <cacheFields count="7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Status Atual].[Status Atual]" caption="Status Atual" numFmtId="0" hierarchy="23" level="1">
      <sharedItems count="3">
        <s v="1. Concluído"/>
        <s v="2. Em Teste"/>
        <s v="7. Por iniciar"/>
      </sharedItems>
    </cacheField>
    <cacheField name="[Measures].[Count of Campo 4]" caption="Count of Campo 4" numFmtId="0" hierarchy="36" level="32767"/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506.342225347224" backgroundQuery="1" createdVersion="8" refreshedVersion="8" minRefreshableVersion="3" recordCount="0" supportSubquery="1" supportAdvancedDrill="1" xr:uid="{00000000-000A-0000-FFFF-FFFFE3000000}">
  <cacheSource type="external" connectionId="1"/>
  <cacheFields count="8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35:F138" firstHeaderRow="1" firstDataRow="2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2">
    <i>
      <x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3" subtotal="count" baseField="0" baseItem="0"/>
  </dataFields>
  <chartFormats count="6"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9:H17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0" hier="18" name="[Table4].[Âmbito].&amp;[Pilar III]" cap="Pilar III"/>
    <pageField fld="1" hier="19" name="[Table4].[Sub-âmbito].&amp;[Bens Imóveis - Input]" cap="Bens Imóveis - Input"/>
    <pageField fld="2" hier="20" name="[Table4].[Tipo de teste].&amp;[2. Campo]" cap="2. Campo"/>
  </pageFields>
  <dataFields count="1">
    <dataField name="Count of Campo" fld="4" subtotal="count" baseField="0" baseItem="0"/>
  </dataFields>
  <chartFormats count="6"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5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>
  <location ref="B27:C33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Bens Imóveis - Input]" cap="Bens Imóveis - Input"/>
    <pageField fld="4" hier="20" name="[Table4].[Tipo de teste].&amp;[2. Campo]" cap="2. Campo"/>
  </pageFields>
  <dataFields count="1">
    <dataField name="Count of Campo" fld="5" subtotal="count" baseField="0" baseItem="0"/>
  </dataFields>
  <chartFormats count="6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>
      <members count="2" level="1">
        <member name="[Range].[Sub-âmbito].&amp;[Bens Imóveis - Input]"/>
        <member name="[Range].[Sub-âmbito].&amp;[Bens Imóveis - Output]"/>
      </members>
    </pivotHierarchy>
    <pivotHierarchy multipleItemSelectionAllowed="1" dragToData="1">
      <members count="1" level="1">
        <member name="[Range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48:J6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3">
    <pageField fld="4" hier="18" name="[Table4].[Âmbito].&amp;[Pilar III]" cap="Pilar III"/>
    <pageField fld="5" hier="19" name="[Table4].[Sub-âmbito].&amp;[Modelo Verde - Input]" cap="Modelo Verde - Input"/>
    <pageField fld="6" hier="20" name="[Table4].[Tipo de teste].&amp;[2. Campo]" cap="2. Campo"/>
  </pageFields>
  <dataFields count="1">
    <dataField name="Count of Campo" fld="8" subtotal="count" baseField="0" baseItem="0"/>
  </dataFields>
  <chartFormats count="9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1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44:C148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4:F10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pageFields count="3">
    <pageField fld="4" hier="18" name="[Table4].[Âmbito].&amp;[Pilar III]" cap="Pilar III"/>
    <pageField fld="5" hier="19" name="[Table4].[Sub-âmbito].&amp;[Pilar III]" cap="Pilar III"/>
    <pageField fld="6" hier="20" name="[Table4].[Tipo de teste].&amp;[2. Campo]" cap="2. Campo"/>
  </pageFields>
  <dataFields count="1">
    <dataField name="Count of Campo" fld="8" subtotal="count" baseField="0" baseItem="0"/>
  </dataFields>
  <chartFormats count="8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10" cacheId="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B115:C119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3">
        <item x="2"/>
        <item x="0"/>
        <item x="1"/>
      </items>
    </pivotField>
    <pivotField dataField="1" subtotalTop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Pilar III]" cap="Pilar III"/>
    <pageField fld="4" hier="20" name="[Table4].[Tipo de teste].&amp;[2. Campo]" cap="2. Campo"/>
  </pageFields>
  <dataFields count="1">
    <dataField name="Count of Campo" fld="6" subtotal="count" baseField="0" baseItem="0"/>
  </dataFields>
  <chartFormats count="4"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8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B72:C80" firstHeaderRow="1" firstDataRow="1" firstDataCol="1" rowPageCount="3" colPageCount="1"/>
  <pivotFields count="8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18" name="[Table4].[Âmbito].&amp;[Pilar III]" cap="Pilar III"/>
    <pageField fld="4" hier="19" name="[Table4].[Sub-âmbito].&amp;[Modelo Verde - Input]" cap="Modelo Verde - Input"/>
    <pageField fld="5" hier="20" name="[Table4].[Tipo de teste].&amp;[2. Campo]" cap="2. Campo"/>
  </pageFields>
  <dataFields count="1">
    <dataField name="Count of Campo" fld="6" subtotal="count" baseField="0" baseItem="0"/>
  </dataFields>
  <chartFormats count="8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L605" totalsRowShown="0" headerRowDxfId="16" tableBorderDxfId="15">
  <autoFilter ref="B6:L605" xr:uid="{00000000-0009-0000-0100-000004000000}"/>
  <tableColumns count="11">
    <tableColumn id="1" xr3:uid="{00000000-0010-0000-0000-000001000000}" name="Âmbito" dataDxfId="14"/>
    <tableColumn id="2" xr3:uid="{00000000-0010-0000-0000-000002000000}" name="Sub-âmbito" dataDxfId="13"/>
    <tableColumn id="3" xr3:uid="{00000000-0010-0000-0000-000003000000}" name="Tipo de teste" dataDxfId="12"/>
    <tableColumn id="4" xr3:uid="{00000000-0010-0000-0000-000004000000}" name="Tabela" dataDxfId="11"/>
    <tableColumn id="5" xr3:uid="{00000000-0010-0000-0000-000005000000}" name="Campo" dataDxfId="10"/>
    <tableColumn id="6" xr3:uid="{00000000-0010-0000-0000-000006000000}" name="Status Atual" dataDxfId="9"/>
    <tableColumn id="7" xr3:uid="{00000000-0010-0000-0000-000007000000}" name="Status Anterior" dataDxfId="8"/>
    <tableColumn id="8" xr3:uid="{00000000-0010-0000-0000-000008000000}" name="Observações" dataDxfId="7"/>
    <tableColumn id="9" xr3:uid="{00000000-0010-0000-0000-000009000000}" name="Data de Pedido correção/esclarecimento" dataDxfId="6"/>
    <tableColumn id="10" xr3:uid="{00000000-0010-0000-0000-00000A000000}" name="Data de correção prevista" dataDxfId="5"/>
    <tableColumn id="11" xr3:uid="{00000000-0010-0000-0000-00000B000000}" name="Data de correção efetiva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N42"/>
  <sheetViews>
    <sheetView showGridLines="0" tabSelected="1" zoomScale="85" zoomScaleNormal="85" workbookViewId="0"/>
  </sheetViews>
  <sheetFormatPr defaultColWidth="0" defaultRowHeight="17.55" customHeight="1" zeroHeight="1" x14ac:dyDescent="0.45"/>
  <cols>
    <col min="1" max="2" width="3.69921875" style="11" customWidth="1"/>
    <col min="3" max="38" width="8.69921875" style="11" customWidth="1"/>
    <col min="39" max="40" width="3.69921875" style="11" customWidth="1"/>
    <col min="41" max="16384" width="8.69921875" style="11" hidden="1"/>
  </cols>
  <sheetData>
    <row r="1" spans="1:40" ht="17.399999999999999" x14ac:dyDescent="0.45">
      <c r="AN1" s="27"/>
    </row>
    <row r="2" spans="1:40" ht="17.399999999999999" x14ac:dyDescent="0.45"/>
    <row r="3" spans="1:40" ht="17.399999999999999" x14ac:dyDescent="0.45"/>
    <row r="4" spans="1:40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 ht="17.399999999999999" x14ac:dyDescent="0.4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ht="22.2" x14ac:dyDescent="0.55000000000000004">
      <c r="A6" s="26"/>
      <c r="B6" s="36" t="s">
        <v>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ht="4.95" customHeight="1" x14ac:dyDescent="0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ht="17.399999999999999" x14ac:dyDescent="0.45">
      <c r="A8" s="26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0"/>
      <c r="AN8" s="26"/>
    </row>
    <row r="9" spans="1:40" ht="22.2" x14ac:dyDescent="0.55000000000000004">
      <c r="A9" s="26"/>
      <c r="B9" s="31"/>
      <c r="C9" s="49" t="s">
        <v>1</v>
      </c>
      <c r="T9" s="50"/>
      <c r="V9" s="49" t="s">
        <v>2</v>
      </c>
      <c r="AM9" s="32"/>
      <c r="AN9" s="26"/>
    </row>
    <row r="10" spans="1:40" ht="17.399999999999999" x14ac:dyDescent="0.45">
      <c r="A10" s="26"/>
      <c r="B10" s="31"/>
      <c r="T10" s="50"/>
      <c r="AM10" s="32"/>
      <c r="AN10" s="26"/>
    </row>
    <row r="11" spans="1:40" ht="17.399999999999999" x14ac:dyDescent="0.45">
      <c r="A11" s="26"/>
      <c r="B11" s="31"/>
      <c r="T11" s="50"/>
      <c r="AM11" s="32"/>
      <c r="AN11" s="26"/>
    </row>
    <row r="12" spans="1:40" ht="17.399999999999999" x14ac:dyDescent="0.45">
      <c r="A12" s="26"/>
      <c r="B12" s="31"/>
      <c r="T12" s="50"/>
      <c r="AM12" s="32"/>
      <c r="AN12" s="26"/>
    </row>
    <row r="13" spans="1:40" ht="17.399999999999999" x14ac:dyDescent="0.45">
      <c r="A13" s="26"/>
      <c r="B13" s="31"/>
      <c r="T13" s="50"/>
      <c r="AM13" s="32"/>
      <c r="AN13" s="26"/>
    </row>
    <row r="14" spans="1:40" ht="17.399999999999999" x14ac:dyDescent="0.45">
      <c r="A14" s="26"/>
      <c r="B14" s="31"/>
      <c r="T14" s="50"/>
      <c r="AM14" s="32"/>
      <c r="AN14" s="26"/>
    </row>
    <row r="15" spans="1:40" ht="17.399999999999999" x14ac:dyDescent="0.45">
      <c r="A15" s="26"/>
      <c r="B15" s="31"/>
      <c r="T15" s="50"/>
      <c r="AM15" s="32"/>
      <c r="AN15" s="26"/>
    </row>
    <row r="16" spans="1:40" ht="17.399999999999999" x14ac:dyDescent="0.45">
      <c r="A16" s="26"/>
      <c r="B16" s="31"/>
      <c r="T16" s="50"/>
      <c r="AM16" s="32"/>
      <c r="AN16" s="26"/>
    </row>
    <row r="17" spans="1:40" ht="17.399999999999999" x14ac:dyDescent="0.45">
      <c r="A17" s="26"/>
      <c r="B17" s="31"/>
      <c r="T17" s="50"/>
      <c r="AM17" s="32"/>
      <c r="AN17" s="26"/>
    </row>
    <row r="18" spans="1:40" ht="17.399999999999999" x14ac:dyDescent="0.45">
      <c r="A18" s="26"/>
      <c r="B18" s="31"/>
      <c r="T18" s="50"/>
      <c r="AM18" s="32"/>
      <c r="AN18" s="26"/>
    </row>
    <row r="19" spans="1:40" ht="17.399999999999999" x14ac:dyDescent="0.45">
      <c r="A19" s="26"/>
      <c r="B19" s="31"/>
      <c r="T19" s="50"/>
      <c r="AM19" s="32"/>
      <c r="AN19" s="26"/>
    </row>
    <row r="20" spans="1:40" ht="17.399999999999999" x14ac:dyDescent="0.45">
      <c r="A20" s="26"/>
      <c r="B20" s="31"/>
      <c r="T20" s="50"/>
      <c r="AM20" s="32"/>
      <c r="AN20" s="26"/>
    </row>
    <row r="21" spans="1:40" ht="17.399999999999999" x14ac:dyDescent="0.45">
      <c r="A21" s="26"/>
      <c r="B21" s="31"/>
      <c r="T21" s="50"/>
      <c r="AM21" s="32"/>
      <c r="AN21" s="26"/>
    </row>
    <row r="22" spans="1:40" ht="17.399999999999999" x14ac:dyDescent="0.45">
      <c r="A22" s="26"/>
      <c r="B22" s="31"/>
      <c r="T22" s="50"/>
      <c r="AM22" s="32"/>
      <c r="AN22" s="26"/>
    </row>
    <row r="23" spans="1:40" ht="17.399999999999999" x14ac:dyDescent="0.45">
      <c r="A23" s="26"/>
      <c r="B23" s="31"/>
      <c r="T23" s="50"/>
      <c r="AM23" s="32"/>
      <c r="AN23" s="26"/>
    </row>
    <row r="24" spans="1:40" ht="17.399999999999999" x14ac:dyDescent="0.45">
      <c r="A24" s="26"/>
      <c r="B24" s="31"/>
      <c r="T24" s="50"/>
      <c r="AM24" s="32"/>
      <c r="AN24" s="26"/>
    </row>
    <row r="25" spans="1:40" ht="17.399999999999999" x14ac:dyDescent="0.45">
      <c r="A25" s="26"/>
      <c r="B25" s="31"/>
      <c r="T25" s="50"/>
      <c r="AM25" s="32"/>
      <c r="AN25" s="26"/>
    </row>
    <row r="26" spans="1:40" ht="17.399999999999999" x14ac:dyDescent="0.45">
      <c r="A26" s="26"/>
      <c r="B26" s="31"/>
      <c r="T26" s="50"/>
      <c r="AM26" s="32"/>
      <c r="AN26" s="26"/>
    </row>
    <row r="27" spans="1:40" ht="17.399999999999999" x14ac:dyDescent="0.45">
      <c r="A27" s="26"/>
      <c r="B27" s="31"/>
      <c r="T27" s="50"/>
      <c r="AM27" s="32"/>
      <c r="AN27" s="26"/>
    </row>
    <row r="28" spans="1:40" ht="17.399999999999999" x14ac:dyDescent="0.45">
      <c r="A28" s="26"/>
      <c r="B28" s="31"/>
      <c r="T28" s="50"/>
      <c r="AM28" s="32"/>
      <c r="AN28" s="26"/>
    </row>
    <row r="29" spans="1:40" ht="17.399999999999999" x14ac:dyDescent="0.45">
      <c r="A29" s="26"/>
      <c r="B29" s="31"/>
      <c r="T29" s="50"/>
      <c r="AM29" s="32"/>
      <c r="AN29" s="26"/>
    </row>
    <row r="30" spans="1:40" ht="17.399999999999999" x14ac:dyDescent="0.45">
      <c r="A30" s="26"/>
      <c r="B30" s="31"/>
      <c r="T30" s="50"/>
      <c r="AM30" s="32"/>
      <c r="AN30" s="26"/>
    </row>
    <row r="31" spans="1:40" ht="17.399999999999999" x14ac:dyDescent="0.45">
      <c r="A31" s="26"/>
      <c r="B31" s="31"/>
      <c r="T31" s="50"/>
      <c r="AM31" s="32"/>
      <c r="AN31" s="26"/>
    </row>
    <row r="32" spans="1:40" ht="17.399999999999999" x14ac:dyDescent="0.45">
      <c r="A32" s="26"/>
      <c r="B32" s="31"/>
      <c r="T32" s="50"/>
      <c r="AM32" s="32"/>
      <c r="AN32" s="26"/>
    </row>
    <row r="33" spans="1:40" ht="17.399999999999999" x14ac:dyDescent="0.45">
      <c r="A33" s="26"/>
      <c r="B33" s="31"/>
      <c r="T33" s="50"/>
      <c r="AM33" s="32"/>
      <c r="AN33" s="26"/>
    </row>
    <row r="34" spans="1:40" ht="17.399999999999999" x14ac:dyDescent="0.45">
      <c r="A34" s="26"/>
      <c r="B34" s="31"/>
      <c r="T34" s="50"/>
      <c r="AM34" s="32"/>
      <c r="AN34" s="26"/>
    </row>
    <row r="35" spans="1:40" ht="17.399999999999999" x14ac:dyDescent="0.45">
      <c r="A35" s="26"/>
      <c r="B35" s="31"/>
      <c r="T35" s="50"/>
      <c r="AM35" s="32"/>
      <c r="AN35" s="26"/>
    </row>
    <row r="36" spans="1:40" ht="17.399999999999999" x14ac:dyDescent="0.45">
      <c r="A36" s="26"/>
      <c r="B36" s="31"/>
      <c r="T36" s="50"/>
      <c r="AM36" s="32"/>
      <c r="AN36" s="26"/>
    </row>
    <row r="37" spans="1:40" ht="17.399999999999999" x14ac:dyDescent="0.45">
      <c r="A37" s="26"/>
      <c r="B37" s="31"/>
      <c r="T37" s="50"/>
      <c r="AM37" s="32"/>
      <c r="AN37" s="26"/>
    </row>
    <row r="38" spans="1:40" ht="17.399999999999999" x14ac:dyDescent="0.45">
      <c r="A38" s="26"/>
      <c r="B38" s="31"/>
      <c r="T38" s="50"/>
      <c r="AM38" s="32"/>
      <c r="AN38" s="26"/>
    </row>
    <row r="39" spans="1:40" ht="17.399999999999999" x14ac:dyDescent="0.45">
      <c r="A39" s="26"/>
      <c r="B39" s="31"/>
      <c r="C39" s="37" t="s">
        <v>3</v>
      </c>
      <c r="AM39" s="32"/>
      <c r="AN39" s="26"/>
    </row>
    <row r="40" spans="1:40" ht="17.399999999999999" x14ac:dyDescent="0.45">
      <c r="A40" s="26"/>
      <c r="B40" s="31"/>
      <c r="C40" s="25"/>
      <c r="D40" s="11" t="s">
        <v>4</v>
      </c>
      <c r="AM40" s="32"/>
      <c r="AN40" s="26"/>
    </row>
    <row r="41" spans="1:40" ht="17.399999999999999" x14ac:dyDescent="0.45">
      <c r="A41" s="26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5"/>
      <c r="AN41" s="26"/>
    </row>
    <row r="42" spans="1:40" ht="17.399999999999999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N110"/>
  <sheetViews>
    <sheetView showGridLines="0" zoomScale="84" zoomScaleNormal="84" workbookViewId="0"/>
  </sheetViews>
  <sheetFormatPr defaultColWidth="0" defaultRowHeight="17.399999999999999" zeroHeight="1" x14ac:dyDescent="0.45"/>
  <cols>
    <col min="1" max="2" width="3.69921875" style="11" customWidth="1"/>
    <col min="3" max="32" width="8.69921875" style="11" customWidth="1"/>
    <col min="33" max="34" width="3.69921875" style="11" customWidth="1"/>
    <col min="35" max="40" width="3.69921875" style="11" hidden="1"/>
    <col min="41" max="16384" width="8.796875" style="11" hidden="1"/>
  </cols>
  <sheetData>
    <row r="1" spans="1:34" x14ac:dyDescent="0.45"/>
    <row r="2" spans="1:34" x14ac:dyDescent="0.45"/>
    <row r="3" spans="1:34" x14ac:dyDescent="0.45"/>
    <row r="4" spans="1:34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 x14ac:dyDescent="0.4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spans="1:34" ht="22.2" x14ac:dyDescent="0.55000000000000004">
      <c r="A6" s="26"/>
      <c r="B6" s="36" t="s">
        <v>517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 ht="4.95" customHeight="1" x14ac:dyDescent="0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ht="17.55" customHeight="1" x14ac:dyDescent="0.45">
      <c r="A8" s="26"/>
      <c r="B8" s="65" t="s">
        <v>529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7"/>
      <c r="AH8" s="26"/>
    </row>
    <row r="9" spans="1:34" ht="17.55" customHeight="1" x14ac:dyDescent="0.45">
      <c r="A9" s="26"/>
      <c r="B9" s="6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69"/>
      <c r="AH9" s="26"/>
    </row>
    <row r="10" spans="1:34" ht="17.55" customHeight="1" x14ac:dyDescent="0.45">
      <c r="A10" s="26"/>
      <c r="B10" s="68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69"/>
      <c r="AH10" s="26"/>
    </row>
    <row r="11" spans="1:34" ht="17.55" customHeight="1" x14ac:dyDescent="0.45">
      <c r="A11" s="26"/>
      <c r="B11" s="68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69"/>
      <c r="AH11" s="26"/>
    </row>
    <row r="12" spans="1:34" ht="17.55" customHeight="1" x14ac:dyDescent="0.45">
      <c r="A12" s="26"/>
      <c r="B12" s="68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69"/>
      <c r="AH12" s="26"/>
    </row>
    <row r="13" spans="1:34" ht="17.55" customHeight="1" x14ac:dyDescent="0.45">
      <c r="A13" s="26"/>
      <c r="B13" s="68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69"/>
      <c r="AH13" s="26"/>
    </row>
    <row r="14" spans="1:34" ht="17.55" customHeight="1" x14ac:dyDescent="0.45">
      <c r="A14" s="26"/>
      <c r="B14" s="68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69"/>
      <c r="AH14" s="26"/>
    </row>
    <row r="15" spans="1:34" ht="17.55" customHeight="1" x14ac:dyDescent="0.45">
      <c r="A15" s="26"/>
      <c r="B15" s="6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69"/>
      <c r="AH15" s="26"/>
    </row>
    <row r="16" spans="1:34" ht="17.55" customHeight="1" x14ac:dyDescent="0.45">
      <c r="A16" s="26"/>
      <c r="B16" s="68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69"/>
      <c r="AH16" s="26"/>
    </row>
    <row r="17" spans="1:34" ht="17.55" customHeight="1" x14ac:dyDescent="0.45">
      <c r="A17" s="26"/>
      <c r="B17" s="68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69"/>
      <c r="AH17" s="26"/>
    </row>
    <row r="18" spans="1:34" ht="17.55" customHeight="1" x14ac:dyDescent="0.45">
      <c r="A18" s="26"/>
      <c r="B18" s="68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69"/>
      <c r="AH18" s="26"/>
    </row>
    <row r="19" spans="1:34" ht="17.55" customHeight="1" x14ac:dyDescent="0.45">
      <c r="A19" s="26"/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2"/>
      <c r="AH19" s="26"/>
    </row>
    <row r="20" spans="1:34" x14ac:dyDescent="0.4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4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22.2" x14ac:dyDescent="0.55000000000000004">
      <c r="A22" s="26"/>
      <c r="B22" s="36" t="s">
        <v>431</v>
      </c>
      <c r="C22" s="26"/>
      <c r="D22" s="26"/>
      <c r="E22" s="26"/>
      <c r="F22" s="26"/>
      <c r="G22" s="38" t="s">
        <v>14</v>
      </c>
      <c r="H22" s="38" t="s">
        <v>31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4.95" customHeight="1" x14ac:dyDescent="0.4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45">
      <c r="A24" s="26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  <c r="AH24" s="26"/>
    </row>
    <row r="25" spans="1:34" x14ac:dyDescent="0.45">
      <c r="A25" s="26"/>
      <c r="B25" s="31"/>
      <c r="C25" s="112" t="s">
        <v>432</v>
      </c>
      <c r="D25" s="100"/>
      <c r="E25" s="100"/>
      <c r="F25" s="100"/>
      <c r="G25" s="112" t="s">
        <v>433</v>
      </c>
      <c r="H25" s="100"/>
      <c r="I25" s="100"/>
      <c r="J25" s="100"/>
      <c r="K25" s="100"/>
      <c r="L25" s="100"/>
      <c r="M25" s="100"/>
      <c r="N25" s="100"/>
      <c r="O25" s="100"/>
      <c r="P25" s="39" t="s">
        <v>519</v>
      </c>
      <c r="Q25" s="40"/>
      <c r="R25" s="39"/>
      <c r="S25" s="40"/>
      <c r="T25" s="41">
        <v>45499</v>
      </c>
      <c r="U25" s="41">
        <f>T25+6</f>
        <v>45505</v>
      </c>
      <c r="V25" s="42" t="s">
        <v>434</v>
      </c>
      <c r="W25" s="100"/>
      <c r="X25" s="113" t="s">
        <v>435</v>
      </c>
      <c r="Y25" s="100"/>
      <c r="Z25" s="100"/>
      <c r="AA25" s="100"/>
      <c r="AB25" s="100"/>
      <c r="AC25" s="100"/>
      <c r="AD25" s="100"/>
      <c r="AE25" s="100"/>
      <c r="AF25" s="100"/>
      <c r="AG25" s="114"/>
      <c r="AH25" s="26"/>
    </row>
    <row r="26" spans="1:34" ht="17.55" customHeight="1" x14ac:dyDescent="0.45">
      <c r="A26" s="26"/>
      <c r="B26" s="31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 t="s">
        <v>436</v>
      </c>
      <c r="Q26" s="100"/>
      <c r="R26" s="100"/>
      <c r="S26" s="100"/>
      <c r="T26" s="100">
        <f>COUNTIFS('2. Status Detalhe Campos'!$H$7:$H$605,'1. Status Resumo'!$P26,'2. Status Detalhe Campos'!$C$7:$C$605,'1. Status Resumo'!$G$22,'2. Status Detalhe Campos'!$D$7:$D$605,"2. Campo")+COUNTIFS('2. Status Detalhe Campos'!$H$7:$H$605,'1. Status Resumo'!$P26,'2. Status Detalhe Campos'!$C$7:$C$605,'1. Status Resumo'!$H$22,'2. Status Detalhe Campos'!$D$7:$D$605,"2. Campo")</f>
        <v>8</v>
      </c>
      <c r="U26" s="100">
        <f>COUNTIFS('2. Status Detalhe Campos'!$G$7:$G$605,'1. Status Resumo'!$P26,'2. Status Detalhe Campos'!$C$7:$C$605,'1. Status Resumo'!$G$22,'2. Status Detalhe Campos'!$D$7:$D$605,"2. Campo")+COUNTIFS('2. Status Detalhe Campos'!$G$7:$G$605,'1. Status Resumo'!$P26,'2. Status Detalhe Campos'!$C$7:$C$605,'1. Status Resumo'!$H$22,'2. Status Detalhe Campos'!$D$7:$D$605,"2. Campo")</f>
        <v>8</v>
      </c>
      <c r="V26" s="100">
        <f>U26-T26</f>
        <v>0</v>
      </c>
      <c r="W26" s="100"/>
      <c r="X26" s="89" t="s">
        <v>520</v>
      </c>
      <c r="Y26" s="90"/>
      <c r="Z26" s="90"/>
      <c r="AA26" s="90"/>
      <c r="AB26" s="90"/>
      <c r="AC26" s="90"/>
      <c r="AD26" s="90"/>
      <c r="AE26" s="90"/>
      <c r="AF26" s="91"/>
      <c r="AG26" s="126"/>
      <c r="AH26" s="26"/>
    </row>
    <row r="27" spans="1:34" x14ac:dyDescent="0.45">
      <c r="A27" s="26"/>
      <c r="B27" s="31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 t="s">
        <v>437</v>
      </c>
      <c r="Q27" s="100"/>
      <c r="R27" s="100"/>
      <c r="S27" s="100"/>
      <c r="T27" s="100">
        <f>COUNTIFS('2. Status Detalhe Campos'!$H$7:$H$605,'1. Status Resumo'!$P27,'2. Status Detalhe Campos'!$C$7:$C$605,'1. Status Resumo'!$G$22,'2. Status Detalhe Campos'!$D$7:$D$605,"2. Campo")+COUNTIFS('2. Status Detalhe Campos'!$H$7:$H$605,'1. Status Resumo'!$P27,'2. Status Detalhe Campos'!$C$7:$C$605,'1. Status Resumo'!$H$22,'2. Status Detalhe Campos'!$D$7:$D$605,"2. Campo")</f>
        <v>50</v>
      </c>
      <c r="U27" s="100">
        <f>COUNTIFS('2. Status Detalhe Campos'!$G$7:$G$605,'1. Status Resumo'!$P27,'2. Status Detalhe Campos'!$C$7:$C$605,'1. Status Resumo'!$G$22,'2. Status Detalhe Campos'!$D$7:$D$605,"2. Campo")+COUNTIFS('2. Status Detalhe Campos'!$G$7:$G$605,'1. Status Resumo'!$P27,'2. Status Detalhe Campos'!$C$7:$C$605,'1. Status Resumo'!$H$22,'2. Status Detalhe Campos'!$D$7:$D$605,"2. Campo")</f>
        <v>53</v>
      </c>
      <c r="V27" s="100">
        <f t="shared" ref="V27:V33" si="0">U27-T27</f>
        <v>3</v>
      </c>
      <c r="W27" s="100"/>
      <c r="X27" s="92"/>
      <c r="Y27" s="101"/>
      <c r="Z27" s="101"/>
      <c r="AA27" s="101"/>
      <c r="AB27" s="101"/>
      <c r="AC27" s="101"/>
      <c r="AD27" s="101"/>
      <c r="AE27" s="101"/>
      <c r="AF27" s="93"/>
      <c r="AG27" s="126"/>
      <c r="AH27" s="26"/>
    </row>
    <row r="28" spans="1:34" x14ac:dyDescent="0.45">
      <c r="A28" s="26"/>
      <c r="B28" s="31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 t="s">
        <v>152</v>
      </c>
      <c r="Q28" s="100"/>
      <c r="R28" s="100"/>
      <c r="S28" s="100"/>
      <c r="T28" s="100">
        <f>COUNTIFS('2. Status Detalhe Campos'!$H$7:$H$605,'1. Status Resumo'!$P28,'2. Status Detalhe Campos'!$C$7:$C$605,'1. Status Resumo'!$G$22,'2. Status Detalhe Campos'!$D$7:$D$605,"2. Campo")+COUNTIFS('2. Status Detalhe Campos'!$H$7:$H$605,'1. Status Resumo'!$P28,'2. Status Detalhe Campos'!$C$7:$C$605,'1. Status Resumo'!$H$22,'2. Status Detalhe Campos'!$D$7:$D$605,"2. Campo")</f>
        <v>90</v>
      </c>
      <c r="U28" s="100">
        <f>COUNTIFS('2. Status Detalhe Campos'!$G$7:$G$605,'1. Status Resumo'!$P28,'2. Status Detalhe Campos'!$C$7:$C$605,'1. Status Resumo'!$G$22,'2. Status Detalhe Campos'!$D$7:$D$605,"2. Campo")+COUNTIFS('2. Status Detalhe Campos'!$G$7:$G$605,'1. Status Resumo'!$P28,'2. Status Detalhe Campos'!$C$7:$C$605,'1. Status Resumo'!$H$22,'2. Status Detalhe Campos'!$D$7:$D$605,"2. Campo")</f>
        <v>82</v>
      </c>
      <c r="V28" s="100">
        <f t="shared" si="0"/>
        <v>-8</v>
      </c>
      <c r="W28" s="100"/>
      <c r="X28" s="92"/>
      <c r="Y28" s="101"/>
      <c r="Z28" s="101"/>
      <c r="AA28" s="101"/>
      <c r="AB28" s="101"/>
      <c r="AC28" s="101"/>
      <c r="AD28" s="101"/>
      <c r="AE28" s="101"/>
      <c r="AF28" s="93"/>
      <c r="AG28" s="126"/>
      <c r="AH28" s="26"/>
    </row>
    <row r="29" spans="1:34" x14ac:dyDescent="0.45">
      <c r="A29" s="26"/>
      <c r="B29" s="31"/>
      <c r="C29" s="100"/>
      <c r="D29" s="117" t="str">
        <f>"# "&amp;U34</f>
        <v># 161</v>
      </c>
      <c r="E29" s="117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 t="s">
        <v>438</v>
      </c>
      <c r="Q29" s="100"/>
      <c r="R29" s="100"/>
      <c r="S29" s="100"/>
      <c r="T29" s="100">
        <f>COUNTIFS('2. Status Detalhe Campos'!$H$7:$H$605,'1. Status Resumo'!$P29,'2. Status Detalhe Campos'!$C$7:$C$605,'1. Status Resumo'!$G$22,'2. Status Detalhe Campos'!$D$7:$D$605,"2. Campo")+COUNTIFS('2. Status Detalhe Campos'!$H$7:$H$605,'1. Status Resumo'!$P29,'2. Status Detalhe Campos'!$C$7:$C$605,'1. Status Resumo'!$H$22,'2. Status Detalhe Campos'!$D$7:$D$605,"2. Campo")</f>
        <v>0</v>
      </c>
      <c r="U29" s="100">
        <f>COUNTIFS('2. Status Detalhe Campos'!$G$7:$G$605,'1. Status Resumo'!$P29,'2. Status Detalhe Campos'!$C$7:$C$605,'1. Status Resumo'!$G$22,'2. Status Detalhe Campos'!$D$7:$D$605,"2. Campo")+COUNTIFS('2. Status Detalhe Campos'!$G$7:$G$605,'1. Status Resumo'!$P29,'2. Status Detalhe Campos'!$C$7:$C$605,'1. Status Resumo'!$H$22,'2. Status Detalhe Campos'!$D$7:$D$605,"2. Campo")</f>
        <v>0</v>
      </c>
      <c r="V29" s="100">
        <f t="shared" si="0"/>
        <v>0</v>
      </c>
      <c r="W29" s="100"/>
      <c r="X29" s="92"/>
      <c r="Y29" s="101"/>
      <c r="Z29" s="101"/>
      <c r="AA29" s="101"/>
      <c r="AB29" s="101"/>
      <c r="AC29" s="101"/>
      <c r="AD29" s="101"/>
      <c r="AE29" s="101"/>
      <c r="AF29" s="93"/>
      <c r="AG29" s="126"/>
      <c r="AH29" s="26"/>
    </row>
    <row r="30" spans="1:34" x14ac:dyDescent="0.45">
      <c r="A30" s="26"/>
      <c r="B30" s="31"/>
      <c r="C30" s="100"/>
      <c r="D30" s="117"/>
      <c r="E30" s="117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 t="s">
        <v>439</v>
      </c>
      <c r="Q30" s="100"/>
      <c r="R30" s="100"/>
      <c r="S30" s="100"/>
      <c r="T30" s="100">
        <f>COUNTIFS('2. Status Detalhe Campos'!$H$7:$H$605,'1. Status Resumo'!$P30,'2. Status Detalhe Campos'!$C$7:$C$605,'1. Status Resumo'!$G$22,'2. Status Detalhe Campos'!$D$7:$D$605,"2. Campo")+COUNTIFS('2. Status Detalhe Campos'!$H$7:$H$605,'1. Status Resumo'!$P30,'2. Status Detalhe Campos'!$C$7:$C$605,'1. Status Resumo'!$H$22,'2. Status Detalhe Campos'!$D$7:$D$605,"2. Campo")</f>
        <v>13</v>
      </c>
      <c r="U30" s="100">
        <f>COUNTIFS('2. Status Detalhe Campos'!$G$7:$G$605,'1. Status Resumo'!$P30,'2. Status Detalhe Campos'!$C$7:$C$605,'1. Status Resumo'!$G$22,'2. Status Detalhe Campos'!$D$7:$D$605,"2. Campo")+COUNTIFS('2. Status Detalhe Campos'!$G$7:$G$605,'1. Status Resumo'!$P30,'2. Status Detalhe Campos'!$C$7:$C$605,'1. Status Resumo'!$H$22,'2. Status Detalhe Campos'!$D$7:$D$605,"2. Campo")</f>
        <v>12</v>
      </c>
      <c r="V30" s="100">
        <f t="shared" si="0"/>
        <v>-1</v>
      </c>
      <c r="W30" s="100"/>
      <c r="X30" s="92"/>
      <c r="Y30" s="101"/>
      <c r="Z30" s="101"/>
      <c r="AA30" s="101"/>
      <c r="AB30" s="101"/>
      <c r="AC30" s="101"/>
      <c r="AD30" s="101"/>
      <c r="AE30" s="101"/>
      <c r="AF30" s="93"/>
      <c r="AG30" s="126"/>
      <c r="AH30" s="26"/>
    </row>
    <row r="31" spans="1:34" x14ac:dyDescent="0.45">
      <c r="A31" s="26"/>
      <c r="B31" s="31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 t="s">
        <v>440</v>
      </c>
      <c r="Q31" s="100"/>
      <c r="R31" s="100" t="s">
        <v>441</v>
      </c>
      <c r="S31" s="100"/>
      <c r="T31" s="100">
        <f>COUNTIFS('2. Status Detalhe Campos'!$H$7:$H$605,'1. Status Resumo'!$P31,'2. Status Detalhe Campos'!$C$7:$C$605,'1. Status Resumo'!$G$22,'2. Status Detalhe Campos'!$D$7:$D$605,"2. Campo")+COUNTIFS('2. Status Detalhe Campos'!$H$7:$H$605,'1. Status Resumo'!$P31,'2. Status Detalhe Campos'!$C$7:$C$605,'1. Status Resumo'!$H$22,'2. Status Detalhe Campos'!$D$7:$D$605,"2. Campo")</f>
        <v>0</v>
      </c>
      <c r="U31" s="100">
        <f>COUNTIFS('2. Status Detalhe Campos'!$G$7:$G$605,'1. Status Resumo'!$P31,'2. Status Detalhe Campos'!$C$7:$C$605,'1. Status Resumo'!$G$22,'2. Status Detalhe Campos'!$D$7:$D$605,"2. Campo")+COUNTIFS('2. Status Detalhe Campos'!$G$7:$G$605,'1. Status Resumo'!$P31,'2. Status Detalhe Campos'!$C$7:$C$605,'1. Status Resumo'!$H$22,'2. Status Detalhe Campos'!$D$7:$D$605,"2. Campo")</f>
        <v>6</v>
      </c>
      <c r="V31" s="100">
        <f t="shared" si="0"/>
        <v>6</v>
      </c>
      <c r="W31" s="100"/>
      <c r="X31" s="92"/>
      <c r="Y31" s="101"/>
      <c r="Z31" s="101"/>
      <c r="AA31" s="101"/>
      <c r="AB31" s="101"/>
      <c r="AC31" s="101"/>
      <c r="AD31" s="101"/>
      <c r="AE31" s="101"/>
      <c r="AF31" s="93"/>
      <c r="AG31" s="126"/>
      <c r="AH31" s="26"/>
    </row>
    <row r="32" spans="1:34" x14ac:dyDescent="0.45">
      <c r="A32" s="26"/>
      <c r="B32" s="31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 t="s">
        <v>442</v>
      </c>
      <c r="Q32" s="100"/>
      <c r="R32" s="100"/>
      <c r="S32" s="100"/>
      <c r="T32" s="100">
        <f>COUNTIFS('2. Status Detalhe Campos'!$H$7:$H$605,'1. Status Resumo'!$P32,'2. Status Detalhe Campos'!$C$7:$C$605,'1. Status Resumo'!$G$22,'2. Status Detalhe Campos'!$D$7:$D$605,"2. Campo")+COUNTIFS('2. Status Detalhe Campos'!$H$7:$H$605,'1. Status Resumo'!$P32,'2. Status Detalhe Campos'!$C$7:$C$605,'1. Status Resumo'!$H$22,'2. Status Detalhe Campos'!$D$7:$D$605,"2. Campo")</f>
        <v>0</v>
      </c>
      <c r="U32" s="100">
        <f>COUNTIFS('2. Status Detalhe Campos'!$G$7:$G$605,'1. Status Resumo'!$P32,'2. Status Detalhe Campos'!$C$7:$C$605,'1. Status Resumo'!$G$22,'2. Status Detalhe Campos'!$D$7:$D$605,"2. Campo")+COUNTIFS('2. Status Detalhe Campos'!$G$7:$G$605,'1. Status Resumo'!$P32,'2. Status Detalhe Campos'!$C$7:$C$605,'1. Status Resumo'!$H$22,'2. Status Detalhe Campos'!$D$7:$D$605,"2. Campo")</f>
        <v>0</v>
      </c>
      <c r="V32" s="100">
        <f t="shared" si="0"/>
        <v>0</v>
      </c>
      <c r="W32" s="100"/>
      <c r="X32" s="92"/>
      <c r="Y32" s="101"/>
      <c r="Z32" s="101"/>
      <c r="AA32" s="101"/>
      <c r="AB32" s="101"/>
      <c r="AC32" s="101"/>
      <c r="AD32" s="101"/>
      <c r="AE32" s="101"/>
      <c r="AF32" s="93"/>
      <c r="AG32" s="126"/>
      <c r="AH32" s="26"/>
    </row>
    <row r="33" spans="1:34" x14ac:dyDescent="0.45">
      <c r="A33" s="26"/>
      <c r="B33" s="31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 t="s">
        <v>12</v>
      </c>
      <c r="Q33" s="100"/>
      <c r="R33" s="100"/>
      <c r="S33" s="100"/>
      <c r="T33" s="100">
        <f>COUNTIFS('2. Status Detalhe Campos'!$H$7:$H$605,'1. Status Resumo'!$P33,'2. Status Detalhe Campos'!$C$7:$C$605,'1. Status Resumo'!$G$22,'2. Status Detalhe Campos'!$D$7:$D$605,"2. Campo")+COUNTIFS('2. Status Detalhe Campos'!$H$7:$H$605,'1. Status Resumo'!$P33,'2. Status Detalhe Campos'!$C$7:$C$605,'1. Status Resumo'!$H$22,'2. Status Detalhe Campos'!$D$7:$D$605,"2. Campo")</f>
        <v>0</v>
      </c>
      <c r="U33" s="100">
        <f>COUNTIFS('2. Status Detalhe Campos'!$G$7:$G$605,'1. Status Resumo'!$P33,'2. Status Detalhe Campos'!$C$7:$C$605,'1. Status Resumo'!$G$22,'2. Status Detalhe Campos'!$D$7:$D$605,"2. Campo")+COUNTIFS('2. Status Detalhe Campos'!$G$7:$G$605,'1. Status Resumo'!$P33,'2. Status Detalhe Campos'!$C$7:$C$605,'1. Status Resumo'!$H$22,'2. Status Detalhe Campos'!$D$7:$D$605,"2. Campo")</f>
        <v>0</v>
      </c>
      <c r="V33" s="100">
        <f t="shared" si="0"/>
        <v>0</v>
      </c>
      <c r="W33" s="100"/>
      <c r="X33" s="92"/>
      <c r="Y33" s="101"/>
      <c r="Z33" s="101"/>
      <c r="AA33" s="101"/>
      <c r="AB33" s="101"/>
      <c r="AC33" s="101"/>
      <c r="AD33" s="101"/>
      <c r="AE33" s="101"/>
      <c r="AF33" s="93"/>
      <c r="AG33" s="126"/>
      <c r="AH33" s="26"/>
    </row>
    <row r="34" spans="1:34" x14ac:dyDescent="0.45">
      <c r="A34" s="26"/>
      <c r="B34" s="31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18">
        <f>SUM(T26:T33)</f>
        <v>161</v>
      </c>
      <c r="U34" s="118">
        <f>SUM(U26:U33)</f>
        <v>161</v>
      </c>
      <c r="V34" s="100"/>
      <c r="W34" s="100"/>
      <c r="X34" s="92"/>
      <c r="Y34" s="101"/>
      <c r="Z34" s="101"/>
      <c r="AA34" s="101"/>
      <c r="AB34" s="101"/>
      <c r="AC34" s="101"/>
      <c r="AD34" s="101"/>
      <c r="AE34" s="101"/>
      <c r="AF34" s="93"/>
      <c r="AG34" s="126"/>
      <c r="AH34" s="26"/>
    </row>
    <row r="35" spans="1:34" x14ac:dyDescent="0.45">
      <c r="A35" s="26"/>
      <c r="B35" s="31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39" t="s">
        <v>521</v>
      </c>
      <c r="Q35" s="40"/>
      <c r="R35" s="40"/>
      <c r="S35" s="40"/>
      <c r="T35" s="40"/>
      <c r="U35" s="40"/>
      <c r="V35" s="40"/>
      <c r="W35" s="100"/>
      <c r="X35" s="92"/>
      <c r="Y35" s="101"/>
      <c r="Z35" s="101"/>
      <c r="AA35" s="101"/>
      <c r="AB35" s="101"/>
      <c r="AC35" s="101"/>
      <c r="AD35" s="101"/>
      <c r="AE35" s="101"/>
      <c r="AF35" s="93"/>
      <c r="AG35" s="126"/>
      <c r="AH35" s="26"/>
    </row>
    <row r="36" spans="1:34" x14ac:dyDescent="0.45">
      <c r="A36" s="26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20" t="s">
        <v>443</v>
      </c>
      <c r="P36" s="100" t="s">
        <v>444</v>
      </c>
      <c r="Q36" s="100"/>
      <c r="R36" s="100"/>
      <c r="S36" s="100"/>
      <c r="T36" s="122" t="s">
        <v>445</v>
      </c>
      <c r="U36" s="100"/>
      <c r="V36" s="100"/>
      <c r="W36" s="100"/>
      <c r="X36" s="92"/>
      <c r="Y36" s="101"/>
      <c r="Z36" s="101"/>
      <c r="AA36" s="101"/>
      <c r="AB36" s="101"/>
      <c r="AC36" s="101"/>
      <c r="AD36" s="101"/>
      <c r="AE36" s="101"/>
      <c r="AF36" s="93"/>
      <c r="AG36" s="126"/>
      <c r="AH36" s="26"/>
    </row>
    <row r="37" spans="1:34" x14ac:dyDescent="0.45">
      <c r="A37" s="26"/>
      <c r="B37" s="31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20" t="s">
        <v>443</v>
      </c>
      <c r="P37" s="100" t="s">
        <v>446</v>
      </c>
      <c r="Q37" s="100"/>
      <c r="R37" s="100"/>
      <c r="S37" s="100"/>
      <c r="T37" s="122" t="s">
        <v>445</v>
      </c>
      <c r="U37" s="100"/>
      <c r="V37" s="100"/>
      <c r="W37" s="100"/>
      <c r="X37" s="92"/>
      <c r="Y37" s="101"/>
      <c r="Z37" s="101"/>
      <c r="AA37" s="101"/>
      <c r="AB37" s="101"/>
      <c r="AC37" s="101"/>
      <c r="AD37" s="101"/>
      <c r="AE37" s="101"/>
      <c r="AF37" s="93"/>
      <c r="AG37" s="126"/>
      <c r="AH37" s="26"/>
    </row>
    <row r="38" spans="1:34" x14ac:dyDescent="0.45">
      <c r="A38" s="26"/>
      <c r="B38" s="31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20" t="s">
        <v>443</v>
      </c>
      <c r="P38" s="100" t="s">
        <v>447</v>
      </c>
      <c r="Q38" s="100"/>
      <c r="R38" s="100"/>
      <c r="S38" s="100"/>
      <c r="T38" s="127" t="s">
        <v>448</v>
      </c>
      <c r="U38" s="100"/>
      <c r="V38" s="100"/>
      <c r="W38" s="100"/>
      <c r="X38" s="92"/>
      <c r="Y38" s="101"/>
      <c r="Z38" s="101"/>
      <c r="AA38" s="101"/>
      <c r="AB38" s="101"/>
      <c r="AC38" s="101"/>
      <c r="AD38" s="101"/>
      <c r="AE38" s="101"/>
      <c r="AF38" s="93"/>
      <c r="AG38" s="126"/>
      <c r="AH38" s="26"/>
    </row>
    <row r="39" spans="1:34" x14ac:dyDescent="0.45">
      <c r="A39" s="26"/>
      <c r="B39" s="31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20"/>
      <c r="P39" s="100"/>
      <c r="Q39" s="100"/>
      <c r="R39" s="100"/>
      <c r="S39" s="100"/>
      <c r="T39" s="122"/>
      <c r="U39" s="100"/>
      <c r="V39" s="100"/>
      <c r="W39" s="100"/>
      <c r="X39" s="92"/>
      <c r="Y39" s="101"/>
      <c r="Z39" s="101"/>
      <c r="AA39" s="101"/>
      <c r="AB39" s="101"/>
      <c r="AC39" s="101"/>
      <c r="AD39" s="101"/>
      <c r="AE39" s="101"/>
      <c r="AF39" s="93"/>
      <c r="AG39" s="126"/>
      <c r="AH39" s="26"/>
    </row>
    <row r="40" spans="1:34" ht="18" customHeight="1" x14ac:dyDescent="0.45">
      <c r="A40" s="26"/>
      <c r="B40" s="31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20"/>
      <c r="P40" s="100"/>
      <c r="Q40" s="100"/>
      <c r="R40" s="100"/>
      <c r="S40" s="100"/>
      <c r="T40" s="122"/>
      <c r="U40" s="100"/>
      <c r="V40" s="100"/>
      <c r="W40" s="100"/>
      <c r="X40" s="92"/>
      <c r="Y40" s="101"/>
      <c r="Z40" s="101"/>
      <c r="AA40" s="101"/>
      <c r="AB40" s="101"/>
      <c r="AC40" s="101"/>
      <c r="AD40" s="101"/>
      <c r="AE40" s="101"/>
      <c r="AF40" s="93"/>
      <c r="AG40" s="126"/>
      <c r="AH40" s="26"/>
    </row>
    <row r="41" spans="1:34" x14ac:dyDescent="0.45">
      <c r="A41" s="26"/>
      <c r="B41" s="31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20"/>
      <c r="P41" s="100"/>
      <c r="Q41" s="100"/>
      <c r="R41" s="100"/>
      <c r="S41" s="100"/>
      <c r="T41" s="127"/>
      <c r="U41" s="100"/>
      <c r="V41" s="100"/>
      <c r="W41" s="100"/>
      <c r="X41" s="94"/>
      <c r="Y41" s="95"/>
      <c r="Z41" s="95"/>
      <c r="AA41" s="95"/>
      <c r="AB41" s="95"/>
      <c r="AC41" s="95"/>
      <c r="AD41" s="95"/>
      <c r="AE41" s="95"/>
      <c r="AF41" s="96"/>
      <c r="AG41" s="126"/>
      <c r="AH41" s="26"/>
    </row>
    <row r="42" spans="1:34" x14ac:dyDescent="0.45">
      <c r="A42" s="26"/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128"/>
      <c r="AH42" s="26"/>
    </row>
    <row r="43" spans="1:34" x14ac:dyDescent="0.4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ht="22.2" x14ac:dyDescent="0.55000000000000004">
      <c r="A44" s="26"/>
      <c r="B44" s="36" t="s">
        <v>449</v>
      </c>
      <c r="C44" s="26"/>
      <c r="D44" s="26"/>
      <c r="E44" s="26"/>
      <c r="F44" s="26"/>
      <c r="G44" s="38" t="s">
        <v>153</v>
      </c>
      <c r="H44" s="38" t="s">
        <v>275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ht="4.95" customHeight="1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45">
      <c r="A46" s="26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111"/>
      <c r="AH46" s="26"/>
    </row>
    <row r="47" spans="1:34" x14ac:dyDescent="0.45">
      <c r="A47" s="26"/>
      <c r="B47" s="31"/>
      <c r="C47" s="112" t="s">
        <v>432</v>
      </c>
      <c r="D47" s="100"/>
      <c r="E47" s="100"/>
      <c r="F47" s="100"/>
      <c r="G47" s="112" t="s">
        <v>433</v>
      </c>
      <c r="H47" s="100"/>
      <c r="I47" s="100"/>
      <c r="J47" s="100"/>
      <c r="K47" s="100"/>
      <c r="L47" s="100"/>
      <c r="M47" s="100"/>
      <c r="N47" s="100"/>
      <c r="O47" s="100"/>
      <c r="P47" s="39" t="s">
        <v>519</v>
      </c>
      <c r="Q47" s="40"/>
      <c r="R47" s="39"/>
      <c r="S47" s="40"/>
      <c r="T47" s="41">
        <f>T25</f>
        <v>45499</v>
      </c>
      <c r="U47" s="41">
        <f>U25</f>
        <v>45505</v>
      </c>
      <c r="V47" s="42" t="s">
        <v>434</v>
      </c>
      <c r="W47" s="100"/>
      <c r="X47" s="113" t="s">
        <v>435</v>
      </c>
      <c r="Y47" s="100"/>
      <c r="Z47" s="100"/>
      <c r="AA47" s="100"/>
      <c r="AB47" s="100"/>
      <c r="AC47" s="100"/>
      <c r="AD47" s="100"/>
      <c r="AE47" s="100"/>
      <c r="AF47" s="100"/>
      <c r="AG47" s="114"/>
      <c r="AH47" s="26"/>
    </row>
    <row r="48" spans="1:34" ht="17.399999999999999" customHeight="1" x14ac:dyDescent="0.45">
      <c r="A48" s="26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 t="s">
        <v>436</v>
      </c>
      <c r="Q48" s="100"/>
      <c r="R48" s="100"/>
      <c r="S48" s="100"/>
      <c r="T48" s="100">
        <f>COUNTIFS('2. Status Detalhe Campos'!$H$7:$H$605,'1. Status Resumo'!$P48,'2. Status Detalhe Campos'!$C$7:$C$605,'1. Status Resumo'!$G$44,'2. Status Detalhe Campos'!$D$7:$D$605,"2. Campo")+COUNTIFS('2. Status Detalhe Campos'!$H$7:$H$605,'1. Status Resumo'!$P48,'2. Status Detalhe Campos'!$C$7:$C$605,'1. Status Resumo'!$H$44,'2. Status Detalhe Campos'!$D$7:$D$605,"2. Campo")</f>
        <v>10</v>
      </c>
      <c r="U48" s="100">
        <f>COUNTIFS('2. Status Detalhe Campos'!$G$7:$G$605,'1. Status Resumo'!$P48,'2. Status Detalhe Campos'!$C$7:$C$605,'1. Status Resumo'!$G$44,'2. Status Detalhe Campos'!$D$7:$D$605,"2. Campo")+COUNTIFS('2. Status Detalhe Campos'!$G$7:$G$605,'1. Status Resumo'!$P48,'2. Status Detalhe Campos'!$C$7:$C$605,'1. Status Resumo'!$H$44,'2. Status Detalhe Campos'!$D$7:$D$605,"2. Campo")</f>
        <v>10</v>
      </c>
      <c r="V48" s="100">
        <f>U48-T48</f>
        <v>0</v>
      </c>
      <c r="W48" s="115"/>
      <c r="X48" s="102" t="s">
        <v>524</v>
      </c>
      <c r="Y48" s="98"/>
      <c r="Z48" s="98"/>
      <c r="AA48" s="98"/>
      <c r="AB48" s="98"/>
      <c r="AC48" s="98"/>
      <c r="AD48" s="98"/>
      <c r="AE48" s="98"/>
      <c r="AF48" s="103"/>
      <c r="AG48" s="116"/>
      <c r="AH48" s="26"/>
    </row>
    <row r="49" spans="1:34" x14ac:dyDescent="0.45">
      <c r="A49" s="26"/>
      <c r="B49" s="31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 t="s">
        <v>437</v>
      </c>
      <c r="Q49" s="100"/>
      <c r="R49" s="100"/>
      <c r="S49" s="100"/>
      <c r="T49" s="100">
        <f>COUNTIFS('2. Status Detalhe Campos'!$H$7:$H$605,'1. Status Resumo'!$P49,'2. Status Detalhe Campos'!$C$7:$C$605,'1. Status Resumo'!$G$44,'2. Status Detalhe Campos'!$D$7:$D$605,"2. Campo")+COUNTIFS('2. Status Detalhe Campos'!$H$7:$H$605,'1. Status Resumo'!$P49,'2. Status Detalhe Campos'!$C$7:$C$605,'1. Status Resumo'!$H$44,'2. Status Detalhe Campos'!$D$7:$D$605,"2. Campo")</f>
        <v>63</v>
      </c>
      <c r="U49" s="100">
        <f>COUNTIFS('2. Status Detalhe Campos'!$G$7:$G$605,'1. Status Resumo'!$P49,'2. Status Detalhe Campos'!$C$7:$C$605,'1. Status Resumo'!$G$44,'2. Status Detalhe Campos'!$D$7:$D$605,"2. Campo")+COUNTIFS('2. Status Detalhe Campos'!$G$7:$G$605,'1. Status Resumo'!$P49,'2. Status Detalhe Campos'!$C$7:$C$605,'1. Status Resumo'!$H$44,'2. Status Detalhe Campos'!$D$7:$D$605,"2. Campo")</f>
        <v>65</v>
      </c>
      <c r="V49" s="100">
        <f t="shared" ref="V49:V55" si="1">U49-T49</f>
        <v>2</v>
      </c>
      <c r="W49" s="115"/>
      <c r="X49" s="104"/>
      <c r="Y49" s="99"/>
      <c r="Z49" s="99"/>
      <c r="AA49" s="99"/>
      <c r="AB49" s="99"/>
      <c r="AC49" s="99"/>
      <c r="AD49" s="99"/>
      <c r="AE49" s="99"/>
      <c r="AF49" s="105"/>
      <c r="AG49" s="116"/>
      <c r="AH49" s="26"/>
    </row>
    <row r="50" spans="1:34" x14ac:dyDescent="0.45">
      <c r="A50" s="26"/>
      <c r="B50" s="31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 t="s">
        <v>152</v>
      </c>
      <c r="Q50" s="100"/>
      <c r="R50" s="100"/>
      <c r="S50" s="100"/>
      <c r="T50" s="100">
        <f>COUNTIFS('2. Status Detalhe Campos'!$H$7:$H$605,'1. Status Resumo'!$P50,'2. Status Detalhe Campos'!$C$7:$C$605,'1. Status Resumo'!$G$44,'2. Status Detalhe Campos'!$D$7:$D$605,"2. Campo")+COUNTIFS('2. Status Detalhe Campos'!$H$7:$H$605,'1. Status Resumo'!$P50,'2. Status Detalhe Campos'!$C$7:$C$605,'1. Status Resumo'!$H$44,'2. Status Detalhe Campos'!$D$7:$D$605,"2. Campo")</f>
        <v>6</v>
      </c>
      <c r="U50" s="100">
        <f>COUNTIFS('2. Status Detalhe Campos'!$G$7:$G$605,'1. Status Resumo'!$P50,'2. Status Detalhe Campos'!$C$7:$C$605,'1. Status Resumo'!$G$44,'2. Status Detalhe Campos'!$D$7:$D$605,"2. Campo")+COUNTIFS('2. Status Detalhe Campos'!$G$7:$G$605,'1. Status Resumo'!$P50,'2. Status Detalhe Campos'!$C$7:$C$605,'1. Status Resumo'!$H$44,'2. Status Detalhe Campos'!$D$7:$D$605,"2. Campo")</f>
        <v>34</v>
      </c>
      <c r="V50" s="100">
        <f t="shared" si="1"/>
        <v>28</v>
      </c>
      <c r="W50" s="115"/>
      <c r="X50" s="104"/>
      <c r="Y50" s="99"/>
      <c r="Z50" s="99"/>
      <c r="AA50" s="99"/>
      <c r="AB50" s="99"/>
      <c r="AC50" s="99"/>
      <c r="AD50" s="99"/>
      <c r="AE50" s="99"/>
      <c r="AF50" s="105"/>
      <c r="AG50" s="116"/>
      <c r="AH50" s="26"/>
    </row>
    <row r="51" spans="1:34" x14ac:dyDescent="0.45">
      <c r="A51" s="26"/>
      <c r="B51" s="31"/>
      <c r="C51" s="100"/>
      <c r="D51" s="117" t="str">
        <f>"# "&amp;U56</f>
        <v># 242</v>
      </c>
      <c r="E51" s="117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 t="s">
        <v>438</v>
      </c>
      <c r="Q51" s="100"/>
      <c r="R51" s="100"/>
      <c r="S51" s="100"/>
      <c r="T51" s="100">
        <f>COUNTIFS('2. Status Detalhe Campos'!$H$7:$H$605,'1. Status Resumo'!$P51,'2. Status Detalhe Campos'!$C$7:$C$605,'1. Status Resumo'!$G$44,'2. Status Detalhe Campos'!$D$7:$D$605,"2. Campo")+COUNTIFS('2. Status Detalhe Campos'!$H$7:$H$605,'1. Status Resumo'!$P51,'2. Status Detalhe Campos'!$C$7:$C$605,'1. Status Resumo'!$H$44,'2. Status Detalhe Campos'!$D$7:$D$605,"2. Campo")</f>
        <v>45</v>
      </c>
      <c r="U51" s="100">
        <f>COUNTIFS('2. Status Detalhe Campos'!$G$7:$G$605,'1. Status Resumo'!$P51,'2. Status Detalhe Campos'!$C$7:$C$605,'1. Status Resumo'!$G$44,'2. Status Detalhe Campos'!$D$7:$D$605,"2. Campo")+COUNTIFS('2. Status Detalhe Campos'!$G$7:$G$605,'1. Status Resumo'!$P51,'2. Status Detalhe Campos'!$C$7:$C$605,'1. Status Resumo'!$H$44,'2. Status Detalhe Campos'!$D$7:$D$605,"2. Campo")</f>
        <v>15</v>
      </c>
      <c r="V51" s="100">
        <f t="shared" si="1"/>
        <v>-30</v>
      </c>
      <c r="W51" s="115"/>
      <c r="X51" s="104"/>
      <c r="Y51" s="99"/>
      <c r="Z51" s="99"/>
      <c r="AA51" s="99"/>
      <c r="AB51" s="99"/>
      <c r="AC51" s="99"/>
      <c r="AD51" s="99"/>
      <c r="AE51" s="99"/>
      <c r="AF51" s="105"/>
      <c r="AG51" s="116"/>
      <c r="AH51" s="26"/>
    </row>
    <row r="52" spans="1:34" ht="17.55" customHeight="1" x14ac:dyDescent="0.45">
      <c r="A52" s="26"/>
      <c r="B52" s="31"/>
      <c r="C52" s="100"/>
      <c r="D52" s="117"/>
      <c r="E52" s="117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 t="s">
        <v>439</v>
      </c>
      <c r="Q52" s="100"/>
      <c r="R52" s="100"/>
      <c r="S52" s="100"/>
      <c r="T52" s="100">
        <f>COUNTIFS('2. Status Detalhe Campos'!$H$7:$H$605,'1. Status Resumo'!$P52,'2. Status Detalhe Campos'!$C$7:$C$605,'1. Status Resumo'!$G$44,'2. Status Detalhe Campos'!$D$7:$D$605,"2. Campo")+COUNTIFS('2. Status Detalhe Campos'!$H$7:$H$605,'1. Status Resumo'!$P52,'2. Status Detalhe Campos'!$C$7:$C$605,'1. Status Resumo'!$H$44,'2. Status Detalhe Campos'!$D$7:$D$605,"2. Campo")</f>
        <v>22</v>
      </c>
      <c r="U52" s="100">
        <f>COUNTIFS('2. Status Detalhe Campos'!$G$7:$G$605,'1. Status Resumo'!$P52,'2. Status Detalhe Campos'!$C$7:$C$605,'1. Status Resumo'!$G$44,'2. Status Detalhe Campos'!$D$7:$D$605,"2. Campo")+COUNTIFS('2. Status Detalhe Campos'!$G$7:$G$605,'1. Status Resumo'!$P52,'2. Status Detalhe Campos'!$C$7:$C$605,'1. Status Resumo'!$H$44,'2. Status Detalhe Campos'!$D$7:$D$605,"2. Campo")</f>
        <v>22</v>
      </c>
      <c r="V52" s="100">
        <f t="shared" si="1"/>
        <v>0</v>
      </c>
      <c r="W52" s="115"/>
      <c r="X52" s="104"/>
      <c r="Y52" s="99"/>
      <c r="Z52" s="99"/>
      <c r="AA52" s="99"/>
      <c r="AB52" s="99"/>
      <c r="AC52" s="99"/>
      <c r="AD52" s="99"/>
      <c r="AE52" s="99"/>
      <c r="AF52" s="105"/>
      <c r="AG52" s="116"/>
      <c r="AH52" s="26"/>
    </row>
    <row r="53" spans="1:34" ht="17.55" customHeight="1" x14ac:dyDescent="0.45">
      <c r="A53" s="26"/>
      <c r="B53" s="31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 t="s">
        <v>440</v>
      </c>
      <c r="Q53" s="100"/>
      <c r="R53" s="100" t="s">
        <v>441</v>
      </c>
      <c r="S53" s="100"/>
      <c r="T53" s="100">
        <f>COUNTIFS('2. Status Detalhe Campos'!$H$7:$H$605,'1. Status Resumo'!$P53,'2. Status Detalhe Campos'!$C$7:$C$605,'1. Status Resumo'!$G$44,'2. Status Detalhe Campos'!$D$7:$D$605,"2. Campo")+COUNTIFS('2. Status Detalhe Campos'!$H$7:$H$605,'1. Status Resumo'!$P53,'2. Status Detalhe Campos'!$C$7:$C$605,'1. Status Resumo'!$H$44,'2. Status Detalhe Campos'!$D$7:$D$605,"2. Campo")</f>
        <v>95</v>
      </c>
      <c r="U53" s="100">
        <f>COUNTIFS('2. Status Detalhe Campos'!$G$7:$G$605,'1. Status Resumo'!$P53,'2. Status Detalhe Campos'!$C$7:$C$605,'1. Status Resumo'!$G$44,'2. Status Detalhe Campos'!$D$7:$D$605,"2. Campo")+COUNTIFS('2. Status Detalhe Campos'!$G$7:$G$605,'1. Status Resumo'!$P53,'2. Status Detalhe Campos'!$C$7:$C$605,'1. Status Resumo'!$H$44,'2. Status Detalhe Campos'!$D$7:$D$605,"2. Campo")</f>
        <v>95</v>
      </c>
      <c r="V53" s="100">
        <f t="shared" si="1"/>
        <v>0</v>
      </c>
      <c r="W53" s="115"/>
      <c r="X53" s="104"/>
      <c r="Y53" s="99"/>
      <c r="Z53" s="99"/>
      <c r="AA53" s="99"/>
      <c r="AB53" s="99"/>
      <c r="AC53" s="99"/>
      <c r="AD53" s="99"/>
      <c r="AE53" s="99"/>
      <c r="AF53" s="105"/>
      <c r="AG53" s="116"/>
      <c r="AH53" s="26"/>
    </row>
    <row r="54" spans="1:34" x14ac:dyDescent="0.45">
      <c r="A54" s="26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 t="s">
        <v>442</v>
      </c>
      <c r="Q54" s="100"/>
      <c r="R54" s="100"/>
      <c r="S54" s="100"/>
      <c r="T54" s="100">
        <f>COUNTIFS('2. Status Detalhe Campos'!$H$7:$H$605,'1. Status Resumo'!$P54,'2. Status Detalhe Campos'!$C$7:$C$605,'1. Status Resumo'!$G$44,'2. Status Detalhe Campos'!$D$7:$D$605,"2. Campo")+COUNTIFS('2. Status Detalhe Campos'!$H$7:$H$605,'1. Status Resumo'!$P54,'2. Status Detalhe Campos'!$C$7:$C$605,'1. Status Resumo'!$H$44,'2. Status Detalhe Campos'!$D$7:$D$605,"2. Campo")</f>
        <v>0</v>
      </c>
      <c r="U54" s="100">
        <f>COUNTIFS('2. Status Detalhe Campos'!$G$7:$G$605,'1. Status Resumo'!$P54,'2. Status Detalhe Campos'!$C$7:$C$605,'1. Status Resumo'!$G$44,'2. Status Detalhe Campos'!$D$7:$D$605,"2. Campo")+COUNTIFS('2. Status Detalhe Campos'!$G$7:$G$605,'1. Status Resumo'!$P54,'2. Status Detalhe Campos'!$C$7:$C$605,'1. Status Resumo'!$H$44,'2. Status Detalhe Campos'!$D$7:$D$605,"2. Campo")</f>
        <v>0</v>
      </c>
      <c r="V54" s="100">
        <f t="shared" si="1"/>
        <v>0</v>
      </c>
      <c r="W54" s="100"/>
      <c r="X54" s="104"/>
      <c r="Y54" s="99"/>
      <c r="Z54" s="99"/>
      <c r="AA54" s="99"/>
      <c r="AB54" s="99"/>
      <c r="AC54" s="99"/>
      <c r="AD54" s="99"/>
      <c r="AE54" s="99"/>
      <c r="AF54" s="105"/>
      <c r="AG54" s="116"/>
      <c r="AH54" s="26"/>
    </row>
    <row r="55" spans="1:34" x14ac:dyDescent="0.45">
      <c r="A55" s="26"/>
      <c r="B55" s="31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 t="s">
        <v>12</v>
      </c>
      <c r="Q55" s="100"/>
      <c r="R55" s="100"/>
      <c r="S55" s="100"/>
      <c r="T55" s="100">
        <f>COUNTIFS('2. Status Detalhe Campos'!$H$7:$H$605,'1. Status Resumo'!$P55,'2. Status Detalhe Campos'!$C$7:$C$605,'1. Status Resumo'!$G$44,'2. Status Detalhe Campos'!$D$7:$D$605,"2. Campo")+COUNTIFS('2. Status Detalhe Campos'!$H$7:$H$605,'1. Status Resumo'!$P55,'2. Status Detalhe Campos'!$C$7:$C$605,'1. Status Resumo'!$H$44,'2. Status Detalhe Campos'!$D$7:$D$605,"2. Campo")</f>
        <v>1</v>
      </c>
      <c r="U55" s="100">
        <f>COUNTIFS('2. Status Detalhe Campos'!$G$7:$G$605,'1. Status Resumo'!$P55,'2. Status Detalhe Campos'!$C$7:$C$605,'1. Status Resumo'!$G$44,'2. Status Detalhe Campos'!$D$7:$D$605,"2. Campo")+COUNTIFS('2. Status Detalhe Campos'!$G$7:$G$605,'1. Status Resumo'!$P55,'2. Status Detalhe Campos'!$C$7:$C$605,'1. Status Resumo'!$H$44,'2. Status Detalhe Campos'!$D$7:$D$605,"2. Campo")</f>
        <v>1</v>
      </c>
      <c r="V55" s="100">
        <f t="shared" si="1"/>
        <v>0</v>
      </c>
      <c r="W55" s="100"/>
      <c r="X55" s="104"/>
      <c r="Y55" s="99"/>
      <c r="Z55" s="99"/>
      <c r="AA55" s="99"/>
      <c r="AB55" s="99"/>
      <c r="AC55" s="99"/>
      <c r="AD55" s="99"/>
      <c r="AE55" s="99"/>
      <c r="AF55" s="105"/>
      <c r="AG55" s="116"/>
      <c r="AH55" s="26"/>
    </row>
    <row r="56" spans="1:34" x14ac:dyDescent="0.45">
      <c r="A56" s="26"/>
      <c r="B56" s="31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18">
        <f>SUM(T48:T55)</f>
        <v>242</v>
      </c>
      <c r="U56" s="118">
        <f>SUM(U48:U55)</f>
        <v>242</v>
      </c>
      <c r="V56" s="100"/>
      <c r="W56" s="100"/>
      <c r="X56" s="104"/>
      <c r="Y56" s="99"/>
      <c r="Z56" s="99"/>
      <c r="AA56" s="99"/>
      <c r="AB56" s="99"/>
      <c r="AC56" s="99"/>
      <c r="AD56" s="99"/>
      <c r="AE56" s="99"/>
      <c r="AF56" s="105"/>
      <c r="AG56" s="116"/>
      <c r="AH56" s="26"/>
    </row>
    <row r="57" spans="1:34" x14ac:dyDescent="0.45">
      <c r="A57" s="26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W57" s="100"/>
      <c r="X57" s="104"/>
      <c r="Y57" s="99"/>
      <c r="Z57" s="99"/>
      <c r="AA57" s="99"/>
      <c r="AB57" s="99"/>
      <c r="AC57" s="99"/>
      <c r="AD57" s="99"/>
      <c r="AE57" s="99"/>
      <c r="AF57" s="105"/>
      <c r="AG57" s="116"/>
      <c r="AH57" s="26"/>
    </row>
    <row r="58" spans="1:34" x14ac:dyDescent="0.45">
      <c r="A58" s="26"/>
      <c r="B58" s="3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39" t="s">
        <v>525</v>
      </c>
      <c r="Q58" s="40"/>
      <c r="R58" s="40"/>
      <c r="S58" s="40"/>
      <c r="T58" s="40"/>
      <c r="U58" s="40"/>
      <c r="V58" s="40"/>
      <c r="W58" s="100"/>
      <c r="X58" s="104"/>
      <c r="Y58" s="99"/>
      <c r="Z58" s="99"/>
      <c r="AA58" s="99"/>
      <c r="AB58" s="99"/>
      <c r="AC58" s="99"/>
      <c r="AD58" s="99"/>
      <c r="AE58" s="99"/>
      <c r="AF58" s="105"/>
      <c r="AG58" s="116"/>
      <c r="AH58" s="26"/>
    </row>
    <row r="59" spans="1:34" x14ac:dyDescent="0.45">
      <c r="A59" s="26"/>
      <c r="B59" s="31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20" t="s">
        <v>443</v>
      </c>
      <c r="P59" s="100" t="s">
        <v>184</v>
      </c>
      <c r="Q59" s="100"/>
      <c r="R59" s="100"/>
      <c r="S59" s="100"/>
      <c r="T59" s="122" t="s">
        <v>445</v>
      </c>
      <c r="U59" s="100"/>
      <c r="V59" s="100"/>
      <c r="W59" s="100"/>
      <c r="X59" s="104"/>
      <c r="Y59" s="99"/>
      <c r="Z59" s="99"/>
      <c r="AA59" s="99"/>
      <c r="AB59" s="99"/>
      <c r="AC59" s="99"/>
      <c r="AD59" s="99"/>
      <c r="AE59" s="99"/>
      <c r="AF59" s="105"/>
      <c r="AG59" s="116"/>
      <c r="AH59" s="26"/>
    </row>
    <row r="60" spans="1:34" x14ac:dyDescent="0.45">
      <c r="A60" s="26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20" t="s">
        <v>443</v>
      </c>
      <c r="P60" s="100" t="s">
        <v>183</v>
      </c>
      <c r="Q60" s="100"/>
      <c r="R60" s="100"/>
      <c r="S60" s="100"/>
      <c r="T60" s="121" t="s">
        <v>526</v>
      </c>
      <c r="U60" s="100"/>
      <c r="V60" s="100"/>
      <c r="W60" s="100"/>
      <c r="X60" s="104"/>
      <c r="Y60" s="99"/>
      <c r="Z60" s="99"/>
      <c r="AA60" s="99"/>
      <c r="AB60" s="99"/>
      <c r="AC60" s="99"/>
      <c r="AD60" s="99"/>
      <c r="AE60" s="99"/>
      <c r="AF60" s="105"/>
      <c r="AG60" s="116"/>
      <c r="AH60" s="26"/>
    </row>
    <row r="61" spans="1:34" x14ac:dyDescent="0.45">
      <c r="A61" s="26"/>
      <c r="B61" s="31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20" t="s">
        <v>443</v>
      </c>
      <c r="P61" s="100" t="s">
        <v>181</v>
      </c>
      <c r="Q61" s="100"/>
      <c r="R61" s="100"/>
      <c r="S61" s="100"/>
      <c r="T61" s="121" t="s">
        <v>526</v>
      </c>
      <c r="U61" s="100"/>
      <c r="V61" s="100"/>
      <c r="W61" s="100"/>
      <c r="X61" s="104"/>
      <c r="Y61" s="99"/>
      <c r="Z61" s="99"/>
      <c r="AA61" s="99"/>
      <c r="AB61" s="99"/>
      <c r="AC61" s="99"/>
      <c r="AD61" s="99"/>
      <c r="AE61" s="99"/>
      <c r="AF61" s="105"/>
      <c r="AG61" s="116"/>
      <c r="AH61" s="26"/>
    </row>
    <row r="62" spans="1:34" x14ac:dyDescent="0.45">
      <c r="A62" s="26"/>
      <c r="B62" s="31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20" t="s">
        <v>443</v>
      </c>
      <c r="P62" s="100" t="s">
        <v>180</v>
      </c>
      <c r="Q62" s="100"/>
      <c r="R62" s="100"/>
      <c r="S62" s="100"/>
      <c r="T62" s="121" t="s">
        <v>526</v>
      </c>
      <c r="U62" s="100"/>
      <c r="V62" s="100"/>
      <c r="W62" s="100"/>
      <c r="X62" s="104"/>
      <c r="Y62" s="99"/>
      <c r="Z62" s="99"/>
      <c r="AA62" s="99"/>
      <c r="AB62" s="99"/>
      <c r="AC62" s="99"/>
      <c r="AD62" s="99"/>
      <c r="AE62" s="99"/>
      <c r="AF62" s="105"/>
      <c r="AG62" s="116"/>
      <c r="AH62" s="26"/>
    </row>
    <row r="63" spans="1:34" x14ac:dyDescent="0.45">
      <c r="A63" s="26"/>
      <c r="B63" s="31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20" t="s">
        <v>443</v>
      </c>
      <c r="P63" s="11" t="s">
        <v>185</v>
      </c>
      <c r="T63" s="122" t="s">
        <v>445</v>
      </c>
      <c r="W63" s="100"/>
      <c r="X63" s="104"/>
      <c r="Y63" s="99"/>
      <c r="Z63" s="99"/>
      <c r="AA63" s="99"/>
      <c r="AB63" s="99"/>
      <c r="AC63" s="99"/>
      <c r="AD63" s="99"/>
      <c r="AE63" s="99"/>
      <c r="AF63" s="105"/>
      <c r="AG63" s="116"/>
      <c r="AH63" s="26"/>
    </row>
    <row r="64" spans="1:34" x14ac:dyDescent="0.45">
      <c r="A64" s="26"/>
      <c r="B64" s="31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20" t="s">
        <v>443</v>
      </c>
      <c r="P64" s="11" t="s">
        <v>186</v>
      </c>
      <c r="Q64" s="100"/>
      <c r="R64" s="100"/>
      <c r="S64" s="100"/>
      <c r="T64" s="121" t="s">
        <v>526</v>
      </c>
      <c r="U64" s="100"/>
      <c r="V64" s="100"/>
      <c r="W64" s="100"/>
      <c r="X64" s="104"/>
      <c r="Y64" s="99"/>
      <c r="Z64" s="99"/>
      <c r="AA64" s="99"/>
      <c r="AB64" s="99"/>
      <c r="AC64" s="99"/>
      <c r="AD64" s="99"/>
      <c r="AE64" s="99"/>
      <c r="AF64" s="105"/>
      <c r="AG64" s="116"/>
      <c r="AH64" s="26"/>
    </row>
    <row r="65" spans="1:34" x14ac:dyDescent="0.45">
      <c r="A65" s="26"/>
      <c r="B65" s="31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20" t="s">
        <v>443</v>
      </c>
      <c r="P65" s="11" t="s">
        <v>187</v>
      </c>
      <c r="Q65" s="100"/>
      <c r="R65" s="100"/>
      <c r="S65" s="100"/>
      <c r="T65" s="121" t="s">
        <v>526</v>
      </c>
      <c r="U65" s="100"/>
      <c r="V65" s="100"/>
      <c r="W65" s="100"/>
      <c r="X65" s="104"/>
      <c r="Y65" s="99"/>
      <c r="Z65" s="99"/>
      <c r="AA65" s="99"/>
      <c r="AB65" s="99"/>
      <c r="AC65" s="99"/>
      <c r="AD65" s="99"/>
      <c r="AE65" s="99"/>
      <c r="AF65" s="105"/>
      <c r="AG65" s="116"/>
      <c r="AH65" s="26"/>
    </row>
    <row r="66" spans="1:34" x14ac:dyDescent="0.45">
      <c r="A66" s="26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20" t="s">
        <v>443</v>
      </c>
      <c r="P66" s="11" t="s">
        <v>182</v>
      </c>
      <c r="Q66" s="100"/>
      <c r="R66" s="100"/>
      <c r="S66" s="100"/>
      <c r="T66" s="122" t="s">
        <v>445</v>
      </c>
      <c r="U66" s="100"/>
      <c r="V66" s="100"/>
      <c r="W66" s="100"/>
      <c r="X66" s="104"/>
      <c r="Y66" s="99"/>
      <c r="Z66" s="99"/>
      <c r="AA66" s="99"/>
      <c r="AB66" s="99"/>
      <c r="AC66" s="99"/>
      <c r="AD66" s="99"/>
      <c r="AE66" s="99"/>
      <c r="AF66" s="105"/>
      <c r="AG66" s="116"/>
      <c r="AH66" s="26"/>
    </row>
    <row r="67" spans="1:34" x14ac:dyDescent="0.45">
      <c r="A67" s="26"/>
      <c r="B67" s="31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19"/>
      <c r="Q67" s="100"/>
      <c r="R67" s="100"/>
      <c r="S67" s="100"/>
      <c r="T67" s="100"/>
      <c r="U67" s="100"/>
      <c r="V67" s="100"/>
      <c r="W67" s="100"/>
      <c r="X67" s="104"/>
      <c r="Y67" s="99"/>
      <c r="Z67" s="99"/>
      <c r="AA67" s="99"/>
      <c r="AB67" s="99"/>
      <c r="AC67" s="99"/>
      <c r="AD67" s="99"/>
      <c r="AE67" s="99"/>
      <c r="AF67" s="105"/>
      <c r="AG67" s="116"/>
      <c r="AH67" s="26"/>
    </row>
    <row r="68" spans="1:34" x14ac:dyDescent="0.45">
      <c r="A68" s="26"/>
      <c r="B68" s="31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39" t="s">
        <v>522</v>
      </c>
      <c r="Q68" s="40"/>
      <c r="R68" s="40"/>
      <c r="S68" s="40"/>
      <c r="T68" s="40"/>
      <c r="U68" s="40"/>
      <c r="V68" s="40"/>
      <c r="W68" s="100"/>
      <c r="X68" s="104"/>
      <c r="Y68" s="99"/>
      <c r="Z68" s="99"/>
      <c r="AA68" s="99"/>
      <c r="AB68" s="99"/>
      <c r="AC68" s="99"/>
      <c r="AD68" s="99"/>
      <c r="AE68" s="99"/>
      <c r="AF68" s="105"/>
      <c r="AG68" s="116"/>
      <c r="AH68" s="26"/>
    </row>
    <row r="69" spans="1:34" x14ac:dyDescent="0.45">
      <c r="A69" s="26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20" t="s">
        <v>443</v>
      </c>
      <c r="P69" s="100" t="s">
        <v>527</v>
      </c>
      <c r="Q69" s="100"/>
      <c r="R69" s="100"/>
      <c r="S69" s="100"/>
      <c r="T69" s="121" t="s">
        <v>515</v>
      </c>
      <c r="U69" s="100"/>
      <c r="V69" s="100"/>
      <c r="W69" s="100"/>
      <c r="X69" s="104"/>
      <c r="Y69" s="99"/>
      <c r="Z69" s="99"/>
      <c r="AA69" s="99"/>
      <c r="AB69" s="99"/>
      <c r="AC69" s="99"/>
      <c r="AD69" s="99"/>
      <c r="AE69" s="99"/>
      <c r="AF69" s="105"/>
      <c r="AG69" s="116"/>
      <c r="AH69" s="26"/>
    </row>
    <row r="70" spans="1:34" x14ac:dyDescent="0.45">
      <c r="A70" s="26"/>
      <c r="B70" s="31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20" t="s">
        <v>443</v>
      </c>
      <c r="P70" s="100" t="s">
        <v>276</v>
      </c>
      <c r="Q70" s="100"/>
      <c r="R70" s="100"/>
      <c r="S70" s="100"/>
      <c r="T70" s="122" t="s">
        <v>523</v>
      </c>
      <c r="U70" s="100"/>
      <c r="V70" s="100"/>
      <c r="W70" s="100"/>
      <c r="X70" s="104"/>
      <c r="Y70" s="99"/>
      <c r="Z70" s="99"/>
      <c r="AA70" s="99"/>
      <c r="AB70" s="99"/>
      <c r="AC70" s="99"/>
      <c r="AD70" s="99"/>
      <c r="AE70" s="99"/>
      <c r="AF70" s="105"/>
      <c r="AG70" s="116"/>
      <c r="AH70" s="26"/>
    </row>
    <row r="71" spans="1:34" x14ac:dyDescent="0.45">
      <c r="A71" s="26"/>
      <c r="B71" s="31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20" t="s">
        <v>443</v>
      </c>
      <c r="P71" s="100" t="s">
        <v>285</v>
      </c>
      <c r="Q71" s="100"/>
      <c r="R71" s="100"/>
      <c r="S71" s="100"/>
      <c r="T71" s="123" t="s">
        <v>516</v>
      </c>
      <c r="U71" s="100"/>
      <c r="V71" s="100"/>
      <c r="W71" s="100"/>
      <c r="X71" s="104"/>
      <c r="Y71" s="99"/>
      <c r="Z71" s="99"/>
      <c r="AA71" s="99"/>
      <c r="AB71" s="99"/>
      <c r="AC71" s="99"/>
      <c r="AD71" s="99"/>
      <c r="AE71" s="99"/>
      <c r="AF71" s="105"/>
      <c r="AG71" s="116"/>
      <c r="AH71" s="26"/>
    </row>
    <row r="72" spans="1:34" x14ac:dyDescent="0.45">
      <c r="A72" s="26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20" t="s">
        <v>443</v>
      </c>
      <c r="P72" s="100" t="s">
        <v>291</v>
      </c>
      <c r="Q72" s="100"/>
      <c r="R72" s="100"/>
      <c r="S72" s="100"/>
      <c r="T72" s="121" t="s">
        <v>515</v>
      </c>
      <c r="U72" s="100"/>
      <c r="V72" s="100"/>
      <c r="W72" s="100"/>
      <c r="X72" s="104"/>
      <c r="Y72" s="99"/>
      <c r="Z72" s="99"/>
      <c r="AA72" s="99"/>
      <c r="AB72" s="99"/>
      <c r="AC72" s="99"/>
      <c r="AD72" s="99"/>
      <c r="AE72" s="99"/>
      <c r="AF72" s="105"/>
      <c r="AG72" s="116"/>
      <c r="AH72" s="26"/>
    </row>
    <row r="73" spans="1:34" x14ac:dyDescent="0.45">
      <c r="A73" s="26"/>
      <c r="B73" s="31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19"/>
      <c r="Q73" s="100"/>
      <c r="R73" s="100"/>
      <c r="S73" s="100"/>
      <c r="T73" s="100"/>
      <c r="U73" s="100"/>
      <c r="V73" s="100"/>
      <c r="W73" s="100"/>
      <c r="X73" s="104"/>
      <c r="Y73" s="99"/>
      <c r="Z73" s="99"/>
      <c r="AA73" s="99"/>
      <c r="AB73" s="99"/>
      <c r="AC73" s="99"/>
      <c r="AD73" s="99"/>
      <c r="AE73" s="99"/>
      <c r="AF73" s="105"/>
      <c r="AG73" s="116"/>
      <c r="AH73" s="26"/>
    </row>
    <row r="74" spans="1:34" x14ac:dyDescent="0.45">
      <c r="A74" s="26"/>
      <c r="B74" s="31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19"/>
      <c r="Q74" s="100"/>
      <c r="R74" s="100"/>
      <c r="S74" s="100"/>
      <c r="T74" s="100"/>
      <c r="U74" s="100"/>
      <c r="V74" s="100"/>
      <c r="W74" s="100"/>
      <c r="X74" s="106"/>
      <c r="Y74" s="107"/>
      <c r="Z74" s="107"/>
      <c r="AA74" s="107"/>
      <c r="AB74" s="107"/>
      <c r="AC74" s="107"/>
      <c r="AD74" s="107"/>
      <c r="AE74" s="107"/>
      <c r="AF74" s="108"/>
      <c r="AG74" s="116"/>
      <c r="AH74" s="26"/>
    </row>
    <row r="75" spans="1:34" x14ac:dyDescent="0.45">
      <c r="A75" s="26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19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32"/>
      <c r="AH75" s="26"/>
    </row>
    <row r="76" spans="1:34" x14ac:dyDescent="0.45">
      <c r="A76" s="26"/>
      <c r="B76" s="33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5"/>
      <c r="AH76" s="26"/>
    </row>
    <row r="77" spans="1:34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spans="1:34" ht="22.2" x14ac:dyDescent="0.55000000000000004">
      <c r="A78" s="26"/>
      <c r="B78" s="36" t="s">
        <v>450</v>
      </c>
      <c r="C78" s="26"/>
      <c r="D78" s="26"/>
      <c r="E78" s="26"/>
      <c r="F78" s="26"/>
      <c r="G78" s="38" t="s">
        <v>11</v>
      </c>
      <c r="H78" s="38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spans="1:34" ht="4.95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 spans="1:34" x14ac:dyDescent="0.45">
      <c r="A80" s="26"/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30"/>
      <c r="AH80" s="26"/>
    </row>
    <row r="81" spans="1:34" x14ac:dyDescent="0.45">
      <c r="A81" s="26"/>
      <c r="B81" s="31"/>
      <c r="C81" s="112" t="s">
        <v>432</v>
      </c>
      <c r="D81" s="100"/>
      <c r="E81" s="100"/>
      <c r="F81" s="100"/>
      <c r="G81" s="112" t="s">
        <v>433</v>
      </c>
      <c r="H81" s="100"/>
      <c r="I81" s="100"/>
      <c r="J81" s="100"/>
      <c r="K81" s="100"/>
      <c r="L81" s="100"/>
      <c r="M81" s="100"/>
      <c r="N81" s="100"/>
      <c r="O81" s="100"/>
      <c r="P81" s="39" t="s">
        <v>519</v>
      </c>
      <c r="Q81" s="40"/>
      <c r="R81" s="39"/>
      <c r="S81" s="40"/>
      <c r="T81" s="41">
        <f>T25</f>
        <v>45499</v>
      </c>
      <c r="U81" s="41">
        <f>$U$25</f>
        <v>45505</v>
      </c>
      <c r="V81" s="42" t="s">
        <v>434</v>
      </c>
      <c r="W81" s="100"/>
      <c r="X81" s="113" t="s">
        <v>435</v>
      </c>
      <c r="Y81" s="100"/>
      <c r="Z81" s="100"/>
      <c r="AA81" s="100"/>
      <c r="AB81" s="100"/>
      <c r="AC81" s="100"/>
      <c r="AD81" s="100"/>
      <c r="AE81" s="100"/>
      <c r="AF81" s="100"/>
      <c r="AG81" s="32"/>
      <c r="AH81" s="26"/>
    </row>
    <row r="82" spans="1:34" x14ac:dyDescent="0.45">
      <c r="A82" s="26"/>
      <c r="B82" s="31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 t="s">
        <v>436</v>
      </c>
      <c r="Q82" s="100"/>
      <c r="R82" s="100"/>
      <c r="S82" s="100"/>
      <c r="T82" s="100">
        <f>COUNTIFS(Table4[Status Anterior],'1. Status Resumo'!$P82,Table4[Sub-âmbito],'1. Status Resumo'!$G$78,Table4[Tipo de teste],"2. Campo")</f>
        <v>0</v>
      </c>
      <c r="U82" s="100">
        <f>COUNTIFS(Table4[Status Atual],'1. Status Resumo'!$P82,Table4[Sub-âmbito],'1. Status Resumo'!$G$78,Table4[Tipo de teste],"2. Campo")</f>
        <v>0</v>
      </c>
      <c r="V82" s="100">
        <f>U82-T82</f>
        <v>0</v>
      </c>
      <c r="W82" s="100"/>
      <c r="X82" s="73" t="s">
        <v>528</v>
      </c>
      <c r="Y82" s="74"/>
      <c r="Z82" s="74"/>
      <c r="AA82" s="74"/>
      <c r="AB82" s="74"/>
      <c r="AC82" s="74"/>
      <c r="AD82" s="74"/>
      <c r="AE82" s="74"/>
      <c r="AF82" s="75"/>
      <c r="AG82" s="124"/>
      <c r="AH82" s="26"/>
    </row>
    <row r="83" spans="1:34" x14ac:dyDescent="0.45">
      <c r="A83" s="26"/>
      <c r="B83" s="31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 t="s">
        <v>437</v>
      </c>
      <c r="Q83" s="100"/>
      <c r="R83" s="100"/>
      <c r="S83" s="100"/>
      <c r="T83" s="100">
        <f>COUNTIFS(Table4[Status Anterior],'1. Status Resumo'!$P83,Table4[Sub-âmbito],'1. Status Resumo'!$G$78,Table4[Tipo de teste],"2. Campo")</f>
        <v>0</v>
      </c>
      <c r="U83" s="100">
        <f>COUNTIFS(Table4[Status Atual],'1. Status Resumo'!$P83,Table4[Sub-âmbito],'1. Status Resumo'!$G$78,Table4[Tipo de teste],"2. Campo")</f>
        <v>2</v>
      </c>
      <c r="V83" s="100">
        <f t="shared" ref="V83:V89" si="2">U83-T83</f>
        <v>2</v>
      </c>
      <c r="W83" s="100"/>
      <c r="X83" s="76"/>
      <c r="Y83" s="109"/>
      <c r="Z83" s="109"/>
      <c r="AA83" s="109"/>
      <c r="AB83" s="109"/>
      <c r="AC83" s="109"/>
      <c r="AD83" s="109"/>
      <c r="AE83" s="109"/>
      <c r="AF83" s="77"/>
      <c r="AG83" s="124"/>
      <c r="AH83" s="26"/>
    </row>
    <row r="84" spans="1:34" x14ac:dyDescent="0.45">
      <c r="A84" s="26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 t="s">
        <v>152</v>
      </c>
      <c r="Q84" s="100"/>
      <c r="R84" s="100"/>
      <c r="S84" s="100"/>
      <c r="T84" s="100">
        <f>COUNTIFS(Table4[Status Anterior],'1. Status Resumo'!$P84,Table4[Sub-âmbito],'1. Status Resumo'!$G$78,Table4[Tipo de teste],"2. Campo")</f>
        <v>0</v>
      </c>
      <c r="U84" s="100">
        <f>COUNTIFS(Table4[Status Atual],'1. Status Resumo'!$P84,Table4[Sub-âmbito],'1. Status Resumo'!$G$78,Table4[Tipo de teste],"2. Campo")</f>
        <v>7</v>
      </c>
      <c r="V84" s="100">
        <f t="shared" si="2"/>
        <v>7</v>
      </c>
      <c r="W84" s="100"/>
      <c r="X84" s="76"/>
      <c r="Y84" s="109"/>
      <c r="Z84" s="109"/>
      <c r="AA84" s="109"/>
      <c r="AB84" s="109"/>
      <c r="AC84" s="109"/>
      <c r="AD84" s="109"/>
      <c r="AE84" s="109"/>
      <c r="AF84" s="77"/>
      <c r="AG84" s="124"/>
      <c r="AH84" s="26"/>
    </row>
    <row r="85" spans="1:34" ht="17.55" customHeight="1" x14ac:dyDescent="0.45">
      <c r="A85" s="26"/>
      <c r="B85" s="31"/>
      <c r="C85" s="100"/>
      <c r="D85" s="117" t="str">
        <f>"# "&amp;U90</f>
        <v># 126</v>
      </c>
      <c r="E85" s="117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 t="s">
        <v>438</v>
      </c>
      <c r="Q85" s="100"/>
      <c r="R85" s="100"/>
      <c r="S85" s="100"/>
      <c r="T85" s="100">
        <f>COUNTIFS(Table4[Status Anterior],'1. Status Resumo'!$P85,Table4[Sub-âmbito],'1. Status Resumo'!$G$78,Table4[Tipo de teste],"2. Campo")</f>
        <v>0</v>
      </c>
      <c r="U85" s="100">
        <f>COUNTIFS(Table4[Status Atual],'1. Status Resumo'!$P85,Table4[Sub-âmbito],'1. Status Resumo'!$G$78,Table4[Tipo de teste],"2. Campo")</f>
        <v>0</v>
      </c>
      <c r="V85" s="100">
        <f t="shared" si="2"/>
        <v>0</v>
      </c>
      <c r="W85" s="100"/>
      <c r="X85" s="76"/>
      <c r="Y85" s="109"/>
      <c r="Z85" s="109"/>
      <c r="AA85" s="109"/>
      <c r="AB85" s="109"/>
      <c r="AC85" s="109"/>
      <c r="AD85" s="109"/>
      <c r="AE85" s="109"/>
      <c r="AF85" s="77"/>
      <c r="AG85" s="124"/>
      <c r="AH85" s="26"/>
    </row>
    <row r="86" spans="1:34" ht="17.55" customHeight="1" x14ac:dyDescent="0.45">
      <c r="A86" s="26"/>
      <c r="B86" s="31"/>
      <c r="C86" s="100"/>
      <c r="D86" s="117"/>
      <c r="E86" s="117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 t="s">
        <v>439</v>
      </c>
      <c r="Q86" s="100"/>
      <c r="R86" s="100"/>
      <c r="S86" s="100"/>
      <c r="T86" s="100">
        <f>COUNTIFS(Table4[Status Anterior],'1. Status Resumo'!$P86,Table4[Sub-âmbito],'1. Status Resumo'!$G$78,Table4[Tipo de teste],"2. Campo")</f>
        <v>0</v>
      </c>
      <c r="U86" s="100">
        <f>COUNTIFS(Table4[Status Atual],'1. Status Resumo'!$P86,Table4[Sub-âmbito],'1. Status Resumo'!$G$78,Table4[Tipo de teste],"2. Campo")</f>
        <v>0</v>
      </c>
      <c r="V86" s="100">
        <f t="shared" si="2"/>
        <v>0</v>
      </c>
      <c r="W86" s="100"/>
      <c r="X86" s="76"/>
      <c r="Y86" s="109"/>
      <c r="Z86" s="109"/>
      <c r="AA86" s="109"/>
      <c r="AB86" s="109"/>
      <c r="AC86" s="109"/>
      <c r="AD86" s="109"/>
      <c r="AE86" s="109"/>
      <c r="AF86" s="77"/>
      <c r="AG86" s="124"/>
      <c r="AH86" s="26"/>
    </row>
    <row r="87" spans="1:34" x14ac:dyDescent="0.45">
      <c r="A87" s="26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 t="s">
        <v>440</v>
      </c>
      <c r="Q87" s="100"/>
      <c r="R87" s="100" t="s">
        <v>441</v>
      </c>
      <c r="S87" s="100"/>
      <c r="T87" s="100">
        <f>COUNTIFS(Table4[Status Anterior],'1. Status Resumo'!$P87,Table4[Sub-âmbito],'1. Status Resumo'!$G$78,Table4[Tipo de teste],"2. Campo")</f>
        <v>0</v>
      </c>
      <c r="U87" s="100">
        <f>COUNTIFS(Table4[Status Atual],'1. Status Resumo'!$P87,Table4[Sub-âmbito],'1. Status Resumo'!$G$78,Table4[Tipo de teste],"2. Campo")</f>
        <v>0</v>
      </c>
      <c r="V87" s="100">
        <f t="shared" si="2"/>
        <v>0</v>
      </c>
      <c r="W87" s="100"/>
      <c r="X87" s="76"/>
      <c r="Y87" s="109"/>
      <c r="Z87" s="109"/>
      <c r="AA87" s="109"/>
      <c r="AB87" s="109"/>
      <c r="AC87" s="109"/>
      <c r="AD87" s="109"/>
      <c r="AE87" s="109"/>
      <c r="AF87" s="77"/>
      <c r="AG87" s="124"/>
      <c r="AH87" s="26"/>
    </row>
    <row r="88" spans="1:34" x14ac:dyDescent="0.45">
      <c r="A88" s="26"/>
      <c r="B88" s="31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 t="s">
        <v>442</v>
      </c>
      <c r="Q88" s="100"/>
      <c r="R88" s="100"/>
      <c r="S88" s="100"/>
      <c r="T88" s="100">
        <f>COUNTIFS(Table4[Status Anterior],'1. Status Resumo'!$P88,Table4[Sub-âmbito],'1. Status Resumo'!$G$78,Table4[Tipo de teste],"2. Campo")</f>
        <v>0</v>
      </c>
      <c r="U88" s="100">
        <f>COUNTIFS(Table4[Status Atual],'1. Status Resumo'!$P88,Table4[Sub-âmbito],'1. Status Resumo'!$G$78,Table4[Tipo de teste],"2. Campo")</f>
        <v>0</v>
      </c>
      <c r="V88" s="100">
        <f t="shared" si="2"/>
        <v>0</v>
      </c>
      <c r="W88" s="100"/>
      <c r="X88" s="76"/>
      <c r="Y88" s="109"/>
      <c r="Z88" s="109"/>
      <c r="AA88" s="109"/>
      <c r="AB88" s="109"/>
      <c r="AC88" s="109"/>
      <c r="AD88" s="109"/>
      <c r="AE88" s="109"/>
      <c r="AF88" s="77"/>
      <c r="AG88" s="124"/>
      <c r="AH88" s="26"/>
    </row>
    <row r="89" spans="1:34" x14ac:dyDescent="0.45">
      <c r="A89" s="26"/>
      <c r="B89" s="31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 t="s">
        <v>12</v>
      </c>
      <c r="Q89" s="100"/>
      <c r="R89" s="100"/>
      <c r="S89" s="100"/>
      <c r="T89" s="100">
        <f>COUNTIFS(Table4[Status Anterior],'1. Status Resumo'!$P89,Table4[Sub-âmbito],'1. Status Resumo'!$G$78,Table4[Tipo de teste],"2. Campo")</f>
        <v>126</v>
      </c>
      <c r="U89" s="100">
        <f>COUNTIFS(Table4[Status Atual],'1. Status Resumo'!$P89,Table4[Sub-âmbito],'1. Status Resumo'!$G$78,Table4[Tipo de teste],"2. Campo")</f>
        <v>117</v>
      </c>
      <c r="V89" s="100">
        <f t="shared" si="2"/>
        <v>-9</v>
      </c>
      <c r="W89" s="100"/>
      <c r="X89" s="76"/>
      <c r="Y89" s="109"/>
      <c r="Z89" s="109"/>
      <c r="AA89" s="109"/>
      <c r="AB89" s="109"/>
      <c r="AC89" s="109"/>
      <c r="AD89" s="109"/>
      <c r="AE89" s="109"/>
      <c r="AF89" s="77"/>
      <c r="AG89" s="124"/>
      <c r="AH89" s="26"/>
    </row>
    <row r="90" spans="1:34" x14ac:dyDescent="0.45">
      <c r="A90" s="26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18">
        <f>SUM(T82:T89)</f>
        <v>126</v>
      </c>
      <c r="U90" s="118">
        <f>SUM(U82:U89)</f>
        <v>126</v>
      </c>
      <c r="V90" s="100"/>
      <c r="W90" s="100"/>
      <c r="X90" s="78"/>
      <c r="Y90" s="79"/>
      <c r="Z90" s="79"/>
      <c r="AA90" s="79"/>
      <c r="AB90" s="79"/>
      <c r="AC90" s="79"/>
      <c r="AD90" s="79"/>
      <c r="AE90" s="79"/>
      <c r="AF90" s="80"/>
      <c r="AG90" s="124"/>
      <c r="AH90" s="26"/>
    </row>
    <row r="91" spans="1:34" x14ac:dyDescent="0.45">
      <c r="A91" s="26"/>
      <c r="B91" s="31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32"/>
      <c r="AH91" s="26"/>
    </row>
    <row r="92" spans="1:34" x14ac:dyDescent="0.45">
      <c r="A92" s="26"/>
      <c r="B92" s="33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5"/>
      <c r="AH92" s="26"/>
    </row>
    <row r="93" spans="1:34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spans="1:34" ht="22.2" x14ac:dyDescent="0.55000000000000004">
      <c r="A94" s="26"/>
      <c r="B94" s="36" t="s">
        <v>451</v>
      </c>
      <c r="C94" s="26"/>
      <c r="D94" s="26"/>
      <c r="E94" s="26"/>
      <c r="F94" s="26"/>
      <c r="G94" s="38" t="s">
        <v>13</v>
      </c>
      <c r="H94" s="38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spans="1:34" ht="4.95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spans="1:34" x14ac:dyDescent="0.45">
      <c r="A96" s="26"/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30"/>
      <c r="AH96" s="26"/>
    </row>
    <row r="97" spans="1:34" x14ac:dyDescent="0.45">
      <c r="A97" s="26"/>
      <c r="B97" s="31"/>
      <c r="C97" s="112" t="s">
        <v>432</v>
      </c>
      <c r="D97" s="100"/>
      <c r="E97" s="100"/>
      <c r="F97" s="100"/>
      <c r="G97" s="112" t="s">
        <v>433</v>
      </c>
      <c r="H97" s="100"/>
      <c r="I97" s="100"/>
      <c r="J97" s="100"/>
      <c r="K97" s="100"/>
      <c r="L97" s="100"/>
      <c r="M97" s="100"/>
      <c r="N97" s="100"/>
      <c r="O97" s="100"/>
      <c r="P97" s="39" t="s">
        <v>519</v>
      </c>
      <c r="Q97" s="40"/>
      <c r="R97" s="39"/>
      <c r="S97" s="40"/>
      <c r="T97" s="41">
        <f>T47</f>
        <v>45499</v>
      </c>
      <c r="U97" s="41">
        <f>$U$25</f>
        <v>45505</v>
      </c>
      <c r="V97" s="42" t="s">
        <v>434</v>
      </c>
      <c r="W97" s="100"/>
      <c r="X97" s="113" t="s">
        <v>435</v>
      </c>
      <c r="Y97" s="100"/>
      <c r="Z97" s="100"/>
      <c r="AA97" s="100"/>
      <c r="AB97" s="100"/>
      <c r="AC97" s="100"/>
      <c r="AD97" s="100"/>
      <c r="AE97" s="100"/>
      <c r="AF97" s="100"/>
      <c r="AG97" s="32"/>
      <c r="AH97" s="26"/>
    </row>
    <row r="98" spans="1:34" x14ac:dyDescent="0.45">
      <c r="A98" s="26"/>
      <c r="B98" s="31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 t="s">
        <v>436</v>
      </c>
      <c r="Q98" s="100"/>
      <c r="R98" s="100"/>
      <c r="S98" s="100"/>
      <c r="T98" s="100">
        <f>COUNTIFS('2. Status Detalhe Campos'!$H$7:$H$595,'1. Status Resumo'!$P98,'2. Status Detalhe Campos'!$C$7:$C$595,'1. Status Resumo'!$G$94,'2. Status Detalhe Campos'!$D$7:$D$595,"2. Campo")</f>
        <v>0</v>
      </c>
      <c r="U98" s="100">
        <f>COUNTIFS('2. Status Detalhe Campos'!$G$7:$G$595,'1. Status Resumo'!$P98,'2. Status Detalhe Campos'!$C$7:$C$595,'1. Status Resumo'!$G$94,'2. Status Detalhe Campos'!$D$7:$D$595,"2. Campo")</f>
        <v>0</v>
      </c>
      <c r="V98" s="100">
        <f>U98-T98</f>
        <v>0</v>
      </c>
      <c r="W98" s="100"/>
      <c r="X98" s="81" t="s">
        <v>518</v>
      </c>
      <c r="Y98" s="82"/>
      <c r="Z98" s="82"/>
      <c r="AA98" s="82"/>
      <c r="AB98" s="82"/>
      <c r="AC98" s="82"/>
      <c r="AD98" s="82"/>
      <c r="AE98" s="82"/>
      <c r="AF98" s="83"/>
      <c r="AG98" s="125"/>
      <c r="AH98" s="26"/>
    </row>
    <row r="99" spans="1:34" x14ac:dyDescent="0.45">
      <c r="A99" s="26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 t="s">
        <v>437</v>
      </c>
      <c r="Q99" s="100"/>
      <c r="R99" s="100"/>
      <c r="S99" s="100"/>
      <c r="T99" s="100">
        <f>COUNTIFS('2. Status Detalhe Campos'!$H$7:$H$595,'1. Status Resumo'!$P99,'2. Status Detalhe Campos'!$C$7:$C$595,'1. Status Resumo'!$G$94,'2. Status Detalhe Campos'!$D$7:$D$595,"2. Campo")</f>
        <v>23</v>
      </c>
      <c r="U99" s="100">
        <f>COUNTIFS('2. Status Detalhe Campos'!$G$7:$G$595,'1. Status Resumo'!$P99,'2. Status Detalhe Campos'!$C$7:$C$595,'1. Status Resumo'!$G$94,'2. Status Detalhe Campos'!$D$7:$D$595,"2. Campo")</f>
        <v>23</v>
      </c>
      <c r="V99" s="100">
        <f t="shared" ref="V99:V105" si="3">U99-T99</f>
        <v>0</v>
      </c>
      <c r="W99" s="100"/>
      <c r="X99" s="84"/>
      <c r="Y99" s="110"/>
      <c r="Z99" s="110"/>
      <c r="AA99" s="110"/>
      <c r="AB99" s="110"/>
      <c r="AC99" s="110"/>
      <c r="AD99" s="110"/>
      <c r="AE99" s="110"/>
      <c r="AF99" s="85"/>
      <c r="AG99" s="125"/>
      <c r="AH99" s="26"/>
    </row>
    <row r="100" spans="1:34" x14ac:dyDescent="0.45">
      <c r="A100" s="26"/>
      <c r="B100" s="31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 t="s">
        <v>152</v>
      </c>
      <c r="Q100" s="100"/>
      <c r="R100" s="100"/>
      <c r="S100" s="100"/>
      <c r="T100" s="100">
        <f>COUNTIFS('2. Status Detalhe Campos'!$H$7:$H$595,'1. Status Resumo'!$P100,'2. Status Detalhe Campos'!$C$7:$C$595,'1. Status Resumo'!$G$94,'2. Status Detalhe Campos'!$D$7:$D$595,"2. Campo")</f>
        <v>26</v>
      </c>
      <c r="U100" s="100">
        <f>COUNTIFS('2. Status Detalhe Campos'!$G$7:$G$595,'1. Status Resumo'!$P100,'2. Status Detalhe Campos'!$C$7:$C$595,'1. Status Resumo'!$G$94,'2. Status Detalhe Campos'!$D$7:$D$595,"2. Campo")</f>
        <v>26</v>
      </c>
      <c r="V100" s="100">
        <f t="shared" si="3"/>
        <v>0</v>
      </c>
      <c r="W100" s="100"/>
      <c r="X100" s="84"/>
      <c r="Y100" s="110"/>
      <c r="Z100" s="110"/>
      <c r="AA100" s="110"/>
      <c r="AB100" s="110"/>
      <c r="AC100" s="110"/>
      <c r="AD100" s="110"/>
      <c r="AE100" s="110"/>
      <c r="AF100" s="85"/>
      <c r="AG100" s="125"/>
      <c r="AH100" s="26"/>
    </row>
    <row r="101" spans="1:34" ht="17.55" customHeight="1" x14ac:dyDescent="0.45">
      <c r="A101" s="26"/>
      <c r="B101" s="31"/>
      <c r="C101" s="100"/>
      <c r="D101" s="117" t="str">
        <f>"# "&amp;U106</f>
        <v># 50</v>
      </c>
      <c r="E101" s="117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 t="s">
        <v>438</v>
      </c>
      <c r="Q101" s="100"/>
      <c r="R101" s="100"/>
      <c r="S101" s="100"/>
      <c r="T101" s="100">
        <f>COUNTIFS('2. Status Detalhe Campos'!$H$7:$H$595,'1. Status Resumo'!$P101,'2. Status Detalhe Campos'!$C$7:$C$595,'1. Status Resumo'!$G$94,'2. Status Detalhe Campos'!$D$7:$D$595,"2. Campo")</f>
        <v>1</v>
      </c>
      <c r="U101" s="100">
        <f>COUNTIFS('2. Status Detalhe Campos'!$G$7:$G$595,'1. Status Resumo'!$P101,'2. Status Detalhe Campos'!$C$7:$C$595,'1. Status Resumo'!$G$94,'2. Status Detalhe Campos'!$D$7:$D$595,"2. Campo")</f>
        <v>1</v>
      </c>
      <c r="V101" s="100">
        <f t="shared" si="3"/>
        <v>0</v>
      </c>
      <c r="W101" s="100"/>
      <c r="X101" s="84"/>
      <c r="Y101" s="110"/>
      <c r="Z101" s="110"/>
      <c r="AA101" s="110"/>
      <c r="AB101" s="110"/>
      <c r="AC101" s="110"/>
      <c r="AD101" s="110"/>
      <c r="AE101" s="110"/>
      <c r="AF101" s="85"/>
      <c r="AG101" s="125"/>
      <c r="AH101" s="26"/>
    </row>
    <row r="102" spans="1:34" ht="17.55" customHeight="1" x14ac:dyDescent="0.45">
      <c r="A102" s="26"/>
      <c r="B102" s="31"/>
      <c r="C102" s="100"/>
      <c r="D102" s="117"/>
      <c r="E102" s="117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 t="s">
        <v>439</v>
      </c>
      <c r="Q102" s="100"/>
      <c r="R102" s="100"/>
      <c r="S102" s="100"/>
      <c r="T102" s="100">
        <f>COUNTIFS('2. Status Detalhe Campos'!$H$7:$H$595,'1. Status Resumo'!$P102,'2. Status Detalhe Campos'!$C$7:$C$595,'1. Status Resumo'!$G$94,'2. Status Detalhe Campos'!$D$7:$D$595,"2. Campo")</f>
        <v>0</v>
      </c>
      <c r="U102" s="100">
        <f>COUNTIFS('2. Status Detalhe Campos'!$G$7:$G$595,'1. Status Resumo'!$P102,'2. Status Detalhe Campos'!$C$7:$C$595,'1. Status Resumo'!$G$94,'2. Status Detalhe Campos'!$D$7:$D$595,"2. Campo")</f>
        <v>0</v>
      </c>
      <c r="V102" s="100">
        <f t="shared" si="3"/>
        <v>0</v>
      </c>
      <c r="W102" s="100"/>
      <c r="X102" s="84"/>
      <c r="Y102" s="110"/>
      <c r="Z102" s="110"/>
      <c r="AA102" s="110"/>
      <c r="AB102" s="110"/>
      <c r="AC102" s="110"/>
      <c r="AD102" s="110"/>
      <c r="AE102" s="110"/>
      <c r="AF102" s="85"/>
      <c r="AG102" s="125"/>
      <c r="AH102" s="26"/>
    </row>
    <row r="103" spans="1:34" x14ac:dyDescent="0.45">
      <c r="A103" s="26"/>
      <c r="B103" s="31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 t="s">
        <v>440</v>
      </c>
      <c r="Q103" s="100"/>
      <c r="R103" s="100" t="s">
        <v>441</v>
      </c>
      <c r="S103" s="100"/>
      <c r="T103" s="100">
        <f>COUNTIFS('2. Status Detalhe Campos'!$H$7:$H$595,'1. Status Resumo'!$P103,'2. Status Detalhe Campos'!$C$7:$C$595,'1. Status Resumo'!$G$94,'2. Status Detalhe Campos'!$D$7:$D$595,"2. Campo")</f>
        <v>0</v>
      </c>
      <c r="U103" s="100">
        <f>COUNTIFS('2. Status Detalhe Campos'!$G$7:$G$595,'1. Status Resumo'!$P103,'2. Status Detalhe Campos'!$C$7:$C$595,'1. Status Resumo'!$G$94,'2. Status Detalhe Campos'!$D$7:$D$595,"2. Campo")</f>
        <v>0</v>
      </c>
      <c r="V103" s="100">
        <f t="shared" si="3"/>
        <v>0</v>
      </c>
      <c r="W103" s="100"/>
      <c r="X103" s="84"/>
      <c r="Y103" s="110"/>
      <c r="Z103" s="110"/>
      <c r="AA103" s="110"/>
      <c r="AB103" s="110"/>
      <c r="AC103" s="110"/>
      <c r="AD103" s="110"/>
      <c r="AE103" s="110"/>
      <c r="AF103" s="85"/>
      <c r="AG103" s="125"/>
      <c r="AH103" s="26"/>
    </row>
    <row r="104" spans="1:34" x14ac:dyDescent="0.45">
      <c r="A104" s="26"/>
      <c r="B104" s="31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 t="s">
        <v>442</v>
      </c>
      <c r="Q104" s="100"/>
      <c r="R104" s="100"/>
      <c r="S104" s="100"/>
      <c r="T104" s="100">
        <f>COUNTIFS('2. Status Detalhe Campos'!$H$7:$H$595,'1. Status Resumo'!$P104,'2. Status Detalhe Campos'!$C$7:$C$595,'1. Status Resumo'!$G$94,'2. Status Detalhe Campos'!$D$7:$D$595,"2. Campo")</f>
        <v>0</v>
      </c>
      <c r="U104" s="100">
        <f>COUNTIFS('2. Status Detalhe Campos'!$G$7:$G$595,'1. Status Resumo'!$P104,'2. Status Detalhe Campos'!$C$7:$C$595,'1. Status Resumo'!$G$94,'2. Status Detalhe Campos'!$D$7:$D$595,"2. Campo")</f>
        <v>0</v>
      </c>
      <c r="V104" s="100">
        <f t="shared" si="3"/>
        <v>0</v>
      </c>
      <c r="W104" s="100"/>
      <c r="X104" s="84"/>
      <c r="Y104" s="110"/>
      <c r="Z104" s="110"/>
      <c r="AA104" s="110"/>
      <c r="AB104" s="110"/>
      <c r="AC104" s="110"/>
      <c r="AD104" s="110"/>
      <c r="AE104" s="110"/>
      <c r="AF104" s="85"/>
      <c r="AG104" s="125"/>
      <c r="AH104" s="26"/>
    </row>
    <row r="105" spans="1:34" x14ac:dyDescent="0.45">
      <c r="A105" s="26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 t="s">
        <v>12</v>
      </c>
      <c r="Q105" s="100"/>
      <c r="R105" s="100"/>
      <c r="S105" s="100"/>
      <c r="T105" s="100">
        <f>COUNTIFS('2. Status Detalhe Campos'!$H$7:$H$595,'1. Status Resumo'!$P105,'2. Status Detalhe Campos'!$C$7:$C$595,'1. Status Resumo'!$G$94,'2. Status Detalhe Campos'!$D$7:$D$595,"2. Campo")</f>
        <v>0</v>
      </c>
      <c r="U105" s="100">
        <f>COUNTIFS('2. Status Detalhe Campos'!$G$7:$G$595,'1. Status Resumo'!$P105,'2. Status Detalhe Campos'!$C$7:$C$595,'1. Status Resumo'!$G$94,'2. Status Detalhe Campos'!$D$7:$D$595,"2. Campo")</f>
        <v>0</v>
      </c>
      <c r="V105" s="100">
        <f t="shared" si="3"/>
        <v>0</v>
      </c>
      <c r="W105" s="100"/>
      <c r="X105" s="84"/>
      <c r="Y105" s="110"/>
      <c r="Z105" s="110"/>
      <c r="AA105" s="110"/>
      <c r="AB105" s="110"/>
      <c r="AC105" s="110"/>
      <c r="AD105" s="110"/>
      <c r="AE105" s="110"/>
      <c r="AF105" s="85"/>
      <c r="AG105" s="125"/>
      <c r="AH105" s="26"/>
    </row>
    <row r="106" spans="1:34" x14ac:dyDescent="0.45">
      <c r="A106" s="26"/>
      <c r="B106" s="31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18">
        <f>SUM(T98:T105)</f>
        <v>50</v>
      </c>
      <c r="U106" s="118">
        <f>SUM(U98:U105)</f>
        <v>50</v>
      </c>
      <c r="V106" s="100"/>
      <c r="W106" s="100"/>
      <c r="X106" s="86"/>
      <c r="Y106" s="87"/>
      <c r="Z106" s="87"/>
      <c r="AA106" s="87"/>
      <c r="AB106" s="87"/>
      <c r="AC106" s="87"/>
      <c r="AD106" s="87"/>
      <c r="AE106" s="87"/>
      <c r="AF106" s="88"/>
      <c r="AG106" s="125"/>
      <c r="AH106" s="26"/>
    </row>
    <row r="107" spans="1:34" x14ac:dyDescent="0.45">
      <c r="A107" s="26"/>
      <c r="B107" s="31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32"/>
      <c r="AH107" s="26"/>
    </row>
    <row r="108" spans="1:34" x14ac:dyDescent="0.45">
      <c r="A108" s="26"/>
      <c r="B108" s="33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5"/>
      <c r="AH108" s="26"/>
    </row>
    <row r="109" spans="1:34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 spans="1:34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</sheetData>
  <sortState xmlns:xlrd2="http://schemas.microsoft.com/office/spreadsheetml/2017/richdata2" ref="R21:R28">
    <sortCondition ref="R21:R28"/>
  </sortState>
  <mergeCells count="9">
    <mergeCell ref="X82:AF90"/>
    <mergeCell ref="X98:AF106"/>
    <mergeCell ref="D29:E30"/>
    <mergeCell ref="D51:E52"/>
    <mergeCell ref="D85:E86"/>
    <mergeCell ref="D101:E102"/>
    <mergeCell ref="X26:AF41"/>
    <mergeCell ref="X48:AF74"/>
    <mergeCell ref="B8:AG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M605"/>
  <sheetViews>
    <sheetView showGridLine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3.8" x14ac:dyDescent="0.25"/>
  <cols>
    <col min="1" max="1" width="3.69921875" customWidth="1"/>
    <col min="2" max="2" width="8.19921875" customWidth="1"/>
    <col min="3" max="3" width="19.796875" bestFit="1" customWidth="1"/>
    <col min="4" max="4" width="12.5" customWidth="1"/>
    <col min="5" max="5" width="35.796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3" width="3.69921875" customWidth="1"/>
    <col min="14" max="16384" width="8.69921875" hidden="1"/>
  </cols>
  <sheetData>
    <row r="1" spans="1:13" ht="17.399999999999999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7.399999999999999" x14ac:dyDescent="0.4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3" ht="17.399999999999999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3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spans="1:13" ht="17.399999999999999" x14ac:dyDescent="0.25">
      <c r="B6" s="23" t="s">
        <v>5</v>
      </c>
      <c r="C6" s="43" t="s">
        <v>6</v>
      </c>
      <c r="D6" s="43" t="s">
        <v>7</v>
      </c>
      <c r="E6" s="43" t="s">
        <v>8</v>
      </c>
      <c r="F6" s="43" t="s">
        <v>9</v>
      </c>
      <c r="G6" s="43" t="s">
        <v>452</v>
      </c>
      <c r="H6" s="43" t="s">
        <v>453</v>
      </c>
      <c r="I6" s="52" t="s">
        <v>454</v>
      </c>
      <c r="J6" s="52" t="s">
        <v>455</v>
      </c>
      <c r="K6" s="52" t="s">
        <v>456</v>
      </c>
      <c r="L6" s="62" t="s">
        <v>457</v>
      </c>
    </row>
    <row r="7" spans="1:13" ht="16.2" x14ac:dyDescent="0.4">
      <c r="A7" s="15" t="str">
        <f>E7&amp;F7</f>
        <v>cd_imv_inp_certif_estimativan.a.</v>
      </c>
      <c r="B7" s="51" t="s">
        <v>11</v>
      </c>
      <c r="C7" s="48" t="s">
        <v>14</v>
      </c>
      <c r="D7" s="44" t="s">
        <v>15</v>
      </c>
      <c r="E7" s="45" t="s">
        <v>16</v>
      </c>
      <c r="F7" s="44" t="s">
        <v>17</v>
      </c>
      <c r="G7" s="46" t="s">
        <v>439</v>
      </c>
      <c r="H7" s="46" t="s">
        <v>439</v>
      </c>
      <c r="I7" s="53"/>
      <c r="J7" s="63" t="s">
        <v>530</v>
      </c>
      <c r="K7" s="63" t="s">
        <v>530</v>
      </c>
      <c r="L7" s="63" t="s">
        <v>530</v>
      </c>
    </row>
    <row r="8" spans="1:13" ht="16.2" x14ac:dyDescent="0.4">
      <c r="A8" s="15" t="str">
        <f t="shared" ref="A8:A71" si="0">E8&amp;F8</f>
        <v>cd_imv_inp_certif_estimativacempbem</v>
      </c>
      <c r="B8" s="51" t="s">
        <v>11</v>
      </c>
      <c r="C8" s="48" t="s">
        <v>14</v>
      </c>
      <c r="D8" s="44" t="s">
        <v>18</v>
      </c>
      <c r="E8" s="45" t="s">
        <v>16</v>
      </c>
      <c r="F8" s="44" t="s">
        <v>19</v>
      </c>
      <c r="G8" s="46" t="s">
        <v>439</v>
      </c>
      <c r="H8" s="46" t="s">
        <v>439</v>
      </c>
      <c r="I8" s="53"/>
      <c r="J8" s="63" t="s">
        <v>530</v>
      </c>
      <c r="K8" s="63" t="s">
        <v>530</v>
      </c>
      <c r="L8" s="63" t="s">
        <v>530</v>
      </c>
    </row>
    <row r="9" spans="1:13" ht="16.2" x14ac:dyDescent="0.4">
      <c r="A9" s="15" t="str">
        <f t="shared" si="0"/>
        <v>cd_imv_inp_certif_estimativachave_encriptada</v>
      </c>
      <c r="B9" s="51" t="s">
        <v>11</v>
      </c>
      <c r="C9" s="48" t="s">
        <v>14</v>
      </c>
      <c r="D9" s="44" t="s">
        <v>18</v>
      </c>
      <c r="E9" s="45" t="s">
        <v>16</v>
      </c>
      <c r="F9" s="44" t="s">
        <v>20</v>
      </c>
      <c r="G9" s="46" t="s">
        <v>439</v>
      </c>
      <c r="H9" s="46" t="s">
        <v>439</v>
      </c>
      <c r="I9" s="53"/>
      <c r="J9" s="63" t="s">
        <v>530</v>
      </c>
      <c r="K9" s="63" t="s">
        <v>530</v>
      </c>
      <c r="L9" s="63" t="s">
        <v>530</v>
      </c>
    </row>
    <row r="10" spans="1:13" ht="16.2" x14ac:dyDescent="0.4">
      <c r="A10" s="15" t="str">
        <f t="shared" si="0"/>
        <v>cd_imv_inp_certif_estimativackbalbem</v>
      </c>
      <c r="B10" s="51" t="s">
        <v>11</v>
      </c>
      <c r="C10" s="48" t="s">
        <v>14</v>
      </c>
      <c r="D10" s="44" t="s">
        <v>18</v>
      </c>
      <c r="E10" s="45" t="s">
        <v>16</v>
      </c>
      <c r="F10" s="44" t="s">
        <v>21</v>
      </c>
      <c r="G10" s="46" t="s">
        <v>439</v>
      </c>
      <c r="H10" s="46" t="s">
        <v>439</v>
      </c>
      <c r="I10" s="53"/>
      <c r="J10" s="63" t="s">
        <v>530</v>
      </c>
      <c r="K10" s="63" t="s">
        <v>530</v>
      </c>
      <c r="L10" s="63" t="s">
        <v>530</v>
      </c>
    </row>
    <row r="11" spans="1:13" ht="16.2" x14ac:dyDescent="0.4">
      <c r="A11" s="15" t="str">
        <f t="shared" si="0"/>
        <v>cd_imv_inp_certif_estimativackctabem</v>
      </c>
      <c r="B11" s="51" t="s">
        <v>11</v>
      </c>
      <c r="C11" s="48" t="s">
        <v>14</v>
      </c>
      <c r="D11" s="44" t="s">
        <v>18</v>
      </c>
      <c r="E11" s="45" t="s">
        <v>16</v>
      </c>
      <c r="F11" s="44" t="s">
        <v>22</v>
      </c>
      <c r="G11" s="46" t="s">
        <v>439</v>
      </c>
      <c r="H11" s="46" t="s">
        <v>439</v>
      </c>
      <c r="I11" s="53"/>
      <c r="J11" s="63" t="s">
        <v>530</v>
      </c>
      <c r="K11" s="63" t="s">
        <v>530</v>
      </c>
      <c r="L11" s="63" t="s">
        <v>530</v>
      </c>
    </row>
    <row r="12" spans="1:13" ht="16.2" x14ac:dyDescent="0.4">
      <c r="A12" s="15" t="str">
        <f t="shared" si="0"/>
        <v>cd_imv_inp_certif_estimativackrefbem</v>
      </c>
      <c r="B12" s="51" t="s">
        <v>11</v>
      </c>
      <c r="C12" s="48" t="s">
        <v>14</v>
      </c>
      <c r="D12" s="44" t="s">
        <v>18</v>
      </c>
      <c r="E12" s="45" t="s">
        <v>16</v>
      </c>
      <c r="F12" s="44" t="s">
        <v>23</v>
      </c>
      <c r="G12" s="46" t="s">
        <v>439</v>
      </c>
      <c r="H12" s="46" t="s">
        <v>439</v>
      </c>
      <c r="I12" s="53"/>
      <c r="J12" s="63" t="s">
        <v>530</v>
      </c>
      <c r="K12" s="63" t="s">
        <v>530</v>
      </c>
      <c r="L12" s="63" t="s">
        <v>530</v>
      </c>
    </row>
    <row r="13" spans="1:13" ht="16.2" x14ac:dyDescent="0.4">
      <c r="A13" s="15" t="str">
        <f t="shared" si="0"/>
        <v>cd_imv_inp_certif_estimativadata_extraccao_info</v>
      </c>
      <c r="B13" s="51" t="s">
        <v>11</v>
      </c>
      <c r="C13" s="48" t="s">
        <v>14</v>
      </c>
      <c r="D13" s="44" t="s">
        <v>18</v>
      </c>
      <c r="E13" s="45" t="s">
        <v>16</v>
      </c>
      <c r="F13" s="44" t="s">
        <v>24</v>
      </c>
      <c r="G13" s="46" t="s">
        <v>439</v>
      </c>
      <c r="H13" s="46" t="s">
        <v>439</v>
      </c>
      <c r="I13" s="53"/>
      <c r="J13" s="63" t="s">
        <v>530</v>
      </c>
      <c r="K13" s="63" t="s">
        <v>530</v>
      </c>
      <c r="L13" s="63" t="s">
        <v>530</v>
      </c>
    </row>
    <row r="14" spans="1:13" ht="16.2" x14ac:dyDescent="0.4">
      <c r="A14" s="15" t="str">
        <f t="shared" si="0"/>
        <v>cd_imv_inp_certif_estimativaepc</v>
      </c>
      <c r="B14" s="51" t="s">
        <v>11</v>
      </c>
      <c r="C14" s="48" t="s">
        <v>14</v>
      </c>
      <c r="D14" s="44" t="s">
        <v>18</v>
      </c>
      <c r="E14" s="45" t="s">
        <v>16</v>
      </c>
      <c r="F14" s="44" t="s">
        <v>25</v>
      </c>
      <c r="G14" s="46" t="s">
        <v>439</v>
      </c>
      <c r="H14" s="46" t="s">
        <v>439</v>
      </c>
      <c r="I14" s="53"/>
      <c r="J14" s="63" t="s">
        <v>530</v>
      </c>
      <c r="K14" s="63" t="s">
        <v>530</v>
      </c>
      <c r="L14" s="63" t="s">
        <v>530</v>
      </c>
    </row>
    <row r="15" spans="1:13" ht="16.2" x14ac:dyDescent="0.4">
      <c r="A15" s="15" t="str">
        <f t="shared" si="0"/>
        <v>cd_imv_inp_certif_estimativafornecedor</v>
      </c>
      <c r="B15" s="51" t="s">
        <v>11</v>
      </c>
      <c r="C15" s="48" t="s">
        <v>14</v>
      </c>
      <c r="D15" s="44" t="s">
        <v>18</v>
      </c>
      <c r="E15" s="45" t="s">
        <v>16</v>
      </c>
      <c r="F15" s="44" t="s">
        <v>26</v>
      </c>
      <c r="G15" s="46" t="s">
        <v>439</v>
      </c>
      <c r="H15" s="46" t="s">
        <v>439</v>
      </c>
      <c r="I15" s="53"/>
      <c r="J15" s="63" t="s">
        <v>530</v>
      </c>
      <c r="K15" s="63" t="s">
        <v>530</v>
      </c>
      <c r="L15" s="63" t="s">
        <v>530</v>
      </c>
    </row>
    <row r="16" spans="1:13" ht="16.2" x14ac:dyDescent="0.4">
      <c r="A16" s="15" t="str">
        <f t="shared" si="0"/>
        <v>cd_imv_inp_certif_estimativametodo_info</v>
      </c>
      <c r="B16" s="51" t="s">
        <v>11</v>
      </c>
      <c r="C16" s="48" t="s">
        <v>14</v>
      </c>
      <c r="D16" s="44" t="s">
        <v>18</v>
      </c>
      <c r="E16" s="45" t="s">
        <v>16</v>
      </c>
      <c r="F16" s="44" t="s">
        <v>27</v>
      </c>
      <c r="G16" s="46" t="s">
        <v>439</v>
      </c>
      <c r="H16" s="46" t="s">
        <v>439</v>
      </c>
      <c r="I16" s="53"/>
      <c r="J16" s="63" t="s">
        <v>530</v>
      </c>
      <c r="K16" s="63" t="s">
        <v>530</v>
      </c>
      <c r="L16" s="63" t="s">
        <v>530</v>
      </c>
    </row>
    <row r="17" spans="1:12" ht="16.2" x14ac:dyDescent="0.4">
      <c r="A17" s="15" t="str">
        <f t="shared" si="0"/>
        <v>cd_imv_inp_certif_estimativascore_qualidade</v>
      </c>
      <c r="B17" s="51" t="s">
        <v>11</v>
      </c>
      <c r="C17" s="48" t="s">
        <v>14</v>
      </c>
      <c r="D17" s="44" t="s">
        <v>18</v>
      </c>
      <c r="E17" s="45" t="s">
        <v>16</v>
      </c>
      <c r="F17" s="44" t="s">
        <v>28</v>
      </c>
      <c r="G17" s="46" t="s">
        <v>439</v>
      </c>
      <c r="H17" s="46" t="s">
        <v>439</v>
      </c>
      <c r="I17" s="53"/>
      <c r="J17" s="63" t="s">
        <v>530</v>
      </c>
      <c r="K17" s="63" t="s">
        <v>530</v>
      </c>
      <c r="L17" s="63" t="s">
        <v>530</v>
      </c>
    </row>
    <row r="18" spans="1:12" ht="16.2" x14ac:dyDescent="0.4">
      <c r="A18" s="15" t="str">
        <f t="shared" si="0"/>
        <v>cd_imv_inp_certif_estimativavlr_cnsm_ano</v>
      </c>
      <c r="B18" s="51" t="s">
        <v>11</v>
      </c>
      <c r="C18" s="48" t="s">
        <v>14</v>
      </c>
      <c r="D18" s="44" t="s">
        <v>18</v>
      </c>
      <c r="E18" s="45" t="s">
        <v>16</v>
      </c>
      <c r="F18" s="44" t="s">
        <v>29</v>
      </c>
      <c r="G18" s="46" t="s">
        <v>439</v>
      </c>
      <c r="H18" s="46" t="s">
        <v>439</v>
      </c>
      <c r="I18" s="53"/>
      <c r="J18" s="63" t="s">
        <v>530</v>
      </c>
      <c r="K18" s="63" t="s">
        <v>530</v>
      </c>
      <c r="L18" s="63" t="s">
        <v>530</v>
      </c>
    </row>
    <row r="19" spans="1:12" ht="16.2" x14ac:dyDescent="0.4">
      <c r="A19" s="15" t="str">
        <f t="shared" si="0"/>
        <v>cd_imv_inp_certif_estimativavlr_emss_ano</v>
      </c>
      <c r="B19" s="51" t="s">
        <v>11</v>
      </c>
      <c r="C19" s="48" t="s">
        <v>14</v>
      </c>
      <c r="D19" s="44" t="s">
        <v>18</v>
      </c>
      <c r="E19" s="45" t="s">
        <v>16</v>
      </c>
      <c r="F19" s="44" t="s">
        <v>30</v>
      </c>
      <c r="G19" s="46" t="s">
        <v>439</v>
      </c>
      <c r="H19" s="46" t="s">
        <v>439</v>
      </c>
      <c r="I19" s="53"/>
      <c r="J19" s="63" t="s">
        <v>530</v>
      </c>
      <c r="K19" s="63" t="s">
        <v>530</v>
      </c>
      <c r="L19" s="63" t="s">
        <v>530</v>
      </c>
    </row>
    <row r="20" spans="1:12" ht="16.2" x14ac:dyDescent="0.4">
      <c r="A20" s="15" t="str">
        <f t="shared" si="0"/>
        <v>cd_imv_out_prcn.a.</v>
      </c>
      <c r="B20" s="51" t="s">
        <v>11</v>
      </c>
      <c r="C20" s="48" t="s">
        <v>31</v>
      </c>
      <c r="D20" s="44" t="s">
        <v>15</v>
      </c>
      <c r="E20" s="45" t="s">
        <v>32</v>
      </c>
      <c r="F20" s="44" t="s">
        <v>17</v>
      </c>
      <c r="G20" s="46" t="s">
        <v>152</v>
      </c>
      <c r="H20" s="46" t="s">
        <v>152</v>
      </c>
      <c r="I20" s="53"/>
      <c r="J20" s="63" t="s">
        <v>530</v>
      </c>
      <c r="K20" s="63" t="s">
        <v>530</v>
      </c>
      <c r="L20" s="63" t="s">
        <v>530</v>
      </c>
    </row>
    <row r="21" spans="1:12" ht="16.2" x14ac:dyDescent="0.4">
      <c r="A21" s="15" t="str">
        <f t="shared" si="0"/>
        <v>cd_imv_out_prccempresa</v>
      </c>
      <c r="B21" s="51" t="s">
        <v>11</v>
      </c>
      <c r="C21" s="48" t="s">
        <v>31</v>
      </c>
      <c r="D21" s="44" t="s">
        <v>18</v>
      </c>
      <c r="E21" s="45" t="s">
        <v>32</v>
      </c>
      <c r="F21" s="44" t="s">
        <v>34</v>
      </c>
      <c r="G21" s="46" t="s">
        <v>437</v>
      </c>
      <c r="H21" s="46" t="s">
        <v>437</v>
      </c>
      <c r="I21" s="64" t="s">
        <v>458</v>
      </c>
      <c r="J21" s="63" t="s">
        <v>530</v>
      </c>
      <c r="K21" s="63" t="s">
        <v>530</v>
      </c>
      <c r="L21" s="63" t="s">
        <v>530</v>
      </c>
    </row>
    <row r="22" spans="1:12" ht="16.2" x14ac:dyDescent="0.4">
      <c r="A22" s="15" t="str">
        <f t="shared" si="0"/>
        <v>cd_imv_out_prcckbalcao</v>
      </c>
      <c r="B22" s="51" t="s">
        <v>11</v>
      </c>
      <c r="C22" s="48" t="s">
        <v>31</v>
      </c>
      <c r="D22" s="44" t="s">
        <v>18</v>
      </c>
      <c r="E22" s="45" t="s">
        <v>32</v>
      </c>
      <c r="F22" s="44" t="s">
        <v>35</v>
      </c>
      <c r="G22" s="46" t="s">
        <v>437</v>
      </c>
      <c r="H22" s="46" t="s">
        <v>437</v>
      </c>
      <c r="I22" s="64" t="s">
        <v>458</v>
      </c>
      <c r="J22" s="63" t="s">
        <v>530</v>
      </c>
      <c r="K22" s="63" t="s">
        <v>530</v>
      </c>
      <c r="L22" s="63" t="s">
        <v>530</v>
      </c>
    </row>
    <row r="23" spans="1:12" ht="16.2" x14ac:dyDescent="0.4">
      <c r="A23" s="15" t="str">
        <f t="shared" si="0"/>
        <v>cd_imv_out_prccknumcta</v>
      </c>
      <c r="B23" s="51" t="s">
        <v>11</v>
      </c>
      <c r="C23" s="48" t="s">
        <v>31</v>
      </c>
      <c r="D23" s="44" t="s">
        <v>18</v>
      </c>
      <c r="E23" s="45" t="s">
        <v>32</v>
      </c>
      <c r="F23" s="44" t="s">
        <v>36</v>
      </c>
      <c r="G23" s="46" t="s">
        <v>437</v>
      </c>
      <c r="H23" s="46" t="s">
        <v>437</v>
      </c>
      <c r="I23" s="64" t="s">
        <v>458</v>
      </c>
      <c r="J23" s="63" t="s">
        <v>530</v>
      </c>
      <c r="K23" s="63" t="s">
        <v>530</v>
      </c>
      <c r="L23" s="63" t="s">
        <v>530</v>
      </c>
    </row>
    <row r="24" spans="1:12" ht="16.2" x14ac:dyDescent="0.4">
      <c r="A24" s="15" t="str">
        <f t="shared" si="0"/>
        <v>cd_imv_out_prccod_estd_prcs</v>
      </c>
      <c r="B24" s="51" t="s">
        <v>11</v>
      </c>
      <c r="C24" s="48" t="s">
        <v>31</v>
      </c>
      <c r="D24" s="44" t="s">
        <v>18</v>
      </c>
      <c r="E24" s="45" t="s">
        <v>32</v>
      </c>
      <c r="F24" s="44" t="s">
        <v>37</v>
      </c>
      <c r="G24" s="46" t="s">
        <v>436</v>
      </c>
      <c r="H24" s="46" t="s">
        <v>436</v>
      </c>
      <c r="I24" s="53" t="s">
        <v>459</v>
      </c>
      <c r="J24" s="63" t="s">
        <v>530</v>
      </c>
      <c r="K24" s="63" t="s">
        <v>530</v>
      </c>
      <c r="L24" s="63" t="s">
        <v>530</v>
      </c>
    </row>
    <row r="25" spans="1:12" ht="16.2" x14ac:dyDescent="0.4">
      <c r="A25" s="15" t="str">
        <f t="shared" si="0"/>
        <v>cd_imv_out_prccod_grt</v>
      </c>
      <c r="B25" s="51" t="s">
        <v>11</v>
      </c>
      <c r="C25" s="48" t="s">
        <v>31</v>
      </c>
      <c r="D25" s="44" t="s">
        <v>18</v>
      </c>
      <c r="E25" s="45" t="s">
        <v>32</v>
      </c>
      <c r="F25" s="44" t="s">
        <v>38</v>
      </c>
      <c r="G25" s="46" t="s">
        <v>152</v>
      </c>
      <c r="H25" s="46" t="s">
        <v>152</v>
      </c>
      <c r="I25" s="53"/>
      <c r="J25" s="63" t="s">
        <v>530</v>
      </c>
      <c r="K25" s="63" t="s">
        <v>530</v>
      </c>
      <c r="L25" s="63" t="s">
        <v>530</v>
      </c>
    </row>
    <row r="26" spans="1:12" ht="16.2" x14ac:dyDescent="0.4">
      <c r="A26" s="15" t="str">
        <f t="shared" si="0"/>
        <v>cd_imv_out_prccod_moeda</v>
      </c>
      <c r="B26" s="51" t="s">
        <v>11</v>
      </c>
      <c r="C26" s="48" t="s">
        <v>31</v>
      </c>
      <c r="D26" s="44" t="s">
        <v>18</v>
      </c>
      <c r="E26" s="45" t="s">
        <v>32</v>
      </c>
      <c r="F26" s="44" t="s">
        <v>39</v>
      </c>
      <c r="G26" s="46" t="s">
        <v>152</v>
      </c>
      <c r="H26" s="46" t="s">
        <v>152</v>
      </c>
      <c r="I26" s="53"/>
      <c r="J26" s="63" t="s">
        <v>530</v>
      </c>
      <c r="K26" s="63" t="s">
        <v>530</v>
      </c>
      <c r="L26" s="63" t="s">
        <v>530</v>
      </c>
    </row>
    <row r="27" spans="1:12" ht="16.2" x14ac:dyDescent="0.4">
      <c r="A27" s="15" t="str">
        <f t="shared" si="0"/>
        <v>cd_imv_out_prccod_observacao</v>
      </c>
      <c r="B27" s="51" t="s">
        <v>11</v>
      </c>
      <c r="C27" s="48" t="s">
        <v>31</v>
      </c>
      <c r="D27" s="44" t="s">
        <v>18</v>
      </c>
      <c r="E27" s="45" t="s">
        <v>32</v>
      </c>
      <c r="F27" s="44" t="s">
        <v>40</v>
      </c>
      <c r="G27" s="46" t="s">
        <v>152</v>
      </c>
      <c r="H27" s="46" t="s">
        <v>152</v>
      </c>
      <c r="I27" s="53"/>
      <c r="J27" s="63" t="s">
        <v>530</v>
      </c>
      <c r="K27" s="63" t="s">
        <v>530</v>
      </c>
      <c r="L27" s="63" t="s">
        <v>530</v>
      </c>
    </row>
    <row r="28" spans="1:12" ht="16.2" x14ac:dyDescent="0.4">
      <c r="A28" s="15" t="str">
        <f t="shared" si="0"/>
        <v>cd_imv_out_prccod_prd_grnt</v>
      </c>
      <c r="B28" s="51" t="s">
        <v>11</v>
      </c>
      <c r="C28" s="48" t="s">
        <v>31</v>
      </c>
      <c r="D28" s="44" t="s">
        <v>18</v>
      </c>
      <c r="E28" s="45" t="s">
        <v>32</v>
      </c>
      <c r="F28" s="44" t="s">
        <v>41</v>
      </c>
      <c r="G28" s="46" t="s">
        <v>152</v>
      </c>
      <c r="H28" s="46" t="s">
        <v>152</v>
      </c>
      <c r="I28" s="53"/>
      <c r="J28" s="63" t="s">
        <v>530</v>
      </c>
      <c r="K28" s="63" t="s">
        <v>530</v>
      </c>
      <c r="L28" s="63" t="s">
        <v>530</v>
      </c>
    </row>
    <row r="29" spans="1:12" ht="16.2" x14ac:dyDescent="0.4">
      <c r="A29" s="15" t="str">
        <f t="shared" si="0"/>
        <v>cd_imv_out_prccod_sprd_grnt</v>
      </c>
      <c r="B29" s="51" t="s">
        <v>11</v>
      </c>
      <c r="C29" s="48" t="s">
        <v>31</v>
      </c>
      <c r="D29" s="44" t="s">
        <v>18</v>
      </c>
      <c r="E29" s="45" t="s">
        <v>32</v>
      </c>
      <c r="F29" s="44" t="s">
        <v>42</v>
      </c>
      <c r="G29" s="46" t="s">
        <v>152</v>
      </c>
      <c r="H29" s="46" t="s">
        <v>152</v>
      </c>
      <c r="I29" s="53"/>
      <c r="J29" s="63" t="s">
        <v>530</v>
      </c>
      <c r="K29" s="63" t="s">
        <v>530</v>
      </c>
      <c r="L29" s="63" t="s">
        <v>530</v>
      </c>
    </row>
    <row r="30" spans="1:12" ht="16.2" x14ac:dyDescent="0.4">
      <c r="A30" s="15" t="str">
        <f t="shared" si="0"/>
        <v>cd_imv_out_prccod_tipo</v>
      </c>
      <c r="B30" s="51" t="s">
        <v>11</v>
      </c>
      <c r="C30" s="48" t="s">
        <v>31</v>
      </c>
      <c r="D30" s="44" t="s">
        <v>18</v>
      </c>
      <c r="E30" s="45" t="s">
        <v>32</v>
      </c>
      <c r="F30" s="44" t="s">
        <v>43</v>
      </c>
      <c r="G30" s="46" t="s">
        <v>152</v>
      </c>
      <c r="H30" s="46" t="s">
        <v>152</v>
      </c>
      <c r="I30" s="53"/>
      <c r="J30" s="63" t="s">
        <v>530</v>
      </c>
      <c r="K30" s="63" t="s">
        <v>530</v>
      </c>
      <c r="L30" s="63" t="s">
        <v>530</v>
      </c>
    </row>
    <row r="31" spans="1:12" ht="16.2" x14ac:dyDescent="0.4">
      <c r="A31" s="15" t="str">
        <f t="shared" si="0"/>
        <v>cd_imv_out_prccomp_id_gar</v>
      </c>
      <c r="B31" s="51" t="s">
        <v>11</v>
      </c>
      <c r="C31" s="48" t="s">
        <v>31</v>
      </c>
      <c r="D31" s="44" t="s">
        <v>18</v>
      </c>
      <c r="E31" s="45" t="s">
        <v>32</v>
      </c>
      <c r="F31" s="44" t="s">
        <v>44</v>
      </c>
      <c r="G31" s="46" t="s">
        <v>152</v>
      </c>
      <c r="H31" s="46" t="s">
        <v>152</v>
      </c>
      <c r="I31" s="53"/>
      <c r="J31" s="63" t="s">
        <v>530</v>
      </c>
      <c r="K31" s="63" t="s">
        <v>530</v>
      </c>
      <c r="L31" s="63" t="s">
        <v>530</v>
      </c>
    </row>
    <row r="32" spans="1:12" ht="16.2" x14ac:dyDescent="0.4">
      <c r="A32" s="15" t="str">
        <f t="shared" si="0"/>
        <v>cd_imv_out_prcdata_inicio</v>
      </c>
      <c r="B32" s="51" t="s">
        <v>11</v>
      </c>
      <c r="C32" s="48" t="s">
        <v>31</v>
      </c>
      <c r="D32" s="44" t="s">
        <v>18</v>
      </c>
      <c r="E32" s="45" t="s">
        <v>32</v>
      </c>
      <c r="F32" s="44" t="s">
        <v>45</v>
      </c>
      <c r="G32" s="46" t="s">
        <v>152</v>
      </c>
      <c r="H32" s="46" t="s">
        <v>152</v>
      </c>
      <c r="I32" s="53"/>
      <c r="J32" s="63" t="s">
        <v>530</v>
      </c>
      <c r="K32" s="63" t="s">
        <v>530</v>
      </c>
      <c r="L32" s="63" t="s">
        <v>530</v>
      </c>
    </row>
    <row r="33" spans="1:12" ht="16.2" x14ac:dyDescent="0.4">
      <c r="A33" s="15" t="str">
        <f t="shared" si="0"/>
        <v>cd_imv_out_prcdata_vcmt</v>
      </c>
      <c r="B33" s="51" t="s">
        <v>11</v>
      </c>
      <c r="C33" s="48" t="s">
        <v>31</v>
      </c>
      <c r="D33" s="44" t="s">
        <v>18</v>
      </c>
      <c r="E33" s="45" t="s">
        <v>32</v>
      </c>
      <c r="F33" s="44" t="s">
        <v>46</v>
      </c>
      <c r="G33" s="46" t="s">
        <v>152</v>
      </c>
      <c r="H33" s="46" t="s">
        <v>152</v>
      </c>
      <c r="I33" s="53"/>
      <c r="J33" s="63" t="s">
        <v>530</v>
      </c>
      <c r="K33" s="63" t="s">
        <v>530</v>
      </c>
      <c r="L33" s="63" t="s">
        <v>530</v>
      </c>
    </row>
    <row r="34" spans="1:12" ht="16.2" x14ac:dyDescent="0.4">
      <c r="A34" s="15" t="str">
        <f t="shared" si="0"/>
        <v>cd_imv_out_prcmontante_eur</v>
      </c>
      <c r="B34" s="51" t="s">
        <v>11</v>
      </c>
      <c r="C34" s="48" t="s">
        <v>31</v>
      </c>
      <c r="D34" s="44" t="s">
        <v>18</v>
      </c>
      <c r="E34" s="45" t="s">
        <v>32</v>
      </c>
      <c r="F34" s="44" t="s">
        <v>47</v>
      </c>
      <c r="G34" s="46" t="s">
        <v>436</v>
      </c>
      <c r="H34" s="46" t="s">
        <v>436</v>
      </c>
      <c r="I34" s="53" t="s">
        <v>459</v>
      </c>
      <c r="J34" s="63" t="s">
        <v>530</v>
      </c>
      <c r="K34" s="63" t="s">
        <v>530</v>
      </c>
      <c r="L34" s="63" t="s">
        <v>530</v>
      </c>
    </row>
    <row r="35" spans="1:12" ht="16.2" x14ac:dyDescent="0.4">
      <c r="A35" s="15" t="str">
        <f t="shared" si="0"/>
        <v>cd_imv_out_prcmontante_org</v>
      </c>
      <c r="B35" s="51" t="s">
        <v>11</v>
      </c>
      <c r="C35" s="48" t="s">
        <v>31</v>
      </c>
      <c r="D35" s="44" t="s">
        <v>18</v>
      </c>
      <c r="E35" s="45" t="s">
        <v>32</v>
      </c>
      <c r="F35" s="44" t="s">
        <v>48</v>
      </c>
      <c r="G35" s="46" t="s">
        <v>436</v>
      </c>
      <c r="H35" s="46" t="s">
        <v>436</v>
      </c>
      <c r="I35" s="53" t="s">
        <v>459</v>
      </c>
      <c r="J35" s="63" t="s">
        <v>530</v>
      </c>
      <c r="K35" s="63" t="s">
        <v>530</v>
      </c>
      <c r="L35" s="63" t="s">
        <v>530</v>
      </c>
    </row>
    <row r="36" spans="1:12" ht="16.2" x14ac:dyDescent="0.4">
      <c r="A36" s="15" t="str">
        <f t="shared" si="0"/>
        <v>cd_imv_out_prcorigem</v>
      </c>
      <c r="B36" s="51" t="s">
        <v>11</v>
      </c>
      <c r="C36" s="48" t="s">
        <v>31</v>
      </c>
      <c r="D36" s="44" t="s">
        <v>18</v>
      </c>
      <c r="E36" s="45" t="s">
        <v>32</v>
      </c>
      <c r="F36" s="44" t="s">
        <v>49</v>
      </c>
      <c r="G36" s="46" t="s">
        <v>152</v>
      </c>
      <c r="H36" s="46" t="s">
        <v>152</v>
      </c>
      <c r="I36" s="53"/>
      <c r="J36" s="63" t="s">
        <v>530</v>
      </c>
      <c r="K36" s="63" t="s">
        <v>530</v>
      </c>
      <c r="L36" s="63" t="s">
        <v>530</v>
      </c>
    </row>
    <row r="37" spans="1:12" ht="16.2" x14ac:dyDescent="0.4">
      <c r="A37" s="15" t="str">
        <f t="shared" si="0"/>
        <v>cd_imv_out_prcref_date</v>
      </c>
      <c r="B37" s="51" t="s">
        <v>11</v>
      </c>
      <c r="C37" s="48" t="s">
        <v>31</v>
      </c>
      <c r="D37" s="44" t="s">
        <v>18</v>
      </c>
      <c r="E37" s="45" t="s">
        <v>32</v>
      </c>
      <c r="F37" s="44" t="s">
        <v>50</v>
      </c>
      <c r="G37" s="46" t="s">
        <v>152</v>
      </c>
      <c r="H37" s="46" t="s">
        <v>152</v>
      </c>
      <c r="I37" s="53"/>
      <c r="J37" s="63" t="s">
        <v>530</v>
      </c>
      <c r="K37" s="63" t="s">
        <v>530</v>
      </c>
      <c r="L37" s="63" t="s">
        <v>530</v>
      </c>
    </row>
    <row r="38" spans="1:12" ht="16.2" x14ac:dyDescent="0.4">
      <c r="A38" s="15" t="str">
        <f t="shared" si="0"/>
        <v>cd_imv_out_trz_cred_prcn.a.</v>
      </c>
      <c r="B38" s="51" t="s">
        <v>11</v>
      </c>
      <c r="C38" s="48" t="s">
        <v>31</v>
      </c>
      <c r="D38" s="44" t="s">
        <v>15</v>
      </c>
      <c r="E38" s="45" t="s">
        <v>33</v>
      </c>
      <c r="F38" s="44" t="s">
        <v>17</v>
      </c>
      <c r="G38" s="46" t="s">
        <v>152</v>
      </c>
      <c r="H38" s="46" t="s">
        <v>152</v>
      </c>
      <c r="I38" s="53"/>
      <c r="J38" s="63" t="s">
        <v>530</v>
      </c>
      <c r="K38" s="63" t="s">
        <v>530</v>
      </c>
      <c r="L38" s="63" t="s">
        <v>530</v>
      </c>
    </row>
    <row r="39" spans="1:12" ht="16.2" x14ac:dyDescent="0.4">
      <c r="A39" s="15" t="str">
        <f t="shared" si="0"/>
        <v>cd_imv_out_trz_cred_prccempresa</v>
      </c>
      <c r="B39" s="51" t="s">
        <v>11</v>
      </c>
      <c r="C39" s="48" t="s">
        <v>31</v>
      </c>
      <c r="D39" s="44" t="s">
        <v>18</v>
      </c>
      <c r="E39" s="45" t="s">
        <v>33</v>
      </c>
      <c r="F39" s="44" t="s">
        <v>34</v>
      </c>
      <c r="G39" s="46" t="s">
        <v>437</v>
      </c>
      <c r="H39" s="46" t="s">
        <v>437</v>
      </c>
      <c r="I39" s="64" t="s">
        <v>458</v>
      </c>
      <c r="J39" s="63" t="s">
        <v>530</v>
      </c>
      <c r="K39" s="63" t="s">
        <v>530</v>
      </c>
      <c r="L39" s="63" t="s">
        <v>530</v>
      </c>
    </row>
    <row r="40" spans="1:12" ht="16.2" x14ac:dyDescent="0.4">
      <c r="A40" s="15" t="str">
        <f t="shared" si="0"/>
        <v>cd_imv_out_trz_cred_prccempresp</v>
      </c>
      <c r="B40" s="51" t="s">
        <v>11</v>
      </c>
      <c r="C40" s="48" t="s">
        <v>31</v>
      </c>
      <c r="D40" s="44" t="s">
        <v>18</v>
      </c>
      <c r="E40" s="45" t="s">
        <v>33</v>
      </c>
      <c r="F40" s="44" t="s">
        <v>51</v>
      </c>
      <c r="G40" s="46" t="s">
        <v>437</v>
      </c>
      <c r="H40" s="46" t="s">
        <v>437</v>
      </c>
      <c r="I40" s="64" t="s">
        <v>458</v>
      </c>
      <c r="J40" s="63" t="s">
        <v>530</v>
      </c>
      <c r="K40" s="63" t="s">
        <v>530</v>
      </c>
      <c r="L40" s="63" t="s">
        <v>530</v>
      </c>
    </row>
    <row r="41" spans="1:12" ht="16.2" x14ac:dyDescent="0.4">
      <c r="A41" s="15" t="str">
        <f t="shared" si="0"/>
        <v>cd_imv_out_trz_cred_prcckbalcao</v>
      </c>
      <c r="B41" s="51" t="s">
        <v>11</v>
      </c>
      <c r="C41" s="48" t="s">
        <v>31</v>
      </c>
      <c r="D41" s="44" t="s">
        <v>18</v>
      </c>
      <c r="E41" s="45" t="s">
        <v>33</v>
      </c>
      <c r="F41" s="44" t="s">
        <v>35</v>
      </c>
      <c r="G41" s="46" t="s">
        <v>437</v>
      </c>
      <c r="H41" s="46" t="s">
        <v>437</v>
      </c>
      <c r="I41" s="64" t="s">
        <v>458</v>
      </c>
      <c r="J41" s="63" t="s">
        <v>530</v>
      </c>
      <c r="K41" s="63" t="s">
        <v>530</v>
      </c>
      <c r="L41" s="63" t="s">
        <v>530</v>
      </c>
    </row>
    <row r="42" spans="1:12" ht="16.2" x14ac:dyDescent="0.4">
      <c r="A42" s="15" t="str">
        <f t="shared" si="0"/>
        <v>cd_imv_out_trz_cred_prcckbalres</v>
      </c>
      <c r="B42" s="51" t="s">
        <v>11</v>
      </c>
      <c r="C42" s="48" t="s">
        <v>31</v>
      </c>
      <c r="D42" s="44" t="s">
        <v>18</v>
      </c>
      <c r="E42" s="45" t="s">
        <v>33</v>
      </c>
      <c r="F42" s="44" t="s">
        <v>52</v>
      </c>
      <c r="G42" s="46" t="s">
        <v>437</v>
      </c>
      <c r="H42" s="46" t="s">
        <v>437</v>
      </c>
      <c r="I42" s="64" t="s">
        <v>458</v>
      </c>
      <c r="J42" s="63" t="s">
        <v>530</v>
      </c>
      <c r="K42" s="63" t="s">
        <v>530</v>
      </c>
      <c r="L42" s="63" t="s">
        <v>530</v>
      </c>
    </row>
    <row r="43" spans="1:12" ht="16.2" x14ac:dyDescent="0.4">
      <c r="A43" s="15" t="str">
        <f t="shared" si="0"/>
        <v>cd_imv_out_trz_cred_prcckctares</v>
      </c>
      <c r="B43" s="51" t="s">
        <v>11</v>
      </c>
      <c r="C43" s="48" t="s">
        <v>31</v>
      </c>
      <c r="D43" s="44" t="s">
        <v>18</v>
      </c>
      <c r="E43" s="45" t="s">
        <v>33</v>
      </c>
      <c r="F43" s="44" t="s">
        <v>53</v>
      </c>
      <c r="G43" s="46" t="s">
        <v>437</v>
      </c>
      <c r="H43" s="46" t="s">
        <v>437</v>
      </c>
      <c r="I43" s="64" t="s">
        <v>458</v>
      </c>
      <c r="J43" s="63" t="s">
        <v>530</v>
      </c>
      <c r="K43" s="63" t="s">
        <v>530</v>
      </c>
      <c r="L43" s="63" t="s">
        <v>530</v>
      </c>
    </row>
    <row r="44" spans="1:12" ht="16.2" x14ac:dyDescent="0.4">
      <c r="A44" s="15" t="str">
        <f t="shared" si="0"/>
        <v>cd_imv_out_trz_cred_prccknumcta</v>
      </c>
      <c r="B44" s="51" t="s">
        <v>11</v>
      </c>
      <c r="C44" s="48" t="s">
        <v>31</v>
      </c>
      <c r="D44" s="44" t="s">
        <v>18</v>
      </c>
      <c r="E44" s="45" t="s">
        <v>33</v>
      </c>
      <c r="F44" s="44" t="s">
        <v>36</v>
      </c>
      <c r="G44" s="46" t="s">
        <v>437</v>
      </c>
      <c r="H44" s="46" t="s">
        <v>437</v>
      </c>
      <c r="I44" s="64" t="s">
        <v>458</v>
      </c>
      <c r="J44" s="63" t="s">
        <v>530</v>
      </c>
      <c r="K44" s="63" t="s">
        <v>530</v>
      </c>
      <c r="L44" s="63" t="s">
        <v>530</v>
      </c>
    </row>
    <row r="45" spans="1:12" ht="16.2" x14ac:dyDescent="0.4">
      <c r="A45" s="15" t="str">
        <f t="shared" si="0"/>
        <v>cd_imv_out_trz_cred_prcckrefresp</v>
      </c>
      <c r="B45" s="51" t="s">
        <v>11</v>
      </c>
      <c r="C45" s="48" t="s">
        <v>31</v>
      </c>
      <c r="D45" s="44" t="s">
        <v>18</v>
      </c>
      <c r="E45" s="45" t="s">
        <v>33</v>
      </c>
      <c r="F45" s="44" t="s">
        <v>54</v>
      </c>
      <c r="G45" s="46" t="s">
        <v>437</v>
      </c>
      <c r="H45" s="46" t="s">
        <v>437</v>
      </c>
      <c r="I45" s="64" t="s">
        <v>458</v>
      </c>
      <c r="J45" s="63" t="s">
        <v>530</v>
      </c>
      <c r="K45" s="63" t="s">
        <v>530</v>
      </c>
      <c r="L45" s="63" t="s">
        <v>530</v>
      </c>
    </row>
    <row r="46" spans="1:12" ht="16.2" x14ac:dyDescent="0.4">
      <c r="A46" s="15" t="str">
        <f t="shared" si="0"/>
        <v>cd_imv_out_trz_cred_prccod_fnld</v>
      </c>
      <c r="B46" s="51" t="s">
        <v>11</v>
      </c>
      <c r="C46" s="48" t="s">
        <v>31</v>
      </c>
      <c r="D46" s="44" t="s">
        <v>18</v>
      </c>
      <c r="E46" s="45" t="s">
        <v>33</v>
      </c>
      <c r="F46" s="44" t="s">
        <v>55</v>
      </c>
      <c r="G46" s="46" t="s">
        <v>152</v>
      </c>
      <c r="H46" s="46" t="s">
        <v>152</v>
      </c>
      <c r="I46" s="53"/>
      <c r="J46" s="63" t="s">
        <v>530</v>
      </c>
      <c r="K46" s="63" t="s">
        <v>530</v>
      </c>
      <c r="L46" s="63" t="s">
        <v>530</v>
      </c>
    </row>
    <row r="47" spans="1:12" ht="16.2" x14ac:dyDescent="0.4">
      <c r="A47" s="15" t="str">
        <f t="shared" si="0"/>
        <v>cd_imv_out_trz_cred_prccod_ocupacao</v>
      </c>
      <c r="B47" s="51" t="s">
        <v>11</v>
      </c>
      <c r="C47" s="48" t="s">
        <v>31</v>
      </c>
      <c r="D47" s="44" t="s">
        <v>18</v>
      </c>
      <c r="E47" s="45" t="s">
        <v>33</v>
      </c>
      <c r="F47" s="44" t="s">
        <v>56</v>
      </c>
      <c r="G47" s="46" t="s">
        <v>152</v>
      </c>
      <c r="H47" s="46" t="s">
        <v>152</v>
      </c>
      <c r="I47" s="53"/>
      <c r="J47" s="63" t="s">
        <v>530</v>
      </c>
      <c r="K47" s="63" t="s">
        <v>530</v>
      </c>
      <c r="L47" s="63" t="s">
        <v>530</v>
      </c>
    </row>
    <row r="48" spans="1:12" ht="16.2" x14ac:dyDescent="0.4">
      <c r="A48" s="15" t="str">
        <f t="shared" si="0"/>
        <v>cd_imv_out_trz_cred_prccod_prd_resp</v>
      </c>
      <c r="B48" s="51" t="s">
        <v>11</v>
      </c>
      <c r="C48" s="48" t="s">
        <v>31</v>
      </c>
      <c r="D48" s="44" t="s">
        <v>18</v>
      </c>
      <c r="E48" s="45" t="s">
        <v>33</v>
      </c>
      <c r="F48" s="44" t="s">
        <v>57</v>
      </c>
      <c r="G48" s="46" t="s">
        <v>152</v>
      </c>
      <c r="H48" s="46" t="s">
        <v>152</v>
      </c>
      <c r="I48" s="53"/>
      <c r="J48" s="63" t="s">
        <v>530</v>
      </c>
      <c r="K48" s="63" t="s">
        <v>530</v>
      </c>
      <c r="L48" s="63" t="s">
        <v>530</v>
      </c>
    </row>
    <row r="49" spans="1:12" ht="16.2" x14ac:dyDescent="0.4">
      <c r="A49" s="15" t="str">
        <f t="shared" si="0"/>
        <v>cd_imv_out_trz_cred_prccod_sit</v>
      </c>
      <c r="B49" s="51" t="s">
        <v>11</v>
      </c>
      <c r="C49" s="48" t="s">
        <v>31</v>
      </c>
      <c r="D49" s="44" t="s">
        <v>18</v>
      </c>
      <c r="E49" s="45" t="s">
        <v>33</v>
      </c>
      <c r="F49" s="44" t="s">
        <v>58</v>
      </c>
      <c r="G49" s="46" t="s">
        <v>436</v>
      </c>
      <c r="H49" s="46" t="s">
        <v>436</v>
      </c>
      <c r="I49" s="53" t="s">
        <v>459</v>
      </c>
      <c r="J49" s="63" t="s">
        <v>530</v>
      </c>
      <c r="K49" s="63" t="s">
        <v>530</v>
      </c>
      <c r="L49" s="63" t="s">
        <v>530</v>
      </c>
    </row>
    <row r="50" spans="1:12" ht="16.2" x14ac:dyDescent="0.4">
      <c r="A50" s="15" t="str">
        <f t="shared" si="0"/>
        <v>cd_imv_out_trz_cred_prccod_sprd_resp</v>
      </c>
      <c r="B50" s="51" t="s">
        <v>11</v>
      </c>
      <c r="C50" s="48" t="s">
        <v>31</v>
      </c>
      <c r="D50" s="44" t="s">
        <v>18</v>
      </c>
      <c r="E50" s="45" t="s">
        <v>33</v>
      </c>
      <c r="F50" s="44" t="s">
        <v>59</v>
      </c>
      <c r="G50" s="46" t="s">
        <v>152</v>
      </c>
      <c r="H50" s="46" t="s">
        <v>152</v>
      </c>
      <c r="I50" s="53"/>
      <c r="J50" s="63" t="s">
        <v>530</v>
      </c>
      <c r="K50" s="63" t="s">
        <v>530</v>
      </c>
      <c r="L50" s="63" t="s">
        <v>530</v>
      </c>
    </row>
    <row r="51" spans="1:12" ht="16.2" x14ac:dyDescent="0.4">
      <c r="A51" s="15" t="str">
        <f t="shared" si="0"/>
        <v>cd_imv_out_trz_cred_prccomp_id_gar</v>
      </c>
      <c r="B51" s="51" t="s">
        <v>11</v>
      </c>
      <c r="C51" s="48" t="s">
        <v>31</v>
      </c>
      <c r="D51" s="44" t="s">
        <v>18</v>
      </c>
      <c r="E51" s="45" t="s">
        <v>33</v>
      </c>
      <c r="F51" s="44" t="s">
        <v>44</v>
      </c>
      <c r="G51" s="46" t="s">
        <v>152</v>
      </c>
      <c r="H51" s="46" t="s">
        <v>152</v>
      </c>
      <c r="I51" s="53"/>
      <c r="J51" s="63" t="s">
        <v>530</v>
      </c>
      <c r="K51" s="63" t="s">
        <v>530</v>
      </c>
      <c r="L51" s="63" t="s">
        <v>530</v>
      </c>
    </row>
    <row r="52" spans="1:12" ht="16.2" x14ac:dyDescent="0.4">
      <c r="A52" s="15" t="str">
        <f t="shared" si="0"/>
        <v>cd_imv_out_trz_cred_prcdata_fim</v>
      </c>
      <c r="B52" s="51" t="s">
        <v>11</v>
      </c>
      <c r="C52" s="48" t="s">
        <v>31</v>
      </c>
      <c r="D52" s="44" t="s">
        <v>18</v>
      </c>
      <c r="E52" s="45" t="s">
        <v>33</v>
      </c>
      <c r="F52" s="44" t="s">
        <v>60</v>
      </c>
      <c r="G52" s="46" t="s">
        <v>152</v>
      </c>
      <c r="H52" s="46" t="s">
        <v>152</v>
      </c>
      <c r="I52" s="53"/>
      <c r="J52" s="63" t="s">
        <v>530</v>
      </c>
      <c r="K52" s="63" t="s">
        <v>530</v>
      </c>
      <c r="L52" s="63" t="s">
        <v>530</v>
      </c>
    </row>
    <row r="53" spans="1:12" ht="16.2" x14ac:dyDescent="0.4">
      <c r="A53" s="15" t="str">
        <f t="shared" si="0"/>
        <v>cd_imv_out_trz_cred_prcdata_inicio</v>
      </c>
      <c r="B53" s="51" t="s">
        <v>11</v>
      </c>
      <c r="C53" s="48" t="s">
        <v>31</v>
      </c>
      <c r="D53" s="44" t="s">
        <v>18</v>
      </c>
      <c r="E53" s="45" t="s">
        <v>33</v>
      </c>
      <c r="F53" s="44" t="s">
        <v>45</v>
      </c>
      <c r="G53" s="46" t="s">
        <v>152</v>
      </c>
      <c r="H53" s="46" t="s">
        <v>152</v>
      </c>
      <c r="I53" s="53"/>
      <c r="J53" s="63" t="s">
        <v>530</v>
      </c>
      <c r="K53" s="63" t="s">
        <v>530</v>
      </c>
      <c r="L53" s="63" t="s">
        <v>530</v>
      </c>
    </row>
    <row r="54" spans="1:12" ht="16.2" x14ac:dyDescent="0.4">
      <c r="A54" s="15" t="str">
        <f t="shared" si="0"/>
        <v>cd_imv_out_trz_cred_prcdata_vcmt</v>
      </c>
      <c r="B54" s="51" t="s">
        <v>11</v>
      </c>
      <c r="C54" s="48" t="s">
        <v>31</v>
      </c>
      <c r="D54" s="44" t="s">
        <v>18</v>
      </c>
      <c r="E54" s="45" t="s">
        <v>33</v>
      </c>
      <c r="F54" s="44" t="s">
        <v>46</v>
      </c>
      <c r="G54" s="46" t="s">
        <v>152</v>
      </c>
      <c r="H54" s="46" t="s">
        <v>152</v>
      </c>
      <c r="I54" s="53"/>
      <c r="J54" s="63" t="s">
        <v>530</v>
      </c>
      <c r="K54" s="63" t="s">
        <v>530</v>
      </c>
      <c r="L54" s="63" t="s">
        <v>530</v>
      </c>
    </row>
    <row r="55" spans="1:12" ht="16.2" x14ac:dyDescent="0.4">
      <c r="A55" s="15" t="str">
        <f t="shared" si="0"/>
        <v>cd_imv_out_trz_cred_prcidetgar</v>
      </c>
      <c r="B55" s="51" t="s">
        <v>11</v>
      </c>
      <c r="C55" s="48" t="s">
        <v>31</v>
      </c>
      <c r="D55" s="44" t="s">
        <v>18</v>
      </c>
      <c r="E55" s="45" t="s">
        <v>33</v>
      </c>
      <c r="F55" s="44" t="s">
        <v>61</v>
      </c>
      <c r="G55" s="46" t="s">
        <v>436</v>
      </c>
      <c r="H55" s="46" t="s">
        <v>436</v>
      </c>
      <c r="I55" s="53" t="s">
        <v>459</v>
      </c>
      <c r="J55" s="63" t="s">
        <v>530</v>
      </c>
      <c r="K55" s="63" t="s">
        <v>530</v>
      </c>
      <c r="L55" s="63" t="s">
        <v>530</v>
      </c>
    </row>
    <row r="56" spans="1:12" ht="16.2" x14ac:dyDescent="0.4">
      <c r="A56" s="15" t="str">
        <f t="shared" si="0"/>
        <v>cd_imv_out_trz_cred_prcnum_prop</v>
      </c>
      <c r="B56" s="51" t="s">
        <v>11</v>
      </c>
      <c r="C56" s="48" t="s">
        <v>31</v>
      </c>
      <c r="D56" s="44" t="s">
        <v>18</v>
      </c>
      <c r="E56" s="45" t="s">
        <v>33</v>
      </c>
      <c r="F56" s="44" t="s">
        <v>62</v>
      </c>
      <c r="G56" s="46" t="s">
        <v>436</v>
      </c>
      <c r="H56" s="46" t="s">
        <v>436</v>
      </c>
      <c r="I56" s="53" t="s">
        <v>459</v>
      </c>
      <c r="J56" s="63" t="s">
        <v>530</v>
      </c>
      <c r="K56" s="63" t="s">
        <v>530</v>
      </c>
      <c r="L56" s="63" t="s">
        <v>530</v>
      </c>
    </row>
    <row r="57" spans="1:12" ht="16.2" x14ac:dyDescent="0.4">
      <c r="A57" s="15" t="str">
        <f t="shared" si="0"/>
        <v>cd_imv_out_trz_cred_prcorigem</v>
      </c>
      <c r="B57" s="51" t="s">
        <v>11</v>
      </c>
      <c r="C57" s="48" t="s">
        <v>31</v>
      </c>
      <c r="D57" s="44" t="s">
        <v>18</v>
      </c>
      <c r="E57" s="45" t="s">
        <v>33</v>
      </c>
      <c r="F57" s="44" t="s">
        <v>49</v>
      </c>
      <c r="G57" s="46" t="s">
        <v>152</v>
      </c>
      <c r="H57" s="46" t="s">
        <v>152</v>
      </c>
      <c r="I57" s="53"/>
      <c r="J57" s="63" t="s">
        <v>530</v>
      </c>
      <c r="K57" s="63" t="s">
        <v>530</v>
      </c>
      <c r="L57" s="63" t="s">
        <v>530</v>
      </c>
    </row>
    <row r="58" spans="1:12" ht="16.2" x14ac:dyDescent="0.4">
      <c r="A58" s="15" t="str">
        <f t="shared" si="0"/>
        <v>cd_imv_out_trz_cred_prcref_date</v>
      </c>
      <c r="B58" s="51" t="s">
        <v>11</v>
      </c>
      <c r="C58" s="48" t="s">
        <v>31</v>
      </c>
      <c r="D58" s="44" t="s">
        <v>18</v>
      </c>
      <c r="E58" s="45" t="s">
        <v>33</v>
      </c>
      <c r="F58" s="44" t="s">
        <v>50</v>
      </c>
      <c r="G58" s="46" t="s">
        <v>152</v>
      </c>
      <c r="H58" s="46" t="s">
        <v>152</v>
      </c>
      <c r="I58" s="53"/>
      <c r="J58" s="63" t="s">
        <v>530</v>
      </c>
      <c r="K58" s="63" t="s">
        <v>530</v>
      </c>
      <c r="L58" s="63" t="s">
        <v>530</v>
      </c>
    </row>
    <row r="59" spans="1:12" ht="16.2" x14ac:dyDescent="0.4">
      <c r="A59" s="15" t="str">
        <f t="shared" si="0"/>
        <v>cd_imv_out_trz_prc_bens_imvn.a.</v>
      </c>
      <c r="B59" s="51" t="s">
        <v>11</v>
      </c>
      <c r="C59" s="48" t="s">
        <v>31</v>
      </c>
      <c r="D59" s="44" t="s">
        <v>15</v>
      </c>
      <c r="E59" s="45" t="s">
        <v>63</v>
      </c>
      <c r="F59" s="44" t="s">
        <v>17</v>
      </c>
      <c r="G59" s="46" t="s">
        <v>152</v>
      </c>
      <c r="H59" s="46" t="s">
        <v>152</v>
      </c>
      <c r="I59" s="53"/>
      <c r="J59" s="63" t="s">
        <v>530</v>
      </c>
      <c r="K59" s="63" t="s">
        <v>530</v>
      </c>
      <c r="L59" s="63" t="s">
        <v>530</v>
      </c>
    </row>
    <row r="60" spans="1:12" ht="16.2" x14ac:dyDescent="0.4">
      <c r="A60" s="15" t="str">
        <f t="shared" si="0"/>
        <v>cd_imv_out_trz_prc_bens_imvcempbem</v>
      </c>
      <c r="B60" s="51" t="s">
        <v>11</v>
      </c>
      <c r="C60" s="48" t="s">
        <v>31</v>
      </c>
      <c r="D60" s="44" t="s">
        <v>18</v>
      </c>
      <c r="E60" s="45" t="s">
        <v>63</v>
      </c>
      <c r="F60" s="44" t="s">
        <v>19</v>
      </c>
      <c r="G60" s="46" t="s">
        <v>437</v>
      </c>
      <c r="H60" s="46" t="s">
        <v>437</v>
      </c>
      <c r="I60" s="64"/>
      <c r="J60" s="63" t="s">
        <v>530</v>
      </c>
      <c r="K60" s="63" t="s">
        <v>530</v>
      </c>
      <c r="L60" s="63" t="s">
        <v>530</v>
      </c>
    </row>
    <row r="61" spans="1:12" ht="16.2" x14ac:dyDescent="0.4">
      <c r="A61" s="15" t="str">
        <f t="shared" si="0"/>
        <v>cd_imv_out_trz_prc_bens_imvcempresa</v>
      </c>
      <c r="B61" s="51" t="s">
        <v>11</v>
      </c>
      <c r="C61" s="48" t="s">
        <v>31</v>
      </c>
      <c r="D61" s="44" t="s">
        <v>18</v>
      </c>
      <c r="E61" s="45" t="s">
        <v>63</v>
      </c>
      <c r="F61" s="44" t="s">
        <v>34</v>
      </c>
      <c r="G61" s="46" t="s">
        <v>437</v>
      </c>
      <c r="H61" s="46" t="s">
        <v>437</v>
      </c>
      <c r="I61" s="64" t="s">
        <v>458</v>
      </c>
      <c r="J61" s="63" t="s">
        <v>530</v>
      </c>
      <c r="K61" s="63" t="s">
        <v>530</v>
      </c>
      <c r="L61" s="63" t="s">
        <v>530</v>
      </c>
    </row>
    <row r="62" spans="1:12" ht="16.2" x14ac:dyDescent="0.4">
      <c r="A62" s="15" t="str">
        <f t="shared" si="0"/>
        <v>cd_imv_out_trz_prc_bens_imvckbalbem</v>
      </c>
      <c r="B62" s="51" t="s">
        <v>11</v>
      </c>
      <c r="C62" s="48" t="s">
        <v>31</v>
      </c>
      <c r="D62" s="44" t="s">
        <v>18</v>
      </c>
      <c r="E62" s="45" t="s">
        <v>63</v>
      </c>
      <c r="F62" s="44" t="s">
        <v>21</v>
      </c>
      <c r="G62" s="46" t="s">
        <v>437</v>
      </c>
      <c r="H62" s="46" t="s">
        <v>437</v>
      </c>
      <c r="I62" s="64" t="s">
        <v>458</v>
      </c>
      <c r="J62" s="63" t="s">
        <v>530</v>
      </c>
      <c r="K62" s="63" t="s">
        <v>530</v>
      </c>
      <c r="L62" s="63" t="s">
        <v>530</v>
      </c>
    </row>
    <row r="63" spans="1:12" ht="16.2" x14ac:dyDescent="0.4">
      <c r="A63" s="15" t="str">
        <f t="shared" si="0"/>
        <v>cd_imv_out_trz_prc_bens_imvckbalcao</v>
      </c>
      <c r="B63" s="51" t="s">
        <v>11</v>
      </c>
      <c r="C63" s="48" t="s">
        <v>31</v>
      </c>
      <c r="D63" s="44" t="s">
        <v>18</v>
      </c>
      <c r="E63" s="45" t="s">
        <v>63</v>
      </c>
      <c r="F63" s="44" t="s">
        <v>35</v>
      </c>
      <c r="G63" s="46" t="s">
        <v>437</v>
      </c>
      <c r="H63" s="46" t="s">
        <v>437</v>
      </c>
      <c r="I63" s="64" t="s">
        <v>458</v>
      </c>
      <c r="J63" s="63" t="s">
        <v>530</v>
      </c>
      <c r="K63" s="63" t="s">
        <v>530</v>
      </c>
      <c r="L63" s="63" t="s">
        <v>530</v>
      </c>
    </row>
    <row r="64" spans="1:12" ht="16.2" x14ac:dyDescent="0.4">
      <c r="A64" s="15" t="str">
        <f t="shared" si="0"/>
        <v>cd_imv_out_trz_prc_bens_imvckctabem</v>
      </c>
      <c r="B64" s="51" t="s">
        <v>11</v>
      </c>
      <c r="C64" s="48" t="s">
        <v>31</v>
      </c>
      <c r="D64" s="44" t="s">
        <v>18</v>
      </c>
      <c r="E64" s="45" t="s">
        <v>63</v>
      </c>
      <c r="F64" s="44" t="s">
        <v>22</v>
      </c>
      <c r="G64" s="46" t="s">
        <v>437</v>
      </c>
      <c r="H64" s="46" t="s">
        <v>437</v>
      </c>
      <c r="I64" s="64" t="s">
        <v>458</v>
      </c>
      <c r="J64" s="63" t="s">
        <v>530</v>
      </c>
      <c r="K64" s="63" t="s">
        <v>530</v>
      </c>
      <c r="L64" s="63" t="s">
        <v>530</v>
      </c>
    </row>
    <row r="65" spans="1:12" ht="16.2" x14ac:dyDescent="0.4">
      <c r="A65" s="15" t="str">
        <f t="shared" si="0"/>
        <v>cd_imv_out_trz_prc_bens_imvcknumcta</v>
      </c>
      <c r="B65" s="51" t="s">
        <v>11</v>
      </c>
      <c r="C65" s="48" t="s">
        <v>31</v>
      </c>
      <c r="D65" s="44" t="s">
        <v>18</v>
      </c>
      <c r="E65" s="45" t="s">
        <v>63</v>
      </c>
      <c r="F65" s="44" t="s">
        <v>36</v>
      </c>
      <c r="G65" s="46" t="s">
        <v>437</v>
      </c>
      <c r="H65" s="46" t="s">
        <v>437</v>
      </c>
      <c r="I65" s="64" t="s">
        <v>458</v>
      </c>
      <c r="J65" s="63" t="s">
        <v>530</v>
      </c>
      <c r="K65" s="63" t="s">
        <v>530</v>
      </c>
      <c r="L65" s="63" t="s">
        <v>530</v>
      </c>
    </row>
    <row r="66" spans="1:12" ht="16.2" x14ac:dyDescent="0.4">
      <c r="A66" s="15" t="str">
        <f t="shared" si="0"/>
        <v>cd_imv_out_trz_prc_bens_imvckrefbem</v>
      </c>
      <c r="B66" s="51" t="s">
        <v>11</v>
      </c>
      <c r="C66" s="48" t="s">
        <v>31</v>
      </c>
      <c r="D66" s="44" t="s">
        <v>18</v>
      </c>
      <c r="E66" s="45" t="s">
        <v>63</v>
      </c>
      <c r="F66" s="44" t="s">
        <v>23</v>
      </c>
      <c r="G66" s="46" t="s">
        <v>437</v>
      </c>
      <c r="H66" s="46" t="s">
        <v>437</v>
      </c>
      <c r="I66" s="64"/>
      <c r="J66" s="63" t="s">
        <v>530</v>
      </c>
      <c r="K66" s="63" t="s">
        <v>530</v>
      </c>
      <c r="L66" s="63" t="s">
        <v>530</v>
      </c>
    </row>
    <row r="67" spans="1:12" ht="16.2" x14ac:dyDescent="0.4">
      <c r="A67" s="15" t="str">
        <f t="shared" si="0"/>
        <v>cd_imv_out_trz_prc_bens_imvcomp_id_gar</v>
      </c>
      <c r="B67" s="51" t="s">
        <v>11</v>
      </c>
      <c r="C67" s="48" t="s">
        <v>31</v>
      </c>
      <c r="D67" s="44" t="s">
        <v>18</v>
      </c>
      <c r="E67" s="45" t="s">
        <v>63</v>
      </c>
      <c r="F67" s="44" t="s">
        <v>44</v>
      </c>
      <c r="G67" s="46" t="s">
        <v>437</v>
      </c>
      <c r="H67" s="46" t="s">
        <v>152</v>
      </c>
      <c r="I67" s="53"/>
      <c r="J67" s="63" t="s">
        <v>530</v>
      </c>
      <c r="K67" s="63" t="s">
        <v>530</v>
      </c>
      <c r="L67" s="63" t="s">
        <v>530</v>
      </c>
    </row>
    <row r="68" spans="1:12" ht="16.2" x14ac:dyDescent="0.4">
      <c r="A68" s="15" t="str">
        <f t="shared" si="0"/>
        <v>cd_imv_out_trz_prc_bens_imvdata_assc</v>
      </c>
      <c r="B68" s="51" t="s">
        <v>11</v>
      </c>
      <c r="C68" s="48" t="s">
        <v>31</v>
      </c>
      <c r="D68" s="44" t="s">
        <v>18</v>
      </c>
      <c r="E68" s="45" t="s">
        <v>63</v>
      </c>
      <c r="F68" s="44" t="s">
        <v>64</v>
      </c>
      <c r="G68" s="46" t="s">
        <v>436</v>
      </c>
      <c r="H68" s="46" t="s">
        <v>436</v>
      </c>
      <c r="I68" s="53" t="s">
        <v>459</v>
      </c>
      <c r="J68" s="63" t="s">
        <v>530</v>
      </c>
      <c r="K68" s="63" t="s">
        <v>530</v>
      </c>
      <c r="L68" s="63" t="s">
        <v>530</v>
      </c>
    </row>
    <row r="69" spans="1:12" ht="16.2" x14ac:dyDescent="0.4">
      <c r="A69" s="15" t="str">
        <f t="shared" si="0"/>
        <v>cd_imv_out_trz_prc_bens_imvflg_adj</v>
      </c>
      <c r="B69" s="51" t="s">
        <v>11</v>
      </c>
      <c r="C69" s="48" t="s">
        <v>31</v>
      </c>
      <c r="D69" s="44" t="s">
        <v>18</v>
      </c>
      <c r="E69" s="45" t="s">
        <v>63</v>
      </c>
      <c r="F69" s="44" t="s">
        <v>65</v>
      </c>
      <c r="G69" s="46" t="s">
        <v>437</v>
      </c>
      <c r="H69" s="46" t="s">
        <v>437</v>
      </c>
      <c r="I69" s="64"/>
      <c r="J69" s="63" t="s">
        <v>530</v>
      </c>
      <c r="K69" s="63" t="s">
        <v>530</v>
      </c>
      <c r="L69" s="63" t="s">
        <v>530</v>
      </c>
    </row>
    <row r="70" spans="1:12" ht="16.2" x14ac:dyDescent="0.4">
      <c r="A70" s="15" t="str">
        <f t="shared" si="0"/>
        <v>cd_imv_out_trz_prc_bens_imvflg_col</v>
      </c>
      <c r="B70" s="51" t="s">
        <v>11</v>
      </c>
      <c r="C70" s="48" t="s">
        <v>31</v>
      </c>
      <c r="D70" s="44" t="s">
        <v>18</v>
      </c>
      <c r="E70" s="45" t="s">
        <v>63</v>
      </c>
      <c r="F70" s="44" t="s">
        <v>66</v>
      </c>
      <c r="G70" s="46" t="s">
        <v>437</v>
      </c>
      <c r="H70" s="46" t="s">
        <v>437</v>
      </c>
      <c r="I70" s="64"/>
      <c r="J70" s="63" t="s">
        <v>530</v>
      </c>
      <c r="K70" s="63" t="s">
        <v>530</v>
      </c>
      <c r="L70" s="63" t="s">
        <v>530</v>
      </c>
    </row>
    <row r="71" spans="1:12" ht="16.2" x14ac:dyDescent="0.4">
      <c r="A71" s="15" t="str">
        <f t="shared" si="0"/>
        <v>cd_imv_out_trz_prc_bens_imvflg_fin</v>
      </c>
      <c r="B71" s="51" t="s">
        <v>11</v>
      </c>
      <c r="C71" s="48" t="s">
        <v>31</v>
      </c>
      <c r="D71" s="44" t="s">
        <v>18</v>
      </c>
      <c r="E71" s="45" t="s">
        <v>63</v>
      </c>
      <c r="F71" s="44" t="s">
        <v>67</v>
      </c>
      <c r="G71" s="46" t="s">
        <v>437</v>
      </c>
      <c r="H71" s="46" t="s">
        <v>437</v>
      </c>
      <c r="I71" s="64"/>
      <c r="J71" s="63" t="s">
        <v>530</v>
      </c>
      <c r="K71" s="63" t="s">
        <v>530</v>
      </c>
      <c r="L71" s="63" t="s">
        <v>530</v>
      </c>
    </row>
    <row r="72" spans="1:12" ht="16.2" x14ac:dyDescent="0.4">
      <c r="A72" s="15" t="str">
        <f t="shared" ref="A72:A135" si="1">E72&amp;F72</f>
        <v>cd_imv_out_trz_prc_bens_imvflg_pro</v>
      </c>
      <c r="B72" s="51" t="s">
        <v>11</v>
      </c>
      <c r="C72" s="48" t="s">
        <v>31</v>
      </c>
      <c r="D72" s="44" t="s">
        <v>18</v>
      </c>
      <c r="E72" s="45" t="s">
        <v>63</v>
      </c>
      <c r="F72" s="44" t="s">
        <v>68</v>
      </c>
      <c r="G72" s="46" t="s">
        <v>437</v>
      </c>
      <c r="H72" s="46" t="s">
        <v>437</v>
      </c>
      <c r="I72" s="64"/>
      <c r="J72" s="63" t="s">
        <v>530</v>
      </c>
      <c r="K72" s="63" t="s">
        <v>530</v>
      </c>
      <c r="L72" s="63" t="s">
        <v>530</v>
      </c>
    </row>
    <row r="73" spans="1:12" ht="16.2" x14ac:dyDescent="0.4">
      <c r="A73" s="15" t="str">
        <f t="shared" si="1"/>
        <v>cd_imv_out_trz_prc_bens_imvorigem</v>
      </c>
      <c r="B73" s="51" t="s">
        <v>11</v>
      </c>
      <c r="C73" s="48" t="s">
        <v>31</v>
      </c>
      <c r="D73" s="44" t="s">
        <v>18</v>
      </c>
      <c r="E73" s="45" t="s">
        <v>63</v>
      </c>
      <c r="F73" s="44" t="s">
        <v>49</v>
      </c>
      <c r="G73" s="46" t="s">
        <v>437</v>
      </c>
      <c r="H73" s="46" t="s">
        <v>437</v>
      </c>
      <c r="I73" s="64"/>
      <c r="J73" s="63" t="s">
        <v>530</v>
      </c>
      <c r="K73" s="63" t="s">
        <v>530</v>
      </c>
      <c r="L73" s="63" t="s">
        <v>530</v>
      </c>
    </row>
    <row r="74" spans="1:12" ht="16.2" x14ac:dyDescent="0.4">
      <c r="A74" s="15" t="str">
        <f t="shared" si="1"/>
        <v>cd_imv_out_trz_prc_bens_imvref_date</v>
      </c>
      <c r="B74" s="51" t="s">
        <v>11</v>
      </c>
      <c r="C74" s="48" t="s">
        <v>31</v>
      </c>
      <c r="D74" s="44" t="s">
        <v>18</v>
      </c>
      <c r="E74" s="45" t="s">
        <v>63</v>
      </c>
      <c r="F74" s="44" t="s">
        <v>50</v>
      </c>
      <c r="G74" s="46" t="s">
        <v>437</v>
      </c>
      <c r="H74" s="46" t="s">
        <v>437</v>
      </c>
      <c r="I74" s="64"/>
      <c r="J74" s="63" t="s">
        <v>530</v>
      </c>
      <c r="K74" s="63" t="s">
        <v>530</v>
      </c>
      <c r="L74" s="63" t="s">
        <v>530</v>
      </c>
    </row>
    <row r="75" spans="1:12" ht="16.2" x14ac:dyDescent="0.4">
      <c r="A75" s="15" t="str">
        <f t="shared" si="1"/>
        <v>cd_imv_out_bensn.a.</v>
      </c>
      <c r="B75" s="51" t="s">
        <v>11</v>
      </c>
      <c r="C75" s="48" t="s">
        <v>31</v>
      </c>
      <c r="D75" s="44" t="s">
        <v>15</v>
      </c>
      <c r="E75" s="45" t="s">
        <v>69</v>
      </c>
      <c r="F75" s="44" t="s">
        <v>17</v>
      </c>
      <c r="G75" s="46" t="s">
        <v>437</v>
      </c>
      <c r="H75" s="46" t="s">
        <v>152</v>
      </c>
      <c r="I75" s="53"/>
      <c r="J75" s="63" t="s">
        <v>530</v>
      </c>
      <c r="K75" s="63" t="s">
        <v>530</v>
      </c>
      <c r="L75" s="63" t="s">
        <v>530</v>
      </c>
    </row>
    <row r="76" spans="1:12" ht="16.2" x14ac:dyDescent="0.4">
      <c r="A76" s="15" t="str">
        <f t="shared" si="1"/>
        <v>cd_imv_out_bensano_construcao</v>
      </c>
      <c r="B76" s="51" t="s">
        <v>11</v>
      </c>
      <c r="C76" s="48" t="s">
        <v>31</v>
      </c>
      <c r="D76" s="44" t="s">
        <v>18</v>
      </c>
      <c r="E76" s="45" t="s">
        <v>69</v>
      </c>
      <c r="F76" s="44" t="s">
        <v>70</v>
      </c>
      <c r="G76" s="46" t="s">
        <v>440</v>
      </c>
      <c r="H76" s="46" t="s">
        <v>439</v>
      </c>
      <c r="I76" s="53"/>
      <c r="J76" s="63" t="s">
        <v>530</v>
      </c>
      <c r="K76" s="63" t="s">
        <v>530</v>
      </c>
      <c r="L76" s="63" t="s">
        <v>530</v>
      </c>
    </row>
    <row r="77" spans="1:12" ht="16.2" x14ac:dyDescent="0.4">
      <c r="A77" s="15" t="str">
        <f t="shared" si="1"/>
        <v>cd_imv_out_bensarea_util</v>
      </c>
      <c r="B77" s="51" t="s">
        <v>11</v>
      </c>
      <c r="C77" s="48" t="s">
        <v>31</v>
      </c>
      <c r="D77" s="44" t="s">
        <v>18</v>
      </c>
      <c r="E77" s="45" t="s">
        <v>69</v>
      </c>
      <c r="F77" s="44" t="s">
        <v>71</v>
      </c>
      <c r="G77" s="46" t="s">
        <v>437</v>
      </c>
      <c r="H77" s="46" t="s">
        <v>152</v>
      </c>
      <c r="I77" s="53"/>
      <c r="J77" s="63" t="s">
        <v>530</v>
      </c>
      <c r="K77" s="63" t="s">
        <v>530</v>
      </c>
      <c r="L77" s="63" t="s">
        <v>530</v>
      </c>
    </row>
    <row r="78" spans="1:12" ht="16.2" x14ac:dyDescent="0.4">
      <c r="A78" s="15" t="str">
        <f t="shared" si="1"/>
        <v>cd_imv_out_benscempbem</v>
      </c>
      <c r="B78" s="51" t="s">
        <v>11</v>
      </c>
      <c r="C78" s="48" t="s">
        <v>31</v>
      </c>
      <c r="D78" s="44" t="s">
        <v>18</v>
      </c>
      <c r="E78" s="45" t="s">
        <v>69</v>
      </c>
      <c r="F78" s="44" t="s">
        <v>19</v>
      </c>
      <c r="G78" s="46" t="s">
        <v>437</v>
      </c>
      <c r="H78" s="46" t="s">
        <v>437</v>
      </c>
      <c r="I78" s="64"/>
      <c r="J78" s="63" t="s">
        <v>530</v>
      </c>
      <c r="K78" s="63" t="s">
        <v>530</v>
      </c>
      <c r="L78" s="63" t="s">
        <v>530</v>
      </c>
    </row>
    <row r="79" spans="1:12" ht="16.2" x14ac:dyDescent="0.4">
      <c r="A79" s="15" t="str">
        <f t="shared" si="1"/>
        <v>cd_imv_out_bensckbalbem</v>
      </c>
      <c r="B79" s="51" t="s">
        <v>11</v>
      </c>
      <c r="C79" s="48" t="s">
        <v>31</v>
      </c>
      <c r="D79" s="44" t="s">
        <v>18</v>
      </c>
      <c r="E79" s="45" t="s">
        <v>69</v>
      </c>
      <c r="F79" s="44" t="s">
        <v>21</v>
      </c>
      <c r="G79" s="46" t="s">
        <v>437</v>
      </c>
      <c r="H79" s="46" t="s">
        <v>437</v>
      </c>
      <c r="I79" s="64"/>
      <c r="J79" s="63" t="s">
        <v>530</v>
      </c>
      <c r="K79" s="63" t="s">
        <v>530</v>
      </c>
      <c r="L79" s="63" t="s">
        <v>530</v>
      </c>
    </row>
    <row r="80" spans="1:12" ht="16.2" x14ac:dyDescent="0.4">
      <c r="A80" s="15" t="str">
        <f t="shared" si="1"/>
        <v>cd_imv_out_bensckctabem</v>
      </c>
      <c r="B80" s="51" t="s">
        <v>11</v>
      </c>
      <c r="C80" s="48" t="s">
        <v>31</v>
      </c>
      <c r="D80" s="44" t="s">
        <v>18</v>
      </c>
      <c r="E80" s="45" t="s">
        <v>69</v>
      </c>
      <c r="F80" s="44" t="s">
        <v>22</v>
      </c>
      <c r="G80" s="46" t="s">
        <v>437</v>
      </c>
      <c r="H80" s="46" t="s">
        <v>437</v>
      </c>
      <c r="I80" s="64"/>
      <c r="J80" s="63" t="s">
        <v>530</v>
      </c>
      <c r="K80" s="63" t="s">
        <v>530</v>
      </c>
      <c r="L80" s="63" t="s">
        <v>530</v>
      </c>
    </row>
    <row r="81" spans="1:12" ht="16.2" x14ac:dyDescent="0.4">
      <c r="A81" s="15" t="str">
        <f t="shared" si="1"/>
        <v>cd_imv_out_bensckrefbem</v>
      </c>
      <c r="B81" s="51" t="s">
        <v>11</v>
      </c>
      <c r="C81" s="48" t="s">
        <v>31</v>
      </c>
      <c r="D81" s="44" t="s">
        <v>18</v>
      </c>
      <c r="E81" s="45" t="s">
        <v>69</v>
      </c>
      <c r="F81" s="44" t="s">
        <v>23</v>
      </c>
      <c r="G81" s="46" t="s">
        <v>437</v>
      </c>
      <c r="H81" s="46" t="s">
        <v>437</v>
      </c>
      <c r="I81" s="64"/>
      <c r="J81" s="63" t="s">
        <v>530</v>
      </c>
      <c r="K81" s="63" t="s">
        <v>530</v>
      </c>
      <c r="L81" s="63" t="s">
        <v>530</v>
      </c>
    </row>
    <row r="82" spans="1:12" ht="16.2" x14ac:dyDescent="0.4">
      <c r="A82" s="15" t="str">
        <f t="shared" si="1"/>
        <v>cd_imv_out_benscod_art_matr</v>
      </c>
      <c r="B82" s="51" t="s">
        <v>11</v>
      </c>
      <c r="C82" s="48" t="s">
        <v>31</v>
      </c>
      <c r="D82" s="44" t="s">
        <v>18</v>
      </c>
      <c r="E82" s="45" t="s">
        <v>69</v>
      </c>
      <c r="F82" s="44" t="s">
        <v>72</v>
      </c>
      <c r="G82" s="46" t="s">
        <v>440</v>
      </c>
      <c r="H82" s="46" t="s">
        <v>437</v>
      </c>
      <c r="I82" s="64"/>
      <c r="J82" s="63" t="s">
        <v>530</v>
      </c>
      <c r="K82" s="63" t="s">
        <v>530</v>
      </c>
      <c r="L82" s="63" t="s">
        <v>530</v>
      </c>
    </row>
    <row r="83" spans="1:12" ht="16.2" x14ac:dyDescent="0.4">
      <c r="A83" s="15" t="str">
        <f t="shared" si="1"/>
        <v>cd_imv_out_benscod_avl</v>
      </c>
      <c r="B83" s="51" t="s">
        <v>11</v>
      </c>
      <c r="C83" s="48" t="s">
        <v>31</v>
      </c>
      <c r="D83" s="44" t="s">
        <v>18</v>
      </c>
      <c r="E83" s="45" t="s">
        <v>69</v>
      </c>
      <c r="F83" s="44" t="s">
        <v>73</v>
      </c>
      <c r="G83" s="46" t="s">
        <v>437</v>
      </c>
      <c r="H83" s="46" t="s">
        <v>437</v>
      </c>
      <c r="I83" s="64"/>
      <c r="J83" s="63" t="s">
        <v>530</v>
      </c>
      <c r="K83" s="63" t="s">
        <v>530</v>
      </c>
      <c r="L83" s="63" t="s">
        <v>530</v>
      </c>
    </row>
    <row r="84" spans="1:12" ht="16.2" x14ac:dyDescent="0.4">
      <c r="A84" s="15" t="str">
        <f t="shared" si="1"/>
        <v>cd_imv_out_benscod_bem</v>
      </c>
      <c r="B84" s="51" t="s">
        <v>11</v>
      </c>
      <c r="C84" s="48" t="s">
        <v>31</v>
      </c>
      <c r="D84" s="44" t="s">
        <v>18</v>
      </c>
      <c r="E84" s="45" t="s">
        <v>69</v>
      </c>
      <c r="F84" s="44" t="s">
        <v>74</v>
      </c>
      <c r="G84" s="46" t="s">
        <v>436</v>
      </c>
      <c r="H84" s="46" t="s">
        <v>436</v>
      </c>
      <c r="I84" s="53" t="s">
        <v>459</v>
      </c>
      <c r="J84" s="63" t="s">
        <v>530</v>
      </c>
      <c r="K84" s="63" t="s">
        <v>530</v>
      </c>
      <c r="L84" s="63" t="s">
        <v>530</v>
      </c>
    </row>
    <row r="85" spans="1:12" ht="16.2" x14ac:dyDescent="0.4">
      <c r="A85" s="15" t="str">
        <f t="shared" si="1"/>
        <v>cd_imv_out_benscod_disconf</v>
      </c>
      <c r="B85" s="51" t="s">
        <v>11</v>
      </c>
      <c r="C85" s="48" t="s">
        <v>31</v>
      </c>
      <c r="D85" s="44" t="s">
        <v>18</v>
      </c>
      <c r="E85" s="45" t="s">
        <v>69</v>
      </c>
      <c r="F85" s="44" t="s">
        <v>75</v>
      </c>
      <c r="G85" s="46" t="s">
        <v>440</v>
      </c>
      <c r="H85" s="46" t="s">
        <v>437</v>
      </c>
      <c r="I85" s="64"/>
      <c r="J85" s="63" t="s">
        <v>530</v>
      </c>
      <c r="K85" s="63" t="s">
        <v>530</v>
      </c>
      <c r="L85" s="63" t="s">
        <v>530</v>
      </c>
    </row>
    <row r="86" spans="1:12" ht="16.2" x14ac:dyDescent="0.4">
      <c r="A86" s="15" t="str">
        <f t="shared" si="1"/>
        <v>cd_imv_out_benscod_fin_bem</v>
      </c>
      <c r="B86" s="51" t="s">
        <v>11</v>
      </c>
      <c r="C86" s="48" t="s">
        <v>31</v>
      </c>
      <c r="D86" s="44" t="s">
        <v>18</v>
      </c>
      <c r="E86" s="45" t="s">
        <v>69</v>
      </c>
      <c r="F86" s="44" t="s">
        <v>76</v>
      </c>
      <c r="G86" s="46" t="s">
        <v>440</v>
      </c>
      <c r="H86" s="46" t="s">
        <v>437</v>
      </c>
      <c r="I86" s="64"/>
      <c r="J86" s="63" t="s">
        <v>530</v>
      </c>
      <c r="K86" s="63" t="s">
        <v>530</v>
      </c>
      <c r="L86" s="63" t="s">
        <v>530</v>
      </c>
    </row>
    <row r="87" spans="1:12" ht="16.2" x14ac:dyDescent="0.4">
      <c r="A87" s="15" t="str">
        <f t="shared" si="1"/>
        <v>cd_imv_out_benscod_idd_pred</v>
      </c>
      <c r="B87" s="51" t="s">
        <v>11</v>
      </c>
      <c r="C87" s="48" t="s">
        <v>31</v>
      </c>
      <c r="D87" s="44" t="s">
        <v>18</v>
      </c>
      <c r="E87" s="45" t="s">
        <v>69</v>
      </c>
      <c r="F87" s="44" t="s">
        <v>77</v>
      </c>
      <c r="G87" s="46" t="s">
        <v>437</v>
      </c>
      <c r="H87" s="46" t="s">
        <v>437</v>
      </c>
      <c r="I87" s="64"/>
      <c r="J87" s="63" t="s">
        <v>530</v>
      </c>
      <c r="K87" s="63" t="s">
        <v>530</v>
      </c>
      <c r="L87" s="63" t="s">
        <v>530</v>
      </c>
    </row>
    <row r="88" spans="1:12" ht="16.2" x14ac:dyDescent="0.4">
      <c r="A88" s="15" t="str">
        <f t="shared" si="1"/>
        <v>cd_imv_out_benscod_morada</v>
      </c>
      <c r="B88" s="51" t="s">
        <v>11</v>
      </c>
      <c r="C88" s="48" t="s">
        <v>31</v>
      </c>
      <c r="D88" s="44" t="s">
        <v>18</v>
      </c>
      <c r="E88" s="45" t="s">
        <v>69</v>
      </c>
      <c r="F88" s="44" t="s">
        <v>78</v>
      </c>
      <c r="G88" s="46" t="s">
        <v>437</v>
      </c>
      <c r="H88" s="46" t="s">
        <v>437</v>
      </c>
      <c r="I88" s="64"/>
      <c r="J88" s="63" t="s">
        <v>530</v>
      </c>
      <c r="K88" s="63" t="s">
        <v>530</v>
      </c>
      <c r="L88" s="63" t="s">
        <v>530</v>
      </c>
    </row>
    <row r="89" spans="1:12" ht="16.2" x14ac:dyDescent="0.4">
      <c r="A89" s="15" t="str">
        <f t="shared" si="1"/>
        <v>cd_imv_out_benscod_pais</v>
      </c>
      <c r="B89" s="51" t="s">
        <v>11</v>
      </c>
      <c r="C89" s="48" t="s">
        <v>31</v>
      </c>
      <c r="D89" s="44" t="s">
        <v>18</v>
      </c>
      <c r="E89" s="45" t="s">
        <v>69</v>
      </c>
      <c r="F89" s="44" t="s">
        <v>79</v>
      </c>
      <c r="G89" s="46" t="s">
        <v>437</v>
      </c>
      <c r="H89" s="46" t="s">
        <v>437</v>
      </c>
      <c r="I89" s="64"/>
      <c r="J89" s="63" t="s">
        <v>530</v>
      </c>
      <c r="K89" s="63" t="s">
        <v>530</v>
      </c>
      <c r="L89" s="63" t="s">
        <v>530</v>
      </c>
    </row>
    <row r="90" spans="1:12" ht="16.2" x14ac:dyDescent="0.4">
      <c r="A90" s="15" t="str">
        <f t="shared" si="1"/>
        <v>cd_imv_out_benscod_post</v>
      </c>
      <c r="B90" s="51" t="s">
        <v>11</v>
      </c>
      <c r="C90" s="48" t="s">
        <v>31</v>
      </c>
      <c r="D90" s="44" t="s">
        <v>18</v>
      </c>
      <c r="E90" s="45" t="s">
        <v>69</v>
      </c>
      <c r="F90" s="44" t="s">
        <v>80</v>
      </c>
      <c r="G90" s="46" t="s">
        <v>440</v>
      </c>
      <c r="H90" s="46" t="s">
        <v>437</v>
      </c>
      <c r="I90" s="64"/>
      <c r="J90" s="63" t="s">
        <v>530</v>
      </c>
      <c r="K90" s="63" t="s">
        <v>530</v>
      </c>
      <c r="L90" s="63" t="s">
        <v>530</v>
      </c>
    </row>
    <row r="91" spans="1:12" ht="16.2" x14ac:dyDescent="0.4">
      <c r="A91" s="15" t="str">
        <f t="shared" si="1"/>
        <v>cd_imv_out_benscod_tp_bem</v>
      </c>
      <c r="B91" s="51" t="s">
        <v>11</v>
      </c>
      <c r="C91" s="48" t="s">
        <v>31</v>
      </c>
      <c r="D91" s="44" t="s">
        <v>18</v>
      </c>
      <c r="E91" s="45" t="s">
        <v>69</v>
      </c>
      <c r="F91" s="44" t="s">
        <v>81</v>
      </c>
      <c r="G91" s="46" t="s">
        <v>440</v>
      </c>
      <c r="H91" s="46" t="s">
        <v>437</v>
      </c>
      <c r="I91" s="64"/>
      <c r="J91" s="63" t="s">
        <v>530</v>
      </c>
      <c r="K91" s="63" t="s">
        <v>530</v>
      </c>
      <c r="L91" s="63" t="s">
        <v>530</v>
      </c>
    </row>
    <row r="92" spans="1:12" ht="16.2" x14ac:dyDescent="0.4">
      <c r="A92" s="15" t="str">
        <f t="shared" si="1"/>
        <v>cd_imv_out_bensdata_avl</v>
      </c>
      <c r="B92" s="51" t="s">
        <v>11</v>
      </c>
      <c r="C92" s="48" t="s">
        <v>31</v>
      </c>
      <c r="D92" s="44" t="s">
        <v>18</v>
      </c>
      <c r="E92" s="45" t="s">
        <v>69</v>
      </c>
      <c r="F92" s="44" t="s">
        <v>82</v>
      </c>
      <c r="G92" s="46" t="s">
        <v>437</v>
      </c>
      <c r="H92" s="46" t="s">
        <v>437</v>
      </c>
      <c r="I92" s="64"/>
      <c r="J92" s="63" t="s">
        <v>530</v>
      </c>
      <c r="K92" s="63" t="s">
        <v>530</v>
      </c>
      <c r="L92" s="63" t="s">
        <v>530</v>
      </c>
    </row>
    <row r="93" spans="1:12" ht="16.2" x14ac:dyDescent="0.4">
      <c r="A93" s="15" t="str">
        <f t="shared" si="1"/>
        <v>cd_imv_out_bensdata_lic_util</v>
      </c>
      <c r="B93" s="51" t="s">
        <v>11</v>
      </c>
      <c r="C93" s="48" t="s">
        <v>31</v>
      </c>
      <c r="D93" s="44" t="s">
        <v>18</v>
      </c>
      <c r="E93" s="45" t="s">
        <v>69</v>
      </c>
      <c r="F93" s="44" t="s">
        <v>83</v>
      </c>
      <c r="G93" s="46" t="s">
        <v>437</v>
      </c>
      <c r="H93" s="46" t="s">
        <v>437</v>
      </c>
      <c r="I93" s="64"/>
      <c r="J93" s="63" t="s">
        <v>530</v>
      </c>
      <c r="K93" s="63" t="s">
        <v>530</v>
      </c>
      <c r="L93" s="63" t="s">
        <v>530</v>
      </c>
    </row>
    <row r="94" spans="1:12" ht="16.2" x14ac:dyDescent="0.4">
      <c r="A94" s="15" t="str">
        <f t="shared" si="1"/>
        <v>cd_imv_out_bensficha</v>
      </c>
      <c r="B94" s="51" t="s">
        <v>11</v>
      </c>
      <c r="C94" s="48" t="s">
        <v>31</v>
      </c>
      <c r="D94" s="44" t="s">
        <v>18</v>
      </c>
      <c r="E94" s="45" t="s">
        <v>69</v>
      </c>
      <c r="F94" s="44" t="s">
        <v>84</v>
      </c>
      <c r="G94" s="46" t="s">
        <v>437</v>
      </c>
      <c r="H94" s="46" t="s">
        <v>437</v>
      </c>
      <c r="I94" s="64"/>
      <c r="J94" s="63" t="s">
        <v>530</v>
      </c>
      <c r="K94" s="63" t="s">
        <v>530</v>
      </c>
      <c r="L94" s="63" t="s">
        <v>530</v>
      </c>
    </row>
    <row r="95" spans="1:12" ht="16.2" x14ac:dyDescent="0.4">
      <c r="A95" s="15" t="str">
        <f t="shared" si="1"/>
        <v>cd_imv_out_bensid_frac</v>
      </c>
      <c r="B95" s="51" t="s">
        <v>11</v>
      </c>
      <c r="C95" s="48" t="s">
        <v>31</v>
      </c>
      <c r="D95" s="44" t="s">
        <v>18</v>
      </c>
      <c r="E95" s="45" t="s">
        <v>69</v>
      </c>
      <c r="F95" s="44" t="s">
        <v>85</v>
      </c>
      <c r="G95" s="46" t="s">
        <v>437</v>
      </c>
      <c r="H95" s="46" t="s">
        <v>437</v>
      </c>
      <c r="I95" s="64"/>
      <c r="J95" s="63" t="s">
        <v>530</v>
      </c>
      <c r="K95" s="63" t="s">
        <v>530</v>
      </c>
      <c r="L95" s="63" t="s">
        <v>530</v>
      </c>
    </row>
    <row r="96" spans="1:12" ht="16.2" x14ac:dyDescent="0.4">
      <c r="A96" s="15" t="str">
        <f t="shared" si="1"/>
        <v>cd_imv_out_benslocalid</v>
      </c>
      <c r="B96" s="51" t="s">
        <v>11</v>
      </c>
      <c r="C96" s="48" t="s">
        <v>31</v>
      </c>
      <c r="D96" s="44" t="s">
        <v>18</v>
      </c>
      <c r="E96" s="45" t="s">
        <v>69</v>
      </c>
      <c r="F96" s="44" t="s">
        <v>86</v>
      </c>
      <c r="G96" s="46" t="s">
        <v>437</v>
      </c>
      <c r="H96" s="46" t="s">
        <v>437</v>
      </c>
      <c r="I96" s="64"/>
      <c r="J96" s="63" t="s">
        <v>530</v>
      </c>
      <c r="K96" s="63" t="s">
        <v>530</v>
      </c>
      <c r="L96" s="63" t="s">
        <v>530</v>
      </c>
    </row>
    <row r="97" spans="1:12" ht="16.2" x14ac:dyDescent="0.4">
      <c r="A97" s="15" t="str">
        <f t="shared" si="1"/>
        <v>cd_imv_out_benslote</v>
      </c>
      <c r="B97" s="51" t="s">
        <v>11</v>
      </c>
      <c r="C97" s="48" t="s">
        <v>31</v>
      </c>
      <c r="D97" s="44" t="s">
        <v>18</v>
      </c>
      <c r="E97" s="45" t="s">
        <v>69</v>
      </c>
      <c r="F97" s="44" t="s">
        <v>87</v>
      </c>
      <c r="G97" s="46" t="s">
        <v>437</v>
      </c>
      <c r="H97" s="46" t="s">
        <v>437</v>
      </c>
      <c r="I97" s="64"/>
      <c r="J97" s="63" t="s">
        <v>530</v>
      </c>
      <c r="K97" s="63" t="s">
        <v>530</v>
      </c>
      <c r="L97" s="63" t="s">
        <v>530</v>
      </c>
    </row>
    <row r="98" spans="1:12" ht="16.2" x14ac:dyDescent="0.4">
      <c r="A98" s="15" t="str">
        <f t="shared" si="1"/>
        <v>cd_imv_out_bensmontante_avl</v>
      </c>
      <c r="B98" s="51" t="s">
        <v>11</v>
      </c>
      <c r="C98" s="48" t="s">
        <v>31</v>
      </c>
      <c r="D98" s="44" t="s">
        <v>18</v>
      </c>
      <c r="E98" s="45" t="s">
        <v>69</v>
      </c>
      <c r="F98" s="44" t="s">
        <v>88</v>
      </c>
      <c r="G98" s="46" t="s">
        <v>437</v>
      </c>
      <c r="H98" s="46" t="s">
        <v>437</v>
      </c>
      <c r="I98" s="64"/>
      <c r="J98" s="63" t="s">
        <v>530</v>
      </c>
      <c r="K98" s="63" t="s">
        <v>530</v>
      </c>
      <c r="L98" s="63" t="s">
        <v>530</v>
      </c>
    </row>
    <row r="99" spans="1:12" ht="16.2" x14ac:dyDescent="0.4">
      <c r="A99" s="15" t="str">
        <f t="shared" si="1"/>
        <v>cd_imv_out_bensmontante_avl_dist</v>
      </c>
      <c r="B99" s="51" t="s">
        <v>11</v>
      </c>
      <c r="C99" s="48" t="s">
        <v>31</v>
      </c>
      <c r="D99" s="44" t="s">
        <v>18</v>
      </c>
      <c r="E99" s="45" t="s">
        <v>69</v>
      </c>
      <c r="F99" s="44" t="s">
        <v>89</v>
      </c>
      <c r="G99" s="46" t="s">
        <v>437</v>
      </c>
      <c r="H99" s="46" t="s">
        <v>437</v>
      </c>
      <c r="I99" s="64"/>
      <c r="J99" s="63" t="s">
        <v>530</v>
      </c>
      <c r="K99" s="63" t="s">
        <v>530</v>
      </c>
      <c r="L99" s="63" t="s">
        <v>530</v>
      </c>
    </row>
    <row r="100" spans="1:12" ht="16.2" x14ac:dyDescent="0.4">
      <c r="A100" s="15" t="str">
        <f t="shared" si="1"/>
        <v>cd_imv_out_bensmontante_vnd_rap</v>
      </c>
      <c r="B100" s="51" t="s">
        <v>11</v>
      </c>
      <c r="C100" s="48" t="s">
        <v>31</v>
      </c>
      <c r="D100" s="44" t="s">
        <v>18</v>
      </c>
      <c r="E100" s="45" t="s">
        <v>69</v>
      </c>
      <c r="F100" s="44" t="s">
        <v>90</v>
      </c>
      <c r="G100" s="46" t="s">
        <v>437</v>
      </c>
      <c r="H100" s="46" t="s">
        <v>437</v>
      </c>
      <c r="I100" s="64"/>
      <c r="J100" s="63" t="s">
        <v>530</v>
      </c>
      <c r="K100" s="63" t="s">
        <v>530</v>
      </c>
      <c r="L100" s="63" t="s">
        <v>530</v>
      </c>
    </row>
    <row r="101" spans="1:12" ht="16.2" x14ac:dyDescent="0.4">
      <c r="A101" s="15" t="str">
        <f t="shared" si="1"/>
        <v>cd_imv_out_bensmorada</v>
      </c>
      <c r="B101" s="51" t="s">
        <v>11</v>
      </c>
      <c r="C101" s="48" t="s">
        <v>31</v>
      </c>
      <c r="D101" s="44" t="s">
        <v>18</v>
      </c>
      <c r="E101" s="45" t="s">
        <v>69</v>
      </c>
      <c r="F101" s="44" t="s">
        <v>91</v>
      </c>
      <c r="G101" s="46" t="s">
        <v>437</v>
      </c>
      <c r="H101" s="46" t="s">
        <v>437</v>
      </c>
      <c r="I101" s="64"/>
      <c r="J101" s="63" t="s">
        <v>530</v>
      </c>
      <c r="K101" s="63" t="s">
        <v>530</v>
      </c>
      <c r="L101" s="63" t="s">
        <v>530</v>
      </c>
    </row>
    <row r="102" spans="1:12" ht="16.2" x14ac:dyDescent="0.4">
      <c r="A102" s="15" t="str">
        <f t="shared" si="1"/>
        <v>cd_imv_out_bensnum</v>
      </c>
      <c r="B102" s="51" t="s">
        <v>11</v>
      </c>
      <c r="C102" s="48" t="s">
        <v>31</v>
      </c>
      <c r="D102" s="44" t="s">
        <v>18</v>
      </c>
      <c r="E102" s="45" t="s">
        <v>69</v>
      </c>
      <c r="F102" s="44" t="s">
        <v>92</v>
      </c>
      <c r="G102" s="46" t="s">
        <v>437</v>
      </c>
      <c r="H102" s="46" t="s">
        <v>437</v>
      </c>
      <c r="I102" s="64"/>
      <c r="J102" s="63" t="s">
        <v>530</v>
      </c>
      <c r="K102" s="63" t="s">
        <v>530</v>
      </c>
      <c r="L102" s="63" t="s">
        <v>530</v>
      </c>
    </row>
    <row r="103" spans="1:12" ht="16.2" x14ac:dyDescent="0.4">
      <c r="A103" s="15" t="str">
        <f t="shared" si="1"/>
        <v>cd_imv_out_bensorigem</v>
      </c>
      <c r="B103" s="51" t="s">
        <v>11</v>
      </c>
      <c r="C103" s="48" t="s">
        <v>31</v>
      </c>
      <c r="D103" s="44" t="s">
        <v>18</v>
      </c>
      <c r="E103" s="45" t="s">
        <v>69</v>
      </c>
      <c r="F103" s="44" t="s">
        <v>49</v>
      </c>
      <c r="G103" s="46" t="s">
        <v>437</v>
      </c>
      <c r="H103" s="46" t="s">
        <v>437</v>
      </c>
      <c r="I103" s="64"/>
      <c r="J103" s="63" t="s">
        <v>530</v>
      </c>
      <c r="K103" s="63" t="s">
        <v>530</v>
      </c>
      <c r="L103" s="63" t="s">
        <v>530</v>
      </c>
    </row>
    <row r="104" spans="1:12" ht="16.2" x14ac:dyDescent="0.4">
      <c r="A104" s="15" t="str">
        <f t="shared" si="1"/>
        <v>cd_imv_out_bensperc_obra</v>
      </c>
      <c r="B104" s="51" t="s">
        <v>11</v>
      </c>
      <c r="C104" s="48" t="s">
        <v>31</v>
      </c>
      <c r="D104" s="44" t="s">
        <v>18</v>
      </c>
      <c r="E104" s="45" t="s">
        <v>69</v>
      </c>
      <c r="F104" s="44" t="s">
        <v>93</v>
      </c>
      <c r="G104" s="46" t="s">
        <v>437</v>
      </c>
      <c r="H104" s="46" t="s">
        <v>152</v>
      </c>
      <c r="I104" s="53" t="s">
        <v>460</v>
      </c>
      <c r="J104" s="63">
        <v>45491</v>
      </c>
      <c r="K104" s="63">
        <v>45495</v>
      </c>
      <c r="L104" s="63">
        <v>45495</v>
      </c>
    </row>
    <row r="105" spans="1:12" ht="16.2" x14ac:dyDescent="0.4">
      <c r="A105" s="15" t="str">
        <f t="shared" si="1"/>
        <v>cd_imv_out_bensprealcons</v>
      </c>
      <c r="B105" s="51" t="s">
        <v>11</v>
      </c>
      <c r="C105" s="48" t="s">
        <v>31</v>
      </c>
      <c r="D105" s="44" t="s">
        <v>18</v>
      </c>
      <c r="E105" s="45" t="s">
        <v>69</v>
      </c>
      <c r="F105" s="44" t="s">
        <v>94</v>
      </c>
      <c r="G105" s="46" t="s">
        <v>437</v>
      </c>
      <c r="H105" s="46" t="s">
        <v>152</v>
      </c>
      <c r="I105" s="53" t="s">
        <v>460</v>
      </c>
      <c r="J105" s="63">
        <v>45491</v>
      </c>
      <c r="K105" s="63">
        <v>45495</v>
      </c>
      <c r="L105" s="63">
        <v>45495</v>
      </c>
    </row>
    <row r="106" spans="1:12" ht="16.2" x14ac:dyDescent="0.4">
      <c r="A106" s="15" t="str">
        <f t="shared" si="1"/>
        <v>cd_imv_out_bensref_date</v>
      </c>
      <c r="B106" s="51" t="s">
        <v>11</v>
      </c>
      <c r="C106" s="48" t="s">
        <v>31</v>
      </c>
      <c r="D106" s="44" t="s">
        <v>18</v>
      </c>
      <c r="E106" s="45" t="s">
        <v>69</v>
      </c>
      <c r="F106" s="44" t="s">
        <v>50</v>
      </c>
      <c r="G106" s="46" t="s">
        <v>437</v>
      </c>
      <c r="H106" s="46" t="s">
        <v>437</v>
      </c>
      <c r="I106" s="64"/>
      <c r="J106" s="63" t="s">
        <v>530</v>
      </c>
      <c r="K106" s="63" t="s">
        <v>530</v>
      </c>
      <c r="L106" s="63" t="s">
        <v>530</v>
      </c>
    </row>
    <row r="107" spans="1:12" ht="16.2" x14ac:dyDescent="0.4">
      <c r="A107" s="15" t="str">
        <f t="shared" si="1"/>
        <v>cd_imv_out_bensurbaniz</v>
      </c>
      <c r="B107" s="51" t="s">
        <v>11</v>
      </c>
      <c r="C107" s="48" t="s">
        <v>31</v>
      </c>
      <c r="D107" s="44" t="s">
        <v>18</v>
      </c>
      <c r="E107" s="45" t="s">
        <v>69</v>
      </c>
      <c r="F107" s="44" t="s">
        <v>95</v>
      </c>
      <c r="G107" s="46" t="s">
        <v>437</v>
      </c>
      <c r="H107" s="46" t="s">
        <v>437</v>
      </c>
      <c r="I107" s="64"/>
      <c r="J107" s="63" t="s">
        <v>530</v>
      </c>
      <c r="K107" s="63" t="s">
        <v>530</v>
      </c>
      <c r="L107" s="63" t="s">
        <v>530</v>
      </c>
    </row>
    <row r="108" spans="1:12" ht="16.2" x14ac:dyDescent="0.4">
      <c r="A108" s="15" t="str">
        <f t="shared" si="1"/>
        <v>cd_imv_out_certifn.a.</v>
      </c>
      <c r="B108" s="51" t="s">
        <v>11</v>
      </c>
      <c r="C108" s="48" t="s">
        <v>31</v>
      </c>
      <c r="D108" s="44" t="s">
        <v>15</v>
      </c>
      <c r="E108" s="45" t="s">
        <v>96</v>
      </c>
      <c r="F108" s="44" t="s">
        <v>17</v>
      </c>
      <c r="G108" s="46" t="s">
        <v>437</v>
      </c>
      <c r="H108" s="46" t="s">
        <v>152</v>
      </c>
      <c r="I108" s="53"/>
      <c r="J108" s="63" t="s">
        <v>530</v>
      </c>
      <c r="K108" s="63" t="s">
        <v>530</v>
      </c>
      <c r="L108" s="63" t="s">
        <v>530</v>
      </c>
    </row>
    <row r="109" spans="1:12" ht="16.2" x14ac:dyDescent="0.4">
      <c r="A109" s="15" t="str">
        <f t="shared" si="1"/>
        <v>cd_imv_out_certifcempbem</v>
      </c>
      <c r="B109" s="51" t="s">
        <v>11</v>
      </c>
      <c r="C109" s="48" t="s">
        <v>31</v>
      </c>
      <c r="D109" s="44" t="s">
        <v>18</v>
      </c>
      <c r="E109" s="45" t="s">
        <v>96</v>
      </c>
      <c r="F109" s="44" t="s">
        <v>19</v>
      </c>
      <c r="G109" s="46" t="s">
        <v>437</v>
      </c>
      <c r="H109" s="46" t="s">
        <v>152</v>
      </c>
      <c r="I109" s="53"/>
      <c r="J109" s="63" t="s">
        <v>530</v>
      </c>
      <c r="K109" s="63" t="s">
        <v>530</v>
      </c>
      <c r="L109" s="63" t="s">
        <v>530</v>
      </c>
    </row>
    <row r="110" spans="1:12" ht="16.2" x14ac:dyDescent="0.4">
      <c r="A110" s="15" t="str">
        <f t="shared" si="1"/>
        <v>cd_imv_out_certifckbalbem</v>
      </c>
      <c r="B110" s="51" t="s">
        <v>11</v>
      </c>
      <c r="C110" s="48" t="s">
        <v>31</v>
      </c>
      <c r="D110" s="44" t="s">
        <v>18</v>
      </c>
      <c r="E110" s="45" t="s">
        <v>96</v>
      </c>
      <c r="F110" s="44" t="s">
        <v>21</v>
      </c>
      <c r="G110" s="46" t="s">
        <v>437</v>
      </c>
      <c r="H110" s="46" t="s">
        <v>152</v>
      </c>
      <c r="I110" s="53"/>
      <c r="J110" s="63" t="s">
        <v>530</v>
      </c>
      <c r="K110" s="63" t="s">
        <v>530</v>
      </c>
      <c r="L110" s="63" t="s">
        <v>530</v>
      </c>
    </row>
    <row r="111" spans="1:12" ht="16.2" x14ac:dyDescent="0.4">
      <c r="A111" s="15" t="str">
        <f t="shared" si="1"/>
        <v>cd_imv_out_certifckctabem</v>
      </c>
      <c r="B111" s="51" t="s">
        <v>11</v>
      </c>
      <c r="C111" s="48" t="s">
        <v>31</v>
      </c>
      <c r="D111" s="44" t="s">
        <v>18</v>
      </c>
      <c r="E111" s="45" t="s">
        <v>96</v>
      </c>
      <c r="F111" s="44" t="s">
        <v>22</v>
      </c>
      <c r="G111" s="46" t="s">
        <v>437</v>
      </c>
      <c r="H111" s="46" t="s">
        <v>152</v>
      </c>
      <c r="I111" s="53"/>
      <c r="J111" s="63" t="s">
        <v>530</v>
      </c>
      <c r="K111" s="63" t="s">
        <v>530</v>
      </c>
      <c r="L111" s="63" t="s">
        <v>530</v>
      </c>
    </row>
    <row r="112" spans="1:12" ht="16.2" x14ac:dyDescent="0.4">
      <c r="A112" s="15" t="str">
        <f t="shared" si="1"/>
        <v>cd_imv_out_certifckrefbem</v>
      </c>
      <c r="B112" s="51" t="s">
        <v>11</v>
      </c>
      <c r="C112" s="48" t="s">
        <v>31</v>
      </c>
      <c r="D112" s="44" t="s">
        <v>18</v>
      </c>
      <c r="E112" s="45" t="s">
        <v>96</v>
      </c>
      <c r="F112" s="44" t="s">
        <v>23</v>
      </c>
      <c r="G112" s="46" t="s">
        <v>437</v>
      </c>
      <c r="H112" s="46" t="s">
        <v>152</v>
      </c>
      <c r="I112" s="53"/>
      <c r="J112" s="63" t="s">
        <v>530</v>
      </c>
      <c r="K112" s="63" t="s">
        <v>530</v>
      </c>
      <c r="L112" s="63" t="s">
        <v>530</v>
      </c>
    </row>
    <row r="113" spans="1:12" ht="16.2" x14ac:dyDescent="0.4">
      <c r="A113" s="15" t="str">
        <f t="shared" si="1"/>
        <v>cd_imv_out_certifcod_cnsrvtr_rgst_prdl</v>
      </c>
      <c r="B113" s="51" t="s">
        <v>11</v>
      </c>
      <c r="C113" s="48" t="s">
        <v>31</v>
      </c>
      <c r="D113" s="44" t="s">
        <v>18</v>
      </c>
      <c r="E113" s="45" t="s">
        <v>96</v>
      </c>
      <c r="F113" s="44" t="s">
        <v>97</v>
      </c>
      <c r="G113" s="46" t="s">
        <v>152</v>
      </c>
      <c r="H113" s="46" t="s">
        <v>152</v>
      </c>
      <c r="I113" s="53"/>
      <c r="J113" s="63" t="s">
        <v>530</v>
      </c>
      <c r="K113" s="63" t="s">
        <v>530</v>
      </c>
      <c r="L113" s="63" t="s">
        <v>530</v>
      </c>
    </row>
    <row r="114" spans="1:12" ht="16.2" x14ac:dyDescent="0.4">
      <c r="A114" s="15" t="str">
        <f t="shared" si="1"/>
        <v>cd_imv_out_certifcod_inscrc</v>
      </c>
      <c r="B114" s="51" t="s">
        <v>11</v>
      </c>
      <c r="C114" s="48" t="s">
        <v>31</v>
      </c>
      <c r="D114" s="44" t="s">
        <v>18</v>
      </c>
      <c r="E114" s="45" t="s">
        <v>96</v>
      </c>
      <c r="F114" s="44" t="s">
        <v>98</v>
      </c>
      <c r="G114" s="46" t="s">
        <v>152</v>
      </c>
      <c r="H114" s="46" t="s">
        <v>152</v>
      </c>
      <c r="I114" s="53"/>
      <c r="J114" s="63" t="s">
        <v>530</v>
      </c>
      <c r="K114" s="63" t="s">
        <v>530</v>
      </c>
      <c r="L114" s="63" t="s">
        <v>530</v>
      </c>
    </row>
    <row r="115" spans="1:12" ht="16.2" x14ac:dyDescent="0.4">
      <c r="A115" s="15" t="str">
        <f t="shared" si="1"/>
        <v>cd_imv_out_certifcod_sce</v>
      </c>
      <c r="B115" s="51" t="s">
        <v>11</v>
      </c>
      <c r="C115" s="48" t="s">
        <v>31</v>
      </c>
      <c r="D115" s="44" t="s">
        <v>18</v>
      </c>
      <c r="E115" s="45" t="s">
        <v>96</v>
      </c>
      <c r="F115" s="44" t="s">
        <v>99</v>
      </c>
      <c r="G115" s="46" t="s">
        <v>152</v>
      </c>
      <c r="H115" s="46" t="s">
        <v>152</v>
      </c>
      <c r="I115" s="53"/>
      <c r="J115" s="63" t="s">
        <v>530</v>
      </c>
      <c r="K115" s="63" t="s">
        <v>530</v>
      </c>
      <c r="L115" s="63" t="s">
        <v>530</v>
      </c>
    </row>
    <row r="116" spans="1:12" ht="16.2" x14ac:dyDescent="0.4">
      <c r="A116" s="15" t="str">
        <f t="shared" si="1"/>
        <v>cd_imv_out_certifdata_epc</v>
      </c>
      <c r="B116" s="51" t="s">
        <v>11</v>
      </c>
      <c r="C116" s="48" t="s">
        <v>31</v>
      </c>
      <c r="D116" s="44" t="s">
        <v>18</v>
      </c>
      <c r="E116" s="45" t="s">
        <v>96</v>
      </c>
      <c r="F116" s="44" t="s">
        <v>100</v>
      </c>
      <c r="G116" s="46" t="s">
        <v>152</v>
      </c>
      <c r="H116" s="46" t="s">
        <v>152</v>
      </c>
      <c r="I116" s="53"/>
      <c r="J116" s="63" t="s">
        <v>530</v>
      </c>
      <c r="K116" s="63" t="s">
        <v>530</v>
      </c>
      <c r="L116" s="63" t="s">
        <v>530</v>
      </c>
    </row>
    <row r="117" spans="1:12" ht="16.2" x14ac:dyDescent="0.4">
      <c r="A117" s="15" t="str">
        <f t="shared" si="1"/>
        <v>cd_imv_out_certifdata_exprc_epc</v>
      </c>
      <c r="B117" s="51" t="s">
        <v>11</v>
      </c>
      <c r="C117" s="48" t="s">
        <v>31</v>
      </c>
      <c r="D117" s="44" t="s">
        <v>18</v>
      </c>
      <c r="E117" s="45" t="s">
        <v>96</v>
      </c>
      <c r="F117" s="44" t="s">
        <v>101</v>
      </c>
      <c r="G117" s="46" t="s">
        <v>152</v>
      </c>
      <c r="H117" s="46" t="s">
        <v>152</v>
      </c>
      <c r="I117" s="53"/>
      <c r="J117" s="63" t="s">
        <v>530</v>
      </c>
      <c r="K117" s="63" t="s">
        <v>530</v>
      </c>
      <c r="L117" s="63" t="s">
        <v>530</v>
      </c>
    </row>
    <row r="118" spans="1:12" ht="16.2" x14ac:dyDescent="0.4">
      <c r="A118" s="15" t="str">
        <f t="shared" si="1"/>
        <v>cd_imv_out_certifepc</v>
      </c>
      <c r="B118" s="51" t="s">
        <v>11</v>
      </c>
      <c r="C118" s="48" t="s">
        <v>31</v>
      </c>
      <c r="D118" s="44" t="s">
        <v>18</v>
      </c>
      <c r="E118" s="45" t="s">
        <v>96</v>
      </c>
      <c r="F118" s="44" t="s">
        <v>25</v>
      </c>
      <c r="G118" s="46" t="s">
        <v>152</v>
      </c>
      <c r="H118" s="46" t="s">
        <v>152</v>
      </c>
      <c r="I118" s="53"/>
      <c r="J118" s="63" t="s">
        <v>530</v>
      </c>
      <c r="K118" s="63" t="s">
        <v>530</v>
      </c>
      <c r="L118" s="63" t="s">
        <v>530</v>
      </c>
    </row>
    <row r="119" spans="1:12" ht="16.2" x14ac:dyDescent="0.4">
      <c r="A119" s="15" t="str">
        <f t="shared" si="1"/>
        <v>cd_imv_out_certifflg_efcc_enrg_cnsm_tp_s</v>
      </c>
      <c r="B119" s="51" t="s">
        <v>11</v>
      </c>
      <c r="C119" s="48" t="s">
        <v>31</v>
      </c>
      <c r="D119" s="44" t="s">
        <v>18</v>
      </c>
      <c r="E119" s="45" t="s">
        <v>96</v>
      </c>
      <c r="F119" s="44" t="s">
        <v>102</v>
      </c>
      <c r="G119" s="46" t="s">
        <v>152</v>
      </c>
      <c r="H119" s="46" t="s">
        <v>152</v>
      </c>
      <c r="I119" s="53"/>
      <c r="J119" s="63" t="s">
        <v>530</v>
      </c>
      <c r="K119" s="63" t="s">
        <v>530</v>
      </c>
      <c r="L119" s="63" t="s">
        <v>530</v>
      </c>
    </row>
    <row r="120" spans="1:12" ht="16.2" x14ac:dyDescent="0.4">
      <c r="A120" s="15" t="str">
        <f t="shared" si="1"/>
        <v>cd_imv_out_certifflg_efcnc_enrg_cnsm_tp_t</v>
      </c>
      <c r="B120" s="51" t="s">
        <v>11</v>
      </c>
      <c r="C120" s="48" t="s">
        <v>31</v>
      </c>
      <c r="D120" s="44" t="s">
        <v>18</v>
      </c>
      <c r="E120" s="45" t="s">
        <v>96</v>
      </c>
      <c r="F120" s="44" t="s">
        <v>103</v>
      </c>
      <c r="G120" s="46" t="s">
        <v>152</v>
      </c>
      <c r="H120" s="46" t="s">
        <v>152</v>
      </c>
      <c r="I120" s="53"/>
      <c r="J120" s="63" t="s">
        <v>530</v>
      </c>
      <c r="K120" s="63" t="s">
        <v>530</v>
      </c>
      <c r="L120" s="63" t="s">
        <v>530</v>
      </c>
    </row>
    <row r="121" spans="1:12" ht="16.2" x14ac:dyDescent="0.4">
      <c r="A121" s="15" t="str">
        <f t="shared" si="1"/>
        <v>cd_imv_out_certifflg_efcnc_enrgtc</v>
      </c>
      <c r="B121" s="51" t="s">
        <v>11</v>
      </c>
      <c r="C121" s="48" t="s">
        <v>31</v>
      </c>
      <c r="D121" s="44" t="s">
        <v>18</v>
      </c>
      <c r="E121" s="45" t="s">
        <v>96</v>
      </c>
      <c r="F121" s="44" t="s">
        <v>104</v>
      </c>
      <c r="G121" s="46" t="s">
        <v>152</v>
      </c>
      <c r="H121" s="46" t="s">
        <v>152</v>
      </c>
      <c r="I121" s="53"/>
      <c r="J121" s="63" t="s">
        <v>530</v>
      </c>
      <c r="K121" s="63" t="s">
        <v>530</v>
      </c>
      <c r="L121" s="63" t="s">
        <v>530</v>
      </c>
    </row>
    <row r="122" spans="1:12" ht="16.2" x14ac:dyDescent="0.4">
      <c r="A122" s="15" t="str">
        <f t="shared" si="1"/>
        <v>cd_imv_out_certifflg_efcnc_enrgtc_rnvv</v>
      </c>
      <c r="B122" s="51" t="s">
        <v>11</v>
      </c>
      <c r="C122" s="48" t="s">
        <v>31</v>
      </c>
      <c r="D122" s="44" t="s">
        <v>18</v>
      </c>
      <c r="E122" s="45" t="s">
        <v>96</v>
      </c>
      <c r="F122" s="44" t="s">
        <v>105</v>
      </c>
      <c r="G122" s="46" t="s">
        <v>152</v>
      </c>
      <c r="H122" s="46" t="s">
        <v>152</v>
      </c>
      <c r="I122" s="53"/>
      <c r="J122" s="63" t="s">
        <v>530</v>
      </c>
      <c r="K122" s="63" t="s">
        <v>530</v>
      </c>
      <c r="L122" s="63" t="s">
        <v>530</v>
      </c>
    </row>
    <row r="123" spans="1:12" ht="16.2" x14ac:dyDescent="0.4">
      <c r="A123" s="15" t="str">
        <f t="shared" si="1"/>
        <v>cd_imv_out_certifflg_nzeb</v>
      </c>
      <c r="B123" s="51" t="s">
        <v>11</v>
      </c>
      <c r="C123" s="48" t="s">
        <v>31</v>
      </c>
      <c r="D123" s="44" t="s">
        <v>18</v>
      </c>
      <c r="E123" s="45" t="s">
        <v>96</v>
      </c>
      <c r="F123" s="44" t="s">
        <v>106</v>
      </c>
      <c r="G123" s="46" t="s">
        <v>152</v>
      </c>
      <c r="H123" s="46" t="s">
        <v>152</v>
      </c>
      <c r="I123" s="53"/>
      <c r="J123" s="63" t="s">
        <v>530</v>
      </c>
      <c r="K123" s="63" t="s">
        <v>530</v>
      </c>
      <c r="L123" s="63" t="s">
        <v>530</v>
      </c>
    </row>
    <row r="124" spans="1:12" ht="16.2" x14ac:dyDescent="0.4">
      <c r="A124" s="15" t="str">
        <f t="shared" si="1"/>
        <v>cd_imv_out_certifmetodo_info</v>
      </c>
      <c r="B124" s="51" t="s">
        <v>11</v>
      </c>
      <c r="C124" s="48" t="s">
        <v>31</v>
      </c>
      <c r="D124" s="44" t="s">
        <v>18</v>
      </c>
      <c r="E124" s="45" t="s">
        <v>96</v>
      </c>
      <c r="F124" s="44" t="s">
        <v>27</v>
      </c>
      <c r="G124" s="46" t="s">
        <v>152</v>
      </c>
      <c r="H124" s="46" t="s">
        <v>152</v>
      </c>
      <c r="I124" s="53"/>
      <c r="J124" s="63" t="s">
        <v>530</v>
      </c>
      <c r="K124" s="63" t="s">
        <v>530</v>
      </c>
      <c r="L124" s="63" t="s">
        <v>530</v>
      </c>
    </row>
    <row r="125" spans="1:12" ht="16.2" x14ac:dyDescent="0.4">
      <c r="A125" s="15" t="str">
        <f t="shared" si="1"/>
        <v>cd_imv_out_certifnvl_efcc_enrg</v>
      </c>
      <c r="B125" s="51" t="s">
        <v>11</v>
      </c>
      <c r="C125" s="48" t="s">
        <v>31</v>
      </c>
      <c r="D125" s="44" t="s">
        <v>18</v>
      </c>
      <c r="E125" s="45" t="s">
        <v>96</v>
      </c>
      <c r="F125" s="44" t="s">
        <v>107</v>
      </c>
      <c r="G125" s="46" t="s">
        <v>152</v>
      </c>
      <c r="H125" s="46" t="s">
        <v>152</v>
      </c>
      <c r="I125" s="53"/>
      <c r="J125" s="63" t="s">
        <v>530</v>
      </c>
      <c r="K125" s="63" t="s">
        <v>530</v>
      </c>
      <c r="L125" s="63" t="s">
        <v>530</v>
      </c>
    </row>
    <row r="126" spans="1:12" ht="16.2" x14ac:dyDescent="0.4">
      <c r="A126" s="15" t="str">
        <f t="shared" si="1"/>
        <v>cd_imv_out_certiforigem</v>
      </c>
      <c r="B126" s="51" t="s">
        <v>11</v>
      </c>
      <c r="C126" s="48" t="s">
        <v>31</v>
      </c>
      <c r="D126" s="44" t="s">
        <v>18</v>
      </c>
      <c r="E126" s="45" t="s">
        <v>96</v>
      </c>
      <c r="F126" s="44" t="s">
        <v>49</v>
      </c>
      <c r="G126" s="46" t="s">
        <v>152</v>
      </c>
      <c r="H126" s="46" t="s">
        <v>152</v>
      </c>
      <c r="I126" s="53"/>
      <c r="J126" s="63" t="s">
        <v>530</v>
      </c>
      <c r="K126" s="63" t="s">
        <v>530</v>
      </c>
      <c r="L126" s="63" t="s">
        <v>530</v>
      </c>
    </row>
    <row r="127" spans="1:12" ht="16.2" x14ac:dyDescent="0.4">
      <c r="A127" s="15" t="str">
        <f t="shared" si="1"/>
        <v>cd_imv_out_certifref_date</v>
      </c>
      <c r="B127" s="51" t="s">
        <v>11</v>
      </c>
      <c r="C127" s="48" t="s">
        <v>31</v>
      </c>
      <c r="D127" s="44" t="s">
        <v>18</v>
      </c>
      <c r="E127" s="45" t="s">
        <v>96</v>
      </c>
      <c r="F127" s="44" t="s">
        <v>50</v>
      </c>
      <c r="G127" s="46" t="s">
        <v>152</v>
      </c>
      <c r="H127" s="46" t="s">
        <v>152</v>
      </c>
      <c r="I127" s="53"/>
      <c r="J127" s="63" t="s">
        <v>530</v>
      </c>
      <c r="K127" s="63" t="s">
        <v>530</v>
      </c>
      <c r="L127" s="63" t="s">
        <v>530</v>
      </c>
    </row>
    <row r="128" spans="1:12" ht="16.2" x14ac:dyDescent="0.4">
      <c r="A128" s="15" t="str">
        <f t="shared" si="1"/>
        <v>cd_imv_out_certiftp_crtfcd</v>
      </c>
      <c r="B128" s="51" t="s">
        <v>11</v>
      </c>
      <c r="C128" s="48" t="s">
        <v>31</v>
      </c>
      <c r="D128" s="44" t="s">
        <v>18</v>
      </c>
      <c r="E128" s="45" t="s">
        <v>96</v>
      </c>
      <c r="F128" s="44" t="s">
        <v>108</v>
      </c>
      <c r="G128" s="46" t="s">
        <v>152</v>
      </c>
      <c r="H128" s="46" t="s">
        <v>152</v>
      </c>
      <c r="I128" s="53"/>
      <c r="J128" s="63" t="s">
        <v>530</v>
      </c>
      <c r="K128" s="63" t="s">
        <v>530</v>
      </c>
      <c r="L128" s="63" t="s">
        <v>530</v>
      </c>
    </row>
    <row r="129" spans="1:12" ht="16.2" x14ac:dyDescent="0.4">
      <c r="A129" s="15" t="str">
        <f t="shared" si="1"/>
        <v>cd_imv_out_certifvlr_agua_qnt_sant_edfc</v>
      </c>
      <c r="B129" s="51" t="s">
        <v>11</v>
      </c>
      <c r="C129" s="48" t="s">
        <v>31</v>
      </c>
      <c r="D129" s="44" t="s">
        <v>18</v>
      </c>
      <c r="E129" s="45" t="s">
        <v>96</v>
      </c>
      <c r="F129" s="44" t="s">
        <v>109</v>
      </c>
      <c r="G129" s="46" t="s">
        <v>152</v>
      </c>
      <c r="H129" s="46" t="s">
        <v>152</v>
      </c>
      <c r="I129" s="53"/>
      <c r="J129" s="63" t="s">
        <v>530</v>
      </c>
      <c r="K129" s="63" t="s">
        <v>530</v>
      </c>
      <c r="L129" s="63" t="s">
        <v>530</v>
      </c>
    </row>
    <row r="130" spans="1:12" ht="16.2" x14ac:dyDescent="0.4">
      <c r="A130" s="15" t="str">
        <f t="shared" si="1"/>
        <v>cd_imv_out_certifvlr_agua_qnt_snt_rnvv</v>
      </c>
      <c r="B130" s="51" t="s">
        <v>11</v>
      </c>
      <c r="C130" s="48" t="s">
        <v>31</v>
      </c>
      <c r="D130" s="44" t="s">
        <v>18</v>
      </c>
      <c r="E130" s="45" t="s">
        <v>96</v>
      </c>
      <c r="F130" s="44" t="s">
        <v>110</v>
      </c>
      <c r="G130" s="46" t="s">
        <v>152</v>
      </c>
      <c r="H130" s="46" t="s">
        <v>152</v>
      </c>
      <c r="I130" s="53"/>
      <c r="J130" s="63" t="s">
        <v>530</v>
      </c>
      <c r="K130" s="63" t="s">
        <v>530</v>
      </c>
      <c r="L130" s="63" t="s">
        <v>530</v>
      </c>
    </row>
    <row r="131" spans="1:12" ht="16.2" x14ac:dyDescent="0.4">
      <c r="A131" s="15" t="str">
        <f t="shared" si="1"/>
        <v>cd_imv_out_certifvlr_agua_qnt_sntr_rfrc</v>
      </c>
      <c r="B131" s="51" t="s">
        <v>11</v>
      </c>
      <c r="C131" s="48" t="s">
        <v>31</v>
      </c>
      <c r="D131" s="44" t="s">
        <v>18</v>
      </c>
      <c r="E131" s="45" t="s">
        <v>96</v>
      </c>
      <c r="F131" s="44" t="s">
        <v>111</v>
      </c>
      <c r="G131" s="46" t="s">
        <v>152</v>
      </c>
      <c r="H131" s="46" t="s">
        <v>152</v>
      </c>
      <c r="I131" s="53"/>
      <c r="J131" s="63" t="s">
        <v>530</v>
      </c>
      <c r="K131" s="63" t="s">
        <v>530</v>
      </c>
      <c r="L131" s="63" t="s">
        <v>530</v>
      </c>
    </row>
    <row r="132" spans="1:12" ht="16.2" x14ac:dyDescent="0.4">
      <c r="A132" s="15" t="str">
        <f t="shared" si="1"/>
        <v>cd_imv_out_certifvlr_alttt</v>
      </c>
      <c r="B132" s="51" t="s">
        <v>11</v>
      </c>
      <c r="C132" s="48" t="s">
        <v>31</v>
      </c>
      <c r="D132" s="44" t="s">
        <v>18</v>
      </c>
      <c r="E132" s="45" t="s">
        <v>96</v>
      </c>
      <c r="F132" s="44" t="s">
        <v>112</v>
      </c>
      <c r="G132" s="46" t="s">
        <v>152</v>
      </c>
      <c r="H132" s="46" t="s">
        <v>152</v>
      </c>
      <c r="I132" s="53"/>
      <c r="J132" s="63" t="s">
        <v>530</v>
      </c>
      <c r="K132" s="63" t="s">
        <v>530</v>
      </c>
      <c r="L132" s="63" t="s">
        <v>530</v>
      </c>
    </row>
    <row r="133" spans="1:12" ht="16.2" x14ac:dyDescent="0.4">
      <c r="A133" s="15" t="str">
        <f t="shared" si="1"/>
        <v>cd_imv_out_certifvlr_aqcmnt_ambnt_edfc</v>
      </c>
      <c r="B133" s="51" t="s">
        <v>11</v>
      </c>
      <c r="C133" s="48" t="s">
        <v>31</v>
      </c>
      <c r="D133" s="44" t="s">
        <v>18</v>
      </c>
      <c r="E133" s="45" t="s">
        <v>96</v>
      </c>
      <c r="F133" s="44" t="s">
        <v>113</v>
      </c>
      <c r="G133" s="46" t="s">
        <v>152</v>
      </c>
      <c r="H133" s="46" t="s">
        <v>152</v>
      </c>
      <c r="I133" s="53"/>
      <c r="J133" s="63" t="s">
        <v>530</v>
      </c>
      <c r="K133" s="63" t="s">
        <v>530</v>
      </c>
      <c r="L133" s="63" t="s">
        <v>530</v>
      </c>
    </row>
    <row r="134" spans="1:12" ht="16.2" x14ac:dyDescent="0.4">
      <c r="A134" s="15" t="str">
        <f t="shared" si="1"/>
        <v>cd_imv_out_certifvlr_aqcmnt_ambnt_rfrc</v>
      </c>
      <c r="B134" s="51" t="s">
        <v>11</v>
      </c>
      <c r="C134" s="48" t="s">
        <v>31</v>
      </c>
      <c r="D134" s="44" t="s">
        <v>18</v>
      </c>
      <c r="E134" s="45" t="s">
        <v>96</v>
      </c>
      <c r="F134" s="44" t="s">
        <v>114</v>
      </c>
      <c r="G134" s="46" t="s">
        <v>152</v>
      </c>
      <c r="H134" s="46" t="s">
        <v>152</v>
      </c>
      <c r="I134" s="53"/>
      <c r="J134" s="63" t="s">
        <v>530</v>
      </c>
      <c r="K134" s="63" t="s">
        <v>530</v>
      </c>
      <c r="L134" s="63" t="s">
        <v>530</v>
      </c>
    </row>
    <row r="135" spans="1:12" ht="16.2" x14ac:dyDescent="0.4">
      <c r="A135" s="15" t="str">
        <f t="shared" si="1"/>
        <v>cd_imv_out_certifvlr_aqcmnt_ambnt_rnvv</v>
      </c>
      <c r="B135" s="51" t="s">
        <v>11</v>
      </c>
      <c r="C135" s="48" t="s">
        <v>31</v>
      </c>
      <c r="D135" s="44" t="s">
        <v>18</v>
      </c>
      <c r="E135" s="45" t="s">
        <v>96</v>
      </c>
      <c r="F135" s="44" t="s">
        <v>115</v>
      </c>
      <c r="G135" s="46" t="s">
        <v>152</v>
      </c>
      <c r="H135" s="46" t="s">
        <v>152</v>
      </c>
      <c r="I135" s="53"/>
      <c r="J135" s="63" t="s">
        <v>530</v>
      </c>
      <c r="K135" s="63" t="s">
        <v>530</v>
      </c>
      <c r="L135" s="63" t="s">
        <v>530</v>
      </c>
    </row>
    <row r="136" spans="1:12" ht="16.2" x14ac:dyDescent="0.4">
      <c r="A136" s="15" t="str">
        <f t="shared" ref="A136:A199" si="2">E136&amp;F136</f>
        <v>cd_imv_out_certifvlr_arrfcmnt_ambnt_edfc</v>
      </c>
      <c r="B136" s="51" t="s">
        <v>11</v>
      </c>
      <c r="C136" s="48" t="s">
        <v>31</v>
      </c>
      <c r="D136" s="44" t="s">
        <v>18</v>
      </c>
      <c r="E136" s="45" t="s">
        <v>96</v>
      </c>
      <c r="F136" s="44" t="s">
        <v>116</v>
      </c>
      <c r="G136" s="46" t="s">
        <v>152</v>
      </c>
      <c r="H136" s="46" t="s">
        <v>152</v>
      </c>
      <c r="I136" s="53"/>
      <c r="J136" s="63" t="s">
        <v>530</v>
      </c>
      <c r="K136" s="63" t="s">
        <v>530</v>
      </c>
      <c r="L136" s="63" t="s">
        <v>530</v>
      </c>
    </row>
    <row r="137" spans="1:12" ht="16.2" x14ac:dyDescent="0.4">
      <c r="A137" s="15" t="str">
        <f t="shared" si="2"/>
        <v>cd_imv_out_certifvlr_arrfcmnt_ambnt_renvv</v>
      </c>
      <c r="B137" s="51" t="s">
        <v>11</v>
      </c>
      <c r="C137" s="48" t="s">
        <v>31</v>
      </c>
      <c r="D137" s="44" t="s">
        <v>18</v>
      </c>
      <c r="E137" s="45" t="s">
        <v>96</v>
      </c>
      <c r="F137" s="44" t="s">
        <v>117</v>
      </c>
      <c r="G137" s="46" t="s">
        <v>152</v>
      </c>
      <c r="H137" s="46" t="s">
        <v>152</v>
      </c>
      <c r="I137" s="53"/>
      <c r="J137" s="63" t="s">
        <v>530</v>
      </c>
      <c r="K137" s="63" t="s">
        <v>530</v>
      </c>
      <c r="L137" s="63" t="s">
        <v>530</v>
      </c>
    </row>
    <row r="138" spans="1:12" ht="16.2" x14ac:dyDescent="0.4">
      <c r="A138" s="15" t="str">
        <f t="shared" si="2"/>
        <v>cd_imv_out_certifvlr_arrfcmnt_ambnt_rfrc</v>
      </c>
      <c r="B138" s="51" t="s">
        <v>11</v>
      </c>
      <c r="C138" s="48" t="s">
        <v>31</v>
      </c>
      <c r="D138" s="44" t="s">
        <v>18</v>
      </c>
      <c r="E138" s="45" t="s">
        <v>96</v>
      </c>
      <c r="F138" s="44" t="s">
        <v>118</v>
      </c>
      <c r="G138" s="46" t="s">
        <v>152</v>
      </c>
      <c r="H138" s="46" t="s">
        <v>152</v>
      </c>
      <c r="I138" s="53"/>
      <c r="J138" s="63" t="s">
        <v>530</v>
      </c>
      <c r="K138" s="63" t="s">
        <v>530</v>
      </c>
      <c r="L138" s="63" t="s">
        <v>530</v>
      </c>
    </row>
    <row r="139" spans="1:12" ht="16.2" x14ac:dyDescent="0.4">
      <c r="A139" s="15" t="str">
        <f t="shared" si="2"/>
        <v>cd_imv_out_certifvlr_class_enrg_aps_mdd</v>
      </c>
      <c r="B139" s="51" t="s">
        <v>11</v>
      </c>
      <c r="C139" s="48" t="s">
        <v>31</v>
      </c>
      <c r="D139" s="44" t="s">
        <v>18</v>
      </c>
      <c r="E139" s="45" t="s">
        <v>96</v>
      </c>
      <c r="F139" s="44" t="s">
        <v>119</v>
      </c>
      <c r="G139" s="46" t="s">
        <v>152</v>
      </c>
      <c r="H139" s="46" t="s">
        <v>152</v>
      </c>
      <c r="I139" s="53"/>
      <c r="J139" s="63" t="s">
        <v>530</v>
      </c>
      <c r="K139" s="63" t="s">
        <v>530</v>
      </c>
      <c r="L139" s="63" t="s">
        <v>530</v>
      </c>
    </row>
    <row r="140" spans="1:12" ht="16.2" x14ac:dyDescent="0.4">
      <c r="A140" s="15" t="str">
        <f t="shared" si="2"/>
        <v>cd_imv_out_certifvlr_cnsm_ano</v>
      </c>
      <c r="B140" s="51" t="s">
        <v>11</v>
      </c>
      <c r="C140" s="48" t="s">
        <v>31</v>
      </c>
      <c r="D140" s="44" t="s">
        <v>18</v>
      </c>
      <c r="E140" s="45" t="s">
        <v>96</v>
      </c>
      <c r="F140" s="44" t="s">
        <v>29</v>
      </c>
      <c r="G140" s="46" t="s">
        <v>152</v>
      </c>
      <c r="H140" s="46" t="s">
        <v>152</v>
      </c>
      <c r="I140" s="53"/>
      <c r="J140" s="63" t="s">
        <v>530</v>
      </c>
      <c r="K140" s="63" t="s">
        <v>530</v>
      </c>
      <c r="L140" s="63" t="s">
        <v>530</v>
      </c>
    </row>
    <row r="141" spans="1:12" ht="16.2" x14ac:dyDescent="0.4">
      <c r="A141" s="15" t="str">
        <f t="shared" si="2"/>
        <v>cd_imv_out_certifvlr_comp_trmc_cbrtrs</v>
      </c>
      <c r="B141" s="51" t="s">
        <v>11</v>
      </c>
      <c r="C141" s="48" t="s">
        <v>31</v>
      </c>
      <c r="D141" s="44" t="s">
        <v>18</v>
      </c>
      <c r="E141" s="45" t="s">
        <v>96</v>
      </c>
      <c r="F141" s="44" t="s">
        <v>120</v>
      </c>
      <c r="G141" s="46" t="s">
        <v>152</v>
      </c>
      <c r="H141" s="46" t="s">
        <v>152</v>
      </c>
      <c r="I141" s="53"/>
      <c r="J141" s="63" t="s">
        <v>530</v>
      </c>
      <c r="K141" s="63" t="s">
        <v>530</v>
      </c>
      <c r="L141" s="63" t="s">
        <v>530</v>
      </c>
    </row>
    <row r="142" spans="1:12" ht="16.2" x14ac:dyDescent="0.4">
      <c r="A142" s="15" t="str">
        <f t="shared" si="2"/>
        <v>cd_imv_out_certifvlr_comp_trmc_jnls</v>
      </c>
      <c r="B142" s="51" t="s">
        <v>11</v>
      </c>
      <c r="C142" s="48" t="s">
        <v>31</v>
      </c>
      <c r="D142" s="44" t="s">
        <v>18</v>
      </c>
      <c r="E142" s="45" t="s">
        <v>96</v>
      </c>
      <c r="F142" s="44" t="s">
        <v>121</v>
      </c>
      <c r="G142" s="46" t="s">
        <v>152</v>
      </c>
      <c r="H142" s="46" t="s">
        <v>152</v>
      </c>
      <c r="I142" s="53"/>
      <c r="J142" s="63" t="s">
        <v>530</v>
      </c>
      <c r="K142" s="63" t="s">
        <v>530</v>
      </c>
      <c r="L142" s="63" t="s">
        <v>530</v>
      </c>
    </row>
    <row r="143" spans="1:12" ht="16.2" x14ac:dyDescent="0.4">
      <c r="A143" s="15" t="str">
        <f t="shared" si="2"/>
        <v>cd_imv_out_certifvlr_comp_trmc_prds</v>
      </c>
      <c r="B143" s="51" t="s">
        <v>11</v>
      </c>
      <c r="C143" s="48" t="s">
        <v>31</v>
      </c>
      <c r="D143" s="44" t="s">
        <v>18</v>
      </c>
      <c r="E143" s="45" t="s">
        <v>96</v>
      </c>
      <c r="F143" s="44" t="s">
        <v>122</v>
      </c>
      <c r="G143" s="46" t="s">
        <v>152</v>
      </c>
      <c r="H143" s="46" t="s">
        <v>152</v>
      </c>
      <c r="I143" s="53"/>
      <c r="J143" s="63" t="s">
        <v>530</v>
      </c>
      <c r="K143" s="63" t="s">
        <v>530</v>
      </c>
      <c r="L143" s="63" t="s">
        <v>530</v>
      </c>
    </row>
    <row r="144" spans="1:12" ht="16.2" x14ac:dyDescent="0.4">
      <c r="A144" s="15" t="str">
        <f t="shared" si="2"/>
        <v>cd_imv_out_certifvlr_comp_trmc_pvmnts</v>
      </c>
      <c r="B144" s="51" t="s">
        <v>11</v>
      </c>
      <c r="C144" s="48" t="s">
        <v>31</v>
      </c>
      <c r="D144" s="44" t="s">
        <v>18</v>
      </c>
      <c r="E144" s="45" t="s">
        <v>96</v>
      </c>
      <c r="F144" s="44" t="s">
        <v>123</v>
      </c>
      <c r="G144" s="46" t="s">
        <v>152</v>
      </c>
      <c r="H144" s="46" t="s">
        <v>152</v>
      </c>
      <c r="I144" s="53"/>
      <c r="J144" s="63" t="s">
        <v>530</v>
      </c>
      <c r="K144" s="63" t="s">
        <v>530</v>
      </c>
      <c r="L144" s="63" t="s">
        <v>530</v>
      </c>
    </row>
    <row r="145" spans="1:12" ht="16.2" x14ac:dyDescent="0.4">
      <c r="A145" s="15" t="str">
        <f t="shared" si="2"/>
        <v>cd_imv_out_certifvlr_comp_trmc_sstmtcn_vntld</v>
      </c>
      <c r="B145" s="51" t="s">
        <v>11</v>
      </c>
      <c r="C145" s="48" t="s">
        <v>31</v>
      </c>
      <c r="D145" s="44" t="s">
        <v>18</v>
      </c>
      <c r="E145" s="45" t="s">
        <v>96</v>
      </c>
      <c r="F145" s="44" t="s">
        <v>124</v>
      </c>
      <c r="G145" s="46" t="s">
        <v>152</v>
      </c>
      <c r="H145" s="46" t="s">
        <v>152</v>
      </c>
      <c r="I145" s="53"/>
      <c r="J145" s="63" t="s">
        <v>530</v>
      </c>
      <c r="K145" s="63" t="s">
        <v>530</v>
      </c>
      <c r="L145" s="63" t="s">
        <v>530</v>
      </c>
    </row>
    <row r="146" spans="1:12" ht="16.2" x14ac:dyDescent="0.4">
      <c r="A146" s="15" t="str">
        <f t="shared" si="2"/>
        <v>cd_imv_out_certifvlr_cst_ttl_invstmnt_estmd</v>
      </c>
      <c r="B146" s="51" t="s">
        <v>11</v>
      </c>
      <c r="C146" s="48" t="s">
        <v>31</v>
      </c>
      <c r="D146" s="44" t="s">
        <v>18</v>
      </c>
      <c r="E146" s="45" t="s">
        <v>96</v>
      </c>
      <c r="F146" s="44" t="s">
        <v>125</v>
      </c>
      <c r="G146" s="46" t="s">
        <v>152</v>
      </c>
      <c r="H146" s="46" t="s">
        <v>152</v>
      </c>
      <c r="I146" s="53"/>
      <c r="J146" s="63" t="s">
        <v>530</v>
      </c>
      <c r="K146" s="63" t="s">
        <v>530</v>
      </c>
      <c r="L146" s="63" t="s">
        <v>530</v>
      </c>
    </row>
    <row r="147" spans="1:12" ht="16.2" x14ac:dyDescent="0.4">
      <c r="A147" s="15" t="str">
        <f t="shared" si="2"/>
        <v>cd_imv_out_certifvlr_drc_estc_aqcmnt</v>
      </c>
      <c r="B147" s="51" t="s">
        <v>11</v>
      </c>
      <c r="C147" s="48" t="s">
        <v>31</v>
      </c>
      <c r="D147" s="44" t="s">
        <v>18</v>
      </c>
      <c r="E147" s="45" t="s">
        <v>96</v>
      </c>
      <c r="F147" s="44" t="s">
        <v>126</v>
      </c>
      <c r="G147" s="46" t="s">
        <v>152</v>
      </c>
      <c r="H147" s="46" t="s">
        <v>152</v>
      </c>
      <c r="I147" s="53"/>
      <c r="J147" s="63" t="s">
        <v>530</v>
      </c>
      <c r="K147" s="63" t="s">
        <v>530</v>
      </c>
      <c r="L147" s="63" t="s">
        <v>530</v>
      </c>
    </row>
    <row r="148" spans="1:12" ht="16.2" x14ac:dyDescent="0.4">
      <c r="A148" s="15" t="str">
        <f t="shared" si="2"/>
        <v>cd_imv_out_certifvlr_drc_estc_arrfcmnt</v>
      </c>
      <c r="B148" s="51" t="s">
        <v>11</v>
      </c>
      <c r="C148" s="48" t="s">
        <v>31</v>
      </c>
      <c r="D148" s="44" t="s">
        <v>18</v>
      </c>
      <c r="E148" s="45" t="s">
        <v>96</v>
      </c>
      <c r="F148" s="44" t="s">
        <v>127</v>
      </c>
      <c r="G148" s="46" t="s">
        <v>152</v>
      </c>
      <c r="H148" s="46" t="s">
        <v>152</v>
      </c>
      <c r="I148" s="53"/>
      <c r="J148" s="63" t="s">
        <v>530</v>
      </c>
      <c r="K148" s="63" t="s">
        <v>530</v>
      </c>
      <c r="L148" s="63" t="s">
        <v>530</v>
      </c>
    </row>
    <row r="149" spans="1:12" ht="16.2" x14ac:dyDescent="0.4">
      <c r="A149" s="15" t="str">
        <f t="shared" si="2"/>
        <v>cd_imv_out_certifvlr_emss_ano</v>
      </c>
      <c r="B149" s="51" t="s">
        <v>11</v>
      </c>
      <c r="C149" s="48" t="s">
        <v>31</v>
      </c>
      <c r="D149" s="44" t="s">
        <v>18</v>
      </c>
      <c r="E149" s="45" t="s">
        <v>96</v>
      </c>
      <c r="F149" s="44" t="s">
        <v>30</v>
      </c>
      <c r="G149" s="46" t="s">
        <v>152</v>
      </c>
      <c r="H149" s="46" t="s">
        <v>152</v>
      </c>
      <c r="I149" s="53"/>
      <c r="J149" s="63" t="s">
        <v>530</v>
      </c>
      <c r="K149" s="63" t="s">
        <v>530</v>
      </c>
      <c r="L149" s="63" t="s">
        <v>530</v>
      </c>
    </row>
    <row r="150" spans="1:12" ht="16.2" x14ac:dyDescent="0.4">
      <c r="A150" s="15" t="str">
        <f t="shared" si="2"/>
        <v>cd_imv_out_certifvlr_emss_co2</v>
      </c>
      <c r="B150" s="51" t="s">
        <v>11</v>
      </c>
      <c r="C150" s="48" t="s">
        <v>31</v>
      </c>
      <c r="D150" s="44" t="s">
        <v>18</v>
      </c>
      <c r="E150" s="45" t="s">
        <v>96</v>
      </c>
      <c r="F150" s="44" t="s">
        <v>128</v>
      </c>
      <c r="G150" s="46" t="s">
        <v>152</v>
      </c>
      <c r="H150" s="46" t="s">
        <v>152</v>
      </c>
      <c r="I150" s="53"/>
      <c r="J150" s="63" t="s">
        <v>530</v>
      </c>
      <c r="K150" s="63" t="s">
        <v>530</v>
      </c>
      <c r="L150" s="63" t="s">
        <v>530</v>
      </c>
    </row>
    <row r="151" spans="1:12" ht="16.2" x14ac:dyDescent="0.4">
      <c r="A151" s="15" t="str">
        <f t="shared" si="2"/>
        <v>cd_imv_out_certifvlr_enrg_eltc_vntldr</v>
      </c>
      <c r="B151" s="51" t="s">
        <v>11</v>
      </c>
      <c r="C151" s="48" t="s">
        <v>31</v>
      </c>
      <c r="D151" s="44" t="s">
        <v>18</v>
      </c>
      <c r="E151" s="45" t="s">
        <v>96</v>
      </c>
      <c r="F151" s="44" t="s">
        <v>129</v>
      </c>
      <c r="G151" s="46" t="s">
        <v>152</v>
      </c>
      <c r="H151" s="46" t="s">
        <v>152</v>
      </c>
      <c r="I151" s="53"/>
      <c r="J151" s="63" t="s">
        <v>530</v>
      </c>
      <c r="K151" s="63" t="s">
        <v>530</v>
      </c>
      <c r="L151" s="63" t="s">
        <v>530</v>
      </c>
    </row>
    <row r="152" spans="1:12" ht="16.2" x14ac:dyDescent="0.4">
      <c r="A152" s="15" t="str">
        <f t="shared" si="2"/>
        <v>cd_imv_out_certifvlr_enrg_fnts_rnvv_otr_uso</v>
      </c>
      <c r="B152" s="51" t="s">
        <v>11</v>
      </c>
      <c r="C152" s="48" t="s">
        <v>31</v>
      </c>
      <c r="D152" s="44" t="s">
        <v>18</v>
      </c>
      <c r="E152" s="45" t="s">
        <v>96</v>
      </c>
      <c r="F152" s="44" t="s">
        <v>130</v>
      </c>
      <c r="G152" s="46" t="s">
        <v>152</v>
      </c>
      <c r="H152" s="46" t="s">
        <v>152</v>
      </c>
      <c r="I152" s="53"/>
      <c r="J152" s="63" t="s">
        <v>530</v>
      </c>
      <c r="K152" s="63" t="s">
        <v>530</v>
      </c>
      <c r="L152" s="63" t="s">
        <v>530</v>
      </c>
    </row>
    <row r="153" spans="1:12" ht="16.2" x14ac:dyDescent="0.4">
      <c r="A153" s="15" t="str">
        <f t="shared" si="2"/>
        <v>cd_imv_out_certifvlr_enrg_fnts_rnvv_regl</v>
      </c>
      <c r="B153" s="51" t="s">
        <v>11</v>
      </c>
      <c r="C153" s="48" t="s">
        <v>31</v>
      </c>
      <c r="D153" s="44" t="s">
        <v>18</v>
      </c>
      <c r="E153" s="45" t="s">
        <v>96</v>
      </c>
      <c r="F153" s="44" t="s">
        <v>131</v>
      </c>
      <c r="G153" s="46" t="s">
        <v>152</v>
      </c>
      <c r="H153" s="46" t="s">
        <v>152</v>
      </c>
      <c r="I153" s="53"/>
      <c r="J153" s="63" t="s">
        <v>530</v>
      </c>
      <c r="K153" s="63" t="s">
        <v>530</v>
      </c>
      <c r="L153" s="63" t="s">
        <v>530</v>
      </c>
    </row>
    <row r="154" spans="1:12" ht="16.2" x14ac:dyDescent="0.4">
      <c r="A154" s="15" t="str">
        <f t="shared" si="2"/>
        <v>cd_imv_out_certifvlr_enrg_renew</v>
      </c>
      <c r="B154" s="51" t="s">
        <v>11</v>
      </c>
      <c r="C154" s="48" t="s">
        <v>31</v>
      </c>
      <c r="D154" s="44" t="s">
        <v>18</v>
      </c>
      <c r="E154" s="45" t="s">
        <v>96</v>
      </c>
      <c r="F154" s="44" t="s">
        <v>132</v>
      </c>
      <c r="G154" s="46" t="s">
        <v>152</v>
      </c>
      <c r="H154" s="46" t="s">
        <v>152</v>
      </c>
      <c r="I154" s="53"/>
      <c r="J154" s="63" t="s">
        <v>530</v>
      </c>
      <c r="K154" s="63" t="s">
        <v>530</v>
      </c>
      <c r="L154" s="63" t="s">
        <v>530</v>
      </c>
    </row>
    <row r="155" spans="1:12" ht="16.2" x14ac:dyDescent="0.4">
      <c r="A155" s="15" t="str">
        <f t="shared" si="2"/>
        <v>cd_imv_out_certifvlr_enrg_utl_agua_qt_snt</v>
      </c>
      <c r="B155" s="51" t="s">
        <v>11</v>
      </c>
      <c r="C155" s="48" t="s">
        <v>31</v>
      </c>
      <c r="D155" s="44" t="s">
        <v>18</v>
      </c>
      <c r="E155" s="45" t="s">
        <v>96</v>
      </c>
      <c r="F155" s="44" t="s">
        <v>133</v>
      </c>
      <c r="G155" s="46" t="s">
        <v>152</v>
      </c>
      <c r="H155" s="46" t="s">
        <v>152</v>
      </c>
      <c r="I155" s="53"/>
      <c r="J155" s="63" t="s">
        <v>530</v>
      </c>
      <c r="K155" s="63" t="s">
        <v>530</v>
      </c>
      <c r="L155" s="63" t="s">
        <v>530</v>
      </c>
    </row>
    <row r="156" spans="1:12" ht="16.2" x14ac:dyDescent="0.4">
      <c r="A156" s="15" t="str">
        <f t="shared" si="2"/>
        <v>cd_imv_out_certifvlr_enrg_utl_arrfcmnt</v>
      </c>
      <c r="B156" s="51" t="s">
        <v>11</v>
      </c>
      <c r="C156" s="48" t="s">
        <v>31</v>
      </c>
      <c r="D156" s="44" t="s">
        <v>18</v>
      </c>
      <c r="E156" s="45" t="s">
        <v>96</v>
      </c>
      <c r="F156" s="44" t="s">
        <v>134</v>
      </c>
      <c r="G156" s="46" t="s">
        <v>152</v>
      </c>
      <c r="H156" s="46" t="s">
        <v>152</v>
      </c>
      <c r="I156" s="53"/>
      <c r="J156" s="63" t="s">
        <v>530</v>
      </c>
      <c r="K156" s="63" t="s">
        <v>530</v>
      </c>
      <c r="L156" s="63" t="s">
        <v>530</v>
      </c>
    </row>
    <row r="157" spans="1:12" ht="16.2" x14ac:dyDescent="0.4">
      <c r="A157" s="15" t="str">
        <f t="shared" si="2"/>
        <v>cd_imv_out_certifvlr_grs_dia</v>
      </c>
      <c r="B157" s="51" t="s">
        <v>11</v>
      </c>
      <c r="C157" s="48" t="s">
        <v>31</v>
      </c>
      <c r="D157" s="44" t="s">
        <v>18</v>
      </c>
      <c r="E157" s="45" t="s">
        <v>96</v>
      </c>
      <c r="F157" s="44" t="s">
        <v>135</v>
      </c>
      <c r="G157" s="46" t="s">
        <v>152</v>
      </c>
      <c r="H157" s="46" t="s">
        <v>152</v>
      </c>
      <c r="I157" s="53"/>
      <c r="J157" s="63" t="s">
        <v>530</v>
      </c>
      <c r="K157" s="63" t="s">
        <v>530</v>
      </c>
      <c r="L157" s="63" t="s">
        <v>530</v>
      </c>
    </row>
    <row r="158" spans="1:12" ht="16.2" x14ac:dyDescent="0.4">
      <c r="A158" s="15" t="str">
        <f t="shared" si="2"/>
        <v>cd_imv_out_certifvlr_ncssdd_enrg_prmr</v>
      </c>
      <c r="B158" s="51" t="s">
        <v>11</v>
      </c>
      <c r="C158" s="48" t="s">
        <v>31</v>
      </c>
      <c r="D158" s="44" t="s">
        <v>18</v>
      </c>
      <c r="E158" s="45" t="s">
        <v>96</v>
      </c>
      <c r="F158" s="44" t="s">
        <v>136</v>
      </c>
      <c r="G158" s="46" t="s">
        <v>152</v>
      </c>
      <c r="H158" s="46" t="s">
        <v>152</v>
      </c>
      <c r="I158" s="53"/>
      <c r="J158" s="63" t="s">
        <v>530</v>
      </c>
      <c r="K158" s="63" t="s">
        <v>530</v>
      </c>
      <c r="L158" s="63" t="s">
        <v>530</v>
      </c>
    </row>
    <row r="159" spans="1:12" ht="16.2" x14ac:dyDescent="0.4">
      <c r="A159" s="15" t="str">
        <f t="shared" si="2"/>
        <v>cd_imv_out_certifvlr_ncssdd_enrg_utl_aqcd</v>
      </c>
      <c r="B159" s="51" t="s">
        <v>11</v>
      </c>
      <c r="C159" s="48" t="s">
        <v>31</v>
      </c>
      <c r="D159" s="44" t="s">
        <v>18</v>
      </c>
      <c r="E159" s="45" t="s">
        <v>96</v>
      </c>
      <c r="F159" s="44" t="s">
        <v>137</v>
      </c>
      <c r="G159" s="46" t="s">
        <v>152</v>
      </c>
      <c r="H159" s="46" t="s">
        <v>152</v>
      </c>
      <c r="I159" s="53"/>
      <c r="J159" s="63" t="s">
        <v>530</v>
      </c>
      <c r="K159" s="63" t="s">
        <v>530</v>
      </c>
      <c r="L159" s="63" t="s">
        <v>530</v>
      </c>
    </row>
    <row r="160" spans="1:12" ht="16.2" x14ac:dyDescent="0.4">
      <c r="A160" s="15" t="str">
        <f t="shared" si="2"/>
        <v>cd_imv_out_certifvlr_prd_gnh_invrn_prd_prt</v>
      </c>
      <c r="B160" s="51" t="s">
        <v>11</v>
      </c>
      <c r="C160" s="48" t="s">
        <v>31</v>
      </c>
      <c r="D160" s="44" t="s">
        <v>18</v>
      </c>
      <c r="E160" s="45" t="s">
        <v>96</v>
      </c>
      <c r="F160" s="44" t="s">
        <v>138</v>
      </c>
      <c r="G160" s="46" t="s">
        <v>152</v>
      </c>
      <c r="H160" s="46" t="s">
        <v>152</v>
      </c>
      <c r="I160" s="53"/>
      <c r="J160" s="63" t="s">
        <v>530</v>
      </c>
      <c r="K160" s="63" t="s">
        <v>530</v>
      </c>
      <c r="L160" s="63" t="s">
        <v>530</v>
      </c>
    </row>
    <row r="161" spans="1:12" ht="16.2" x14ac:dyDescent="0.4">
      <c r="A161" s="15" t="str">
        <f t="shared" si="2"/>
        <v>cd_imv_out_certifvlr_prd_gnh_invrn_pvmnt</v>
      </c>
      <c r="B161" s="51" t="s">
        <v>11</v>
      </c>
      <c r="C161" s="48" t="s">
        <v>31</v>
      </c>
      <c r="D161" s="44" t="s">
        <v>18</v>
      </c>
      <c r="E161" s="45" t="s">
        <v>96</v>
      </c>
      <c r="F161" s="44" t="s">
        <v>139</v>
      </c>
      <c r="G161" s="46" t="s">
        <v>152</v>
      </c>
      <c r="H161" s="46" t="s">
        <v>152</v>
      </c>
      <c r="I161" s="53"/>
      <c r="J161" s="63" t="s">
        <v>530</v>
      </c>
      <c r="K161" s="63" t="s">
        <v>530</v>
      </c>
      <c r="L161" s="63" t="s">
        <v>530</v>
      </c>
    </row>
    <row r="162" spans="1:12" ht="16.2" x14ac:dyDescent="0.4">
      <c r="A162" s="15" t="str">
        <f t="shared" si="2"/>
        <v>cd_imv_out_certifvlr_prds_gnhs_invrn_cbrtr</v>
      </c>
      <c r="B162" s="51" t="s">
        <v>11</v>
      </c>
      <c r="C162" s="48" t="s">
        <v>31</v>
      </c>
      <c r="D162" s="44" t="s">
        <v>18</v>
      </c>
      <c r="E162" s="45" t="s">
        <v>96</v>
      </c>
      <c r="F162" s="44" t="s">
        <v>140</v>
      </c>
      <c r="G162" s="46" t="s">
        <v>152</v>
      </c>
      <c r="H162" s="46" t="s">
        <v>152</v>
      </c>
      <c r="I162" s="53"/>
      <c r="J162" s="63" t="s">
        <v>530</v>
      </c>
      <c r="K162" s="63" t="s">
        <v>530</v>
      </c>
      <c r="L162" s="63" t="s">
        <v>530</v>
      </c>
    </row>
    <row r="163" spans="1:12" ht="16.2" x14ac:dyDescent="0.4">
      <c r="A163" s="15" t="str">
        <f t="shared" si="2"/>
        <v>cd_imv_out_certifvlr_prds_gnhs_invrn_jnl</v>
      </c>
      <c r="B163" s="51" t="s">
        <v>11</v>
      </c>
      <c r="C163" s="48" t="s">
        <v>31</v>
      </c>
      <c r="D163" s="44" t="s">
        <v>18</v>
      </c>
      <c r="E163" s="45" t="s">
        <v>96</v>
      </c>
      <c r="F163" s="44" t="s">
        <v>141</v>
      </c>
      <c r="G163" s="46" t="s">
        <v>152</v>
      </c>
      <c r="H163" s="46" t="s">
        <v>152</v>
      </c>
      <c r="I163" s="53"/>
      <c r="J163" s="63" t="s">
        <v>530</v>
      </c>
      <c r="K163" s="63" t="s">
        <v>530</v>
      </c>
      <c r="L163" s="63" t="s">
        <v>530</v>
      </c>
    </row>
    <row r="164" spans="1:12" ht="16.2" x14ac:dyDescent="0.4">
      <c r="A164" s="15" t="str">
        <f t="shared" si="2"/>
        <v>cd_imv_out_certifvlr_prds_gnhs_invrn_rfc</v>
      </c>
      <c r="B164" s="51" t="s">
        <v>11</v>
      </c>
      <c r="C164" s="48" t="s">
        <v>31</v>
      </c>
      <c r="D164" s="44" t="s">
        <v>18</v>
      </c>
      <c r="E164" s="45" t="s">
        <v>96</v>
      </c>
      <c r="F164" s="44" t="s">
        <v>142</v>
      </c>
      <c r="G164" s="46" t="s">
        <v>152</v>
      </c>
      <c r="H164" s="46" t="s">
        <v>152</v>
      </c>
      <c r="I164" s="53"/>
      <c r="J164" s="63" t="s">
        <v>530</v>
      </c>
      <c r="K164" s="63" t="s">
        <v>530</v>
      </c>
      <c r="L164" s="63" t="s">
        <v>530</v>
      </c>
    </row>
    <row r="165" spans="1:12" ht="16.2" x14ac:dyDescent="0.4">
      <c r="A165" s="15" t="str">
        <f t="shared" si="2"/>
        <v>cd_imv_out_certifvlr_prds_gnhs_invrn_vntnh</v>
      </c>
      <c r="B165" s="51" t="s">
        <v>11</v>
      </c>
      <c r="C165" s="48" t="s">
        <v>31</v>
      </c>
      <c r="D165" s="44" t="s">
        <v>18</v>
      </c>
      <c r="E165" s="45" t="s">
        <v>96</v>
      </c>
      <c r="F165" s="44" t="s">
        <v>143</v>
      </c>
      <c r="G165" s="46" t="s">
        <v>152</v>
      </c>
      <c r="H165" s="46" t="s">
        <v>152</v>
      </c>
      <c r="I165" s="53"/>
      <c r="J165" s="63" t="s">
        <v>530</v>
      </c>
      <c r="K165" s="63" t="s">
        <v>530</v>
      </c>
      <c r="L165" s="63" t="s">
        <v>530</v>
      </c>
    </row>
    <row r="166" spans="1:12" ht="16.2" x14ac:dyDescent="0.4">
      <c r="A166" s="15" t="str">
        <f t="shared" si="2"/>
        <v>cd_imv_out_certifvlr_prds_gnhs_vr_cbrtr</v>
      </c>
      <c r="B166" s="51" t="s">
        <v>11</v>
      </c>
      <c r="C166" s="48" t="s">
        <v>31</v>
      </c>
      <c r="D166" s="44" t="s">
        <v>18</v>
      </c>
      <c r="E166" s="45" t="s">
        <v>96</v>
      </c>
      <c r="F166" s="44" t="s">
        <v>144</v>
      </c>
      <c r="G166" s="46" t="s">
        <v>152</v>
      </c>
      <c r="H166" s="46" t="s">
        <v>152</v>
      </c>
      <c r="I166" s="53"/>
      <c r="J166" s="63" t="s">
        <v>530</v>
      </c>
      <c r="K166" s="63" t="s">
        <v>530</v>
      </c>
      <c r="L166" s="63" t="s">
        <v>530</v>
      </c>
    </row>
    <row r="167" spans="1:12" ht="16.2" x14ac:dyDescent="0.4">
      <c r="A167" s="15" t="str">
        <f t="shared" si="2"/>
        <v>cd_imv_out_certifvlr_prds_gnhs_vr_jnl</v>
      </c>
      <c r="B167" s="51" t="s">
        <v>11</v>
      </c>
      <c r="C167" s="48" t="s">
        <v>31</v>
      </c>
      <c r="D167" s="44" t="s">
        <v>18</v>
      </c>
      <c r="E167" s="45" t="s">
        <v>96</v>
      </c>
      <c r="F167" s="44" t="s">
        <v>145</v>
      </c>
      <c r="G167" s="46" t="s">
        <v>152</v>
      </c>
      <c r="H167" s="46" t="s">
        <v>152</v>
      </c>
      <c r="I167" s="53"/>
      <c r="J167" s="63" t="s">
        <v>530</v>
      </c>
      <c r="K167" s="63" t="s">
        <v>530</v>
      </c>
      <c r="L167" s="63" t="s">
        <v>530</v>
      </c>
    </row>
    <row r="168" spans="1:12" ht="16.2" x14ac:dyDescent="0.4">
      <c r="A168" s="15" t="str">
        <f t="shared" si="2"/>
        <v>cd_imv_out_certifvlr_prds_gnhs_vr_prd_prt</v>
      </c>
      <c r="B168" s="51" t="s">
        <v>11</v>
      </c>
      <c r="C168" s="48" t="s">
        <v>31</v>
      </c>
      <c r="D168" s="44" t="s">
        <v>18</v>
      </c>
      <c r="E168" s="45" t="s">
        <v>96</v>
      </c>
      <c r="F168" s="44" t="s">
        <v>146</v>
      </c>
      <c r="G168" s="46" t="s">
        <v>152</v>
      </c>
      <c r="H168" s="46" t="s">
        <v>152</v>
      </c>
      <c r="I168" s="53"/>
      <c r="J168" s="63" t="s">
        <v>530</v>
      </c>
      <c r="K168" s="63" t="s">
        <v>530</v>
      </c>
      <c r="L168" s="63" t="s">
        <v>530</v>
      </c>
    </row>
    <row r="169" spans="1:12" ht="16.2" x14ac:dyDescent="0.4">
      <c r="A169" s="15" t="str">
        <f t="shared" si="2"/>
        <v>cd_imv_out_certifvlr_prds_gnhs_vr_rfrc</v>
      </c>
      <c r="B169" s="51" t="s">
        <v>11</v>
      </c>
      <c r="C169" s="48" t="s">
        <v>31</v>
      </c>
      <c r="D169" s="44" t="s">
        <v>18</v>
      </c>
      <c r="E169" s="45" t="s">
        <v>96</v>
      </c>
      <c r="F169" s="44" t="s">
        <v>147</v>
      </c>
      <c r="G169" s="46" t="s">
        <v>152</v>
      </c>
      <c r="H169" s="46" t="s">
        <v>152</v>
      </c>
      <c r="I169" s="53"/>
      <c r="J169" s="63" t="s">
        <v>530</v>
      </c>
      <c r="K169" s="63" t="s">
        <v>530</v>
      </c>
      <c r="L169" s="63" t="s">
        <v>530</v>
      </c>
    </row>
    <row r="170" spans="1:12" ht="16.2" x14ac:dyDescent="0.4">
      <c r="A170" s="15" t="str">
        <f t="shared" si="2"/>
        <v>cd_imv_out_certifvlr_rdc_anl_estmd_ftr</v>
      </c>
      <c r="B170" s="51" t="s">
        <v>11</v>
      </c>
      <c r="C170" s="48" t="s">
        <v>31</v>
      </c>
      <c r="D170" s="44" t="s">
        <v>18</v>
      </c>
      <c r="E170" s="45" t="s">
        <v>96</v>
      </c>
      <c r="F170" s="44" t="s">
        <v>148</v>
      </c>
      <c r="G170" s="46" t="s">
        <v>152</v>
      </c>
      <c r="H170" s="46" t="s">
        <v>152</v>
      </c>
      <c r="I170" s="53"/>
      <c r="J170" s="63" t="s">
        <v>530</v>
      </c>
      <c r="K170" s="63" t="s">
        <v>530</v>
      </c>
      <c r="L170" s="63" t="s">
        <v>530</v>
      </c>
    </row>
    <row r="171" spans="1:12" ht="16.2" x14ac:dyDescent="0.4">
      <c r="A171" s="15" t="str">
        <f t="shared" si="2"/>
        <v>cd_imv_out_certifvlr_tmprtr_md_extrr</v>
      </c>
      <c r="B171" s="51" t="s">
        <v>11</v>
      </c>
      <c r="C171" s="48" t="s">
        <v>31</v>
      </c>
      <c r="D171" s="44" t="s">
        <v>18</v>
      </c>
      <c r="E171" s="45" t="s">
        <v>96</v>
      </c>
      <c r="F171" s="44" t="s">
        <v>149</v>
      </c>
      <c r="G171" s="46" t="s">
        <v>152</v>
      </c>
      <c r="H171" s="46" t="s">
        <v>152</v>
      </c>
      <c r="I171" s="53"/>
      <c r="J171" s="63" t="s">
        <v>530</v>
      </c>
      <c r="K171" s="63" t="s">
        <v>530</v>
      </c>
      <c r="L171" s="63" t="s">
        <v>530</v>
      </c>
    </row>
    <row r="172" spans="1:12" ht="16.2" x14ac:dyDescent="0.4">
      <c r="A172" s="15" t="str">
        <f t="shared" si="2"/>
        <v>cd_imv_out_certifzn_clmtc_invrn</v>
      </c>
      <c r="B172" s="51" t="s">
        <v>11</v>
      </c>
      <c r="C172" s="48" t="s">
        <v>31</v>
      </c>
      <c r="D172" s="44" t="s">
        <v>18</v>
      </c>
      <c r="E172" s="45" t="s">
        <v>96</v>
      </c>
      <c r="F172" s="44" t="s">
        <v>150</v>
      </c>
      <c r="G172" s="46" t="s">
        <v>152</v>
      </c>
      <c r="H172" s="46" t="s">
        <v>152</v>
      </c>
      <c r="I172" s="53"/>
      <c r="J172" s="63" t="s">
        <v>530</v>
      </c>
      <c r="K172" s="63" t="s">
        <v>530</v>
      </c>
      <c r="L172" s="63" t="s">
        <v>530</v>
      </c>
    </row>
    <row r="173" spans="1:12" ht="16.2" x14ac:dyDescent="0.4">
      <c r="A173" s="15" t="str">
        <f t="shared" si="2"/>
        <v>cd_imv_out_certifzn_clmtc_vr</v>
      </c>
      <c r="B173" s="51" t="s">
        <v>11</v>
      </c>
      <c r="C173" s="48" t="s">
        <v>31</v>
      </c>
      <c r="D173" s="44" t="s">
        <v>18</v>
      </c>
      <c r="E173" s="45" t="s">
        <v>96</v>
      </c>
      <c r="F173" s="44" t="s">
        <v>151</v>
      </c>
      <c r="G173" s="46" t="s">
        <v>152</v>
      </c>
      <c r="H173" s="46" t="s">
        <v>152</v>
      </c>
      <c r="I173" s="53"/>
      <c r="J173" s="63" t="s">
        <v>530</v>
      </c>
      <c r="K173" s="63" t="s">
        <v>530</v>
      </c>
      <c r="L173" s="63" t="s">
        <v>530</v>
      </c>
    </row>
    <row r="174" spans="1:12" ht="16.2" x14ac:dyDescent="0.4">
      <c r="A174" s="15" t="str">
        <f t="shared" si="2"/>
        <v>modesg_param_sfcs_taxon_europeian.a.</v>
      </c>
      <c r="B174" s="51" t="s">
        <v>11</v>
      </c>
      <c r="C174" s="48" t="s">
        <v>153</v>
      </c>
      <c r="D174" s="44" t="s">
        <v>15</v>
      </c>
      <c r="E174" s="45" t="s">
        <v>154</v>
      </c>
      <c r="F174" s="44" t="s">
        <v>17</v>
      </c>
      <c r="G174" s="46" t="s">
        <v>439</v>
      </c>
      <c r="H174" s="46" t="s">
        <v>439</v>
      </c>
      <c r="I174" s="53"/>
      <c r="J174" s="63" t="s">
        <v>530</v>
      </c>
      <c r="K174" s="63" t="s">
        <v>530</v>
      </c>
      <c r="L174" s="63" t="s">
        <v>530</v>
      </c>
    </row>
    <row r="175" spans="1:12" ht="16.2" x14ac:dyDescent="0.4">
      <c r="A175" s="15" t="str">
        <f t="shared" si="2"/>
        <v>modesg_param_sfcs_taxon_europeiacbalcao</v>
      </c>
      <c r="B175" s="51" t="s">
        <v>11</v>
      </c>
      <c r="C175" s="48" t="s">
        <v>153</v>
      </c>
      <c r="D175" s="44" t="s">
        <v>18</v>
      </c>
      <c r="E175" s="45" t="s">
        <v>154</v>
      </c>
      <c r="F175" s="44" t="s">
        <v>155</v>
      </c>
      <c r="G175" s="46" t="s">
        <v>437</v>
      </c>
      <c r="H175" s="46" t="s">
        <v>437</v>
      </c>
      <c r="I175" s="64"/>
      <c r="J175" s="63" t="s">
        <v>530</v>
      </c>
      <c r="K175" s="63" t="s">
        <v>530</v>
      </c>
      <c r="L175" s="63" t="s">
        <v>530</v>
      </c>
    </row>
    <row r="176" spans="1:12" ht="16.2" x14ac:dyDescent="0.4">
      <c r="A176" s="15" t="str">
        <f t="shared" si="2"/>
        <v>modesg_param_sfcs_taxon_europeiacempresa</v>
      </c>
      <c r="B176" s="51" t="s">
        <v>11</v>
      </c>
      <c r="C176" s="48" t="s">
        <v>153</v>
      </c>
      <c r="D176" s="44" t="s">
        <v>18</v>
      </c>
      <c r="E176" s="45" t="s">
        <v>154</v>
      </c>
      <c r="F176" s="44" t="s">
        <v>34</v>
      </c>
      <c r="G176" s="46" t="s">
        <v>437</v>
      </c>
      <c r="H176" s="46" t="s">
        <v>437</v>
      </c>
      <c r="I176" s="64"/>
      <c r="J176" s="63" t="s">
        <v>530</v>
      </c>
      <c r="K176" s="63" t="s">
        <v>530</v>
      </c>
      <c r="L176" s="63" t="s">
        <v>530</v>
      </c>
    </row>
    <row r="177" spans="1:12" ht="16.2" x14ac:dyDescent="0.4">
      <c r="A177" s="15" t="str">
        <f t="shared" si="2"/>
        <v>modesg_param_sfcs_taxon_europeiackmetamis</v>
      </c>
      <c r="B177" s="51" t="s">
        <v>11</v>
      </c>
      <c r="C177" s="48" t="s">
        <v>153</v>
      </c>
      <c r="D177" s="44" t="s">
        <v>18</v>
      </c>
      <c r="E177" s="45" t="s">
        <v>154</v>
      </c>
      <c r="F177" s="44" t="s">
        <v>156</v>
      </c>
      <c r="G177" s="46" t="s">
        <v>437</v>
      </c>
      <c r="H177" s="46" t="s">
        <v>437</v>
      </c>
      <c r="I177" s="64"/>
      <c r="J177" s="63" t="s">
        <v>530</v>
      </c>
      <c r="K177" s="63" t="s">
        <v>530</v>
      </c>
      <c r="L177" s="63" t="s">
        <v>530</v>
      </c>
    </row>
    <row r="178" spans="1:12" ht="16.2" x14ac:dyDescent="0.4">
      <c r="A178" s="15" t="str">
        <f t="shared" si="2"/>
        <v>modesg_param_sfcs_taxon_europeiackprodmi</v>
      </c>
      <c r="B178" s="51" t="s">
        <v>11</v>
      </c>
      <c r="C178" s="48" t="s">
        <v>153</v>
      </c>
      <c r="D178" s="44" t="s">
        <v>18</v>
      </c>
      <c r="E178" s="45" t="s">
        <v>154</v>
      </c>
      <c r="F178" s="44" t="s">
        <v>157</v>
      </c>
      <c r="G178" s="46" t="s">
        <v>437</v>
      </c>
      <c r="H178" s="46" t="s">
        <v>437</v>
      </c>
      <c r="I178" s="64"/>
      <c r="J178" s="63" t="s">
        <v>530</v>
      </c>
      <c r="K178" s="63" t="s">
        <v>530</v>
      </c>
      <c r="L178" s="63" t="s">
        <v>530</v>
      </c>
    </row>
    <row r="179" spans="1:12" ht="16.2" x14ac:dyDescent="0.4">
      <c r="A179" s="15" t="str">
        <f t="shared" si="2"/>
        <v>modesg_param_sfcs_taxon_europeiacmetanseg</v>
      </c>
      <c r="B179" s="51" t="s">
        <v>11</v>
      </c>
      <c r="C179" s="48" t="s">
        <v>153</v>
      </c>
      <c r="D179" s="44" t="s">
        <v>18</v>
      </c>
      <c r="E179" s="45" t="s">
        <v>154</v>
      </c>
      <c r="F179" s="44" t="s">
        <v>158</v>
      </c>
      <c r="G179" s="46" t="s">
        <v>437</v>
      </c>
      <c r="H179" s="46" t="s">
        <v>437</v>
      </c>
      <c r="I179" s="64"/>
      <c r="J179" s="63" t="s">
        <v>530</v>
      </c>
      <c r="K179" s="63" t="s">
        <v>530</v>
      </c>
      <c r="L179" s="63" t="s">
        <v>530</v>
      </c>
    </row>
    <row r="180" spans="1:12" ht="16.2" x14ac:dyDescent="0.4">
      <c r="A180" s="15" t="str">
        <f t="shared" si="2"/>
        <v>modesg_param_sfcs_taxon_europeiacnsm_co2</v>
      </c>
      <c r="B180" s="51" t="s">
        <v>11</v>
      </c>
      <c r="C180" s="48" t="s">
        <v>153</v>
      </c>
      <c r="D180" s="44" t="s">
        <v>18</v>
      </c>
      <c r="E180" s="45" t="s">
        <v>154</v>
      </c>
      <c r="F180" s="44" t="s">
        <v>159</v>
      </c>
      <c r="G180" s="46" t="s">
        <v>437</v>
      </c>
      <c r="H180" s="46" t="s">
        <v>437</v>
      </c>
      <c r="I180" s="64"/>
      <c r="J180" s="63" t="s">
        <v>530</v>
      </c>
      <c r="K180" s="63" t="s">
        <v>530</v>
      </c>
      <c r="L180" s="63" t="s">
        <v>530</v>
      </c>
    </row>
    <row r="181" spans="1:12" ht="16.2" x14ac:dyDescent="0.4">
      <c r="A181" s="15" t="str">
        <f t="shared" si="2"/>
        <v>modesg_param_sfcs_taxon_europeiacnumecta</v>
      </c>
      <c r="B181" s="51" t="s">
        <v>11</v>
      </c>
      <c r="C181" s="48" t="s">
        <v>153</v>
      </c>
      <c r="D181" s="44" t="s">
        <v>18</v>
      </c>
      <c r="E181" s="45" t="s">
        <v>154</v>
      </c>
      <c r="F181" s="44" t="s">
        <v>160</v>
      </c>
      <c r="G181" s="46" t="s">
        <v>437</v>
      </c>
      <c r="H181" s="46" t="s">
        <v>437</v>
      </c>
      <c r="I181" s="64"/>
      <c r="J181" s="63" t="s">
        <v>530</v>
      </c>
      <c r="K181" s="63" t="s">
        <v>530</v>
      </c>
      <c r="L181" s="63" t="s">
        <v>530</v>
      </c>
    </row>
    <row r="182" spans="1:12" ht="16.2" x14ac:dyDescent="0.4">
      <c r="A182" s="15" t="str">
        <f t="shared" si="2"/>
        <v>modesg_param_sfcs_taxon_europeiacod_lease</v>
      </c>
      <c r="B182" s="51" t="s">
        <v>11</v>
      </c>
      <c r="C182" s="48" t="s">
        <v>153</v>
      </c>
      <c r="D182" s="44" t="s">
        <v>18</v>
      </c>
      <c r="E182" s="45" t="s">
        <v>154</v>
      </c>
      <c r="F182" s="44" t="s">
        <v>161</v>
      </c>
      <c r="G182" s="46" t="s">
        <v>437</v>
      </c>
      <c r="H182" s="46" t="s">
        <v>437</v>
      </c>
      <c r="I182" s="64"/>
      <c r="J182" s="63" t="s">
        <v>530</v>
      </c>
      <c r="K182" s="63" t="s">
        <v>530</v>
      </c>
      <c r="L182" s="63" t="s">
        <v>530</v>
      </c>
    </row>
    <row r="183" spans="1:12" ht="16.2" x14ac:dyDescent="0.4">
      <c r="A183" s="15" t="str">
        <f t="shared" si="2"/>
        <v>modesg_param_sfcs_taxon_europeiacod_regra</v>
      </c>
      <c r="B183" s="51" t="s">
        <v>11</v>
      </c>
      <c r="C183" s="48" t="s">
        <v>153</v>
      </c>
      <c r="D183" s="44" t="s">
        <v>18</v>
      </c>
      <c r="E183" s="45" t="s">
        <v>154</v>
      </c>
      <c r="F183" s="44" t="s">
        <v>162</v>
      </c>
      <c r="G183" s="46" t="s">
        <v>439</v>
      </c>
      <c r="H183" s="46" t="s">
        <v>439</v>
      </c>
      <c r="I183" s="53"/>
      <c r="J183" s="63" t="s">
        <v>530</v>
      </c>
      <c r="K183" s="63" t="s">
        <v>530</v>
      </c>
      <c r="L183" s="63" t="s">
        <v>530</v>
      </c>
    </row>
    <row r="184" spans="1:12" ht="16.2" x14ac:dyDescent="0.4">
      <c r="A184" s="15" t="str">
        <f t="shared" si="2"/>
        <v>modesg_param_sfcs_taxon_europeiacomite</v>
      </c>
      <c r="B184" s="51" t="s">
        <v>11</v>
      </c>
      <c r="C184" s="48" t="s">
        <v>153</v>
      </c>
      <c r="D184" s="44" t="s">
        <v>18</v>
      </c>
      <c r="E184" s="45" t="s">
        <v>154</v>
      </c>
      <c r="F184" s="44" t="s">
        <v>163</v>
      </c>
      <c r="G184" s="46" t="s">
        <v>439</v>
      </c>
      <c r="H184" s="46" t="s">
        <v>439</v>
      </c>
      <c r="I184" s="53"/>
      <c r="J184" s="63" t="s">
        <v>530</v>
      </c>
      <c r="K184" s="63" t="s">
        <v>530</v>
      </c>
      <c r="L184" s="63" t="s">
        <v>530</v>
      </c>
    </row>
    <row r="185" spans="1:12" ht="16.2" x14ac:dyDescent="0.4">
      <c r="A185" s="15" t="str">
        <f t="shared" si="2"/>
        <v>modesg_param_sfcs_taxon_europeiadata_aprvc</v>
      </c>
      <c r="B185" s="51" t="s">
        <v>11</v>
      </c>
      <c r="C185" s="48" t="s">
        <v>153</v>
      </c>
      <c r="D185" s="44" t="s">
        <v>18</v>
      </c>
      <c r="E185" s="45" t="s">
        <v>154</v>
      </c>
      <c r="F185" s="44" t="s">
        <v>164</v>
      </c>
      <c r="G185" s="46" t="s">
        <v>439</v>
      </c>
      <c r="H185" s="46" t="s">
        <v>439</v>
      </c>
      <c r="I185" s="53"/>
      <c r="J185" s="63" t="s">
        <v>530</v>
      </c>
      <c r="K185" s="63" t="s">
        <v>530</v>
      </c>
      <c r="L185" s="63" t="s">
        <v>530</v>
      </c>
    </row>
    <row r="186" spans="1:12" ht="16.2" x14ac:dyDescent="0.4">
      <c r="A186" s="15" t="str">
        <f t="shared" si="2"/>
        <v>modesg_param_sfcs_taxon_europeiadata_final</v>
      </c>
      <c r="B186" s="51" t="s">
        <v>11</v>
      </c>
      <c r="C186" s="48" t="s">
        <v>153</v>
      </c>
      <c r="D186" s="44" t="s">
        <v>18</v>
      </c>
      <c r="E186" s="45" t="s">
        <v>154</v>
      </c>
      <c r="F186" s="44" t="s">
        <v>165</v>
      </c>
      <c r="G186" s="46" t="s">
        <v>439</v>
      </c>
      <c r="H186" s="46" t="s">
        <v>439</v>
      </c>
      <c r="I186" s="53"/>
      <c r="J186" s="63" t="s">
        <v>530</v>
      </c>
      <c r="K186" s="63" t="s">
        <v>530</v>
      </c>
      <c r="L186" s="63" t="s">
        <v>530</v>
      </c>
    </row>
    <row r="187" spans="1:12" ht="16.2" x14ac:dyDescent="0.4">
      <c r="A187" s="15" t="str">
        <f t="shared" si="2"/>
        <v>modesg_param_sfcs_taxon_europeiadata_inicial</v>
      </c>
      <c r="B187" s="51" t="s">
        <v>11</v>
      </c>
      <c r="C187" s="48" t="s">
        <v>153</v>
      </c>
      <c r="D187" s="44" t="s">
        <v>18</v>
      </c>
      <c r="E187" s="45" t="s">
        <v>154</v>
      </c>
      <c r="F187" s="44" t="s">
        <v>166</v>
      </c>
      <c r="G187" s="46" t="s">
        <v>439</v>
      </c>
      <c r="H187" s="46" t="s">
        <v>439</v>
      </c>
      <c r="I187" s="53"/>
      <c r="J187" s="63" t="s">
        <v>530</v>
      </c>
      <c r="K187" s="63" t="s">
        <v>530</v>
      </c>
      <c r="L187" s="63" t="s">
        <v>530</v>
      </c>
    </row>
    <row r="188" spans="1:12" ht="16.2" x14ac:dyDescent="0.4">
      <c r="A188" s="15" t="str">
        <f t="shared" si="2"/>
        <v>modesg_param_sfcs_taxon_europeiadominio</v>
      </c>
      <c r="B188" s="51" t="s">
        <v>11</v>
      </c>
      <c r="C188" s="48" t="s">
        <v>153</v>
      </c>
      <c r="D188" s="44" t="s">
        <v>18</v>
      </c>
      <c r="E188" s="45" t="s">
        <v>154</v>
      </c>
      <c r="F188" s="44" t="s">
        <v>167</v>
      </c>
      <c r="G188" s="46" t="s">
        <v>437</v>
      </c>
      <c r="H188" s="46" t="s">
        <v>437</v>
      </c>
      <c r="I188" s="64"/>
      <c r="J188" s="63" t="s">
        <v>530</v>
      </c>
      <c r="K188" s="63" t="s">
        <v>530</v>
      </c>
      <c r="L188" s="63" t="s">
        <v>530</v>
      </c>
    </row>
    <row r="189" spans="1:12" ht="16.2" x14ac:dyDescent="0.4">
      <c r="A189" s="15" t="str">
        <f t="shared" si="2"/>
        <v>modesg_param_sfcs_taxon_europeiadscrc</v>
      </c>
      <c r="B189" s="51" t="s">
        <v>11</v>
      </c>
      <c r="C189" s="48" t="s">
        <v>153</v>
      </c>
      <c r="D189" s="44" t="s">
        <v>18</v>
      </c>
      <c r="E189" s="45" t="s">
        <v>154</v>
      </c>
      <c r="F189" s="44" t="s">
        <v>168</v>
      </c>
      <c r="G189" s="46" t="s">
        <v>437</v>
      </c>
      <c r="H189" s="46" t="s">
        <v>437</v>
      </c>
      <c r="I189" s="64"/>
      <c r="J189" s="63" t="s">
        <v>530</v>
      </c>
      <c r="K189" s="63" t="s">
        <v>530</v>
      </c>
      <c r="L189" s="63" t="s">
        <v>530</v>
      </c>
    </row>
    <row r="190" spans="1:12" ht="16.2" x14ac:dyDescent="0.4">
      <c r="A190" s="15" t="str">
        <f t="shared" si="2"/>
        <v>modesg_param_sfcs_taxon_europeiaepc</v>
      </c>
      <c r="B190" s="51" t="s">
        <v>11</v>
      </c>
      <c r="C190" s="48" t="s">
        <v>153</v>
      </c>
      <c r="D190" s="44" t="s">
        <v>18</v>
      </c>
      <c r="E190" s="45" t="s">
        <v>154</v>
      </c>
      <c r="F190" s="44" t="s">
        <v>25</v>
      </c>
      <c r="G190" s="46" t="s">
        <v>437</v>
      </c>
      <c r="H190" s="46" t="s">
        <v>437</v>
      </c>
      <c r="I190" s="64"/>
      <c r="J190" s="63" t="s">
        <v>530</v>
      </c>
      <c r="K190" s="63" t="s">
        <v>530</v>
      </c>
      <c r="L190" s="63" t="s">
        <v>530</v>
      </c>
    </row>
    <row r="191" spans="1:12" ht="16.2" x14ac:dyDescent="0.4">
      <c r="A191" s="15" t="str">
        <f t="shared" si="2"/>
        <v>modesg_param_sfcs_taxon_europeiaflag_project_finance</v>
      </c>
      <c r="B191" s="51" t="s">
        <v>11</v>
      </c>
      <c r="C191" s="48" t="s">
        <v>153</v>
      </c>
      <c r="D191" s="44" t="s">
        <v>18</v>
      </c>
      <c r="E191" s="45" t="s">
        <v>154</v>
      </c>
      <c r="F191" s="44" t="s">
        <v>169</v>
      </c>
      <c r="G191" s="46" t="s">
        <v>439</v>
      </c>
      <c r="H191" s="46" t="s">
        <v>439</v>
      </c>
      <c r="I191" s="54" t="s">
        <v>461</v>
      </c>
      <c r="J191" s="63" t="s">
        <v>530</v>
      </c>
      <c r="K191" s="63" t="s">
        <v>530</v>
      </c>
      <c r="L191" s="63" t="s">
        <v>530</v>
      </c>
    </row>
    <row r="192" spans="1:12" ht="16.2" x14ac:dyDescent="0.4">
      <c r="A192" s="15" t="str">
        <f t="shared" si="2"/>
        <v>modesg_param_sfcs_taxon_europeiacfinalidad</v>
      </c>
      <c r="B192" s="51" t="s">
        <v>11</v>
      </c>
      <c r="C192" s="48" t="s">
        <v>153</v>
      </c>
      <c r="D192" s="44" t="s">
        <v>18</v>
      </c>
      <c r="E192" s="45" t="s">
        <v>154</v>
      </c>
      <c r="F192" s="44" t="s">
        <v>170</v>
      </c>
      <c r="G192" s="46" t="s">
        <v>439</v>
      </c>
      <c r="H192" s="46" t="s">
        <v>439</v>
      </c>
      <c r="I192" s="54" t="s">
        <v>461</v>
      </c>
      <c r="J192" s="63" t="s">
        <v>530</v>
      </c>
      <c r="K192" s="63" t="s">
        <v>530</v>
      </c>
      <c r="L192" s="63" t="s">
        <v>530</v>
      </c>
    </row>
    <row r="193" spans="1:12" ht="16.2" x14ac:dyDescent="0.4">
      <c r="A193" s="15" t="str">
        <f t="shared" si="2"/>
        <v>modesg_param_sfcs_taxon_europeiatipo_combust</v>
      </c>
      <c r="B193" s="51" t="s">
        <v>11</v>
      </c>
      <c r="C193" s="48" t="s">
        <v>153</v>
      </c>
      <c r="D193" s="44" t="s">
        <v>18</v>
      </c>
      <c r="E193" s="45" t="s">
        <v>154</v>
      </c>
      <c r="F193" s="44" t="s">
        <v>171</v>
      </c>
      <c r="G193" s="46" t="s">
        <v>439</v>
      </c>
      <c r="H193" s="46" t="s">
        <v>439</v>
      </c>
      <c r="I193" s="54" t="s">
        <v>462</v>
      </c>
      <c r="J193" s="63" t="s">
        <v>530</v>
      </c>
      <c r="K193" s="63" t="s">
        <v>530</v>
      </c>
      <c r="L193" s="63" t="s">
        <v>530</v>
      </c>
    </row>
    <row r="194" spans="1:12" ht="16.2" x14ac:dyDescent="0.4">
      <c r="A194" s="15" t="str">
        <f t="shared" si="2"/>
        <v>modesg_param_sfcs_taxon_europeiamontante_pndrc</v>
      </c>
      <c r="B194" s="51" t="s">
        <v>11</v>
      </c>
      <c r="C194" s="48" t="s">
        <v>153</v>
      </c>
      <c r="D194" s="44" t="s">
        <v>18</v>
      </c>
      <c r="E194" s="45" t="s">
        <v>154</v>
      </c>
      <c r="F194" s="44" t="s">
        <v>172</v>
      </c>
      <c r="G194" s="46" t="s">
        <v>439</v>
      </c>
      <c r="H194" s="46" t="s">
        <v>439</v>
      </c>
      <c r="I194" s="53"/>
      <c r="J194" s="63" t="s">
        <v>530</v>
      </c>
      <c r="K194" s="63" t="s">
        <v>530</v>
      </c>
      <c r="L194" s="63" t="s">
        <v>530</v>
      </c>
    </row>
    <row r="195" spans="1:12" ht="16.2" x14ac:dyDescent="0.4">
      <c r="A195" s="15" t="str">
        <f t="shared" si="2"/>
        <v>modesg_param_sfcs_taxon_europeianome_ctgr_sfcs</v>
      </c>
      <c r="B195" s="51" t="s">
        <v>11</v>
      </c>
      <c r="C195" s="48" t="s">
        <v>153</v>
      </c>
      <c r="D195" s="44" t="s">
        <v>18</v>
      </c>
      <c r="E195" s="45" t="s">
        <v>154</v>
      </c>
      <c r="F195" s="44" t="s">
        <v>173</v>
      </c>
      <c r="G195" s="46" t="s">
        <v>439</v>
      </c>
      <c r="H195" s="46" t="s">
        <v>439</v>
      </c>
      <c r="I195" s="53"/>
      <c r="J195" s="63" t="s">
        <v>530</v>
      </c>
      <c r="K195" s="63" t="s">
        <v>530</v>
      </c>
      <c r="L195" s="63" t="s">
        <v>530</v>
      </c>
    </row>
    <row r="196" spans="1:12" ht="16.2" x14ac:dyDescent="0.4">
      <c r="A196" s="15" t="str">
        <f t="shared" si="2"/>
        <v>modesg_param_sfcs_taxon_europeianome_general_specific_purpose</v>
      </c>
      <c r="B196" s="51" t="s">
        <v>11</v>
      </c>
      <c r="C196" s="48" t="s">
        <v>153</v>
      </c>
      <c r="D196" s="44" t="s">
        <v>18</v>
      </c>
      <c r="E196" s="45" t="s">
        <v>154</v>
      </c>
      <c r="F196" s="44" t="s">
        <v>174</v>
      </c>
      <c r="G196" s="46" t="s">
        <v>437</v>
      </c>
      <c r="H196" s="46" t="s">
        <v>437</v>
      </c>
      <c r="I196" s="64"/>
      <c r="J196" s="63" t="s">
        <v>530</v>
      </c>
      <c r="K196" s="63" t="s">
        <v>530</v>
      </c>
      <c r="L196" s="63" t="s">
        <v>530</v>
      </c>
    </row>
    <row r="197" spans="1:12" ht="16.2" x14ac:dyDescent="0.4">
      <c r="A197" s="15" t="str">
        <f t="shared" si="2"/>
        <v>modesg_param_sfcs_taxon_europeianome_purpose_esg</v>
      </c>
      <c r="B197" s="51" t="s">
        <v>11</v>
      </c>
      <c r="C197" s="48" t="s">
        <v>153</v>
      </c>
      <c r="D197" s="44" t="s">
        <v>18</v>
      </c>
      <c r="E197" s="45" t="s">
        <v>154</v>
      </c>
      <c r="F197" s="44" t="s">
        <v>175</v>
      </c>
      <c r="G197" s="46" t="s">
        <v>437</v>
      </c>
      <c r="H197" s="46" t="s">
        <v>437</v>
      </c>
      <c r="I197" s="64"/>
      <c r="J197" s="63" t="s">
        <v>530</v>
      </c>
      <c r="K197" s="63" t="s">
        <v>530</v>
      </c>
      <c r="L197" s="63" t="s">
        <v>530</v>
      </c>
    </row>
    <row r="198" spans="1:12" ht="16.2" x14ac:dyDescent="0.4">
      <c r="A198" s="15" t="str">
        <f t="shared" si="2"/>
        <v>modesg_param_sfcs_taxon_europeianome_specific_eligible</v>
      </c>
      <c r="B198" s="51" t="s">
        <v>11</v>
      </c>
      <c r="C198" s="48" t="s">
        <v>153</v>
      </c>
      <c r="D198" s="44" t="s">
        <v>18</v>
      </c>
      <c r="E198" s="45" t="s">
        <v>154</v>
      </c>
      <c r="F198" s="44" t="s">
        <v>176</v>
      </c>
      <c r="G198" s="46" t="s">
        <v>437</v>
      </c>
      <c r="H198" s="46" t="s">
        <v>437</v>
      </c>
      <c r="I198" s="64"/>
      <c r="J198" s="63" t="s">
        <v>530</v>
      </c>
      <c r="K198" s="63" t="s">
        <v>530</v>
      </c>
      <c r="L198" s="63" t="s">
        <v>530</v>
      </c>
    </row>
    <row r="199" spans="1:12" ht="16.2" x14ac:dyDescent="0.4">
      <c r="A199" s="15" t="str">
        <f t="shared" si="2"/>
        <v>modesg_param_sfcs_taxon_europeianome_specific_sustainable</v>
      </c>
      <c r="B199" s="51" t="s">
        <v>11</v>
      </c>
      <c r="C199" s="48" t="s">
        <v>153</v>
      </c>
      <c r="D199" s="44" t="s">
        <v>18</v>
      </c>
      <c r="E199" s="45" t="s">
        <v>154</v>
      </c>
      <c r="F199" s="44" t="s">
        <v>177</v>
      </c>
      <c r="G199" s="46" t="s">
        <v>437</v>
      </c>
      <c r="H199" s="46" t="s">
        <v>437</v>
      </c>
      <c r="I199" s="64"/>
      <c r="J199" s="63" t="s">
        <v>530</v>
      </c>
      <c r="K199" s="63" t="s">
        <v>530</v>
      </c>
      <c r="L199" s="63" t="s">
        <v>530</v>
      </c>
    </row>
    <row r="200" spans="1:12" ht="16.2" x14ac:dyDescent="0.4">
      <c r="A200" s="15" t="str">
        <f t="shared" ref="A200:A263" si="3">E200&amp;F200</f>
        <v>modesg_param_sfcs_taxon_europeiaref_date</v>
      </c>
      <c r="B200" s="51" t="s">
        <v>11</v>
      </c>
      <c r="C200" s="48" t="s">
        <v>153</v>
      </c>
      <c r="D200" s="44" t="s">
        <v>18</v>
      </c>
      <c r="E200" s="45" t="s">
        <v>154</v>
      </c>
      <c r="F200" s="44" t="s">
        <v>50</v>
      </c>
      <c r="G200" s="46" t="s">
        <v>437</v>
      </c>
      <c r="H200" s="46" t="s">
        <v>437</v>
      </c>
      <c r="I200" s="64"/>
      <c r="J200" s="63" t="s">
        <v>530</v>
      </c>
      <c r="K200" s="63" t="s">
        <v>530</v>
      </c>
      <c r="L200" s="63" t="s">
        <v>530</v>
      </c>
    </row>
    <row r="201" spans="1:12" ht="16.2" x14ac:dyDescent="0.4">
      <c r="A201" s="15" t="str">
        <f t="shared" si="3"/>
        <v>modesg_param_sfcs_taxon_europeiazcliente</v>
      </c>
      <c r="B201" s="51" t="s">
        <v>11</v>
      </c>
      <c r="C201" s="48" t="s">
        <v>153</v>
      </c>
      <c r="D201" s="44" t="s">
        <v>18</v>
      </c>
      <c r="E201" s="45" t="s">
        <v>154</v>
      </c>
      <c r="F201" s="44" t="s">
        <v>178</v>
      </c>
      <c r="G201" s="46" t="s">
        <v>437</v>
      </c>
      <c r="H201" s="46" t="s">
        <v>437</v>
      </c>
      <c r="I201" s="64"/>
      <c r="J201" s="63" t="s">
        <v>530</v>
      </c>
      <c r="K201" s="63" t="s">
        <v>530</v>
      </c>
      <c r="L201" s="63" t="s">
        <v>530</v>
      </c>
    </row>
    <row r="202" spans="1:12" ht="16.2" x14ac:dyDescent="0.4">
      <c r="A202" s="15" t="str">
        <f t="shared" si="3"/>
        <v>modesg_param_sfcs_taxon_europeiazdeposit</v>
      </c>
      <c r="B202" s="51" t="s">
        <v>11</v>
      </c>
      <c r="C202" s="48" t="s">
        <v>153</v>
      </c>
      <c r="D202" s="44" t="s">
        <v>18</v>
      </c>
      <c r="E202" s="45" t="s">
        <v>154</v>
      </c>
      <c r="F202" s="44" t="s">
        <v>179</v>
      </c>
      <c r="G202" s="46" t="s">
        <v>437</v>
      </c>
      <c r="H202" s="46" t="s">
        <v>437</v>
      </c>
      <c r="I202" s="64"/>
      <c r="J202" s="63" t="s">
        <v>530</v>
      </c>
      <c r="K202" s="63" t="s">
        <v>530</v>
      </c>
      <c r="L202" s="63" t="s">
        <v>530</v>
      </c>
    </row>
    <row r="203" spans="1:12" ht="16.2" x14ac:dyDescent="0.4">
      <c r="A203" s="15" t="str">
        <f t="shared" si="3"/>
        <v>modesg_inp_emss_vclsn.a.</v>
      </c>
      <c r="B203" s="51" t="s">
        <v>11</v>
      </c>
      <c r="C203" s="48" t="s">
        <v>153</v>
      </c>
      <c r="D203" s="44" t="s">
        <v>15</v>
      </c>
      <c r="E203" s="45" t="s">
        <v>180</v>
      </c>
      <c r="F203" s="44" t="s">
        <v>17</v>
      </c>
      <c r="G203" s="46" t="s">
        <v>440</v>
      </c>
      <c r="H203" s="46" t="s">
        <v>440</v>
      </c>
      <c r="I203" s="53" t="s">
        <v>463</v>
      </c>
      <c r="J203" s="63">
        <v>45471</v>
      </c>
      <c r="K203" s="63" t="s">
        <v>530</v>
      </c>
      <c r="L203" s="63" t="s">
        <v>530</v>
      </c>
    </row>
    <row r="204" spans="1:12" ht="16.2" x14ac:dyDescent="0.4">
      <c r="A204" s="15" t="str">
        <f t="shared" si="3"/>
        <v>modesg_inp_km_medios_emss_vclsn.a.</v>
      </c>
      <c r="B204" s="51" t="s">
        <v>11</v>
      </c>
      <c r="C204" s="48" t="s">
        <v>153</v>
      </c>
      <c r="D204" s="44" t="s">
        <v>15</v>
      </c>
      <c r="E204" s="45" t="s">
        <v>181</v>
      </c>
      <c r="F204" s="44" t="s">
        <v>17</v>
      </c>
      <c r="G204" s="46" t="s">
        <v>440</v>
      </c>
      <c r="H204" s="46" t="s">
        <v>440</v>
      </c>
      <c r="I204" s="53" t="s">
        <v>463</v>
      </c>
      <c r="J204" s="63" t="s">
        <v>530</v>
      </c>
      <c r="K204" s="63" t="s">
        <v>530</v>
      </c>
      <c r="L204" s="63" t="s">
        <v>530</v>
      </c>
    </row>
    <row r="205" spans="1:12" ht="16.2" x14ac:dyDescent="0.4">
      <c r="A205" s="15" t="str">
        <f t="shared" si="3"/>
        <v>modesg_inp_empr_excl_parisn.a.</v>
      </c>
      <c r="B205" s="51" t="s">
        <v>11</v>
      </c>
      <c r="C205" s="48" t="s">
        <v>153</v>
      </c>
      <c r="D205" s="44" t="s">
        <v>15</v>
      </c>
      <c r="E205" s="45" t="s">
        <v>182</v>
      </c>
      <c r="F205" s="44" t="s">
        <v>17</v>
      </c>
      <c r="G205" s="46" t="s">
        <v>437</v>
      </c>
      <c r="H205" s="46" t="s">
        <v>437</v>
      </c>
      <c r="I205" s="64"/>
      <c r="J205" s="63" t="s">
        <v>530</v>
      </c>
      <c r="K205" s="63" t="s">
        <v>530</v>
      </c>
      <c r="L205" s="63" t="s">
        <v>530</v>
      </c>
    </row>
    <row r="206" spans="1:12" ht="16.2" x14ac:dyDescent="0.4">
      <c r="A206" s="15" t="str">
        <f t="shared" si="3"/>
        <v>modesg_inp_nfrd_alinhamento_taxn.a.</v>
      </c>
      <c r="B206" s="51" t="s">
        <v>11</v>
      </c>
      <c r="C206" s="48" t="s">
        <v>153</v>
      </c>
      <c r="D206" s="44" t="s">
        <v>15</v>
      </c>
      <c r="E206" s="45" t="s">
        <v>183</v>
      </c>
      <c r="F206" s="44" t="s">
        <v>17</v>
      </c>
      <c r="G206" s="46" t="s">
        <v>440</v>
      </c>
      <c r="H206" s="46" t="s">
        <v>440</v>
      </c>
      <c r="I206" s="53" t="s">
        <v>463</v>
      </c>
      <c r="J206" s="63" t="s">
        <v>530</v>
      </c>
      <c r="K206" s="63" t="s">
        <v>530</v>
      </c>
      <c r="L206" s="63" t="s">
        <v>530</v>
      </c>
    </row>
    <row r="207" spans="1:12" ht="16.2" x14ac:dyDescent="0.4">
      <c r="A207" s="15" t="str">
        <f t="shared" si="3"/>
        <v>modesg_inp_risco_fisicon.a.</v>
      </c>
      <c r="B207" s="51" t="s">
        <v>11</v>
      </c>
      <c r="C207" s="48" t="s">
        <v>153</v>
      </c>
      <c r="D207" s="44" t="s">
        <v>15</v>
      </c>
      <c r="E207" s="45" t="s">
        <v>184</v>
      </c>
      <c r="F207" s="44" t="s">
        <v>17</v>
      </c>
      <c r="G207" s="46" t="s">
        <v>437</v>
      </c>
      <c r="H207" s="46" t="s">
        <v>437</v>
      </c>
      <c r="I207" s="64"/>
      <c r="J207" s="63" t="s">
        <v>530</v>
      </c>
      <c r="K207" s="63" t="s">
        <v>530</v>
      </c>
      <c r="L207" s="63" t="s">
        <v>530</v>
      </c>
    </row>
    <row r="208" spans="1:12" ht="16.2" x14ac:dyDescent="0.4">
      <c r="A208" s="15" t="str">
        <f t="shared" si="3"/>
        <v>modesg_inp_emss_scibn.a.</v>
      </c>
      <c r="B208" s="51" t="s">
        <v>11</v>
      </c>
      <c r="C208" s="48" t="s">
        <v>153</v>
      </c>
      <c r="D208" s="44" t="s">
        <v>15</v>
      </c>
      <c r="E208" s="45" t="s">
        <v>185</v>
      </c>
      <c r="F208" s="44" t="s">
        <v>17</v>
      </c>
      <c r="G208" s="46" t="s">
        <v>437</v>
      </c>
      <c r="H208" s="46" t="s">
        <v>437</v>
      </c>
      <c r="I208" s="64"/>
      <c r="J208" s="63" t="s">
        <v>530</v>
      </c>
      <c r="K208" s="63" t="s">
        <v>530</v>
      </c>
      <c r="L208" s="63" t="s">
        <v>530</v>
      </c>
    </row>
    <row r="209" spans="1:12" ht="16.2" x14ac:dyDescent="0.4">
      <c r="A209" s="15" t="str">
        <f t="shared" si="3"/>
        <v>modesg_inp_emss_nacen.a.</v>
      </c>
      <c r="B209" s="51" t="s">
        <v>11</v>
      </c>
      <c r="C209" s="48" t="s">
        <v>153</v>
      </c>
      <c r="D209" s="44" t="s">
        <v>15</v>
      </c>
      <c r="E209" s="45" t="s">
        <v>186</v>
      </c>
      <c r="F209" s="44" t="s">
        <v>17</v>
      </c>
      <c r="G209" s="46" t="s">
        <v>440</v>
      </c>
      <c r="H209" s="46" t="s">
        <v>440</v>
      </c>
      <c r="I209" s="53" t="s">
        <v>463</v>
      </c>
      <c r="J209" s="63" t="s">
        <v>530</v>
      </c>
      <c r="K209" s="63" t="s">
        <v>530</v>
      </c>
      <c r="L209" s="63" t="s">
        <v>530</v>
      </c>
    </row>
    <row r="210" spans="1:12" ht="16.2" x14ac:dyDescent="0.4">
      <c r="A210" s="15" t="str">
        <f t="shared" si="3"/>
        <v>modesg_inp_emss_bens_imoveisn.a.</v>
      </c>
      <c r="B210" s="51" t="s">
        <v>11</v>
      </c>
      <c r="C210" s="48" t="s">
        <v>153</v>
      </c>
      <c r="D210" s="44" t="s">
        <v>15</v>
      </c>
      <c r="E210" s="45" t="s">
        <v>187</v>
      </c>
      <c r="F210" s="44" t="s">
        <v>17</v>
      </c>
      <c r="G210" s="46" t="s">
        <v>440</v>
      </c>
      <c r="H210" s="46" t="s">
        <v>440</v>
      </c>
      <c r="I210" s="53" t="s">
        <v>463</v>
      </c>
      <c r="J210" s="63" t="s">
        <v>530</v>
      </c>
      <c r="K210" s="63" t="s">
        <v>530</v>
      </c>
      <c r="L210" s="63" t="s">
        <v>530</v>
      </c>
    </row>
    <row r="211" spans="1:12" ht="16.2" x14ac:dyDescent="0.4">
      <c r="A211" s="15" t="str">
        <f t="shared" si="3"/>
        <v>modesg_inp_emss_vclsref_date</v>
      </c>
      <c r="B211" s="51" t="s">
        <v>11</v>
      </c>
      <c r="C211" s="48" t="s">
        <v>153</v>
      </c>
      <c r="D211" s="44" t="s">
        <v>18</v>
      </c>
      <c r="E211" s="45" t="s">
        <v>180</v>
      </c>
      <c r="F211" s="44" t="s">
        <v>50</v>
      </c>
      <c r="G211" s="46" t="s">
        <v>440</v>
      </c>
      <c r="H211" s="46" t="s">
        <v>440</v>
      </c>
      <c r="I211" s="53" t="s">
        <v>463</v>
      </c>
      <c r="J211" s="63" t="s">
        <v>530</v>
      </c>
      <c r="K211" s="63" t="s">
        <v>530</v>
      </c>
      <c r="L211" s="63" t="s">
        <v>530</v>
      </c>
    </row>
    <row r="212" spans="1:12" ht="16.2" x14ac:dyDescent="0.4">
      <c r="A212" s="15" t="str">
        <f t="shared" si="3"/>
        <v>modesg_inp_emss_vclsnome_regiao</v>
      </c>
      <c r="B212" s="51" t="s">
        <v>11</v>
      </c>
      <c r="C212" s="48" t="s">
        <v>153</v>
      </c>
      <c r="D212" s="44" t="s">
        <v>18</v>
      </c>
      <c r="E212" s="45" t="s">
        <v>180</v>
      </c>
      <c r="F212" s="44" t="s">
        <v>188</v>
      </c>
      <c r="G212" s="46" t="s">
        <v>440</v>
      </c>
      <c r="H212" s="46" t="s">
        <v>440</v>
      </c>
      <c r="I212" s="53" t="s">
        <v>463</v>
      </c>
      <c r="J212" s="63" t="s">
        <v>530</v>
      </c>
      <c r="K212" s="63" t="s">
        <v>530</v>
      </c>
      <c r="L212" s="63" t="s">
        <v>530</v>
      </c>
    </row>
    <row r="213" spans="1:12" ht="16.2" x14ac:dyDescent="0.4">
      <c r="A213" s="15" t="str">
        <f t="shared" si="3"/>
        <v>modesg_inp_emss_vclsnome_pais</v>
      </c>
      <c r="B213" s="51" t="s">
        <v>11</v>
      </c>
      <c r="C213" s="48" t="s">
        <v>153</v>
      </c>
      <c r="D213" s="44" t="s">
        <v>18</v>
      </c>
      <c r="E213" s="45" t="s">
        <v>180</v>
      </c>
      <c r="F213" s="44" t="s">
        <v>189</v>
      </c>
      <c r="G213" s="46" t="s">
        <v>440</v>
      </c>
      <c r="H213" s="46" t="s">
        <v>440</v>
      </c>
      <c r="I213" s="53" t="s">
        <v>463</v>
      </c>
      <c r="J213" s="63" t="s">
        <v>530</v>
      </c>
      <c r="K213" s="63" t="s">
        <v>530</v>
      </c>
      <c r="L213" s="63" t="s">
        <v>530</v>
      </c>
    </row>
    <row r="214" spans="1:12" ht="16.2" x14ac:dyDescent="0.4">
      <c r="A214" s="15" t="str">
        <f t="shared" si="3"/>
        <v>modesg_inp_emss_vclsnome_estado</v>
      </c>
      <c r="B214" s="51" t="s">
        <v>11</v>
      </c>
      <c r="C214" s="48" t="s">
        <v>153</v>
      </c>
      <c r="D214" s="44" t="s">
        <v>18</v>
      </c>
      <c r="E214" s="45" t="s">
        <v>180</v>
      </c>
      <c r="F214" s="44" t="s">
        <v>190</v>
      </c>
      <c r="G214" s="46" t="s">
        <v>440</v>
      </c>
      <c r="H214" s="46" t="s">
        <v>440</v>
      </c>
      <c r="I214" s="53" t="s">
        <v>463</v>
      </c>
      <c r="J214" s="63" t="s">
        <v>530</v>
      </c>
      <c r="K214" s="63" t="s">
        <v>530</v>
      </c>
      <c r="L214" s="63" t="s">
        <v>530</v>
      </c>
    </row>
    <row r="215" spans="1:12" ht="16.2" x14ac:dyDescent="0.4">
      <c r="A215" s="15" t="str">
        <f t="shared" si="3"/>
        <v>modesg_inp_emss_vclstipo_veiculo</v>
      </c>
      <c r="B215" s="51" t="s">
        <v>11</v>
      </c>
      <c r="C215" s="48" t="s">
        <v>153</v>
      </c>
      <c r="D215" s="44" t="s">
        <v>18</v>
      </c>
      <c r="E215" s="45" t="s">
        <v>180</v>
      </c>
      <c r="F215" s="44" t="s">
        <v>191</v>
      </c>
      <c r="G215" s="46" t="s">
        <v>440</v>
      </c>
      <c r="H215" s="46" t="s">
        <v>440</v>
      </c>
      <c r="I215" s="53" t="s">
        <v>463</v>
      </c>
      <c r="J215" s="63" t="s">
        <v>530</v>
      </c>
      <c r="K215" s="63" t="s">
        <v>530</v>
      </c>
      <c r="L215" s="63" t="s">
        <v>530</v>
      </c>
    </row>
    <row r="216" spans="1:12" ht="16.2" x14ac:dyDescent="0.4">
      <c r="A216" s="15" t="str">
        <f t="shared" si="3"/>
        <v>modesg_inp_emss_vclstipo_motor</v>
      </c>
      <c r="B216" s="51" t="s">
        <v>11</v>
      </c>
      <c r="C216" s="48" t="s">
        <v>153</v>
      </c>
      <c r="D216" s="44" t="s">
        <v>18</v>
      </c>
      <c r="E216" s="45" t="s">
        <v>180</v>
      </c>
      <c r="F216" s="44" t="s">
        <v>192</v>
      </c>
      <c r="G216" s="46" t="s">
        <v>440</v>
      </c>
      <c r="H216" s="46" t="s">
        <v>440</v>
      </c>
      <c r="I216" s="53" t="s">
        <v>463</v>
      </c>
      <c r="J216" s="63" t="s">
        <v>530</v>
      </c>
      <c r="K216" s="63" t="s">
        <v>530</v>
      </c>
      <c r="L216" s="63" t="s">
        <v>530</v>
      </c>
    </row>
    <row r="217" spans="1:12" ht="16.2" x14ac:dyDescent="0.4">
      <c r="A217" s="15" t="str">
        <f t="shared" si="3"/>
        <v>modesg_inp_emss_vclsmarca</v>
      </c>
      <c r="B217" s="51" t="s">
        <v>11</v>
      </c>
      <c r="C217" s="48" t="s">
        <v>153</v>
      </c>
      <c r="D217" s="44" t="s">
        <v>18</v>
      </c>
      <c r="E217" s="45" t="s">
        <v>180</v>
      </c>
      <c r="F217" s="44" t="s">
        <v>193</v>
      </c>
      <c r="G217" s="46" t="s">
        <v>440</v>
      </c>
      <c r="H217" s="46" t="s">
        <v>440</v>
      </c>
      <c r="I217" s="53" t="s">
        <v>463</v>
      </c>
      <c r="J217" s="63" t="s">
        <v>530</v>
      </c>
      <c r="K217" s="63" t="s">
        <v>530</v>
      </c>
      <c r="L217" s="63" t="s">
        <v>530</v>
      </c>
    </row>
    <row r="218" spans="1:12" ht="16.2" x14ac:dyDescent="0.4">
      <c r="A218" s="15" t="str">
        <f t="shared" si="3"/>
        <v>modesg_inp_emss_vclsmodelo</v>
      </c>
      <c r="B218" s="51" t="s">
        <v>11</v>
      </c>
      <c r="C218" s="48" t="s">
        <v>153</v>
      </c>
      <c r="D218" s="44" t="s">
        <v>18</v>
      </c>
      <c r="E218" s="45" t="s">
        <v>180</v>
      </c>
      <c r="F218" s="44" t="s">
        <v>194</v>
      </c>
      <c r="G218" s="46" t="s">
        <v>440</v>
      </c>
      <c r="H218" s="46" t="s">
        <v>440</v>
      </c>
      <c r="I218" s="53" t="s">
        <v>463</v>
      </c>
      <c r="J218" s="63" t="s">
        <v>530</v>
      </c>
      <c r="K218" s="63" t="s">
        <v>530</v>
      </c>
      <c r="L218" s="63" t="s">
        <v>530</v>
      </c>
    </row>
    <row r="219" spans="1:12" ht="16.2" x14ac:dyDescent="0.4">
      <c r="A219" s="15" t="str">
        <f t="shared" si="3"/>
        <v>modesg_inp_emss_vclsdata_level_5</v>
      </c>
      <c r="B219" s="51" t="s">
        <v>11</v>
      </c>
      <c r="C219" s="48" t="s">
        <v>153</v>
      </c>
      <c r="D219" s="44" t="s">
        <v>18</v>
      </c>
      <c r="E219" s="45" t="s">
        <v>180</v>
      </c>
      <c r="F219" s="44" t="s">
        <v>195</v>
      </c>
      <c r="G219" s="46" t="s">
        <v>440</v>
      </c>
      <c r="H219" s="46" t="s">
        <v>440</v>
      </c>
      <c r="I219" s="54" t="s">
        <v>464</v>
      </c>
      <c r="J219" s="63" t="s">
        <v>530</v>
      </c>
      <c r="K219" s="63" t="s">
        <v>530</v>
      </c>
      <c r="L219" s="63" t="s">
        <v>530</v>
      </c>
    </row>
    <row r="220" spans="1:12" ht="16.2" x14ac:dyDescent="0.4">
      <c r="A220" s="15" t="str">
        <f t="shared" si="3"/>
        <v>modesg_inp_emss_vclsnome_unidade_funcional</v>
      </c>
      <c r="B220" s="51" t="s">
        <v>11</v>
      </c>
      <c r="C220" s="48" t="s">
        <v>153</v>
      </c>
      <c r="D220" s="44" t="s">
        <v>18</v>
      </c>
      <c r="E220" s="45" t="s">
        <v>180</v>
      </c>
      <c r="F220" s="44" t="s">
        <v>196</v>
      </c>
      <c r="G220" s="46" t="s">
        <v>440</v>
      </c>
      <c r="H220" s="46" t="s">
        <v>440</v>
      </c>
      <c r="I220" s="53" t="s">
        <v>463</v>
      </c>
      <c r="J220" s="63" t="s">
        <v>530</v>
      </c>
      <c r="K220" s="63" t="s">
        <v>530</v>
      </c>
      <c r="L220" s="63" t="s">
        <v>530</v>
      </c>
    </row>
    <row r="221" spans="1:12" ht="16.2" x14ac:dyDescent="0.4">
      <c r="A221" s="15" t="str">
        <f t="shared" si="3"/>
        <v>modesg_inp_emss_vclsunidade_funcional</v>
      </c>
      <c r="B221" s="51" t="s">
        <v>11</v>
      </c>
      <c r="C221" s="48" t="s">
        <v>153</v>
      </c>
      <c r="D221" s="44" t="s">
        <v>18</v>
      </c>
      <c r="E221" s="45" t="s">
        <v>180</v>
      </c>
      <c r="F221" s="44" t="s">
        <v>197</v>
      </c>
      <c r="G221" s="46" t="s">
        <v>440</v>
      </c>
      <c r="H221" s="46" t="s">
        <v>440</v>
      </c>
      <c r="I221" s="53" t="s">
        <v>463</v>
      </c>
      <c r="J221" s="63" t="s">
        <v>530</v>
      </c>
      <c r="K221" s="63" t="s">
        <v>530</v>
      </c>
      <c r="L221" s="63" t="s">
        <v>530</v>
      </c>
    </row>
    <row r="222" spans="1:12" ht="16.2" x14ac:dyDescent="0.4">
      <c r="A222" s="15" t="str">
        <f t="shared" si="3"/>
        <v>modesg_inp_emss_vclsnome_fator_emissao</v>
      </c>
      <c r="B222" s="51" t="s">
        <v>11</v>
      </c>
      <c r="C222" s="48" t="s">
        <v>153</v>
      </c>
      <c r="D222" s="44" t="s">
        <v>18</v>
      </c>
      <c r="E222" s="45" t="s">
        <v>180</v>
      </c>
      <c r="F222" s="44" t="s">
        <v>198</v>
      </c>
      <c r="G222" s="46" t="s">
        <v>440</v>
      </c>
      <c r="H222" s="46" t="s">
        <v>440</v>
      </c>
      <c r="I222" s="53" t="s">
        <v>463</v>
      </c>
      <c r="J222" s="63" t="s">
        <v>530</v>
      </c>
      <c r="K222" s="63" t="s">
        <v>530</v>
      </c>
      <c r="L222" s="63" t="s">
        <v>530</v>
      </c>
    </row>
    <row r="223" spans="1:12" ht="16.2" x14ac:dyDescent="0.4">
      <c r="A223" s="15" t="str">
        <f t="shared" si="3"/>
        <v>modesg_inp_emss_vclsunidade_fator_de_emissao</v>
      </c>
      <c r="B223" s="51" t="s">
        <v>11</v>
      </c>
      <c r="C223" s="48" t="s">
        <v>153</v>
      </c>
      <c r="D223" s="44" t="s">
        <v>18</v>
      </c>
      <c r="E223" s="45" t="s">
        <v>180</v>
      </c>
      <c r="F223" s="44" t="s">
        <v>199</v>
      </c>
      <c r="G223" s="46" t="s">
        <v>440</v>
      </c>
      <c r="H223" s="46" t="s">
        <v>440</v>
      </c>
      <c r="I223" s="53" t="s">
        <v>463</v>
      </c>
      <c r="J223" s="63" t="s">
        <v>530</v>
      </c>
      <c r="K223" s="63" t="s">
        <v>530</v>
      </c>
      <c r="L223" s="63" t="s">
        <v>530</v>
      </c>
    </row>
    <row r="224" spans="1:12" ht="16.2" x14ac:dyDescent="0.4">
      <c r="A224" s="15" t="str">
        <f t="shared" si="3"/>
        <v>modesg_inp_emss_vclsscore_qualidade</v>
      </c>
      <c r="B224" s="51" t="s">
        <v>11</v>
      </c>
      <c r="C224" s="48" t="s">
        <v>153</v>
      </c>
      <c r="D224" s="44" t="s">
        <v>18</v>
      </c>
      <c r="E224" s="45" t="s">
        <v>180</v>
      </c>
      <c r="F224" s="44" t="s">
        <v>28</v>
      </c>
      <c r="G224" s="46" t="s">
        <v>440</v>
      </c>
      <c r="H224" s="46" t="s">
        <v>440</v>
      </c>
      <c r="I224" s="53" t="s">
        <v>463</v>
      </c>
      <c r="J224" s="63" t="s">
        <v>530</v>
      </c>
      <c r="K224" s="63" t="s">
        <v>530</v>
      </c>
      <c r="L224" s="63" t="s">
        <v>530</v>
      </c>
    </row>
    <row r="225" spans="1:12" ht="16.2" x14ac:dyDescent="0.4">
      <c r="A225" s="15" t="str">
        <f t="shared" si="3"/>
        <v>modesg_inp_emss_vclsscp1_ftr_emss</v>
      </c>
      <c r="B225" s="51" t="s">
        <v>11</v>
      </c>
      <c r="C225" s="48" t="s">
        <v>153</v>
      </c>
      <c r="D225" s="44" t="s">
        <v>18</v>
      </c>
      <c r="E225" s="45" t="s">
        <v>180</v>
      </c>
      <c r="F225" s="44" t="s">
        <v>200</v>
      </c>
      <c r="G225" s="46" t="s">
        <v>440</v>
      </c>
      <c r="H225" s="46" t="s">
        <v>440</v>
      </c>
      <c r="I225" s="53" t="s">
        <v>463</v>
      </c>
      <c r="J225" s="63" t="s">
        <v>530</v>
      </c>
      <c r="K225" s="63" t="s">
        <v>530</v>
      </c>
      <c r="L225" s="63" t="s">
        <v>530</v>
      </c>
    </row>
    <row r="226" spans="1:12" ht="16.2" x14ac:dyDescent="0.4">
      <c r="A226" s="15" t="str">
        <f t="shared" si="3"/>
        <v>modesg_inp_emss_vclsscp2_ftr_emss</v>
      </c>
      <c r="B226" s="51" t="s">
        <v>11</v>
      </c>
      <c r="C226" s="48" t="s">
        <v>153</v>
      </c>
      <c r="D226" s="44" t="s">
        <v>18</v>
      </c>
      <c r="E226" s="45" t="s">
        <v>180</v>
      </c>
      <c r="F226" s="44" t="s">
        <v>201</v>
      </c>
      <c r="G226" s="46" t="s">
        <v>440</v>
      </c>
      <c r="H226" s="46" t="s">
        <v>440</v>
      </c>
      <c r="I226" s="53" t="s">
        <v>463</v>
      </c>
      <c r="J226" s="63" t="s">
        <v>530</v>
      </c>
      <c r="K226" s="63" t="s">
        <v>530</v>
      </c>
      <c r="L226" s="63" t="s">
        <v>530</v>
      </c>
    </row>
    <row r="227" spans="1:12" ht="16.2" x14ac:dyDescent="0.4">
      <c r="A227" s="15" t="str">
        <f t="shared" si="3"/>
        <v>modesg_inp_emss_vclsscp3_ftr_emss</v>
      </c>
      <c r="B227" s="51" t="s">
        <v>11</v>
      </c>
      <c r="C227" s="48" t="s">
        <v>153</v>
      </c>
      <c r="D227" s="44" t="s">
        <v>18</v>
      </c>
      <c r="E227" s="45" t="s">
        <v>180</v>
      </c>
      <c r="F227" s="44" t="s">
        <v>202</v>
      </c>
      <c r="G227" s="46" t="s">
        <v>440</v>
      </c>
      <c r="H227" s="46" t="s">
        <v>440</v>
      </c>
      <c r="I227" s="53" t="s">
        <v>463</v>
      </c>
      <c r="J227" s="63" t="s">
        <v>530</v>
      </c>
      <c r="K227" s="63" t="s">
        <v>530</v>
      </c>
      <c r="L227" s="63" t="s">
        <v>530</v>
      </c>
    </row>
    <row r="228" spans="1:12" ht="16.2" x14ac:dyDescent="0.4">
      <c r="A228" s="15" t="str">
        <f t="shared" si="3"/>
        <v>modesg_inp_km_medios_emss_vclsref_date</v>
      </c>
      <c r="B228" s="51" t="s">
        <v>11</v>
      </c>
      <c r="C228" s="48" t="s">
        <v>153</v>
      </c>
      <c r="D228" s="44" t="s">
        <v>18</v>
      </c>
      <c r="E228" s="45" t="s">
        <v>181</v>
      </c>
      <c r="F228" s="44" t="s">
        <v>50</v>
      </c>
      <c r="G228" s="46" t="s">
        <v>440</v>
      </c>
      <c r="H228" s="46" t="s">
        <v>440</v>
      </c>
      <c r="I228" s="53" t="s">
        <v>463</v>
      </c>
      <c r="J228" s="63" t="s">
        <v>530</v>
      </c>
      <c r="K228" s="63" t="s">
        <v>530</v>
      </c>
      <c r="L228" s="63" t="s">
        <v>530</v>
      </c>
    </row>
    <row r="229" spans="1:12" ht="16.2" x14ac:dyDescent="0.4">
      <c r="A229" s="15" t="str">
        <f t="shared" si="3"/>
        <v>modesg_inp_km_medios_emss_vclsnome_pais</v>
      </c>
      <c r="B229" s="51" t="s">
        <v>11</v>
      </c>
      <c r="C229" s="48" t="s">
        <v>153</v>
      </c>
      <c r="D229" s="44" t="s">
        <v>18</v>
      </c>
      <c r="E229" s="45" t="s">
        <v>181</v>
      </c>
      <c r="F229" s="44" t="s">
        <v>189</v>
      </c>
      <c r="G229" s="46" t="s">
        <v>440</v>
      </c>
      <c r="H229" s="46" t="s">
        <v>440</v>
      </c>
      <c r="I229" s="53" t="s">
        <v>463</v>
      </c>
      <c r="J229" s="63" t="s">
        <v>530</v>
      </c>
      <c r="K229" s="63" t="s">
        <v>530</v>
      </c>
      <c r="L229" s="63" t="s">
        <v>530</v>
      </c>
    </row>
    <row r="230" spans="1:12" ht="16.2" x14ac:dyDescent="0.4">
      <c r="A230" s="15" t="str">
        <f t="shared" si="3"/>
        <v>modesg_inp_km_medios_emss_vclstipo_vcl</v>
      </c>
      <c r="B230" s="51" t="s">
        <v>11</v>
      </c>
      <c r="C230" s="48" t="s">
        <v>153</v>
      </c>
      <c r="D230" s="44" t="s">
        <v>18</v>
      </c>
      <c r="E230" s="45" t="s">
        <v>181</v>
      </c>
      <c r="F230" s="44" t="s">
        <v>203</v>
      </c>
      <c r="G230" s="46" t="s">
        <v>440</v>
      </c>
      <c r="H230" s="46" t="s">
        <v>440</v>
      </c>
      <c r="I230" s="53" t="s">
        <v>463</v>
      </c>
      <c r="J230" s="63" t="s">
        <v>530</v>
      </c>
      <c r="K230" s="63" t="s">
        <v>530</v>
      </c>
      <c r="L230" s="63" t="s">
        <v>530</v>
      </c>
    </row>
    <row r="231" spans="1:12" ht="16.2" x14ac:dyDescent="0.4">
      <c r="A231" s="15" t="str">
        <f t="shared" si="3"/>
        <v>modesg_inp_km_medios_emss_vclstipo_motor</v>
      </c>
      <c r="B231" s="51" t="s">
        <v>11</v>
      </c>
      <c r="C231" s="48" t="s">
        <v>153</v>
      </c>
      <c r="D231" s="44" t="s">
        <v>18</v>
      </c>
      <c r="E231" s="45" t="s">
        <v>181</v>
      </c>
      <c r="F231" s="44" t="s">
        <v>192</v>
      </c>
      <c r="G231" s="46" t="s">
        <v>440</v>
      </c>
      <c r="H231" s="46" t="s">
        <v>440</v>
      </c>
      <c r="I231" s="53" t="s">
        <v>463</v>
      </c>
      <c r="J231" s="63" t="s">
        <v>530</v>
      </c>
      <c r="K231" s="63" t="s">
        <v>530</v>
      </c>
      <c r="L231" s="63" t="s">
        <v>530</v>
      </c>
    </row>
    <row r="232" spans="1:12" ht="16.2" x14ac:dyDescent="0.4">
      <c r="A232" s="15" t="str">
        <f t="shared" si="3"/>
        <v>modesg_inp_km_medios_emss_vclsdata_level_5</v>
      </c>
      <c r="B232" s="51" t="s">
        <v>11</v>
      </c>
      <c r="C232" s="48" t="s">
        <v>153</v>
      </c>
      <c r="D232" s="44" t="s">
        <v>18</v>
      </c>
      <c r="E232" s="45" t="s">
        <v>181</v>
      </c>
      <c r="F232" s="44" t="s">
        <v>195</v>
      </c>
      <c r="G232" s="46" t="s">
        <v>440</v>
      </c>
      <c r="H232" s="46" t="s">
        <v>440</v>
      </c>
      <c r="I232" s="54" t="s">
        <v>464</v>
      </c>
      <c r="J232" s="63" t="s">
        <v>530</v>
      </c>
      <c r="K232" s="63" t="s">
        <v>530</v>
      </c>
      <c r="L232" s="63" t="s">
        <v>530</v>
      </c>
    </row>
    <row r="233" spans="1:12" ht="16.2" x14ac:dyDescent="0.4">
      <c r="A233" s="15" t="str">
        <f t="shared" si="3"/>
        <v>modesg_inp_km_medios_emss_vclsmedia_km</v>
      </c>
      <c r="B233" s="51" t="s">
        <v>11</v>
      </c>
      <c r="C233" s="48" t="s">
        <v>153</v>
      </c>
      <c r="D233" s="44" t="s">
        <v>18</v>
      </c>
      <c r="E233" s="45" t="s">
        <v>181</v>
      </c>
      <c r="F233" s="44" t="s">
        <v>204</v>
      </c>
      <c r="G233" s="46" t="s">
        <v>440</v>
      </c>
      <c r="H233" s="46" t="s">
        <v>440</v>
      </c>
      <c r="I233" s="53" t="s">
        <v>463</v>
      </c>
      <c r="J233" s="63" t="s">
        <v>530</v>
      </c>
      <c r="K233" s="63" t="s">
        <v>530</v>
      </c>
      <c r="L233" s="63" t="s">
        <v>530</v>
      </c>
    </row>
    <row r="234" spans="1:12" ht="16.2" x14ac:dyDescent="0.4">
      <c r="A234" s="15" t="str">
        <f t="shared" si="3"/>
        <v>modesg_inp_empr_excl_parisref_date</v>
      </c>
      <c r="B234" s="51" t="s">
        <v>11</v>
      </c>
      <c r="C234" s="48" t="s">
        <v>153</v>
      </c>
      <c r="D234" s="44" t="s">
        <v>18</v>
      </c>
      <c r="E234" s="45" t="s">
        <v>182</v>
      </c>
      <c r="F234" s="44" t="s">
        <v>50</v>
      </c>
      <c r="G234" s="46" t="s">
        <v>437</v>
      </c>
      <c r="H234" s="46" t="s">
        <v>437</v>
      </c>
      <c r="I234" s="64"/>
      <c r="J234" s="63" t="s">
        <v>530</v>
      </c>
      <c r="K234" s="63" t="s">
        <v>530</v>
      </c>
      <c r="L234" s="63" t="s">
        <v>530</v>
      </c>
    </row>
    <row r="235" spans="1:12" ht="16.2" x14ac:dyDescent="0.4">
      <c r="A235" s="15" t="str">
        <f t="shared" si="3"/>
        <v>modesg_inp_empr_excl_parisisin</v>
      </c>
      <c r="B235" s="51" t="s">
        <v>11</v>
      </c>
      <c r="C235" s="48" t="s">
        <v>153</v>
      </c>
      <c r="D235" s="44" t="s">
        <v>18</v>
      </c>
      <c r="E235" s="45" t="s">
        <v>182</v>
      </c>
      <c r="F235" s="44" t="s">
        <v>205</v>
      </c>
      <c r="G235" s="46" t="s">
        <v>437</v>
      </c>
      <c r="H235" s="46" t="s">
        <v>437</v>
      </c>
      <c r="I235" s="64"/>
      <c r="J235" s="63" t="s">
        <v>530</v>
      </c>
      <c r="K235" s="63" t="s">
        <v>530</v>
      </c>
      <c r="L235" s="63" t="s">
        <v>530</v>
      </c>
    </row>
    <row r="236" spans="1:12" ht="16.2" x14ac:dyDescent="0.4">
      <c r="A236" s="15" t="str">
        <f t="shared" si="3"/>
        <v>modesg_inp_empr_excl_parisclei</v>
      </c>
      <c r="B236" s="51" t="s">
        <v>11</v>
      </c>
      <c r="C236" s="48" t="s">
        <v>153</v>
      </c>
      <c r="D236" s="44" t="s">
        <v>18</v>
      </c>
      <c r="E236" s="45" t="s">
        <v>182</v>
      </c>
      <c r="F236" s="44" t="s">
        <v>206</v>
      </c>
      <c r="G236" s="46" t="s">
        <v>437</v>
      </c>
      <c r="H236" s="46" t="s">
        <v>437</v>
      </c>
      <c r="I236" s="64"/>
      <c r="J236" s="63" t="s">
        <v>530</v>
      </c>
      <c r="K236" s="63" t="s">
        <v>530</v>
      </c>
      <c r="L236" s="63" t="s">
        <v>530</v>
      </c>
    </row>
    <row r="237" spans="1:12" ht="16.2" x14ac:dyDescent="0.4">
      <c r="A237" s="15" t="str">
        <f t="shared" si="3"/>
        <v>modesg_inp_empr_excl_parisccli_kgl</v>
      </c>
      <c r="B237" s="51" t="s">
        <v>11</v>
      </c>
      <c r="C237" s="48" t="s">
        <v>153</v>
      </c>
      <c r="D237" s="44" t="s">
        <v>18</v>
      </c>
      <c r="E237" s="45" t="s">
        <v>182</v>
      </c>
      <c r="F237" s="44" t="s">
        <v>207</v>
      </c>
      <c r="G237" s="46" t="s">
        <v>437</v>
      </c>
      <c r="H237" s="46" t="s">
        <v>437</v>
      </c>
      <c r="I237" s="64"/>
      <c r="J237" s="63" t="s">
        <v>530</v>
      </c>
      <c r="K237" s="63" t="s">
        <v>530</v>
      </c>
      <c r="L237" s="63" t="s">
        <v>530</v>
      </c>
    </row>
    <row r="238" spans="1:12" ht="16.2" x14ac:dyDescent="0.4">
      <c r="A238" s="15" t="str">
        <f t="shared" si="3"/>
        <v>modesg_inp_empr_excl_parisnome_entidade</v>
      </c>
      <c r="B238" s="51" t="s">
        <v>11</v>
      </c>
      <c r="C238" s="48" t="s">
        <v>153</v>
      </c>
      <c r="D238" s="44" t="s">
        <v>18</v>
      </c>
      <c r="E238" s="45" t="s">
        <v>182</v>
      </c>
      <c r="F238" s="44" t="s">
        <v>208</v>
      </c>
      <c r="G238" s="46" t="s">
        <v>437</v>
      </c>
      <c r="H238" s="46" t="s">
        <v>437</v>
      </c>
      <c r="I238" s="64"/>
      <c r="J238" s="63" t="s">
        <v>530</v>
      </c>
      <c r="K238" s="63" t="s">
        <v>530</v>
      </c>
      <c r="L238" s="63" t="s">
        <v>530</v>
      </c>
    </row>
    <row r="239" spans="1:12" ht="16.2" x14ac:dyDescent="0.4">
      <c r="A239" s="15" t="str">
        <f t="shared" si="3"/>
        <v>modesg_inp_empr_excl_parisflg_scib</v>
      </c>
      <c r="B239" s="51" t="s">
        <v>11</v>
      </c>
      <c r="C239" s="48" t="s">
        <v>153</v>
      </c>
      <c r="D239" s="44" t="s">
        <v>18</v>
      </c>
      <c r="E239" s="45" t="s">
        <v>182</v>
      </c>
      <c r="F239" s="44" t="s">
        <v>209</v>
      </c>
      <c r="G239" s="46" t="s">
        <v>437</v>
      </c>
      <c r="H239" s="46" t="s">
        <v>437</v>
      </c>
      <c r="I239" s="64"/>
      <c r="J239" s="63" t="s">
        <v>530</v>
      </c>
      <c r="K239" s="63" t="s">
        <v>530</v>
      </c>
      <c r="L239" s="63" t="s">
        <v>530</v>
      </c>
    </row>
    <row r="240" spans="1:12" ht="16.2" x14ac:dyDescent="0.4">
      <c r="A240" s="15" t="str">
        <f t="shared" si="3"/>
        <v>modesg_inp_empr_excl_parisnome_pais</v>
      </c>
      <c r="B240" s="51" t="s">
        <v>11</v>
      </c>
      <c r="C240" s="48" t="s">
        <v>153</v>
      </c>
      <c r="D240" s="44" t="s">
        <v>18</v>
      </c>
      <c r="E240" s="45" t="s">
        <v>182</v>
      </c>
      <c r="F240" s="44" t="s">
        <v>189</v>
      </c>
      <c r="G240" s="46" t="s">
        <v>437</v>
      </c>
      <c r="H240" s="46" t="s">
        <v>437</v>
      </c>
      <c r="I240" s="64"/>
      <c r="J240" s="63" t="s">
        <v>530</v>
      </c>
      <c r="K240" s="63" t="s">
        <v>530</v>
      </c>
      <c r="L240" s="63" t="s">
        <v>530</v>
      </c>
    </row>
    <row r="241" spans="1:12" ht="16.2" x14ac:dyDescent="0.4">
      <c r="A241" s="15" t="str">
        <f t="shared" si="3"/>
        <v>modesg_inp_nfrd_alinhamento_taxref_date</v>
      </c>
      <c r="B241" s="51" t="s">
        <v>11</v>
      </c>
      <c r="C241" s="48" t="s">
        <v>153</v>
      </c>
      <c r="D241" s="44" t="s">
        <v>18</v>
      </c>
      <c r="E241" s="45" t="s">
        <v>183</v>
      </c>
      <c r="F241" s="44" t="s">
        <v>50</v>
      </c>
      <c r="G241" s="46" t="s">
        <v>440</v>
      </c>
      <c r="H241" s="46" t="s">
        <v>440</v>
      </c>
      <c r="I241" s="53" t="s">
        <v>463</v>
      </c>
      <c r="J241" s="63" t="s">
        <v>530</v>
      </c>
      <c r="K241" s="63" t="s">
        <v>530</v>
      </c>
      <c r="L241" s="63" t="s">
        <v>530</v>
      </c>
    </row>
    <row r="242" spans="1:12" ht="16.2" x14ac:dyDescent="0.4">
      <c r="A242" s="15" t="str">
        <f t="shared" si="3"/>
        <v>modesg_inp_nfrd_alinhamento_taxccli_kgl</v>
      </c>
      <c r="B242" s="51" t="s">
        <v>11</v>
      </c>
      <c r="C242" s="48" t="s">
        <v>153</v>
      </c>
      <c r="D242" s="44" t="s">
        <v>18</v>
      </c>
      <c r="E242" s="45" t="s">
        <v>183</v>
      </c>
      <c r="F242" s="44" t="s">
        <v>207</v>
      </c>
      <c r="G242" s="46" t="s">
        <v>440</v>
      </c>
      <c r="H242" s="46" t="s">
        <v>440</v>
      </c>
      <c r="I242" s="53" t="s">
        <v>463</v>
      </c>
      <c r="J242" s="63" t="s">
        <v>530</v>
      </c>
      <c r="K242" s="63" t="s">
        <v>530</v>
      </c>
      <c r="L242" s="63" t="s">
        <v>530</v>
      </c>
    </row>
    <row r="243" spans="1:12" ht="16.2" x14ac:dyDescent="0.4">
      <c r="A243" s="15" t="str">
        <f t="shared" si="3"/>
        <v>modesg_inp_nfrd_alinhamento_taxclei</v>
      </c>
      <c r="B243" s="51" t="s">
        <v>11</v>
      </c>
      <c r="C243" s="48" t="s">
        <v>153</v>
      </c>
      <c r="D243" s="44" t="s">
        <v>18</v>
      </c>
      <c r="E243" s="45" t="s">
        <v>183</v>
      </c>
      <c r="F243" s="44" t="s">
        <v>206</v>
      </c>
      <c r="G243" s="46" t="s">
        <v>440</v>
      </c>
      <c r="H243" s="46" t="s">
        <v>440</v>
      </c>
      <c r="I243" s="53" t="s">
        <v>463</v>
      </c>
      <c r="J243" s="63" t="s">
        <v>530</v>
      </c>
      <c r="K243" s="63" t="s">
        <v>530</v>
      </c>
      <c r="L243" s="63" t="s">
        <v>530</v>
      </c>
    </row>
    <row r="244" spans="1:12" ht="16.2" x14ac:dyDescent="0.4">
      <c r="A244" s="15" t="str">
        <f t="shared" si="3"/>
        <v>modesg_inp_nfrd_alinhamento_taxperm_id</v>
      </c>
      <c r="B244" s="51" t="s">
        <v>11</v>
      </c>
      <c r="C244" s="48" t="s">
        <v>153</v>
      </c>
      <c r="D244" s="44" t="s">
        <v>18</v>
      </c>
      <c r="E244" s="45" t="s">
        <v>183</v>
      </c>
      <c r="F244" s="44" t="s">
        <v>210</v>
      </c>
      <c r="G244" s="46" t="s">
        <v>440</v>
      </c>
      <c r="H244" s="46" t="s">
        <v>440</v>
      </c>
      <c r="I244" s="53" t="s">
        <v>463</v>
      </c>
      <c r="J244" s="63" t="s">
        <v>530</v>
      </c>
      <c r="K244" s="63" t="s">
        <v>530</v>
      </c>
      <c r="L244" s="63" t="s">
        <v>530</v>
      </c>
    </row>
    <row r="245" spans="1:12" ht="16.2" x14ac:dyDescent="0.4">
      <c r="A245" s="15" t="str">
        <f t="shared" si="3"/>
        <v>modesg_inp_nfrd_alinhamento_taxnome_entidade</v>
      </c>
      <c r="B245" s="51" t="s">
        <v>11</v>
      </c>
      <c r="C245" s="48" t="s">
        <v>153</v>
      </c>
      <c r="D245" s="44" t="s">
        <v>18</v>
      </c>
      <c r="E245" s="45" t="s">
        <v>183</v>
      </c>
      <c r="F245" s="44" t="s">
        <v>208</v>
      </c>
      <c r="G245" s="46" t="s">
        <v>440</v>
      </c>
      <c r="H245" s="46" t="s">
        <v>440</v>
      </c>
      <c r="I245" s="53" t="s">
        <v>463</v>
      </c>
      <c r="J245" s="63" t="s">
        <v>530</v>
      </c>
      <c r="K245" s="63" t="s">
        <v>530</v>
      </c>
      <c r="L245" s="63" t="s">
        <v>530</v>
      </c>
    </row>
    <row r="246" spans="1:12" ht="16.2" x14ac:dyDescent="0.4">
      <c r="A246" s="15" t="str">
        <f t="shared" si="3"/>
        <v>modesg_inp_nfrd_alinhamento_taxflg_nfrd</v>
      </c>
      <c r="B246" s="51" t="s">
        <v>11</v>
      </c>
      <c r="C246" s="48" t="s">
        <v>153</v>
      </c>
      <c r="D246" s="44" t="s">
        <v>18</v>
      </c>
      <c r="E246" s="45" t="s">
        <v>183</v>
      </c>
      <c r="F246" s="44" t="s">
        <v>211</v>
      </c>
      <c r="G246" s="46" t="s">
        <v>440</v>
      </c>
      <c r="H246" s="46" t="s">
        <v>440</v>
      </c>
      <c r="I246" s="53" t="s">
        <v>463</v>
      </c>
      <c r="J246" s="63" t="s">
        <v>530</v>
      </c>
      <c r="K246" s="63" t="s">
        <v>530</v>
      </c>
      <c r="L246" s="63" t="s">
        <v>530</v>
      </c>
    </row>
    <row r="247" spans="1:12" ht="16.2" x14ac:dyDescent="0.4">
      <c r="A247" s="15" t="str">
        <f t="shared" si="3"/>
        <v>modesg_inp_nfrd_alinhamento_taxcca_trnvr_ttl_elgbl</v>
      </c>
      <c r="B247" s="51" t="s">
        <v>11</v>
      </c>
      <c r="C247" s="48" t="s">
        <v>153</v>
      </c>
      <c r="D247" s="44" t="s">
        <v>18</v>
      </c>
      <c r="E247" s="45" t="s">
        <v>183</v>
      </c>
      <c r="F247" s="44" t="s">
        <v>212</v>
      </c>
      <c r="G247" s="46" t="s">
        <v>440</v>
      </c>
      <c r="H247" s="46" t="s">
        <v>440</v>
      </c>
      <c r="I247" s="53" t="s">
        <v>463</v>
      </c>
      <c r="J247" s="63" t="s">
        <v>530</v>
      </c>
      <c r="K247" s="63" t="s">
        <v>530</v>
      </c>
      <c r="L247" s="63" t="s">
        <v>530</v>
      </c>
    </row>
    <row r="248" spans="1:12" ht="16.2" x14ac:dyDescent="0.4">
      <c r="A248" s="15" t="str">
        <f t="shared" si="3"/>
        <v>modesg_inp_nfrd_alinhamento_taxcca_trnvr_enblng_alignd</v>
      </c>
      <c r="B248" s="51" t="s">
        <v>11</v>
      </c>
      <c r="C248" s="48" t="s">
        <v>153</v>
      </c>
      <c r="D248" s="44" t="s">
        <v>18</v>
      </c>
      <c r="E248" s="45" t="s">
        <v>183</v>
      </c>
      <c r="F248" s="44" t="s">
        <v>213</v>
      </c>
      <c r="G248" s="46" t="s">
        <v>440</v>
      </c>
      <c r="H248" s="46" t="s">
        <v>440</v>
      </c>
      <c r="I248" s="53" t="s">
        <v>463</v>
      </c>
      <c r="J248" s="63" t="s">
        <v>530</v>
      </c>
      <c r="K248" s="63" t="s">
        <v>530</v>
      </c>
      <c r="L248" s="63" t="s">
        <v>530</v>
      </c>
    </row>
    <row r="249" spans="1:12" ht="16.2" x14ac:dyDescent="0.4">
      <c r="A249" s="15" t="str">
        <f t="shared" si="3"/>
        <v>modesg_inp_nfrd_alinhamento_taxcca_turnover_own_prfrmnce_algnd</v>
      </c>
      <c r="B249" s="51" t="s">
        <v>11</v>
      </c>
      <c r="C249" s="48" t="s">
        <v>153</v>
      </c>
      <c r="D249" s="44" t="s">
        <v>18</v>
      </c>
      <c r="E249" s="45" t="s">
        <v>183</v>
      </c>
      <c r="F249" s="44" t="s">
        <v>214</v>
      </c>
      <c r="G249" s="46" t="s">
        <v>440</v>
      </c>
      <c r="H249" s="46" t="s">
        <v>440</v>
      </c>
      <c r="I249" s="53" t="s">
        <v>463</v>
      </c>
      <c r="J249" s="63" t="s">
        <v>530</v>
      </c>
      <c r="K249" s="63" t="s">
        <v>530</v>
      </c>
      <c r="L249" s="63" t="s">
        <v>530</v>
      </c>
    </row>
    <row r="250" spans="1:12" ht="16.2" x14ac:dyDescent="0.4">
      <c r="A250" s="15" t="str">
        <f t="shared" si="3"/>
        <v>modesg_inp_nfrd_alinhamento_taxcca_capex_ttl_elgbl</v>
      </c>
      <c r="B250" s="51" t="s">
        <v>11</v>
      </c>
      <c r="C250" s="48" t="s">
        <v>153</v>
      </c>
      <c r="D250" s="44" t="s">
        <v>18</v>
      </c>
      <c r="E250" s="45" t="s">
        <v>183</v>
      </c>
      <c r="F250" s="44" t="s">
        <v>215</v>
      </c>
      <c r="G250" s="46" t="s">
        <v>440</v>
      </c>
      <c r="H250" s="46" t="s">
        <v>440</v>
      </c>
      <c r="I250" s="53" t="s">
        <v>463</v>
      </c>
      <c r="J250" s="63" t="s">
        <v>530</v>
      </c>
      <c r="K250" s="63" t="s">
        <v>530</v>
      </c>
      <c r="L250" s="63" t="s">
        <v>530</v>
      </c>
    </row>
    <row r="251" spans="1:12" ht="16.2" x14ac:dyDescent="0.4">
      <c r="A251" s="15" t="str">
        <f t="shared" si="3"/>
        <v>modesg_inp_nfrd_alinhamento_taxcca_capex_enblng_algnd</v>
      </c>
      <c r="B251" s="51" t="s">
        <v>11</v>
      </c>
      <c r="C251" s="48" t="s">
        <v>153</v>
      </c>
      <c r="D251" s="44" t="s">
        <v>18</v>
      </c>
      <c r="E251" s="45" t="s">
        <v>183</v>
      </c>
      <c r="F251" s="44" t="s">
        <v>216</v>
      </c>
      <c r="G251" s="46" t="s">
        <v>440</v>
      </c>
      <c r="H251" s="46" t="s">
        <v>440</v>
      </c>
      <c r="I251" s="53" t="s">
        <v>463</v>
      </c>
      <c r="J251" s="63" t="s">
        <v>530</v>
      </c>
      <c r="K251" s="63" t="s">
        <v>530</v>
      </c>
      <c r="L251" s="63" t="s">
        <v>530</v>
      </c>
    </row>
    <row r="252" spans="1:12" ht="16.2" x14ac:dyDescent="0.4">
      <c r="A252" s="15" t="str">
        <f t="shared" si="3"/>
        <v>modesg_inp_nfrd_alinhamento_taxcca_capex_own_prfrmnce_algnd</v>
      </c>
      <c r="B252" s="51" t="s">
        <v>11</v>
      </c>
      <c r="C252" s="48" t="s">
        <v>153</v>
      </c>
      <c r="D252" s="44" t="s">
        <v>18</v>
      </c>
      <c r="E252" s="45" t="s">
        <v>183</v>
      </c>
      <c r="F252" s="44" t="s">
        <v>217</v>
      </c>
      <c r="G252" s="46" t="s">
        <v>440</v>
      </c>
      <c r="H252" s="46" t="s">
        <v>440</v>
      </c>
      <c r="I252" s="53" t="s">
        <v>463</v>
      </c>
      <c r="J252" s="63" t="s">
        <v>530</v>
      </c>
      <c r="K252" s="63" t="s">
        <v>530</v>
      </c>
      <c r="L252" s="63" t="s">
        <v>530</v>
      </c>
    </row>
    <row r="253" spans="1:12" ht="16.2" x14ac:dyDescent="0.4">
      <c r="A253" s="15" t="str">
        <f t="shared" si="3"/>
        <v>modesg_inp_nfrd_alinhamento_taxccm_trnvr_ttl_elgbl</v>
      </c>
      <c r="B253" s="51" t="s">
        <v>11</v>
      </c>
      <c r="C253" s="48" t="s">
        <v>153</v>
      </c>
      <c r="D253" s="44" t="s">
        <v>18</v>
      </c>
      <c r="E253" s="45" t="s">
        <v>183</v>
      </c>
      <c r="F253" s="44" t="s">
        <v>218</v>
      </c>
      <c r="G253" s="46" t="s">
        <v>440</v>
      </c>
      <c r="H253" s="46" t="s">
        <v>440</v>
      </c>
      <c r="I253" s="53" t="s">
        <v>463</v>
      </c>
      <c r="J253" s="63" t="s">
        <v>530</v>
      </c>
      <c r="K253" s="63" t="s">
        <v>530</v>
      </c>
      <c r="L253" s="63" t="s">
        <v>530</v>
      </c>
    </row>
    <row r="254" spans="1:12" ht="16.2" x14ac:dyDescent="0.4">
      <c r="A254" s="15" t="str">
        <f t="shared" si="3"/>
        <v>modesg_inp_nfrd_alinhamento_taxccm_trnvr_enblng_algnd</v>
      </c>
      <c r="B254" s="51" t="s">
        <v>11</v>
      </c>
      <c r="C254" s="48" t="s">
        <v>153</v>
      </c>
      <c r="D254" s="44" t="s">
        <v>18</v>
      </c>
      <c r="E254" s="45" t="s">
        <v>183</v>
      </c>
      <c r="F254" s="44" t="s">
        <v>219</v>
      </c>
      <c r="G254" s="46" t="s">
        <v>440</v>
      </c>
      <c r="H254" s="46" t="s">
        <v>440</v>
      </c>
      <c r="I254" s="53" t="s">
        <v>463</v>
      </c>
      <c r="J254" s="63" t="s">
        <v>530</v>
      </c>
      <c r="K254" s="63" t="s">
        <v>530</v>
      </c>
      <c r="L254" s="63" t="s">
        <v>530</v>
      </c>
    </row>
    <row r="255" spans="1:12" ht="16.2" x14ac:dyDescent="0.4">
      <c r="A255" s="15" t="str">
        <f t="shared" si="3"/>
        <v>modesg_inp_nfrd_alinhamento_taxccm_trnvr_trnstn_alignd</v>
      </c>
      <c r="B255" s="51" t="s">
        <v>11</v>
      </c>
      <c r="C255" s="48" t="s">
        <v>153</v>
      </c>
      <c r="D255" s="44" t="s">
        <v>18</v>
      </c>
      <c r="E255" s="45" t="s">
        <v>183</v>
      </c>
      <c r="F255" s="44" t="s">
        <v>220</v>
      </c>
      <c r="G255" s="46" t="s">
        <v>440</v>
      </c>
      <c r="H255" s="46" t="s">
        <v>440</v>
      </c>
      <c r="I255" s="53" t="s">
        <v>463</v>
      </c>
      <c r="J255" s="63" t="s">
        <v>530</v>
      </c>
      <c r="K255" s="63" t="s">
        <v>530</v>
      </c>
      <c r="L255" s="63" t="s">
        <v>530</v>
      </c>
    </row>
    <row r="256" spans="1:12" ht="16.2" x14ac:dyDescent="0.4">
      <c r="A256" s="15" t="str">
        <f t="shared" si="3"/>
        <v>modesg_inp_nfrd_alinhamento_taxccm_trnvr_own_prfrmnce_algnd</v>
      </c>
      <c r="B256" s="51" t="s">
        <v>11</v>
      </c>
      <c r="C256" s="48" t="s">
        <v>153</v>
      </c>
      <c r="D256" s="44" t="s">
        <v>18</v>
      </c>
      <c r="E256" s="45" t="s">
        <v>183</v>
      </c>
      <c r="F256" s="44" t="s">
        <v>221</v>
      </c>
      <c r="G256" s="46" t="s">
        <v>440</v>
      </c>
      <c r="H256" s="46" t="s">
        <v>440</v>
      </c>
      <c r="I256" s="53" t="s">
        <v>463</v>
      </c>
      <c r="J256" s="63" t="s">
        <v>530</v>
      </c>
      <c r="K256" s="63" t="s">
        <v>530</v>
      </c>
      <c r="L256" s="63" t="s">
        <v>530</v>
      </c>
    </row>
    <row r="257" spans="1:12" ht="16.2" x14ac:dyDescent="0.4">
      <c r="A257" s="15" t="str">
        <f t="shared" si="3"/>
        <v>modesg_inp_nfrd_alinhamento_taxccm_capex_ttl_elgbl</v>
      </c>
      <c r="B257" s="51" t="s">
        <v>11</v>
      </c>
      <c r="C257" s="48" t="s">
        <v>153</v>
      </c>
      <c r="D257" s="44" t="s">
        <v>18</v>
      </c>
      <c r="E257" s="45" t="s">
        <v>183</v>
      </c>
      <c r="F257" s="44" t="s">
        <v>222</v>
      </c>
      <c r="G257" s="46" t="s">
        <v>440</v>
      </c>
      <c r="H257" s="46" t="s">
        <v>440</v>
      </c>
      <c r="I257" s="53" t="s">
        <v>463</v>
      </c>
      <c r="J257" s="63" t="s">
        <v>530</v>
      </c>
      <c r="K257" s="63" t="s">
        <v>530</v>
      </c>
      <c r="L257" s="63" t="s">
        <v>530</v>
      </c>
    </row>
    <row r="258" spans="1:12" ht="16.2" x14ac:dyDescent="0.4">
      <c r="A258" s="15" t="str">
        <f t="shared" si="3"/>
        <v>modesg_inp_nfrd_alinhamento_taxccm_capex_enblng_algnd</v>
      </c>
      <c r="B258" s="51" t="s">
        <v>11</v>
      </c>
      <c r="C258" s="48" t="s">
        <v>153</v>
      </c>
      <c r="D258" s="44" t="s">
        <v>18</v>
      </c>
      <c r="E258" s="45" t="s">
        <v>183</v>
      </c>
      <c r="F258" s="44" t="s">
        <v>223</v>
      </c>
      <c r="G258" s="46" t="s">
        <v>440</v>
      </c>
      <c r="H258" s="46" t="s">
        <v>440</v>
      </c>
      <c r="I258" s="53" t="s">
        <v>463</v>
      </c>
      <c r="J258" s="63" t="s">
        <v>530</v>
      </c>
      <c r="K258" s="63" t="s">
        <v>530</v>
      </c>
      <c r="L258" s="63" t="s">
        <v>530</v>
      </c>
    </row>
    <row r="259" spans="1:12" ht="16.2" x14ac:dyDescent="0.4">
      <c r="A259" s="15" t="str">
        <f t="shared" si="3"/>
        <v>modesg_inp_nfrd_alinhamento_taxccm_capex_trnstn_algnd</v>
      </c>
      <c r="B259" s="51" t="s">
        <v>11</v>
      </c>
      <c r="C259" s="48" t="s">
        <v>153</v>
      </c>
      <c r="D259" s="44" t="s">
        <v>18</v>
      </c>
      <c r="E259" s="45" t="s">
        <v>183</v>
      </c>
      <c r="F259" s="44" t="s">
        <v>224</v>
      </c>
      <c r="G259" s="46" t="s">
        <v>440</v>
      </c>
      <c r="H259" s="46" t="s">
        <v>440</v>
      </c>
      <c r="I259" s="53" t="s">
        <v>463</v>
      </c>
      <c r="J259" s="63" t="s">
        <v>530</v>
      </c>
      <c r="K259" s="63" t="s">
        <v>530</v>
      </c>
      <c r="L259" s="63" t="s">
        <v>530</v>
      </c>
    </row>
    <row r="260" spans="1:12" ht="16.2" x14ac:dyDescent="0.4">
      <c r="A260" s="15" t="str">
        <f t="shared" si="3"/>
        <v>modesg_inp_nfrd_alinhamento_taxccm_capex_own_prfrmnce_algnd</v>
      </c>
      <c r="B260" s="51" t="s">
        <v>11</v>
      </c>
      <c r="C260" s="48" t="s">
        <v>153</v>
      </c>
      <c r="D260" s="44" t="s">
        <v>18</v>
      </c>
      <c r="E260" s="45" t="s">
        <v>183</v>
      </c>
      <c r="F260" s="44" t="s">
        <v>225</v>
      </c>
      <c r="G260" s="46" t="s">
        <v>440</v>
      </c>
      <c r="H260" s="46" t="s">
        <v>440</v>
      </c>
      <c r="I260" s="53" t="s">
        <v>463</v>
      </c>
      <c r="J260" s="63" t="s">
        <v>530</v>
      </c>
      <c r="K260" s="63" t="s">
        <v>530</v>
      </c>
      <c r="L260" s="63" t="s">
        <v>530</v>
      </c>
    </row>
    <row r="261" spans="1:12" ht="16.2" x14ac:dyDescent="0.4">
      <c r="A261" s="15" t="str">
        <f t="shared" si="3"/>
        <v>modesg_inp_nfrd_alinhamento_taxppc_trnvr_ttl_elgbl</v>
      </c>
      <c r="B261" s="51" t="s">
        <v>11</v>
      </c>
      <c r="C261" s="48" t="s">
        <v>153</v>
      </c>
      <c r="D261" s="44" t="s">
        <v>18</v>
      </c>
      <c r="E261" s="45" t="s">
        <v>183</v>
      </c>
      <c r="F261" s="44" t="s">
        <v>226</v>
      </c>
      <c r="G261" s="46" t="s">
        <v>440</v>
      </c>
      <c r="H261" s="46" t="s">
        <v>440</v>
      </c>
      <c r="I261" s="54" t="s">
        <v>464</v>
      </c>
      <c r="J261" s="63" t="s">
        <v>530</v>
      </c>
      <c r="K261" s="63" t="s">
        <v>530</v>
      </c>
      <c r="L261" s="63" t="s">
        <v>530</v>
      </c>
    </row>
    <row r="262" spans="1:12" ht="16.2" x14ac:dyDescent="0.4">
      <c r="A262" s="15" t="str">
        <f t="shared" si="3"/>
        <v>modesg_inp_nfrd_alinhamento_taxppc_turnover_own_prfrmnce_algnd</v>
      </c>
      <c r="B262" s="51" t="s">
        <v>11</v>
      </c>
      <c r="C262" s="48" t="s">
        <v>153</v>
      </c>
      <c r="D262" s="44" t="s">
        <v>18</v>
      </c>
      <c r="E262" s="45" t="s">
        <v>183</v>
      </c>
      <c r="F262" s="44" t="s">
        <v>227</v>
      </c>
      <c r="G262" s="46" t="s">
        <v>440</v>
      </c>
      <c r="H262" s="46" t="s">
        <v>440</v>
      </c>
      <c r="I262" s="54" t="s">
        <v>464</v>
      </c>
      <c r="J262" s="63" t="s">
        <v>530</v>
      </c>
      <c r="K262" s="63" t="s">
        <v>530</v>
      </c>
      <c r="L262" s="63" t="s">
        <v>530</v>
      </c>
    </row>
    <row r="263" spans="1:12" ht="16.2" x14ac:dyDescent="0.4">
      <c r="A263" s="15" t="str">
        <f t="shared" si="3"/>
        <v>modesg_inp_nfrd_alinhamento_taxppc_capex_ttl_elgbl</v>
      </c>
      <c r="B263" s="51" t="s">
        <v>11</v>
      </c>
      <c r="C263" s="48" t="s">
        <v>153</v>
      </c>
      <c r="D263" s="44" t="s">
        <v>18</v>
      </c>
      <c r="E263" s="45" t="s">
        <v>183</v>
      </c>
      <c r="F263" s="44" t="s">
        <v>228</v>
      </c>
      <c r="G263" s="46" t="s">
        <v>440</v>
      </c>
      <c r="H263" s="46" t="s">
        <v>440</v>
      </c>
      <c r="I263" s="54" t="s">
        <v>464</v>
      </c>
      <c r="J263" s="63" t="s">
        <v>530</v>
      </c>
      <c r="K263" s="63" t="s">
        <v>530</v>
      </c>
      <c r="L263" s="63" t="s">
        <v>530</v>
      </c>
    </row>
    <row r="264" spans="1:12" ht="16.2" x14ac:dyDescent="0.4">
      <c r="A264" s="15" t="str">
        <f t="shared" ref="A264:A327" si="4">E264&amp;F264</f>
        <v>modesg_inp_nfrd_alinhamento_taxppc_capex_own_prfrmnce_algnd</v>
      </c>
      <c r="B264" s="51" t="s">
        <v>11</v>
      </c>
      <c r="C264" s="48" t="s">
        <v>153</v>
      </c>
      <c r="D264" s="44" t="s">
        <v>18</v>
      </c>
      <c r="E264" s="45" t="s">
        <v>183</v>
      </c>
      <c r="F264" s="44" t="s">
        <v>229</v>
      </c>
      <c r="G264" s="46" t="s">
        <v>440</v>
      </c>
      <c r="H264" s="46" t="s">
        <v>440</v>
      </c>
      <c r="I264" s="54" t="s">
        <v>464</v>
      </c>
      <c r="J264" s="63" t="s">
        <v>530</v>
      </c>
      <c r="K264" s="63" t="s">
        <v>530</v>
      </c>
      <c r="L264" s="63" t="s">
        <v>530</v>
      </c>
    </row>
    <row r="265" spans="1:12" ht="16.2" x14ac:dyDescent="0.4">
      <c r="A265" s="15" t="str">
        <f t="shared" si="4"/>
        <v>modesg_inp_nfrd_alinhamento_taxbio_trnvr_ttl_elgbl</v>
      </c>
      <c r="B265" s="51" t="s">
        <v>11</v>
      </c>
      <c r="C265" s="48" t="s">
        <v>153</v>
      </c>
      <c r="D265" s="44" t="s">
        <v>18</v>
      </c>
      <c r="E265" s="45" t="s">
        <v>183</v>
      </c>
      <c r="F265" s="44" t="s">
        <v>230</v>
      </c>
      <c r="G265" s="46" t="s">
        <v>440</v>
      </c>
      <c r="H265" s="46" t="s">
        <v>440</v>
      </c>
      <c r="I265" s="54" t="s">
        <v>464</v>
      </c>
      <c r="J265" s="63" t="s">
        <v>530</v>
      </c>
      <c r="K265" s="63" t="s">
        <v>530</v>
      </c>
      <c r="L265" s="63" t="s">
        <v>530</v>
      </c>
    </row>
    <row r="266" spans="1:12" ht="16.2" x14ac:dyDescent="0.4">
      <c r="A266" s="15" t="str">
        <f t="shared" si="4"/>
        <v>modesg_inp_nfrd_alinhamento_taxbio_turnover_own_prfrmnce_algnd</v>
      </c>
      <c r="B266" s="51" t="s">
        <v>11</v>
      </c>
      <c r="C266" s="48" t="s">
        <v>153</v>
      </c>
      <c r="D266" s="44" t="s">
        <v>18</v>
      </c>
      <c r="E266" s="45" t="s">
        <v>183</v>
      </c>
      <c r="F266" s="44" t="s">
        <v>231</v>
      </c>
      <c r="G266" s="46" t="s">
        <v>440</v>
      </c>
      <c r="H266" s="46" t="s">
        <v>440</v>
      </c>
      <c r="I266" s="54" t="s">
        <v>464</v>
      </c>
      <c r="J266" s="63" t="s">
        <v>530</v>
      </c>
      <c r="K266" s="63" t="s">
        <v>530</v>
      </c>
      <c r="L266" s="63" t="s">
        <v>530</v>
      </c>
    </row>
    <row r="267" spans="1:12" ht="16.2" x14ac:dyDescent="0.4">
      <c r="A267" s="15" t="str">
        <f t="shared" si="4"/>
        <v>modesg_inp_nfrd_alinhamento_taxbio_capex_ttl_elgbl</v>
      </c>
      <c r="B267" s="51" t="s">
        <v>11</v>
      </c>
      <c r="C267" s="48" t="s">
        <v>153</v>
      </c>
      <c r="D267" s="44" t="s">
        <v>18</v>
      </c>
      <c r="E267" s="45" t="s">
        <v>183</v>
      </c>
      <c r="F267" s="44" t="s">
        <v>232</v>
      </c>
      <c r="G267" s="46" t="s">
        <v>440</v>
      </c>
      <c r="H267" s="46" t="s">
        <v>440</v>
      </c>
      <c r="I267" s="54" t="s">
        <v>464</v>
      </c>
      <c r="J267" s="63" t="s">
        <v>530</v>
      </c>
      <c r="K267" s="63" t="s">
        <v>530</v>
      </c>
      <c r="L267" s="63" t="s">
        <v>530</v>
      </c>
    </row>
    <row r="268" spans="1:12" ht="16.2" x14ac:dyDescent="0.4">
      <c r="A268" s="15" t="str">
        <f t="shared" si="4"/>
        <v>modesg_inp_nfrd_alinhamento_taxbio_capex_own_prfrmnce_algnd</v>
      </c>
      <c r="B268" s="51" t="s">
        <v>11</v>
      </c>
      <c r="C268" s="48" t="s">
        <v>153</v>
      </c>
      <c r="D268" s="44" t="s">
        <v>18</v>
      </c>
      <c r="E268" s="45" t="s">
        <v>183</v>
      </c>
      <c r="F268" s="44" t="s">
        <v>233</v>
      </c>
      <c r="G268" s="46" t="s">
        <v>440</v>
      </c>
      <c r="H268" s="46" t="s">
        <v>440</v>
      </c>
      <c r="I268" s="54" t="s">
        <v>464</v>
      </c>
      <c r="J268" s="63" t="s">
        <v>530</v>
      </c>
      <c r="K268" s="63" t="s">
        <v>530</v>
      </c>
      <c r="L268" s="63" t="s">
        <v>530</v>
      </c>
    </row>
    <row r="269" spans="1:12" ht="16.2" x14ac:dyDescent="0.4">
      <c r="A269" s="15" t="str">
        <f t="shared" si="4"/>
        <v>modesg_inp_nfrd_alinhamento_taxwtr_trnvr_ttl_elgbl</v>
      </c>
      <c r="B269" s="51" t="s">
        <v>11</v>
      </c>
      <c r="C269" s="48" t="s">
        <v>153</v>
      </c>
      <c r="D269" s="44" t="s">
        <v>18</v>
      </c>
      <c r="E269" s="45" t="s">
        <v>183</v>
      </c>
      <c r="F269" s="44" t="s">
        <v>234</v>
      </c>
      <c r="G269" s="46" t="s">
        <v>440</v>
      </c>
      <c r="H269" s="46" t="s">
        <v>440</v>
      </c>
      <c r="I269" s="54" t="s">
        <v>464</v>
      </c>
      <c r="J269" s="63" t="s">
        <v>530</v>
      </c>
      <c r="K269" s="63" t="s">
        <v>530</v>
      </c>
      <c r="L269" s="63" t="s">
        <v>530</v>
      </c>
    </row>
    <row r="270" spans="1:12" ht="16.2" x14ac:dyDescent="0.4">
      <c r="A270" s="15" t="str">
        <f t="shared" si="4"/>
        <v>modesg_inp_nfrd_alinhamento_taxwtr_trnvr_enblng_alignd</v>
      </c>
      <c r="B270" s="51" t="s">
        <v>11</v>
      </c>
      <c r="C270" s="48" t="s">
        <v>153</v>
      </c>
      <c r="D270" s="44" t="s">
        <v>18</v>
      </c>
      <c r="E270" s="45" t="s">
        <v>183</v>
      </c>
      <c r="F270" s="44" t="s">
        <v>235</v>
      </c>
      <c r="G270" s="46" t="s">
        <v>440</v>
      </c>
      <c r="H270" s="46" t="s">
        <v>440</v>
      </c>
      <c r="I270" s="54" t="s">
        <v>464</v>
      </c>
      <c r="J270" s="63" t="s">
        <v>530</v>
      </c>
      <c r="K270" s="63" t="s">
        <v>530</v>
      </c>
      <c r="L270" s="63" t="s">
        <v>530</v>
      </c>
    </row>
    <row r="271" spans="1:12" ht="16.2" x14ac:dyDescent="0.4">
      <c r="A271" s="15" t="str">
        <f t="shared" si="4"/>
        <v>modesg_inp_nfrd_alinhamento_taxwtr_turnover_own_prfrmnce_algnd</v>
      </c>
      <c r="B271" s="51" t="s">
        <v>11</v>
      </c>
      <c r="C271" s="48" t="s">
        <v>153</v>
      </c>
      <c r="D271" s="44" t="s">
        <v>18</v>
      </c>
      <c r="E271" s="45" t="s">
        <v>183</v>
      </c>
      <c r="F271" s="44" t="s">
        <v>236</v>
      </c>
      <c r="G271" s="46" t="s">
        <v>440</v>
      </c>
      <c r="H271" s="46" t="s">
        <v>440</v>
      </c>
      <c r="I271" s="54" t="s">
        <v>464</v>
      </c>
      <c r="J271" s="63" t="s">
        <v>530</v>
      </c>
      <c r="K271" s="63" t="s">
        <v>530</v>
      </c>
      <c r="L271" s="63" t="s">
        <v>530</v>
      </c>
    </row>
    <row r="272" spans="1:12" ht="16.2" x14ac:dyDescent="0.4">
      <c r="A272" s="15" t="str">
        <f t="shared" si="4"/>
        <v>modesg_inp_nfrd_alinhamento_taxwtr_capex_ttl_elgbl</v>
      </c>
      <c r="B272" s="51" t="s">
        <v>11</v>
      </c>
      <c r="C272" s="48" t="s">
        <v>153</v>
      </c>
      <c r="D272" s="44" t="s">
        <v>18</v>
      </c>
      <c r="E272" s="45" t="s">
        <v>183</v>
      </c>
      <c r="F272" s="44" t="s">
        <v>237</v>
      </c>
      <c r="G272" s="46" t="s">
        <v>440</v>
      </c>
      <c r="H272" s="46" t="s">
        <v>440</v>
      </c>
      <c r="I272" s="54" t="s">
        <v>464</v>
      </c>
      <c r="J272" s="63" t="s">
        <v>530</v>
      </c>
      <c r="K272" s="63" t="s">
        <v>530</v>
      </c>
      <c r="L272" s="63" t="s">
        <v>530</v>
      </c>
    </row>
    <row r="273" spans="1:12" ht="16.2" x14ac:dyDescent="0.4">
      <c r="A273" s="15" t="str">
        <f t="shared" si="4"/>
        <v>modesg_inp_nfrd_alinhamento_taxwtr_capex_enblng_algnd</v>
      </c>
      <c r="B273" s="51" t="s">
        <v>11</v>
      </c>
      <c r="C273" s="48" t="s">
        <v>153</v>
      </c>
      <c r="D273" s="44" t="s">
        <v>18</v>
      </c>
      <c r="E273" s="45" t="s">
        <v>183</v>
      </c>
      <c r="F273" s="44" t="s">
        <v>238</v>
      </c>
      <c r="G273" s="46" t="s">
        <v>440</v>
      </c>
      <c r="H273" s="46" t="s">
        <v>440</v>
      </c>
      <c r="I273" s="54" t="s">
        <v>464</v>
      </c>
      <c r="J273" s="63" t="s">
        <v>530</v>
      </c>
      <c r="K273" s="63" t="s">
        <v>530</v>
      </c>
      <c r="L273" s="63" t="s">
        <v>530</v>
      </c>
    </row>
    <row r="274" spans="1:12" ht="16.2" x14ac:dyDescent="0.4">
      <c r="A274" s="15" t="str">
        <f t="shared" si="4"/>
        <v>modesg_inp_nfrd_alinhamento_taxwtr_capex_own_prfrmnce_algnd</v>
      </c>
      <c r="B274" s="51" t="s">
        <v>11</v>
      </c>
      <c r="C274" s="48" t="s">
        <v>153</v>
      </c>
      <c r="D274" s="44" t="s">
        <v>18</v>
      </c>
      <c r="E274" s="45" t="s">
        <v>183</v>
      </c>
      <c r="F274" s="44" t="s">
        <v>239</v>
      </c>
      <c r="G274" s="46" t="s">
        <v>440</v>
      </c>
      <c r="H274" s="46" t="s">
        <v>440</v>
      </c>
      <c r="I274" s="54" t="s">
        <v>464</v>
      </c>
      <c r="J274" s="63" t="s">
        <v>530</v>
      </c>
      <c r="K274" s="63" t="s">
        <v>530</v>
      </c>
      <c r="L274" s="63" t="s">
        <v>530</v>
      </c>
    </row>
    <row r="275" spans="1:12" ht="16.2" x14ac:dyDescent="0.4">
      <c r="A275" s="15" t="str">
        <f t="shared" si="4"/>
        <v>modesg_inp_nfrd_alinhamento_taxce_trnvr_ttl_elgbl</v>
      </c>
      <c r="B275" s="51" t="s">
        <v>11</v>
      </c>
      <c r="C275" s="48" t="s">
        <v>153</v>
      </c>
      <c r="D275" s="44" t="s">
        <v>18</v>
      </c>
      <c r="E275" s="45" t="s">
        <v>183</v>
      </c>
      <c r="F275" s="44" t="s">
        <v>240</v>
      </c>
      <c r="G275" s="46" t="s">
        <v>440</v>
      </c>
      <c r="H275" s="46" t="s">
        <v>440</v>
      </c>
      <c r="I275" s="54" t="s">
        <v>464</v>
      </c>
      <c r="J275" s="63" t="s">
        <v>530</v>
      </c>
      <c r="K275" s="63" t="s">
        <v>530</v>
      </c>
      <c r="L275" s="63" t="s">
        <v>530</v>
      </c>
    </row>
    <row r="276" spans="1:12" ht="16.2" x14ac:dyDescent="0.4">
      <c r="A276" s="15" t="str">
        <f t="shared" si="4"/>
        <v>modesg_inp_nfrd_alinhamento_taxce_trnvr_enblng_alignd</v>
      </c>
      <c r="B276" s="51" t="s">
        <v>11</v>
      </c>
      <c r="C276" s="48" t="s">
        <v>153</v>
      </c>
      <c r="D276" s="44" t="s">
        <v>18</v>
      </c>
      <c r="E276" s="45" t="s">
        <v>183</v>
      </c>
      <c r="F276" s="44" t="s">
        <v>241</v>
      </c>
      <c r="G276" s="46" t="s">
        <v>440</v>
      </c>
      <c r="H276" s="46" t="s">
        <v>440</v>
      </c>
      <c r="I276" s="54" t="s">
        <v>464</v>
      </c>
      <c r="J276" s="63" t="s">
        <v>530</v>
      </c>
      <c r="K276" s="63" t="s">
        <v>530</v>
      </c>
      <c r="L276" s="63" t="s">
        <v>530</v>
      </c>
    </row>
    <row r="277" spans="1:12" ht="16.2" x14ac:dyDescent="0.4">
      <c r="A277" s="15" t="str">
        <f t="shared" si="4"/>
        <v>modesg_inp_nfrd_alinhamento_taxce_turnover_own_prfrmnce_algnd</v>
      </c>
      <c r="B277" s="51" t="s">
        <v>11</v>
      </c>
      <c r="C277" s="48" t="s">
        <v>153</v>
      </c>
      <c r="D277" s="44" t="s">
        <v>18</v>
      </c>
      <c r="E277" s="45" t="s">
        <v>183</v>
      </c>
      <c r="F277" s="44" t="s">
        <v>242</v>
      </c>
      <c r="G277" s="46" t="s">
        <v>440</v>
      </c>
      <c r="H277" s="46" t="s">
        <v>440</v>
      </c>
      <c r="I277" s="54" t="s">
        <v>464</v>
      </c>
      <c r="J277" s="63" t="s">
        <v>530</v>
      </c>
      <c r="K277" s="63" t="s">
        <v>530</v>
      </c>
      <c r="L277" s="63" t="s">
        <v>530</v>
      </c>
    </row>
    <row r="278" spans="1:12" ht="16.2" x14ac:dyDescent="0.4">
      <c r="A278" s="15" t="str">
        <f t="shared" si="4"/>
        <v>modesg_inp_nfrd_alinhamento_taxce_capex_ttl_elgbl</v>
      </c>
      <c r="B278" s="51" t="s">
        <v>11</v>
      </c>
      <c r="C278" s="48" t="s">
        <v>153</v>
      </c>
      <c r="D278" s="44" t="s">
        <v>18</v>
      </c>
      <c r="E278" s="45" t="s">
        <v>183</v>
      </c>
      <c r="F278" s="44" t="s">
        <v>243</v>
      </c>
      <c r="G278" s="46" t="s">
        <v>440</v>
      </c>
      <c r="H278" s="46" t="s">
        <v>440</v>
      </c>
      <c r="I278" s="54" t="s">
        <v>464</v>
      </c>
      <c r="J278" s="63" t="s">
        <v>530</v>
      </c>
      <c r="K278" s="63" t="s">
        <v>530</v>
      </c>
      <c r="L278" s="63" t="s">
        <v>530</v>
      </c>
    </row>
    <row r="279" spans="1:12" ht="16.2" x14ac:dyDescent="0.4">
      <c r="A279" s="15" t="str">
        <f t="shared" si="4"/>
        <v>modesg_inp_nfrd_alinhamento_taxce_capex_enblng_algnd</v>
      </c>
      <c r="B279" s="51" t="s">
        <v>11</v>
      </c>
      <c r="C279" s="48" t="s">
        <v>153</v>
      </c>
      <c r="D279" s="44" t="s">
        <v>18</v>
      </c>
      <c r="E279" s="45" t="s">
        <v>183</v>
      </c>
      <c r="F279" s="44" t="s">
        <v>244</v>
      </c>
      <c r="G279" s="46" t="s">
        <v>440</v>
      </c>
      <c r="H279" s="46" t="s">
        <v>440</v>
      </c>
      <c r="I279" s="54" t="s">
        <v>464</v>
      </c>
      <c r="J279" s="63" t="s">
        <v>530</v>
      </c>
      <c r="K279" s="63" t="s">
        <v>530</v>
      </c>
      <c r="L279" s="63" t="s">
        <v>530</v>
      </c>
    </row>
    <row r="280" spans="1:12" ht="16.2" x14ac:dyDescent="0.4">
      <c r="A280" s="15" t="str">
        <f t="shared" si="4"/>
        <v>modesg_inp_nfrd_alinhamento_taxce_capex_own_prfrmnce_algnd</v>
      </c>
      <c r="B280" s="51" t="s">
        <v>11</v>
      </c>
      <c r="C280" s="48" t="s">
        <v>153</v>
      </c>
      <c r="D280" s="44" t="s">
        <v>18</v>
      </c>
      <c r="E280" s="45" t="s">
        <v>183</v>
      </c>
      <c r="F280" s="44" t="s">
        <v>245</v>
      </c>
      <c r="G280" s="46" t="s">
        <v>440</v>
      </c>
      <c r="H280" s="46" t="s">
        <v>440</v>
      </c>
      <c r="I280" s="54" t="s">
        <v>464</v>
      </c>
      <c r="J280" s="63" t="s">
        <v>530</v>
      </c>
      <c r="K280" s="63" t="s">
        <v>530</v>
      </c>
      <c r="L280" s="63" t="s">
        <v>530</v>
      </c>
    </row>
    <row r="281" spans="1:12" ht="16.2" x14ac:dyDescent="0.4">
      <c r="A281" s="15" t="str">
        <f t="shared" si="4"/>
        <v>modesg_inp_risco_fisicoref_date</v>
      </c>
      <c r="B281" s="51" t="s">
        <v>11</v>
      </c>
      <c r="C281" s="48" t="s">
        <v>153</v>
      </c>
      <c r="D281" s="44" t="s">
        <v>18</v>
      </c>
      <c r="E281" s="45" t="s">
        <v>184</v>
      </c>
      <c r="F281" s="44" t="s">
        <v>50</v>
      </c>
      <c r="G281" s="46" t="s">
        <v>437</v>
      </c>
      <c r="H281" s="46" t="s">
        <v>437</v>
      </c>
      <c r="I281" s="64"/>
      <c r="J281" s="63" t="s">
        <v>530</v>
      </c>
      <c r="K281" s="63" t="s">
        <v>530</v>
      </c>
      <c r="L281" s="63" t="s">
        <v>530</v>
      </c>
    </row>
    <row r="282" spans="1:12" ht="16.2" x14ac:dyDescent="0.4">
      <c r="A282" s="15" t="str">
        <f t="shared" si="4"/>
        <v>modesg_inp_risco_fisicocod_pais</v>
      </c>
      <c r="B282" s="51" t="s">
        <v>11</v>
      </c>
      <c r="C282" s="48" t="s">
        <v>153</v>
      </c>
      <c r="D282" s="44" t="s">
        <v>18</v>
      </c>
      <c r="E282" s="45" t="s">
        <v>184</v>
      </c>
      <c r="F282" s="44" t="s">
        <v>79</v>
      </c>
      <c r="G282" s="46" t="s">
        <v>437</v>
      </c>
      <c r="H282" s="46" t="s">
        <v>437</v>
      </c>
      <c r="I282" s="64"/>
      <c r="J282" s="63" t="s">
        <v>530</v>
      </c>
      <c r="K282" s="63" t="s">
        <v>530</v>
      </c>
      <c r="L282" s="63" t="s">
        <v>530</v>
      </c>
    </row>
    <row r="283" spans="1:12" ht="16.2" x14ac:dyDescent="0.4">
      <c r="A283" s="15" t="str">
        <f t="shared" si="4"/>
        <v>modesg_inp_risco_fisicocod_nutiii</v>
      </c>
      <c r="B283" s="51" t="s">
        <v>11</v>
      </c>
      <c r="C283" s="48" t="s">
        <v>153</v>
      </c>
      <c r="D283" s="44" t="s">
        <v>18</v>
      </c>
      <c r="E283" s="45" t="s">
        <v>184</v>
      </c>
      <c r="F283" s="44" t="s">
        <v>246</v>
      </c>
      <c r="G283" s="46" t="s">
        <v>437</v>
      </c>
      <c r="H283" s="46" t="s">
        <v>437</v>
      </c>
      <c r="I283" s="64"/>
      <c r="J283" s="63" t="s">
        <v>530</v>
      </c>
      <c r="K283" s="63" t="s">
        <v>530</v>
      </c>
      <c r="L283" s="63" t="s">
        <v>530</v>
      </c>
    </row>
    <row r="284" spans="1:12" ht="16.2" x14ac:dyDescent="0.4">
      <c r="A284" s="15" t="str">
        <f t="shared" si="4"/>
        <v>modesg_inp_risco_fisicocod_nace_esg</v>
      </c>
      <c r="B284" s="51" t="s">
        <v>11</v>
      </c>
      <c r="C284" s="48" t="s">
        <v>153</v>
      </c>
      <c r="D284" s="44" t="s">
        <v>18</v>
      </c>
      <c r="E284" s="45" t="s">
        <v>184</v>
      </c>
      <c r="F284" s="44" t="s">
        <v>247</v>
      </c>
      <c r="G284" s="46" t="s">
        <v>437</v>
      </c>
      <c r="H284" s="46" t="s">
        <v>437</v>
      </c>
      <c r="I284" s="64"/>
      <c r="J284" s="63" t="s">
        <v>530</v>
      </c>
      <c r="K284" s="63" t="s">
        <v>530</v>
      </c>
      <c r="L284" s="63" t="s">
        <v>530</v>
      </c>
    </row>
    <row r="285" spans="1:12" ht="16.2" x14ac:dyDescent="0.4">
      <c r="A285" s="15" t="str">
        <f t="shared" si="4"/>
        <v>modesg_inp_risco_fisicoflg_rsc_fsc_agd</v>
      </c>
      <c r="B285" s="51" t="s">
        <v>11</v>
      </c>
      <c r="C285" s="48" t="s">
        <v>153</v>
      </c>
      <c r="D285" s="44" t="s">
        <v>18</v>
      </c>
      <c r="E285" s="45" t="s">
        <v>184</v>
      </c>
      <c r="F285" s="44" t="s">
        <v>248</v>
      </c>
      <c r="G285" s="46" t="s">
        <v>437</v>
      </c>
      <c r="H285" s="46" t="s">
        <v>437</v>
      </c>
      <c r="I285" s="64"/>
      <c r="J285" s="63" t="s">
        <v>530</v>
      </c>
      <c r="K285" s="63" t="s">
        <v>530</v>
      </c>
      <c r="L285" s="63" t="s">
        <v>530</v>
      </c>
    </row>
    <row r="286" spans="1:12" ht="16.2" x14ac:dyDescent="0.4">
      <c r="A286" s="15" t="str">
        <f t="shared" si="4"/>
        <v>modesg_inp_risco_fisicoflg_rsc_fsc_crnc</v>
      </c>
      <c r="B286" s="51" t="s">
        <v>11</v>
      </c>
      <c r="C286" s="48" t="s">
        <v>153</v>
      </c>
      <c r="D286" s="44" t="s">
        <v>18</v>
      </c>
      <c r="E286" s="45" t="s">
        <v>184</v>
      </c>
      <c r="F286" s="44" t="s">
        <v>249</v>
      </c>
      <c r="G286" s="46" t="s">
        <v>437</v>
      </c>
      <c r="H286" s="46" t="s">
        <v>437</v>
      </c>
      <c r="I286" s="64"/>
      <c r="J286" s="63" t="s">
        <v>530</v>
      </c>
      <c r="K286" s="63" t="s">
        <v>530</v>
      </c>
      <c r="L286" s="63" t="s">
        <v>530</v>
      </c>
    </row>
    <row r="287" spans="1:12" ht="16.2" x14ac:dyDescent="0.4">
      <c r="A287" s="15" t="str">
        <f t="shared" si="4"/>
        <v>modesg_inp_emss_scibref_date</v>
      </c>
      <c r="B287" s="51" t="s">
        <v>11</v>
      </c>
      <c r="C287" s="48" t="s">
        <v>153</v>
      </c>
      <c r="D287" s="44" t="s">
        <v>18</v>
      </c>
      <c r="E287" s="45" t="s">
        <v>185</v>
      </c>
      <c r="F287" s="44" t="s">
        <v>50</v>
      </c>
      <c r="G287" s="46" t="s">
        <v>437</v>
      </c>
      <c r="H287" s="46" t="s">
        <v>437</v>
      </c>
      <c r="I287" s="64"/>
      <c r="J287" s="63" t="s">
        <v>530</v>
      </c>
      <c r="K287" s="63" t="s">
        <v>530</v>
      </c>
      <c r="L287" s="63" t="s">
        <v>530</v>
      </c>
    </row>
    <row r="288" spans="1:12" ht="16.2" x14ac:dyDescent="0.4">
      <c r="A288" s="15" t="str">
        <f t="shared" si="4"/>
        <v>modesg_inp_emss_scibccli_kgl</v>
      </c>
      <c r="B288" s="51" t="s">
        <v>11</v>
      </c>
      <c r="C288" s="48" t="s">
        <v>153</v>
      </c>
      <c r="D288" s="44" t="s">
        <v>18</v>
      </c>
      <c r="E288" s="45" t="s">
        <v>185</v>
      </c>
      <c r="F288" s="44" t="s">
        <v>207</v>
      </c>
      <c r="G288" s="46" t="s">
        <v>437</v>
      </c>
      <c r="H288" s="46" t="s">
        <v>437</v>
      </c>
      <c r="I288" s="64"/>
      <c r="J288" s="63" t="s">
        <v>530</v>
      </c>
      <c r="K288" s="63" t="s">
        <v>530</v>
      </c>
      <c r="L288" s="63" t="s">
        <v>530</v>
      </c>
    </row>
    <row r="289" spans="1:12" ht="16.2" x14ac:dyDescent="0.4">
      <c r="A289" s="15" t="str">
        <f t="shared" si="4"/>
        <v>modesg_inp_emss_scibnome_grupo</v>
      </c>
      <c r="B289" s="51" t="s">
        <v>11</v>
      </c>
      <c r="C289" s="48" t="s">
        <v>153</v>
      </c>
      <c r="D289" s="44" t="s">
        <v>18</v>
      </c>
      <c r="E289" s="45" t="s">
        <v>185</v>
      </c>
      <c r="F289" s="44" t="s">
        <v>250</v>
      </c>
      <c r="G289" s="46" t="s">
        <v>437</v>
      </c>
      <c r="H289" s="46" t="s">
        <v>437</v>
      </c>
      <c r="I289" s="64"/>
      <c r="J289" s="63" t="s">
        <v>530</v>
      </c>
      <c r="K289" s="63" t="s">
        <v>530</v>
      </c>
      <c r="L289" s="63" t="s">
        <v>530</v>
      </c>
    </row>
    <row r="290" spans="1:12" ht="16.2" x14ac:dyDescent="0.4">
      <c r="A290" s="15" t="str">
        <f t="shared" si="4"/>
        <v>modesg_inp_emss_scibisin</v>
      </c>
      <c r="B290" s="51" t="s">
        <v>11</v>
      </c>
      <c r="C290" s="48" t="s">
        <v>153</v>
      </c>
      <c r="D290" s="44" t="s">
        <v>18</v>
      </c>
      <c r="E290" s="45" t="s">
        <v>185</v>
      </c>
      <c r="F290" s="44" t="s">
        <v>205</v>
      </c>
      <c r="G290" s="46" t="s">
        <v>437</v>
      </c>
      <c r="H290" s="46" t="s">
        <v>437</v>
      </c>
      <c r="I290" s="64"/>
      <c r="J290" s="63" t="s">
        <v>530</v>
      </c>
      <c r="K290" s="63" t="s">
        <v>530</v>
      </c>
      <c r="L290" s="63" t="s">
        <v>530</v>
      </c>
    </row>
    <row r="291" spans="1:12" ht="16.2" x14ac:dyDescent="0.4">
      <c r="A291" s="15" t="str">
        <f t="shared" si="4"/>
        <v>modesg_inp_emss_scibclei</v>
      </c>
      <c r="B291" s="51" t="s">
        <v>11</v>
      </c>
      <c r="C291" s="48" t="s">
        <v>153</v>
      </c>
      <c r="D291" s="44" t="s">
        <v>18</v>
      </c>
      <c r="E291" s="45" t="s">
        <v>185</v>
      </c>
      <c r="F291" s="44" t="s">
        <v>206</v>
      </c>
      <c r="G291" s="46" t="s">
        <v>437</v>
      </c>
      <c r="H291" s="46" t="s">
        <v>437</v>
      </c>
      <c r="I291" s="64"/>
      <c r="J291" s="63" t="s">
        <v>530</v>
      </c>
      <c r="K291" s="63" t="s">
        <v>530</v>
      </c>
      <c r="L291" s="63" t="s">
        <v>530</v>
      </c>
    </row>
    <row r="292" spans="1:12" ht="16.2" x14ac:dyDescent="0.4">
      <c r="A292" s="15" t="str">
        <f t="shared" si="4"/>
        <v>modesg_inp_emss_scibscp1_emss</v>
      </c>
      <c r="B292" s="51" t="s">
        <v>11</v>
      </c>
      <c r="C292" s="48" t="s">
        <v>153</v>
      </c>
      <c r="D292" s="44" t="s">
        <v>18</v>
      </c>
      <c r="E292" s="45" t="s">
        <v>185</v>
      </c>
      <c r="F292" s="44" t="s">
        <v>251</v>
      </c>
      <c r="G292" s="46" t="s">
        <v>437</v>
      </c>
      <c r="H292" s="46" t="s">
        <v>152</v>
      </c>
      <c r="I292" s="53" t="s">
        <v>465</v>
      </c>
      <c r="J292" s="63">
        <v>45491</v>
      </c>
      <c r="K292" s="63" t="s">
        <v>530</v>
      </c>
      <c r="L292" s="63">
        <v>45499</v>
      </c>
    </row>
    <row r="293" spans="1:12" ht="16.2" x14ac:dyDescent="0.4">
      <c r="A293" s="15" t="str">
        <f t="shared" si="4"/>
        <v>modesg_inp_emss_scibscp2_emss</v>
      </c>
      <c r="B293" s="51" t="s">
        <v>11</v>
      </c>
      <c r="C293" s="48" t="s">
        <v>153</v>
      </c>
      <c r="D293" s="44" t="s">
        <v>18</v>
      </c>
      <c r="E293" s="45" t="s">
        <v>185</v>
      </c>
      <c r="F293" s="44" t="s">
        <v>252</v>
      </c>
      <c r="G293" s="46" t="s">
        <v>437</v>
      </c>
      <c r="H293" s="46" t="s">
        <v>152</v>
      </c>
      <c r="I293" s="53" t="s">
        <v>465</v>
      </c>
      <c r="J293" s="63">
        <v>45491</v>
      </c>
      <c r="K293" s="63" t="s">
        <v>530</v>
      </c>
      <c r="L293" s="63">
        <v>45499</v>
      </c>
    </row>
    <row r="294" spans="1:12" ht="16.2" x14ac:dyDescent="0.4">
      <c r="A294" s="15" t="str">
        <f t="shared" si="4"/>
        <v>modesg_inp_emss_scibscp3_emss</v>
      </c>
      <c r="B294" s="51" t="s">
        <v>11</v>
      </c>
      <c r="C294" s="48" t="s">
        <v>153</v>
      </c>
      <c r="D294" s="44" t="s">
        <v>18</v>
      </c>
      <c r="E294" s="45" t="s">
        <v>185</v>
      </c>
      <c r="F294" s="44" t="s">
        <v>253</v>
      </c>
      <c r="G294" s="46" t="s">
        <v>437</v>
      </c>
      <c r="H294" s="46" t="s">
        <v>437</v>
      </c>
      <c r="I294" s="64"/>
      <c r="J294" s="63" t="s">
        <v>530</v>
      </c>
      <c r="K294" s="63" t="s">
        <v>530</v>
      </c>
      <c r="L294" s="63" t="s">
        <v>530</v>
      </c>
    </row>
    <row r="295" spans="1:12" ht="16.2" x14ac:dyDescent="0.4">
      <c r="A295" s="15" t="str">
        <f t="shared" si="4"/>
        <v>modesg_inp_emss_scibscore_scp1</v>
      </c>
      <c r="B295" s="51" t="s">
        <v>11</v>
      </c>
      <c r="C295" s="48" t="s">
        <v>153</v>
      </c>
      <c r="D295" s="44" t="s">
        <v>18</v>
      </c>
      <c r="E295" s="45" t="s">
        <v>185</v>
      </c>
      <c r="F295" s="44" t="s">
        <v>254</v>
      </c>
      <c r="G295" s="46" t="s">
        <v>437</v>
      </c>
      <c r="H295" s="46" t="s">
        <v>437</v>
      </c>
      <c r="I295" s="64"/>
      <c r="J295" s="63" t="s">
        <v>530</v>
      </c>
      <c r="K295" s="63" t="s">
        <v>530</v>
      </c>
      <c r="L295" s="63" t="s">
        <v>530</v>
      </c>
    </row>
    <row r="296" spans="1:12" ht="16.2" x14ac:dyDescent="0.4">
      <c r="A296" s="15" t="str">
        <f t="shared" si="4"/>
        <v>modesg_inp_emss_scibscore_scp2</v>
      </c>
      <c r="B296" s="51" t="s">
        <v>11</v>
      </c>
      <c r="C296" s="48" t="s">
        <v>153</v>
      </c>
      <c r="D296" s="44" t="s">
        <v>18</v>
      </c>
      <c r="E296" s="45" t="s">
        <v>185</v>
      </c>
      <c r="F296" s="44" t="s">
        <v>255</v>
      </c>
      <c r="G296" s="46" t="s">
        <v>437</v>
      </c>
      <c r="H296" s="46" t="s">
        <v>437</v>
      </c>
      <c r="I296" s="64"/>
      <c r="J296" s="63" t="s">
        <v>530</v>
      </c>
      <c r="K296" s="63" t="s">
        <v>530</v>
      </c>
      <c r="L296" s="63" t="s">
        <v>530</v>
      </c>
    </row>
    <row r="297" spans="1:12" ht="16.2" x14ac:dyDescent="0.4">
      <c r="A297" s="15" t="str">
        <f t="shared" si="4"/>
        <v>modesg_inp_emss_scibscore_scp3</v>
      </c>
      <c r="B297" s="51" t="s">
        <v>11</v>
      </c>
      <c r="C297" s="48" t="s">
        <v>153</v>
      </c>
      <c r="D297" s="44" t="s">
        <v>18</v>
      </c>
      <c r="E297" s="45" t="s">
        <v>185</v>
      </c>
      <c r="F297" s="44" t="s">
        <v>256</v>
      </c>
      <c r="G297" s="46" t="s">
        <v>437</v>
      </c>
      <c r="H297" s="46" t="s">
        <v>437</v>
      </c>
      <c r="I297" s="64"/>
      <c r="J297" s="63" t="s">
        <v>530</v>
      </c>
      <c r="K297" s="63" t="s">
        <v>530</v>
      </c>
      <c r="L297" s="63" t="s">
        <v>530</v>
      </c>
    </row>
    <row r="298" spans="1:12" ht="16.2" x14ac:dyDescent="0.4">
      <c r="A298" s="15" t="str">
        <f t="shared" si="4"/>
        <v>modesg_inp_emss_sciborigem_scp1</v>
      </c>
      <c r="B298" s="51" t="s">
        <v>11</v>
      </c>
      <c r="C298" s="48" t="s">
        <v>153</v>
      </c>
      <c r="D298" s="44" t="s">
        <v>18</v>
      </c>
      <c r="E298" s="45" t="s">
        <v>185</v>
      </c>
      <c r="F298" s="44" t="s">
        <v>257</v>
      </c>
      <c r="G298" s="46" t="s">
        <v>437</v>
      </c>
      <c r="H298" s="46" t="s">
        <v>437</v>
      </c>
      <c r="I298" s="64"/>
      <c r="J298" s="63" t="s">
        <v>530</v>
      </c>
      <c r="K298" s="63" t="s">
        <v>530</v>
      </c>
      <c r="L298" s="63" t="s">
        <v>530</v>
      </c>
    </row>
    <row r="299" spans="1:12" ht="16.2" x14ac:dyDescent="0.4">
      <c r="A299" s="15" t="str">
        <f t="shared" si="4"/>
        <v>modesg_inp_emss_sciborigem_scp2</v>
      </c>
      <c r="B299" s="51" t="s">
        <v>11</v>
      </c>
      <c r="C299" s="48" t="s">
        <v>153</v>
      </c>
      <c r="D299" s="44" t="s">
        <v>18</v>
      </c>
      <c r="E299" s="45" t="s">
        <v>185</v>
      </c>
      <c r="F299" s="44" t="s">
        <v>258</v>
      </c>
      <c r="G299" s="46" t="s">
        <v>437</v>
      </c>
      <c r="H299" s="46" t="s">
        <v>437</v>
      </c>
      <c r="I299" s="64"/>
      <c r="J299" s="63" t="s">
        <v>530</v>
      </c>
      <c r="K299" s="63" t="s">
        <v>530</v>
      </c>
      <c r="L299" s="63" t="s">
        <v>530</v>
      </c>
    </row>
    <row r="300" spans="1:12" ht="16.2" x14ac:dyDescent="0.4">
      <c r="A300" s="15" t="str">
        <f t="shared" si="4"/>
        <v>modesg_inp_emss_sciborigem_scp3</v>
      </c>
      <c r="B300" s="51" t="s">
        <v>11</v>
      </c>
      <c r="C300" s="48" t="s">
        <v>153</v>
      </c>
      <c r="D300" s="44" t="s">
        <v>18</v>
      </c>
      <c r="E300" s="45" t="s">
        <v>185</v>
      </c>
      <c r="F300" s="44" t="s">
        <v>259</v>
      </c>
      <c r="G300" s="46" t="s">
        <v>437</v>
      </c>
      <c r="H300" s="46" t="s">
        <v>437</v>
      </c>
      <c r="I300" s="64"/>
      <c r="J300" s="63" t="s">
        <v>530</v>
      </c>
      <c r="K300" s="63" t="s">
        <v>530</v>
      </c>
      <c r="L300" s="63" t="s">
        <v>530</v>
      </c>
    </row>
    <row r="301" spans="1:12" ht="16.2" x14ac:dyDescent="0.4">
      <c r="A301" s="15" t="str">
        <f t="shared" si="4"/>
        <v>modesg_inp_emss_scibano_info</v>
      </c>
      <c r="B301" s="51" t="s">
        <v>11</v>
      </c>
      <c r="C301" s="48" t="s">
        <v>153</v>
      </c>
      <c r="D301" s="44" t="s">
        <v>18</v>
      </c>
      <c r="E301" s="45" t="s">
        <v>185</v>
      </c>
      <c r="F301" s="44" t="s">
        <v>260</v>
      </c>
      <c r="G301" s="46" t="s">
        <v>437</v>
      </c>
      <c r="H301" s="46" t="s">
        <v>437</v>
      </c>
      <c r="I301" s="64"/>
      <c r="J301" s="63" t="s">
        <v>530</v>
      </c>
      <c r="K301" s="63" t="s">
        <v>530</v>
      </c>
      <c r="L301" s="63" t="s">
        <v>530</v>
      </c>
    </row>
    <row r="302" spans="1:12" ht="16.2" x14ac:dyDescent="0.4">
      <c r="A302" s="15" t="str">
        <f t="shared" si="4"/>
        <v>modesg_inp_emss_scibdivida_total</v>
      </c>
      <c r="B302" s="51" t="s">
        <v>11</v>
      </c>
      <c r="C302" s="48" t="s">
        <v>153</v>
      </c>
      <c r="D302" s="44" t="s">
        <v>18</v>
      </c>
      <c r="E302" s="45" t="s">
        <v>185</v>
      </c>
      <c r="F302" s="44" t="s">
        <v>261</v>
      </c>
      <c r="G302" s="46" t="s">
        <v>437</v>
      </c>
      <c r="H302" s="46" t="s">
        <v>437</v>
      </c>
      <c r="I302" s="64"/>
      <c r="J302" s="63" t="s">
        <v>530</v>
      </c>
      <c r="K302" s="63" t="s">
        <v>530</v>
      </c>
      <c r="L302" s="63" t="s">
        <v>530</v>
      </c>
    </row>
    <row r="303" spans="1:12" ht="16.2" x14ac:dyDescent="0.4">
      <c r="A303" s="15" t="str">
        <f t="shared" si="4"/>
        <v>modesg_inp_emss_scibcapital_proprio</v>
      </c>
      <c r="B303" s="51" t="s">
        <v>11</v>
      </c>
      <c r="C303" s="48" t="s">
        <v>153</v>
      </c>
      <c r="D303" s="44" t="s">
        <v>18</v>
      </c>
      <c r="E303" s="45" t="s">
        <v>185</v>
      </c>
      <c r="F303" s="44" t="s">
        <v>262</v>
      </c>
      <c r="G303" s="46" t="s">
        <v>437</v>
      </c>
      <c r="H303" s="46" t="s">
        <v>437</v>
      </c>
      <c r="I303" s="64"/>
      <c r="J303" s="63" t="s">
        <v>530</v>
      </c>
      <c r="K303" s="63" t="s">
        <v>530</v>
      </c>
      <c r="L303" s="63" t="s">
        <v>530</v>
      </c>
    </row>
    <row r="304" spans="1:12" ht="16.2" x14ac:dyDescent="0.4">
      <c r="A304" s="15" t="str">
        <f t="shared" si="4"/>
        <v>modesg_inp_emss_naceref_date</v>
      </c>
      <c r="B304" s="51" t="s">
        <v>11</v>
      </c>
      <c r="C304" s="48" t="s">
        <v>153</v>
      </c>
      <c r="D304" s="44" t="s">
        <v>18</v>
      </c>
      <c r="E304" s="45" t="s">
        <v>186</v>
      </c>
      <c r="F304" s="44" t="s">
        <v>50</v>
      </c>
      <c r="G304" s="46" t="s">
        <v>440</v>
      </c>
      <c r="H304" s="46" t="s">
        <v>440</v>
      </c>
      <c r="I304" s="53" t="s">
        <v>463</v>
      </c>
      <c r="J304" s="63" t="s">
        <v>530</v>
      </c>
      <c r="K304" s="63" t="s">
        <v>530</v>
      </c>
      <c r="L304" s="63" t="s">
        <v>530</v>
      </c>
    </row>
    <row r="305" spans="1:12" ht="16.2" x14ac:dyDescent="0.4">
      <c r="A305" s="15" t="str">
        <f t="shared" si="4"/>
        <v>modesg_inp_emss_naceano</v>
      </c>
      <c r="B305" s="51" t="s">
        <v>11</v>
      </c>
      <c r="C305" s="48" t="s">
        <v>153</v>
      </c>
      <c r="D305" s="44" t="s">
        <v>18</v>
      </c>
      <c r="E305" s="45" t="s">
        <v>186</v>
      </c>
      <c r="F305" s="44" t="s">
        <v>263</v>
      </c>
      <c r="G305" s="46" t="s">
        <v>440</v>
      </c>
      <c r="H305" s="46" t="s">
        <v>440</v>
      </c>
      <c r="I305" s="54" t="s">
        <v>464</v>
      </c>
      <c r="J305" s="63" t="s">
        <v>530</v>
      </c>
      <c r="K305" s="63" t="s">
        <v>530</v>
      </c>
      <c r="L305" s="63" t="s">
        <v>530</v>
      </c>
    </row>
    <row r="306" spans="1:12" ht="16.2" x14ac:dyDescent="0.4">
      <c r="A306" s="15" t="str">
        <f t="shared" si="4"/>
        <v>modesg_inp_emss_nacenome_regiao</v>
      </c>
      <c r="B306" s="51" t="s">
        <v>11</v>
      </c>
      <c r="C306" s="48" t="s">
        <v>153</v>
      </c>
      <c r="D306" s="44" t="s">
        <v>18</v>
      </c>
      <c r="E306" s="45" t="s">
        <v>186</v>
      </c>
      <c r="F306" s="44" t="s">
        <v>188</v>
      </c>
      <c r="G306" s="46" t="s">
        <v>440</v>
      </c>
      <c r="H306" s="46" t="s">
        <v>440</v>
      </c>
      <c r="I306" s="54" t="s">
        <v>464</v>
      </c>
      <c r="J306" s="63" t="s">
        <v>530</v>
      </c>
      <c r="K306" s="63" t="s">
        <v>530</v>
      </c>
      <c r="L306" s="63" t="s">
        <v>530</v>
      </c>
    </row>
    <row r="307" spans="1:12" ht="16.2" x14ac:dyDescent="0.4">
      <c r="A307" s="15" t="str">
        <f t="shared" si="4"/>
        <v>modesg_inp_emss_nacecod_nace_esg</v>
      </c>
      <c r="B307" s="51" t="s">
        <v>11</v>
      </c>
      <c r="C307" s="48" t="s">
        <v>153</v>
      </c>
      <c r="D307" s="44" t="s">
        <v>18</v>
      </c>
      <c r="E307" s="45" t="s">
        <v>186</v>
      </c>
      <c r="F307" s="44" t="s">
        <v>247</v>
      </c>
      <c r="G307" s="46" t="s">
        <v>440</v>
      </c>
      <c r="H307" s="46" t="s">
        <v>440</v>
      </c>
      <c r="I307" s="53" t="s">
        <v>463</v>
      </c>
      <c r="J307" s="63" t="s">
        <v>530</v>
      </c>
      <c r="K307" s="63" t="s">
        <v>530</v>
      </c>
      <c r="L307" s="63" t="s">
        <v>530</v>
      </c>
    </row>
    <row r="308" spans="1:12" ht="16.2" x14ac:dyDescent="0.4">
      <c r="A308" s="15" t="str">
        <f t="shared" si="4"/>
        <v>modesg_inp_emss_nacecod_class_indust</v>
      </c>
      <c r="B308" s="51" t="s">
        <v>11</v>
      </c>
      <c r="C308" s="48" t="s">
        <v>153</v>
      </c>
      <c r="D308" s="44" t="s">
        <v>18</v>
      </c>
      <c r="E308" s="45" t="s">
        <v>186</v>
      </c>
      <c r="F308" s="44" t="s">
        <v>264</v>
      </c>
      <c r="G308" s="46" t="s">
        <v>440</v>
      </c>
      <c r="H308" s="46" t="s">
        <v>440</v>
      </c>
      <c r="I308" s="53" t="s">
        <v>463</v>
      </c>
      <c r="J308" s="63" t="s">
        <v>530</v>
      </c>
      <c r="K308" s="63" t="s">
        <v>530</v>
      </c>
      <c r="L308" s="63" t="s">
        <v>530</v>
      </c>
    </row>
    <row r="309" spans="1:12" ht="16.2" x14ac:dyDescent="0.4">
      <c r="A309" s="15" t="str">
        <f t="shared" si="4"/>
        <v>modesg_inp_emss_naceclassification_level_1</v>
      </c>
      <c r="B309" s="51" t="s">
        <v>11</v>
      </c>
      <c r="C309" s="48" t="s">
        <v>153</v>
      </c>
      <c r="D309" s="44" t="s">
        <v>18</v>
      </c>
      <c r="E309" s="45" t="s">
        <v>186</v>
      </c>
      <c r="F309" s="44" t="s">
        <v>265</v>
      </c>
      <c r="G309" s="46" t="s">
        <v>440</v>
      </c>
      <c r="H309" s="46" t="s">
        <v>440</v>
      </c>
      <c r="I309" s="54" t="s">
        <v>464</v>
      </c>
      <c r="J309" s="63" t="s">
        <v>530</v>
      </c>
      <c r="K309" s="63" t="s">
        <v>530</v>
      </c>
      <c r="L309" s="63" t="s">
        <v>530</v>
      </c>
    </row>
    <row r="310" spans="1:12" ht="16.2" x14ac:dyDescent="0.4">
      <c r="A310" s="15" t="str">
        <f t="shared" si="4"/>
        <v>modesg_inp_emss_naceasset_class</v>
      </c>
      <c r="B310" s="51" t="s">
        <v>11</v>
      </c>
      <c r="C310" s="48" t="s">
        <v>153</v>
      </c>
      <c r="D310" s="44" t="s">
        <v>18</v>
      </c>
      <c r="E310" s="45" t="s">
        <v>186</v>
      </c>
      <c r="F310" s="44" t="s">
        <v>266</v>
      </c>
      <c r="G310" s="46" t="s">
        <v>440</v>
      </c>
      <c r="H310" s="46" t="s">
        <v>440</v>
      </c>
      <c r="I310" s="54" t="s">
        <v>464</v>
      </c>
      <c r="J310" s="63" t="s">
        <v>530</v>
      </c>
      <c r="K310" s="63" t="s">
        <v>530</v>
      </c>
      <c r="L310" s="63" t="s">
        <v>530</v>
      </c>
    </row>
    <row r="311" spans="1:12" ht="16.2" x14ac:dyDescent="0.4">
      <c r="A311" s="15" t="str">
        <f t="shared" si="4"/>
        <v>modesg_inp_emss_nacemethodology_option</v>
      </c>
      <c r="B311" s="51" t="s">
        <v>11</v>
      </c>
      <c r="C311" s="48" t="s">
        <v>153</v>
      </c>
      <c r="D311" s="44" t="s">
        <v>18</v>
      </c>
      <c r="E311" s="45" t="s">
        <v>186</v>
      </c>
      <c r="F311" s="44" t="s">
        <v>267</v>
      </c>
      <c r="G311" s="46" t="s">
        <v>440</v>
      </c>
      <c r="H311" s="46" t="s">
        <v>440</v>
      </c>
      <c r="I311" s="54" t="s">
        <v>464</v>
      </c>
      <c r="J311" s="63" t="s">
        <v>530</v>
      </c>
      <c r="K311" s="63" t="s">
        <v>530</v>
      </c>
      <c r="L311" s="63" t="s">
        <v>530</v>
      </c>
    </row>
    <row r="312" spans="1:12" ht="16.2" x14ac:dyDescent="0.4">
      <c r="A312" s="15" t="str">
        <f t="shared" si="4"/>
        <v>modesg_inp_emss_naceunidade_funcional</v>
      </c>
      <c r="B312" s="51" t="s">
        <v>11</v>
      </c>
      <c r="C312" s="48" t="s">
        <v>153</v>
      </c>
      <c r="D312" s="44" t="s">
        <v>18</v>
      </c>
      <c r="E312" s="45" t="s">
        <v>186</v>
      </c>
      <c r="F312" s="44" t="s">
        <v>197</v>
      </c>
      <c r="G312" s="46" t="s">
        <v>440</v>
      </c>
      <c r="H312" s="46" t="s">
        <v>440</v>
      </c>
      <c r="I312" s="53" t="s">
        <v>463</v>
      </c>
      <c r="J312" s="63" t="s">
        <v>530</v>
      </c>
      <c r="K312" s="63" t="s">
        <v>530</v>
      </c>
      <c r="L312" s="63" t="s">
        <v>530</v>
      </c>
    </row>
    <row r="313" spans="1:12" ht="16.2" x14ac:dyDescent="0.4">
      <c r="A313" s="15" t="str">
        <f t="shared" si="4"/>
        <v>modesg_inp_emss_naceunidades_fator_de_emissao</v>
      </c>
      <c r="B313" s="51" t="s">
        <v>11</v>
      </c>
      <c r="C313" s="48" t="s">
        <v>153</v>
      </c>
      <c r="D313" s="44" t="s">
        <v>18</v>
      </c>
      <c r="E313" s="45" t="s">
        <v>186</v>
      </c>
      <c r="F313" s="44" t="s">
        <v>268</v>
      </c>
      <c r="G313" s="46" t="s">
        <v>440</v>
      </c>
      <c r="H313" s="46" t="s">
        <v>440</v>
      </c>
      <c r="I313" s="53" t="s">
        <v>463</v>
      </c>
      <c r="J313" s="63" t="s">
        <v>530</v>
      </c>
      <c r="K313" s="63" t="s">
        <v>530</v>
      </c>
      <c r="L313" s="63" t="s">
        <v>530</v>
      </c>
    </row>
    <row r="314" spans="1:12" ht="16.2" x14ac:dyDescent="0.4">
      <c r="A314" s="15" t="str">
        <f t="shared" si="4"/>
        <v>modesg_inp_emss_nacescore_qualidade</v>
      </c>
      <c r="B314" s="51" t="s">
        <v>11</v>
      </c>
      <c r="C314" s="48" t="s">
        <v>153</v>
      </c>
      <c r="D314" s="44" t="s">
        <v>18</v>
      </c>
      <c r="E314" s="45" t="s">
        <v>186</v>
      </c>
      <c r="F314" s="44" t="s">
        <v>28</v>
      </c>
      <c r="G314" s="46" t="s">
        <v>440</v>
      </c>
      <c r="H314" s="46" t="s">
        <v>440</v>
      </c>
      <c r="I314" s="53" t="s">
        <v>463</v>
      </c>
      <c r="J314" s="63" t="s">
        <v>530</v>
      </c>
      <c r="K314" s="63" t="s">
        <v>530</v>
      </c>
      <c r="L314" s="63" t="s">
        <v>530</v>
      </c>
    </row>
    <row r="315" spans="1:12" ht="16.2" x14ac:dyDescent="0.4">
      <c r="A315" s="15" t="str">
        <f t="shared" si="4"/>
        <v>modesg_inp_emss_nacescp1_ftr_emss</v>
      </c>
      <c r="B315" s="51" t="s">
        <v>11</v>
      </c>
      <c r="C315" s="48" t="s">
        <v>153</v>
      </c>
      <c r="D315" s="44" t="s">
        <v>18</v>
      </c>
      <c r="E315" s="45" t="s">
        <v>186</v>
      </c>
      <c r="F315" s="44" t="s">
        <v>200</v>
      </c>
      <c r="G315" s="46" t="s">
        <v>440</v>
      </c>
      <c r="H315" s="46" t="s">
        <v>440</v>
      </c>
      <c r="I315" s="53" t="s">
        <v>463</v>
      </c>
      <c r="J315" s="63" t="s">
        <v>530</v>
      </c>
      <c r="K315" s="63" t="s">
        <v>530</v>
      </c>
      <c r="L315" s="63" t="s">
        <v>530</v>
      </c>
    </row>
    <row r="316" spans="1:12" ht="16.2" x14ac:dyDescent="0.4">
      <c r="A316" s="15" t="str">
        <f t="shared" si="4"/>
        <v>modesg_inp_emss_nacescp2_ftr_emss</v>
      </c>
      <c r="B316" s="51" t="s">
        <v>11</v>
      </c>
      <c r="C316" s="48" t="s">
        <v>153</v>
      </c>
      <c r="D316" s="44" t="s">
        <v>18</v>
      </c>
      <c r="E316" s="45" t="s">
        <v>186</v>
      </c>
      <c r="F316" s="44" t="s">
        <v>201</v>
      </c>
      <c r="G316" s="46" t="s">
        <v>440</v>
      </c>
      <c r="H316" s="46" t="s">
        <v>440</v>
      </c>
      <c r="I316" s="53" t="s">
        <v>463</v>
      </c>
      <c r="J316" s="63" t="s">
        <v>530</v>
      </c>
      <c r="K316" s="63" t="s">
        <v>530</v>
      </c>
      <c r="L316" s="63" t="s">
        <v>530</v>
      </c>
    </row>
    <row r="317" spans="1:12" ht="16.2" x14ac:dyDescent="0.4">
      <c r="A317" s="15" t="str">
        <f t="shared" si="4"/>
        <v>modesg_inp_emss_nacescp3_ftr_emss</v>
      </c>
      <c r="B317" s="51" t="s">
        <v>11</v>
      </c>
      <c r="C317" s="48" t="s">
        <v>153</v>
      </c>
      <c r="D317" s="44" t="s">
        <v>18</v>
      </c>
      <c r="E317" s="45" t="s">
        <v>186</v>
      </c>
      <c r="F317" s="44" t="s">
        <v>202</v>
      </c>
      <c r="G317" s="46" t="s">
        <v>440</v>
      </c>
      <c r="H317" s="46" t="s">
        <v>440</v>
      </c>
      <c r="I317" s="53" t="s">
        <v>463</v>
      </c>
      <c r="J317" s="63" t="s">
        <v>530</v>
      </c>
      <c r="K317" s="63" t="s">
        <v>530</v>
      </c>
      <c r="L317" s="63" t="s">
        <v>530</v>
      </c>
    </row>
    <row r="318" spans="1:12" ht="16.2" x14ac:dyDescent="0.4">
      <c r="A318" s="15" t="str">
        <f t="shared" si="4"/>
        <v>modesg_inp_emss_bens_imoveisref_date</v>
      </c>
      <c r="B318" s="51" t="s">
        <v>11</v>
      </c>
      <c r="C318" s="48" t="s">
        <v>153</v>
      </c>
      <c r="D318" s="44" t="s">
        <v>18</v>
      </c>
      <c r="E318" s="45" t="s">
        <v>187</v>
      </c>
      <c r="F318" s="44" t="s">
        <v>50</v>
      </c>
      <c r="G318" s="46" t="s">
        <v>440</v>
      </c>
      <c r="H318" s="46" t="s">
        <v>440</v>
      </c>
      <c r="I318" s="53" t="s">
        <v>463</v>
      </c>
      <c r="J318" s="63" t="s">
        <v>530</v>
      </c>
      <c r="K318" s="63" t="s">
        <v>530</v>
      </c>
      <c r="L318" s="63" t="s">
        <v>530</v>
      </c>
    </row>
    <row r="319" spans="1:12" ht="16.2" x14ac:dyDescent="0.4">
      <c r="A319" s="15" t="str">
        <f t="shared" si="4"/>
        <v>modesg_inp_emss_bens_imoveisnome_pais</v>
      </c>
      <c r="B319" s="51" t="s">
        <v>11</v>
      </c>
      <c r="C319" s="48" t="s">
        <v>153</v>
      </c>
      <c r="D319" s="44" t="s">
        <v>18</v>
      </c>
      <c r="E319" s="45" t="s">
        <v>187</v>
      </c>
      <c r="F319" s="44" t="s">
        <v>189</v>
      </c>
      <c r="G319" s="46" t="s">
        <v>440</v>
      </c>
      <c r="H319" s="46" t="s">
        <v>440</v>
      </c>
      <c r="I319" s="53" t="s">
        <v>463</v>
      </c>
      <c r="J319" s="63" t="s">
        <v>530</v>
      </c>
      <c r="K319" s="63" t="s">
        <v>530</v>
      </c>
      <c r="L319" s="63" t="s">
        <v>530</v>
      </c>
    </row>
    <row r="320" spans="1:12" ht="16.2" x14ac:dyDescent="0.4">
      <c r="A320" s="15" t="str">
        <f t="shared" si="4"/>
        <v>modesg_inp_emss_bens_imoveisnome_estado</v>
      </c>
      <c r="B320" s="51" t="s">
        <v>11</v>
      </c>
      <c r="C320" s="48" t="s">
        <v>153</v>
      </c>
      <c r="D320" s="44" t="s">
        <v>18</v>
      </c>
      <c r="E320" s="45" t="s">
        <v>187</v>
      </c>
      <c r="F320" s="44" t="s">
        <v>190</v>
      </c>
      <c r="G320" s="46" t="s">
        <v>440</v>
      </c>
      <c r="H320" s="46" t="s">
        <v>440</v>
      </c>
      <c r="I320" s="53" t="s">
        <v>463</v>
      </c>
      <c r="J320" s="63" t="s">
        <v>530</v>
      </c>
      <c r="K320" s="63" t="s">
        <v>530</v>
      </c>
      <c r="L320" s="63" t="s">
        <v>530</v>
      </c>
    </row>
    <row r="321" spans="1:12" ht="16.2" x14ac:dyDescent="0.4">
      <c r="A321" s="15" t="str">
        <f t="shared" si="4"/>
        <v>modesg_inp_emss_bens_imoveisasset_class</v>
      </c>
      <c r="B321" s="51" t="s">
        <v>11</v>
      </c>
      <c r="C321" s="48" t="s">
        <v>153</v>
      </c>
      <c r="D321" s="44" t="s">
        <v>18</v>
      </c>
      <c r="E321" s="45" t="s">
        <v>187</v>
      </c>
      <c r="F321" s="44" t="s">
        <v>266</v>
      </c>
      <c r="G321" s="46" t="s">
        <v>440</v>
      </c>
      <c r="H321" s="46" t="s">
        <v>440</v>
      </c>
      <c r="I321" s="53" t="s">
        <v>463</v>
      </c>
      <c r="J321" s="63" t="s">
        <v>530</v>
      </c>
      <c r="K321" s="63" t="s">
        <v>530</v>
      </c>
      <c r="L321" s="63" t="s">
        <v>530</v>
      </c>
    </row>
    <row r="322" spans="1:12" ht="16.2" x14ac:dyDescent="0.4">
      <c r="A322" s="15" t="str">
        <f t="shared" si="4"/>
        <v>modesg_inp_emss_bens_imoveisemission_factor_type</v>
      </c>
      <c r="B322" s="51" t="s">
        <v>11</v>
      </c>
      <c r="C322" s="48" t="s">
        <v>153</v>
      </c>
      <c r="D322" s="44" t="s">
        <v>18</v>
      </c>
      <c r="E322" s="45" t="s">
        <v>187</v>
      </c>
      <c r="F322" s="44" t="s">
        <v>269</v>
      </c>
      <c r="G322" s="46" t="s">
        <v>440</v>
      </c>
      <c r="H322" s="46" t="s">
        <v>440</v>
      </c>
      <c r="I322" s="54" t="s">
        <v>464</v>
      </c>
      <c r="J322" s="63" t="s">
        <v>530</v>
      </c>
      <c r="K322" s="63" t="s">
        <v>530</v>
      </c>
      <c r="L322" s="63" t="s">
        <v>530</v>
      </c>
    </row>
    <row r="323" spans="1:12" ht="16.2" x14ac:dyDescent="0.4">
      <c r="A323" s="15" t="str">
        <f t="shared" si="4"/>
        <v>modesg_inp_emss_bens_imoveisnome_regiao</v>
      </c>
      <c r="B323" s="51" t="s">
        <v>11</v>
      </c>
      <c r="C323" s="48" t="s">
        <v>153</v>
      </c>
      <c r="D323" s="44" t="s">
        <v>18</v>
      </c>
      <c r="E323" s="45" t="s">
        <v>187</v>
      </c>
      <c r="F323" s="44" t="s">
        <v>188</v>
      </c>
      <c r="G323" s="46" t="s">
        <v>440</v>
      </c>
      <c r="H323" s="46" t="s">
        <v>440</v>
      </c>
      <c r="I323" s="54" t="s">
        <v>464</v>
      </c>
      <c r="J323" s="63" t="s">
        <v>530</v>
      </c>
      <c r="K323" s="63" t="s">
        <v>530</v>
      </c>
      <c r="L323" s="63" t="s">
        <v>530</v>
      </c>
    </row>
    <row r="324" spans="1:12" ht="16.2" x14ac:dyDescent="0.4">
      <c r="A324" s="15" t="str">
        <f t="shared" si="4"/>
        <v>modesg_inp_emss_bens_imoveistipo_bem</v>
      </c>
      <c r="B324" s="51" t="s">
        <v>11</v>
      </c>
      <c r="C324" s="48" t="s">
        <v>153</v>
      </c>
      <c r="D324" s="44" t="s">
        <v>18</v>
      </c>
      <c r="E324" s="45" t="s">
        <v>187</v>
      </c>
      <c r="F324" s="44" t="s">
        <v>270</v>
      </c>
      <c r="G324" s="46" t="s">
        <v>440</v>
      </c>
      <c r="H324" s="46" t="s">
        <v>440</v>
      </c>
      <c r="I324" s="53" t="s">
        <v>463</v>
      </c>
      <c r="J324" s="63" t="s">
        <v>530</v>
      </c>
      <c r="K324" s="63" t="s">
        <v>530</v>
      </c>
      <c r="L324" s="63" t="s">
        <v>530</v>
      </c>
    </row>
    <row r="325" spans="1:12" ht="16.2" x14ac:dyDescent="0.4">
      <c r="A325" s="15" t="str">
        <f t="shared" si="4"/>
        <v>modesg_inp_emss_bens_imoveistipo_finalidade_bem</v>
      </c>
      <c r="B325" s="51" t="s">
        <v>11</v>
      </c>
      <c r="C325" s="48" t="s">
        <v>153</v>
      </c>
      <c r="D325" s="44" t="s">
        <v>18</v>
      </c>
      <c r="E325" s="45" t="s">
        <v>187</v>
      </c>
      <c r="F325" s="44" t="s">
        <v>271</v>
      </c>
      <c r="G325" s="46" t="s">
        <v>440</v>
      </c>
      <c r="H325" s="46" t="s">
        <v>440</v>
      </c>
      <c r="I325" s="53" t="s">
        <v>463</v>
      </c>
      <c r="J325" s="63" t="s">
        <v>530</v>
      </c>
      <c r="K325" s="63" t="s">
        <v>530</v>
      </c>
      <c r="L325" s="63" t="s">
        <v>530</v>
      </c>
    </row>
    <row r="326" spans="1:12" ht="16.2" x14ac:dyDescent="0.4">
      <c r="A326" s="15" t="str">
        <f t="shared" si="4"/>
        <v>modesg_inp_emss_bens_imoveisepc</v>
      </c>
      <c r="B326" s="51" t="s">
        <v>11</v>
      </c>
      <c r="C326" s="48" t="s">
        <v>153</v>
      </c>
      <c r="D326" s="44" t="s">
        <v>18</v>
      </c>
      <c r="E326" s="45" t="s">
        <v>187</v>
      </c>
      <c r="F326" s="44" t="s">
        <v>25</v>
      </c>
      <c r="G326" s="46" t="s">
        <v>440</v>
      </c>
      <c r="H326" s="46" t="s">
        <v>440</v>
      </c>
      <c r="I326" s="55" t="s">
        <v>464</v>
      </c>
      <c r="J326" s="63" t="s">
        <v>530</v>
      </c>
      <c r="K326" s="63" t="s">
        <v>530</v>
      </c>
      <c r="L326" s="63" t="s">
        <v>530</v>
      </c>
    </row>
    <row r="327" spans="1:12" ht="16.2" x14ac:dyDescent="0.4">
      <c r="A327" s="15" t="str">
        <f t="shared" si="4"/>
        <v>modesg_inp_emss_bens_imoveisflg_ftr_emss_area</v>
      </c>
      <c r="B327" s="51" t="s">
        <v>11</v>
      </c>
      <c r="C327" s="48" t="s">
        <v>153</v>
      </c>
      <c r="D327" s="44" t="s">
        <v>18</v>
      </c>
      <c r="E327" s="45" t="s">
        <v>187</v>
      </c>
      <c r="F327" s="44" t="s">
        <v>272</v>
      </c>
      <c r="G327" s="46" t="s">
        <v>440</v>
      </c>
      <c r="H327" s="46" t="s">
        <v>440</v>
      </c>
      <c r="I327" s="55" t="s">
        <v>464</v>
      </c>
      <c r="J327" s="63" t="s">
        <v>530</v>
      </c>
      <c r="K327" s="63" t="s">
        <v>530</v>
      </c>
      <c r="L327" s="63" t="s">
        <v>530</v>
      </c>
    </row>
    <row r="328" spans="1:12" ht="16.2" x14ac:dyDescent="0.4">
      <c r="A328" s="15" t="str">
        <f t="shared" ref="A328:A391" si="5">E328&amp;F328</f>
        <v>modesg_inp_emss_bens_imoveisnome_unidade_funcional</v>
      </c>
      <c r="B328" s="51" t="s">
        <v>11</v>
      </c>
      <c r="C328" s="48" t="s">
        <v>153</v>
      </c>
      <c r="D328" s="44" t="s">
        <v>18</v>
      </c>
      <c r="E328" s="45" t="s">
        <v>187</v>
      </c>
      <c r="F328" s="44" t="s">
        <v>196</v>
      </c>
      <c r="G328" s="46" t="s">
        <v>440</v>
      </c>
      <c r="H328" s="46" t="s">
        <v>440</v>
      </c>
      <c r="I328" s="53" t="s">
        <v>463</v>
      </c>
      <c r="J328" s="63" t="s">
        <v>530</v>
      </c>
      <c r="K328" s="63" t="s">
        <v>530</v>
      </c>
      <c r="L328" s="63" t="s">
        <v>530</v>
      </c>
    </row>
    <row r="329" spans="1:12" ht="16.2" x14ac:dyDescent="0.4">
      <c r="A329" s="15" t="str">
        <f t="shared" si="5"/>
        <v>modesg_inp_emss_bens_imoveisunidade_funcional</v>
      </c>
      <c r="B329" s="51" t="s">
        <v>11</v>
      </c>
      <c r="C329" s="48" t="s">
        <v>153</v>
      </c>
      <c r="D329" s="44" t="s">
        <v>18</v>
      </c>
      <c r="E329" s="45" t="s">
        <v>187</v>
      </c>
      <c r="F329" s="44" t="s">
        <v>197</v>
      </c>
      <c r="G329" s="46" t="s">
        <v>440</v>
      </c>
      <c r="H329" s="46" t="s">
        <v>440</v>
      </c>
      <c r="I329" s="53" t="s">
        <v>463</v>
      </c>
      <c r="J329" s="63" t="s">
        <v>530</v>
      </c>
      <c r="K329" s="63" t="s">
        <v>530</v>
      </c>
      <c r="L329" s="63" t="s">
        <v>530</v>
      </c>
    </row>
    <row r="330" spans="1:12" ht="16.2" x14ac:dyDescent="0.4">
      <c r="A330" s="15" t="str">
        <f t="shared" si="5"/>
        <v>modesg_inp_emss_bens_imoveisnome_fator_emissao</v>
      </c>
      <c r="B330" s="51" t="s">
        <v>11</v>
      </c>
      <c r="C330" s="48" t="s">
        <v>153</v>
      </c>
      <c r="D330" s="44" t="s">
        <v>18</v>
      </c>
      <c r="E330" s="45" t="s">
        <v>187</v>
      </c>
      <c r="F330" s="44" t="s">
        <v>198</v>
      </c>
      <c r="G330" s="46" t="s">
        <v>440</v>
      </c>
      <c r="H330" s="46" t="s">
        <v>440</v>
      </c>
      <c r="I330" s="53" t="s">
        <v>463</v>
      </c>
      <c r="J330" s="63" t="s">
        <v>530</v>
      </c>
      <c r="K330" s="63" t="s">
        <v>530</v>
      </c>
      <c r="L330" s="63" t="s">
        <v>530</v>
      </c>
    </row>
    <row r="331" spans="1:12" ht="16.2" x14ac:dyDescent="0.4">
      <c r="A331" s="15" t="str">
        <f t="shared" si="5"/>
        <v>modesg_inp_emss_bens_imoveisunidade_fator_emissao</v>
      </c>
      <c r="B331" s="51" t="s">
        <v>11</v>
      </c>
      <c r="C331" s="48" t="s">
        <v>153</v>
      </c>
      <c r="D331" s="44" t="s">
        <v>18</v>
      </c>
      <c r="E331" s="45" t="s">
        <v>187</v>
      </c>
      <c r="F331" s="44" t="s">
        <v>273</v>
      </c>
      <c r="G331" s="46" t="s">
        <v>440</v>
      </c>
      <c r="H331" s="46" t="s">
        <v>440</v>
      </c>
      <c r="I331" s="53" t="s">
        <v>463</v>
      </c>
      <c r="J331" s="63" t="s">
        <v>530</v>
      </c>
      <c r="K331" s="63" t="s">
        <v>530</v>
      </c>
      <c r="L331" s="63" t="s">
        <v>530</v>
      </c>
    </row>
    <row r="332" spans="1:12" ht="16.2" x14ac:dyDescent="0.4">
      <c r="A332" s="15" t="str">
        <f t="shared" si="5"/>
        <v>modesg_inp_emss_bens_imoveisscore_qualidade</v>
      </c>
      <c r="B332" s="51" t="s">
        <v>11</v>
      </c>
      <c r="C332" s="48" t="s">
        <v>153</v>
      </c>
      <c r="D332" s="44" t="s">
        <v>18</v>
      </c>
      <c r="E332" s="45" t="s">
        <v>187</v>
      </c>
      <c r="F332" s="44" t="s">
        <v>28</v>
      </c>
      <c r="G332" s="46" t="s">
        <v>440</v>
      </c>
      <c r="H332" s="46" t="s">
        <v>440</v>
      </c>
      <c r="I332" s="53" t="s">
        <v>463</v>
      </c>
      <c r="J332" s="63" t="s">
        <v>530</v>
      </c>
      <c r="K332" s="63" t="s">
        <v>530</v>
      </c>
      <c r="L332" s="63" t="s">
        <v>530</v>
      </c>
    </row>
    <row r="333" spans="1:12" ht="16.2" x14ac:dyDescent="0.4">
      <c r="A333" s="15" t="str">
        <f t="shared" si="5"/>
        <v>modesg_inp_emss_bens_imoveisscp_ftr_emss_ano1</v>
      </c>
      <c r="B333" s="51" t="s">
        <v>11</v>
      </c>
      <c r="C333" s="48" t="s">
        <v>153</v>
      </c>
      <c r="D333" s="44" t="s">
        <v>18</v>
      </c>
      <c r="E333" s="45" t="s">
        <v>187</v>
      </c>
      <c r="F333" s="44" t="s">
        <v>274</v>
      </c>
      <c r="G333" s="46" t="s">
        <v>440</v>
      </c>
      <c r="H333" s="46" t="s">
        <v>440</v>
      </c>
      <c r="I333" s="55" t="s">
        <v>464</v>
      </c>
      <c r="J333" s="63" t="s">
        <v>530</v>
      </c>
      <c r="K333" s="63" t="s">
        <v>530</v>
      </c>
      <c r="L333" s="63" t="s">
        <v>530</v>
      </c>
    </row>
    <row r="334" spans="1:12" ht="16.2" x14ac:dyDescent="0.4">
      <c r="A334" s="15" t="str">
        <f t="shared" si="5"/>
        <v>modesg_inp_emss_bens_imoveisscp1_ftr_emss</v>
      </c>
      <c r="B334" s="51" t="s">
        <v>11</v>
      </c>
      <c r="C334" s="48" t="s">
        <v>153</v>
      </c>
      <c r="D334" s="44" t="s">
        <v>18</v>
      </c>
      <c r="E334" s="45" t="s">
        <v>187</v>
      </c>
      <c r="F334" s="44" t="s">
        <v>200</v>
      </c>
      <c r="G334" s="46" t="s">
        <v>440</v>
      </c>
      <c r="H334" s="46" t="s">
        <v>440</v>
      </c>
      <c r="I334" s="53" t="s">
        <v>463</v>
      </c>
      <c r="J334" s="63" t="s">
        <v>530</v>
      </c>
      <c r="K334" s="63" t="s">
        <v>530</v>
      </c>
      <c r="L334" s="63" t="s">
        <v>530</v>
      </c>
    </row>
    <row r="335" spans="1:12" ht="16.2" x14ac:dyDescent="0.4">
      <c r="A335" s="15" t="str">
        <f t="shared" si="5"/>
        <v>modesg_inp_emss_bens_imoveisscp2_ftr_emss</v>
      </c>
      <c r="B335" s="51" t="s">
        <v>11</v>
      </c>
      <c r="C335" s="48" t="s">
        <v>153</v>
      </c>
      <c r="D335" s="44" t="s">
        <v>18</v>
      </c>
      <c r="E335" s="45" t="s">
        <v>187</v>
      </c>
      <c r="F335" s="44" t="s">
        <v>201</v>
      </c>
      <c r="G335" s="46" t="s">
        <v>440</v>
      </c>
      <c r="H335" s="46" t="s">
        <v>440</v>
      </c>
      <c r="I335" s="53" t="s">
        <v>463</v>
      </c>
      <c r="J335" s="63" t="s">
        <v>530</v>
      </c>
      <c r="K335" s="63" t="s">
        <v>530</v>
      </c>
      <c r="L335" s="63" t="s">
        <v>530</v>
      </c>
    </row>
    <row r="336" spans="1:12" ht="16.2" x14ac:dyDescent="0.4">
      <c r="A336" s="15" t="str">
        <f t="shared" si="5"/>
        <v>modesg_out_bens_imoveisn.a.</v>
      </c>
      <c r="B336" s="51" t="s">
        <v>11</v>
      </c>
      <c r="C336" s="48" t="s">
        <v>275</v>
      </c>
      <c r="D336" s="44" t="s">
        <v>15</v>
      </c>
      <c r="E336" s="45" t="s">
        <v>276</v>
      </c>
      <c r="F336" s="44" t="s">
        <v>17</v>
      </c>
      <c r="G336" s="46" t="s">
        <v>437</v>
      </c>
      <c r="H336" s="46" t="s">
        <v>438</v>
      </c>
      <c r="I336" s="53"/>
      <c r="J336" s="63" t="s">
        <v>530</v>
      </c>
      <c r="K336" s="63" t="s">
        <v>530</v>
      </c>
      <c r="L336" s="63" t="s">
        <v>530</v>
      </c>
    </row>
    <row r="337" spans="1:12" ht="16.2" x14ac:dyDescent="0.4">
      <c r="A337" s="15" t="str">
        <f t="shared" si="5"/>
        <v>modesg_out_bens_imoveiscempbem</v>
      </c>
      <c r="B337" s="51" t="s">
        <v>11</v>
      </c>
      <c r="C337" s="48" t="s">
        <v>275</v>
      </c>
      <c r="D337" s="44" t="s">
        <v>18</v>
      </c>
      <c r="E337" s="45" t="s">
        <v>276</v>
      </c>
      <c r="F337" s="44" t="s">
        <v>19</v>
      </c>
      <c r="G337" s="46" t="s">
        <v>437</v>
      </c>
      <c r="H337" s="46" t="s">
        <v>437</v>
      </c>
      <c r="I337" s="64"/>
      <c r="J337" s="63" t="s">
        <v>530</v>
      </c>
      <c r="K337" s="63" t="s">
        <v>530</v>
      </c>
      <c r="L337" s="63" t="s">
        <v>530</v>
      </c>
    </row>
    <row r="338" spans="1:12" ht="16.2" x14ac:dyDescent="0.4">
      <c r="A338" s="15" t="str">
        <f t="shared" si="5"/>
        <v>modesg_out_bens_imoveisckbalbem</v>
      </c>
      <c r="B338" s="51" t="s">
        <v>11</v>
      </c>
      <c r="C338" s="48" t="s">
        <v>275</v>
      </c>
      <c r="D338" s="44" t="s">
        <v>18</v>
      </c>
      <c r="E338" s="45" t="s">
        <v>276</v>
      </c>
      <c r="F338" s="44" t="s">
        <v>21</v>
      </c>
      <c r="G338" s="46" t="s">
        <v>437</v>
      </c>
      <c r="H338" s="46" t="s">
        <v>437</v>
      </c>
      <c r="I338" s="64"/>
      <c r="J338" s="63" t="s">
        <v>530</v>
      </c>
      <c r="K338" s="63" t="s">
        <v>530</v>
      </c>
      <c r="L338" s="63" t="s">
        <v>530</v>
      </c>
    </row>
    <row r="339" spans="1:12" ht="16.2" x14ac:dyDescent="0.4">
      <c r="A339" s="15" t="str">
        <f t="shared" si="5"/>
        <v>modesg_out_bens_imoveisckctabem</v>
      </c>
      <c r="B339" s="51" t="s">
        <v>11</v>
      </c>
      <c r="C339" s="48" t="s">
        <v>275</v>
      </c>
      <c r="D339" s="44" t="s">
        <v>18</v>
      </c>
      <c r="E339" s="45" t="s">
        <v>276</v>
      </c>
      <c r="F339" s="44" t="s">
        <v>22</v>
      </c>
      <c r="G339" s="46" t="s">
        <v>437</v>
      </c>
      <c r="H339" s="46" t="s">
        <v>437</v>
      </c>
      <c r="I339" s="64"/>
      <c r="J339" s="63" t="s">
        <v>530</v>
      </c>
      <c r="K339" s="63" t="s">
        <v>530</v>
      </c>
      <c r="L339" s="63" t="s">
        <v>530</v>
      </c>
    </row>
    <row r="340" spans="1:12" ht="16.2" x14ac:dyDescent="0.4">
      <c r="A340" s="15" t="str">
        <f t="shared" si="5"/>
        <v>modesg_out_bens_imoveisckrefbem</v>
      </c>
      <c r="B340" s="51" t="s">
        <v>11</v>
      </c>
      <c r="C340" s="48" t="s">
        <v>275</v>
      </c>
      <c r="D340" s="44" t="s">
        <v>18</v>
      </c>
      <c r="E340" s="45" t="s">
        <v>276</v>
      </c>
      <c r="F340" s="44" t="s">
        <v>23</v>
      </c>
      <c r="G340" s="46" t="s">
        <v>437</v>
      </c>
      <c r="H340" s="46" t="s">
        <v>437</v>
      </c>
      <c r="I340" s="64"/>
      <c r="J340" s="63" t="s">
        <v>530</v>
      </c>
      <c r="K340" s="63" t="s">
        <v>530</v>
      </c>
      <c r="L340" s="63" t="s">
        <v>530</v>
      </c>
    </row>
    <row r="341" spans="1:12" ht="16.2" x14ac:dyDescent="0.4">
      <c r="A341" s="15" t="str">
        <f t="shared" si="5"/>
        <v>modesg_out_bens_imoveisflg_rsc_fsc_agd</v>
      </c>
      <c r="B341" s="51" t="s">
        <v>11</v>
      </c>
      <c r="C341" s="48" t="s">
        <v>275</v>
      </c>
      <c r="D341" s="44" t="s">
        <v>18</v>
      </c>
      <c r="E341" s="45" t="s">
        <v>276</v>
      </c>
      <c r="F341" s="44" t="s">
        <v>248</v>
      </c>
      <c r="G341" s="46" t="s">
        <v>152</v>
      </c>
      <c r="H341" s="46" t="s">
        <v>152</v>
      </c>
      <c r="I341" s="53"/>
      <c r="J341" s="63" t="s">
        <v>530</v>
      </c>
      <c r="K341" s="63" t="s">
        <v>530</v>
      </c>
      <c r="L341" s="63" t="s">
        <v>530</v>
      </c>
    </row>
    <row r="342" spans="1:12" ht="16.2" x14ac:dyDescent="0.4">
      <c r="A342" s="15" t="str">
        <f t="shared" si="5"/>
        <v>modesg_out_bens_imoveisflg_rsc_fsc_crnc</v>
      </c>
      <c r="B342" s="51" t="s">
        <v>11</v>
      </c>
      <c r="C342" s="48" t="s">
        <v>275</v>
      </c>
      <c r="D342" s="44" t="s">
        <v>18</v>
      </c>
      <c r="E342" s="45" t="s">
        <v>276</v>
      </c>
      <c r="F342" s="44" t="s">
        <v>249</v>
      </c>
      <c r="G342" s="46" t="s">
        <v>152</v>
      </c>
      <c r="H342" s="46" t="s">
        <v>152</v>
      </c>
      <c r="I342" s="53"/>
      <c r="J342" s="63" t="s">
        <v>530</v>
      </c>
      <c r="K342" s="63" t="s">
        <v>530</v>
      </c>
      <c r="L342" s="63" t="s">
        <v>530</v>
      </c>
    </row>
    <row r="343" spans="1:12" ht="16.2" x14ac:dyDescent="0.4">
      <c r="A343" s="15" t="str">
        <f t="shared" si="5"/>
        <v>modesg_out_bens_imoveisorigem_flg_rsc_fsc_agd</v>
      </c>
      <c r="B343" s="51" t="s">
        <v>11</v>
      </c>
      <c r="C343" s="48" t="s">
        <v>275</v>
      </c>
      <c r="D343" s="44" t="s">
        <v>18</v>
      </c>
      <c r="E343" s="45" t="s">
        <v>276</v>
      </c>
      <c r="F343" s="44" t="s">
        <v>277</v>
      </c>
      <c r="G343" s="46" t="s">
        <v>152</v>
      </c>
      <c r="H343" s="46" t="s">
        <v>152</v>
      </c>
      <c r="I343" s="53"/>
      <c r="J343" s="63" t="s">
        <v>530</v>
      </c>
      <c r="K343" s="63" t="s">
        <v>530</v>
      </c>
      <c r="L343" s="63" t="s">
        <v>530</v>
      </c>
    </row>
    <row r="344" spans="1:12" ht="16.2" x14ac:dyDescent="0.4">
      <c r="A344" s="15" t="str">
        <f t="shared" si="5"/>
        <v>modesg_out_bens_imoveisorigem_flg_rsc_fsc_crnc</v>
      </c>
      <c r="B344" s="51" t="s">
        <v>11</v>
      </c>
      <c r="C344" s="48" t="s">
        <v>275</v>
      </c>
      <c r="D344" s="44" t="s">
        <v>18</v>
      </c>
      <c r="E344" s="45" t="s">
        <v>276</v>
      </c>
      <c r="F344" s="44" t="s">
        <v>278</v>
      </c>
      <c r="G344" s="46" t="s">
        <v>152</v>
      </c>
      <c r="H344" s="46" t="s">
        <v>152</v>
      </c>
      <c r="I344" s="53"/>
      <c r="J344" s="63" t="s">
        <v>530</v>
      </c>
      <c r="K344" s="63" t="s">
        <v>530</v>
      </c>
      <c r="L344" s="63" t="s">
        <v>530</v>
      </c>
    </row>
    <row r="345" spans="1:12" ht="16.2" x14ac:dyDescent="0.4">
      <c r="A345" s="15" t="str">
        <f t="shared" si="5"/>
        <v>modesg_out_bens_imoveisorigem_scp1_emss</v>
      </c>
      <c r="B345" s="51" t="s">
        <v>11</v>
      </c>
      <c r="C345" s="48" t="s">
        <v>275</v>
      </c>
      <c r="D345" s="44" t="s">
        <v>18</v>
      </c>
      <c r="E345" s="45" t="s">
        <v>276</v>
      </c>
      <c r="F345" s="44" t="s">
        <v>279</v>
      </c>
      <c r="G345" s="46" t="s">
        <v>438</v>
      </c>
      <c r="H345" s="46" t="s">
        <v>438</v>
      </c>
      <c r="I345" s="53"/>
      <c r="J345" s="63" t="s">
        <v>530</v>
      </c>
      <c r="K345" s="63" t="s">
        <v>530</v>
      </c>
      <c r="L345" s="63" t="s">
        <v>530</v>
      </c>
    </row>
    <row r="346" spans="1:12" ht="16.2" x14ac:dyDescent="0.4">
      <c r="A346" s="15" t="str">
        <f t="shared" si="5"/>
        <v>modesg_out_bens_imoveisorigem_scp2_emss</v>
      </c>
      <c r="B346" s="51" t="s">
        <v>11</v>
      </c>
      <c r="C346" s="48" t="s">
        <v>275</v>
      </c>
      <c r="D346" s="44" t="s">
        <v>18</v>
      </c>
      <c r="E346" s="45" t="s">
        <v>276</v>
      </c>
      <c r="F346" s="44" t="s">
        <v>280</v>
      </c>
      <c r="G346" s="46" t="s">
        <v>438</v>
      </c>
      <c r="H346" s="46" t="s">
        <v>438</v>
      </c>
      <c r="I346" s="53"/>
      <c r="J346" s="63" t="s">
        <v>530</v>
      </c>
      <c r="K346" s="63" t="s">
        <v>530</v>
      </c>
      <c r="L346" s="63" t="s">
        <v>530</v>
      </c>
    </row>
    <row r="347" spans="1:12" ht="16.2" x14ac:dyDescent="0.4">
      <c r="A347" s="15" t="str">
        <f t="shared" si="5"/>
        <v>modesg_out_bens_imoveisorigem_scp3_emss</v>
      </c>
      <c r="B347" s="51" t="s">
        <v>11</v>
      </c>
      <c r="C347" s="48" t="s">
        <v>275</v>
      </c>
      <c r="D347" s="44" t="s">
        <v>18</v>
      </c>
      <c r="E347" s="45" t="s">
        <v>276</v>
      </c>
      <c r="F347" s="44" t="s">
        <v>281</v>
      </c>
      <c r="G347" s="46" t="s">
        <v>438</v>
      </c>
      <c r="H347" s="46" t="s">
        <v>438</v>
      </c>
      <c r="I347" s="53"/>
      <c r="J347" s="63" t="s">
        <v>530</v>
      </c>
      <c r="K347" s="63" t="s">
        <v>530</v>
      </c>
      <c r="L347" s="63" t="s">
        <v>530</v>
      </c>
    </row>
    <row r="348" spans="1:12" ht="16.2" x14ac:dyDescent="0.4">
      <c r="A348" s="15" t="str">
        <f t="shared" si="5"/>
        <v>modesg_out_bens_imoveisref_date</v>
      </c>
      <c r="B348" s="51" t="s">
        <v>11</v>
      </c>
      <c r="C348" s="48" t="s">
        <v>275</v>
      </c>
      <c r="D348" s="44" t="s">
        <v>18</v>
      </c>
      <c r="E348" s="45" t="s">
        <v>276</v>
      </c>
      <c r="F348" s="44" t="s">
        <v>50</v>
      </c>
      <c r="G348" s="46" t="s">
        <v>437</v>
      </c>
      <c r="H348" s="46" t="s">
        <v>437</v>
      </c>
      <c r="I348" s="64"/>
      <c r="J348" s="63" t="s">
        <v>530</v>
      </c>
      <c r="K348" s="63" t="s">
        <v>530</v>
      </c>
      <c r="L348" s="63" t="s">
        <v>530</v>
      </c>
    </row>
    <row r="349" spans="1:12" ht="16.2" x14ac:dyDescent="0.4">
      <c r="A349" s="15" t="str">
        <f t="shared" si="5"/>
        <v>modesg_out_bens_imoveisscp1_emss</v>
      </c>
      <c r="B349" s="51" t="s">
        <v>11</v>
      </c>
      <c r="C349" s="48" t="s">
        <v>275</v>
      </c>
      <c r="D349" s="44" t="s">
        <v>18</v>
      </c>
      <c r="E349" s="45" t="s">
        <v>276</v>
      </c>
      <c r="F349" s="44" t="s">
        <v>251</v>
      </c>
      <c r="G349" s="46" t="s">
        <v>438</v>
      </c>
      <c r="H349" s="46" t="s">
        <v>438</v>
      </c>
      <c r="I349" s="53"/>
      <c r="J349" s="63" t="s">
        <v>530</v>
      </c>
      <c r="K349" s="63" t="s">
        <v>530</v>
      </c>
      <c r="L349" s="63" t="s">
        <v>530</v>
      </c>
    </row>
    <row r="350" spans="1:12" ht="16.2" x14ac:dyDescent="0.4">
      <c r="A350" s="15" t="str">
        <f t="shared" si="5"/>
        <v>modesg_out_bens_imoveisscp2_emss</v>
      </c>
      <c r="B350" s="51" t="s">
        <v>11</v>
      </c>
      <c r="C350" s="48" t="s">
        <v>275</v>
      </c>
      <c r="D350" s="44" t="s">
        <v>18</v>
      </c>
      <c r="E350" s="45" t="s">
        <v>276</v>
      </c>
      <c r="F350" s="44" t="s">
        <v>252</v>
      </c>
      <c r="G350" s="46" t="s">
        <v>438</v>
      </c>
      <c r="H350" s="46" t="s">
        <v>438</v>
      </c>
      <c r="I350" s="53"/>
      <c r="J350" s="63" t="s">
        <v>530</v>
      </c>
      <c r="K350" s="63" t="s">
        <v>530</v>
      </c>
      <c r="L350" s="63" t="s">
        <v>530</v>
      </c>
    </row>
    <row r="351" spans="1:12" ht="16.2" x14ac:dyDescent="0.4">
      <c r="A351" s="15" t="str">
        <f t="shared" si="5"/>
        <v>modesg_out_bens_imoveisscp3_emss</v>
      </c>
      <c r="B351" s="51" t="s">
        <v>11</v>
      </c>
      <c r="C351" s="48" t="s">
        <v>275</v>
      </c>
      <c r="D351" s="44" t="s">
        <v>18</v>
      </c>
      <c r="E351" s="45" t="s">
        <v>276</v>
      </c>
      <c r="F351" s="44" t="s">
        <v>253</v>
      </c>
      <c r="G351" s="46" t="s">
        <v>437</v>
      </c>
      <c r="H351" s="46" t="s">
        <v>437</v>
      </c>
      <c r="I351" s="64"/>
      <c r="J351" s="63" t="s">
        <v>530</v>
      </c>
      <c r="K351" s="63" t="s">
        <v>530</v>
      </c>
      <c r="L351" s="63" t="s">
        <v>530</v>
      </c>
    </row>
    <row r="352" spans="1:12" ht="16.2" x14ac:dyDescent="0.4">
      <c r="A352" s="15" t="str">
        <f t="shared" si="5"/>
        <v>modesg_out_bens_imoveisunidade_funcional_scp1_emss</v>
      </c>
      <c r="B352" s="51" t="s">
        <v>11</v>
      </c>
      <c r="C352" s="48" t="s">
        <v>275</v>
      </c>
      <c r="D352" s="44" t="s">
        <v>18</v>
      </c>
      <c r="E352" s="45" t="s">
        <v>276</v>
      </c>
      <c r="F352" s="44" t="s">
        <v>282</v>
      </c>
      <c r="G352" s="46" t="s">
        <v>438</v>
      </c>
      <c r="H352" s="46" t="s">
        <v>438</v>
      </c>
      <c r="I352" s="53"/>
      <c r="J352" s="63" t="s">
        <v>530</v>
      </c>
      <c r="K352" s="63" t="s">
        <v>530</v>
      </c>
      <c r="L352" s="63" t="s">
        <v>530</v>
      </c>
    </row>
    <row r="353" spans="1:12" ht="16.2" x14ac:dyDescent="0.4">
      <c r="A353" s="15" t="str">
        <f t="shared" si="5"/>
        <v>modesg_out_bens_imoveisunidade_funcional_scp2_emss</v>
      </c>
      <c r="B353" s="51" t="s">
        <v>11</v>
      </c>
      <c r="C353" s="48" t="s">
        <v>275</v>
      </c>
      <c r="D353" s="44" t="s">
        <v>18</v>
      </c>
      <c r="E353" s="45" t="s">
        <v>276</v>
      </c>
      <c r="F353" s="44" t="s">
        <v>283</v>
      </c>
      <c r="G353" s="46" t="s">
        <v>438</v>
      </c>
      <c r="H353" s="46" t="s">
        <v>438</v>
      </c>
      <c r="I353" s="53"/>
      <c r="J353" s="63" t="s">
        <v>530</v>
      </c>
      <c r="K353" s="63" t="s">
        <v>530</v>
      </c>
      <c r="L353" s="63" t="s">
        <v>530</v>
      </c>
    </row>
    <row r="354" spans="1:12" ht="16.2" x14ac:dyDescent="0.4">
      <c r="A354" s="15" t="str">
        <f t="shared" si="5"/>
        <v>modesg_out_bens_imoveisunidade_funcional_scp3_emss</v>
      </c>
      <c r="B354" s="51" t="s">
        <v>11</v>
      </c>
      <c r="C354" s="48" t="s">
        <v>275</v>
      </c>
      <c r="D354" s="44" t="s">
        <v>18</v>
      </c>
      <c r="E354" s="45" t="s">
        <v>276</v>
      </c>
      <c r="F354" s="44" t="s">
        <v>284</v>
      </c>
      <c r="G354" s="46" t="s">
        <v>438</v>
      </c>
      <c r="H354" s="46" t="s">
        <v>438</v>
      </c>
      <c r="I354" s="53"/>
      <c r="J354" s="63" t="s">
        <v>530</v>
      </c>
      <c r="K354" s="63" t="s">
        <v>530</v>
      </c>
      <c r="L354" s="63" t="s">
        <v>530</v>
      </c>
    </row>
    <row r="355" spans="1:12" ht="16.2" x14ac:dyDescent="0.4">
      <c r="A355" s="15" t="str">
        <f t="shared" si="5"/>
        <v>modesg_out_empr_info_nfinn.a.</v>
      </c>
      <c r="B355" s="51" t="s">
        <v>11</v>
      </c>
      <c r="C355" s="48" t="s">
        <v>275</v>
      </c>
      <c r="D355" s="44" t="s">
        <v>15</v>
      </c>
      <c r="E355" s="45" t="s">
        <v>285</v>
      </c>
      <c r="F355" s="44" t="s">
        <v>17</v>
      </c>
      <c r="G355" s="46" t="s">
        <v>152</v>
      </c>
      <c r="H355" s="46" t="s">
        <v>437</v>
      </c>
      <c r="I355" s="64"/>
      <c r="J355" s="63" t="s">
        <v>530</v>
      </c>
      <c r="K355" s="63" t="s">
        <v>530</v>
      </c>
      <c r="L355" s="63" t="s">
        <v>530</v>
      </c>
    </row>
    <row r="356" spans="1:12" ht="16.2" x14ac:dyDescent="0.4">
      <c r="A356" s="15" t="str">
        <f t="shared" si="5"/>
        <v>modesg_out_empr_info_nfincca_capex_enblng_algnd</v>
      </c>
      <c r="B356" s="51" t="s">
        <v>11</v>
      </c>
      <c r="C356" s="48" t="s">
        <v>275</v>
      </c>
      <c r="D356" s="44" t="s">
        <v>18</v>
      </c>
      <c r="E356" s="45" t="s">
        <v>285</v>
      </c>
      <c r="F356" s="44" t="s">
        <v>216</v>
      </c>
      <c r="G356" s="46" t="s">
        <v>152</v>
      </c>
      <c r="H356" s="46" t="s">
        <v>438</v>
      </c>
      <c r="I356" s="53"/>
      <c r="J356" s="63">
        <v>45490</v>
      </c>
      <c r="K356" s="63">
        <v>45504</v>
      </c>
      <c r="L356" s="63">
        <v>45504</v>
      </c>
    </row>
    <row r="357" spans="1:12" ht="16.2" x14ac:dyDescent="0.4">
      <c r="A357" s="15" t="str">
        <f t="shared" si="5"/>
        <v>modesg_out_empr_info_nfincca_capex_own_prfrmnce_algnd</v>
      </c>
      <c r="B357" s="51" t="s">
        <v>11</v>
      </c>
      <c r="C357" s="48" t="s">
        <v>275</v>
      </c>
      <c r="D357" s="44" t="s">
        <v>18</v>
      </c>
      <c r="E357" s="45" t="s">
        <v>285</v>
      </c>
      <c r="F357" s="44" t="s">
        <v>217</v>
      </c>
      <c r="G357" s="46" t="s">
        <v>152</v>
      </c>
      <c r="H357" s="46" t="s">
        <v>438</v>
      </c>
      <c r="I357" s="53"/>
      <c r="J357" s="63">
        <v>45490</v>
      </c>
      <c r="K357" s="63">
        <v>45504</v>
      </c>
      <c r="L357" s="63">
        <v>45504</v>
      </c>
    </row>
    <row r="358" spans="1:12" ht="16.2" x14ac:dyDescent="0.4">
      <c r="A358" s="15" t="str">
        <f t="shared" si="5"/>
        <v>modesg_out_empr_info_nfincca_capex_ttl_elgbl</v>
      </c>
      <c r="B358" s="51" t="s">
        <v>11</v>
      </c>
      <c r="C358" s="48" t="s">
        <v>275</v>
      </c>
      <c r="D358" s="44" t="s">
        <v>18</v>
      </c>
      <c r="E358" s="45" t="s">
        <v>285</v>
      </c>
      <c r="F358" s="44" t="s">
        <v>215</v>
      </c>
      <c r="G358" s="46" t="s">
        <v>152</v>
      </c>
      <c r="H358" s="46" t="s">
        <v>438</v>
      </c>
      <c r="I358" s="53"/>
      <c r="J358" s="63">
        <v>45490</v>
      </c>
      <c r="K358" s="63">
        <v>45504</v>
      </c>
      <c r="L358" s="63">
        <v>45504</v>
      </c>
    </row>
    <row r="359" spans="1:12" ht="16.2" x14ac:dyDescent="0.4">
      <c r="A359" s="15" t="str">
        <f t="shared" si="5"/>
        <v>modesg_out_empr_info_nfincca_trnvr_enblng_alignd</v>
      </c>
      <c r="B359" s="51" t="s">
        <v>11</v>
      </c>
      <c r="C359" s="48" t="s">
        <v>275</v>
      </c>
      <c r="D359" s="44" t="s">
        <v>18</v>
      </c>
      <c r="E359" s="45" t="s">
        <v>285</v>
      </c>
      <c r="F359" s="44" t="s">
        <v>213</v>
      </c>
      <c r="G359" s="46" t="s">
        <v>152</v>
      </c>
      <c r="H359" s="46" t="s">
        <v>438</v>
      </c>
      <c r="I359" s="53"/>
      <c r="J359" s="63">
        <v>45490</v>
      </c>
      <c r="K359" s="63">
        <v>45504</v>
      </c>
      <c r="L359" s="63">
        <v>45504</v>
      </c>
    </row>
    <row r="360" spans="1:12" ht="16.2" x14ac:dyDescent="0.4">
      <c r="A360" s="15" t="str">
        <f t="shared" si="5"/>
        <v>modesg_out_empr_info_nfincca_trnvr_ttl_elgbl</v>
      </c>
      <c r="B360" s="51" t="s">
        <v>11</v>
      </c>
      <c r="C360" s="48" t="s">
        <v>275</v>
      </c>
      <c r="D360" s="44" t="s">
        <v>18</v>
      </c>
      <c r="E360" s="45" t="s">
        <v>285</v>
      </c>
      <c r="F360" s="44" t="s">
        <v>212</v>
      </c>
      <c r="G360" s="46" t="s">
        <v>152</v>
      </c>
      <c r="H360" s="46" t="s">
        <v>438</v>
      </c>
      <c r="I360" s="53"/>
      <c r="J360" s="63">
        <v>45490</v>
      </c>
      <c r="K360" s="63">
        <v>45504</v>
      </c>
      <c r="L360" s="63">
        <v>45504</v>
      </c>
    </row>
    <row r="361" spans="1:12" ht="16.2" x14ac:dyDescent="0.4">
      <c r="A361" s="15" t="str">
        <f t="shared" si="5"/>
        <v>modesg_out_empr_info_nfincca_turnover_own_prfrmnce_algnd</v>
      </c>
      <c r="B361" s="51" t="s">
        <v>11</v>
      </c>
      <c r="C361" s="48" t="s">
        <v>275</v>
      </c>
      <c r="D361" s="44" t="s">
        <v>18</v>
      </c>
      <c r="E361" s="45" t="s">
        <v>285</v>
      </c>
      <c r="F361" s="44" t="s">
        <v>214</v>
      </c>
      <c r="G361" s="46" t="s">
        <v>152</v>
      </c>
      <c r="H361" s="46" t="s">
        <v>438</v>
      </c>
      <c r="I361" s="53"/>
      <c r="J361" s="63">
        <v>45490</v>
      </c>
      <c r="K361" s="63">
        <v>45504</v>
      </c>
      <c r="L361" s="63">
        <v>45504</v>
      </c>
    </row>
    <row r="362" spans="1:12" ht="16.2" x14ac:dyDescent="0.4">
      <c r="A362" s="15" t="str">
        <f t="shared" si="5"/>
        <v>modesg_out_empr_info_nfinccm_capex_enblng_algnd</v>
      </c>
      <c r="B362" s="51" t="s">
        <v>11</v>
      </c>
      <c r="C362" s="48" t="s">
        <v>275</v>
      </c>
      <c r="D362" s="44" t="s">
        <v>18</v>
      </c>
      <c r="E362" s="45" t="s">
        <v>285</v>
      </c>
      <c r="F362" s="44" t="s">
        <v>223</v>
      </c>
      <c r="G362" s="46" t="s">
        <v>152</v>
      </c>
      <c r="H362" s="46" t="s">
        <v>438</v>
      </c>
      <c r="I362" s="53"/>
      <c r="J362" s="63">
        <v>45490</v>
      </c>
      <c r="K362" s="63">
        <v>45504</v>
      </c>
      <c r="L362" s="63">
        <v>45504</v>
      </c>
    </row>
    <row r="363" spans="1:12" ht="16.2" x14ac:dyDescent="0.4">
      <c r="A363" s="15" t="str">
        <f t="shared" si="5"/>
        <v>modesg_out_empr_info_nfinccm_capex_own_prfrmnce_algnd</v>
      </c>
      <c r="B363" s="51" t="s">
        <v>11</v>
      </c>
      <c r="C363" s="48" t="s">
        <v>275</v>
      </c>
      <c r="D363" s="44" t="s">
        <v>18</v>
      </c>
      <c r="E363" s="45" t="s">
        <v>285</v>
      </c>
      <c r="F363" s="44" t="s">
        <v>225</v>
      </c>
      <c r="G363" s="46" t="s">
        <v>152</v>
      </c>
      <c r="H363" s="46" t="s">
        <v>438</v>
      </c>
      <c r="I363" s="53"/>
      <c r="J363" s="63">
        <v>45490</v>
      </c>
      <c r="K363" s="63">
        <v>45504</v>
      </c>
      <c r="L363" s="63">
        <v>45504</v>
      </c>
    </row>
    <row r="364" spans="1:12" ht="16.2" x14ac:dyDescent="0.4">
      <c r="A364" s="15" t="str">
        <f t="shared" si="5"/>
        <v>modesg_out_empr_info_nfinccm_capex_trnstn_algnd</v>
      </c>
      <c r="B364" s="51" t="s">
        <v>11</v>
      </c>
      <c r="C364" s="48" t="s">
        <v>275</v>
      </c>
      <c r="D364" s="44" t="s">
        <v>18</v>
      </c>
      <c r="E364" s="45" t="s">
        <v>285</v>
      </c>
      <c r="F364" s="44" t="s">
        <v>224</v>
      </c>
      <c r="G364" s="46" t="s">
        <v>152</v>
      </c>
      <c r="H364" s="46" t="s">
        <v>438</v>
      </c>
      <c r="I364" s="53"/>
      <c r="J364" s="63">
        <v>45490</v>
      </c>
      <c r="K364" s="63">
        <v>45504</v>
      </c>
      <c r="L364" s="63">
        <v>45504</v>
      </c>
    </row>
    <row r="365" spans="1:12" ht="16.2" x14ac:dyDescent="0.4">
      <c r="A365" s="15" t="str">
        <f t="shared" si="5"/>
        <v>modesg_out_empr_info_nfinccm_capex_ttl_elgbl</v>
      </c>
      <c r="B365" s="51" t="s">
        <v>11</v>
      </c>
      <c r="C365" s="48" t="s">
        <v>275</v>
      </c>
      <c r="D365" s="44" t="s">
        <v>18</v>
      </c>
      <c r="E365" s="45" t="s">
        <v>285</v>
      </c>
      <c r="F365" s="44" t="s">
        <v>222</v>
      </c>
      <c r="G365" s="46" t="s">
        <v>152</v>
      </c>
      <c r="H365" s="46" t="s">
        <v>438</v>
      </c>
      <c r="I365" s="53"/>
      <c r="J365" s="63">
        <v>45490</v>
      </c>
      <c r="K365" s="63">
        <v>45504</v>
      </c>
      <c r="L365" s="63">
        <v>45504</v>
      </c>
    </row>
    <row r="366" spans="1:12" ht="16.2" x14ac:dyDescent="0.4">
      <c r="A366" s="15" t="str">
        <f t="shared" si="5"/>
        <v>modesg_out_empr_info_nfinccm_trnvr_enblng_algnd</v>
      </c>
      <c r="B366" s="51" t="s">
        <v>11</v>
      </c>
      <c r="C366" s="48" t="s">
        <v>275</v>
      </c>
      <c r="D366" s="44" t="s">
        <v>18</v>
      </c>
      <c r="E366" s="45" t="s">
        <v>285</v>
      </c>
      <c r="F366" s="44" t="s">
        <v>219</v>
      </c>
      <c r="G366" s="46" t="s">
        <v>152</v>
      </c>
      <c r="H366" s="46" t="s">
        <v>438</v>
      </c>
      <c r="I366" s="53"/>
      <c r="J366" s="63">
        <v>45490</v>
      </c>
      <c r="K366" s="63">
        <v>45504</v>
      </c>
      <c r="L366" s="63">
        <v>45504</v>
      </c>
    </row>
    <row r="367" spans="1:12" ht="16.2" x14ac:dyDescent="0.4">
      <c r="A367" s="15" t="str">
        <f t="shared" si="5"/>
        <v>modesg_out_empr_info_nfinccm_trnvr_own_prfrmnce_algnd</v>
      </c>
      <c r="B367" s="51" t="s">
        <v>11</v>
      </c>
      <c r="C367" s="48" t="s">
        <v>275</v>
      </c>
      <c r="D367" s="44" t="s">
        <v>18</v>
      </c>
      <c r="E367" s="45" t="s">
        <v>285</v>
      </c>
      <c r="F367" s="44" t="s">
        <v>221</v>
      </c>
      <c r="G367" s="46" t="s">
        <v>152</v>
      </c>
      <c r="H367" s="46" t="s">
        <v>438</v>
      </c>
      <c r="I367" s="53"/>
      <c r="J367" s="63">
        <v>45490</v>
      </c>
      <c r="K367" s="63">
        <v>45504</v>
      </c>
      <c r="L367" s="63">
        <v>45504</v>
      </c>
    </row>
    <row r="368" spans="1:12" ht="16.2" x14ac:dyDescent="0.4">
      <c r="A368" s="15" t="str">
        <f t="shared" si="5"/>
        <v>modesg_out_empr_info_nfinccm_trnvr_trnstn_alignd</v>
      </c>
      <c r="B368" s="51" t="s">
        <v>11</v>
      </c>
      <c r="C368" s="48" t="s">
        <v>275</v>
      </c>
      <c r="D368" s="44" t="s">
        <v>18</v>
      </c>
      <c r="E368" s="45" t="s">
        <v>285</v>
      </c>
      <c r="F368" s="44" t="s">
        <v>220</v>
      </c>
      <c r="G368" s="46" t="s">
        <v>152</v>
      </c>
      <c r="H368" s="46" t="s">
        <v>438</v>
      </c>
      <c r="I368" s="53"/>
      <c r="J368" s="63">
        <v>45490</v>
      </c>
      <c r="K368" s="63">
        <v>45504</v>
      </c>
      <c r="L368" s="63">
        <v>45504</v>
      </c>
    </row>
    <row r="369" spans="1:12" ht="16.2" x14ac:dyDescent="0.4">
      <c r="A369" s="15" t="str">
        <f t="shared" si="5"/>
        <v>modesg_out_empr_info_nfinccm_trnvr_ttl_elgbl</v>
      </c>
      <c r="B369" s="51" t="s">
        <v>11</v>
      </c>
      <c r="C369" s="48" t="s">
        <v>275</v>
      </c>
      <c r="D369" s="44" t="s">
        <v>18</v>
      </c>
      <c r="E369" s="45" t="s">
        <v>285</v>
      </c>
      <c r="F369" s="44" t="s">
        <v>218</v>
      </c>
      <c r="G369" s="46" t="s">
        <v>152</v>
      </c>
      <c r="H369" s="46" t="s">
        <v>438</v>
      </c>
      <c r="I369" s="53"/>
      <c r="J369" s="63">
        <v>45490</v>
      </c>
      <c r="K369" s="63">
        <v>45504</v>
      </c>
      <c r="L369" s="63">
        <v>45504</v>
      </c>
    </row>
    <row r="370" spans="1:12" ht="16.2" x14ac:dyDescent="0.4">
      <c r="A370" s="15" t="str">
        <f t="shared" si="5"/>
        <v>modesg_out_empr_info_nfincod_nace_esg</v>
      </c>
      <c r="B370" s="51" t="s">
        <v>11</v>
      </c>
      <c r="C370" s="48" t="s">
        <v>275</v>
      </c>
      <c r="D370" s="44" t="s">
        <v>18</v>
      </c>
      <c r="E370" s="45" t="s">
        <v>285</v>
      </c>
      <c r="F370" s="44" t="s">
        <v>247</v>
      </c>
      <c r="G370" s="46" t="s">
        <v>152</v>
      </c>
      <c r="H370" s="46" t="s">
        <v>438</v>
      </c>
      <c r="I370" s="53"/>
      <c r="J370" s="63">
        <v>45490</v>
      </c>
      <c r="K370" s="63">
        <v>45504</v>
      </c>
      <c r="L370" s="63">
        <v>45504</v>
      </c>
    </row>
    <row r="371" spans="1:12" ht="16.2" x14ac:dyDescent="0.4">
      <c r="A371" s="15" t="str">
        <f t="shared" si="5"/>
        <v>modesg_out_empr_info_nfinflg_emprs_excl_paris</v>
      </c>
      <c r="B371" s="51" t="s">
        <v>11</v>
      </c>
      <c r="C371" s="48" t="s">
        <v>275</v>
      </c>
      <c r="D371" s="44" t="s">
        <v>18</v>
      </c>
      <c r="E371" s="45" t="s">
        <v>285</v>
      </c>
      <c r="F371" s="44" t="s">
        <v>286</v>
      </c>
      <c r="G371" s="46" t="s">
        <v>152</v>
      </c>
      <c r="H371" s="46" t="s">
        <v>438</v>
      </c>
      <c r="I371" s="53"/>
      <c r="J371" s="63">
        <v>45490</v>
      </c>
      <c r="K371" s="63">
        <v>45504</v>
      </c>
      <c r="L371" s="63">
        <v>45504</v>
      </c>
    </row>
    <row r="372" spans="1:12" ht="16.2" x14ac:dyDescent="0.4">
      <c r="A372" s="15" t="str">
        <f t="shared" si="5"/>
        <v>modesg_out_empr_info_nfinflg_nfrd</v>
      </c>
      <c r="B372" s="51" t="s">
        <v>11</v>
      </c>
      <c r="C372" s="48" t="s">
        <v>275</v>
      </c>
      <c r="D372" s="44" t="s">
        <v>18</v>
      </c>
      <c r="E372" s="45" t="s">
        <v>285</v>
      </c>
      <c r="F372" s="44" t="s">
        <v>211</v>
      </c>
      <c r="G372" s="46" t="s">
        <v>152</v>
      </c>
      <c r="H372" s="46" t="s">
        <v>438</v>
      </c>
      <c r="I372" s="53"/>
      <c r="J372" s="63">
        <v>45490</v>
      </c>
      <c r="K372" s="63">
        <v>45504</v>
      </c>
      <c r="L372" s="63">
        <v>45504</v>
      </c>
    </row>
    <row r="373" spans="1:12" ht="16.2" x14ac:dyDescent="0.4">
      <c r="A373" s="15" t="str">
        <f t="shared" si="5"/>
        <v>modesg_out_empr_info_nfinflg_rsc_fsc_agd</v>
      </c>
      <c r="B373" s="51" t="s">
        <v>11</v>
      </c>
      <c r="C373" s="48" t="s">
        <v>275</v>
      </c>
      <c r="D373" s="44" t="s">
        <v>18</v>
      </c>
      <c r="E373" s="45" t="s">
        <v>285</v>
      </c>
      <c r="F373" s="44" t="s">
        <v>248</v>
      </c>
      <c r="G373" s="46" t="s">
        <v>152</v>
      </c>
      <c r="H373" s="46" t="s">
        <v>438</v>
      </c>
      <c r="I373" s="53"/>
      <c r="J373" s="63">
        <v>45490</v>
      </c>
      <c r="K373" s="63">
        <v>45504</v>
      </c>
      <c r="L373" s="63">
        <v>45504</v>
      </c>
    </row>
    <row r="374" spans="1:12" ht="16.2" x14ac:dyDescent="0.4">
      <c r="A374" s="15" t="str">
        <f t="shared" si="5"/>
        <v>modesg_out_empr_info_nfinflg_rsc_fsc_crnc</v>
      </c>
      <c r="B374" s="51" t="s">
        <v>11</v>
      </c>
      <c r="C374" s="48" t="s">
        <v>275</v>
      </c>
      <c r="D374" s="44" t="s">
        <v>18</v>
      </c>
      <c r="E374" s="45" t="s">
        <v>285</v>
      </c>
      <c r="F374" s="44" t="s">
        <v>249</v>
      </c>
      <c r="G374" s="46" t="s">
        <v>152</v>
      </c>
      <c r="H374" s="46" t="s">
        <v>438</v>
      </c>
      <c r="I374" s="53"/>
      <c r="J374" s="63">
        <v>45490</v>
      </c>
      <c r="K374" s="63">
        <v>45504</v>
      </c>
      <c r="L374" s="63">
        <v>45504</v>
      </c>
    </row>
    <row r="375" spans="1:12" ht="16.2" x14ac:dyDescent="0.4">
      <c r="A375" s="15" t="str">
        <f t="shared" si="5"/>
        <v>modesg_out_empr_info_nfinorigem_alinhamentos</v>
      </c>
      <c r="B375" s="51" t="s">
        <v>11</v>
      </c>
      <c r="C375" s="48" t="s">
        <v>275</v>
      </c>
      <c r="D375" s="44" t="s">
        <v>18</v>
      </c>
      <c r="E375" s="45" t="s">
        <v>285</v>
      </c>
      <c r="F375" s="44" t="s">
        <v>287</v>
      </c>
      <c r="G375" s="46" t="s">
        <v>152</v>
      </c>
      <c r="H375" s="46" t="s">
        <v>438</v>
      </c>
      <c r="I375" s="53"/>
      <c r="J375" s="63">
        <v>45490</v>
      </c>
      <c r="K375" s="63">
        <v>45504</v>
      </c>
      <c r="L375" s="63">
        <v>45504</v>
      </c>
    </row>
    <row r="376" spans="1:12" ht="16.2" x14ac:dyDescent="0.4">
      <c r="A376" s="15" t="str">
        <f t="shared" si="5"/>
        <v>modesg_out_empr_info_nfinorigem_flg_emprs_excl_paris</v>
      </c>
      <c r="B376" s="51" t="s">
        <v>11</v>
      </c>
      <c r="C376" s="48" t="s">
        <v>275</v>
      </c>
      <c r="D376" s="44" t="s">
        <v>18</v>
      </c>
      <c r="E376" s="45" t="s">
        <v>285</v>
      </c>
      <c r="F376" s="44" t="s">
        <v>288</v>
      </c>
      <c r="G376" s="46" t="s">
        <v>152</v>
      </c>
      <c r="H376" s="46" t="s">
        <v>438</v>
      </c>
      <c r="I376" s="53"/>
      <c r="J376" s="63">
        <v>45490</v>
      </c>
      <c r="K376" s="63">
        <v>45504</v>
      </c>
      <c r="L376" s="63">
        <v>45504</v>
      </c>
    </row>
    <row r="377" spans="1:12" ht="16.2" x14ac:dyDescent="0.4">
      <c r="A377" s="15" t="str">
        <f t="shared" si="5"/>
        <v>modesg_out_empr_info_nfinorigem_flg_nfrd</v>
      </c>
      <c r="B377" s="51" t="s">
        <v>11</v>
      </c>
      <c r="C377" s="48" t="s">
        <v>275</v>
      </c>
      <c r="D377" s="44" t="s">
        <v>18</v>
      </c>
      <c r="E377" s="45" t="s">
        <v>285</v>
      </c>
      <c r="F377" s="44" t="s">
        <v>289</v>
      </c>
      <c r="G377" s="46" t="s">
        <v>152</v>
      </c>
      <c r="H377" s="46" t="s">
        <v>438</v>
      </c>
      <c r="I377" s="53"/>
      <c r="J377" s="63">
        <v>45490</v>
      </c>
      <c r="K377" s="63">
        <v>45504</v>
      </c>
      <c r="L377" s="63">
        <v>45504</v>
      </c>
    </row>
    <row r="378" spans="1:12" ht="16.2" x14ac:dyDescent="0.4">
      <c r="A378" s="15" t="str">
        <f t="shared" si="5"/>
        <v>modesg_out_empr_info_nfinorigem_flg_rsc_fsc_agd</v>
      </c>
      <c r="B378" s="51" t="s">
        <v>11</v>
      </c>
      <c r="C378" s="48" t="s">
        <v>275</v>
      </c>
      <c r="D378" s="44" t="s">
        <v>18</v>
      </c>
      <c r="E378" s="45" t="s">
        <v>285</v>
      </c>
      <c r="F378" s="44" t="s">
        <v>277</v>
      </c>
      <c r="G378" s="46" t="s">
        <v>152</v>
      </c>
      <c r="H378" s="46" t="s">
        <v>438</v>
      </c>
      <c r="I378" s="53"/>
      <c r="J378" s="63">
        <v>45490</v>
      </c>
      <c r="K378" s="63">
        <v>45504</v>
      </c>
      <c r="L378" s="63">
        <v>45504</v>
      </c>
    </row>
    <row r="379" spans="1:12" ht="16.2" x14ac:dyDescent="0.4">
      <c r="A379" s="15" t="str">
        <f t="shared" si="5"/>
        <v>modesg_out_empr_info_nfinorigem_flg_rsc_fsc_crnc</v>
      </c>
      <c r="B379" s="51" t="s">
        <v>11</v>
      </c>
      <c r="C379" s="48" t="s">
        <v>275</v>
      </c>
      <c r="D379" s="44" t="s">
        <v>18</v>
      </c>
      <c r="E379" s="45" t="s">
        <v>285</v>
      </c>
      <c r="F379" s="44" t="s">
        <v>278</v>
      </c>
      <c r="G379" s="46" t="s">
        <v>152</v>
      </c>
      <c r="H379" s="46" t="s">
        <v>438</v>
      </c>
      <c r="I379" s="53"/>
      <c r="J379" s="63">
        <v>45490</v>
      </c>
      <c r="K379" s="63">
        <v>45504</v>
      </c>
      <c r="L379" s="63">
        <v>45504</v>
      </c>
    </row>
    <row r="380" spans="1:12" ht="16.2" x14ac:dyDescent="0.4">
      <c r="A380" s="15" t="str">
        <f t="shared" si="5"/>
        <v>modesg_out_empr_info_nfinorigem_scp1_emss</v>
      </c>
      <c r="B380" s="51" t="s">
        <v>11</v>
      </c>
      <c r="C380" s="48" t="s">
        <v>275</v>
      </c>
      <c r="D380" s="44" t="s">
        <v>18</v>
      </c>
      <c r="E380" s="45" t="s">
        <v>285</v>
      </c>
      <c r="F380" s="44" t="s">
        <v>279</v>
      </c>
      <c r="G380" s="46" t="s">
        <v>152</v>
      </c>
      <c r="H380" s="46" t="s">
        <v>438</v>
      </c>
      <c r="I380" s="53"/>
      <c r="J380" s="63">
        <v>45490</v>
      </c>
      <c r="K380" s="63">
        <v>45504</v>
      </c>
      <c r="L380" s="63">
        <v>45504</v>
      </c>
    </row>
    <row r="381" spans="1:12" ht="16.2" x14ac:dyDescent="0.4">
      <c r="A381" s="15" t="str">
        <f t="shared" si="5"/>
        <v>modesg_out_empr_info_nfinorigem_scp2_emss</v>
      </c>
      <c r="B381" s="51" t="s">
        <v>11</v>
      </c>
      <c r="C381" s="48" t="s">
        <v>275</v>
      </c>
      <c r="D381" s="44" t="s">
        <v>18</v>
      </c>
      <c r="E381" s="45" t="s">
        <v>285</v>
      </c>
      <c r="F381" s="44" t="s">
        <v>280</v>
      </c>
      <c r="G381" s="46" t="s">
        <v>152</v>
      </c>
      <c r="H381" s="46" t="s">
        <v>438</v>
      </c>
      <c r="I381" s="53"/>
      <c r="J381" s="63">
        <v>45490</v>
      </c>
      <c r="K381" s="63">
        <v>45504</v>
      </c>
      <c r="L381" s="63">
        <v>45504</v>
      </c>
    </row>
    <row r="382" spans="1:12" ht="16.2" x14ac:dyDescent="0.4">
      <c r="A382" s="15" t="str">
        <f t="shared" si="5"/>
        <v>modesg_out_empr_info_nfinorigem_scp3_emss</v>
      </c>
      <c r="B382" s="51" t="s">
        <v>11</v>
      </c>
      <c r="C382" s="48" t="s">
        <v>275</v>
      </c>
      <c r="D382" s="44" t="s">
        <v>18</v>
      </c>
      <c r="E382" s="45" t="s">
        <v>285</v>
      </c>
      <c r="F382" s="44" t="s">
        <v>281</v>
      </c>
      <c r="G382" s="46" t="s">
        <v>152</v>
      </c>
      <c r="H382" s="46" t="s">
        <v>438</v>
      </c>
      <c r="I382" s="53"/>
      <c r="J382" s="63">
        <v>45490</v>
      </c>
      <c r="K382" s="63">
        <v>45504</v>
      </c>
      <c r="L382" s="63">
        <v>45504</v>
      </c>
    </row>
    <row r="383" spans="1:12" ht="16.2" x14ac:dyDescent="0.4">
      <c r="A383" s="15" t="str">
        <f t="shared" si="5"/>
        <v>modesg_out_empr_info_nfinref_date</v>
      </c>
      <c r="B383" s="51" t="s">
        <v>11</v>
      </c>
      <c r="C383" s="48" t="s">
        <v>275</v>
      </c>
      <c r="D383" s="44" t="s">
        <v>18</v>
      </c>
      <c r="E383" s="45" t="s">
        <v>285</v>
      </c>
      <c r="F383" s="44" t="s">
        <v>50</v>
      </c>
      <c r="G383" s="46" t="s">
        <v>437</v>
      </c>
      <c r="H383" s="46" t="s">
        <v>437</v>
      </c>
      <c r="I383" s="64"/>
      <c r="J383" s="63" t="s">
        <v>530</v>
      </c>
      <c r="K383" s="63" t="s">
        <v>530</v>
      </c>
      <c r="L383" s="63" t="s">
        <v>530</v>
      </c>
    </row>
    <row r="384" spans="1:12" ht="16.2" x14ac:dyDescent="0.4">
      <c r="A384" s="15" t="str">
        <f t="shared" si="5"/>
        <v>modesg_out_empr_info_nfinscp1_emss</v>
      </c>
      <c r="B384" s="51" t="s">
        <v>11</v>
      </c>
      <c r="C384" s="48" t="s">
        <v>275</v>
      </c>
      <c r="D384" s="44" t="s">
        <v>18</v>
      </c>
      <c r="E384" s="45" t="s">
        <v>285</v>
      </c>
      <c r="F384" s="44" t="s">
        <v>251</v>
      </c>
      <c r="G384" s="46" t="s">
        <v>152</v>
      </c>
      <c r="H384" s="46" t="s">
        <v>438</v>
      </c>
      <c r="I384" s="53"/>
      <c r="J384" s="63">
        <v>45490</v>
      </c>
      <c r="K384" s="63">
        <v>45504</v>
      </c>
      <c r="L384" s="63">
        <v>45504</v>
      </c>
    </row>
    <row r="385" spans="1:12" ht="16.2" x14ac:dyDescent="0.4">
      <c r="A385" s="15" t="str">
        <f t="shared" si="5"/>
        <v>modesg_out_empr_info_nfinscp2_emss</v>
      </c>
      <c r="B385" s="51" t="s">
        <v>11</v>
      </c>
      <c r="C385" s="48" t="s">
        <v>275</v>
      </c>
      <c r="D385" s="44" t="s">
        <v>18</v>
      </c>
      <c r="E385" s="45" t="s">
        <v>285</v>
      </c>
      <c r="F385" s="44" t="s">
        <v>252</v>
      </c>
      <c r="G385" s="46" t="s">
        <v>152</v>
      </c>
      <c r="H385" s="46" t="s">
        <v>438</v>
      </c>
      <c r="I385" s="53"/>
      <c r="J385" s="63">
        <v>45490</v>
      </c>
      <c r="K385" s="63">
        <v>45504</v>
      </c>
      <c r="L385" s="63">
        <v>45504</v>
      </c>
    </row>
    <row r="386" spans="1:12" ht="16.2" x14ac:dyDescent="0.4">
      <c r="A386" s="15" t="str">
        <f t="shared" si="5"/>
        <v>modesg_out_empr_info_nfinscp3_emss</v>
      </c>
      <c r="B386" s="51" t="s">
        <v>11</v>
      </c>
      <c r="C386" s="48" t="s">
        <v>275</v>
      </c>
      <c r="D386" s="44" t="s">
        <v>18</v>
      </c>
      <c r="E386" s="45" t="s">
        <v>285</v>
      </c>
      <c r="F386" s="44" t="s">
        <v>253</v>
      </c>
      <c r="G386" s="46" t="s">
        <v>152</v>
      </c>
      <c r="H386" s="46" t="s">
        <v>438</v>
      </c>
      <c r="I386" s="53"/>
      <c r="J386" s="63">
        <v>45490</v>
      </c>
      <c r="K386" s="63">
        <v>45504</v>
      </c>
      <c r="L386" s="63">
        <v>45504</v>
      </c>
    </row>
    <row r="387" spans="1:12" ht="16.2" x14ac:dyDescent="0.4">
      <c r="A387" s="15" t="str">
        <f t="shared" si="5"/>
        <v>modesg_out_empr_info_nfinzcliente</v>
      </c>
      <c r="B387" s="51" t="s">
        <v>11</v>
      </c>
      <c r="C387" s="48" t="s">
        <v>275</v>
      </c>
      <c r="D387" s="44" t="s">
        <v>18</v>
      </c>
      <c r="E387" s="45" t="s">
        <v>285</v>
      </c>
      <c r="F387" s="44" t="s">
        <v>178</v>
      </c>
      <c r="G387" s="46" t="s">
        <v>437</v>
      </c>
      <c r="H387" s="46" t="s">
        <v>437</v>
      </c>
      <c r="I387" s="64"/>
      <c r="J387" s="63" t="s">
        <v>530</v>
      </c>
      <c r="K387" s="63" t="s">
        <v>530</v>
      </c>
      <c r="L387" s="63" t="s">
        <v>530</v>
      </c>
    </row>
    <row r="388" spans="1:12" ht="16.2" x14ac:dyDescent="0.4">
      <c r="A388" s="15" t="str">
        <f t="shared" si="5"/>
        <v>modesg_out_emss_vclsn.a.</v>
      </c>
      <c r="B388" s="51" t="s">
        <v>11</v>
      </c>
      <c r="C388" s="48" t="s">
        <v>275</v>
      </c>
      <c r="D388" s="44" t="s">
        <v>15</v>
      </c>
      <c r="E388" s="45" t="s">
        <v>290</v>
      </c>
      <c r="F388" s="44" t="s">
        <v>17</v>
      </c>
      <c r="G388" s="46" t="s">
        <v>439</v>
      </c>
      <c r="H388" s="46" t="s">
        <v>438</v>
      </c>
      <c r="I388" s="53" t="s">
        <v>466</v>
      </c>
      <c r="J388" s="63">
        <v>45506</v>
      </c>
      <c r="K388" s="63" t="s">
        <v>530</v>
      </c>
      <c r="L388" s="63" t="s">
        <v>530</v>
      </c>
    </row>
    <row r="389" spans="1:12" ht="16.2" x14ac:dyDescent="0.4">
      <c r="A389" s="15" t="str">
        <f t="shared" si="5"/>
        <v>modesg_out_emss_vclscempbem</v>
      </c>
      <c r="B389" s="51" t="s">
        <v>11</v>
      </c>
      <c r="C389" s="48" t="s">
        <v>275</v>
      </c>
      <c r="D389" s="44" t="s">
        <v>18</v>
      </c>
      <c r="E389" s="45" t="s">
        <v>290</v>
      </c>
      <c r="F389" s="44" t="s">
        <v>19</v>
      </c>
      <c r="G389" s="46" t="s">
        <v>437</v>
      </c>
      <c r="H389" s="46" t="s">
        <v>437</v>
      </c>
      <c r="I389" s="64" t="s">
        <v>466</v>
      </c>
      <c r="J389" s="63" t="s">
        <v>530</v>
      </c>
      <c r="K389" s="63" t="s">
        <v>530</v>
      </c>
      <c r="L389" s="63" t="s">
        <v>530</v>
      </c>
    </row>
    <row r="390" spans="1:12" ht="16.2" x14ac:dyDescent="0.4">
      <c r="A390" s="15" t="str">
        <f t="shared" si="5"/>
        <v>modesg_out_emss_vclsckbalbem</v>
      </c>
      <c r="B390" s="51" t="s">
        <v>11</v>
      </c>
      <c r="C390" s="48" t="s">
        <v>275</v>
      </c>
      <c r="D390" s="44" t="s">
        <v>18</v>
      </c>
      <c r="E390" s="45" t="s">
        <v>290</v>
      </c>
      <c r="F390" s="44" t="s">
        <v>21</v>
      </c>
      <c r="G390" s="46" t="s">
        <v>437</v>
      </c>
      <c r="H390" s="46" t="s">
        <v>437</v>
      </c>
      <c r="I390" s="64" t="s">
        <v>466</v>
      </c>
      <c r="J390" s="63" t="s">
        <v>530</v>
      </c>
      <c r="K390" s="63" t="s">
        <v>530</v>
      </c>
      <c r="L390" s="63" t="s">
        <v>530</v>
      </c>
    </row>
    <row r="391" spans="1:12" ht="16.2" x14ac:dyDescent="0.4">
      <c r="A391" s="15" t="str">
        <f t="shared" si="5"/>
        <v>modesg_out_emss_vclsckctabem</v>
      </c>
      <c r="B391" s="51" t="s">
        <v>11</v>
      </c>
      <c r="C391" s="48" t="s">
        <v>275</v>
      </c>
      <c r="D391" s="44" t="s">
        <v>18</v>
      </c>
      <c r="E391" s="45" t="s">
        <v>290</v>
      </c>
      <c r="F391" s="44" t="s">
        <v>22</v>
      </c>
      <c r="G391" s="46" t="s">
        <v>437</v>
      </c>
      <c r="H391" s="46" t="s">
        <v>437</v>
      </c>
      <c r="I391" s="64" t="s">
        <v>466</v>
      </c>
      <c r="J391" s="63" t="s">
        <v>530</v>
      </c>
      <c r="K391" s="63" t="s">
        <v>530</v>
      </c>
      <c r="L391" s="63" t="s">
        <v>530</v>
      </c>
    </row>
    <row r="392" spans="1:12" ht="16.2" x14ac:dyDescent="0.4">
      <c r="A392" s="15" t="str">
        <f t="shared" ref="A392:A455" si="6">E392&amp;F392</f>
        <v>modesg_out_emss_vclsckrefbem</v>
      </c>
      <c r="B392" s="51" t="s">
        <v>11</v>
      </c>
      <c r="C392" s="48" t="s">
        <v>275</v>
      </c>
      <c r="D392" s="44" t="s">
        <v>18</v>
      </c>
      <c r="E392" s="45" t="s">
        <v>290</v>
      </c>
      <c r="F392" s="44" t="s">
        <v>23</v>
      </c>
      <c r="G392" s="46" t="s">
        <v>437</v>
      </c>
      <c r="H392" s="46" t="s">
        <v>437</v>
      </c>
      <c r="I392" s="64" t="s">
        <v>466</v>
      </c>
      <c r="J392" s="63" t="s">
        <v>530</v>
      </c>
      <c r="K392" s="63" t="s">
        <v>530</v>
      </c>
      <c r="L392" s="63" t="s">
        <v>530</v>
      </c>
    </row>
    <row r="393" spans="1:12" ht="16.2" x14ac:dyDescent="0.4">
      <c r="A393" s="15" t="str">
        <f t="shared" si="6"/>
        <v>modesg_out_emss_vclscnsm_co2</v>
      </c>
      <c r="B393" s="51" t="s">
        <v>11</v>
      </c>
      <c r="C393" s="48" t="s">
        <v>275</v>
      </c>
      <c r="D393" s="44" t="s">
        <v>18</v>
      </c>
      <c r="E393" s="45" t="s">
        <v>290</v>
      </c>
      <c r="F393" s="44" t="s">
        <v>159</v>
      </c>
      <c r="G393" s="46" t="s">
        <v>438</v>
      </c>
      <c r="H393" s="46" t="s">
        <v>438</v>
      </c>
      <c r="I393" s="53" t="s">
        <v>466</v>
      </c>
      <c r="J393" s="63" t="s">
        <v>530</v>
      </c>
      <c r="K393" s="63" t="s">
        <v>530</v>
      </c>
      <c r="L393" s="63" t="s">
        <v>530</v>
      </c>
    </row>
    <row r="394" spans="1:12" ht="16.2" x14ac:dyDescent="0.4">
      <c r="A394" s="15" t="str">
        <f t="shared" si="6"/>
        <v>modesg_out_emss_vclsorigem_scp1_emss</v>
      </c>
      <c r="B394" s="51" t="s">
        <v>11</v>
      </c>
      <c r="C394" s="48" t="s">
        <v>275</v>
      </c>
      <c r="D394" s="44" t="s">
        <v>18</v>
      </c>
      <c r="E394" s="45" t="s">
        <v>290</v>
      </c>
      <c r="F394" s="44" t="s">
        <v>279</v>
      </c>
      <c r="G394" s="46" t="s">
        <v>438</v>
      </c>
      <c r="H394" s="46" t="s">
        <v>438</v>
      </c>
      <c r="I394" s="53" t="s">
        <v>466</v>
      </c>
      <c r="J394" s="63" t="s">
        <v>530</v>
      </c>
      <c r="K394" s="63" t="s">
        <v>530</v>
      </c>
      <c r="L394" s="63" t="s">
        <v>530</v>
      </c>
    </row>
    <row r="395" spans="1:12" ht="16.2" x14ac:dyDescent="0.4">
      <c r="A395" s="15" t="str">
        <f t="shared" si="6"/>
        <v>modesg_out_emss_vclsorigem_scp2_emss</v>
      </c>
      <c r="B395" s="51" t="s">
        <v>11</v>
      </c>
      <c r="C395" s="48" t="s">
        <v>275</v>
      </c>
      <c r="D395" s="44" t="s">
        <v>18</v>
      </c>
      <c r="E395" s="45" t="s">
        <v>290</v>
      </c>
      <c r="F395" s="44" t="s">
        <v>280</v>
      </c>
      <c r="G395" s="46" t="s">
        <v>438</v>
      </c>
      <c r="H395" s="46" t="s">
        <v>438</v>
      </c>
      <c r="I395" s="53" t="s">
        <v>466</v>
      </c>
      <c r="J395" s="63" t="s">
        <v>530</v>
      </c>
      <c r="K395" s="63" t="s">
        <v>530</v>
      </c>
      <c r="L395" s="63" t="s">
        <v>530</v>
      </c>
    </row>
    <row r="396" spans="1:12" ht="16.2" x14ac:dyDescent="0.4">
      <c r="A396" s="15" t="str">
        <f t="shared" si="6"/>
        <v>modesg_out_emss_vclsorigem_scp3_emss</v>
      </c>
      <c r="B396" s="51" t="s">
        <v>11</v>
      </c>
      <c r="C396" s="48" t="s">
        <v>275</v>
      </c>
      <c r="D396" s="44" t="s">
        <v>18</v>
      </c>
      <c r="E396" s="45" t="s">
        <v>290</v>
      </c>
      <c r="F396" s="44" t="s">
        <v>281</v>
      </c>
      <c r="G396" s="46" t="s">
        <v>438</v>
      </c>
      <c r="H396" s="46" t="s">
        <v>438</v>
      </c>
      <c r="I396" s="53" t="s">
        <v>466</v>
      </c>
      <c r="J396" s="63" t="s">
        <v>530</v>
      </c>
      <c r="K396" s="63" t="s">
        <v>530</v>
      </c>
      <c r="L396" s="63" t="s">
        <v>530</v>
      </c>
    </row>
    <row r="397" spans="1:12" ht="16.2" x14ac:dyDescent="0.4">
      <c r="A397" s="15" t="str">
        <f t="shared" si="6"/>
        <v>modesg_out_emss_vclsref_date</v>
      </c>
      <c r="B397" s="51" t="s">
        <v>11</v>
      </c>
      <c r="C397" s="48" t="s">
        <v>275</v>
      </c>
      <c r="D397" s="44" t="s">
        <v>18</v>
      </c>
      <c r="E397" s="45" t="s">
        <v>290</v>
      </c>
      <c r="F397" s="44" t="s">
        <v>50</v>
      </c>
      <c r="G397" s="46" t="s">
        <v>437</v>
      </c>
      <c r="H397" s="46" t="s">
        <v>437</v>
      </c>
      <c r="I397" s="64" t="s">
        <v>466</v>
      </c>
      <c r="J397" s="63" t="s">
        <v>530</v>
      </c>
      <c r="K397" s="63" t="s">
        <v>530</v>
      </c>
      <c r="L397" s="63" t="s">
        <v>530</v>
      </c>
    </row>
    <row r="398" spans="1:12" ht="16.2" x14ac:dyDescent="0.4">
      <c r="A398" s="15" t="str">
        <f t="shared" si="6"/>
        <v>modesg_out_emss_vclsscp1_emss</v>
      </c>
      <c r="B398" s="51" t="s">
        <v>11</v>
      </c>
      <c r="C398" s="48" t="s">
        <v>275</v>
      </c>
      <c r="D398" s="44" t="s">
        <v>18</v>
      </c>
      <c r="E398" s="45" t="s">
        <v>290</v>
      </c>
      <c r="F398" s="44" t="s">
        <v>251</v>
      </c>
      <c r="G398" s="46" t="s">
        <v>438</v>
      </c>
      <c r="H398" s="46" t="s">
        <v>438</v>
      </c>
      <c r="I398" s="53" t="s">
        <v>466</v>
      </c>
      <c r="J398" s="63" t="s">
        <v>530</v>
      </c>
      <c r="K398" s="63" t="s">
        <v>530</v>
      </c>
      <c r="L398" s="63" t="s">
        <v>530</v>
      </c>
    </row>
    <row r="399" spans="1:12" ht="16.2" x14ac:dyDescent="0.4">
      <c r="A399" s="15" t="str">
        <f t="shared" si="6"/>
        <v>modesg_out_emss_vclsscp2_emss</v>
      </c>
      <c r="B399" s="51" t="s">
        <v>11</v>
      </c>
      <c r="C399" s="48" t="s">
        <v>275</v>
      </c>
      <c r="D399" s="44" t="s">
        <v>18</v>
      </c>
      <c r="E399" s="45" t="s">
        <v>290</v>
      </c>
      <c r="F399" s="44" t="s">
        <v>252</v>
      </c>
      <c r="G399" s="46" t="s">
        <v>438</v>
      </c>
      <c r="H399" s="46" t="s">
        <v>438</v>
      </c>
      <c r="I399" s="53" t="s">
        <v>466</v>
      </c>
      <c r="J399" s="63" t="s">
        <v>530</v>
      </c>
      <c r="K399" s="63" t="s">
        <v>530</v>
      </c>
      <c r="L399" s="63" t="s">
        <v>530</v>
      </c>
    </row>
    <row r="400" spans="1:12" ht="16.2" x14ac:dyDescent="0.4">
      <c r="A400" s="15" t="str">
        <f t="shared" si="6"/>
        <v>modesg_out_emss_vclsscp3_emss</v>
      </c>
      <c r="B400" s="51" t="s">
        <v>11</v>
      </c>
      <c r="C400" s="48" t="s">
        <v>275</v>
      </c>
      <c r="D400" s="44" t="s">
        <v>18</v>
      </c>
      <c r="E400" s="45" t="s">
        <v>290</v>
      </c>
      <c r="F400" s="44" t="s">
        <v>253</v>
      </c>
      <c r="G400" s="46" t="s">
        <v>438</v>
      </c>
      <c r="H400" s="46" t="s">
        <v>438</v>
      </c>
      <c r="I400" s="53" t="s">
        <v>466</v>
      </c>
      <c r="J400" s="63" t="s">
        <v>530</v>
      </c>
      <c r="K400" s="63" t="s">
        <v>530</v>
      </c>
      <c r="L400" s="63" t="s">
        <v>530</v>
      </c>
    </row>
    <row r="401" spans="1:12" ht="16.2" x14ac:dyDescent="0.4">
      <c r="A401" s="15" t="str">
        <f t="shared" si="6"/>
        <v>modesg_out_emss_vclsunidade_funcional_scp1_emss</v>
      </c>
      <c r="B401" s="51" t="s">
        <v>11</v>
      </c>
      <c r="C401" s="48" t="s">
        <v>275</v>
      </c>
      <c r="D401" s="44" t="s">
        <v>18</v>
      </c>
      <c r="E401" s="45" t="s">
        <v>290</v>
      </c>
      <c r="F401" s="44" t="s">
        <v>282</v>
      </c>
      <c r="G401" s="46" t="s">
        <v>437</v>
      </c>
      <c r="H401" s="46" t="s">
        <v>437</v>
      </c>
      <c r="I401" s="64" t="s">
        <v>466</v>
      </c>
      <c r="J401" s="63" t="s">
        <v>530</v>
      </c>
      <c r="K401" s="63" t="s">
        <v>530</v>
      </c>
      <c r="L401" s="63" t="s">
        <v>530</v>
      </c>
    </row>
    <row r="402" spans="1:12" ht="16.2" x14ac:dyDescent="0.4">
      <c r="A402" s="15" t="str">
        <f t="shared" si="6"/>
        <v>modesg_out_emss_vclsunidade_funcional_scp2_emss</v>
      </c>
      <c r="B402" s="51" t="s">
        <v>11</v>
      </c>
      <c r="C402" s="48" t="s">
        <v>275</v>
      </c>
      <c r="D402" s="44" t="s">
        <v>18</v>
      </c>
      <c r="E402" s="45" t="s">
        <v>290</v>
      </c>
      <c r="F402" s="44" t="s">
        <v>283</v>
      </c>
      <c r="G402" s="46" t="s">
        <v>437</v>
      </c>
      <c r="H402" s="46" t="s">
        <v>437</v>
      </c>
      <c r="I402" s="64" t="s">
        <v>466</v>
      </c>
      <c r="J402" s="63" t="s">
        <v>530</v>
      </c>
      <c r="K402" s="63" t="s">
        <v>530</v>
      </c>
      <c r="L402" s="63" t="s">
        <v>530</v>
      </c>
    </row>
    <row r="403" spans="1:12" ht="16.2" x14ac:dyDescent="0.4">
      <c r="A403" s="15" t="str">
        <f t="shared" si="6"/>
        <v>modesg_out_emss_vclsunidade_funcional_scp3_emss</v>
      </c>
      <c r="B403" s="51" t="s">
        <v>11</v>
      </c>
      <c r="C403" s="48" t="s">
        <v>275</v>
      </c>
      <c r="D403" s="44" t="s">
        <v>18</v>
      </c>
      <c r="E403" s="45" t="s">
        <v>290</v>
      </c>
      <c r="F403" s="44" t="s">
        <v>284</v>
      </c>
      <c r="G403" s="46" t="s">
        <v>437</v>
      </c>
      <c r="H403" s="46" t="s">
        <v>437</v>
      </c>
      <c r="I403" s="64" t="s">
        <v>466</v>
      </c>
      <c r="J403" s="63" t="s">
        <v>530</v>
      </c>
      <c r="K403" s="63" t="s">
        <v>530</v>
      </c>
      <c r="L403" s="63" t="s">
        <v>530</v>
      </c>
    </row>
    <row r="404" spans="1:12" ht="16.2" x14ac:dyDescent="0.4">
      <c r="A404" s="15" t="str">
        <f t="shared" si="6"/>
        <v>modesg_out_sfcs_taxon_europeian.a.</v>
      </c>
      <c r="B404" s="51" t="s">
        <v>11</v>
      </c>
      <c r="C404" s="48" t="s">
        <v>275</v>
      </c>
      <c r="D404" s="44" t="s">
        <v>15</v>
      </c>
      <c r="E404" s="45" t="s">
        <v>291</v>
      </c>
      <c r="F404" s="44" t="s">
        <v>17</v>
      </c>
      <c r="G404" s="46" t="s">
        <v>439</v>
      </c>
      <c r="H404" s="46" t="s">
        <v>439</v>
      </c>
      <c r="I404" s="53" t="s">
        <v>467</v>
      </c>
      <c r="J404" s="63" t="s">
        <v>530</v>
      </c>
      <c r="K404" s="63" t="s">
        <v>530</v>
      </c>
      <c r="L404" s="63" t="s">
        <v>530</v>
      </c>
    </row>
    <row r="405" spans="1:12" ht="16.2" x14ac:dyDescent="0.4">
      <c r="A405" s="15" t="str">
        <f t="shared" si="6"/>
        <v>modesg_out_sfcs_taxon_europeiacbalcao</v>
      </c>
      <c r="B405" s="51" t="s">
        <v>11</v>
      </c>
      <c r="C405" s="48" t="s">
        <v>275</v>
      </c>
      <c r="D405" s="44" t="s">
        <v>18</v>
      </c>
      <c r="E405" s="45" t="s">
        <v>291</v>
      </c>
      <c r="F405" s="44" t="s">
        <v>155</v>
      </c>
      <c r="G405" s="46" t="s">
        <v>439</v>
      </c>
      <c r="H405" s="46" t="s">
        <v>439</v>
      </c>
      <c r="I405" s="53" t="s">
        <v>467</v>
      </c>
      <c r="J405" s="63" t="s">
        <v>530</v>
      </c>
      <c r="K405" s="63" t="s">
        <v>530</v>
      </c>
      <c r="L405" s="63" t="s">
        <v>530</v>
      </c>
    </row>
    <row r="406" spans="1:12" ht="16.2" x14ac:dyDescent="0.4">
      <c r="A406" s="15" t="str">
        <f t="shared" si="6"/>
        <v>modesg_out_sfcs_taxon_europeiacempresa</v>
      </c>
      <c r="B406" s="51" t="s">
        <v>11</v>
      </c>
      <c r="C406" s="48" t="s">
        <v>275</v>
      </c>
      <c r="D406" s="44" t="s">
        <v>18</v>
      </c>
      <c r="E406" s="45" t="s">
        <v>291</v>
      </c>
      <c r="F406" s="44" t="s">
        <v>34</v>
      </c>
      <c r="G406" s="46" t="s">
        <v>439</v>
      </c>
      <c r="H406" s="46" t="s">
        <v>439</v>
      </c>
      <c r="I406" s="53" t="s">
        <v>467</v>
      </c>
      <c r="J406" s="63" t="s">
        <v>530</v>
      </c>
      <c r="K406" s="63" t="s">
        <v>530</v>
      </c>
      <c r="L406" s="63" t="s">
        <v>530</v>
      </c>
    </row>
    <row r="407" spans="1:12" ht="16.2" x14ac:dyDescent="0.4">
      <c r="A407" s="15" t="str">
        <f t="shared" si="6"/>
        <v>modesg_out_sfcs_taxon_europeiacnumecta</v>
      </c>
      <c r="B407" s="51" t="s">
        <v>11</v>
      </c>
      <c r="C407" s="48" t="s">
        <v>275</v>
      </c>
      <c r="D407" s="44" t="s">
        <v>18</v>
      </c>
      <c r="E407" s="45" t="s">
        <v>291</v>
      </c>
      <c r="F407" s="44" t="s">
        <v>160</v>
      </c>
      <c r="G407" s="46" t="s">
        <v>439</v>
      </c>
      <c r="H407" s="46" t="s">
        <v>439</v>
      </c>
      <c r="I407" s="53" t="s">
        <v>467</v>
      </c>
      <c r="J407" s="63" t="s">
        <v>530</v>
      </c>
      <c r="K407" s="63" t="s">
        <v>530</v>
      </c>
      <c r="L407" s="63" t="s">
        <v>530</v>
      </c>
    </row>
    <row r="408" spans="1:12" ht="16.2" x14ac:dyDescent="0.4">
      <c r="A408" s="15" t="str">
        <f t="shared" si="6"/>
        <v>modesg_out_sfcs_taxon_europeiacod_regra</v>
      </c>
      <c r="B408" s="51" t="s">
        <v>11</v>
      </c>
      <c r="C408" s="48" t="s">
        <v>275</v>
      </c>
      <c r="D408" s="44" t="s">
        <v>18</v>
      </c>
      <c r="E408" s="45" t="s">
        <v>291</v>
      </c>
      <c r="F408" s="44" t="s">
        <v>162</v>
      </c>
      <c r="G408" s="46" t="s">
        <v>439</v>
      </c>
      <c r="H408" s="46" t="s">
        <v>439</v>
      </c>
      <c r="I408" s="53" t="s">
        <v>467</v>
      </c>
      <c r="J408" s="63" t="s">
        <v>530</v>
      </c>
      <c r="K408" s="63" t="s">
        <v>530</v>
      </c>
      <c r="L408" s="63" t="s">
        <v>530</v>
      </c>
    </row>
    <row r="409" spans="1:12" ht="16.2" x14ac:dyDescent="0.4">
      <c r="A409" s="15" t="str">
        <f t="shared" si="6"/>
        <v>modesg_out_sfcs_taxon_europeiaordem</v>
      </c>
      <c r="B409" s="51" t="s">
        <v>11</v>
      </c>
      <c r="C409" s="48" t="s">
        <v>275</v>
      </c>
      <c r="D409" s="44" t="s">
        <v>18</v>
      </c>
      <c r="E409" s="45" t="s">
        <v>291</v>
      </c>
      <c r="F409" s="44" t="s">
        <v>292</v>
      </c>
      <c r="G409" s="46" t="s">
        <v>12</v>
      </c>
      <c r="H409" s="46" t="s">
        <v>12</v>
      </c>
      <c r="I409" s="54" t="s">
        <v>462</v>
      </c>
      <c r="J409" s="63" t="s">
        <v>530</v>
      </c>
      <c r="K409" s="63" t="s">
        <v>530</v>
      </c>
      <c r="L409" s="63" t="s">
        <v>530</v>
      </c>
    </row>
    <row r="410" spans="1:12" ht="16.2" x14ac:dyDescent="0.4">
      <c r="A410" s="15" t="str">
        <f t="shared" si="6"/>
        <v>modesg_out_sfcs_taxon_europeiamontante_pndrc</v>
      </c>
      <c r="B410" s="51" t="s">
        <v>11</v>
      </c>
      <c r="C410" s="48" t="s">
        <v>275</v>
      </c>
      <c r="D410" s="44" t="s">
        <v>18</v>
      </c>
      <c r="E410" s="45" t="s">
        <v>291</v>
      </c>
      <c r="F410" s="44" t="s">
        <v>172</v>
      </c>
      <c r="G410" s="46" t="s">
        <v>439</v>
      </c>
      <c r="H410" s="46" t="s">
        <v>439</v>
      </c>
      <c r="I410" s="53" t="s">
        <v>467</v>
      </c>
      <c r="J410" s="63" t="s">
        <v>530</v>
      </c>
      <c r="K410" s="63" t="s">
        <v>530</v>
      </c>
      <c r="L410" s="63" t="s">
        <v>530</v>
      </c>
    </row>
    <row r="411" spans="1:12" ht="16.2" x14ac:dyDescent="0.4">
      <c r="A411" s="15" t="str">
        <f t="shared" si="6"/>
        <v>modesg_out_sfcs_taxon_europeianome_ctgr_sfcs</v>
      </c>
      <c r="B411" s="51" t="s">
        <v>11</v>
      </c>
      <c r="C411" s="48" t="s">
        <v>275</v>
      </c>
      <c r="D411" s="44" t="s">
        <v>18</v>
      </c>
      <c r="E411" s="45" t="s">
        <v>291</v>
      </c>
      <c r="F411" s="44" t="s">
        <v>173</v>
      </c>
      <c r="G411" s="46" t="s">
        <v>439</v>
      </c>
      <c r="H411" s="46" t="s">
        <v>439</v>
      </c>
      <c r="I411" s="53" t="s">
        <v>467</v>
      </c>
      <c r="J411" s="63" t="s">
        <v>530</v>
      </c>
      <c r="K411" s="63" t="s">
        <v>530</v>
      </c>
      <c r="L411" s="63" t="s">
        <v>530</v>
      </c>
    </row>
    <row r="412" spans="1:12" ht="16.2" x14ac:dyDescent="0.4">
      <c r="A412" s="15" t="str">
        <f t="shared" si="6"/>
        <v>modesg_out_sfcs_taxon_europeianome_general_specific_purpose</v>
      </c>
      <c r="B412" s="51" t="s">
        <v>11</v>
      </c>
      <c r="C412" s="48" t="s">
        <v>275</v>
      </c>
      <c r="D412" s="44" t="s">
        <v>18</v>
      </c>
      <c r="E412" s="45" t="s">
        <v>291</v>
      </c>
      <c r="F412" s="44" t="s">
        <v>174</v>
      </c>
      <c r="G412" s="46" t="s">
        <v>439</v>
      </c>
      <c r="H412" s="46" t="s">
        <v>439</v>
      </c>
      <c r="I412" s="53" t="s">
        <v>467</v>
      </c>
      <c r="J412" s="63" t="s">
        <v>530</v>
      </c>
      <c r="K412" s="63" t="s">
        <v>530</v>
      </c>
      <c r="L412" s="63" t="s">
        <v>530</v>
      </c>
    </row>
    <row r="413" spans="1:12" ht="16.2" x14ac:dyDescent="0.4">
      <c r="A413" s="15" t="str">
        <f t="shared" si="6"/>
        <v>modesg_out_sfcs_taxon_europeianome_purpose_esg</v>
      </c>
      <c r="B413" s="51" t="s">
        <v>11</v>
      </c>
      <c r="C413" s="48" t="s">
        <v>275</v>
      </c>
      <c r="D413" s="44" t="s">
        <v>18</v>
      </c>
      <c r="E413" s="45" t="s">
        <v>291</v>
      </c>
      <c r="F413" s="44" t="s">
        <v>175</v>
      </c>
      <c r="G413" s="46" t="s">
        <v>439</v>
      </c>
      <c r="H413" s="46" t="s">
        <v>439</v>
      </c>
      <c r="I413" s="53" t="s">
        <v>467</v>
      </c>
      <c r="J413" s="63" t="s">
        <v>530</v>
      </c>
      <c r="K413" s="63" t="s">
        <v>530</v>
      </c>
      <c r="L413" s="63" t="s">
        <v>530</v>
      </c>
    </row>
    <row r="414" spans="1:12" ht="16.2" x14ac:dyDescent="0.4">
      <c r="A414" s="15" t="str">
        <f t="shared" si="6"/>
        <v>modesg_out_sfcs_taxon_europeianome_specific_eligible</v>
      </c>
      <c r="B414" s="51" t="s">
        <v>11</v>
      </c>
      <c r="C414" s="48" t="s">
        <v>275</v>
      </c>
      <c r="D414" s="44" t="s">
        <v>18</v>
      </c>
      <c r="E414" s="45" t="s">
        <v>291</v>
      </c>
      <c r="F414" s="44" t="s">
        <v>176</v>
      </c>
      <c r="G414" s="46" t="s">
        <v>439</v>
      </c>
      <c r="H414" s="46" t="s">
        <v>439</v>
      </c>
      <c r="I414" s="53" t="s">
        <v>467</v>
      </c>
      <c r="J414" s="63" t="s">
        <v>530</v>
      </c>
      <c r="K414" s="63" t="s">
        <v>530</v>
      </c>
      <c r="L414" s="63" t="s">
        <v>530</v>
      </c>
    </row>
    <row r="415" spans="1:12" ht="16.2" x14ac:dyDescent="0.4">
      <c r="A415" s="15" t="str">
        <f t="shared" si="6"/>
        <v>modesg_out_sfcs_taxon_europeianome_specific_sustainable</v>
      </c>
      <c r="B415" s="51" t="s">
        <v>11</v>
      </c>
      <c r="C415" s="48" t="s">
        <v>275</v>
      </c>
      <c r="D415" s="44" t="s">
        <v>18</v>
      </c>
      <c r="E415" s="45" t="s">
        <v>291</v>
      </c>
      <c r="F415" s="44" t="s">
        <v>177</v>
      </c>
      <c r="G415" s="46" t="s">
        <v>439</v>
      </c>
      <c r="H415" s="46" t="s">
        <v>439</v>
      </c>
      <c r="I415" s="53" t="s">
        <v>467</v>
      </c>
      <c r="J415" s="63" t="s">
        <v>530</v>
      </c>
      <c r="K415" s="63" t="s">
        <v>530</v>
      </c>
      <c r="L415" s="63" t="s">
        <v>530</v>
      </c>
    </row>
    <row r="416" spans="1:12" ht="16.2" x14ac:dyDescent="0.4">
      <c r="A416" s="15" t="str">
        <f t="shared" si="6"/>
        <v>modesg_out_sfcs_taxon_europeiaorigem</v>
      </c>
      <c r="B416" s="51" t="s">
        <v>11</v>
      </c>
      <c r="C416" s="48" t="s">
        <v>275</v>
      </c>
      <c r="D416" s="44" t="s">
        <v>18</v>
      </c>
      <c r="E416" s="45" t="s">
        <v>291</v>
      </c>
      <c r="F416" s="44" t="s">
        <v>49</v>
      </c>
      <c r="G416" s="46" t="s">
        <v>437</v>
      </c>
      <c r="H416" s="46" t="s">
        <v>437</v>
      </c>
      <c r="I416" s="64"/>
      <c r="J416" s="63" t="s">
        <v>530</v>
      </c>
      <c r="K416" s="63" t="s">
        <v>530</v>
      </c>
      <c r="L416" s="63" t="s">
        <v>530</v>
      </c>
    </row>
    <row r="417" spans="1:12" ht="16.2" x14ac:dyDescent="0.4">
      <c r="A417" s="15" t="str">
        <f t="shared" si="6"/>
        <v>modesg_out_sfcs_taxon_europeiaref_date</v>
      </c>
      <c r="B417" s="51" t="s">
        <v>11</v>
      </c>
      <c r="C417" s="48" t="s">
        <v>275</v>
      </c>
      <c r="D417" s="44" t="s">
        <v>18</v>
      </c>
      <c r="E417" s="45" t="s">
        <v>291</v>
      </c>
      <c r="F417" s="44" t="s">
        <v>50</v>
      </c>
      <c r="G417" s="46" t="s">
        <v>439</v>
      </c>
      <c r="H417" s="46" t="s">
        <v>439</v>
      </c>
      <c r="I417" s="53" t="s">
        <v>467</v>
      </c>
      <c r="J417" s="63" t="s">
        <v>530</v>
      </c>
      <c r="K417" s="63" t="s">
        <v>530</v>
      </c>
      <c r="L417" s="63" t="s">
        <v>530</v>
      </c>
    </row>
    <row r="418" spans="1:12" ht="16.2" x14ac:dyDescent="0.4">
      <c r="A418" s="15" t="str">
        <f t="shared" si="6"/>
        <v>modesg_out_sfcs_taxon_europeiazdeposit</v>
      </c>
      <c r="B418" s="51" t="s">
        <v>11</v>
      </c>
      <c r="C418" s="48" t="s">
        <v>275</v>
      </c>
      <c r="D418" s="44" t="s">
        <v>18</v>
      </c>
      <c r="E418" s="45" t="s">
        <v>291</v>
      </c>
      <c r="F418" s="44" t="s">
        <v>179</v>
      </c>
      <c r="G418" s="46" t="s">
        <v>439</v>
      </c>
      <c r="H418" s="46" t="s">
        <v>439</v>
      </c>
      <c r="I418" s="53" t="s">
        <v>467</v>
      </c>
      <c r="J418" s="63" t="s">
        <v>530</v>
      </c>
      <c r="K418" s="63" t="s">
        <v>530</v>
      </c>
      <c r="L418" s="63" t="s">
        <v>530</v>
      </c>
    </row>
    <row r="419" spans="1:12" ht="16.2" x14ac:dyDescent="0.4">
      <c r="A419" s="15" t="str">
        <f t="shared" si="6"/>
        <v>lt003_entitynace_esg</v>
      </c>
      <c r="B419" s="51" t="s">
        <v>11</v>
      </c>
      <c r="C419" s="48" t="s">
        <v>11</v>
      </c>
      <c r="D419" s="44" t="s">
        <v>18</v>
      </c>
      <c r="E419" s="47" t="s">
        <v>293</v>
      </c>
      <c r="F419" s="47" t="s">
        <v>294</v>
      </c>
      <c r="G419" s="46" t="s">
        <v>12</v>
      </c>
      <c r="H419" s="46" t="s">
        <v>12</v>
      </c>
      <c r="I419" s="53"/>
      <c r="J419" s="63" t="s">
        <v>530</v>
      </c>
      <c r="K419" s="63" t="s">
        <v>530</v>
      </c>
      <c r="L419" s="63" t="s">
        <v>530</v>
      </c>
    </row>
    <row r="420" spans="1:12" ht="16.2" x14ac:dyDescent="0.4">
      <c r="A420" s="15" t="str">
        <f t="shared" si="6"/>
        <v>lt003_entitytxnmy_elgbl_capex_ccm</v>
      </c>
      <c r="B420" s="51" t="s">
        <v>11</v>
      </c>
      <c r="C420" s="48" t="s">
        <v>11</v>
      </c>
      <c r="D420" s="44" t="s">
        <v>18</v>
      </c>
      <c r="E420" s="47" t="s">
        <v>293</v>
      </c>
      <c r="F420" s="47" t="s">
        <v>295</v>
      </c>
      <c r="G420" s="46" t="s">
        <v>12</v>
      </c>
      <c r="H420" s="46" t="s">
        <v>12</v>
      </c>
      <c r="I420" s="53"/>
      <c r="J420" s="63" t="s">
        <v>530</v>
      </c>
      <c r="K420" s="63" t="s">
        <v>530</v>
      </c>
      <c r="L420" s="63" t="s">
        <v>530</v>
      </c>
    </row>
    <row r="421" spans="1:12" ht="16.2" x14ac:dyDescent="0.4">
      <c r="A421" s="15" t="str">
        <f t="shared" si="6"/>
        <v>lt003_entitytxnmy_elgbl_trnvr_ccm</v>
      </c>
      <c r="B421" s="51" t="s">
        <v>11</v>
      </c>
      <c r="C421" s="48" t="s">
        <v>11</v>
      </c>
      <c r="D421" s="44" t="s">
        <v>18</v>
      </c>
      <c r="E421" s="47" t="s">
        <v>293</v>
      </c>
      <c r="F421" s="47" t="s">
        <v>296</v>
      </c>
      <c r="G421" s="46" t="s">
        <v>12</v>
      </c>
      <c r="H421" s="46" t="s">
        <v>12</v>
      </c>
      <c r="I421" s="53"/>
      <c r="J421" s="63" t="s">
        <v>530</v>
      </c>
      <c r="K421" s="63" t="s">
        <v>530</v>
      </c>
      <c r="L421" s="63" t="s">
        <v>530</v>
      </c>
    </row>
    <row r="422" spans="1:12" ht="16.2" x14ac:dyDescent="0.4">
      <c r="A422" s="15" t="str">
        <f t="shared" si="6"/>
        <v>lt003_entitytxnmy_elgbl_capex_cca</v>
      </c>
      <c r="B422" s="51" t="s">
        <v>11</v>
      </c>
      <c r="C422" s="48" t="s">
        <v>11</v>
      </c>
      <c r="D422" s="44" t="s">
        <v>18</v>
      </c>
      <c r="E422" s="47" t="s">
        <v>293</v>
      </c>
      <c r="F422" s="47" t="s">
        <v>297</v>
      </c>
      <c r="G422" s="46" t="s">
        <v>12</v>
      </c>
      <c r="H422" s="46" t="s">
        <v>12</v>
      </c>
      <c r="I422" s="53"/>
      <c r="J422" s="63" t="s">
        <v>530</v>
      </c>
      <c r="K422" s="63" t="s">
        <v>530</v>
      </c>
      <c r="L422" s="63" t="s">
        <v>530</v>
      </c>
    </row>
    <row r="423" spans="1:12" ht="16.2" x14ac:dyDescent="0.4">
      <c r="A423" s="15" t="str">
        <f t="shared" si="6"/>
        <v>lt003_entitytxnmy_elgbl_trnvr_cca</v>
      </c>
      <c r="B423" s="51" t="s">
        <v>11</v>
      </c>
      <c r="C423" s="48" t="s">
        <v>11</v>
      </c>
      <c r="D423" s="44" t="s">
        <v>18</v>
      </c>
      <c r="E423" s="47" t="s">
        <v>293</v>
      </c>
      <c r="F423" s="47" t="s">
        <v>298</v>
      </c>
      <c r="G423" s="46" t="s">
        <v>12</v>
      </c>
      <c r="H423" s="46" t="s">
        <v>12</v>
      </c>
      <c r="I423" s="53"/>
      <c r="J423" s="63" t="s">
        <v>530</v>
      </c>
      <c r="K423" s="63" t="s">
        <v>530</v>
      </c>
      <c r="L423" s="63" t="s">
        <v>530</v>
      </c>
    </row>
    <row r="424" spans="1:12" ht="16.2" x14ac:dyDescent="0.4">
      <c r="A424" s="15" t="str">
        <f t="shared" si="6"/>
        <v>lt003_entityenblng_capex_ccm</v>
      </c>
      <c r="B424" s="51" t="s">
        <v>11</v>
      </c>
      <c r="C424" s="48" t="s">
        <v>11</v>
      </c>
      <c r="D424" s="44" t="s">
        <v>18</v>
      </c>
      <c r="E424" s="47" t="s">
        <v>293</v>
      </c>
      <c r="F424" s="47" t="s">
        <v>299</v>
      </c>
      <c r="G424" s="46" t="s">
        <v>12</v>
      </c>
      <c r="H424" s="46" t="s">
        <v>12</v>
      </c>
      <c r="I424" s="53"/>
      <c r="J424" s="63" t="s">
        <v>530</v>
      </c>
      <c r="K424" s="63" t="s">
        <v>530</v>
      </c>
      <c r="L424" s="63" t="s">
        <v>530</v>
      </c>
    </row>
    <row r="425" spans="1:12" ht="16.2" x14ac:dyDescent="0.4">
      <c r="A425" s="15" t="str">
        <f t="shared" si="6"/>
        <v>lt003_entityenblng_capex_cca</v>
      </c>
      <c r="B425" s="51" t="s">
        <v>11</v>
      </c>
      <c r="C425" s="48" t="s">
        <v>11</v>
      </c>
      <c r="D425" s="44" t="s">
        <v>18</v>
      </c>
      <c r="E425" s="47" t="s">
        <v>293</v>
      </c>
      <c r="F425" s="47" t="s">
        <v>300</v>
      </c>
      <c r="G425" s="46" t="s">
        <v>12</v>
      </c>
      <c r="H425" s="46" t="s">
        <v>12</v>
      </c>
      <c r="I425" s="53"/>
      <c r="J425" s="63" t="s">
        <v>530</v>
      </c>
      <c r="K425" s="63" t="s">
        <v>530</v>
      </c>
      <c r="L425" s="63" t="s">
        <v>530</v>
      </c>
    </row>
    <row r="426" spans="1:12" ht="16.2" x14ac:dyDescent="0.4">
      <c r="A426" s="15" t="str">
        <f t="shared" si="6"/>
        <v>lt003_entitytrnstnl_capex</v>
      </c>
      <c r="B426" s="51" t="s">
        <v>11</v>
      </c>
      <c r="C426" s="48" t="s">
        <v>11</v>
      </c>
      <c r="D426" s="44" t="s">
        <v>18</v>
      </c>
      <c r="E426" s="47" t="s">
        <v>293</v>
      </c>
      <c r="F426" s="47" t="s">
        <v>301</v>
      </c>
      <c r="G426" s="46" t="s">
        <v>12</v>
      </c>
      <c r="H426" s="46" t="s">
        <v>12</v>
      </c>
      <c r="I426" s="53"/>
      <c r="J426" s="63" t="s">
        <v>530</v>
      </c>
      <c r="K426" s="63" t="s">
        <v>530</v>
      </c>
      <c r="L426" s="63" t="s">
        <v>530</v>
      </c>
    </row>
    <row r="427" spans="1:12" ht="16.2" x14ac:dyDescent="0.4">
      <c r="A427" s="15" t="str">
        <f t="shared" si="6"/>
        <v>lt003_entitypure_capex_ccm</v>
      </c>
      <c r="B427" s="51" t="s">
        <v>11</v>
      </c>
      <c r="C427" s="48" t="s">
        <v>11</v>
      </c>
      <c r="D427" s="44" t="s">
        <v>18</v>
      </c>
      <c r="E427" s="47" t="s">
        <v>293</v>
      </c>
      <c r="F427" s="47" t="s">
        <v>302</v>
      </c>
      <c r="G427" s="46" t="s">
        <v>12</v>
      </c>
      <c r="H427" s="46" t="s">
        <v>12</v>
      </c>
      <c r="I427" s="53"/>
      <c r="J427" s="63" t="s">
        <v>530</v>
      </c>
      <c r="K427" s="63" t="s">
        <v>530</v>
      </c>
      <c r="L427" s="63" t="s">
        <v>530</v>
      </c>
    </row>
    <row r="428" spans="1:12" ht="16.2" x14ac:dyDescent="0.4">
      <c r="A428" s="15" t="str">
        <f t="shared" si="6"/>
        <v>lt003_entitypure_capex_cca</v>
      </c>
      <c r="B428" s="51" t="s">
        <v>11</v>
      </c>
      <c r="C428" s="48" t="s">
        <v>11</v>
      </c>
      <c r="D428" s="44" t="s">
        <v>18</v>
      </c>
      <c r="E428" s="47" t="s">
        <v>293</v>
      </c>
      <c r="F428" s="47" t="s">
        <v>303</v>
      </c>
      <c r="G428" s="46" t="s">
        <v>12</v>
      </c>
      <c r="H428" s="46" t="s">
        <v>12</v>
      </c>
      <c r="I428" s="53"/>
      <c r="J428" s="63" t="s">
        <v>530</v>
      </c>
      <c r="K428" s="63" t="s">
        <v>530</v>
      </c>
      <c r="L428" s="63" t="s">
        <v>530</v>
      </c>
    </row>
    <row r="429" spans="1:12" ht="16.2" x14ac:dyDescent="0.4">
      <c r="A429" s="15" t="str">
        <f t="shared" si="6"/>
        <v>lt003_entityenblng_trnvr_ccm</v>
      </c>
      <c r="B429" s="51" t="s">
        <v>11</v>
      </c>
      <c r="C429" s="48" t="s">
        <v>11</v>
      </c>
      <c r="D429" s="44" t="s">
        <v>18</v>
      </c>
      <c r="E429" s="47" t="s">
        <v>293</v>
      </c>
      <c r="F429" s="47" t="s">
        <v>304</v>
      </c>
      <c r="G429" s="46" t="s">
        <v>12</v>
      </c>
      <c r="H429" s="46" t="s">
        <v>12</v>
      </c>
      <c r="I429" s="53"/>
      <c r="J429" s="63" t="s">
        <v>530</v>
      </c>
      <c r="K429" s="63" t="s">
        <v>530</v>
      </c>
      <c r="L429" s="63" t="s">
        <v>530</v>
      </c>
    </row>
    <row r="430" spans="1:12" ht="16.2" x14ac:dyDescent="0.4">
      <c r="A430" s="15" t="str">
        <f t="shared" si="6"/>
        <v>lt003_entityenblng_trnvr_cca</v>
      </c>
      <c r="B430" s="51" t="s">
        <v>11</v>
      </c>
      <c r="C430" s="48" t="s">
        <v>11</v>
      </c>
      <c r="D430" s="44" t="s">
        <v>18</v>
      </c>
      <c r="E430" s="47" t="s">
        <v>293</v>
      </c>
      <c r="F430" s="47" t="s">
        <v>305</v>
      </c>
      <c r="G430" s="46" t="s">
        <v>12</v>
      </c>
      <c r="H430" s="46" t="s">
        <v>12</v>
      </c>
      <c r="I430" s="53"/>
      <c r="J430" s="63" t="s">
        <v>530</v>
      </c>
      <c r="K430" s="63" t="s">
        <v>530</v>
      </c>
      <c r="L430" s="63" t="s">
        <v>530</v>
      </c>
    </row>
    <row r="431" spans="1:12" ht="16.2" x14ac:dyDescent="0.4">
      <c r="A431" s="15" t="str">
        <f t="shared" si="6"/>
        <v>lt003_entitytrnstnl_trnvr</v>
      </c>
      <c r="B431" s="51" t="s">
        <v>11</v>
      </c>
      <c r="C431" s="48" t="s">
        <v>11</v>
      </c>
      <c r="D431" s="44" t="s">
        <v>18</v>
      </c>
      <c r="E431" s="47" t="s">
        <v>293</v>
      </c>
      <c r="F431" s="47" t="s">
        <v>306</v>
      </c>
      <c r="G431" s="46" t="s">
        <v>12</v>
      </c>
      <c r="H431" s="46" t="s">
        <v>12</v>
      </c>
      <c r="I431" s="53"/>
      <c r="J431" s="63" t="s">
        <v>530</v>
      </c>
      <c r="K431" s="63" t="s">
        <v>530</v>
      </c>
      <c r="L431" s="63" t="s">
        <v>530</v>
      </c>
    </row>
    <row r="432" spans="1:12" ht="16.2" x14ac:dyDescent="0.4">
      <c r="A432" s="15" t="str">
        <f t="shared" si="6"/>
        <v>lt003_entitypure_trnvr_ccm</v>
      </c>
      <c r="B432" s="51" t="s">
        <v>11</v>
      </c>
      <c r="C432" s="48" t="s">
        <v>11</v>
      </c>
      <c r="D432" s="44" t="s">
        <v>18</v>
      </c>
      <c r="E432" s="47" t="s">
        <v>293</v>
      </c>
      <c r="F432" s="47" t="s">
        <v>307</v>
      </c>
      <c r="G432" s="46" t="s">
        <v>12</v>
      </c>
      <c r="H432" s="46" t="s">
        <v>12</v>
      </c>
      <c r="I432" s="53"/>
      <c r="J432" s="63" t="s">
        <v>530</v>
      </c>
      <c r="K432" s="63" t="s">
        <v>530</v>
      </c>
      <c r="L432" s="63" t="s">
        <v>530</v>
      </c>
    </row>
    <row r="433" spans="1:12" ht="16.2" x14ac:dyDescent="0.4">
      <c r="A433" s="15" t="str">
        <f t="shared" si="6"/>
        <v>lt003_entitypure_trnvr_cca</v>
      </c>
      <c r="B433" s="51" t="s">
        <v>11</v>
      </c>
      <c r="C433" s="48" t="s">
        <v>11</v>
      </c>
      <c r="D433" s="44" t="s">
        <v>18</v>
      </c>
      <c r="E433" s="47" t="s">
        <v>293</v>
      </c>
      <c r="F433" s="47" t="s">
        <v>308</v>
      </c>
      <c r="G433" s="46" t="s">
        <v>12</v>
      </c>
      <c r="H433" s="46" t="s">
        <v>12</v>
      </c>
      <c r="I433" s="53"/>
      <c r="J433" s="63" t="s">
        <v>530</v>
      </c>
      <c r="K433" s="63" t="s">
        <v>530</v>
      </c>
      <c r="L433" s="63" t="s">
        <v>530</v>
      </c>
    </row>
    <row r="434" spans="1:12" ht="16.2" x14ac:dyDescent="0.4">
      <c r="A434" s="15" t="str">
        <f t="shared" si="6"/>
        <v>lt003_entityflg_nfrd_applcblty</v>
      </c>
      <c r="B434" s="51" t="s">
        <v>11</v>
      </c>
      <c r="C434" s="48" t="s">
        <v>11</v>
      </c>
      <c r="D434" s="44" t="s">
        <v>18</v>
      </c>
      <c r="E434" s="47" t="s">
        <v>293</v>
      </c>
      <c r="F434" s="47" t="s">
        <v>309</v>
      </c>
      <c r="G434" s="46" t="s">
        <v>12</v>
      </c>
      <c r="H434" s="46" t="s">
        <v>12</v>
      </c>
      <c r="I434" s="53"/>
      <c r="J434" s="63" t="s">
        <v>530</v>
      </c>
      <c r="K434" s="63" t="s">
        <v>530</v>
      </c>
      <c r="L434" s="63" t="s">
        <v>530</v>
      </c>
    </row>
    <row r="435" spans="1:12" ht="16.2" x14ac:dyDescent="0.4">
      <c r="A435" s="15" t="str">
        <f t="shared" si="6"/>
        <v>lt003_entitycntrprty_emssns_scp1</v>
      </c>
      <c r="B435" s="51" t="s">
        <v>11</v>
      </c>
      <c r="C435" s="48" t="s">
        <v>11</v>
      </c>
      <c r="D435" s="44" t="s">
        <v>18</v>
      </c>
      <c r="E435" s="47" t="s">
        <v>293</v>
      </c>
      <c r="F435" s="47" t="s">
        <v>310</v>
      </c>
      <c r="G435" s="46" t="s">
        <v>12</v>
      </c>
      <c r="H435" s="46" t="s">
        <v>12</v>
      </c>
      <c r="I435" s="53"/>
      <c r="J435" s="63" t="s">
        <v>530</v>
      </c>
      <c r="K435" s="63" t="s">
        <v>530</v>
      </c>
      <c r="L435" s="63" t="s">
        <v>530</v>
      </c>
    </row>
    <row r="436" spans="1:12" ht="16.2" x14ac:dyDescent="0.4">
      <c r="A436" s="15" t="str">
        <f t="shared" si="6"/>
        <v>lt003_entitycntrprty_emssns_scp2</v>
      </c>
      <c r="B436" s="51" t="s">
        <v>11</v>
      </c>
      <c r="C436" s="48" t="s">
        <v>11</v>
      </c>
      <c r="D436" s="44" t="s">
        <v>18</v>
      </c>
      <c r="E436" s="47" t="s">
        <v>293</v>
      </c>
      <c r="F436" s="47" t="s">
        <v>311</v>
      </c>
      <c r="G436" s="46" t="s">
        <v>12</v>
      </c>
      <c r="H436" s="46" t="s">
        <v>12</v>
      </c>
      <c r="I436" s="53"/>
      <c r="J436" s="63" t="s">
        <v>530</v>
      </c>
      <c r="K436" s="63" t="s">
        <v>530</v>
      </c>
      <c r="L436" s="63" t="s">
        <v>530</v>
      </c>
    </row>
    <row r="437" spans="1:12" ht="16.2" x14ac:dyDescent="0.4">
      <c r="A437" s="15" t="str">
        <f t="shared" si="6"/>
        <v>lt003_entitycntrprty_emssns_scp3</v>
      </c>
      <c r="B437" s="51" t="s">
        <v>11</v>
      </c>
      <c r="C437" s="48" t="s">
        <v>11</v>
      </c>
      <c r="D437" s="44" t="s">
        <v>18</v>
      </c>
      <c r="E437" s="47" t="s">
        <v>293</v>
      </c>
      <c r="F437" s="47" t="s">
        <v>312</v>
      </c>
      <c r="G437" s="46" t="s">
        <v>12</v>
      </c>
      <c r="H437" s="46" t="s">
        <v>12</v>
      </c>
      <c r="I437" s="53"/>
      <c r="J437" s="63" t="s">
        <v>530</v>
      </c>
      <c r="K437" s="63" t="s">
        <v>530</v>
      </c>
      <c r="L437" s="63" t="s">
        <v>530</v>
      </c>
    </row>
    <row r="438" spans="1:12" ht="16.2" x14ac:dyDescent="0.4">
      <c r="A438" s="15" t="str">
        <f t="shared" si="6"/>
        <v>lt003_entityflg_excldd_eu_prs_algnd_bnchmrk</v>
      </c>
      <c r="B438" s="51" t="s">
        <v>11</v>
      </c>
      <c r="C438" s="48" t="s">
        <v>11</v>
      </c>
      <c r="D438" s="44" t="s">
        <v>18</v>
      </c>
      <c r="E438" s="47" t="s">
        <v>293</v>
      </c>
      <c r="F438" s="47" t="s">
        <v>313</v>
      </c>
      <c r="G438" s="46" t="s">
        <v>12</v>
      </c>
      <c r="H438" s="46" t="s">
        <v>12</v>
      </c>
      <c r="I438" s="53"/>
      <c r="J438" s="63" t="s">
        <v>530</v>
      </c>
      <c r="K438" s="63" t="s">
        <v>530</v>
      </c>
      <c r="L438" s="63" t="s">
        <v>530</v>
      </c>
    </row>
    <row r="439" spans="1:12" ht="16.2" x14ac:dyDescent="0.4">
      <c r="A439" s="15" t="str">
        <f t="shared" si="6"/>
        <v>lt003_entityflg_act_physcl_rsk</v>
      </c>
      <c r="B439" s="51" t="s">
        <v>11</v>
      </c>
      <c r="C439" s="48" t="s">
        <v>11</v>
      </c>
      <c r="D439" s="44" t="s">
        <v>18</v>
      </c>
      <c r="E439" s="47" t="s">
        <v>293</v>
      </c>
      <c r="F439" s="47" t="s">
        <v>314</v>
      </c>
      <c r="G439" s="46" t="s">
        <v>12</v>
      </c>
      <c r="H439" s="46" t="s">
        <v>12</v>
      </c>
      <c r="I439" s="53"/>
      <c r="J439" s="63" t="s">
        <v>530</v>
      </c>
      <c r="K439" s="63" t="s">
        <v>530</v>
      </c>
      <c r="L439" s="63" t="s">
        <v>530</v>
      </c>
    </row>
    <row r="440" spans="1:12" ht="16.2" x14ac:dyDescent="0.4">
      <c r="A440" s="15" t="str">
        <f t="shared" si="6"/>
        <v>lt003_entityflg_chrnc_physcl_rsk</v>
      </c>
      <c r="B440" s="51" t="s">
        <v>11</v>
      </c>
      <c r="C440" s="48" t="s">
        <v>11</v>
      </c>
      <c r="D440" s="44" t="s">
        <v>18</v>
      </c>
      <c r="E440" s="47" t="s">
        <v>293</v>
      </c>
      <c r="F440" s="47" t="s">
        <v>315</v>
      </c>
      <c r="G440" s="46" t="s">
        <v>12</v>
      </c>
      <c r="H440" s="46" t="s">
        <v>12</v>
      </c>
      <c r="I440" s="53"/>
      <c r="J440" s="63" t="s">
        <v>530</v>
      </c>
      <c r="K440" s="63" t="s">
        <v>530</v>
      </c>
      <c r="L440" s="63" t="s">
        <v>530</v>
      </c>
    </row>
    <row r="441" spans="1:12" ht="16.2" x14ac:dyDescent="0.4">
      <c r="A441" s="15" t="str">
        <f t="shared" si="6"/>
        <v>lt003_entitypst_cd</v>
      </c>
      <c r="B441" s="51" t="s">
        <v>11</v>
      </c>
      <c r="C441" s="48" t="s">
        <v>11</v>
      </c>
      <c r="D441" s="44" t="s">
        <v>18</v>
      </c>
      <c r="E441" s="47" t="s">
        <v>293</v>
      </c>
      <c r="F441" s="47" t="s">
        <v>316</v>
      </c>
      <c r="G441" s="46" t="s">
        <v>12</v>
      </c>
      <c r="H441" s="46" t="s">
        <v>12</v>
      </c>
      <c r="I441" s="53"/>
      <c r="J441" s="63" t="s">
        <v>530</v>
      </c>
      <c r="K441" s="63" t="s">
        <v>530</v>
      </c>
      <c r="L441" s="63" t="s">
        <v>530</v>
      </c>
    </row>
    <row r="442" spans="1:12" ht="16.2" x14ac:dyDescent="0.4">
      <c r="A442" s="15" t="str">
        <f t="shared" si="6"/>
        <v>lt003_entityesg_sbsctr</v>
      </c>
      <c r="B442" s="51" t="s">
        <v>11</v>
      </c>
      <c r="C442" s="48" t="s">
        <v>11</v>
      </c>
      <c r="D442" s="44" t="s">
        <v>18</v>
      </c>
      <c r="E442" s="47" t="s">
        <v>293</v>
      </c>
      <c r="F442" s="47" t="s">
        <v>317</v>
      </c>
      <c r="G442" s="46" t="s">
        <v>12</v>
      </c>
      <c r="H442" s="46" t="s">
        <v>12</v>
      </c>
      <c r="I442" s="53"/>
      <c r="J442" s="63" t="s">
        <v>530</v>
      </c>
      <c r="K442" s="63" t="s">
        <v>530</v>
      </c>
      <c r="L442" s="63" t="s">
        <v>530</v>
      </c>
    </row>
    <row r="443" spans="1:12" ht="16.2" x14ac:dyDescent="0.4">
      <c r="A443" s="15" t="str">
        <f t="shared" si="6"/>
        <v>lt003_entityttl_lblty</v>
      </c>
      <c r="B443" s="51" t="s">
        <v>11</v>
      </c>
      <c r="C443" s="48" t="s">
        <v>11</v>
      </c>
      <c r="D443" s="44" t="s">
        <v>18</v>
      </c>
      <c r="E443" s="47" t="s">
        <v>293</v>
      </c>
      <c r="F443" s="47" t="s">
        <v>318</v>
      </c>
      <c r="G443" s="46" t="s">
        <v>12</v>
      </c>
      <c r="H443" s="46" t="s">
        <v>12</v>
      </c>
      <c r="I443" s="53"/>
      <c r="J443" s="63" t="s">
        <v>530</v>
      </c>
      <c r="K443" s="63" t="s">
        <v>530</v>
      </c>
      <c r="L443" s="63" t="s">
        <v>530</v>
      </c>
    </row>
    <row r="444" spans="1:12" ht="16.2" x14ac:dyDescent="0.4">
      <c r="A444" s="15" t="str">
        <f t="shared" si="6"/>
        <v>lt003_entityisin</v>
      </c>
      <c r="B444" s="51" t="s">
        <v>11</v>
      </c>
      <c r="C444" s="48" t="s">
        <v>11</v>
      </c>
      <c r="D444" s="44" t="s">
        <v>18</v>
      </c>
      <c r="E444" s="47" t="s">
        <v>293</v>
      </c>
      <c r="F444" s="47" t="s">
        <v>205</v>
      </c>
      <c r="G444" s="46" t="s">
        <v>12</v>
      </c>
      <c r="H444" s="46" t="s">
        <v>12</v>
      </c>
      <c r="I444" s="53"/>
      <c r="J444" s="63" t="s">
        <v>530</v>
      </c>
      <c r="K444" s="63" t="s">
        <v>530</v>
      </c>
      <c r="L444" s="63" t="s">
        <v>530</v>
      </c>
    </row>
    <row r="445" spans="1:12" ht="16.2" x14ac:dyDescent="0.4">
      <c r="A445" s="15" t="str">
        <f t="shared" si="6"/>
        <v>lt003_entitygrp_annl_trnvr_le</v>
      </c>
      <c r="B445" s="51" t="s">
        <v>11</v>
      </c>
      <c r="C445" s="48" t="s">
        <v>11</v>
      </c>
      <c r="D445" s="44" t="s">
        <v>18</v>
      </c>
      <c r="E445" s="47" t="s">
        <v>293</v>
      </c>
      <c r="F445" s="47" t="s">
        <v>319</v>
      </c>
      <c r="G445" s="46" t="s">
        <v>12</v>
      </c>
      <c r="H445" s="46" t="s">
        <v>12</v>
      </c>
      <c r="I445" s="53"/>
      <c r="J445" s="63" t="s">
        <v>530</v>
      </c>
      <c r="K445" s="63" t="s">
        <v>530</v>
      </c>
      <c r="L445" s="63" t="s">
        <v>530</v>
      </c>
    </row>
    <row r="446" spans="1:12" ht="16.2" x14ac:dyDescent="0.4">
      <c r="A446" s="15" t="str">
        <f t="shared" si="6"/>
        <v>lt003_entitygrp_ttl_lblty</v>
      </c>
      <c r="B446" s="51" t="s">
        <v>11</v>
      </c>
      <c r="C446" s="48" t="s">
        <v>11</v>
      </c>
      <c r="D446" s="44" t="s">
        <v>18</v>
      </c>
      <c r="E446" s="47" t="s">
        <v>293</v>
      </c>
      <c r="F446" s="47" t="s">
        <v>320</v>
      </c>
      <c r="G446" s="46" t="s">
        <v>12</v>
      </c>
      <c r="H446" s="46" t="s">
        <v>12</v>
      </c>
      <c r="I446" s="53"/>
      <c r="J446" s="63" t="s">
        <v>530</v>
      </c>
      <c r="K446" s="63" t="s">
        <v>530</v>
      </c>
      <c r="L446" s="63" t="s">
        <v>530</v>
      </c>
    </row>
    <row r="447" spans="1:12" ht="16.2" x14ac:dyDescent="0.4">
      <c r="A447" s="15" t="str">
        <f t="shared" si="6"/>
        <v>lt003_entityflg_grp_nfrd_applcblty</v>
      </c>
      <c r="B447" s="51" t="s">
        <v>11</v>
      </c>
      <c r="C447" s="48" t="s">
        <v>11</v>
      </c>
      <c r="D447" s="44" t="s">
        <v>18</v>
      </c>
      <c r="E447" s="47" t="s">
        <v>293</v>
      </c>
      <c r="F447" s="47" t="s">
        <v>321</v>
      </c>
      <c r="G447" s="46" t="s">
        <v>12</v>
      </c>
      <c r="H447" s="46" t="s">
        <v>12</v>
      </c>
      <c r="I447" s="53"/>
      <c r="J447" s="63" t="s">
        <v>530</v>
      </c>
      <c r="K447" s="63" t="s">
        <v>530</v>
      </c>
      <c r="L447" s="63" t="s">
        <v>530</v>
      </c>
    </row>
    <row r="448" spans="1:12" ht="16.2" x14ac:dyDescent="0.4">
      <c r="A448" s="15" t="str">
        <f t="shared" si="6"/>
        <v>lt003_entitygrp_emssns_scp1</v>
      </c>
      <c r="B448" s="51" t="s">
        <v>11</v>
      </c>
      <c r="C448" s="48" t="s">
        <v>11</v>
      </c>
      <c r="D448" s="44" t="s">
        <v>18</v>
      </c>
      <c r="E448" s="47" t="s">
        <v>293</v>
      </c>
      <c r="F448" s="47" t="s">
        <v>322</v>
      </c>
      <c r="G448" s="46" t="s">
        <v>12</v>
      </c>
      <c r="H448" s="46" t="s">
        <v>12</v>
      </c>
      <c r="I448" s="53"/>
      <c r="J448" s="63" t="s">
        <v>530</v>
      </c>
      <c r="K448" s="63" t="s">
        <v>530</v>
      </c>
      <c r="L448" s="63" t="s">
        <v>530</v>
      </c>
    </row>
    <row r="449" spans="1:12" ht="16.2" x14ac:dyDescent="0.4">
      <c r="A449" s="15" t="str">
        <f t="shared" si="6"/>
        <v>lt003_entitygrp_emssns_scp2</v>
      </c>
      <c r="B449" s="51" t="s">
        <v>11</v>
      </c>
      <c r="C449" s="48" t="s">
        <v>11</v>
      </c>
      <c r="D449" s="44" t="s">
        <v>18</v>
      </c>
      <c r="E449" s="47" t="s">
        <v>293</v>
      </c>
      <c r="F449" s="47" t="s">
        <v>323</v>
      </c>
      <c r="G449" s="46" t="s">
        <v>12</v>
      </c>
      <c r="H449" s="46" t="s">
        <v>12</v>
      </c>
      <c r="I449" s="53"/>
      <c r="J449" s="63" t="s">
        <v>530</v>
      </c>
      <c r="K449" s="63" t="s">
        <v>530</v>
      </c>
      <c r="L449" s="63" t="s">
        <v>530</v>
      </c>
    </row>
    <row r="450" spans="1:12" ht="16.2" x14ac:dyDescent="0.4">
      <c r="A450" s="15" t="str">
        <f t="shared" si="6"/>
        <v>lt003_entitygrp_emssns_scp3</v>
      </c>
      <c r="B450" s="51" t="s">
        <v>11</v>
      </c>
      <c r="C450" s="48" t="s">
        <v>11</v>
      </c>
      <c r="D450" s="44" t="s">
        <v>18</v>
      </c>
      <c r="E450" s="47" t="s">
        <v>293</v>
      </c>
      <c r="F450" s="47" t="s">
        <v>324</v>
      </c>
      <c r="G450" s="46" t="s">
        <v>12</v>
      </c>
      <c r="H450" s="46" t="s">
        <v>12</v>
      </c>
      <c r="I450" s="53"/>
      <c r="J450" s="63" t="s">
        <v>530</v>
      </c>
      <c r="K450" s="63" t="s">
        <v>530</v>
      </c>
      <c r="L450" s="63" t="s">
        <v>530</v>
      </c>
    </row>
    <row r="451" spans="1:12" ht="16.2" x14ac:dyDescent="0.4">
      <c r="A451" s="15" t="str">
        <f t="shared" si="6"/>
        <v>lt004_protectiontyp_ep_scr</v>
      </c>
      <c r="B451" s="51" t="s">
        <v>11</v>
      </c>
      <c r="C451" s="48" t="s">
        <v>11</v>
      </c>
      <c r="D451" s="44" t="s">
        <v>18</v>
      </c>
      <c r="E451" s="47" t="s">
        <v>325</v>
      </c>
      <c r="F451" s="47" t="s">
        <v>326</v>
      </c>
      <c r="G451" s="46" t="s">
        <v>12</v>
      </c>
      <c r="H451" s="46" t="s">
        <v>12</v>
      </c>
      <c r="I451" s="53"/>
      <c r="J451" s="63" t="s">
        <v>530</v>
      </c>
      <c r="K451" s="63" t="s">
        <v>530</v>
      </c>
      <c r="L451" s="63" t="s">
        <v>530</v>
      </c>
    </row>
    <row r="452" spans="1:12" ht="16.2" x14ac:dyDescent="0.4">
      <c r="A452" s="15" t="str">
        <f t="shared" si="6"/>
        <v>lt004_protectionep_scr</v>
      </c>
      <c r="B452" s="51" t="s">
        <v>11</v>
      </c>
      <c r="C452" s="48" t="s">
        <v>11</v>
      </c>
      <c r="D452" s="44" t="s">
        <v>18</v>
      </c>
      <c r="E452" s="47" t="s">
        <v>325</v>
      </c>
      <c r="F452" s="47" t="s">
        <v>327</v>
      </c>
      <c r="G452" s="46" t="s">
        <v>12</v>
      </c>
      <c r="H452" s="46" t="s">
        <v>12</v>
      </c>
      <c r="I452" s="53"/>
      <c r="J452" s="63" t="s">
        <v>530</v>
      </c>
      <c r="K452" s="63" t="s">
        <v>530</v>
      </c>
      <c r="L452" s="63" t="s">
        <v>530</v>
      </c>
    </row>
    <row r="453" spans="1:12" ht="16.2" x14ac:dyDescent="0.4">
      <c r="A453" s="15" t="str">
        <f t="shared" si="6"/>
        <v>lt004_protectiontyp_epc_lbl</v>
      </c>
      <c r="B453" s="51" t="s">
        <v>11</v>
      </c>
      <c r="C453" s="48" t="s">
        <v>11</v>
      </c>
      <c r="D453" s="44" t="s">
        <v>18</v>
      </c>
      <c r="E453" s="47" t="s">
        <v>325</v>
      </c>
      <c r="F453" s="47" t="s">
        <v>328</v>
      </c>
      <c r="G453" s="46" t="s">
        <v>12</v>
      </c>
      <c r="H453" s="46" t="s">
        <v>12</v>
      </c>
      <c r="I453" s="53"/>
      <c r="J453" s="63" t="s">
        <v>530</v>
      </c>
      <c r="K453" s="63" t="s">
        <v>530</v>
      </c>
      <c r="L453" s="63" t="s">
        <v>530</v>
      </c>
    </row>
    <row r="454" spans="1:12" ht="16.2" x14ac:dyDescent="0.4">
      <c r="A454" s="15" t="str">
        <f t="shared" si="6"/>
        <v>lt004_protectionepc_lbl</v>
      </c>
      <c r="B454" s="51" t="s">
        <v>11</v>
      </c>
      <c r="C454" s="48" t="s">
        <v>11</v>
      </c>
      <c r="D454" s="44" t="s">
        <v>18</v>
      </c>
      <c r="E454" s="47" t="s">
        <v>325</v>
      </c>
      <c r="F454" s="47" t="s">
        <v>329</v>
      </c>
      <c r="G454" s="46" t="s">
        <v>12</v>
      </c>
      <c r="H454" s="46" t="s">
        <v>12</v>
      </c>
      <c r="I454" s="53"/>
      <c r="J454" s="63" t="s">
        <v>530</v>
      </c>
      <c r="K454" s="63" t="s">
        <v>530</v>
      </c>
      <c r="L454" s="63" t="s">
        <v>530</v>
      </c>
    </row>
    <row r="455" spans="1:12" ht="16.2" x14ac:dyDescent="0.4">
      <c r="A455" s="15" t="str">
        <f t="shared" si="6"/>
        <v>lt004_protectionemssns_scp1_prtctn</v>
      </c>
      <c r="B455" s="51" t="s">
        <v>11</v>
      </c>
      <c r="C455" s="48" t="s">
        <v>11</v>
      </c>
      <c r="D455" s="44" t="s">
        <v>18</v>
      </c>
      <c r="E455" s="47" t="s">
        <v>325</v>
      </c>
      <c r="F455" s="47" t="s">
        <v>330</v>
      </c>
      <c r="G455" s="46" t="s">
        <v>12</v>
      </c>
      <c r="H455" s="46" t="s">
        <v>12</v>
      </c>
      <c r="I455" s="53"/>
      <c r="J455" s="63" t="s">
        <v>530</v>
      </c>
      <c r="K455" s="63" t="s">
        <v>530</v>
      </c>
      <c r="L455" s="63" t="s">
        <v>530</v>
      </c>
    </row>
    <row r="456" spans="1:12" ht="16.2" x14ac:dyDescent="0.4">
      <c r="A456" s="15" t="str">
        <f t="shared" ref="A456:A519" si="7">E456&amp;F456</f>
        <v>lt004_protectionemssns_scp2_prtctn</v>
      </c>
      <c r="B456" s="51" t="s">
        <v>11</v>
      </c>
      <c r="C456" s="48" t="s">
        <v>11</v>
      </c>
      <c r="D456" s="44" t="s">
        <v>18</v>
      </c>
      <c r="E456" s="47" t="s">
        <v>325</v>
      </c>
      <c r="F456" s="47" t="s">
        <v>331</v>
      </c>
      <c r="G456" s="46" t="s">
        <v>12</v>
      </c>
      <c r="H456" s="46" t="s">
        <v>12</v>
      </c>
      <c r="I456" s="53"/>
      <c r="J456" s="63" t="s">
        <v>530</v>
      </c>
      <c r="K456" s="63" t="s">
        <v>530</v>
      </c>
      <c r="L456" s="63" t="s">
        <v>530</v>
      </c>
    </row>
    <row r="457" spans="1:12" ht="16.2" x14ac:dyDescent="0.4">
      <c r="A457" s="15" t="str">
        <f t="shared" si="7"/>
        <v>lt004_protectionemssns_scp3_prtctn</v>
      </c>
      <c r="B457" s="51" t="s">
        <v>11</v>
      </c>
      <c r="C457" s="48" t="s">
        <v>11</v>
      </c>
      <c r="D457" s="44" t="s">
        <v>18</v>
      </c>
      <c r="E457" s="47" t="s">
        <v>325</v>
      </c>
      <c r="F457" s="47" t="s">
        <v>332</v>
      </c>
      <c r="G457" s="46" t="s">
        <v>12</v>
      </c>
      <c r="H457" s="46" t="s">
        <v>12</v>
      </c>
      <c r="I457" s="53"/>
      <c r="J457" s="63" t="s">
        <v>530</v>
      </c>
      <c r="K457" s="63" t="s">
        <v>530</v>
      </c>
      <c r="L457" s="63" t="s">
        <v>530</v>
      </c>
    </row>
    <row r="458" spans="1:12" ht="16.2" x14ac:dyDescent="0.4">
      <c r="A458" s="15" t="str">
        <f t="shared" si="7"/>
        <v>lt004_protectionmthd_usd_prtctn_scp_1</v>
      </c>
      <c r="B458" s="51" t="s">
        <v>11</v>
      </c>
      <c r="C458" s="48" t="s">
        <v>11</v>
      </c>
      <c r="D458" s="44" t="s">
        <v>18</v>
      </c>
      <c r="E458" s="47" t="s">
        <v>325</v>
      </c>
      <c r="F458" s="47" t="s">
        <v>333</v>
      </c>
      <c r="G458" s="46" t="s">
        <v>12</v>
      </c>
      <c r="H458" s="46" t="s">
        <v>12</v>
      </c>
      <c r="I458" s="53"/>
      <c r="J458" s="63" t="s">
        <v>530</v>
      </c>
      <c r="K458" s="63" t="s">
        <v>530</v>
      </c>
      <c r="L458" s="63" t="s">
        <v>530</v>
      </c>
    </row>
    <row r="459" spans="1:12" ht="16.2" x14ac:dyDescent="0.4">
      <c r="A459" s="15" t="str">
        <f t="shared" si="7"/>
        <v>lt004_protectionmthd_usd_prtctn_scp_2</v>
      </c>
      <c r="B459" s="51" t="s">
        <v>11</v>
      </c>
      <c r="C459" s="48" t="s">
        <v>11</v>
      </c>
      <c r="D459" s="44" t="s">
        <v>18</v>
      </c>
      <c r="E459" s="47" t="s">
        <v>325</v>
      </c>
      <c r="F459" s="47" t="s">
        <v>334</v>
      </c>
      <c r="G459" s="46" t="s">
        <v>12</v>
      </c>
      <c r="H459" s="46" t="s">
        <v>12</v>
      </c>
      <c r="I459" s="53"/>
      <c r="J459" s="63" t="s">
        <v>530</v>
      </c>
      <c r="K459" s="63" t="s">
        <v>530</v>
      </c>
      <c r="L459" s="63" t="s">
        <v>530</v>
      </c>
    </row>
    <row r="460" spans="1:12" ht="16.2" x14ac:dyDescent="0.4">
      <c r="A460" s="15" t="str">
        <f t="shared" si="7"/>
        <v>lt004_protectionmthd_usd_prtctn_scp_3</v>
      </c>
      <c r="B460" s="51" t="s">
        <v>11</v>
      </c>
      <c r="C460" s="48" t="s">
        <v>11</v>
      </c>
      <c r="D460" s="44" t="s">
        <v>18</v>
      </c>
      <c r="E460" s="47" t="s">
        <v>325</v>
      </c>
      <c r="F460" s="47" t="s">
        <v>335</v>
      </c>
      <c r="G460" s="46" t="s">
        <v>12</v>
      </c>
      <c r="H460" s="46" t="s">
        <v>12</v>
      </c>
      <c r="I460" s="53"/>
      <c r="J460" s="63" t="s">
        <v>530</v>
      </c>
      <c r="K460" s="63" t="s">
        <v>530</v>
      </c>
      <c r="L460" s="63" t="s">
        <v>530</v>
      </c>
    </row>
    <row r="461" spans="1:12" ht="16.2" x14ac:dyDescent="0.4">
      <c r="A461" s="15" t="str">
        <f t="shared" si="7"/>
        <v>lt004_protectionflg_act_physcl_rsk</v>
      </c>
      <c r="B461" s="51" t="s">
        <v>11</v>
      </c>
      <c r="C461" s="48" t="s">
        <v>11</v>
      </c>
      <c r="D461" s="44" t="s">
        <v>18</v>
      </c>
      <c r="E461" s="47" t="s">
        <v>325</v>
      </c>
      <c r="F461" s="47" t="s">
        <v>314</v>
      </c>
      <c r="G461" s="46" t="s">
        <v>12</v>
      </c>
      <c r="H461" s="46" t="s">
        <v>12</v>
      </c>
      <c r="I461" s="53"/>
      <c r="J461" s="63" t="s">
        <v>530</v>
      </c>
      <c r="K461" s="63" t="s">
        <v>530</v>
      </c>
      <c r="L461" s="63" t="s">
        <v>530</v>
      </c>
    </row>
    <row r="462" spans="1:12" ht="16.2" x14ac:dyDescent="0.4">
      <c r="A462" s="15" t="str">
        <f t="shared" si="7"/>
        <v>lt004_protectionflg_chrnc_physcl_rsk</v>
      </c>
      <c r="B462" s="51" t="s">
        <v>11</v>
      </c>
      <c r="C462" s="48" t="s">
        <v>11</v>
      </c>
      <c r="D462" s="44" t="s">
        <v>18</v>
      </c>
      <c r="E462" s="47" t="s">
        <v>325</v>
      </c>
      <c r="F462" s="47" t="s">
        <v>315</v>
      </c>
      <c r="G462" s="46" t="s">
        <v>12</v>
      </c>
      <c r="H462" s="46" t="s">
        <v>12</v>
      </c>
      <c r="I462" s="53"/>
      <c r="J462" s="63" t="s">
        <v>530</v>
      </c>
      <c r="K462" s="63" t="s">
        <v>530</v>
      </c>
      <c r="L462" s="63" t="s">
        <v>530</v>
      </c>
    </row>
    <row r="463" spans="1:12" ht="16.2" x14ac:dyDescent="0.4">
      <c r="A463" s="15" t="str">
        <f t="shared" si="7"/>
        <v>lt002_instrumentrsk_mtgtd_cct</v>
      </c>
      <c r="B463" s="51" t="s">
        <v>11</v>
      </c>
      <c r="C463" s="48" t="s">
        <v>11</v>
      </c>
      <c r="D463" s="44" t="s">
        <v>18</v>
      </c>
      <c r="E463" s="47" t="s">
        <v>336</v>
      </c>
      <c r="F463" s="47" t="s">
        <v>337</v>
      </c>
      <c r="G463" s="46" t="s">
        <v>12</v>
      </c>
      <c r="H463" s="46" t="s">
        <v>12</v>
      </c>
      <c r="I463" s="53"/>
      <c r="J463" s="63" t="s">
        <v>530</v>
      </c>
      <c r="K463" s="63" t="s">
        <v>530</v>
      </c>
      <c r="L463" s="63" t="s">
        <v>530</v>
      </c>
    </row>
    <row r="464" spans="1:12" ht="16.2" x14ac:dyDescent="0.4">
      <c r="A464" s="15" t="str">
        <f t="shared" si="7"/>
        <v>lt002_instrumentrsk_mtgtd_ccp</v>
      </c>
      <c r="B464" s="51" t="s">
        <v>11</v>
      </c>
      <c r="C464" s="48" t="s">
        <v>11</v>
      </c>
      <c r="D464" s="44" t="s">
        <v>18</v>
      </c>
      <c r="E464" s="47" t="s">
        <v>336</v>
      </c>
      <c r="F464" s="47" t="s">
        <v>338</v>
      </c>
      <c r="G464" s="46" t="s">
        <v>12</v>
      </c>
      <c r="H464" s="46" t="s">
        <v>12</v>
      </c>
      <c r="I464" s="53"/>
      <c r="J464" s="63" t="s">
        <v>530</v>
      </c>
      <c r="K464" s="63" t="s">
        <v>530</v>
      </c>
      <c r="L464" s="63" t="s">
        <v>530</v>
      </c>
    </row>
    <row r="465" spans="1:12" ht="16.2" x14ac:dyDescent="0.4">
      <c r="A465" s="15" t="str">
        <f t="shared" si="7"/>
        <v>lt002_instrumentenvrnmntl_objctv</v>
      </c>
      <c r="B465" s="51" t="s">
        <v>11</v>
      </c>
      <c r="C465" s="48" t="s">
        <v>11</v>
      </c>
      <c r="D465" s="44" t="s">
        <v>18</v>
      </c>
      <c r="E465" s="47" t="s">
        <v>336</v>
      </c>
      <c r="F465" s="47" t="s">
        <v>339</v>
      </c>
      <c r="G465" s="46" t="s">
        <v>12</v>
      </c>
      <c r="H465" s="46" t="s">
        <v>12</v>
      </c>
      <c r="I465" s="53"/>
      <c r="J465" s="63" t="s">
        <v>530</v>
      </c>
      <c r="K465" s="63" t="s">
        <v>530</v>
      </c>
      <c r="L465" s="63" t="s">
        <v>530</v>
      </c>
    </row>
    <row r="466" spans="1:12" ht="16.2" x14ac:dyDescent="0.4">
      <c r="A466" s="15" t="str">
        <f t="shared" si="7"/>
        <v>lt002_instrumenttyp_actvty</v>
      </c>
      <c r="B466" s="51" t="s">
        <v>11</v>
      </c>
      <c r="C466" s="48" t="s">
        <v>11</v>
      </c>
      <c r="D466" s="44" t="s">
        <v>18</v>
      </c>
      <c r="E466" s="47" t="s">
        <v>336</v>
      </c>
      <c r="F466" s="47" t="s">
        <v>340</v>
      </c>
      <c r="G466" s="46" t="s">
        <v>12</v>
      </c>
      <c r="H466" s="46" t="s">
        <v>12</v>
      </c>
      <c r="I466" s="53"/>
      <c r="J466" s="63" t="s">
        <v>530</v>
      </c>
      <c r="K466" s="63" t="s">
        <v>530</v>
      </c>
      <c r="L466" s="63" t="s">
        <v>530</v>
      </c>
    </row>
    <row r="467" spans="1:12" ht="16.2" x14ac:dyDescent="0.4">
      <c r="A467" s="15" t="str">
        <f t="shared" si="7"/>
        <v>lt002_instrumentlns_clltrlzd_clssfctn</v>
      </c>
      <c r="B467" s="51" t="s">
        <v>11</v>
      </c>
      <c r="C467" s="48" t="s">
        <v>11</v>
      </c>
      <c r="D467" s="44" t="s">
        <v>18</v>
      </c>
      <c r="E467" s="47" t="s">
        <v>336</v>
      </c>
      <c r="F467" s="47" t="s">
        <v>341</v>
      </c>
      <c r="G467" s="46" t="s">
        <v>12</v>
      </c>
      <c r="H467" s="46" t="s">
        <v>12</v>
      </c>
      <c r="I467" s="53"/>
      <c r="J467" s="63" t="s">
        <v>530</v>
      </c>
      <c r="K467" s="63" t="s">
        <v>530</v>
      </c>
      <c r="L467" s="63" t="s">
        <v>530</v>
      </c>
    </row>
    <row r="468" spans="1:12" ht="16.2" x14ac:dyDescent="0.4">
      <c r="A468" s="15" t="str">
        <f t="shared" si="7"/>
        <v>lt002_instrumentmthd_usd_instrmnt_scp_1</v>
      </c>
      <c r="B468" s="51" t="s">
        <v>11</v>
      </c>
      <c r="C468" s="48" t="s">
        <v>11</v>
      </c>
      <c r="D468" s="44" t="s">
        <v>18</v>
      </c>
      <c r="E468" s="47" t="s">
        <v>336</v>
      </c>
      <c r="F468" s="47" t="s">
        <v>342</v>
      </c>
      <c r="G468" s="46" t="s">
        <v>12</v>
      </c>
      <c r="H468" s="46" t="s">
        <v>12</v>
      </c>
      <c r="I468" s="53"/>
      <c r="J468" s="63" t="s">
        <v>530</v>
      </c>
      <c r="K468" s="63" t="s">
        <v>530</v>
      </c>
      <c r="L468" s="63" t="s">
        <v>530</v>
      </c>
    </row>
    <row r="469" spans="1:12" ht="16.2" x14ac:dyDescent="0.4">
      <c r="A469" s="15" t="str">
        <f t="shared" si="7"/>
        <v>lt002_instrumentmthd_usd_instrmnt_scp_2</v>
      </c>
      <c r="B469" s="51" t="s">
        <v>11</v>
      </c>
      <c r="C469" s="48" t="s">
        <v>11</v>
      </c>
      <c r="D469" s="44" t="s">
        <v>18</v>
      </c>
      <c r="E469" s="47" t="s">
        <v>336</v>
      </c>
      <c r="F469" s="47" t="s">
        <v>343</v>
      </c>
      <c r="G469" s="46" t="s">
        <v>12</v>
      </c>
      <c r="H469" s="46" t="s">
        <v>12</v>
      </c>
      <c r="I469" s="53"/>
      <c r="J469" s="63" t="s">
        <v>530</v>
      </c>
      <c r="K469" s="63" t="s">
        <v>530</v>
      </c>
      <c r="L469" s="63" t="s">
        <v>530</v>
      </c>
    </row>
    <row r="470" spans="1:12" ht="16.2" x14ac:dyDescent="0.4">
      <c r="A470" s="15" t="str">
        <f t="shared" si="7"/>
        <v>lt002_instrumentmthd_usd_instrmnt_scp_3</v>
      </c>
      <c r="B470" s="51" t="s">
        <v>11</v>
      </c>
      <c r="C470" s="48" t="s">
        <v>11</v>
      </c>
      <c r="D470" s="44" t="s">
        <v>18</v>
      </c>
      <c r="E470" s="47" t="s">
        <v>336</v>
      </c>
      <c r="F470" s="47" t="s">
        <v>344</v>
      </c>
      <c r="G470" s="46" t="s">
        <v>12</v>
      </c>
      <c r="H470" s="46" t="s">
        <v>12</v>
      </c>
      <c r="I470" s="53"/>
      <c r="J470" s="63" t="s">
        <v>530</v>
      </c>
      <c r="K470" s="63" t="s">
        <v>530</v>
      </c>
      <c r="L470" s="63" t="s">
        <v>530</v>
      </c>
    </row>
    <row r="471" spans="1:12" ht="16.2" x14ac:dyDescent="0.4">
      <c r="A471" s="15" t="str">
        <f t="shared" si="7"/>
        <v>lt002_instrumentsstnbl_ctgry_txnmy</v>
      </c>
      <c r="B471" s="51" t="s">
        <v>11</v>
      </c>
      <c r="C471" s="48" t="s">
        <v>11</v>
      </c>
      <c r="D471" s="44" t="s">
        <v>18</v>
      </c>
      <c r="E471" s="47" t="s">
        <v>336</v>
      </c>
      <c r="F471" s="47" t="s">
        <v>345</v>
      </c>
      <c r="G471" s="46" t="s">
        <v>12</v>
      </c>
      <c r="H471" s="46" t="s">
        <v>12</v>
      </c>
      <c r="I471" s="53"/>
      <c r="J471" s="63" t="s">
        <v>530</v>
      </c>
      <c r="K471" s="63" t="s">
        <v>530</v>
      </c>
      <c r="L471" s="63" t="s">
        <v>530</v>
      </c>
    </row>
    <row r="472" spans="1:12" ht="16.2" x14ac:dyDescent="0.4">
      <c r="A472" s="15" t="str">
        <f t="shared" si="7"/>
        <v>lt825_mthd_usd_instrmntambito</v>
      </c>
      <c r="B472" s="51" t="s">
        <v>11</v>
      </c>
      <c r="C472" s="48" t="s">
        <v>11</v>
      </c>
      <c r="D472" s="44" t="s">
        <v>18</v>
      </c>
      <c r="E472" s="47" t="s">
        <v>346</v>
      </c>
      <c r="F472" s="47" t="s">
        <v>347</v>
      </c>
      <c r="G472" s="46" t="s">
        <v>12</v>
      </c>
      <c r="H472" s="46" t="s">
        <v>12</v>
      </c>
      <c r="I472" s="53"/>
      <c r="J472" s="63" t="s">
        <v>530</v>
      </c>
      <c r="K472" s="63" t="s">
        <v>530</v>
      </c>
      <c r="L472" s="63" t="s">
        <v>530</v>
      </c>
    </row>
    <row r="473" spans="1:12" ht="16.2" x14ac:dyDescent="0.4">
      <c r="A473" s="15" t="str">
        <f t="shared" si="7"/>
        <v>lt825_mthd_usd_instrmntref_date</v>
      </c>
      <c r="B473" s="51" t="s">
        <v>11</v>
      </c>
      <c r="C473" s="48" t="s">
        <v>11</v>
      </c>
      <c r="D473" s="44" t="s">
        <v>18</v>
      </c>
      <c r="E473" s="47" t="s">
        <v>346</v>
      </c>
      <c r="F473" s="47" t="s">
        <v>50</v>
      </c>
      <c r="G473" s="46" t="s">
        <v>12</v>
      </c>
      <c r="H473" s="46" t="s">
        <v>12</v>
      </c>
      <c r="I473" s="53"/>
      <c r="J473" s="63" t="s">
        <v>530</v>
      </c>
      <c r="K473" s="63" t="s">
        <v>530</v>
      </c>
      <c r="L473" s="63" t="s">
        <v>530</v>
      </c>
    </row>
    <row r="474" spans="1:12" ht="16.2" x14ac:dyDescent="0.4">
      <c r="A474" s="15" t="str">
        <f t="shared" si="7"/>
        <v>lt825_mthd_usd_instrmntordem</v>
      </c>
      <c r="B474" s="51" t="s">
        <v>11</v>
      </c>
      <c r="C474" s="48" t="s">
        <v>11</v>
      </c>
      <c r="D474" s="44" t="s">
        <v>18</v>
      </c>
      <c r="E474" s="47" t="s">
        <v>346</v>
      </c>
      <c r="F474" s="47" t="s">
        <v>292</v>
      </c>
      <c r="G474" s="46" t="s">
        <v>12</v>
      </c>
      <c r="H474" s="46" t="s">
        <v>12</v>
      </c>
      <c r="I474" s="53"/>
      <c r="J474" s="63" t="s">
        <v>530</v>
      </c>
      <c r="K474" s="63" t="s">
        <v>530</v>
      </c>
      <c r="L474" s="63" t="s">
        <v>530</v>
      </c>
    </row>
    <row r="475" spans="1:12" ht="16.2" x14ac:dyDescent="0.4">
      <c r="A475" s="15" t="str">
        <f t="shared" si="7"/>
        <v>lt825_mthd_usd_instrmnttabela</v>
      </c>
      <c r="B475" s="51" t="s">
        <v>11</v>
      </c>
      <c r="C475" s="48" t="s">
        <v>11</v>
      </c>
      <c r="D475" s="44" t="s">
        <v>18</v>
      </c>
      <c r="E475" s="47" t="s">
        <v>346</v>
      </c>
      <c r="F475" s="47" t="s">
        <v>348</v>
      </c>
      <c r="G475" s="46" t="s">
        <v>12</v>
      </c>
      <c r="H475" s="46" t="s">
        <v>12</v>
      </c>
      <c r="I475" s="53"/>
      <c r="J475" s="63" t="s">
        <v>530</v>
      </c>
      <c r="K475" s="63" t="s">
        <v>530</v>
      </c>
      <c r="L475" s="63" t="s">
        <v>530</v>
      </c>
    </row>
    <row r="476" spans="1:12" ht="16.2" x14ac:dyDescent="0.4">
      <c r="A476" s="15" t="str">
        <f t="shared" si="7"/>
        <v>lt825_mthd_usd_instrmntorigem_scp1_emss</v>
      </c>
      <c r="B476" s="51" t="s">
        <v>11</v>
      </c>
      <c r="C476" s="48" t="s">
        <v>11</v>
      </c>
      <c r="D476" s="44" t="s">
        <v>18</v>
      </c>
      <c r="E476" s="47" t="s">
        <v>346</v>
      </c>
      <c r="F476" s="47" t="s">
        <v>279</v>
      </c>
      <c r="G476" s="46" t="s">
        <v>12</v>
      </c>
      <c r="H476" s="46" t="s">
        <v>12</v>
      </c>
      <c r="I476" s="53"/>
      <c r="J476" s="63" t="s">
        <v>530</v>
      </c>
      <c r="K476" s="63" t="s">
        <v>530</v>
      </c>
      <c r="L476" s="63" t="s">
        <v>530</v>
      </c>
    </row>
    <row r="477" spans="1:12" ht="16.2" x14ac:dyDescent="0.4">
      <c r="A477" s="15" t="str">
        <f t="shared" si="7"/>
        <v>lt825_mthd_usd_instrmntorigem_scp2_emss</v>
      </c>
      <c r="B477" s="51" t="s">
        <v>11</v>
      </c>
      <c r="C477" s="48" t="s">
        <v>11</v>
      </c>
      <c r="D477" s="44" t="s">
        <v>18</v>
      </c>
      <c r="E477" s="47" t="s">
        <v>346</v>
      </c>
      <c r="F477" s="47" t="s">
        <v>280</v>
      </c>
      <c r="G477" s="46" t="s">
        <v>12</v>
      </c>
      <c r="H477" s="46" t="s">
        <v>12</v>
      </c>
      <c r="I477" s="53"/>
      <c r="J477" s="63" t="s">
        <v>530</v>
      </c>
      <c r="K477" s="63" t="s">
        <v>530</v>
      </c>
      <c r="L477" s="63" t="s">
        <v>530</v>
      </c>
    </row>
    <row r="478" spans="1:12" ht="16.2" x14ac:dyDescent="0.4">
      <c r="A478" s="15" t="str">
        <f t="shared" si="7"/>
        <v>lt825_mthd_usd_instrmntorigem_scp3_emss</v>
      </c>
      <c r="B478" s="51" t="s">
        <v>11</v>
      </c>
      <c r="C478" s="48" t="s">
        <v>11</v>
      </c>
      <c r="D478" s="44" t="s">
        <v>18</v>
      </c>
      <c r="E478" s="47" t="s">
        <v>346</v>
      </c>
      <c r="F478" s="47" t="s">
        <v>281</v>
      </c>
      <c r="G478" s="46" t="s">
        <v>12</v>
      </c>
      <c r="H478" s="46" t="s">
        <v>12</v>
      </c>
      <c r="I478" s="53"/>
      <c r="J478" s="63" t="s">
        <v>530</v>
      </c>
      <c r="K478" s="63" t="s">
        <v>530</v>
      </c>
      <c r="L478" s="63" t="s">
        <v>530</v>
      </c>
    </row>
    <row r="479" spans="1:12" ht="16.2" x14ac:dyDescent="0.4">
      <c r="A479" s="15" t="str">
        <f t="shared" si="7"/>
        <v>lt825_mthd_usd_instrmntmthd_usd_instrmnt_scp_1</v>
      </c>
      <c r="B479" s="51" t="s">
        <v>11</v>
      </c>
      <c r="C479" s="48" t="s">
        <v>11</v>
      </c>
      <c r="D479" s="44" t="s">
        <v>18</v>
      </c>
      <c r="E479" s="47" t="s">
        <v>346</v>
      </c>
      <c r="F479" s="47" t="s">
        <v>342</v>
      </c>
      <c r="G479" s="46" t="s">
        <v>12</v>
      </c>
      <c r="H479" s="46" t="s">
        <v>12</v>
      </c>
      <c r="I479" s="53"/>
      <c r="J479" s="63" t="s">
        <v>530</v>
      </c>
      <c r="K479" s="63" t="s">
        <v>530</v>
      </c>
      <c r="L479" s="63" t="s">
        <v>530</v>
      </c>
    </row>
    <row r="480" spans="1:12" ht="16.2" x14ac:dyDescent="0.4">
      <c r="A480" s="15" t="str">
        <f t="shared" si="7"/>
        <v>lt825_mthd_usd_instrmntmthd_usd_instrmnt_scp_2</v>
      </c>
      <c r="B480" s="51" t="s">
        <v>11</v>
      </c>
      <c r="C480" s="48" t="s">
        <v>11</v>
      </c>
      <c r="D480" s="44" t="s">
        <v>18</v>
      </c>
      <c r="E480" s="47" t="s">
        <v>346</v>
      </c>
      <c r="F480" s="47" t="s">
        <v>343</v>
      </c>
      <c r="G480" s="46" t="s">
        <v>12</v>
      </c>
      <c r="H480" s="46" t="s">
        <v>12</v>
      </c>
      <c r="I480" s="53"/>
      <c r="J480" s="63" t="s">
        <v>530</v>
      </c>
      <c r="K480" s="63" t="s">
        <v>530</v>
      </c>
      <c r="L480" s="63" t="s">
        <v>530</v>
      </c>
    </row>
    <row r="481" spans="1:12" ht="16.2" x14ac:dyDescent="0.4">
      <c r="A481" s="15" t="str">
        <f t="shared" si="7"/>
        <v>lt825_mthd_usd_instrmntmthd_usd_instrmnt_scp_3</v>
      </c>
      <c r="B481" s="51" t="s">
        <v>11</v>
      </c>
      <c r="C481" s="48" t="s">
        <v>11</v>
      </c>
      <c r="D481" s="44" t="s">
        <v>18</v>
      </c>
      <c r="E481" s="47" t="s">
        <v>346</v>
      </c>
      <c r="F481" s="47" t="s">
        <v>344</v>
      </c>
      <c r="G481" s="46" t="s">
        <v>12</v>
      </c>
      <c r="H481" s="46" t="s">
        <v>12</v>
      </c>
      <c r="I481" s="53"/>
      <c r="J481" s="63" t="s">
        <v>530</v>
      </c>
      <c r="K481" s="63" t="s">
        <v>530</v>
      </c>
      <c r="L481" s="63" t="s">
        <v>530</v>
      </c>
    </row>
    <row r="482" spans="1:12" ht="16.2" x14ac:dyDescent="0.4">
      <c r="A482" s="15" t="str">
        <f t="shared" si="7"/>
        <v>lt826_esg_sbsctrambito</v>
      </c>
      <c r="B482" s="51" t="s">
        <v>11</v>
      </c>
      <c r="C482" s="48" t="s">
        <v>11</v>
      </c>
      <c r="D482" s="44" t="s">
        <v>18</v>
      </c>
      <c r="E482" s="47" t="s">
        <v>349</v>
      </c>
      <c r="F482" s="47" t="s">
        <v>347</v>
      </c>
      <c r="G482" s="46" t="s">
        <v>12</v>
      </c>
      <c r="H482" s="46" t="s">
        <v>12</v>
      </c>
      <c r="I482" s="53"/>
      <c r="J482" s="63" t="s">
        <v>530</v>
      </c>
      <c r="K482" s="63" t="s">
        <v>530</v>
      </c>
      <c r="L482" s="63" t="s">
        <v>530</v>
      </c>
    </row>
    <row r="483" spans="1:12" ht="16.2" x14ac:dyDescent="0.4">
      <c r="A483" s="15" t="str">
        <f t="shared" si="7"/>
        <v>lt826_esg_sbsctrref_date</v>
      </c>
      <c r="B483" s="51" t="s">
        <v>11</v>
      </c>
      <c r="C483" s="48" t="s">
        <v>11</v>
      </c>
      <c r="D483" s="44" t="s">
        <v>18</v>
      </c>
      <c r="E483" s="47" t="s">
        <v>349</v>
      </c>
      <c r="F483" s="47" t="s">
        <v>50</v>
      </c>
      <c r="G483" s="46" t="s">
        <v>12</v>
      </c>
      <c r="H483" s="46" t="s">
        <v>12</v>
      </c>
      <c r="I483" s="53"/>
      <c r="J483" s="63" t="s">
        <v>530</v>
      </c>
      <c r="K483" s="63" t="s">
        <v>530</v>
      </c>
      <c r="L483" s="63" t="s">
        <v>530</v>
      </c>
    </row>
    <row r="484" spans="1:12" ht="16.2" x14ac:dyDescent="0.4">
      <c r="A484" s="15" t="str">
        <f t="shared" si="7"/>
        <v>lt826_esg_sbsctrordem</v>
      </c>
      <c r="B484" s="51" t="s">
        <v>11</v>
      </c>
      <c r="C484" s="48" t="s">
        <v>11</v>
      </c>
      <c r="D484" s="44" t="s">
        <v>18</v>
      </c>
      <c r="E484" s="47" t="s">
        <v>349</v>
      </c>
      <c r="F484" s="47" t="s">
        <v>292</v>
      </c>
      <c r="G484" s="46" t="s">
        <v>12</v>
      </c>
      <c r="H484" s="46" t="s">
        <v>12</v>
      </c>
      <c r="I484" s="53"/>
      <c r="J484" s="63" t="s">
        <v>530</v>
      </c>
      <c r="K484" s="63" t="s">
        <v>530</v>
      </c>
      <c r="L484" s="63" t="s">
        <v>530</v>
      </c>
    </row>
    <row r="485" spans="1:12" ht="16.2" x14ac:dyDescent="0.4">
      <c r="A485" s="15" t="str">
        <f t="shared" si="7"/>
        <v>lt826_esg_sbsctrnace_code</v>
      </c>
      <c r="B485" s="51" t="s">
        <v>11</v>
      </c>
      <c r="C485" s="48" t="s">
        <v>11</v>
      </c>
      <c r="D485" s="44" t="s">
        <v>18</v>
      </c>
      <c r="E485" s="47" t="s">
        <v>349</v>
      </c>
      <c r="F485" s="47" t="s">
        <v>350</v>
      </c>
      <c r="G485" s="46" t="s">
        <v>12</v>
      </c>
      <c r="H485" s="46" t="s">
        <v>12</v>
      </c>
      <c r="I485" s="53"/>
      <c r="J485" s="63" t="s">
        <v>530</v>
      </c>
      <c r="K485" s="63" t="s">
        <v>530</v>
      </c>
      <c r="L485" s="63" t="s">
        <v>530</v>
      </c>
    </row>
    <row r="486" spans="1:12" ht="16.2" x14ac:dyDescent="0.4">
      <c r="A486" s="15" t="str">
        <f t="shared" si="7"/>
        <v>lt826_esg_sbsctrcontraparte</v>
      </c>
      <c r="B486" s="51" t="s">
        <v>11</v>
      </c>
      <c r="C486" s="48" t="s">
        <v>11</v>
      </c>
      <c r="D486" s="44" t="s">
        <v>18</v>
      </c>
      <c r="E486" s="47" t="s">
        <v>349</v>
      </c>
      <c r="F486" s="47" t="s">
        <v>351</v>
      </c>
      <c r="G486" s="46" t="s">
        <v>12</v>
      </c>
      <c r="H486" s="46" t="s">
        <v>12</v>
      </c>
      <c r="I486" s="53"/>
      <c r="J486" s="63" t="s">
        <v>530</v>
      </c>
      <c r="K486" s="63" t="s">
        <v>530</v>
      </c>
      <c r="L486" s="63" t="s">
        <v>530</v>
      </c>
    </row>
    <row r="487" spans="1:12" ht="16.2" x14ac:dyDescent="0.4">
      <c r="A487" s="15" t="str">
        <f t="shared" si="7"/>
        <v>lt826_esg_sbsctrcnatureza_juri</v>
      </c>
      <c r="B487" s="51" t="s">
        <v>11</v>
      </c>
      <c r="C487" s="48" t="s">
        <v>11</v>
      </c>
      <c r="D487" s="44" t="s">
        <v>18</v>
      </c>
      <c r="E487" s="47" t="s">
        <v>349</v>
      </c>
      <c r="F487" s="47" t="s">
        <v>352</v>
      </c>
      <c r="G487" s="46" t="s">
        <v>12</v>
      </c>
      <c r="H487" s="46" t="s">
        <v>12</v>
      </c>
      <c r="I487" s="53"/>
      <c r="J487" s="63" t="s">
        <v>530</v>
      </c>
      <c r="K487" s="63" t="s">
        <v>530</v>
      </c>
      <c r="L487" s="63" t="s">
        <v>530</v>
      </c>
    </row>
    <row r="488" spans="1:12" ht="16.2" x14ac:dyDescent="0.4">
      <c r="A488" s="15" t="str">
        <f t="shared" si="7"/>
        <v>lt826_esg_sbsctridcomb</v>
      </c>
      <c r="B488" s="51" t="s">
        <v>11</v>
      </c>
      <c r="C488" s="48" t="s">
        <v>11</v>
      </c>
      <c r="D488" s="44" t="s">
        <v>18</v>
      </c>
      <c r="E488" s="47" t="s">
        <v>349</v>
      </c>
      <c r="F488" s="47" t="s">
        <v>353</v>
      </c>
      <c r="G488" s="46" t="s">
        <v>12</v>
      </c>
      <c r="H488" s="46" t="s">
        <v>12</v>
      </c>
      <c r="I488" s="53"/>
      <c r="J488" s="63" t="s">
        <v>530</v>
      </c>
      <c r="K488" s="63" t="s">
        <v>530</v>
      </c>
      <c r="L488" s="63" t="s">
        <v>530</v>
      </c>
    </row>
    <row r="489" spans="1:12" ht="16.2" x14ac:dyDescent="0.4">
      <c r="A489" s="15" t="str">
        <f t="shared" si="7"/>
        <v>lt826_esg_sbsctresg_sbsctr</v>
      </c>
      <c r="B489" s="51" t="s">
        <v>11</v>
      </c>
      <c r="C489" s="48" t="s">
        <v>11</v>
      </c>
      <c r="D489" s="44" t="s">
        <v>18</v>
      </c>
      <c r="E489" s="47" t="s">
        <v>349</v>
      </c>
      <c r="F489" s="47" t="s">
        <v>317</v>
      </c>
      <c r="G489" s="46" t="s">
        <v>12</v>
      </c>
      <c r="H489" s="46" t="s">
        <v>12</v>
      </c>
      <c r="I489" s="53"/>
      <c r="J489" s="63" t="s">
        <v>530</v>
      </c>
      <c r="K489" s="63" t="s">
        <v>530</v>
      </c>
      <c r="L489" s="63" t="s">
        <v>530</v>
      </c>
    </row>
    <row r="490" spans="1:12" ht="16.2" x14ac:dyDescent="0.4">
      <c r="A490" s="15" t="str">
        <f t="shared" si="7"/>
        <v>lt826_esg_sbsctrdescrição</v>
      </c>
      <c r="B490" s="51" t="s">
        <v>11</v>
      </c>
      <c r="C490" s="48" t="s">
        <v>11</v>
      </c>
      <c r="D490" s="44" t="s">
        <v>18</v>
      </c>
      <c r="E490" s="47" t="s">
        <v>349</v>
      </c>
      <c r="F490" s="47" t="s">
        <v>354</v>
      </c>
      <c r="G490" s="46" t="s">
        <v>12</v>
      </c>
      <c r="H490" s="46" t="s">
        <v>12</v>
      </c>
      <c r="I490" s="53"/>
      <c r="J490" s="63" t="s">
        <v>530</v>
      </c>
      <c r="K490" s="63" t="s">
        <v>530</v>
      </c>
      <c r="L490" s="63" t="s">
        <v>530</v>
      </c>
    </row>
    <row r="491" spans="1:12" ht="16.2" x14ac:dyDescent="0.4">
      <c r="A491" s="15" t="str">
        <f t="shared" si="7"/>
        <v>lt002_instrumentdt_rfrnc</v>
      </c>
      <c r="B491" s="51" t="s">
        <v>11</v>
      </c>
      <c r="C491" s="48" t="s">
        <v>11</v>
      </c>
      <c r="D491" s="44" t="s">
        <v>18</v>
      </c>
      <c r="E491" s="47" t="s">
        <v>336</v>
      </c>
      <c r="F491" s="47" t="s">
        <v>355</v>
      </c>
      <c r="G491" s="46" t="s">
        <v>12</v>
      </c>
      <c r="H491" s="46" t="s">
        <v>12</v>
      </c>
      <c r="I491" s="53" t="s">
        <v>468</v>
      </c>
      <c r="J491" s="63" t="s">
        <v>530</v>
      </c>
      <c r="K491" s="63" t="s">
        <v>530</v>
      </c>
      <c r="L491" s="63" t="s">
        <v>530</v>
      </c>
    </row>
    <row r="492" spans="1:12" ht="16.2" x14ac:dyDescent="0.4">
      <c r="A492" s="15" t="str">
        <f t="shared" si="7"/>
        <v>lt002_instrumentinstrmnt_id</v>
      </c>
      <c r="B492" s="51" t="s">
        <v>11</v>
      </c>
      <c r="C492" s="48" t="s">
        <v>11</v>
      </c>
      <c r="D492" s="44" t="s">
        <v>18</v>
      </c>
      <c r="E492" s="47" t="s">
        <v>336</v>
      </c>
      <c r="F492" s="47" t="s">
        <v>356</v>
      </c>
      <c r="G492" s="46" t="s">
        <v>12</v>
      </c>
      <c r="H492" s="46" t="s">
        <v>12</v>
      </c>
      <c r="I492" s="53" t="s">
        <v>468</v>
      </c>
      <c r="J492" s="63" t="s">
        <v>530</v>
      </c>
      <c r="K492" s="63" t="s">
        <v>530</v>
      </c>
      <c r="L492" s="63" t="s">
        <v>530</v>
      </c>
    </row>
    <row r="493" spans="1:12" ht="16.2" x14ac:dyDescent="0.4">
      <c r="A493" s="15" t="str">
        <f t="shared" si="7"/>
        <v>lt002_instrumentdt_incptn</v>
      </c>
      <c r="B493" s="51" t="s">
        <v>11</v>
      </c>
      <c r="C493" s="48" t="s">
        <v>11</v>
      </c>
      <c r="D493" s="44" t="s">
        <v>18</v>
      </c>
      <c r="E493" s="47" t="s">
        <v>336</v>
      </c>
      <c r="F493" s="47" t="s">
        <v>357</v>
      </c>
      <c r="G493" s="46" t="s">
        <v>12</v>
      </c>
      <c r="H493" s="46" t="s">
        <v>12</v>
      </c>
      <c r="I493" s="53" t="s">
        <v>468</v>
      </c>
      <c r="J493" s="63" t="s">
        <v>530</v>
      </c>
      <c r="K493" s="63" t="s">
        <v>530</v>
      </c>
      <c r="L493" s="63" t="s">
        <v>530</v>
      </c>
    </row>
    <row r="494" spans="1:12" ht="16.2" x14ac:dyDescent="0.4">
      <c r="A494" s="15" t="str">
        <f t="shared" si="7"/>
        <v>lt002_instrumentdflt_stts_instrmnt</v>
      </c>
      <c r="B494" s="51" t="s">
        <v>11</v>
      </c>
      <c r="C494" s="48" t="s">
        <v>11</v>
      </c>
      <c r="D494" s="44" t="s">
        <v>18</v>
      </c>
      <c r="E494" s="47" t="s">
        <v>336</v>
      </c>
      <c r="F494" s="47" t="s">
        <v>358</v>
      </c>
      <c r="G494" s="46" t="s">
        <v>12</v>
      </c>
      <c r="H494" s="46" t="s">
        <v>12</v>
      </c>
      <c r="I494" s="53" t="s">
        <v>468</v>
      </c>
      <c r="J494" s="63" t="s">
        <v>530</v>
      </c>
      <c r="K494" s="63" t="s">
        <v>530</v>
      </c>
      <c r="L494" s="63" t="s">
        <v>530</v>
      </c>
    </row>
    <row r="495" spans="1:12" ht="16.2" x14ac:dyDescent="0.4">
      <c r="A495" s="15" t="str">
        <f t="shared" si="7"/>
        <v>lt002_instrumentimprmnt_stts</v>
      </c>
      <c r="B495" s="51" t="s">
        <v>11</v>
      </c>
      <c r="C495" s="48" t="s">
        <v>11</v>
      </c>
      <c r="D495" s="44" t="s">
        <v>18</v>
      </c>
      <c r="E495" s="47" t="s">
        <v>336</v>
      </c>
      <c r="F495" s="47" t="s">
        <v>359</v>
      </c>
      <c r="G495" s="46" t="s">
        <v>12</v>
      </c>
      <c r="H495" s="46" t="s">
        <v>12</v>
      </c>
      <c r="I495" s="53" t="s">
        <v>468</v>
      </c>
      <c r="J495" s="63" t="s">
        <v>530</v>
      </c>
      <c r="K495" s="63" t="s">
        <v>530</v>
      </c>
      <c r="L495" s="63" t="s">
        <v>530</v>
      </c>
    </row>
    <row r="496" spans="1:12" ht="16.2" x14ac:dyDescent="0.4">
      <c r="A496" s="15" t="str">
        <f t="shared" si="7"/>
        <v>lt002_instrumentprfrmng_stts</v>
      </c>
      <c r="B496" s="51" t="s">
        <v>11</v>
      </c>
      <c r="C496" s="48" t="s">
        <v>11</v>
      </c>
      <c r="D496" s="44" t="s">
        <v>18</v>
      </c>
      <c r="E496" s="47" t="s">
        <v>336</v>
      </c>
      <c r="F496" s="47" t="s">
        <v>360</v>
      </c>
      <c r="G496" s="46" t="s">
        <v>12</v>
      </c>
      <c r="H496" s="46" t="s">
        <v>12</v>
      </c>
      <c r="I496" s="53" t="s">
        <v>468</v>
      </c>
      <c r="J496" s="63" t="s">
        <v>530</v>
      </c>
      <c r="K496" s="63" t="s">
        <v>530</v>
      </c>
      <c r="L496" s="63" t="s">
        <v>530</v>
      </c>
    </row>
    <row r="497" spans="1:12" ht="16.2" x14ac:dyDescent="0.4">
      <c r="A497" s="15" t="str">
        <f t="shared" si="7"/>
        <v>lt002_instrumentprjct_fnnc_ln</v>
      </c>
      <c r="B497" s="51" t="s">
        <v>11</v>
      </c>
      <c r="C497" s="48" t="s">
        <v>11</v>
      </c>
      <c r="D497" s="44" t="s">
        <v>18</v>
      </c>
      <c r="E497" s="47" t="s">
        <v>336</v>
      </c>
      <c r="F497" s="47" t="s">
        <v>361</v>
      </c>
      <c r="G497" s="46" t="s">
        <v>12</v>
      </c>
      <c r="H497" s="46" t="s">
        <v>12</v>
      </c>
      <c r="I497" s="53" t="s">
        <v>468</v>
      </c>
      <c r="J497" s="63" t="s">
        <v>530</v>
      </c>
      <c r="K497" s="63" t="s">
        <v>530</v>
      </c>
      <c r="L497" s="63" t="s">
        <v>530</v>
      </c>
    </row>
    <row r="498" spans="1:12" ht="16.2" x14ac:dyDescent="0.4">
      <c r="A498" s="15" t="str">
        <f t="shared" si="7"/>
        <v>lt002_instrumenttyp_instrmnt</v>
      </c>
      <c r="B498" s="51" t="s">
        <v>11</v>
      </c>
      <c r="C498" s="48" t="s">
        <v>11</v>
      </c>
      <c r="D498" s="44" t="s">
        <v>18</v>
      </c>
      <c r="E498" s="47" t="s">
        <v>336</v>
      </c>
      <c r="F498" s="47" t="s">
        <v>362</v>
      </c>
      <c r="G498" s="46" t="s">
        <v>12</v>
      </c>
      <c r="H498" s="46" t="s">
        <v>12</v>
      </c>
      <c r="I498" s="53" t="s">
        <v>468</v>
      </c>
      <c r="J498" s="63" t="s">
        <v>530</v>
      </c>
      <c r="K498" s="63" t="s">
        <v>530</v>
      </c>
      <c r="L498" s="63" t="s">
        <v>530</v>
      </c>
    </row>
    <row r="499" spans="1:12" ht="16.2" x14ac:dyDescent="0.4">
      <c r="A499" s="15" t="str">
        <f t="shared" si="7"/>
        <v>lt002_instrumentgrss_crryng_amnt_instrmnt</v>
      </c>
      <c r="B499" s="51" t="s">
        <v>11</v>
      </c>
      <c r="C499" s="48" t="s">
        <v>11</v>
      </c>
      <c r="D499" s="44" t="s">
        <v>18</v>
      </c>
      <c r="E499" s="47" t="s">
        <v>336</v>
      </c>
      <c r="F499" s="47" t="s">
        <v>363</v>
      </c>
      <c r="G499" s="46" t="s">
        <v>12</v>
      </c>
      <c r="H499" s="46" t="s">
        <v>12</v>
      </c>
      <c r="I499" s="53" t="s">
        <v>468</v>
      </c>
      <c r="J499" s="63" t="s">
        <v>530</v>
      </c>
      <c r="K499" s="63" t="s">
        <v>530</v>
      </c>
      <c r="L499" s="63" t="s">
        <v>530</v>
      </c>
    </row>
    <row r="500" spans="1:12" ht="16.2" x14ac:dyDescent="0.4">
      <c r="A500" s="15" t="str">
        <f t="shared" si="7"/>
        <v>lt002_instrumentaccmltd_chngs_fv_cr_instrmnt</v>
      </c>
      <c r="B500" s="51" t="s">
        <v>11</v>
      </c>
      <c r="C500" s="48" t="s">
        <v>11</v>
      </c>
      <c r="D500" s="44" t="s">
        <v>18</v>
      </c>
      <c r="E500" s="47" t="s">
        <v>336</v>
      </c>
      <c r="F500" s="47" t="s">
        <v>364</v>
      </c>
      <c r="G500" s="46" t="s">
        <v>12</v>
      </c>
      <c r="H500" s="46" t="s">
        <v>12</v>
      </c>
      <c r="I500" s="53" t="s">
        <v>468</v>
      </c>
      <c r="J500" s="63" t="s">
        <v>530</v>
      </c>
      <c r="K500" s="63" t="s">
        <v>530</v>
      </c>
      <c r="L500" s="63" t="s">
        <v>530</v>
      </c>
    </row>
    <row r="501" spans="1:12" ht="16.2" x14ac:dyDescent="0.4">
      <c r="A501" s="15" t="str">
        <f t="shared" si="7"/>
        <v>lt002_instrumentaccntng_clssfctn</v>
      </c>
      <c r="B501" s="51" t="s">
        <v>11</v>
      </c>
      <c r="C501" s="48" t="s">
        <v>11</v>
      </c>
      <c r="D501" s="44" t="s">
        <v>18</v>
      </c>
      <c r="E501" s="47" t="s">
        <v>336</v>
      </c>
      <c r="F501" s="47" t="s">
        <v>365</v>
      </c>
      <c r="G501" s="46" t="s">
        <v>12</v>
      </c>
      <c r="H501" s="46" t="s">
        <v>12</v>
      </c>
      <c r="I501" s="53" t="s">
        <v>468</v>
      </c>
      <c r="J501" s="63" t="s">
        <v>530</v>
      </c>
      <c r="K501" s="63" t="s">
        <v>530</v>
      </c>
      <c r="L501" s="63" t="s">
        <v>530</v>
      </c>
    </row>
    <row r="502" spans="1:12" ht="16.2" x14ac:dyDescent="0.4">
      <c r="A502" s="15" t="str">
        <f t="shared" si="7"/>
        <v>lt002_instrumentdt_lgl_fnl_mtrty</v>
      </c>
      <c r="B502" s="51" t="s">
        <v>11</v>
      </c>
      <c r="C502" s="48" t="s">
        <v>11</v>
      </c>
      <c r="D502" s="44" t="s">
        <v>18</v>
      </c>
      <c r="E502" s="47" t="s">
        <v>336</v>
      </c>
      <c r="F502" s="47" t="s">
        <v>366</v>
      </c>
      <c r="G502" s="46" t="s">
        <v>12</v>
      </c>
      <c r="H502" s="46" t="s">
        <v>12</v>
      </c>
      <c r="I502" s="53" t="s">
        <v>468</v>
      </c>
      <c r="J502" s="63" t="s">
        <v>530</v>
      </c>
      <c r="K502" s="63" t="s">
        <v>530</v>
      </c>
      <c r="L502" s="63" t="s">
        <v>530</v>
      </c>
    </row>
    <row r="503" spans="1:12" ht="16.2" x14ac:dyDescent="0.4">
      <c r="A503" s="15" t="str">
        <f t="shared" si="7"/>
        <v>lt002_instrumentaccmltd_imprmnt_instrmnt</v>
      </c>
      <c r="B503" s="51" t="s">
        <v>11</v>
      </c>
      <c r="C503" s="48" t="s">
        <v>11</v>
      </c>
      <c r="D503" s="44" t="s">
        <v>18</v>
      </c>
      <c r="E503" s="47" t="s">
        <v>336</v>
      </c>
      <c r="F503" s="47" t="s">
        <v>367</v>
      </c>
      <c r="G503" s="46" t="s">
        <v>12</v>
      </c>
      <c r="H503" s="46" t="s">
        <v>12</v>
      </c>
      <c r="I503" s="53" t="s">
        <v>468</v>
      </c>
      <c r="J503" s="63" t="s">
        <v>530</v>
      </c>
      <c r="K503" s="63" t="s">
        <v>530</v>
      </c>
      <c r="L503" s="63" t="s">
        <v>530</v>
      </c>
    </row>
    <row r="504" spans="1:12" ht="16.2" x14ac:dyDescent="0.4">
      <c r="A504" s="15" t="str">
        <f t="shared" si="7"/>
        <v>lt002_instrumentissr_cntry</v>
      </c>
      <c r="B504" s="51" t="s">
        <v>11</v>
      </c>
      <c r="C504" s="48" t="s">
        <v>11</v>
      </c>
      <c r="D504" s="44" t="s">
        <v>18</v>
      </c>
      <c r="E504" s="47" t="s">
        <v>336</v>
      </c>
      <c r="F504" s="47" t="s">
        <v>368</v>
      </c>
      <c r="G504" s="46" t="s">
        <v>12</v>
      </c>
      <c r="H504" s="46" t="s">
        <v>12</v>
      </c>
      <c r="I504" s="53" t="s">
        <v>468</v>
      </c>
      <c r="J504" s="63" t="s">
        <v>530</v>
      </c>
      <c r="K504" s="63" t="s">
        <v>530</v>
      </c>
      <c r="L504" s="63" t="s">
        <v>530</v>
      </c>
    </row>
    <row r="505" spans="1:12" ht="16.2" x14ac:dyDescent="0.4">
      <c r="A505" s="15" t="str">
        <f t="shared" si="7"/>
        <v>lt002_instrumentissr_nace_sctr</v>
      </c>
      <c r="B505" s="51" t="s">
        <v>11</v>
      </c>
      <c r="C505" s="48" t="s">
        <v>11</v>
      </c>
      <c r="D505" s="44" t="s">
        <v>18</v>
      </c>
      <c r="E505" s="47" t="s">
        <v>336</v>
      </c>
      <c r="F505" s="47" t="s">
        <v>369</v>
      </c>
      <c r="G505" s="46" t="s">
        <v>12</v>
      </c>
      <c r="H505" s="46" t="s">
        <v>12</v>
      </c>
      <c r="I505" s="53" t="s">
        <v>468</v>
      </c>
      <c r="J505" s="63" t="s">
        <v>530</v>
      </c>
      <c r="K505" s="63" t="s">
        <v>530</v>
      </c>
      <c r="L505" s="63" t="s">
        <v>530</v>
      </c>
    </row>
    <row r="506" spans="1:12" ht="16.2" x14ac:dyDescent="0.4">
      <c r="A506" s="15" t="str">
        <f t="shared" si="7"/>
        <v>lt002_instrumentprmry_asst_clssf</v>
      </c>
      <c r="B506" s="51" t="s">
        <v>11</v>
      </c>
      <c r="C506" s="48" t="s">
        <v>11</v>
      </c>
      <c r="D506" s="44" t="s">
        <v>18</v>
      </c>
      <c r="E506" s="47" t="s">
        <v>336</v>
      </c>
      <c r="F506" s="47" t="s">
        <v>370</v>
      </c>
      <c r="G506" s="46" t="s">
        <v>12</v>
      </c>
      <c r="H506" s="46" t="s">
        <v>12</v>
      </c>
      <c r="I506" s="53" t="s">
        <v>468</v>
      </c>
      <c r="J506" s="63" t="s">
        <v>530</v>
      </c>
      <c r="K506" s="63" t="s">
        <v>530</v>
      </c>
      <c r="L506" s="63" t="s">
        <v>530</v>
      </c>
    </row>
    <row r="507" spans="1:12" ht="16.2" x14ac:dyDescent="0.4">
      <c r="A507" s="15" t="str">
        <f t="shared" si="7"/>
        <v>lt002_instrumentsubportfolio_id</v>
      </c>
      <c r="B507" s="51" t="s">
        <v>11</v>
      </c>
      <c r="C507" s="48" t="s">
        <v>11</v>
      </c>
      <c r="D507" s="44" t="s">
        <v>18</v>
      </c>
      <c r="E507" s="47" t="s">
        <v>336</v>
      </c>
      <c r="F507" s="47" t="s">
        <v>371</v>
      </c>
      <c r="G507" s="46" t="s">
        <v>12</v>
      </c>
      <c r="H507" s="46" t="s">
        <v>12</v>
      </c>
      <c r="I507" s="53" t="s">
        <v>468</v>
      </c>
      <c r="J507" s="63" t="s">
        <v>530</v>
      </c>
      <c r="K507" s="63" t="s">
        <v>530</v>
      </c>
      <c r="L507" s="63" t="s">
        <v>530</v>
      </c>
    </row>
    <row r="508" spans="1:12" ht="16.2" x14ac:dyDescent="0.4">
      <c r="A508" s="15" t="str">
        <f t="shared" si="7"/>
        <v>lt002_instrumentcod_soc</v>
      </c>
      <c r="B508" s="51" t="s">
        <v>11</v>
      </c>
      <c r="C508" s="48" t="s">
        <v>11</v>
      </c>
      <c r="D508" s="44" t="s">
        <v>18</v>
      </c>
      <c r="E508" s="47" t="s">
        <v>336</v>
      </c>
      <c r="F508" s="47" t="s">
        <v>372</v>
      </c>
      <c r="G508" s="46" t="s">
        <v>12</v>
      </c>
      <c r="H508" s="46" t="s">
        <v>12</v>
      </c>
      <c r="I508" s="53" t="s">
        <v>468</v>
      </c>
      <c r="J508" s="63" t="s">
        <v>530</v>
      </c>
      <c r="K508" s="63" t="s">
        <v>530</v>
      </c>
      <c r="L508" s="63" t="s">
        <v>530</v>
      </c>
    </row>
    <row r="509" spans="1:12" ht="16.2" x14ac:dyDescent="0.4">
      <c r="A509" s="15" t="str">
        <f t="shared" si="7"/>
        <v>lt002_instrumentlcl_instmrnt_id</v>
      </c>
      <c r="B509" s="51" t="s">
        <v>11</v>
      </c>
      <c r="C509" s="48" t="s">
        <v>11</v>
      </c>
      <c r="D509" s="44" t="s">
        <v>18</v>
      </c>
      <c r="E509" s="47" t="s">
        <v>336</v>
      </c>
      <c r="F509" s="47" t="s">
        <v>373</v>
      </c>
      <c r="G509" s="46" t="s">
        <v>12</v>
      </c>
      <c r="H509" s="46" t="s">
        <v>12</v>
      </c>
      <c r="I509" s="53" t="s">
        <v>468</v>
      </c>
      <c r="J509" s="63" t="s">
        <v>530</v>
      </c>
      <c r="K509" s="63" t="s">
        <v>530</v>
      </c>
      <c r="L509" s="63" t="s">
        <v>530</v>
      </c>
    </row>
    <row r="510" spans="1:12" ht="16.2" x14ac:dyDescent="0.4">
      <c r="A510" s="15" t="str">
        <f t="shared" si="7"/>
        <v>lt002_instrumentsstnbl_indctr</v>
      </c>
      <c r="B510" s="51" t="s">
        <v>11</v>
      </c>
      <c r="C510" s="48" t="s">
        <v>11</v>
      </c>
      <c r="D510" s="44" t="s">
        <v>18</v>
      </c>
      <c r="E510" s="47" t="s">
        <v>336</v>
      </c>
      <c r="F510" s="47" t="s">
        <v>374</v>
      </c>
      <c r="G510" s="46" t="s">
        <v>12</v>
      </c>
      <c r="H510" s="46" t="s">
        <v>12</v>
      </c>
      <c r="I510" s="53" t="s">
        <v>468</v>
      </c>
      <c r="J510" s="63" t="s">
        <v>530</v>
      </c>
      <c r="K510" s="63" t="s">
        <v>530</v>
      </c>
      <c r="L510" s="63" t="s">
        <v>530</v>
      </c>
    </row>
    <row r="511" spans="1:12" ht="16.2" x14ac:dyDescent="0.4">
      <c r="A511" s="15" t="str">
        <f t="shared" si="7"/>
        <v>lt002_instrumentsstnbl_ctgry</v>
      </c>
      <c r="B511" s="51" t="s">
        <v>11</v>
      </c>
      <c r="C511" s="48" t="s">
        <v>11</v>
      </c>
      <c r="D511" s="44" t="s">
        <v>18</v>
      </c>
      <c r="E511" s="47" t="s">
        <v>336</v>
      </c>
      <c r="F511" s="47" t="s">
        <v>375</v>
      </c>
      <c r="G511" s="46" t="s">
        <v>12</v>
      </c>
      <c r="H511" s="46" t="s">
        <v>12</v>
      </c>
      <c r="I511" s="53" t="s">
        <v>468</v>
      </c>
      <c r="J511" s="63" t="s">
        <v>530</v>
      </c>
      <c r="K511" s="63" t="s">
        <v>530</v>
      </c>
      <c r="L511" s="63" t="s">
        <v>530</v>
      </c>
    </row>
    <row r="512" spans="1:12" ht="16.2" x14ac:dyDescent="0.4">
      <c r="A512" s="15" t="str">
        <f t="shared" si="7"/>
        <v>lt002_instrumentgrss_intrst_incm</v>
      </c>
      <c r="B512" s="51" t="s">
        <v>11</v>
      </c>
      <c r="C512" s="48" t="s">
        <v>11</v>
      </c>
      <c r="D512" s="44" t="s">
        <v>18</v>
      </c>
      <c r="E512" s="47" t="s">
        <v>336</v>
      </c>
      <c r="F512" s="47" t="s">
        <v>376</v>
      </c>
      <c r="G512" s="46" t="s">
        <v>12</v>
      </c>
      <c r="H512" s="46" t="s">
        <v>12</v>
      </c>
      <c r="I512" s="53" t="s">
        <v>468</v>
      </c>
      <c r="J512" s="63" t="s">
        <v>530</v>
      </c>
      <c r="K512" s="63" t="s">
        <v>530</v>
      </c>
      <c r="L512" s="63" t="s">
        <v>530</v>
      </c>
    </row>
    <row r="513" spans="1:12" ht="16.2" x14ac:dyDescent="0.4">
      <c r="A513" s="15" t="str">
        <f t="shared" si="7"/>
        <v>lt002_instrumentgrss_cmmssn_incm</v>
      </c>
      <c r="B513" s="51" t="s">
        <v>11</v>
      </c>
      <c r="C513" s="48" t="s">
        <v>11</v>
      </c>
      <c r="D513" s="44" t="s">
        <v>18</v>
      </c>
      <c r="E513" s="47" t="s">
        <v>336</v>
      </c>
      <c r="F513" s="47" t="s">
        <v>377</v>
      </c>
      <c r="G513" s="46" t="s">
        <v>12</v>
      </c>
      <c r="H513" s="46" t="s">
        <v>12</v>
      </c>
      <c r="I513" s="53" t="s">
        <v>468</v>
      </c>
      <c r="J513" s="63" t="s">
        <v>530</v>
      </c>
      <c r="K513" s="63" t="s">
        <v>530</v>
      </c>
      <c r="L513" s="63" t="s">
        <v>530</v>
      </c>
    </row>
    <row r="514" spans="1:12" ht="16.2" x14ac:dyDescent="0.4">
      <c r="A514" s="15" t="str">
        <f t="shared" si="7"/>
        <v>lt002_instrumentgrss_cmmssn_incm_off_blnc</v>
      </c>
      <c r="B514" s="51" t="s">
        <v>11</v>
      </c>
      <c r="C514" s="48" t="s">
        <v>11</v>
      </c>
      <c r="D514" s="44" t="s">
        <v>18</v>
      </c>
      <c r="E514" s="47" t="s">
        <v>336</v>
      </c>
      <c r="F514" s="47" t="s">
        <v>378</v>
      </c>
      <c r="G514" s="46" t="s">
        <v>12</v>
      </c>
      <c r="H514" s="46" t="s">
        <v>12</v>
      </c>
      <c r="I514" s="53" t="s">
        <v>468</v>
      </c>
      <c r="J514" s="63" t="s">
        <v>530</v>
      </c>
      <c r="K514" s="63" t="s">
        <v>530</v>
      </c>
      <c r="L514" s="63" t="s">
        <v>530</v>
      </c>
    </row>
    <row r="515" spans="1:12" ht="16.2" x14ac:dyDescent="0.4">
      <c r="A515" s="15" t="str">
        <f t="shared" si="7"/>
        <v>lt002_instrumentidcmb</v>
      </c>
      <c r="B515" s="51" t="s">
        <v>11</v>
      </c>
      <c r="C515" s="48" t="s">
        <v>11</v>
      </c>
      <c r="D515" s="44" t="s">
        <v>18</v>
      </c>
      <c r="E515" s="47" t="s">
        <v>336</v>
      </c>
      <c r="F515" s="47" t="s">
        <v>379</v>
      </c>
      <c r="G515" s="46" t="s">
        <v>12</v>
      </c>
      <c r="H515" s="46" t="s">
        <v>12</v>
      </c>
      <c r="I515" s="53" t="s">
        <v>468</v>
      </c>
      <c r="J515" s="63" t="s">
        <v>530</v>
      </c>
      <c r="K515" s="63" t="s">
        <v>530</v>
      </c>
      <c r="L515" s="63" t="s">
        <v>530</v>
      </c>
    </row>
    <row r="516" spans="1:12" ht="16.2" x14ac:dyDescent="0.4">
      <c r="A516" s="15" t="str">
        <f t="shared" si="7"/>
        <v>lt003_entitycntry</v>
      </c>
      <c r="B516" s="51" t="s">
        <v>11</v>
      </c>
      <c r="C516" s="48" t="s">
        <v>11</v>
      </c>
      <c r="D516" s="44" t="s">
        <v>18</v>
      </c>
      <c r="E516" s="47" t="s">
        <v>293</v>
      </c>
      <c r="F516" s="47" t="s">
        <v>380</v>
      </c>
      <c r="G516" s="46" t="s">
        <v>437</v>
      </c>
      <c r="H516" s="46" t="s">
        <v>12</v>
      </c>
      <c r="I516" s="53" t="s">
        <v>468</v>
      </c>
      <c r="J516" s="63" t="s">
        <v>530</v>
      </c>
      <c r="K516" s="63" t="s">
        <v>530</v>
      </c>
      <c r="L516" s="63" t="s">
        <v>530</v>
      </c>
    </row>
    <row r="517" spans="1:12" ht="16.2" x14ac:dyDescent="0.4">
      <c r="A517" s="15" t="str">
        <f t="shared" si="7"/>
        <v>lt003_entitydt_rfrnc</v>
      </c>
      <c r="B517" s="51" t="s">
        <v>11</v>
      </c>
      <c r="C517" s="48" t="s">
        <v>11</v>
      </c>
      <c r="D517" s="44" t="s">
        <v>18</v>
      </c>
      <c r="E517" s="47" t="s">
        <v>293</v>
      </c>
      <c r="F517" s="47" t="s">
        <v>355</v>
      </c>
      <c r="G517" s="46" t="s">
        <v>12</v>
      </c>
      <c r="H517" s="46" t="s">
        <v>12</v>
      </c>
      <c r="I517" s="53" t="s">
        <v>468</v>
      </c>
      <c r="J517" s="63" t="s">
        <v>530</v>
      </c>
      <c r="K517" s="63" t="s">
        <v>530</v>
      </c>
      <c r="L517" s="63" t="s">
        <v>530</v>
      </c>
    </row>
    <row r="518" spans="1:12" ht="16.2" x14ac:dyDescent="0.4">
      <c r="A518" s="15" t="str">
        <f t="shared" si="7"/>
        <v>lt003_entityentty_id</v>
      </c>
      <c r="B518" s="51" t="s">
        <v>11</v>
      </c>
      <c r="C518" s="48" t="s">
        <v>11</v>
      </c>
      <c r="D518" s="44" t="s">
        <v>18</v>
      </c>
      <c r="E518" s="47" t="s">
        <v>293</v>
      </c>
      <c r="F518" s="47" t="s">
        <v>381</v>
      </c>
      <c r="G518" s="46" t="s">
        <v>12</v>
      </c>
      <c r="H518" s="46" t="s">
        <v>12</v>
      </c>
      <c r="I518" s="53" t="s">
        <v>468</v>
      </c>
      <c r="J518" s="63" t="s">
        <v>530</v>
      </c>
      <c r="K518" s="63" t="s">
        <v>530</v>
      </c>
      <c r="L518" s="63" t="s">
        <v>530</v>
      </c>
    </row>
    <row r="519" spans="1:12" ht="16.2" x14ac:dyDescent="0.4">
      <c r="A519" s="15" t="str">
        <f t="shared" si="7"/>
        <v>lt003_entitylei</v>
      </c>
      <c r="B519" s="51" t="s">
        <v>11</v>
      </c>
      <c r="C519" s="48" t="s">
        <v>11</v>
      </c>
      <c r="D519" s="44" t="s">
        <v>18</v>
      </c>
      <c r="E519" s="47" t="s">
        <v>293</v>
      </c>
      <c r="F519" s="47" t="s">
        <v>382</v>
      </c>
      <c r="G519" s="46" t="s">
        <v>152</v>
      </c>
      <c r="H519" s="46" t="s">
        <v>12</v>
      </c>
      <c r="I519" s="53" t="s">
        <v>468</v>
      </c>
      <c r="J519" s="63" t="s">
        <v>530</v>
      </c>
      <c r="K519" s="63" t="s">
        <v>530</v>
      </c>
      <c r="L519" s="63" t="s">
        <v>530</v>
      </c>
    </row>
    <row r="520" spans="1:12" ht="16.2" x14ac:dyDescent="0.4">
      <c r="A520" s="15" t="str">
        <f t="shared" ref="A520:A583" si="8">E520&amp;F520</f>
        <v>lt003_entityecnmc_actvty</v>
      </c>
      <c r="B520" s="51" t="s">
        <v>11</v>
      </c>
      <c r="C520" s="48" t="s">
        <v>11</v>
      </c>
      <c r="D520" s="44" t="s">
        <v>18</v>
      </c>
      <c r="E520" s="47" t="s">
        <v>293</v>
      </c>
      <c r="F520" s="47" t="s">
        <v>383</v>
      </c>
      <c r="G520" s="46" t="s">
        <v>152</v>
      </c>
      <c r="H520" s="46" t="s">
        <v>12</v>
      </c>
      <c r="I520" s="53" t="s">
        <v>468</v>
      </c>
      <c r="J520" s="63" t="s">
        <v>530</v>
      </c>
      <c r="K520" s="63" t="s">
        <v>530</v>
      </c>
      <c r="L520" s="63" t="s">
        <v>530</v>
      </c>
    </row>
    <row r="521" spans="1:12" ht="16.2" x14ac:dyDescent="0.4">
      <c r="A521" s="15" t="str">
        <f t="shared" si="8"/>
        <v>lt003_entitygrp_eqty</v>
      </c>
      <c r="B521" s="51" t="s">
        <v>11</v>
      </c>
      <c r="C521" s="48" t="s">
        <v>11</v>
      </c>
      <c r="D521" s="44" t="s">
        <v>18</v>
      </c>
      <c r="E521" s="47" t="s">
        <v>293</v>
      </c>
      <c r="F521" s="47" t="s">
        <v>384</v>
      </c>
      <c r="G521" s="46" t="s">
        <v>152</v>
      </c>
      <c r="H521" s="46" t="s">
        <v>12</v>
      </c>
      <c r="I521" s="53" t="s">
        <v>468</v>
      </c>
      <c r="J521" s="63" t="s">
        <v>530</v>
      </c>
      <c r="K521" s="63" t="s">
        <v>530</v>
      </c>
      <c r="L521" s="63" t="s">
        <v>530</v>
      </c>
    </row>
    <row r="522" spans="1:12" ht="16.2" x14ac:dyDescent="0.4">
      <c r="A522" s="15" t="str">
        <f t="shared" si="8"/>
        <v>lt003_entityannl_trnvr_le</v>
      </c>
      <c r="B522" s="51" t="s">
        <v>11</v>
      </c>
      <c r="C522" s="48" t="s">
        <v>11</v>
      </c>
      <c r="D522" s="44" t="s">
        <v>18</v>
      </c>
      <c r="E522" s="47" t="s">
        <v>293</v>
      </c>
      <c r="F522" s="47" t="s">
        <v>385</v>
      </c>
      <c r="G522" s="46" t="s">
        <v>152</v>
      </c>
      <c r="H522" s="46" t="s">
        <v>12</v>
      </c>
      <c r="I522" s="53" t="s">
        <v>468</v>
      </c>
      <c r="J522" s="63" t="s">
        <v>530</v>
      </c>
      <c r="K522" s="63" t="s">
        <v>530</v>
      </c>
      <c r="L522" s="63" t="s">
        <v>530</v>
      </c>
    </row>
    <row r="523" spans="1:12" ht="16.2" x14ac:dyDescent="0.4">
      <c r="A523" s="15" t="str">
        <f t="shared" si="8"/>
        <v>lt003_entityeqty</v>
      </c>
      <c r="B523" s="51" t="s">
        <v>11</v>
      </c>
      <c r="C523" s="48" t="s">
        <v>11</v>
      </c>
      <c r="D523" s="44" t="s">
        <v>18</v>
      </c>
      <c r="E523" s="47" t="s">
        <v>293</v>
      </c>
      <c r="F523" s="47" t="s">
        <v>386</v>
      </c>
      <c r="G523" s="46" t="s">
        <v>152</v>
      </c>
      <c r="H523" s="46" t="s">
        <v>12</v>
      </c>
      <c r="I523" s="53" t="s">
        <v>468</v>
      </c>
      <c r="J523" s="63" t="s">
        <v>530</v>
      </c>
      <c r="K523" s="63" t="s">
        <v>530</v>
      </c>
      <c r="L523" s="63" t="s">
        <v>530</v>
      </c>
    </row>
    <row r="524" spans="1:12" ht="16.2" x14ac:dyDescent="0.4">
      <c r="A524" s="15" t="str">
        <f t="shared" si="8"/>
        <v>lt003_entitygrp_ttl_dbt</v>
      </c>
      <c r="B524" s="51" t="s">
        <v>11</v>
      </c>
      <c r="C524" s="48" t="s">
        <v>11</v>
      </c>
      <c r="D524" s="44" t="s">
        <v>18</v>
      </c>
      <c r="E524" s="47" t="s">
        <v>293</v>
      </c>
      <c r="F524" s="47" t="s">
        <v>387</v>
      </c>
      <c r="G524" s="46" t="s">
        <v>152</v>
      </c>
      <c r="H524" s="46" t="s">
        <v>12</v>
      </c>
      <c r="I524" s="53" t="s">
        <v>468</v>
      </c>
      <c r="J524" s="63" t="s">
        <v>530</v>
      </c>
      <c r="K524" s="63" t="s">
        <v>530</v>
      </c>
      <c r="L524" s="63" t="s">
        <v>530</v>
      </c>
    </row>
    <row r="525" spans="1:12" ht="16.2" x14ac:dyDescent="0.4">
      <c r="A525" s="15" t="str">
        <f t="shared" si="8"/>
        <v>lt003_entityttl_dbt</v>
      </c>
      <c r="B525" s="51" t="s">
        <v>11</v>
      </c>
      <c r="C525" s="48" t="s">
        <v>11</v>
      </c>
      <c r="D525" s="44" t="s">
        <v>18</v>
      </c>
      <c r="E525" s="47" t="s">
        <v>293</v>
      </c>
      <c r="F525" s="47" t="s">
        <v>388</v>
      </c>
      <c r="G525" s="46" t="s">
        <v>152</v>
      </c>
      <c r="H525" s="46" t="s">
        <v>12</v>
      </c>
      <c r="I525" s="53" t="s">
        <v>468</v>
      </c>
      <c r="J525" s="63" t="s">
        <v>530</v>
      </c>
      <c r="K525" s="63" t="s">
        <v>530</v>
      </c>
      <c r="L525" s="63" t="s">
        <v>530</v>
      </c>
    </row>
    <row r="526" spans="1:12" ht="16.2" x14ac:dyDescent="0.4">
      <c r="A526" s="15" t="str">
        <f t="shared" si="8"/>
        <v>lt003_entitycod_soc</v>
      </c>
      <c r="B526" s="51" t="s">
        <v>11</v>
      </c>
      <c r="C526" s="48" t="s">
        <v>11</v>
      </c>
      <c r="D526" s="44" t="s">
        <v>18</v>
      </c>
      <c r="E526" s="47" t="s">
        <v>293</v>
      </c>
      <c r="F526" s="47" t="s">
        <v>372</v>
      </c>
      <c r="G526" s="46" t="s">
        <v>437</v>
      </c>
      <c r="H526" s="46" t="s">
        <v>12</v>
      </c>
      <c r="I526" s="53" t="s">
        <v>468</v>
      </c>
      <c r="J526" s="63" t="s">
        <v>530</v>
      </c>
      <c r="K526" s="63" t="s">
        <v>530</v>
      </c>
      <c r="L526" s="63" t="s">
        <v>530</v>
      </c>
    </row>
    <row r="527" spans="1:12" ht="16.2" x14ac:dyDescent="0.4">
      <c r="A527" s="15" t="str">
        <f t="shared" si="8"/>
        <v>lt004_protectiondt_rfrnc</v>
      </c>
      <c r="B527" s="51" t="s">
        <v>11</v>
      </c>
      <c r="C527" s="48" t="s">
        <v>11</v>
      </c>
      <c r="D527" s="44" t="s">
        <v>18</v>
      </c>
      <c r="E527" s="47" t="s">
        <v>325</v>
      </c>
      <c r="F527" s="47" t="s">
        <v>355</v>
      </c>
      <c r="G527" s="46" t="s">
        <v>12</v>
      </c>
      <c r="H527" s="46" t="s">
        <v>12</v>
      </c>
      <c r="I527" s="53" t="s">
        <v>468</v>
      </c>
      <c r="J527" s="63" t="s">
        <v>530</v>
      </c>
      <c r="K527" s="63" t="s">
        <v>530</v>
      </c>
      <c r="L527" s="63" t="s">
        <v>530</v>
      </c>
    </row>
    <row r="528" spans="1:12" ht="16.2" x14ac:dyDescent="0.4">
      <c r="A528" s="15" t="str">
        <f t="shared" si="8"/>
        <v>lt004_protectionprtctn_id</v>
      </c>
      <c r="B528" s="51" t="s">
        <v>11</v>
      </c>
      <c r="C528" s="48" t="s">
        <v>11</v>
      </c>
      <c r="D528" s="44" t="s">
        <v>18</v>
      </c>
      <c r="E528" s="47" t="s">
        <v>325</v>
      </c>
      <c r="F528" s="47" t="s">
        <v>389</v>
      </c>
      <c r="G528" s="46" t="s">
        <v>12</v>
      </c>
      <c r="H528" s="46" t="s">
        <v>12</v>
      </c>
      <c r="I528" s="53" t="s">
        <v>468</v>
      </c>
      <c r="J528" s="63" t="s">
        <v>530</v>
      </c>
      <c r="K528" s="63" t="s">
        <v>530</v>
      </c>
      <c r="L528" s="63" t="s">
        <v>530</v>
      </c>
    </row>
    <row r="529" spans="1:12" ht="16.2" x14ac:dyDescent="0.4">
      <c r="A529" s="15" t="str">
        <f t="shared" si="8"/>
        <v>lt004_protectionrl_estt_clltrl_lctn</v>
      </c>
      <c r="B529" s="51" t="s">
        <v>11</v>
      </c>
      <c r="C529" s="48" t="s">
        <v>11</v>
      </c>
      <c r="D529" s="44" t="s">
        <v>18</v>
      </c>
      <c r="E529" s="47" t="s">
        <v>325</v>
      </c>
      <c r="F529" s="47" t="s">
        <v>390</v>
      </c>
      <c r="G529" s="46" t="s">
        <v>12</v>
      </c>
      <c r="H529" s="46" t="s">
        <v>12</v>
      </c>
      <c r="I529" s="53" t="s">
        <v>468</v>
      </c>
      <c r="J529" s="63" t="s">
        <v>530</v>
      </c>
      <c r="K529" s="63" t="s">
        <v>530</v>
      </c>
      <c r="L529" s="63" t="s">
        <v>530</v>
      </c>
    </row>
    <row r="530" spans="1:12" ht="16.2" x14ac:dyDescent="0.4">
      <c r="A530" s="15" t="str">
        <f t="shared" si="8"/>
        <v>lt004_protectionrl_estt_pst_cd</v>
      </c>
      <c r="B530" s="51" t="s">
        <v>11</v>
      </c>
      <c r="C530" s="48" t="s">
        <v>11</v>
      </c>
      <c r="D530" s="44" t="s">
        <v>18</v>
      </c>
      <c r="E530" s="47" t="s">
        <v>325</v>
      </c>
      <c r="F530" s="47" t="s">
        <v>391</v>
      </c>
      <c r="G530" s="46" t="s">
        <v>12</v>
      </c>
      <c r="H530" s="46" t="s">
        <v>12</v>
      </c>
      <c r="I530" s="53" t="s">
        <v>468</v>
      </c>
      <c r="J530" s="63" t="s">
        <v>530</v>
      </c>
      <c r="K530" s="63" t="s">
        <v>530</v>
      </c>
      <c r="L530" s="63" t="s">
        <v>530</v>
      </c>
    </row>
    <row r="531" spans="1:12" ht="16.2" x14ac:dyDescent="0.4">
      <c r="A531" s="15" t="str">
        <f t="shared" si="8"/>
        <v>lt004_protectiontyp_prtctn</v>
      </c>
      <c r="B531" s="51" t="s">
        <v>11</v>
      </c>
      <c r="C531" s="48" t="s">
        <v>11</v>
      </c>
      <c r="D531" s="44" t="s">
        <v>18</v>
      </c>
      <c r="E531" s="47" t="s">
        <v>325</v>
      </c>
      <c r="F531" s="47" t="s">
        <v>392</v>
      </c>
      <c r="G531" s="46" t="s">
        <v>12</v>
      </c>
      <c r="H531" s="46" t="s">
        <v>12</v>
      </c>
      <c r="I531" s="53" t="s">
        <v>468</v>
      </c>
      <c r="J531" s="63" t="s">
        <v>530</v>
      </c>
      <c r="K531" s="63" t="s">
        <v>530</v>
      </c>
      <c r="L531" s="63" t="s">
        <v>530</v>
      </c>
    </row>
    <row r="532" spans="1:12" ht="16.2" x14ac:dyDescent="0.4">
      <c r="A532" s="15" t="str">
        <f t="shared" si="8"/>
        <v>lt004_protectionorgnl_prtctn_vl</v>
      </c>
      <c r="B532" s="51" t="s">
        <v>11</v>
      </c>
      <c r="C532" s="48" t="s">
        <v>11</v>
      </c>
      <c r="D532" s="44" t="s">
        <v>18</v>
      </c>
      <c r="E532" s="47" t="s">
        <v>325</v>
      </c>
      <c r="F532" s="47" t="s">
        <v>393</v>
      </c>
      <c r="G532" s="46" t="s">
        <v>12</v>
      </c>
      <c r="H532" s="46" t="s">
        <v>12</v>
      </c>
      <c r="I532" s="53" t="s">
        <v>468</v>
      </c>
      <c r="J532" s="63" t="s">
        <v>530</v>
      </c>
      <c r="K532" s="63" t="s">
        <v>530</v>
      </c>
      <c r="L532" s="63" t="s">
        <v>530</v>
      </c>
    </row>
    <row r="533" spans="1:12" ht="16.2" x14ac:dyDescent="0.4">
      <c r="A533" s="15" t="str">
        <f t="shared" si="8"/>
        <v>lt004_protectionprtctn_vl</v>
      </c>
      <c r="B533" s="51" t="s">
        <v>11</v>
      </c>
      <c r="C533" s="48" t="s">
        <v>11</v>
      </c>
      <c r="D533" s="44" t="s">
        <v>18</v>
      </c>
      <c r="E533" s="47" t="s">
        <v>325</v>
      </c>
      <c r="F533" s="47" t="s">
        <v>394</v>
      </c>
      <c r="G533" s="46" t="s">
        <v>12</v>
      </c>
      <c r="H533" s="46" t="s">
        <v>12</v>
      </c>
      <c r="I533" s="53" t="s">
        <v>468</v>
      </c>
      <c r="J533" s="63" t="s">
        <v>530</v>
      </c>
      <c r="K533" s="63" t="s">
        <v>530</v>
      </c>
      <c r="L533" s="63" t="s">
        <v>530</v>
      </c>
    </row>
    <row r="534" spans="1:12" ht="16.2" x14ac:dyDescent="0.4">
      <c r="A534" s="15" t="str">
        <f t="shared" si="8"/>
        <v>lt004_protectioncod_soc</v>
      </c>
      <c r="B534" s="51" t="s">
        <v>11</v>
      </c>
      <c r="C534" s="48" t="s">
        <v>11</v>
      </c>
      <c r="D534" s="44" t="s">
        <v>18</v>
      </c>
      <c r="E534" s="47" t="s">
        <v>325</v>
      </c>
      <c r="F534" s="47" t="s">
        <v>372</v>
      </c>
      <c r="G534" s="46" t="s">
        <v>12</v>
      </c>
      <c r="H534" s="46" t="s">
        <v>12</v>
      </c>
      <c r="I534" s="53" t="s">
        <v>468</v>
      </c>
      <c r="J534" s="63" t="s">
        <v>530</v>
      </c>
      <c r="K534" s="63" t="s">
        <v>530</v>
      </c>
      <c r="L534" s="63" t="s">
        <v>530</v>
      </c>
    </row>
    <row r="535" spans="1:12" ht="16.2" x14ac:dyDescent="0.4">
      <c r="A535" s="15" t="str">
        <f t="shared" si="8"/>
        <v>lt005_instr_entdt_rfrnc</v>
      </c>
      <c r="B535" s="51" t="s">
        <v>11</v>
      </c>
      <c r="C535" s="48" t="s">
        <v>11</v>
      </c>
      <c r="D535" s="44" t="s">
        <v>18</v>
      </c>
      <c r="E535" s="47" t="s">
        <v>395</v>
      </c>
      <c r="F535" s="47" t="s">
        <v>355</v>
      </c>
      <c r="G535" s="46" t="s">
        <v>12</v>
      </c>
      <c r="H535" s="46" t="s">
        <v>12</v>
      </c>
      <c r="I535" s="53" t="s">
        <v>468</v>
      </c>
      <c r="J535" s="63" t="s">
        <v>530</v>
      </c>
      <c r="K535" s="63" t="s">
        <v>530</v>
      </c>
      <c r="L535" s="63" t="s">
        <v>530</v>
      </c>
    </row>
    <row r="536" spans="1:12" ht="16.2" x14ac:dyDescent="0.4">
      <c r="A536" s="15" t="str">
        <f t="shared" si="8"/>
        <v>lt005_instr_ententty_id</v>
      </c>
      <c r="B536" s="51" t="s">
        <v>11</v>
      </c>
      <c r="C536" s="48" t="s">
        <v>11</v>
      </c>
      <c r="D536" s="44" t="s">
        <v>18</v>
      </c>
      <c r="E536" s="47" t="s">
        <v>395</v>
      </c>
      <c r="F536" s="47" t="s">
        <v>381</v>
      </c>
      <c r="G536" s="46" t="s">
        <v>12</v>
      </c>
      <c r="H536" s="46" t="s">
        <v>12</v>
      </c>
      <c r="I536" s="53" t="s">
        <v>468</v>
      </c>
      <c r="J536" s="63" t="s">
        <v>530</v>
      </c>
      <c r="K536" s="63" t="s">
        <v>530</v>
      </c>
      <c r="L536" s="63" t="s">
        <v>530</v>
      </c>
    </row>
    <row r="537" spans="1:12" ht="16.2" x14ac:dyDescent="0.4">
      <c r="A537" s="15" t="str">
        <f t="shared" si="8"/>
        <v>lt005_instr_entinstrmnt_id</v>
      </c>
      <c r="B537" s="51" t="s">
        <v>11</v>
      </c>
      <c r="C537" s="48" t="s">
        <v>11</v>
      </c>
      <c r="D537" s="44" t="s">
        <v>18</v>
      </c>
      <c r="E537" s="47" t="s">
        <v>395</v>
      </c>
      <c r="F537" s="47" t="s">
        <v>356</v>
      </c>
      <c r="G537" s="46" t="s">
        <v>12</v>
      </c>
      <c r="H537" s="46" t="s">
        <v>12</v>
      </c>
      <c r="I537" s="53" t="s">
        <v>468</v>
      </c>
      <c r="J537" s="63" t="s">
        <v>530</v>
      </c>
      <c r="K537" s="63" t="s">
        <v>530</v>
      </c>
      <c r="L537" s="63" t="s">
        <v>530</v>
      </c>
    </row>
    <row r="538" spans="1:12" ht="16.2" x14ac:dyDescent="0.4">
      <c r="A538" s="15" t="str">
        <f t="shared" si="8"/>
        <v>lt005_instr_entcod_soc</v>
      </c>
      <c r="B538" s="51" t="s">
        <v>11</v>
      </c>
      <c r="C538" s="48" t="s">
        <v>11</v>
      </c>
      <c r="D538" s="44" t="s">
        <v>18</v>
      </c>
      <c r="E538" s="47" t="s">
        <v>395</v>
      </c>
      <c r="F538" s="47" t="s">
        <v>372</v>
      </c>
      <c r="G538" s="46" t="s">
        <v>12</v>
      </c>
      <c r="H538" s="46" t="s">
        <v>12</v>
      </c>
      <c r="I538" s="53" t="s">
        <v>468</v>
      </c>
      <c r="J538" s="63" t="s">
        <v>530</v>
      </c>
      <c r="K538" s="63" t="s">
        <v>530</v>
      </c>
      <c r="L538" s="63" t="s">
        <v>530</v>
      </c>
    </row>
    <row r="539" spans="1:12" ht="16.2" x14ac:dyDescent="0.4">
      <c r="A539" s="15" t="str">
        <f t="shared" si="8"/>
        <v>lt005_instr_entmn_entty_id</v>
      </c>
      <c r="B539" s="51" t="s">
        <v>11</v>
      </c>
      <c r="C539" s="48" t="s">
        <v>11</v>
      </c>
      <c r="D539" s="44" t="s">
        <v>18</v>
      </c>
      <c r="E539" s="47" t="s">
        <v>395</v>
      </c>
      <c r="F539" s="47" t="s">
        <v>396</v>
      </c>
      <c r="G539" s="46" t="s">
        <v>12</v>
      </c>
      <c r="H539" s="46" t="s">
        <v>12</v>
      </c>
      <c r="I539" s="53" t="s">
        <v>468</v>
      </c>
      <c r="J539" s="63" t="s">
        <v>530</v>
      </c>
      <c r="K539" s="63" t="s">
        <v>530</v>
      </c>
      <c r="L539" s="63" t="s">
        <v>530</v>
      </c>
    </row>
    <row r="540" spans="1:12" ht="16.2" x14ac:dyDescent="0.4">
      <c r="A540" s="15" t="str">
        <f t="shared" si="8"/>
        <v>lt006_instr_protdt_rfrnc</v>
      </c>
      <c r="B540" s="51" t="s">
        <v>11</v>
      </c>
      <c r="C540" s="48" t="s">
        <v>11</v>
      </c>
      <c r="D540" s="44" t="s">
        <v>18</v>
      </c>
      <c r="E540" s="47" t="s">
        <v>397</v>
      </c>
      <c r="F540" s="47" t="s">
        <v>355</v>
      </c>
      <c r="G540" s="46" t="s">
        <v>12</v>
      </c>
      <c r="H540" s="46" t="s">
        <v>12</v>
      </c>
      <c r="I540" s="53" t="s">
        <v>468</v>
      </c>
      <c r="J540" s="63" t="s">
        <v>530</v>
      </c>
      <c r="K540" s="63" t="s">
        <v>530</v>
      </c>
      <c r="L540" s="63" t="s">
        <v>530</v>
      </c>
    </row>
    <row r="541" spans="1:12" ht="16.2" x14ac:dyDescent="0.4">
      <c r="A541" s="15" t="str">
        <f t="shared" si="8"/>
        <v>lt006_instr_protinstrmnt_id</v>
      </c>
      <c r="B541" s="51" t="s">
        <v>11</v>
      </c>
      <c r="C541" s="48" t="s">
        <v>11</v>
      </c>
      <c r="D541" s="44" t="s">
        <v>18</v>
      </c>
      <c r="E541" s="47" t="s">
        <v>397</v>
      </c>
      <c r="F541" s="47" t="s">
        <v>356</v>
      </c>
      <c r="G541" s="46" t="s">
        <v>12</v>
      </c>
      <c r="H541" s="46" t="s">
        <v>12</v>
      </c>
      <c r="I541" s="53" t="s">
        <v>468</v>
      </c>
      <c r="J541" s="63" t="s">
        <v>530</v>
      </c>
      <c r="K541" s="63" t="s">
        <v>530</v>
      </c>
      <c r="L541" s="63" t="s">
        <v>530</v>
      </c>
    </row>
    <row r="542" spans="1:12" ht="16.2" x14ac:dyDescent="0.4">
      <c r="A542" s="15" t="str">
        <f t="shared" si="8"/>
        <v>lt006_instr_protprtctn_id</v>
      </c>
      <c r="B542" s="51" t="s">
        <v>11</v>
      </c>
      <c r="C542" s="48" t="s">
        <v>11</v>
      </c>
      <c r="D542" s="44" t="s">
        <v>18</v>
      </c>
      <c r="E542" s="47" t="s">
        <v>397</v>
      </c>
      <c r="F542" s="47" t="s">
        <v>389</v>
      </c>
      <c r="G542" s="46" t="s">
        <v>12</v>
      </c>
      <c r="H542" s="46" t="s">
        <v>12</v>
      </c>
      <c r="I542" s="53" t="s">
        <v>468</v>
      </c>
      <c r="J542" s="63" t="s">
        <v>530</v>
      </c>
      <c r="K542" s="63" t="s">
        <v>530</v>
      </c>
      <c r="L542" s="63" t="s">
        <v>530</v>
      </c>
    </row>
    <row r="543" spans="1:12" ht="16.2" x14ac:dyDescent="0.4">
      <c r="A543" s="15" t="str">
        <f t="shared" si="8"/>
        <v>lt006_instr_protprtctn_allctd_vl</v>
      </c>
      <c r="B543" s="51" t="s">
        <v>11</v>
      </c>
      <c r="C543" s="48" t="s">
        <v>11</v>
      </c>
      <c r="D543" s="44" t="s">
        <v>18</v>
      </c>
      <c r="E543" s="47" t="s">
        <v>397</v>
      </c>
      <c r="F543" s="47" t="s">
        <v>398</v>
      </c>
      <c r="G543" s="46" t="s">
        <v>12</v>
      </c>
      <c r="H543" s="46" t="s">
        <v>12</v>
      </c>
      <c r="I543" s="53" t="s">
        <v>468</v>
      </c>
      <c r="J543" s="63" t="s">
        <v>530</v>
      </c>
      <c r="K543" s="63" t="s">
        <v>530</v>
      </c>
      <c r="L543" s="63" t="s">
        <v>530</v>
      </c>
    </row>
    <row r="544" spans="1:12" ht="16.2" x14ac:dyDescent="0.4">
      <c r="A544" s="15" t="str">
        <f t="shared" si="8"/>
        <v>lt006_instr_protcod_soc</v>
      </c>
      <c r="B544" s="51" t="s">
        <v>11</v>
      </c>
      <c r="C544" s="48" t="s">
        <v>11</v>
      </c>
      <c r="D544" s="44" t="s">
        <v>18</v>
      </c>
      <c r="E544" s="47" t="s">
        <v>397</v>
      </c>
      <c r="F544" s="47" t="s">
        <v>372</v>
      </c>
      <c r="G544" s="46" t="s">
        <v>12</v>
      </c>
      <c r="H544" s="46" t="s">
        <v>12</v>
      </c>
      <c r="I544" s="53" t="s">
        <v>468</v>
      </c>
      <c r="J544" s="63" t="s">
        <v>530</v>
      </c>
      <c r="K544" s="63" t="s">
        <v>530</v>
      </c>
      <c r="L544" s="63" t="s">
        <v>530</v>
      </c>
    </row>
    <row r="545" spans="1:12" ht="16.2" x14ac:dyDescent="0.4">
      <c r="A545" s="15" t="str">
        <f t="shared" si="8"/>
        <v>lt002_insrmntn.a.</v>
      </c>
      <c r="B545" s="51" t="s">
        <v>13</v>
      </c>
      <c r="C545" s="48" t="s">
        <v>13</v>
      </c>
      <c r="D545" s="44" t="s">
        <v>15</v>
      </c>
      <c r="E545" s="47" t="s">
        <v>399</v>
      </c>
      <c r="F545" s="47" t="s">
        <v>17</v>
      </c>
      <c r="G545" s="46" t="s">
        <v>152</v>
      </c>
      <c r="H545" s="46" t="s">
        <v>152</v>
      </c>
      <c r="I545" s="53"/>
      <c r="J545" s="63" t="s">
        <v>530</v>
      </c>
      <c r="K545" s="63" t="s">
        <v>530</v>
      </c>
      <c r="L545" s="63" t="s">
        <v>530</v>
      </c>
    </row>
    <row r="546" spans="1:12" ht="16.2" x14ac:dyDescent="0.4">
      <c r="A546" s="15" t="str">
        <f t="shared" si="8"/>
        <v>lt002_insrmntsstnbl_ctgry</v>
      </c>
      <c r="B546" s="51" t="s">
        <v>13</v>
      </c>
      <c r="C546" s="48" t="s">
        <v>13</v>
      </c>
      <c r="D546" s="44" t="s">
        <v>18</v>
      </c>
      <c r="E546" s="47" t="s">
        <v>399</v>
      </c>
      <c r="F546" s="47" t="s">
        <v>375</v>
      </c>
      <c r="G546" s="46" t="s">
        <v>438</v>
      </c>
      <c r="H546" s="46" t="s">
        <v>438</v>
      </c>
      <c r="I546" s="53"/>
      <c r="J546" s="63" t="s">
        <v>530</v>
      </c>
      <c r="K546" s="63" t="s">
        <v>530</v>
      </c>
      <c r="L546" s="63" t="s">
        <v>530</v>
      </c>
    </row>
    <row r="547" spans="1:12" ht="16.2" x14ac:dyDescent="0.4">
      <c r="A547" s="15" t="str">
        <f t="shared" si="8"/>
        <v>lt002_insrmntdflt_stts_instrmnt</v>
      </c>
      <c r="B547" s="51" t="s">
        <v>13</v>
      </c>
      <c r="C547" s="48" t="s">
        <v>13</v>
      </c>
      <c r="D547" s="44" t="s">
        <v>18</v>
      </c>
      <c r="E547" s="47" t="s">
        <v>399</v>
      </c>
      <c r="F547" s="47" t="s">
        <v>358</v>
      </c>
      <c r="G547" s="46" t="s">
        <v>437</v>
      </c>
      <c r="H547" s="46" t="s">
        <v>437</v>
      </c>
      <c r="I547" s="64"/>
      <c r="J547" s="63" t="s">
        <v>530</v>
      </c>
      <c r="K547" s="63" t="s">
        <v>530</v>
      </c>
      <c r="L547" s="63" t="s">
        <v>530</v>
      </c>
    </row>
    <row r="548" spans="1:12" ht="16.2" x14ac:dyDescent="0.4">
      <c r="A548" s="15" t="str">
        <f t="shared" si="8"/>
        <v>lt002_insrmntaccmltd_chngs_fv_cr_instrmnt</v>
      </c>
      <c r="B548" s="51" t="s">
        <v>13</v>
      </c>
      <c r="C548" s="48" t="s">
        <v>13</v>
      </c>
      <c r="D548" s="44" t="s">
        <v>18</v>
      </c>
      <c r="E548" s="47" t="s">
        <v>399</v>
      </c>
      <c r="F548" s="47" t="s">
        <v>364</v>
      </c>
      <c r="G548" s="46" t="s">
        <v>437</v>
      </c>
      <c r="H548" s="46" t="s">
        <v>437</v>
      </c>
      <c r="I548" s="64"/>
      <c r="J548" s="63" t="s">
        <v>530</v>
      </c>
      <c r="K548" s="63" t="s">
        <v>530</v>
      </c>
      <c r="L548" s="63" t="s">
        <v>530</v>
      </c>
    </row>
    <row r="549" spans="1:12" ht="16.2" x14ac:dyDescent="0.4">
      <c r="A549" s="15" t="str">
        <f t="shared" si="8"/>
        <v>lt002_insrmntaccmltd_imprmnt_instrmnt</v>
      </c>
      <c r="B549" s="51" t="s">
        <v>13</v>
      </c>
      <c r="C549" s="48" t="s">
        <v>13</v>
      </c>
      <c r="D549" s="44" t="s">
        <v>18</v>
      </c>
      <c r="E549" s="47" t="s">
        <v>399</v>
      </c>
      <c r="F549" s="47" t="s">
        <v>367</v>
      </c>
      <c r="G549" s="46" t="s">
        <v>437</v>
      </c>
      <c r="H549" s="46" t="s">
        <v>437</v>
      </c>
      <c r="I549" s="64"/>
      <c r="J549" s="63" t="s">
        <v>530</v>
      </c>
      <c r="K549" s="63" t="s">
        <v>530</v>
      </c>
      <c r="L549" s="63" t="s">
        <v>530</v>
      </c>
    </row>
    <row r="550" spans="1:12" ht="16.2" x14ac:dyDescent="0.4">
      <c r="A550" s="15" t="str">
        <f t="shared" si="8"/>
        <v>lt002_insrmntaccntng_clssfctn</v>
      </c>
      <c r="B550" s="51" t="s">
        <v>13</v>
      </c>
      <c r="C550" s="48" t="s">
        <v>13</v>
      </c>
      <c r="D550" s="44" t="s">
        <v>18</v>
      </c>
      <c r="E550" s="47" t="s">
        <v>399</v>
      </c>
      <c r="F550" s="47" t="s">
        <v>365</v>
      </c>
      <c r="G550" s="46" t="s">
        <v>437</v>
      </c>
      <c r="H550" s="46" t="s">
        <v>437</v>
      </c>
      <c r="I550" s="64"/>
      <c r="J550" s="63" t="s">
        <v>530</v>
      </c>
      <c r="K550" s="63" t="s">
        <v>530</v>
      </c>
      <c r="L550" s="63" t="s">
        <v>530</v>
      </c>
    </row>
    <row r="551" spans="1:12" ht="16.2" x14ac:dyDescent="0.4">
      <c r="A551" s="15" t="str">
        <f t="shared" si="8"/>
        <v>lt002_insrmntcod_soc</v>
      </c>
      <c r="B551" s="51" t="s">
        <v>13</v>
      </c>
      <c r="C551" s="48" t="s">
        <v>13</v>
      </c>
      <c r="D551" s="44" t="s">
        <v>18</v>
      </c>
      <c r="E551" s="47" t="s">
        <v>399</v>
      </c>
      <c r="F551" s="47" t="s">
        <v>372</v>
      </c>
      <c r="G551" s="46" t="s">
        <v>437</v>
      </c>
      <c r="H551" s="46" t="s">
        <v>437</v>
      </c>
      <c r="I551" s="64"/>
      <c r="J551" s="63" t="s">
        <v>530</v>
      </c>
      <c r="K551" s="63" t="s">
        <v>530</v>
      </c>
      <c r="L551" s="63" t="s">
        <v>530</v>
      </c>
    </row>
    <row r="552" spans="1:12" ht="16.2" x14ac:dyDescent="0.4">
      <c r="A552" s="15" t="str">
        <f t="shared" si="8"/>
        <v>lt002_insrmntdt_rfrnc</v>
      </c>
      <c r="B552" s="51" t="s">
        <v>13</v>
      </c>
      <c r="C552" s="48" t="s">
        <v>13</v>
      </c>
      <c r="D552" s="44" t="s">
        <v>18</v>
      </c>
      <c r="E552" s="47" t="s">
        <v>399</v>
      </c>
      <c r="F552" s="47" t="s">
        <v>355</v>
      </c>
      <c r="G552" s="46" t="s">
        <v>437</v>
      </c>
      <c r="H552" s="46" t="s">
        <v>437</v>
      </c>
      <c r="I552" s="64"/>
      <c r="J552" s="63" t="s">
        <v>530</v>
      </c>
      <c r="K552" s="63" t="s">
        <v>530</v>
      </c>
      <c r="L552" s="63" t="s">
        <v>530</v>
      </c>
    </row>
    <row r="553" spans="1:12" ht="16.2" x14ac:dyDescent="0.4">
      <c r="A553" s="15" t="str">
        <f t="shared" si="8"/>
        <v>lt002_insrmntgrss_crryng_amnt_instrmnt</v>
      </c>
      <c r="B553" s="51" t="s">
        <v>13</v>
      </c>
      <c r="C553" s="48" t="s">
        <v>13</v>
      </c>
      <c r="D553" s="44" t="s">
        <v>18</v>
      </c>
      <c r="E553" s="47" t="s">
        <v>399</v>
      </c>
      <c r="F553" s="47" t="s">
        <v>363</v>
      </c>
      <c r="G553" s="46" t="s">
        <v>437</v>
      </c>
      <c r="H553" s="46" t="s">
        <v>437</v>
      </c>
      <c r="I553" s="64"/>
      <c r="J553" s="63" t="s">
        <v>530</v>
      </c>
      <c r="K553" s="63" t="s">
        <v>530</v>
      </c>
      <c r="L553" s="63" t="s">
        <v>530</v>
      </c>
    </row>
    <row r="554" spans="1:12" ht="16.2" x14ac:dyDescent="0.4">
      <c r="A554" s="15" t="str">
        <f t="shared" si="8"/>
        <v>lt002_insrmntidcmb</v>
      </c>
      <c r="B554" s="51" t="s">
        <v>13</v>
      </c>
      <c r="C554" s="48" t="s">
        <v>13</v>
      </c>
      <c r="D554" s="44" t="s">
        <v>18</v>
      </c>
      <c r="E554" s="47" t="s">
        <v>399</v>
      </c>
      <c r="F554" s="47" t="s">
        <v>379</v>
      </c>
      <c r="G554" s="46" t="s">
        <v>437</v>
      </c>
      <c r="H554" s="46" t="s">
        <v>437</v>
      </c>
      <c r="I554" s="64"/>
      <c r="J554" s="63" t="s">
        <v>530</v>
      </c>
      <c r="K554" s="63" t="s">
        <v>530</v>
      </c>
      <c r="L554" s="63" t="s">
        <v>530</v>
      </c>
    </row>
    <row r="555" spans="1:12" ht="16.2" x14ac:dyDescent="0.4">
      <c r="A555" s="15" t="str">
        <f t="shared" si="8"/>
        <v>lt002_insrmntimprmnt_stts</v>
      </c>
      <c r="B555" s="51" t="s">
        <v>13</v>
      </c>
      <c r="C555" s="48" t="s">
        <v>13</v>
      </c>
      <c r="D555" s="44" t="s">
        <v>18</v>
      </c>
      <c r="E555" s="47" t="s">
        <v>399</v>
      </c>
      <c r="F555" s="47" t="s">
        <v>359</v>
      </c>
      <c r="G555" s="46" t="s">
        <v>437</v>
      </c>
      <c r="H555" s="46" t="s">
        <v>437</v>
      </c>
      <c r="I555" s="64"/>
      <c r="J555" s="63" t="s">
        <v>530</v>
      </c>
      <c r="K555" s="63" t="s">
        <v>530</v>
      </c>
      <c r="L555" s="63" t="s">
        <v>530</v>
      </c>
    </row>
    <row r="556" spans="1:12" ht="16.2" x14ac:dyDescent="0.4">
      <c r="A556" s="15" t="str">
        <f t="shared" si="8"/>
        <v>lt002_insrmntinstrmnt_id</v>
      </c>
      <c r="B556" s="51" t="s">
        <v>13</v>
      </c>
      <c r="C556" s="48" t="s">
        <v>13</v>
      </c>
      <c r="D556" s="44" t="s">
        <v>18</v>
      </c>
      <c r="E556" s="47" t="s">
        <v>399</v>
      </c>
      <c r="F556" s="47" t="s">
        <v>356</v>
      </c>
      <c r="G556" s="46" t="s">
        <v>152</v>
      </c>
      <c r="H556" s="46" t="s">
        <v>152</v>
      </c>
      <c r="I556" s="53"/>
      <c r="J556" s="63" t="s">
        <v>530</v>
      </c>
      <c r="K556" s="63" t="s">
        <v>530</v>
      </c>
      <c r="L556" s="63" t="s">
        <v>530</v>
      </c>
    </row>
    <row r="557" spans="1:12" ht="16.2" x14ac:dyDescent="0.4">
      <c r="A557" s="15" t="str">
        <f t="shared" si="8"/>
        <v>lt002_insrmntlcl_instmrnt_id</v>
      </c>
      <c r="B557" s="51" t="s">
        <v>13</v>
      </c>
      <c r="C557" s="48" t="s">
        <v>13</v>
      </c>
      <c r="D557" s="44" t="s">
        <v>18</v>
      </c>
      <c r="E557" s="47" t="s">
        <v>399</v>
      </c>
      <c r="F557" s="47" t="s">
        <v>373</v>
      </c>
      <c r="G557" s="46" t="s">
        <v>437</v>
      </c>
      <c r="H557" s="46" t="s">
        <v>437</v>
      </c>
      <c r="I557" s="64"/>
      <c r="J557" s="63" t="s">
        <v>530</v>
      </c>
      <c r="K557" s="63" t="s">
        <v>530</v>
      </c>
      <c r="L557" s="63" t="s">
        <v>530</v>
      </c>
    </row>
    <row r="558" spans="1:12" ht="16.2" x14ac:dyDescent="0.4">
      <c r="A558" s="15" t="str">
        <f t="shared" si="8"/>
        <v>lt002_insrmntoff_blnc_sht_amnt_instrmnt</v>
      </c>
      <c r="B558" s="51" t="s">
        <v>13</v>
      </c>
      <c r="C558" s="48" t="s">
        <v>13</v>
      </c>
      <c r="D558" s="44" t="s">
        <v>18</v>
      </c>
      <c r="E558" s="47" t="s">
        <v>399</v>
      </c>
      <c r="F558" s="47" t="s">
        <v>400</v>
      </c>
      <c r="G558" s="46" t="s">
        <v>437</v>
      </c>
      <c r="H558" s="46" t="s">
        <v>437</v>
      </c>
      <c r="I558" s="64"/>
      <c r="J558" s="63" t="s">
        <v>530</v>
      </c>
      <c r="K558" s="63" t="s">
        <v>530</v>
      </c>
      <c r="L558" s="63" t="s">
        <v>530</v>
      </c>
    </row>
    <row r="559" spans="1:12" ht="16.2" x14ac:dyDescent="0.4">
      <c r="A559" s="15" t="str">
        <f t="shared" si="8"/>
        <v>lt002_insrmntprfrmng_stts</v>
      </c>
      <c r="B559" s="51" t="s">
        <v>13</v>
      </c>
      <c r="C559" s="48" t="s">
        <v>13</v>
      </c>
      <c r="D559" s="44" t="s">
        <v>18</v>
      </c>
      <c r="E559" s="47" t="s">
        <v>399</v>
      </c>
      <c r="F559" s="47" t="s">
        <v>360</v>
      </c>
      <c r="G559" s="46" t="s">
        <v>437</v>
      </c>
      <c r="H559" s="46" t="s">
        <v>437</v>
      </c>
      <c r="I559" s="64"/>
      <c r="J559" s="63" t="s">
        <v>530</v>
      </c>
      <c r="K559" s="63" t="s">
        <v>530</v>
      </c>
      <c r="L559" s="63" t="s">
        <v>530</v>
      </c>
    </row>
    <row r="560" spans="1:12" ht="16.2" x14ac:dyDescent="0.4">
      <c r="A560" s="15" t="str">
        <f t="shared" si="8"/>
        <v>lt002_insrmntprvsns_off_blnc_sht</v>
      </c>
      <c r="B560" s="51" t="s">
        <v>13</v>
      </c>
      <c r="C560" s="48" t="s">
        <v>13</v>
      </c>
      <c r="D560" s="44" t="s">
        <v>18</v>
      </c>
      <c r="E560" s="47" t="s">
        <v>399</v>
      </c>
      <c r="F560" s="47" t="s">
        <v>401</v>
      </c>
      <c r="G560" s="46" t="s">
        <v>437</v>
      </c>
      <c r="H560" s="46" t="s">
        <v>437</v>
      </c>
      <c r="I560" s="64"/>
      <c r="J560" s="63" t="s">
        <v>530</v>
      </c>
      <c r="K560" s="63" t="s">
        <v>530</v>
      </c>
      <c r="L560" s="63" t="s">
        <v>530</v>
      </c>
    </row>
    <row r="561" spans="1:12" ht="16.2" x14ac:dyDescent="0.4">
      <c r="A561" s="15" t="str">
        <f t="shared" si="8"/>
        <v>lt002_insrmntsubportfolio_id</v>
      </c>
      <c r="B561" s="51" t="s">
        <v>13</v>
      </c>
      <c r="C561" s="48" t="s">
        <v>13</v>
      </c>
      <c r="D561" s="44" t="s">
        <v>18</v>
      </c>
      <c r="E561" s="47" t="s">
        <v>399</v>
      </c>
      <c r="F561" s="47" t="s">
        <v>371</v>
      </c>
      <c r="G561" s="46" t="s">
        <v>437</v>
      </c>
      <c r="H561" s="46" t="s">
        <v>437</v>
      </c>
      <c r="I561" s="64"/>
      <c r="J561" s="63" t="s">
        <v>530</v>
      </c>
      <c r="K561" s="63" t="s">
        <v>530</v>
      </c>
      <c r="L561" s="63" t="s">
        <v>530</v>
      </c>
    </row>
    <row r="562" spans="1:12" ht="16.2" x14ac:dyDescent="0.4">
      <c r="A562" s="15" t="str">
        <f t="shared" si="8"/>
        <v>lt002_insrmnttyp_instrmnt</v>
      </c>
      <c r="B562" s="51" t="s">
        <v>13</v>
      </c>
      <c r="C562" s="48" t="s">
        <v>13</v>
      </c>
      <c r="D562" s="44" t="s">
        <v>18</v>
      </c>
      <c r="E562" s="47" t="s">
        <v>399</v>
      </c>
      <c r="F562" s="47" t="s">
        <v>362</v>
      </c>
      <c r="G562" s="46" t="s">
        <v>437</v>
      </c>
      <c r="H562" s="46" t="s">
        <v>437</v>
      </c>
      <c r="I562" s="64"/>
      <c r="J562" s="63" t="s">
        <v>530</v>
      </c>
      <c r="K562" s="63" t="s">
        <v>530</v>
      </c>
      <c r="L562" s="63" t="s">
        <v>530</v>
      </c>
    </row>
    <row r="563" spans="1:12" ht="16.2" x14ac:dyDescent="0.4">
      <c r="A563" s="15" t="str">
        <f t="shared" si="8"/>
        <v>lt002_insrmntrwa</v>
      </c>
      <c r="B563" s="51" t="s">
        <v>13</v>
      </c>
      <c r="C563" s="48" t="s">
        <v>13</v>
      </c>
      <c r="D563" s="44" t="s">
        <v>18</v>
      </c>
      <c r="E563" s="47" t="s">
        <v>399</v>
      </c>
      <c r="F563" s="47" t="s">
        <v>402</v>
      </c>
      <c r="G563" s="46" t="s">
        <v>437</v>
      </c>
      <c r="H563" s="46" t="s">
        <v>437</v>
      </c>
      <c r="I563" s="64"/>
      <c r="J563" s="63" t="s">
        <v>530</v>
      </c>
      <c r="K563" s="63" t="s">
        <v>530</v>
      </c>
      <c r="L563" s="63" t="s">
        <v>530</v>
      </c>
    </row>
    <row r="564" spans="1:12" ht="16.2" x14ac:dyDescent="0.4">
      <c r="A564" s="15" t="str">
        <f t="shared" si="8"/>
        <v>lt002_insrmntcod_soc_intrgrp</v>
      </c>
      <c r="B564" s="51" t="s">
        <v>13</v>
      </c>
      <c r="C564" s="48" t="s">
        <v>13</v>
      </c>
      <c r="D564" s="44" t="s">
        <v>18</v>
      </c>
      <c r="E564" s="47" t="s">
        <v>399</v>
      </c>
      <c r="F564" s="47" t="s">
        <v>403</v>
      </c>
      <c r="G564" s="46" t="s">
        <v>437</v>
      </c>
      <c r="H564" s="46" t="s">
        <v>437</v>
      </c>
      <c r="I564" s="64"/>
      <c r="J564" s="63" t="s">
        <v>530</v>
      </c>
      <c r="K564" s="63" t="s">
        <v>530</v>
      </c>
      <c r="L564" s="63" t="s">
        <v>530</v>
      </c>
    </row>
    <row r="565" spans="1:12" ht="16.2" x14ac:dyDescent="0.4">
      <c r="A565" s="15" t="str">
        <f t="shared" si="8"/>
        <v>lt002_insrmntbsnss_area_dstntn</v>
      </c>
      <c r="B565" s="51" t="s">
        <v>13</v>
      </c>
      <c r="C565" s="48" t="s">
        <v>13</v>
      </c>
      <c r="D565" s="44" t="s">
        <v>18</v>
      </c>
      <c r="E565" s="47" t="s">
        <v>399</v>
      </c>
      <c r="F565" s="47" t="s">
        <v>404</v>
      </c>
      <c r="G565" s="46" t="s">
        <v>437</v>
      </c>
      <c r="H565" s="46" t="s">
        <v>437</v>
      </c>
      <c r="I565" s="64"/>
      <c r="J565" s="63" t="s">
        <v>530</v>
      </c>
      <c r="K565" s="63" t="s">
        <v>530</v>
      </c>
      <c r="L565" s="63" t="s">
        <v>530</v>
      </c>
    </row>
    <row r="566" spans="1:12" ht="16.2" x14ac:dyDescent="0.4">
      <c r="A566" s="15" t="str">
        <f t="shared" si="8"/>
        <v>lt002_insrmntflg_intrbsnss</v>
      </c>
      <c r="B566" s="51" t="s">
        <v>13</v>
      </c>
      <c r="C566" s="48" t="s">
        <v>13</v>
      </c>
      <c r="D566" s="44" t="s">
        <v>18</v>
      </c>
      <c r="E566" s="47" t="s">
        <v>399</v>
      </c>
      <c r="F566" s="47" t="s">
        <v>405</v>
      </c>
      <c r="G566" s="46" t="s">
        <v>437</v>
      </c>
      <c r="H566" s="46" t="s">
        <v>437</v>
      </c>
      <c r="I566" s="64"/>
      <c r="J566" s="63" t="s">
        <v>530</v>
      </c>
      <c r="K566" s="63" t="s">
        <v>530</v>
      </c>
      <c r="L566" s="63" t="s">
        <v>530</v>
      </c>
    </row>
    <row r="567" spans="1:12" ht="16.2" x14ac:dyDescent="0.4">
      <c r="A567" s="15" t="str">
        <f t="shared" si="8"/>
        <v>lt002_insrmntintrbsnss_adj_cod</v>
      </c>
      <c r="B567" s="51" t="s">
        <v>13</v>
      </c>
      <c r="C567" s="48" t="s">
        <v>13</v>
      </c>
      <c r="D567" s="44" t="s">
        <v>18</v>
      </c>
      <c r="E567" s="47" t="s">
        <v>399</v>
      </c>
      <c r="F567" s="47" t="s">
        <v>406</v>
      </c>
      <c r="G567" s="46" t="s">
        <v>437</v>
      </c>
      <c r="H567" s="46" t="s">
        <v>437</v>
      </c>
      <c r="I567" s="64"/>
      <c r="J567" s="63" t="s">
        <v>530</v>
      </c>
      <c r="K567" s="63" t="s">
        <v>530</v>
      </c>
      <c r="L567" s="63" t="s">
        <v>530</v>
      </c>
    </row>
    <row r="568" spans="1:12" ht="16.2" x14ac:dyDescent="0.4">
      <c r="A568" s="15" t="str">
        <f t="shared" si="8"/>
        <v>lt002_insrmntcod_soc_dstntn</v>
      </c>
      <c r="B568" s="51" t="s">
        <v>13</v>
      </c>
      <c r="C568" s="48" t="s">
        <v>13</v>
      </c>
      <c r="D568" s="44" t="s">
        <v>18</v>
      </c>
      <c r="E568" s="47" t="s">
        <v>399</v>
      </c>
      <c r="F568" s="47" t="s">
        <v>407</v>
      </c>
      <c r="G568" s="46" t="s">
        <v>437</v>
      </c>
      <c r="H568" s="46" t="s">
        <v>437</v>
      </c>
      <c r="I568" s="64"/>
      <c r="J568" s="63" t="s">
        <v>530</v>
      </c>
      <c r="K568" s="63" t="s">
        <v>530</v>
      </c>
      <c r="L568" s="63" t="s">
        <v>530</v>
      </c>
    </row>
    <row r="569" spans="1:12" ht="16.2" x14ac:dyDescent="0.4">
      <c r="A569" s="15" t="str">
        <f t="shared" si="8"/>
        <v>lt002_insrmntrwa_off_blnc</v>
      </c>
      <c r="B569" s="51" t="s">
        <v>13</v>
      </c>
      <c r="C569" s="48" t="s">
        <v>13</v>
      </c>
      <c r="D569" s="44" t="s">
        <v>18</v>
      </c>
      <c r="E569" s="47" t="s">
        <v>399</v>
      </c>
      <c r="F569" s="47" t="s">
        <v>408</v>
      </c>
      <c r="G569" s="46" t="s">
        <v>437</v>
      </c>
      <c r="H569" s="46" t="s">
        <v>437</v>
      </c>
      <c r="I569" s="64"/>
      <c r="J569" s="63" t="s">
        <v>530</v>
      </c>
      <c r="K569" s="63" t="s">
        <v>530</v>
      </c>
      <c r="L569" s="63" t="s">
        <v>530</v>
      </c>
    </row>
    <row r="570" spans="1:12" ht="16.2" x14ac:dyDescent="0.4">
      <c r="A570" s="15" t="str">
        <f t="shared" si="8"/>
        <v>lt002_insrmntintrnl_trnsfr_rt_off_blnc</v>
      </c>
      <c r="B570" s="51" t="s">
        <v>13</v>
      </c>
      <c r="C570" s="48" t="s">
        <v>13</v>
      </c>
      <c r="D570" s="44" t="s">
        <v>18</v>
      </c>
      <c r="E570" s="47" t="s">
        <v>399</v>
      </c>
      <c r="F570" s="47" t="s">
        <v>409</v>
      </c>
      <c r="G570" s="46" t="s">
        <v>437</v>
      </c>
      <c r="H570" s="46" t="s">
        <v>437</v>
      </c>
      <c r="I570" s="64"/>
      <c r="J570" s="63" t="s">
        <v>530</v>
      </c>
      <c r="K570" s="63" t="s">
        <v>530</v>
      </c>
      <c r="L570" s="63" t="s">
        <v>530</v>
      </c>
    </row>
    <row r="571" spans="1:12" ht="16.2" x14ac:dyDescent="0.4">
      <c r="A571" s="15" t="str">
        <f t="shared" si="8"/>
        <v>lt002_insrmntbsnss_area</v>
      </c>
      <c r="B571" s="51" t="s">
        <v>13</v>
      </c>
      <c r="C571" s="48" t="s">
        <v>13</v>
      </c>
      <c r="D571" s="44" t="s">
        <v>18</v>
      </c>
      <c r="E571" s="47" t="s">
        <v>399</v>
      </c>
      <c r="F571" s="47" t="s">
        <v>410</v>
      </c>
      <c r="G571" s="46" t="s">
        <v>152</v>
      </c>
      <c r="H571" s="46" t="s">
        <v>152</v>
      </c>
      <c r="I571" s="53"/>
      <c r="J571" s="63" t="s">
        <v>530</v>
      </c>
      <c r="K571" s="63" t="s">
        <v>530</v>
      </c>
      <c r="L571" s="63" t="s">
        <v>530</v>
      </c>
    </row>
    <row r="572" spans="1:12" ht="16.2" x14ac:dyDescent="0.4">
      <c r="A572" s="15" t="str">
        <f t="shared" si="8"/>
        <v>lt002_insrmntavrg_blnc</v>
      </c>
      <c r="B572" s="51" t="s">
        <v>13</v>
      </c>
      <c r="C572" s="48" t="s">
        <v>13</v>
      </c>
      <c r="D572" s="44" t="s">
        <v>18</v>
      </c>
      <c r="E572" s="47" t="s">
        <v>399</v>
      </c>
      <c r="F572" s="47" t="s">
        <v>411</v>
      </c>
      <c r="G572" s="46" t="s">
        <v>152</v>
      </c>
      <c r="H572" s="46" t="s">
        <v>152</v>
      </c>
      <c r="I572" s="53"/>
      <c r="J572" s="63" t="s">
        <v>530</v>
      </c>
      <c r="K572" s="63" t="s">
        <v>530</v>
      </c>
      <c r="L572" s="63" t="s">
        <v>530</v>
      </c>
    </row>
    <row r="573" spans="1:12" ht="16.2" x14ac:dyDescent="0.4">
      <c r="A573" s="15" t="str">
        <f t="shared" si="8"/>
        <v>lt002_insrmntnt_ln_lss_prvsn</v>
      </c>
      <c r="B573" s="51" t="s">
        <v>13</v>
      </c>
      <c r="C573" s="48" t="s">
        <v>13</v>
      </c>
      <c r="D573" s="44" t="s">
        <v>18</v>
      </c>
      <c r="E573" s="47" t="s">
        <v>399</v>
      </c>
      <c r="F573" s="47" t="s">
        <v>412</v>
      </c>
      <c r="G573" s="46" t="s">
        <v>152</v>
      </c>
      <c r="H573" s="46" t="s">
        <v>152</v>
      </c>
      <c r="I573" s="53"/>
      <c r="J573" s="63" t="s">
        <v>530</v>
      </c>
      <c r="K573" s="63" t="s">
        <v>530</v>
      </c>
      <c r="L573" s="63" t="s">
        <v>530</v>
      </c>
    </row>
    <row r="574" spans="1:12" ht="16.2" x14ac:dyDescent="0.4">
      <c r="A574" s="15" t="str">
        <f t="shared" si="8"/>
        <v>lt002_insrmntmngmnt_prdct</v>
      </c>
      <c r="B574" s="51" t="s">
        <v>13</v>
      </c>
      <c r="C574" s="48" t="s">
        <v>13</v>
      </c>
      <c r="D574" s="44" t="s">
        <v>18</v>
      </c>
      <c r="E574" s="47" t="s">
        <v>399</v>
      </c>
      <c r="F574" s="47" t="s">
        <v>413</v>
      </c>
      <c r="G574" s="46" t="s">
        <v>152</v>
      </c>
      <c r="H574" s="46" t="s">
        <v>152</v>
      </c>
      <c r="I574" s="53"/>
      <c r="J574" s="63" t="s">
        <v>530</v>
      </c>
      <c r="K574" s="63" t="s">
        <v>530</v>
      </c>
      <c r="L574" s="63" t="s">
        <v>530</v>
      </c>
    </row>
    <row r="575" spans="1:12" ht="16.2" x14ac:dyDescent="0.4">
      <c r="A575" s="15" t="str">
        <f t="shared" si="8"/>
        <v>lt002_insrmntnw_bsnss</v>
      </c>
      <c r="B575" s="51" t="s">
        <v>13</v>
      </c>
      <c r="C575" s="48" t="s">
        <v>13</v>
      </c>
      <c r="D575" s="44" t="s">
        <v>18</v>
      </c>
      <c r="E575" s="47" t="s">
        <v>399</v>
      </c>
      <c r="F575" s="47" t="s">
        <v>414</v>
      </c>
      <c r="G575" s="46" t="s">
        <v>152</v>
      </c>
      <c r="H575" s="46" t="s">
        <v>152</v>
      </c>
      <c r="I575" s="53"/>
      <c r="J575" s="63" t="s">
        <v>530</v>
      </c>
      <c r="K575" s="63" t="s">
        <v>530</v>
      </c>
      <c r="L575" s="63" t="s">
        <v>530</v>
      </c>
    </row>
    <row r="576" spans="1:12" ht="16.2" x14ac:dyDescent="0.4">
      <c r="A576" s="15" t="str">
        <f t="shared" si="8"/>
        <v>lt002_insrmntgrss_intrst_incm_ccrr</v>
      </c>
      <c r="B576" s="51" t="s">
        <v>13</v>
      </c>
      <c r="C576" s="48" t="s">
        <v>13</v>
      </c>
      <c r="D576" s="44" t="s">
        <v>18</v>
      </c>
      <c r="E576" s="47" t="s">
        <v>399</v>
      </c>
      <c r="F576" s="47" t="s">
        <v>415</v>
      </c>
      <c r="G576" s="46" t="s">
        <v>152</v>
      </c>
      <c r="H576" s="46" t="s">
        <v>152</v>
      </c>
      <c r="I576" s="53"/>
      <c r="J576" s="63" t="s">
        <v>530</v>
      </c>
      <c r="K576" s="63" t="s">
        <v>530</v>
      </c>
      <c r="L576" s="63" t="s">
        <v>530</v>
      </c>
    </row>
    <row r="577" spans="1:12" ht="16.2" x14ac:dyDescent="0.4">
      <c r="A577" s="15" t="str">
        <f t="shared" si="8"/>
        <v>lt002_insrmntnt_ln_lss_prvsn_off_blnc</v>
      </c>
      <c r="B577" s="51" t="s">
        <v>13</v>
      </c>
      <c r="C577" s="48" t="s">
        <v>13</v>
      </c>
      <c r="D577" s="44" t="s">
        <v>18</v>
      </c>
      <c r="E577" s="47" t="s">
        <v>399</v>
      </c>
      <c r="F577" s="47" t="s">
        <v>416</v>
      </c>
      <c r="G577" s="46" t="s">
        <v>152</v>
      </c>
      <c r="H577" s="46" t="s">
        <v>152</v>
      </c>
      <c r="I577" s="53"/>
      <c r="J577" s="63" t="s">
        <v>530</v>
      </c>
      <c r="K577" s="63" t="s">
        <v>530</v>
      </c>
      <c r="L577" s="63" t="s">
        <v>530</v>
      </c>
    </row>
    <row r="578" spans="1:12" ht="16.2" x14ac:dyDescent="0.4">
      <c r="A578" s="15" t="str">
        <f t="shared" si="8"/>
        <v>lt002_insrmntavrg_blnc_off_blnc</v>
      </c>
      <c r="B578" s="51" t="s">
        <v>13</v>
      </c>
      <c r="C578" s="48" t="s">
        <v>13</v>
      </c>
      <c r="D578" s="44" t="s">
        <v>18</v>
      </c>
      <c r="E578" s="47" t="s">
        <v>399</v>
      </c>
      <c r="F578" s="47" t="s">
        <v>417</v>
      </c>
      <c r="G578" s="46" t="s">
        <v>152</v>
      </c>
      <c r="H578" s="46" t="s">
        <v>152</v>
      </c>
      <c r="I578" s="53"/>
      <c r="J578" s="63" t="s">
        <v>530</v>
      </c>
      <c r="K578" s="63" t="s">
        <v>530</v>
      </c>
      <c r="L578" s="63" t="s">
        <v>530</v>
      </c>
    </row>
    <row r="579" spans="1:12" ht="16.2" x14ac:dyDescent="0.4">
      <c r="A579" s="15" t="str">
        <f t="shared" si="8"/>
        <v>lt002_insrmntbsnss_area_ccrr</v>
      </c>
      <c r="B579" s="51" t="s">
        <v>13</v>
      </c>
      <c r="C579" s="48" t="s">
        <v>13</v>
      </c>
      <c r="D579" s="44" t="s">
        <v>18</v>
      </c>
      <c r="E579" s="47" t="s">
        <v>399</v>
      </c>
      <c r="F579" s="47" t="s">
        <v>418</v>
      </c>
      <c r="G579" s="46" t="s">
        <v>152</v>
      </c>
      <c r="H579" s="46" t="s">
        <v>152</v>
      </c>
      <c r="I579" s="53"/>
      <c r="J579" s="63" t="s">
        <v>530</v>
      </c>
      <c r="K579" s="63" t="s">
        <v>530</v>
      </c>
      <c r="L579" s="63" t="s">
        <v>530</v>
      </c>
    </row>
    <row r="580" spans="1:12" ht="16.2" x14ac:dyDescent="0.4">
      <c r="A580" s="15" t="str">
        <f t="shared" si="8"/>
        <v>lt002_insrmntgrss_cmmssn_incm_off_blnc</v>
      </c>
      <c r="B580" s="51" t="s">
        <v>13</v>
      </c>
      <c r="C580" s="48" t="s">
        <v>13</v>
      </c>
      <c r="D580" s="44" t="s">
        <v>18</v>
      </c>
      <c r="E580" s="47" t="s">
        <v>399</v>
      </c>
      <c r="F580" s="47" t="s">
        <v>378</v>
      </c>
      <c r="G580" s="46" t="s">
        <v>152</v>
      </c>
      <c r="H580" s="46" t="s">
        <v>152</v>
      </c>
      <c r="I580" s="53"/>
      <c r="J580" s="63" t="s">
        <v>530</v>
      </c>
      <c r="K580" s="63" t="s">
        <v>530</v>
      </c>
      <c r="L580" s="63" t="s">
        <v>530</v>
      </c>
    </row>
    <row r="581" spans="1:12" ht="16.2" x14ac:dyDescent="0.4">
      <c r="A581" s="15" t="str">
        <f t="shared" si="8"/>
        <v>lt002_insrmntgrss_cmmssn_expns_off_blnc_ccrr</v>
      </c>
      <c r="B581" s="51" t="s">
        <v>13</v>
      </c>
      <c r="C581" s="48" t="s">
        <v>13</v>
      </c>
      <c r="D581" s="44" t="s">
        <v>18</v>
      </c>
      <c r="E581" s="47" t="s">
        <v>399</v>
      </c>
      <c r="F581" s="47" t="s">
        <v>419</v>
      </c>
      <c r="G581" s="46" t="s">
        <v>152</v>
      </c>
      <c r="H581" s="46" t="s">
        <v>152</v>
      </c>
      <c r="I581" s="53"/>
      <c r="J581" s="63" t="s">
        <v>530</v>
      </c>
      <c r="K581" s="63" t="s">
        <v>530</v>
      </c>
      <c r="L581" s="63" t="s">
        <v>530</v>
      </c>
    </row>
    <row r="582" spans="1:12" ht="16.2" x14ac:dyDescent="0.4">
      <c r="A582" s="15" t="str">
        <f t="shared" si="8"/>
        <v>lt002_insrmntgrss_cmmssn_expns_off_blnc</v>
      </c>
      <c r="B582" s="51" t="s">
        <v>13</v>
      </c>
      <c r="C582" s="48" t="s">
        <v>13</v>
      </c>
      <c r="D582" s="44" t="s">
        <v>18</v>
      </c>
      <c r="E582" s="47" t="s">
        <v>399</v>
      </c>
      <c r="F582" s="47" t="s">
        <v>420</v>
      </c>
      <c r="G582" s="46" t="s">
        <v>152</v>
      </c>
      <c r="H582" s="46" t="s">
        <v>152</v>
      </c>
      <c r="I582" s="53"/>
      <c r="J582" s="63" t="s">
        <v>530</v>
      </c>
      <c r="K582" s="63" t="s">
        <v>530</v>
      </c>
      <c r="L582" s="63" t="s">
        <v>530</v>
      </c>
    </row>
    <row r="583" spans="1:12" ht="16.2" x14ac:dyDescent="0.4">
      <c r="A583" s="15" t="str">
        <f t="shared" si="8"/>
        <v>lt002_insrmntgrss_cmmssn_incm_off_blnc_ccrr</v>
      </c>
      <c r="B583" s="51" t="s">
        <v>13</v>
      </c>
      <c r="C583" s="48" t="s">
        <v>13</v>
      </c>
      <c r="D583" s="44" t="s">
        <v>18</v>
      </c>
      <c r="E583" s="47" t="s">
        <v>399</v>
      </c>
      <c r="F583" s="47" t="s">
        <v>421</v>
      </c>
      <c r="G583" s="46" t="s">
        <v>152</v>
      </c>
      <c r="H583" s="46" t="s">
        <v>152</v>
      </c>
      <c r="I583" s="53"/>
      <c r="J583" s="63" t="s">
        <v>530</v>
      </c>
      <c r="K583" s="63" t="s">
        <v>530</v>
      </c>
      <c r="L583" s="63" t="s">
        <v>530</v>
      </c>
    </row>
    <row r="584" spans="1:12" ht="16.2" x14ac:dyDescent="0.4">
      <c r="A584" s="15" t="str">
        <f t="shared" ref="A584:A605" si="9">E584&amp;F584</f>
        <v>lt002_insrmntgrss_intrst_incm</v>
      </c>
      <c r="B584" s="51" t="s">
        <v>13</v>
      </c>
      <c r="C584" s="48" t="s">
        <v>13</v>
      </c>
      <c r="D584" s="44" t="s">
        <v>18</v>
      </c>
      <c r="E584" s="47" t="s">
        <v>399</v>
      </c>
      <c r="F584" s="47" t="s">
        <v>376</v>
      </c>
      <c r="G584" s="46" t="s">
        <v>152</v>
      </c>
      <c r="H584" s="46" t="s">
        <v>152</v>
      </c>
      <c r="I584" s="53"/>
      <c r="J584" s="63" t="s">
        <v>530</v>
      </c>
      <c r="K584" s="63" t="s">
        <v>530</v>
      </c>
      <c r="L584" s="63" t="s">
        <v>530</v>
      </c>
    </row>
    <row r="585" spans="1:12" ht="16.2" x14ac:dyDescent="0.4">
      <c r="A585" s="15" t="str">
        <f t="shared" si="9"/>
        <v>lt002_insrmntgrss_cmmssn_incm</v>
      </c>
      <c r="B585" s="51" t="s">
        <v>13</v>
      </c>
      <c r="C585" s="48" t="s">
        <v>13</v>
      </c>
      <c r="D585" s="44" t="s">
        <v>18</v>
      </c>
      <c r="E585" s="47" t="s">
        <v>399</v>
      </c>
      <c r="F585" s="47" t="s">
        <v>377</v>
      </c>
      <c r="G585" s="46" t="s">
        <v>152</v>
      </c>
      <c r="H585" s="46" t="s">
        <v>152</v>
      </c>
      <c r="I585" s="53"/>
      <c r="J585" s="63" t="s">
        <v>530</v>
      </c>
      <c r="K585" s="63" t="s">
        <v>530</v>
      </c>
      <c r="L585" s="63" t="s">
        <v>530</v>
      </c>
    </row>
    <row r="586" spans="1:12" ht="16.2" x14ac:dyDescent="0.4">
      <c r="A586" s="15" t="str">
        <f t="shared" si="9"/>
        <v>lt002_insrmntgrss_cmmssn_incm_ccrr</v>
      </c>
      <c r="B586" s="51" t="s">
        <v>13</v>
      </c>
      <c r="C586" s="48" t="s">
        <v>13</v>
      </c>
      <c r="D586" s="44" t="s">
        <v>18</v>
      </c>
      <c r="E586" s="47" t="s">
        <v>399</v>
      </c>
      <c r="F586" s="47" t="s">
        <v>422</v>
      </c>
      <c r="G586" s="46" t="s">
        <v>152</v>
      </c>
      <c r="H586" s="46" t="s">
        <v>152</v>
      </c>
      <c r="I586" s="53"/>
      <c r="J586" s="63" t="s">
        <v>530</v>
      </c>
      <c r="K586" s="63" t="s">
        <v>530</v>
      </c>
      <c r="L586" s="63" t="s">
        <v>530</v>
      </c>
    </row>
    <row r="587" spans="1:12" ht="16.2" x14ac:dyDescent="0.4">
      <c r="A587" s="15" t="str">
        <f t="shared" si="9"/>
        <v>lt002_insrmntintrnl_trnsfr_rt</v>
      </c>
      <c r="B587" s="51" t="s">
        <v>13</v>
      </c>
      <c r="C587" s="48" t="s">
        <v>13</v>
      </c>
      <c r="D587" s="44" t="s">
        <v>18</v>
      </c>
      <c r="E587" s="47" t="s">
        <v>399</v>
      </c>
      <c r="F587" s="47" t="s">
        <v>423</v>
      </c>
      <c r="G587" s="46" t="s">
        <v>152</v>
      </c>
      <c r="H587" s="46" t="s">
        <v>152</v>
      </c>
      <c r="I587" s="53"/>
      <c r="J587" s="63" t="s">
        <v>530</v>
      </c>
      <c r="K587" s="63" t="s">
        <v>530</v>
      </c>
      <c r="L587" s="63" t="s">
        <v>530</v>
      </c>
    </row>
    <row r="588" spans="1:12" ht="16.2" x14ac:dyDescent="0.4">
      <c r="A588" s="15" t="str">
        <f t="shared" si="9"/>
        <v>lt002_insrmntgrss_cmmssn_expns</v>
      </c>
      <c r="B588" s="51" t="s">
        <v>13</v>
      </c>
      <c r="C588" s="48" t="s">
        <v>13</v>
      </c>
      <c r="D588" s="44" t="s">
        <v>18</v>
      </c>
      <c r="E588" s="47" t="s">
        <v>399</v>
      </c>
      <c r="F588" s="47" t="s">
        <v>424</v>
      </c>
      <c r="G588" s="46" t="s">
        <v>152</v>
      </c>
      <c r="H588" s="46" t="s">
        <v>152</v>
      </c>
      <c r="I588" s="53"/>
      <c r="J588" s="63" t="s">
        <v>530</v>
      </c>
      <c r="K588" s="63" t="s">
        <v>530</v>
      </c>
      <c r="L588" s="63" t="s">
        <v>530</v>
      </c>
    </row>
    <row r="589" spans="1:12" ht="16.2" x14ac:dyDescent="0.4">
      <c r="A589" s="15" t="str">
        <f t="shared" si="9"/>
        <v>lt002_insrmntgrss_cmmssn_expns_ccrr</v>
      </c>
      <c r="B589" s="51" t="s">
        <v>13</v>
      </c>
      <c r="C589" s="48" t="s">
        <v>13</v>
      </c>
      <c r="D589" s="44" t="s">
        <v>18</v>
      </c>
      <c r="E589" s="47" t="s">
        <v>399</v>
      </c>
      <c r="F589" s="47" t="s">
        <v>425</v>
      </c>
      <c r="G589" s="46" t="s">
        <v>152</v>
      </c>
      <c r="H589" s="46" t="s">
        <v>152</v>
      </c>
      <c r="I589" s="53"/>
      <c r="J589" s="63" t="s">
        <v>530</v>
      </c>
      <c r="K589" s="63" t="s">
        <v>530</v>
      </c>
      <c r="L589" s="63" t="s">
        <v>530</v>
      </c>
    </row>
    <row r="590" spans="1:12" ht="16.2" x14ac:dyDescent="0.4">
      <c r="A590" s="15" t="str">
        <f t="shared" si="9"/>
        <v>lt002_insrmntgrss_intrst_expns</v>
      </c>
      <c r="B590" s="51" t="s">
        <v>13</v>
      </c>
      <c r="C590" s="48" t="s">
        <v>13</v>
      </c>
      <c r="D590" s="44" t="s">
        <v>18</v>
      </c>
      <c r="E590" s="47" t="s">
        <v>399</v>
      </c>
      <c r="F590" s="47" t="s">
        <v>426</v>
      </c>
      <c r="G590" s="46" t="s">
        <v>152</v>
      </c>
      <c r="H590" s="46" t="s">
        <v>152</v>
      </c>
      <c r="I590" s="53"/>
      <c r="J590" s="63" t="s">
        <v>530</v>
      </c>
      <c r="K590" s="63" t="s">
        <v>530</v>
      </c>
      <c r="L590" s="63" t="s">
        <v>530</v>
      </c>
    </row>
    <row r="591" spans="1:12" ht="16.2" x14ac:dyDescent="0.4">
      <c r="A591" s="15" t="str">
        <f t="shared" si="9"/>
        <v>lt002_insrmntgrss_intrst_expns_ccrr</v>
      </c>
      <c r="B591" s="51" t="s">
        <v>13</v>
      </c>
      <c r="C591" s="48" t="s">
        <v>13</v>
      </c>
      <c r="D591" s="44" t="s">
        <v>18</v>
      </c>
      <c r="E591" s="47" t="s">
        <v>399</v>
      </c>
      <c r="F591" s="47" t="s">
        <v>427</v>
      </c>
      <c r="G591" s="46" t="s">
        <v>152</v>
      </c>
      <c r="H591" s="46" t="s">
        <v>152</v>
      </c>
      <c r="I591" s="53"/>
      <c r="J591" s="63" t="s">
        <v>530</v>
      </c>
      <c r="K591" s="63" t="s">
        <v>530</v>
      </c>
      <c r="L591" s="63" t="s">
        <v>530</v>
      </c>
    </row>
    <row r="592" spans="1:12" ht="16.2" x14ac:dyDescent="0.4">
      <c r="A592" s="15" t="str">
        <f t="shared" si="9"/>
        <v>lt002_insrmntgns_fnncl_trnsctn_exchng_dffrncs</v>
      </c>
      <c r="B592" s="51" t="s">
        <v>13</v>
      </c>
      <c r="C592" s="48" t="s">
        <v>13</v>
      </c>
      <c r="D592" s="44" t="s">
        <v>18</v>
      </c>
      <c r="E592" s="47" t="s">
        <v>399</v>
      </c>
      <c r="F592" s="47" t="s">
        <v>428</v>
      </c>
      <c r="G592" s="46" t="s">
        <v>152</v>
      </c>
      <c r="H592" s="46" t="s">
        <v>152</v>
      </c>
      <c r="I592" s="53"/>
      <c r="J592" s="63" t="s">
        <v>530</v>
      </c>
      <c r="K592" s="63" t="s">
        <v>530</v>
      </c>
      <c r="L592" s="63" t="s">
        <v>530</v>
      </c>
    </row>
    <row r="593" spans="1:13" ht="16.2" x14ac:dyDescent="0.4">
      <c r="A593" s="15" t="str">
        <f t="shared" si="9"/>
        <v>lt002_insrmntgns_fnncl_trnsctn_exchng_ccrr</v>
      </c>
      <c r="B593" s="51" t="s">
        <v>13</v>
      </c>
      <c r="C593" s="48" t="s">
        <v>13</v>
      </c>
      <c r="D593" s="44" t="s">
        <v>18</v>
      </c>
      <c r="E593" s="47" t="s">
        <v>399</v>
      </c>
      <c r="F593" s="47" t="s">
        <v>429</v>
      </c>
      <c r="G593" s="46" t="s">
        <v>152</v>
      </c>
      <c r="H593" s="46" t="s">
        <v>152</v>
      </c>
      <c r="I593" s="53"/>
      <c r="J593" s="63" t="s">
        <v>530</v>
      </c>
      <c r="K593" s="63" t="s">
        <v>530</v>
      </c>
      <c r="L593" s="63" t="s">
        <v>530</v>
      </c>
    </row>
    <row r="594" spans="1:13" ht="16.2" x14ac:dyDescent="0.4">
      <c r="A594" s="15" t="str">
        <f t="shared" si="9"/>
        <v>lt002_insrmntcnclld_instrmnt_stts</v>
      </c>
      <c r="B594" s="51" t="s">
        <v>13</v>
      </c>
      <c r="C594" s="48" t="s">
        <v>13</v>
      </c>
      <c r="D594" s="44" t="s">
        <v>18</v>
      </c>
      <c r="E594" s="47" t="s">
        <v>399</v>
      </c>
      <c r="F594" s="47" t="s">
        <v>430</v>
      </c>
      <c r="G594" s="46" t="s">
        <v>152</v>
      </c>
      <c r="H594" s="46" t="s">
        <v>152</v>
      </c>
      <c r="I594" s="53" t="s">
        <v>469</v>
      </c>
      <c r="J594" s="63">
        <v>45471</v>
      </c>
      <c r="K594" s="63">
        <v>45481</v>
      </c>
      <c r="L594" s="63">
        <v>45481</v>
      </c>
    </row>
    <row r="595" spans="1:13" ht="16.2" x14ac:dyDescent="0.4">
      <c r="A595" s="15" t="str">
        <f t="shared" si="9"/>
        <v>lt002_insrmntsstnbl_indctr</v>
      </c>
      <c r="B595" s="51" t="s">
        <v>13</v>
      </c>
      <c r="C595" s="48" t="s">
        <v>13</v>
      </c>
      <c r="D595" s="44" t="s">
        <v>18</v>
      </c>
      <c r="E595" s="47" t="s">
        <v>399</v>
      </c>
      <c r="F595" s="47" t="s">
        <v>374</v>
      </c>
      <c r="G595" s="46" t="s">
        <v>152</v>
      </c>
      <c r="H595" s="46" t="s">
        <v>152</v>
      </c>
      <c r="I595" s="53" t="s">
        <v>469</v>
      </c>
      <c r="J595" s="63">
        <v>45471</v>
      </c>
      <c r="K595" s="63">
        <v>45481</v>
      </c>
      <c r="L595" s="63">
        <v>45481</v>
      </c>
    </row>
    <row r="596" spans="1:13" ht="16.2" x14ac:dyDescent="0.4">
      <c r="A596" s="15" t="str">
        <f t="shared" si="9"/>
        <v>modesg_inp_emss_nacenome_pais</v>
      </c>
      <c r="B596" s="51" t="s">
        <v>11</v>
      </c>
      <c r="C596" s="48" t="s">
        <v>153</v>
      </c>
      <c r="D596" s="44" t="s">
        <v>18</v>
      </c>
      <c r="E596" s="45" t="s">
        <v>186</v>
      </c>
      <c r="F596" s="44" t="s">
        <v>189</v>
      </c>
      <c r="G596" s="46" t="s">
        <v>436</v>
      </c>
      <c r="H596" s="46" t="s">
        <v>436</v>
      </c>
      <c r="I596" s="53" t="s">
        <v>463</v>
      </c>
      <c r="J596" s="63" t="s">
        <v>530</v>
      </c>
      <c r="K596" s="63" t="s">
        <v>530</v>
      </c>
      <c r="L596" s="63" t="s">
        <v>530</v>
      </c>
      <c r="M596" s="15"/>
    </row>
    <row r="597" spans="1:13" ht="16.2" x14ac:dyDescent="0.4">
      <c r="A597" s="15" t="str">
        <f t="shared" si="9"/>
        <v>modesg_inp_emss_nacearea_atividade</v>
      </c>
      <c r="B597" s="51" t="s">
        <v>11</v>
      </c>
      <c r="C597" s="48" t="s">
        <v>153</v>
      </c>
      <c r="D597" s="44" t="s">
        <v>18</v>
      </c>
      <c r="E597" s="45" t="s">
        <v>186</v>
      </c>
      <c r="F597" s="44" t="s">
        <v>470</v>
      </c>
      <c r="G597" s="46" t="s">
        <v>436</v>
      </c>
      <c r="H597" s="46" t="s">
        <v>436</v>
      </c>
      <c r="I597" s="53" t="s">
        <v>463</v>
      </c>
      <c r="J597" s="63" t="s">
        <v>530</v>
      </c>
      <c r="K597" s="63" t="s">
        <v>530</v>
      </c>
      <c r="L597" s="63" t="s">
        <v>530</v>
      </c>
      <c r="M597" s="15"/>
    </row>
    <row r="598" spans="1:13" ht="16.2" x14ac:dyDescent="0.4">
      <c r="A598" s="15" t="str">
        <f t="shared" si="9"/>
        <v>modesg_inp_emss_nacetipo_atividade</v>
      </c>
      <c r="B598" s="51" t="s">
        <v>11</v>
      </c>
      <c r="C598" s="48" t="s">
        <v>153</v>
      </c>
      <c r="D598" s="44" t="s">
        <v>18</v>
      </c>
      <c r="E598" s="45" t="s">
        <v>186</v>
      </c>
      <c r="F598" s="44" t="s">
        <v>471</v>
      </c>
      <c r="G598" s="46" t="s">
        <v>436</v>
      </c>
      <c r="H598" s="46" t="s">
        <v>436</v>
      </c>
      <c r="I598" s="53" t="s">
        <v>463</v>
      </c>
      <c r="J598" s="63" t="s">
        <v>530</v>
      </c>
      <c r="K598" s="63" t="s">
        <v>530</v>
      </c>
      <c r="L598" s="63" t="s">
        <v>530</v>
      </c>
      <c r="M598" s="15"/>
    </row>
    <row r="599" spans="1:13" ht="16.2" x14ac:dyDescent="0.4">
      <c r="A599" s="15" t="str">
        <f t="shared" si="9"/>
        <v>modesg_inp_emss_nacesub_tipo_atividade_1</v>
      </c>
      <c r="B599" s="51" t="s">
        <v>11</v>
      </c>
      <c r="C599" s="48" t="s">
        <v>153</v>
      </c>
      <c r="D599" s="44" t="s">
        <v>18</v>
      </c>
      <c r="E599" s="45" t="s">
        <v>186</v>
      </c>
      <c r="F599" s="44" t="s">
        <v>472</v>
      </c>
      <c r="G599" s="46" t="s">
        <v>436</v>
      </c>
      <c r="H599" s="46" t="s">
        <v>436</v>
      </c>
      <c r="I599" s="53" t="s">
        <v>463</v>
      </c>
      <c r="J599" s="63" t="s">
        <v>530</v>
      </c>
      <c r="K599" s="63" t="s">
        <v>530</v>
      </c>
      <c r="L599" s="63" t="s">
        <v>530</v>
      </c>
      <c r="M599" s="15"/>
    </row>
    <row r="600" spans="1:13" ht="16.2" x14ac:dyDescent="0.4">
      <c r="A600" s="15" t="str">
        <f t="shared" si="9"/>
        <v>modesg_inp_emss_nacesub_tipo_atividade_2</v>
      </c>
      <c r="B600" s="51" t="s">
        <v>11</v>
      </c>
      <c r="C600" s="48" t="s">
        <v>153</v>
      </c>
      <c r="D600" s="44" t="s">
        <v>18</v>
      </c>
      <c r="E600" s="45" t="s">
        <v>186</v>
      </c>
      <c r="F600" s="44" t="s">
        <v>473</v>
      </c>
      <c r="G600" s="46" t="s">
        <v>436</v>
      </c>
      <c r="H600" s="46" t="s">
        <v>436</v>
      </c>
      <c r="I600" s="53" t="s">
        <v>463</v>
      </c>
      <c r="J600" s="63" t="s">
        <v>530</v>
      </c>
      <c r="K600" s="63" t="s">
        <v>530</v>
      </c>
      <c r="L600" s="63" t="s">
        <v>530</v>
      </c>
      <c r="M600" s="15"/>
    </row>
    <row r="601" spans="1:13" ht="16.2" x14ac:dyDescent="0.4">
      <c r="A601" s="15" t="str">
        <f t="shared" si="9"/>
        <v>modesg_inp_emss_naceunidades_unidade_funcional</v>
      </c>
      <c r="B601" s="51" t="s">
        <v>11</v>
      </c>
      <c r="C601" s="48" t="s">
        <v>153</v>
      </c>
      <c r="D601" s="44" t="s">
        <v>18</v>
      </c>
      <c r="E601" s="45" t="s">
        <v>186</v>
      </c>
      <c r="F601" s="44" t="s">
        <v>474</v>
      </c>
      <c r="G601" s="46" t="s">
        <v>436</v>
      </c>
      <c r="H601" s="46" t="s">
        <v>436</v>
      </c>
      <c r="I601" s="53" t="s">
        <v>463</v>
      </c>
      <c r="J601" s="63" t="s">
        <v>530</v>
      </c>
      <c r="K601" s="63" t="s">
        <v>530</v>
      </c>
      <c r="L601" s="63" t="s">
        <v>530</v>
      </c>
      <c r="M601" s="15"/>
    </row>
    <row r="602" spans="1:13" ht="16.2" x14ac:dyDescent="0.4">
      <c r="A602" s="15" t="str">
        <f t="shared" si="9"/>
        <v>modesg_inp_emss_nacefator_emissao</v>
      </c>
      <c r="B602" s="51" t="s">
        <v>11</v>
      </c>
      <c r="C602" s="48" t="s">
        <v>153</v>
      </c>
      <c r="D602" s="44" t="s">
        <v>18</v>
      </c>
      <c r="E602" s="45" t="s">
        <v>186</v>
      </c>
      <c r="F602" s="44" t="s">
        <v>475</v>
      </c>
      <c r="G602" s="46" t="s">
        <v>436</v>
      </c>
      <c r="H602" s="46" t="s">
        <v>436</v>
      </c>
      <c r="I602" s="53" t="s">
        <v>463</v>
      </c>
      <c r="J602" s="63" t="s">
        <v>530</v>
      </c>
      <c r="K602" s="63" t="s">
        <v>530</v>
      </c>
      <c r="L602" s="63" t="s">
        <v>530</v>
      </c>
      <c r="M602" s="15"/>
    </row>
    <row r="603" spans="1:13" ht="16.2" x14ac:dyDescent="0.4">
      <c r="A603" s="15" t="str">
        <f t="shared" si="9"/>
        <v>modesg_inp_km_medios_emss_vclsmedia_scp1_emss</v>
      </c>
      <c r="B603" s="51" t="s">
        <v>11</v>
      </c>
      <c r="C603" s="48" t="s">
        <v>153</v>
      </c>
      <c r="D603" s="44" t="s">
        <v>18</v>
      </c>
      <c r="E603" s="45" t="s">
        <v>181</v>
      </c>
      <c r="F603" s="44" t="s">
        <v>476</v>
      </c>
      <c r="G603" s="46" t="s">
        <v>436</v>
      </c>
      <c r="H603" s="46" t="s">
        <v>436</v>
      </c>
      <c r="I603" s="53" t="s">
        <v>463</v>
      </c>
      <c r="J603" s="63" t="s">
        <v>530</v>
      </c>
      <c r="K603" s="63" t="s">
        <v>530</v>
      </c>
      <c r="L603" s="63" t="s">
        <v>530</v>
      </c>
      <c r="M603" s="15"/>
    </row>
    <row r="604" spans="1:13" ht="16.2" x14ac:dyDescent="0.4">
      <c r="A604" s="15" t="str">
        <f t="shared" si="9"/>
        <v>modesg_inp_km_medios_emss_vclsmedia_scp2_emss</v>
      </c>
      <c r="B604" s="51" t="s">
        <v>11</v>
      </c>
      <c r="C604" s="48" t="s">
        <v>153</v>
      </c>
      <c r="D604" s="44" t="s">
        <v>18</v>
      </c>
      <c r="E604" s="45" t="s">
        <v>181</v>
      </c>
      <c r="F604" s="44" t="s">
        <v>477</v>
      </c>
      <c r="G604" s="46" t="s">
        <v>436</v>
      </c>
      <c r="H604" s="46" t="s">
        <v>436</v>
      </c>
      <c r="I604" s="53" t="s">
        <v>463</v>
      </c>
      <c r="J604" s="63" t="s">
        <v>530</v>
      </c>
      <c r="K604" s="63" t="s">
        <v>530</v>
      </c>
      <c r="L604" s="63" t="s">
        <v>530</v>
      </c>
      <c r="M604" s="15"/>
    </row>
    <row r="605" spans="1:13" ht="16.2" x14ac:dyDescent="0.4">
      <c r="A605" s="15" t="str">
        <f t="shared" si="9"/>
        <v>modesg_inp_km_medios_emss_vclsmedia_scp3_emss</v>
      </c>
      <c r="B605" s="56" t="s">
        <v>11</v>
      </c>
      <c r="C605" s="57" t="s">
        <v>153</v>
      </c>
      <c r="D605" s="58" t="s">
        <v>18</v>
      </c>
      <c r="E605" s="59" t="s">
        <v>181</v>
      </c>
      <c r="F605" s="58" t="s">
        <v>478</v>
      </c>
      <c r="G605" s="60" t="s">
        <v>436</v>
      </c>
      <c r="H605" s="46" t="s">
        <v>436</v>
      </c>
      <c r="I605" s="61" t="s">
        <v>463</v>
      </c>
      <c r="J605" s="63" t="s">
        <v>530</v>
      </c>
      <c r="K605" s="63" t="s">
        <v>530</v>
      </c>
      <c r="L605" s="63" t="s">
        <v>530</v>
      </c>
      <c r="M605" s="1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148"/>
  <sheetViews>
    <sheetView showGridLines="0" topLeftCell="A27" zoomScale="85" zoomScaleNormal="85" workbookViewId="0">
      <selection activeCell="B7" sqref="B7"/>
    </sheetView>
  </sheetViews>
  <sheetFormatPr defaultRowHeight="13.8" x14ac:dyDescent="0.25"/>
  <cols>
    <col min="1" max="1" width="3.69921875" customWidth="1"/>
    <col min="2" max="2" width="15.09765625" bestFit="1" customWidth="1"/>
    <col min="3" max="3" width="16.09765625" bestFit="1" customWidth="1"/>
    <col min="4" max="4" width="11.19921875" bestFit="1" customWidth="1"/>
    <col min="5" max="5" width="37.59765625" bestFit="1" customWidth="1"/>
    <col min="6" max="6" width="11" bestFit="1" customWidth="1"/>
    <col min="7" max="7" width="14.296875" bestFit="1" customWidth="1"/>
    <col min="8" max="8" width="14.3984375" bestFit="1" customWidth="1"/>
    <col min="9" max="9" width="11.69921875" bestFit="1" customWidth="1"/>
    <col min="10" max="10" width="11" bestFit="1" customWidth="1"/>
    <col min="13" max="13" width="26" bestFit="1" customWidth="1"/>
    <col min="14" max="14" width="16.09765625" bestFit="1" customWidth="1"/>
    <col min="15" max="15" width="11.69921875" bestFit="1" customWidth="1"/>
    <col min="16" max="16" width="11.19921875" bestFit="1" customWidth="1"/>
    <col min="17" max="17" width="14.19921875" bestFit="1" customWidth="1"/>
    <col min="18" max="18" width="14.296875" bestFit="1" customWidth="1"/>
    <col min="19" max="19" width="11" bestFit="1" customWidth="1"/>
    <col min="20" max="20" width="11.69921875" bestFit="1" customWidth="1"/>
    <col min="21" max="21" width="11" bestFit="1" customWidth="1"/>
  </cols>
  <sheetData>
    <row r="2" spans="2:12" ht="22.2" x14ac:dyDescent="0.55000000000000004">
      <c r="B2" s="36" t="s">
        <v>480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5" spans="2:12" x14ac:dyDescent="0.25">
      <c r="B5" s="19" t="s">
        <v>5</v>
      </c>
      <c r="C5" t="s" vm="3">
        <v>11</v>
      </c>
    </row>
    <row r="6" spans="2:12" x14ac:dyDescent="0.25">
      <c r="B6" s="19" t="s">
        <v>6</v>
      </c>
      <c r="C6" t="s" vm="4">
        <v>481</v>
      </c>
    </row>
    <row r="7" spans="2:12" x14ac:dyDescent="0.25">
      <c r="B7" s="19" t="s">
        <v>7</v>
      </c>
      <c r="C7" t="s" vm="5">
        <v>18</v>
      </c>
    </row>
    <row r="9" spans="2:12" x14ac:dyDescent="0.25">
      <c r="B9" s="19" t="s">
        <v>482</v>
      </c>
      <c r="C9" s="19" t="s">
        <v>483</v>
      </c>
    </row>
    <row r="10" spans="2:12" x14ac:dyDescent="0.25">
      <c r="B10" s="19" t="s">
        <v>484</v>
      </c>
      <c r="C10" t="s">
        <v>436</v>
      </c>
      <c r="D10" t="s">
        <v>437</v>
      </c>
      <c r="E10" t="s">
        <v>152</v>
      </c>
      <c r="F10" t="s">
        <v>439</v>
      </c>
      <c r="G10" t="s">
        <v>440</v>
      </c>
      <c r="H10" t="s">
        <v>479</v>
      </c>
    </row>
    <row r="11" spans="2:12" x14ac:dyDescent="0.25">
      <c r="B11" s="20" t="s">
        <v>63</v>
      </c>
      <c r="C11" s="97">
        <v>1</v>
      </c>
      <c r="D11" s="97">
        <v>14</v>
      </c>
      <c r="E11" s="97"/>
      <c r="F11" s="97"/>
      <c r="G11" s="97"/>
      <c r="H11" s="97">
        <v>15</v>
      </c>
    </row>
    <row r="12" spans="2:12" x14ac:dyDescent="0.25">
      <c r="B12" s="20" t="s">
        <v>33</v>
      </c>
      <c r="C12" s="97">
        <v>3</v>
      </c>
      <c r="D12" s="97">
        <v>7</v>
      </c>
      <c r="E12" s="97">
        <v>10</v>
      </c>
      <c r="F12" s="97"/>
      <c r="G12" s="97"/>
      <c r="H12" s="97">
        <v>20</v>
      </c>
    </row>
    <row r="13" spans="2:12" x14ac:dyDescent="0.25">
      <c r="B13" s="20" t="s">
        <v>32</v>
      </c>
      <c r="C13" s="97">
        <v>3</v>
      </c>
      <c r="D13" s="97">
        <v>3</v>
      </c>
      <c r="E13" s="97">
        <v>11</v>
      </c>
      <c r="F13" s="97"/>
      <c r="G13" s="97"/>
      <c r="H13" s="97">
        <v>17</v>
      </c>
    </row>
    <row r="14" spans="2:12" x14ac:dyDescent="0.25">
      <c r="B14" s="20" t="s">
        <v>96</v>
      </c>
      <c r="C14" s="97"/>
      <c r="D14" s="97">
        <v>4</v>
      </c>
      <c r="E14" s="97">
        <v>61</v>
      </c>
      <c r="F14" s="97"/>
      <c r="G14" s="97"/>
      <c r="H14" s="97">
        <v>65</v>
      </c>
    </row>
    <row r="15" spans="2:12" x14ac:dyDescent="0.25">
      <c r="B15" s="20" t="s">
        <v>69</v>
      </c>
      <c r="C15" s="97">
        <v>1</v>
      </c>
      <c r="D15" s="97">
        <v>25</v>
      </c>
      <c r="E15" s="97"/>
      <c r="F15" s="97"/>
      <c r="G15" s="97">
        <v>6</v>
      </c>
      <c r="H15" s="97">
        <v>32</v>
      </c>
    </row>
    <row r="16" spans="2:12" x14ac:dyDescent="0.25">
      <c r="B16" s="20" t="s">
        <v>16</v>
      </c>
      <c r="C16" s="97"/>
      <c r="D16" s="97"/>
      <c r="E16" s="97"/>
      <c r="F16" s="97">
        <v>12</v>
      </c>
      <c r="G16" s="97"/>
      <c r="H16" s="97">
        <v>12</v>
      </c>
    </row>
    <row r="17" spans="2:8" x14ac:dyDescent="0.25">
      <c r="B17" s="20" t="s">
        <v>479</v>
      </c>
      <c r="C17" s="97">
        <v>8</v>
      </c>
      <c r="D17" s="97">
        <v>53</v>
      </c>
      <c r="E17" s="97">
        <v>82</v>
      </c>
      <c r="F17" s="97">
        <v>12</v>
      </c>
      <c r="G17" s="97">
        <v>6</v>
      </c>
      <c r="H17" s="97">
        <v>161</v>
      </c>
    </row>
    <row r="23" spans="2:8" x14ac:dyDescent="0.25">
      <c r="B23" s="19" t="s">
        <v>5</v>
      </c>
      <c r="C23" t="s" vm="3">
        <v>11</v>
      </c>
    </row>
    <row r="24" spans="2:8" x14ac:dyDescent="0.25">
      <c r="B24" s="19" t="s">
        <v>6</v>
      </c>
      <c r="C24" t="s" vm="4">
        <v>481</v>
      </c>
    </row>
    <row r="25" spans="2:8" x14ac:dyDescent="0.25">
      <c r="B25" s="19" t="s">
        <v>7</v>
      </c>
      <c r="C25" t="s" vm="5">
        <v>18</v>
      </c>
    </row>
    <row r="27" spans="2:8" x14ac:dyDescent="0.25">
      <c r="B27" s="19" t="s">
        <v>484</v>
      </c>
      <c r="C27" t="s">
        <v>482</v>
      </c>
    </row>
    <row r="28" spans="2:8" x14ac:dyDescent="0.25">
      <c r="B28" s="20" t="s">
        <v>436</v>
      </c>
      <c r="C28" s="97">
        <v>8</v>
      </c>
    </row>
    <row r="29" spans="2:8" x14ac:dyDescent="0.25">
      <c r="B29" s="20" t="s">
        <v>437</v>
      </c>
      <c r="C29" s="97">
        <v>53</v>
      </c>
    </row>
    <row r="30" spans="2:8" x14ac:dyDescent="0.25">
      <c r="B30" s="20" t="s">
        <v>152</v>
      </c>
      <c r="C30" s="97">
        <v>82</v>
      </c>
    </row>
    <row r="31" spans="2:8" x14ac:dyDescent="0.25">
      <c r="B31" s="20" t="s">
        <v>439</v>
      </c>
      <c r="C31" s="97">
        <v>12</v>
      </c>
    </row>
    <row r="32" spans="2:8" x14ac:dyDescent="0.25">
      <c r="B32" s="20" t="s">
        <v>440</v>
      </c>
      <c r="C32" s="97">
        <v>6</v>
      </c>
    </row>
    <row r="33" spans="2:16" x14ac:dyDescent="0.25">
      <c r="B33" s="20" t="s">
        <v>479</v>
      </c>
      <c r="C33" s="97">
        <v>161</v>
      </c>
    </row>
    <row r="42" spans="2:16" ht="22.2" x14ac:dyDescent="0.55000000000000004">
      <c r="B42" s="36" t="s">
        <v>449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4" spans="2:16" x14ac:dyDescent="0.25">
      <c r="B44" s="19" t="s">
        <v>5</v>
      </c>
      <c r="C44" t="s" vm="3">
        <v>11</v>
      </c>
    </row>
    <row r="45" spans="2:16" x14ac:dyDescent="0.25">
      <c r="B45" s="19" t="s">
        <v>6</v>
      </c>
      <c r="C45" t="s" vm="6">
        <v>481</v>
      </c>
    </row>
    <row r="46" spans="2:16" x14ac:dyDescent="0.25">
      <c r="B46" s="19" t="s">
        <v>7</v>
      </c>
      <c r="C46" t="s" vm="5">
        <v>18</v>
      </c>
    </row>
    <row r="48" spans="2:16" x14ac:dyDescent="0.25">
      <c r="B48" s="19" t="s">
        <v>482</v>
      </c>
      <c r="C48" s="19" t="s">
        <v>483</v>
      </c>
    </row>
    <row r="49" spans="2:10" x14ac:dyDescent="0.25">
      <c r="B49" s="19" t="s">
        <v>484</v>
      </c>
      <c r="C49" t="s">
        <v>436</v>
      </c>
      <c r="D49" t="s">
        <v>437</v>
      </c>
      <c r="E49" t="s">
        <v>152</v>
      </c>
      <c r="F49" t="s">
        <v>438</v>
      </c>
      <c r="G49" t="s">
        <v>439</v>
      </c>
      <c r="H49" t="s">
        <v>440</v>
      </c>
      <c r="I49" t="s">
        <v>12</v>
      </c>
      <c r="J49" t="s">
        <v>479</v>
      </c>
    </row>
    <row r="50" spans="2:10" x14ac:dyDescent="0.25">
      <c r="B50" s="20" t="s">
        <v>154</v>
      </c>
      <c r="C50" s="97"/>
      <c r="D50" s="97">
        <v>18</v>
      </c>
      <c r="E50" s="97"/>
      <c r="F50" s="97"/>
      <c r="G50" s="97">
        <v>10</v>
      </c>
      <c r="H50" s="97"/>
      <c r="I50" s="97"/>
      <c r="J50" s="97">
        <v>28</v>
      </c>
    </row>
    <row r="51" spans="2:10" x14ac:dyDescent="0.25">
      <c r="B51" s="20" t="s">
        <v>291</v>
      </c>
      <c r="C51" s="97"/>
      <c r="D51" s="97">
        <v>1</v>
      </c>
      <c r="E51" s="97"/>
      <c r="F51" s="97"/>
      <c r="G51" s="97">
        <v>12</v>
      </c>
      <c r="H51" s="97"/>
      <c r="I51" s="97">
        <v>1</v>
      </c>
      <c r="J51" s="97">
        <v>14</v>
      </c>
    </row>
    <row r="52" spans="2:10" x14ac:dyDescent="0.25">
      <c r="B52" s="20" t="s">
        <v>290</v>
      </c>
      <c r="C52" s="97"/>
      <c r="D52" s="97">
        <v>8</v>
      </c>
      <c r="E52" s="97"/>
      <c r="F52" s="97">
        <v>7</v>
      </c>
      <c r="G52" s="97"/>
      <c r="H52" s="97"/>
      <c r="I52" s="97"/>
      <c r="J52" s="97">
        <v>15</v>
      </c>
    </row>
    <row r="53" spans="2:10" x14ac:dyDescent="0.25">
      <c r="B53" s="20" t="s">
        <v>285</v>
      </c>
      <c r="C53" s="97"/>
      <c r="D53" s="97">
        <v>2</v>
      </c>
      <c r="E53" s="97">
        <v>30</v>
      </c>
      <c r="F53" s="97"/>
      <c r="G53" s="97"/>
      <c r="H53" s="97"/>
      <c r="I53" s="97"/>
      <c r="J53" s="97">
        <v>32</v>
      </c>
    </row>
    <row r="54" spans="2:10" x14ac:dyDescent="0.25">
      <c r="B54" s="20" t="s">
        <v>276</v>
      </c>
      <c r="C54" s="97"/>
      <c r="D54" s="97">
        <v>6</v>
      </c>
      <c r="E54" s="97">
        <v>4</v>
      </c>
      <c r="F54" s="97">
        <v>8</v>
      </c>
      <c r="G54" s="97"/>
      <c r="H54" s="97"/>
      <c r="I54" s="97"/>
      <c r="J54" s="97">
        <v>18</v>
      </c>
    </row>
    <row r="55" spans="2:10" x14ac:dyDescent="0.25">
      <c r="B55" s="20" t="s">
        <v>184</v>
      </c>
      <c r="C55" s="97"/>
      <c r="D55" s="97">
        <v>6</v>
      </c>
      <c r="E55" s="97"/>
      <c r="F55" s="97"/>
      <c r="G55" s="97"/>
      <c r="H55" s="97"/>
      <c r="I55" s="97"/>
      <c r="J55" s="97">
        <v>6</v>
      </c>
    </row>
    <row r="56" spans="2:10" x14ac:dyDescent="0.25">
      <c r="B56" s="20" t="s">
        <v>183</v>
      </c>
      <c r="C56" s="97"/>
      <c r="D56" s="97"/>
      <c r="E56" s="97"/>
      <c r="F56" s="97"/>
      <c r="G56" s="97"/>
      <c r="H56" s="97">
        <v>40</v>
      </c>
      <c r="I56" s="97"/>
      <c r="J56" s="97">
        <v>40</v>
      </c>
    </row>
    <row r="57" spans="2:10" x14ac:dyDescent="0.25">
      <c r="B57" s="20" t="s">
        <v>181</v>
      </c>
      <c r="C57" s="97">
        <v>3</v>
      </c>
      <c r="D57" s="97"/>
      <c r="E57" s="97"/>
      <c r="F57" s="97"/>
      <c r="G57" s="97"/>
      <c r="H57" s="97">
        <v>6</v>
      </c>
      <c r="I57" s="97"/>
      <c r="J57" s="97">
        <v>9</v>
      </c>
    </row>
    <row r="58" spans="2:10" x14ac:dyDescent="0.25">
      <c r="B58" s="20" t="s">
        <v>180</v>
      </c>
      <c r="C58" s="97"/>
      <c r="D58" s="97"/>
      <c r="E58" s="97"/>
      <c r="F58" s="97"/>
      <c r="G58" s="97"/>
      <c r="H58" s="97">
        <v>17</v>
      </c>
      <c r="I58" s="97"/>
      <c r="J58" s="97">
        <v>17</v>
      </c>
    </row>
    <row r="59" spans="2:10" x14ac:dyDescent="0.25">
      <c r="B59" s="20" t="s">
        <v>185</v>
      </c>
      <c r="C59" s="97"/>
      <c r="D59" s="97">
        <v>17</v>
      </c>
      <c r="E59" s="97"/>
      <c r="F59" s="97"/>
      <c r="G59" s="97"/>
      <c r="H59" s="97"/>
      <c r="I59" s="97"/>
      <c r="J59" s="97">
        <v>17</v>
      </c>
    </row>
    <row r="60" spans="2:10" x14ac:dyDescent="0.25">
      <c r="B60" s="20" t="s">
        <v>186</v>
      </c>
      <c r="C60" s="97">
        <v>7</v>
      </c>
      <c r="D60" s="97"/>
      <c r="E60" s="97"/>
      <c r="F60" s="97"/>
      <c r="G60" s="97"/>
      <c r="H60" s="97">
        <v>14</v>
      </c>
      <c r="I60" s="97"/>
      <c r="J60" s="97">
        <v>21</v>
      </c>
    </row>
    <row r="61" spans="2:10" x14ac:dyDescent="0.25">
      <c r="B61" s="20" t="s">
        <v>187</v>
      </c>
      <c r="C61" s="97"/>
      <c r="D61" s="97"/>
      <c r="E61" s="97"/>
      <c r="F61" s="97"/>
      <c r="G61" s="97"/>
      <c r="H61" s="97">
        <v>18</v>
      </c>
      <c r="I61" s="97"/>
      <c r="J61" s="97">
        <v>18</v>
      </c>
    </row>
    <row r="62" spans="2:10" x14ac:dyDescent="0.25">
      <c r="B62" s="20" t="s">
        <v>182</v>
      </c>
      <c r="C62" s="97"/>
      <c r="D62" s="97">
        <v>7</v>
      </c>
      <c r="E62" s="97"/>
      <c r="F62" s="97"/>
      <c r="G62" s="97"/>
      <c r="H62" s="97"/>
      <c r="I62" s="97"/>
      <c r="J62" s="97">
        <v>7</v>
      </c>
    </row>
    <row r="63" spans="2:10" x14ac:dyDescent="0.25">
      <c r="B63" s="20" t="s">
        <v>479</v>
      </c>
      <c r="C63" s="97">
        <v>10</v>
      </c>
      <c r="D63" s="97">
        <v>65</v>
      </c>
      <c r="E63" s="97">
        <v>34</v>
      </c>
      <c r="F63" s="97">
        <v>15</v>
      </c>
      <c r="G63" s="97">
        <v>22</v>
      </c>
      <c r="H63" s="97">
        <v>95</v>
      </c>
      <c r="I63" s="97">
        <v>1</v>
      </c>
      <c r="J63" s="97">
        <v>242</v>
      </c>
    </row>
    <row r="68" spans="2:3" x14ac:dyDescent="0.25">
      <c r="B68" s="19" t="s">
        <v>5</v>
      </c>
      <c r="C68" t="s" vm="3">
        <v>11</v>
      </c>
    </row>
    <row r="69" spans="2:3" x14ac:dyDescent="0.25">
      <c r="B69" s="19" t="s">
        <v>6</v>
      </c>
      <c r="C69" t="s" vm="6">
        <v>481</v>
      </c>
    </row>
    <row r="70" spans="2:3" x14ac:dyDescent="0.25">
      <c r="B70" s="19" t="s">
        <v>7</v>
      </c>
      <c r="C70" t="s" vm="5">
        <v>18</v>
      </c>
    </row>
    <row r="72" spans="2:3" x14ac:dyDescent="0.25">
      <c r="B72" s="19" t="s">
        <v>484</v>
      </c>
      <c r="C72" t="s">
        <v>482</v>
      </c>
    </row>
    <row r="73" spans="2:3" x14ac:dyDescent="0.25">
      <c r="B73" s="20" t="s">
        <v>436</v>
      </c>
      <c r="C73" s="97">
        <v>10</v>
      </c>
    </row>
    <row r="74" spans="2:3" x14ac:dyDescent="0.25">
      <c r="B74" s="20" t="s">
        <v>437</v>
      </c>
      <c r="C74" s="97">
        <v>65</v>
      </c>
    </row>
    <row r="75" spans="2:3" x14ac:dyDescent="0.25">
      <c r="B75" s="20" t="s">
        <v>152</v>
      </c>
      <c r="C75" s="97">
        <v>34</v>
      </c>
    </row>
    <row r="76" spans="2:3" x14ac:dyDescent="0.25">
      <c r="B76" s="20" t="s">
        <v>438</v>
      </c>
      <c r="C76" s="97">
        <v>15</v>
      </c>
    </row>
    <row r="77" spans="2:3" x14ac:dyDescent="0.25">
      <c r="B77" s="20" t="s">
        <v>439</v>
      </c>
      <c r="C77" s="97">
        <v>22</v>
      </c>
    </row>
    <row r="78" spans="2:3" x14ac:dyDescent="0.25">
      <c r="B78" s="20" t="s">
        <v>440</v>
      </c>
      <c r="C78" s="97">
        <v>95</v>
      </c>
    </row>
    <row r="79" spans="2:3" x14ac:dyDescent="0.25">
      <c r="B79" s="20" t="s">
        <v>12</v>
      </c>
      <c r="C79" s="97">
        <v>1</v>
      </c>
    </row>
    <row r="80" spans="2:3" x14ac:dyDescent="0.25">
      <c r="B80" s="20" t="s">
        <v>479</v>
      </c>
      <c r="C80" s="97">
        <v>242</v>
      </c>
    </row>
    <row r="87" spans="2:16" ht="22.2" x14ac:dyDescent="0.55000000000000004">
      <c r="B87" s="36" t="s">
        <v>450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ht="22.2" x14ac:dyDescent="0.55000000000000004">
      <c r="B88" s="49"/>
    </row>
    <row r="90" spans="2:16" x14ac:dyDescent="0.25">
      <c r="B90" s="19" t="s">
        <v>5</v>
      </c>
      <c r="C90" t="s" vm="3">
        <v>11</v>
      </c>
    </row>
    <row r="91" spans="2:16" x14ac:dyDescent="0.25">
      <c r="B91" s="19" t="s">
        <v>6</v>
      </c>
      <c r="C91" t="s" vm="7">
        <v>11</v>
      </c>
    </row>
    <row r="92" spans="2:16" x14ac:dyDescent="0.25">
      <c r="B92" s="19" t="s">
        <v>7</v>
      </c>
      <c r="C92" t="s" vm="5">
        <v>18</v>
      </c>
    </row>
    <row r="94" spans="2:16" x14ac:dyDescent="0.25">
      <c r="B94" s="19" t="s">
        <v>482</v>
      </c>
      <c r="C94" s="19" t="s">
        <v>483</v>
      </c>
    </row>
    <row r="95" spans="2:16" x14ac:dyDescent="0.25">
      <c r="B95" s="19" t="s">
        <v>484</v>
      </c>
      <c r="C95" t="s">
        <v>437</v>
      </c>
      <c r="D95" t="s">
        <v>152</v>
      </c>
      <c r="E95" t="s">
        <v>12</v>
      </c>
      <c r="F95" t="s">
        <v>479</v>
      </c>
    </row>
    <row r="96" spans="2:16" x14ac:dyDescent="0.25">
      <c r="B96" s="20" t="s">
        <v>336</v>
      </c>
      <c r="C96" s="97"/>
      <c r="D96" s="97"/>
      <c r="E96" s="97">
        <v>34</v>
      </c>
      <c r="F96" s="97">
        <v>34</v>
      </c>
    </row>
    <row r="97" spans="2:6" x14ac:dyDescent="0.25">
      <c r="B97" s="20" t="s">
        <v>293</v>
      </c>
      <c r="C97" s="97">
        <v>2</v>
      </c>
      <c r="D97" s="97">
        <v>7</v>
      </c>
      <c r="E97" s="97">
        <v>34</v>
      </c>
      <c r="F97" s="97">
        <v>43</v>
      </c>
    </row>
    <row r="98" spans="2:6" x14ac:dyDescent="0.25">
      <c r="B98" s="20" t="s">
        <v>325</v>
      </c>
      <c r="C98" s="97"/>
      <c r="D98" s="97"/>
      <c r="E98" s="97">
        <v>20</v>
      </c>
      <c r="F98" s="97">
        <v>20</v>
      </c>
    </row>
    <row r="99" spans="2:6" x14ac:dyDescent="0.25">
      <c r="B99" s="20" t="s">
        <v>395</v>
      </c>
      <c r="C99" s="97"/>
      <c r="D99" s="97"/>
      <c r="E99" s="97">
        <v>5</v>
      </c>
      <c r="F99" s="97">
        <v>5</v>
      </c>
    </row>
    <row r="100" spans="2:6" x14ac:dyDescent="0.25">
      <c r="B100" s="20" t="s">
        <v>397</v>
      </c>
      <c r="C100" s="97"/>
      <c r="D100" s="97"/>
      <c r="E100" s="97">
        <v>5</v>
      </c>
      <c r="F100" s="97">
        <v>5</v>
      </c>
    </row>
    <row r="101" spans="2:6" x14ac:dyDescent="0.25">
      <c r="B101" s="20" t="s">
        <v>346</v>
      </c>
      <c r="C101" s="97"/>
      <c r="D101" s="97"/>
      <c r="E101" s="97">
        <v>10</v>
      </c>
      <c r="F101" s="97">
        <v>10</v>
      </c>
    </row>
    <row r="102" spans="2:6" x14ac:dyDescent="0.25">
      <c r="B102" s="20" t="s">
        <v>349</v>
      </c>
      <c r="C102" s="97"/>
      <c r="D102" s="97"/>
      <c r="E102" s="97">
        <v>9</v>
      </c>
      <c r="F102" s="97">
        <v>9</v>
      </c>
    </row>
    <row r="103" spans="2:6" x14ac:dyDescent="0.25">
      <c r="B103" s="20" t="s">
        <v>479</v>
      </c>
      <c r="C103" s="97">
        <v>2</v>
      </c>
      <c r="D103" s="97">
        <v>7</v>
      </c>
      <c r="E103" s="97">
        <v>117</v>
      </c>
      <c r="F103" s="97">
        <v>126</v>
      </c>
    </row>
    <row r="108" spans="2:6" x14ac:dyDescent="0.25">
      <c r="B108" s="20"/>
    </row>
    <row r="109" spans="2:6" x14ac:dyDescent="0.25">
      <c r="B109" s="20"/>
    </row>
    <row r="111" spans="2:6" x14ac:dyDescent="0.25">
      <c r="B111" s="19" t="s">
        <v>5</v>
      </c>
      <c r="C111" t="s" vm="3">
        <v>11</v>
      </c>
    </row>
    <row r="112" spans="2:6" x14ac:dyDescent="0.25">
      <c r="B112" s="19" t="s">
        <v>6</v>
      </c>
      <c r="C112" t="s" vm="7">
        <v>11</v>
      </c>
    </row>
    <row r="113" spans="2:3" x14ac:dyDescent="0.25">
      <c r="B113" s="19" t="s">
        <v>7</v>
      </c>
      <c r="C113" t="s" vm="5">
        <v>18</v>
      </c>
    </row>
    <row r="115" spans="2:3" x14ac:dyDescent="0.25">
      <c r="B115" s="19" t="s">
        <v>484</v>
      </c>
      <c r="C115" t="s">
        <v>482</v>
      </c>
    </row>
    <row r="116" spans="2:3" x14ac:dyDescent="0.25">
      <c r="B116" s="20" t="s">
        <v>12</v>
      </c>
      <c r="C116" s="97">
        <v>117</v>
      </c>
    </row>
    <row r="117" spans="2:3" x14ac:dyDescent="0.25">
      <c r="B117" s="20" t="s">
        <v>437</v>
      </c>
      <c r="C117" s="97">
        <v>2</v>
      </c>
    </row>
    <row r="118" spans="2:3" x14ac:dyDescent="0.25">
      <c r="B118" s="20" t="s">
        <v>152</v>
      </c>
      <c r="C118" s="97">
        <v>7</v>
      </c>
    </row>
    <row r="119" spans="2:3" x14ac:dyDescent="0.25">
      <c r="B119" s="20" t="s">
        <v>479</v>
      </c>
      <c r="C119" s="97">
        <v>126</v>
      </c>
    </row>
    <row r="120" spans="2:3" x14ac:dyDescent="0.25">
      <c r="B120" s="20"/>
    </row>
    <row r="121" spans="2:3" x14ac:dyDescent="0.25">
      <c r="B121" s="20"/>
    </row>
    <row r="122" spans="2:3" x14ac:dyDescent="0.25">
      <c r="B122" s="20"/>
    </row>
    <row r="123" spans="2:3" x14ac:dyDescent="0.25">
      <c r="B123" s="20"/>
    </row>
    <row r="124" spans="2:3" x14ac:dyDescent="0.25">
      <c r="B124" s="20"/>
    </row>
    <row r="125" spans="2:3" x14ac:dyDescent="0.25">
      <c r="B125" s="20"/>
    </row>
    <row r="129" spans="2:16" ht="22.2" x14ac:dyDescent="0.55000000000000004">
      <c r="B129" s="36" t="s">
        <v>451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2" spans="2:16" x14ac:dyDescent="0.25">
      <c r="B132" s="19" t="s">
        <v>5</v>
      </c>
      <c r="C132" t="s" vm="2">
        <v>13</v>
      </c>
    </row>
    <row r="133" spans="2:16" x14ac:dyDescent="0.25">
      <c r="B133" s="19" t="s">
        <v>7</v>
      </c>
      <c r="C133" t="s" vm="1">
        <v>18</v>
      </c>
    </row>
    <row r="135" spans="2:16" x14ac:dyDescent="0.25">
      <c r="B135" s="19" t="s">
        <v>482</v>
      </c>
      <c r="C135" s="19" t="s">
        <v>483</v>
      </c>
    </row>
    <row r="136" spans="2:16" x14ac:dyDescent="0.25">
      <c r="B136" s="19" t="s">
        <v>484</v>
      </c>
      <c r="C136" t="s">
        <v>437</v>
      </c>
      <c r="D136" t="s">
        <v>152</v>
      </c>
      <c r="E136" t="s">
        <v>438</v>
      </c>
      <c r="F136" t="s">
        <v>479</v>
      </c>
    </row>
    <row r="137" spans="2:16" x14ac:dyDescent="0.25">
      <c r="B137" s="20" t="s">
        <v>399</v>
      </c>
      <c r="C137" s="97">
        <v>23</v>
      </c>
      <c r="D137" s="97">
        <v>26</v>
      </c>
      <c r="E137" s="97">
        <v>1</v>
      </c>
      <c r="F137" s="97">
        <v>50</v>
      </c>
    </row>
    <row r="138" spans="2:16" x14ac:dyDescent="0.25">
      <c r="B138" s="20" t="s">
        <v>479</v>
      </c>
      <c r="C138" s="97">
        <v>23</v>
      </c>
      <c r="D138" s="97">
        <v>26</v>
      </c>
      <c r="E138" s="97">
        <v>1</v>
      </c>
      <c r="F138" s="97">
        <v>50</v>
      </c>
    </row>
    <row r="141" spans="2:16" x14ac:dyDescent="0.25">
      <c r="B141" s="19" t="s">
        <v>5</v>
      </c>
      <c r="C141" t="s" vm="2">
        <v>13</v>
      </c>
    </row>
    <row r="142" spans="2:16" x14ac:dyDescent="0.25">
      <c r="B142" s="19" t="s">
        <v>7</v>
      </c>
      <c r="C142" t="s" vm="1">
        <v>18</v>
      </c>
    </row>
    <row r="144" spans="2:16" x14ac:dyDescent="0.25">
      <c r="B144" s="19" t="s">
        <v>484</v>
      </c>
      <c r="C144" t="s">
        <v>482</v>
      </c>
    </row>
    <row r="145" spans="2:3" x14ac:dyDescent="0.25">
      <c r="B145" s="20" t="s">
        <v>437</v>
      </c>
      <c r="C145" s="97">
        <v>23</v>
      </c>
    </row>
    <row r="146" spans="2:3" x14ac:dyDescent="0.25">
      <c r="B146" s="20" t="s">
        <v>152</v>
      </c>
      <c r="C146" s="97">
        <v>26</v>
      </c>
    </row>
    <row r="147" spans="2:3" x14ac:dyDescent="0.25">
      <c r="B147" s="20" t="s">
        <v>438</v>
      </c>
      <c r="C147" s="97">
        <v>1</v>
      </c>
    </row>
    <row r="148" spans="2:3" x14ac:dyDescent="0.25">
      <c r="B148" s="20" t="s">
        <v>479</v>
      </c>
      <c r="C148" s="97">
        <v>50</v>
      </c>
    </row>
  </sheetData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2:J23"/>
  <sheetViews>
    <sheetView topLeftCell="A7" zoomScale="85" zoomScaleNormal="85" workbookViewId="0">
      <selection activeCell="B7" sqref="B7"/>
    </sheetView>
  </sheetViews>
  <sheetFormatPr defaultRowHeight="13.8" x14ac:dyDescent="0.25"/>
  <cols>
    <col min="1" max="1" width="31.09765625" bestFit="1" customWidth="1"/>
    <col min="2" max="2" width="58.09765625" customWidth="1"/>
    <col min="3" max="3" width="100.69921875" customWidth="1"/>
  </cols>
  <sheetData>
    <row r="2" spans="2:10" x14ac:dyDescent="0.25">
      <c r="D2" t="s">
        <v>498</v>
      </c>
    </row>
    <row r="3" spans="2:10" ht="17.399999999999999" x14ac:dyDescent="0.45">
      <c r="B3" s="6" t="s">
        <v>499</v>
      </c>
      <c r="D3" t="s">
        <v>485</v>
      </c>
    </row>
    <row r="4" spans="2:10" ht="17.399999999999999" x14ac:dyDescent="0.45">
      <c r="B4" s="22" t="s">
        <v>500</v>
      </c>
      <c r="C4" s="22" t="s">
        <v>501</v>
      </c>
      <c r="D4" s="21" t="s">
        <v>494</v>
      </c>
      <c r="E4" s="21" t="s">
        <v>495</v>
      </c>
      <c r="F4" s="21" t="s">
        <v>487</v>
      </c>
      <c r="H4" s="16" t="s">
        <v>494</v>
      </c>
      <c r="I4" s="16" t="s">
        <v>495</v>
      </c>
      <c r="J4" s="16" t="s">
        <v>487</v>
      </c>
    </row>
    <row r="5" spans="2:10" ht="34.799999999999997" x14ac:dyDescent="0.45">
      <c r="B5" s="2" t="s">
        <v>486</v>
      </c>
      <c r="C5" s="3" t="s">
        <v>502</v>
      </c>
      <c r="D5">
        <v>8</v>
      </c>
      <c r="E5">
        <v>8</v>
      </c>
      <c r="F5">
        <v>8</v>
      </c>
      <c r="H5" s="16">
        <v>1</v>
      </c>
      <c r="I5" s="16">
        <v>3</v>
      </c>
      <c r="J5" s="16">
        <v>8</v>
      </c>
    </row>
    <row r="6" spans="2:10" ht="34.799999999999997" x14ac:dyDescent="0.45">
      <c r="B6" s="2" t="s">
        <v>488</v>
      </c>
      <c r="C6" s="3" t="s">
        <v>503</v>
      </c>
      <c r="D6">
        <v>2</v>
      </c>
      <c r="E6">
        <v>4</v>
      </c>
      <c r="F6">
        <v>8</v>
      </c>
      <c r="H6" s="16">
        <v>1</v>
      </c>
      <c r="I6" s="16">
        <v>3</v>
      </c>
      <c r="J6" s="16">
        <v>4</v>
      </c>
    </row>
    <row r="7" spans="2:10" ht="17.399999999999999" x14ac:dyDescent="0.45">
      <c r="B7" s="2" t="s">
        <v>489</v>
      </c>
      <c r="C7" s="3" t="s">
        <v>504</v>
      </c>
      <c r="D7">
        <v>2</v>
      </c>
      <c r="E7">
        <v>4</v>
      </c>
      <c r="F7">
        <v>8</v>
      </c>
      <c r="H7" s="16">
        <v>1</v>
      </c>
      <c r="I7" s="16">
        <v>1</v>
      </c>
      <c r="J7" s="16">
        <v>2</v>
      </c>
    </row>
    <row r="8" spans="2:10" ht="17.399999999999999" x14ac:dyDescent="0.45">
      <c r="B8" s="13" t="s">
        <v>490</v>
      </c>
      <c r="C8" s="3" t="s">
        <v>505</v>
      </c>
      <c r="D8">
        <v>2</v>
      </c>
      <c r="E8">
        <v>4</v>
      </c>
      <c r="F8">
        <v>8</v>
      </c>
      <c r="H8" s="16">
        <v>2</v>
      </c>
      <c r="I8" s="16">
        <v>4</v>
      </c>
      <c r="J8" s="16">
        <v>4</v>
      </c>
    </row>
    <row r="9" spans="2:10" ht="17.399999999999999" x14ac:dyDescent="0.45">
      <c r="B9" s="14" t="s">
        <v>493</v>
      </c>
      <c r="C9" s="3" t="s">
        <v>506</v>
      </c>
      <c r="D9">
        <v>1</v>
      </c>
      <c r="E9">
        <v>1</v>
      </c>
      <c r="F9">
        <v>1</v>
      </c>
      <c r="H9" s="16"/>
      <c r="I9" s="16"/>
      <c r="J9" s="16"/>
    </row>
    <row r="10" spans="2:10" ht="52.2" x14ac:dyDescent="0.45">
      <c r="B10" s="2" t="s">
        <v>491</v>
      </c>
      <c r="C10" s="3" t="s">
        <v>507</v>
      </c>
      <c r="D10">
        <v>0.1</v>
      </c>
      <c r="E10">
        <v>0.1</v>
      </c>
      <c r="F10">
        <v>0.1</v>
      </c>
      <c r="H10" s="16">
        <v>0.1</v>
      </c>
      <c r="I10" s="16">
        <v>0.5</v>
      </c>
      <c r="J10" s="16">
        <v>0.5</v>
      </c>
    </row>
    <row r="11" spans="2:10" ht="17.399999999999999" x14ac:dyDescent="0.45">
      <c r="B11" s="14" t="s">
        <v>492</v>
      </c>
      <c r="C11" s="3" t="s">
        <v>508</v>
      </c>
      <c r="D11">
        <v>1</v>
      </c>
      <c r="E11">
        <v>2</v>
      </c>
      <c r="F11">
        <v>2</v>
      </c>
      <c r="H11" s="16"/>
      <c r="I11" s="16"/>
      <c r="J11" s="16"/>
    </row>
    <row r="12" spans="2:10" ht="17.399999999999999" x14ac:dyDescent="0.45">
      <c r="B12" s="14" t="s">
        <v>497</v>
      </c>
      <c r="C12" s="3" t="s">
        <v>509</v>
      </c>
      <c r="D12">
        <v>0.5</v>
      </c>
      <c r="E12">
        <v>0.5</v>
      </c>
      <c r="F12">
        <v>0.5</v>
      </c>
      <c r="H12" s="16">
        <v>0.5</v>
      </c>
      <c r="I12" s="16">
        <v>0.5</v>
      </c>
      <c r="J12" s="16">
        <v>0.5</v>
      </c>
    </row>
    <row r="13" spans="2:10" ht="34.799999999999997" x14ac:dyDescent="0.45">
      <c r="B13" s="17" t="s">
        <v>496</v>
      </c>
      <c r="C13" s="3" t="s">
        <v>510</v>
      </c>
      <c r="D13">
        <v>0.5</v>
      </c>
      <c r="E13">
        <v>0.5</v>
      </c>
      <c r="F13">
        <v>0.5</v>
      </c>
      <c r="H13" s="16">
        <v>0.5</v>
      </c>
      <c r="I13" s="16">
        <v>0.5</v>
      </c>
      <c r="J13" s="16">
        <v>0.5</v>
      </c>
    </row>
    <row r="14" spans="2:10" ht="17.399999999999999" x14ac:dyDescent="0.45">
      <c r="B14" s="18"/>
      <c r="C14" s="12"/>
    </row>
    <row r="15" spans="2:10" x14ac:dyDescent="0.25">
      <c r="B15" s="5" t="s">
        <v>10</v>
      </c>
    </row>
    <row r="16" spans="2:10" ht="17.399999999999999" x14ac:dyDescent="0.25">
      <c r="B16" s="7" t="s">
        <v>437</v>
      </c>
      <c r="C16">
        <f>_xlfn.NUMBERVALUE(LEFT(B16,1))</f>
        <v>1</v>
      </c>
      <c r="D16" s="24">
        <v>1</v>
      </c>
    </row>
    <row r="17" spans="1:4" ht="17.399999999999999" x14ac:dyDescent="0.25">
      <c r="A17" t="s">
        <v>511</v>
      </c>
      <c r="B17" s="7" t="s">
        <v>438</v>
      </c>
      <c r="C17">
        <f t="shared" ref="C17:C23" si="0">_xlfn.NUMBERVALUE(LEFT(B17,1))</f>
        <v>3</v>
      </c>
      <c r="D17" s="24">
        <v>0.25</v>
      </c>
    </row>
    <row r="18" spans="1:4" ht="17.399999999999999" x14ac:dyDescent="0.25">
      <c r="B18" s="9" t="s">
        <v>12</v>
      </c>
      <c r="C18">
        <f t="shared" si="0"/>
        <v>7</v>
      </c>
      <c r="D18" s="24">
        <v>0</v>
      </c>
    </row>
    <row r="19" spans="1:4" ht="17.399999999999999" x14ac:dyDescent="0.45">
      <c r="B19" s="1" t="s">
        <v>152</v>
      </c>
      <c r="C19">
        <f t="shared" si="0"/>
        <v>2</v>
      </c>
      <c r="D19" s="24">
        <v>0.5</v>
      </c>
    </row>
    <row r="20" spans="1:4" ht="17.399999999999999" x14ac:dyDescent="0.45">
      <c r="A20" t="s">
        <v>512</v>
      </c>
      <c r="B20" s="10" t="s">
        <v>439</v>
      </c>
      <c r="C20">
        <f t="shared" si="0"/>
        <v>4</v>
      </c>
      <c r="D20" s="24">
        <v>0.25</v>
      </c>
    </row>
    <row r="21" spans="1:4" ht="17.399999999999999" x14ac:dyDescent="0.45">
      <c r="A21" t="s">
        <v>513</v>
      </c>
      <c r="B21" s="8" t="s">
        <v>440</v>
      </c>
      <c r="C21">
        <f t="shared" si="0"/>
        <v>5</v>
      </c>
      <c r="D21" s="24">
        <v>0.25</v>
      </c>
    </row>
    <row r="22" spans="1:4" ht="17.399999999999999" x14ac:dyDescent="0.45">
      <c r="B22" s="8" t="s">
        <v>442</v>
      </c>
      <c r="C22">
        <f t="shared" si="0"/>
        <v>6</v>
      </c>
      <c r="D22" s="24">
        <v>0.25</v>
      </c>
    </row>
    <row r="23" spans="1:4" ht="17.399999999999999" x14ac:dyDescent="0.45">
      <c r="A23" t="s">
        <v>514</v>
      </c>
      <c r="B23" s="1" t="s">
        <v>436</v>
      </c>
      <c r="C23">
        <f t="shared" si="0"/>
        <v>0</v>
      </c>
      <c r="D23" s="24">
        <v>0</v>
      </c>
    </row>
  </sheetData>
  <conditionalFormatting sqref="B16:B23">
    <cfRule type="cellIs" dxfId="3" priority="1" operator="equal">
      <formula>$B$23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5969BE-C34E-49F0-8570-DF3795205EE0}">
            <xm:f>NOT(ISERROR(SEARCH($B$21,B16)))</xm:f>
            <xm:f>$B$21</xm:f>
            <x14:dxf>
              <font>
                <b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0574C7E-907B-4484-A1CC-EBB9AA1C8984}">
            <xm:f>NOT(ISERROR(SEARCH($B$19,B16)))</xm:f>
            <xm:f>$B$19</xm:f>
            <x14:dxf>
              <font>
                <b/>
                <i val="0"/>
                <color theme="7" tint="-0.24994659260841701"/>
              </font>
              <fill>
                <patternFill>
                  <bgColor theme="7" tint="0.79998168889431442"/>
                </patternFill>
              </fill>
            </x14:dxf>
          </x14:cfRule>
          <x14:cfRule type="containsText" priority="4" operator="containsText" id="{189E0EEA-8B4A-4A84-ABC7-266A6AAD0E7B}">
            <xm:f>NOT(ISERROR(SEARCH($B$16,B16)))</xm:f>
            <xm:f>$B$16</xm:f>
            <x14:dxf>
              <font>
                <b/>
                <i val="0"/>
                <color theme="9"/>
              </font>
              <fill>
                <patternFill>
                  <bgColor theme="9" tint="0.79998168889431442"/>
                </patternFill>
              </fill>
            </x14:dxf>
          </x14:cfRule>
          <xm:sqref>B16:B23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4" ma:contentTypeDescription="Create a new document." ma:contentTypeScope="" ma:versionID="9509e3bd7a53296b38bbd3a833f46522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bca3a58271a3b4c0fd3d9c38081ec184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purl.org/dc/dcmitype/"/>
    <ds:schemaRef ds:uri="0683c779-04fc-4b63-89c9-6c25ffa1c0a4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ea7b29d-57ec-408d-9ea9-cf73b04f66d5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40692DC-BB1C-45FF-ACF8-BDA7EA45A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Âmbito de atuação</vt:lpstr>
      <vt:lpstr>1. Status Resumo</vt:lpstr>
      <vt:lpstr>2. Status Detalhe Campos</vt:lpstr>
      <vt:lpstr>Aux - Pivots2</vt:lpstr>
      <vt:lpstr>Auxiliar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Nádia Genebra Ahmad</cp:lastModifiedBy>
  <cp:revision/>
  <dcterms:created xsi:type="dcterms:W3CDTF">2024-07-02T08:46:04Z</dcterms:created>
  <dcterms:modified xsi:type="dcterms:W3CDTF">2024-08-02T09:02:22Z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