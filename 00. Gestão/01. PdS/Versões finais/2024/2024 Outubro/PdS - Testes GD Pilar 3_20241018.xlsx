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Outubro/"/>
    </mc:Choice>
  </mc:AlternateContent>
  <xr:revisionPtr revIDLastSave="11" documentId="11_B8BB3C434784ECF399562B51EC2EE55A5FEA0BD4" xr6:coauthVersionLast="47" xr6:coauthVersionMax="47" xr10:uidLastSave="{5B48D04A-CF80-41EE-89E9-3F6CE830BFCA}"/>
  <bookViews>
    <workbookView xWindow="-108" yWindow="-108" windowWidth="23256" windowHeight="12576" xr2:uid="{00000000-000D-0000-FFFF-FFFF00000000}"/>
  </bookViews>
  <sheets>
    <sheet name="1. Status Resumo" sheetId="15" r:id="rId1"/>
    <sheet name="2. Status Detalhe Campos" sheetId="17" r:id="rId2"/>
    <sheet name="Plano" sheetId="20" r:id="rId3"/>
  </sheets>
  <definedNames>
    <definedName name="_xlnm._FilterDatabase" localSheetId="1" hidden="1">'2. Status Detalhe Campos'!$A$6:$J$615</definedName>
    <definedName name="_xlnm._FilterDatabase" localSheetId="2" hidden="1">Plano!$B$8:$P$24</definedName>
    <definedName name="_xlcn.WorksheetConnection_2.StatusDetalheCamposB6G6051" hidden="1">'2. Status Detalhe Campos'!$B$6:$G$615</definedName>
    <definedName name="_xlcn.WorksheetConnection_Sheet2B2G5451" hidden="1">'2. Status Detalhe Campos'!$B$6:$G$554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0" i="15" l="1"/>
  <c r="T55" i="15"/>
  <c r="T29" i="15"/>
  <c r="T28" i="15"/>
  <c r="U25" i="15" l="1"/>
  <c r="A179" i="17" l="1"/>
  <c r="A178" i="17"/>
  <c r="A177" i="17"/>
  <c r="A176" i="17"/>
  <c r="A175" i="17"/>
  <c r="A174" i="17"/>
  <c r="A173" i="17"/>
  <c r="T59" i="15" l="1"/>
  <c r="T51" i="15" l="1"/>
  <c r="U51" i="15"/>
  <c r="A211" i="17" l="1"/>
  <c r="A210" i="17"/>
  <c r="A212" i="17"/>
  <c r="A213" i="17"/>
  <c r="A255" i="17" l="1"/>
  <c r="T54" i="15" l="1"/>
  <c r="A615" i="17" l="1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U86" i="15" l="1"/>
  <c r="T95" i="15" l="1"/>
  <c r="T94" i="15"/>
  <c r="T93" i="15"/>
  <c r="T92" i="15"/>
  <c r="T91" i="15"/>
  <c r="T89" i="15"/>
  <c r="T88" i="15"/>
  <c r="T87" i="15"/>
  <c r="A24" i="20"/>
  <c r="A23" i="20"/>
  <c r="A22" i="20"/>
  <c r="A21" i="20"/>
  <c r="R8" i="20"/>
  <c r="Q7" i="20"/>
  <c r="R7" i="20" l="1"/>
  <c r="S8" i="20"/>
  <c r="S7" i="20" l="1"/>
  <c r="T8" i="20"/>
  <c r="U8" i="20" l="1"/>
  <c r="T7" i="20"/>
  <c r="V8" i="20" l="1"/>
  <c r="U7" i="20"/>
  <c r="W8" i="20" l="1"/>
  <c r="V7" i="20"/>
  <c r="T52" i="15"/>
  <c r="T53" i="15"/>
  <c r="T56" i="15"/>
  <c r="T57" i="15"/>
  <c r="T58" i="15"/>
  <c r="T60" i="15"/>
  <c r="T26" i="15"/>
  <c r="T27" i="15"/>
  <c r="T30" i="15"/>
  <c r="T31" i="15"/>
  <c r="T32" i="15"/>
  <c r="T33" i="15"/>
  <c r="T34" i="15"/>
  <c r="T35" i="15" l="1"/>
  <c r="X8" i="20"/>
  <c r="W7" i="20"/>
  <c r="T86" i="15"/>
  <c r="T96" i="15"/>
  <c r="T61" i="15"/>
  <c r="A8" i="17"/>
  <c r="A7" i="17"/>
  <c r="Y8" i="20" l="1"/>
  <c r="X7" i="20"/>
  <c r="Y7" i="20" l="1"/>
  <c r="Z8" i="20"/>
  <c r="Z7" i="20" l="1"/>
  <c r="AA8" i="20"/>
  <c r="AA7" i="20" l="1"/>
  <c r="AB8" i="20"/>
  <c r="AC8" i="20" l="1"/>
  <c r="AB7" i="20"/>
  <c r="AD8" i="20" l="1"/>
  <c r="AC7" i="20"/>
  <c r="AE8" i="20" l="1"/>
  <c r="AD7" i="20"/>
  <c r="AF8" i="20" l="1"/>
  <c r="AE7" i="20"/>
  <c r="AG8" i="20" l="1"/>
  <c r="AF7" i="20"/>
  <c r="AG7" i="20" l="1"/>
  <c r="AH8" i="20"/>
  <c r="AH7" i="20" l="1"/>
  <c r="AI8" i="20"/>
  <c r="AI7" i="20" l="1"/>
  <c r="AJ8" i="20"/>
  <c r="AK8" i="20" l="1"/>
  <c r="AJ7" i="20"/>
  <c r="AL8" i="20" l="1"/>
  <c r="AK7" i="20"/>
  <c r="AM8" i="20" l="1"/>
  <c r="AL7" i="20"/>
  <c r="AN8" i="20" l="1"/>
  <c r="AM7" i="20"/>
  <c r="AO8" i="20" l="1"/>
  <c r="AN7" i="20"/>
  <c r="AO7" i="20" l="1"/>
  <c r="AP8" i="20"/>
  <c r="AP7" i="20" l="1"/>
  <c r="AQ8" i="20"/>
  <c r="AQ7" i="20" l="1"/>
  <c r="AR8" i="20"/>
  <c r="AS8" i="20" l="1"/>
  <c r="AR7" i="20"/>
  <c r="AT8" i="20" l="1"/>
  <c r="AS7" i="20"/>
  <c r="AU8" i="20" l="1"/>
  <c r="AT7" i="20"/>
  <c r="AV8" i="20" l="1"/>
  <c r="AU7" i="20"/>
  <c r="AW8" i="20" l="1"/>
  <c r="AV7" i="20"/>
  <c r="AW7" i="20" l="1"/>
  <c r="AX8" i="20"/>
  <c r="AX7" i="20" l="1"/>
  <c r="AY8" i="20"/>
  <c r="AY7" i="20" l="1"/>
  <c r="AZ8" i="20"/>
  <c r="BA8" i="20" l="1"/>
  <c r="AZ7" i="20"/>
  <c r="BB8" i="20" l="1"/>
  <c r="BA7" i="20"/>
  <c r="BC8" i="20" l="1"/>
  <c r="BB7" i="20"/>
  <c r="BD8" i="20" l="1"/>
  <c r="BC7" i="20"/>
  <c r="BE8" i="20" l="1"/>
  <c r="BD7" i="20"/>
  <c r="BE7" i="20" l="1"/>
  <c r="BF8" i="20"/>
  <c r="BF7" i="20" l="1"/>
  <c r="BG8" i="20"/>
  <c r="BG7" i="20" l="1"/>
  <c r="BH8" i="20"/>
  <c r="BI8" i="20" l="1"/>
  <c r="BH7" i="20"/>
  <c r="BJ8" i="20" l="1"/>
  <c r="BI7" i="20"/>
  <c r="BK8" i="20" l="1"/>
  <c r="BJ7" i="20"/>
  <c r="BL8" i="20" l="1"/>
  <c r="BK7" i="20"/>
  <c r="BM8" i="20" l="1"/>
  <c r="BL7" i="20"/>
  <c r="BM7" i="20" l="1"/>
  <c r="BN8" i="20"/>
  <c r="BN7" i="20" l="1"/>
  <c r="BO8" i="20"/>
  <c r="BO7" i="20" l="1"/>
  <c r="BP8" i="20"/>
  <c r="BQ8" i="20" l="1"/>
  <c r="BP7" i="20"/>
  <c r="BR8" i="20" l="1"/>
  <c r="BQ7" i="20"/>
  <c r="BS8" i="20" l="1"/>
  <c r="BR7" i="20"/>
  <c r="BT8" i="20" l="1"/>
  <c r="BS7" i="20"/>
  <c r="BU8" i="20" l="1"/>
  <c r="BT7" i="20"/>
  <c r="BU7" i="20" l="1"/>
  <c r="BV8" i="20"/>
  <c r="BV7" i="20" l="1"/>
  <c r="BW8" i="20"/>
  <c r="BW7" i="20" l="1"/>
  <c r="BX8" i="20"/>
  <c r="BX7" i="20" l="1"/>
  <c r="BY8" i="20"/>
  <c r="BZ8" i="20" l="1"/>
  <c r="BY7" i="20"/>
  <c r="CA8" i="20" l="1"/>
  <c r="BZ7" i="20"/>
  <c r="CB8" i="20" l="1"/>
  <c r="CA7" i="20"/>
  <c r="CC8" i="20" l="1"/>
  <c r="CB7" i="20"/>
  <c r="CC7" i="20" l="1"/>
  <c r="CD8" i="20"/>
  <c r="CD7" i="20" l="1"/>
  <c r="CE8" i="20"/>
  <c r="CE7" i="20" l="1"/>
  <c r="CF8" i="20"/>
  <c r="CF7" i="20" l="1"/>
  <c r="CG8" i="20"/>
  <c r="CH8" i="20" l="1"/>
  <c r="CG7" i="20"/>
  <c r="CI8" i="20" l="1"/>
  <c r="CH7" i="20"/>
  <c r="CJ8" i="20" l="1"/>
  <c r="CI7" i="20"/>
  <c r="CK8" i="20" l="1"/>
  <c r="CJ7" i="20"/>
  <c r="CK7" i="20" l="1"/>
  <c r="CL8" i="20"/>
  <c r="CL7" i="20" l="1"/>
  <c r="CM8" i="20"/>
  <c r="CM7" i="20" l="1"/>
  <c r="CN8" i="20"/>
  <c r="CO8" i="20" l="1"/>
  <c r="CN7" i="20"/>
  <c r="CP8" i="20" l="1"/>
  <c r="CO7" i="20"/>
  <c r="CQ8" i="20" l="1"/>
  <c r="CP7" i="20"/>
  <c r="CR8" i="20" l="1"/>
  <c r="CQ7" i="20"/>
  <c r="CS8" i="20" l="1"/>
  <c r="CR7" i="20"/>
  <c r="CS7" i="20" l="1"/>
  <c r="CT8" i="20"/>
  <c r="CT7" i="20" l="1"/>
  <c r="CU8" i="20"/>
  <c r="CU7" i="20" l="1"/>
  <c r="CV8" i="20"/>
  <c r="CW8" i="20" l="1"/>
  <c r="CV7" i="20"/>
  <c r="CX8" i="20" l="1"/>
  <c r="CW7" i="20"/>
  <c r="CY8" i="20" l="1"/>
  <c r="CX7" i="20"/>
  <c r="CZ8" i="20" l="1"/>
  <c r="CY7" i="20"/>
  <c r="DA8" i="20" l="1"/>
  <c r="CZ7" i="20"/>
  <c r="DA7" i="20" l="1"/>
  <c r="DB8" i="20"/>
  <c r="DB7" i="20" l="1"/>
  <c r="DC8" i="20"/>
  <c r="DD8" i="20" l="1"/>
  <c r="DC7" i="20"/>
  <c r="DD7" i="20" l="1"/>
  <c r="DE8" i="20"/>
  <c r="DF8" i="20" l="1"/>
  <c r="DE7" i="20"/>
  <c r="DG8" i="20" l="1"/>
  <c r="DF7" i="20"/>
  <c r="DH8" i="20" l="1"/>
  <c r="DG7" i="20"/>
  <c r="DI8" i="20" l="1"/>
  <c r="DH7" i="20"/>
  <c r="DJ8" i="20" l="1"/>
  <c r="DI7" i="20"/>
  <c r="DJ7" i="20" l="1"/>
  <c r="DK8" i="20"/>
  <c r="DL8" i="20" l="1"/>
  <c r="DK7" i="20"/>
  <c r="DL7" i="20" l="1"/>
  <c r="DM8" i="20"/>
  <c r="DN8" i="20" l="1"/>
  <c r="DM7" i="20"/>
  <c r="DO8" i="20" l="1"/>
  <c r="DN7" i="20"/>
  <c r="DP8" i="20" l="1"/>
  <c r="DO7" i="20"/>
  <c r="DQ8" i="20" l="1"/>
  <c r="DP7" i="20"/>
  <c r="DR8" i="20" l="1"/>
  <c r="DQ7" i="20"/>
  <c r="DS8" i="20" l="1"/>
  <c r="DR7" i="20"/>
  <c r="DT8" i="20" l="1"/>
  <c r="DS7" i="20"/>
  <c r="DU8" i="20" l="1"/>
  <c r="DT7" i="20"/>
  <c r="DV8" i="20" l="1"/>
  <c r="DU7" i="20"/>
  <c r="DW8" i="20" l="1"/>
  <c r="DV7" i="20"/>
  <c r="DX8" i="20" l="1"/>
  <c r="DW7" i="20"/>
  <c r="DY8" i="20" l="1"/>
  <c r="DX7" i="20"/>
  <c r="DZ8" i="20" l="1"/>
  <c r="DY7" i="20"/>
  <c r="EA8" i="20" l="1"/>
  <c r="DZ7" i="20"/>
  <c r="EB8" i="20" l="1"/>
  <c r="EA7" i="20"/>
  <c r="EC8" i="20" l="1"/>
  <c r="EB7" i="20"/>
  <c r="ED8" i="20" l="1"/>
  <c r="EC7" i="20"/>
  <c r="ED7" i="20" l="1"/>
  <c r="EE8" i="20"/>
  <c r="EE7" i="20" l="1"/>
  <c r="EF8" i="20"/>
  <c r="EF7" i="20" l="1"/>
  <c r="EG8" i="20"/>
  <c r="EG7" i="20" l="1"/>
  <c r="EH8" i="20"/>
  <c r="EH7" i="20" l="1"/>
  <c r="EI8" i="20"/>
  <c r="EJ8" i="20" l="1"/>
  <c r="EI7" i="20"/>
  <c r="EJ7" i="20" l="1"/>
  <c r="EK8" i="20"/>
  <c r="EL8" i="20" l="1"/>
  <c r="EK7" i="20"/>
  <c r="EM8" i="20" l="1"/>
  <c r="EL7" i="20"/>
  <c r="EM7" i="20" l="1"/>
  <c r="EN8" i="20"/>
  <c r="EN7" i="20" l="1"/>
  <c r="EO8" i="20"/>
  <c r="EO7" i="20" l="1"/>
  <c r="EP8" i="20"/>
  <c r="EP7" i="20" l="1"/>
  <c r="EQ8" i="20"/>
  <c r="ER8" i="20" l="1"/>
  <c r="EQ7" i="20"/>
  <c r="ER7" i="20" l="1"/>
  <c r="U90" i="15" l="1"/>
  <c r="V90" i="15" s="1"/>
  <c r="U55" i="15"/>
  <c r="V55" i="15" s="1"/>
  <c r="U29" i="15"/>
  <c r="V29" i="15" s="1"/>
  <c r="U28" i="15"/>
  <c r="V28" i="15" s="1"/>
  <c r="U93" i="15"/>
  <c r="V93" i="15" s="1"/>
  <c r="U92" i="15"/>
  <c r="V92" i="15" s="1"/>
  <c r="U91" i="15"/>
  <c r="V91" i="15" s="1"/>
  <c r="U87" i="15"/>
  <c r="U89" i="15"/>
  <c r="V89" i="15" s="1"/>
  <c r="U88" i="15"/>
  <c r="V88" i="15" s="1"/>
  <c r="U95" i="15"/>
  <c r="V95" i="15" s="1"/>
  <c r="U94" i="15"/>
  <c r="V94" i="15" s="1"/>
  <c r="U34" i="15"/>
  <c r="V34" i="15" s="1"/>
  <c r="U52" i="15"/>
  <c r="U57" i="15"/>
  <c r="V57" i="15" s="1"/>
  <c r="U26" i="15"/>
  <c r="U58" i="15"/>
  <c r="V58" i="15" s="1"/>
  <c r="U27" i="15"/>
  <c r="V27" i="15" s="1"/>
  <c r="U31" i="15"/>
  <c r="V31" i="15" s="1"/>
  <c r="U53" i="15"/>
  <c r="V53" i="15" s="1"/>
  <c r="U32" i="15"/>
  <c r="V32" i="15" s="1"/>
  <c r="U33" i="15"/>
  <c r="V33" i="15" s="1"/>
  <c r="U54" i="15"/>
  <c r="V54" i="15" s="1"/>
  <c r="U59" i="15"/>
  <c r="V59" i="15" s="1"/>
  <c r="U56" i="15"/>
  <c r="V56" i="15" s="1"/>
  <c r="U30" i="15"/>
  <c r="V30" i="15" s="1"/>
  <c r="U60" i="15"/>
  <c r="V60" i="15" s="1"/>
  <c r="V52" i="15" l="1"/>
  <c r="U61" i="15"/>
  <c r="V87" i="15"/>
  <c r="U96" i="15"/>
  <c r="D90" i="15" s="1"/>
  <c r="V26" i="15"/>
  <c r="U35" i="15"/>
  <c r="D29" i="15" s="1"/>
  <c r="D55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<sst xmlns="http://schemas.openxmlformats.org/spreadsheetml/2006/main" count="6161" uniqueCount="551">
  <si>
    <t>Julho</t>
  </si>
  <si>
    <t>Agosto</t>
  </si>
  <si>
    <t>Setembro</t>
  </si>
  <si>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</si>
  <si>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</si>
  <si>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</si>
  <si>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</si>
  <si>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</si>
  <si>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</si>
  <si>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</si>
  <si>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</si>
  <si>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</t>
  </si>
  <si>
    <t>Status2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</si>
  <si>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</si>
  <si>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</si>
  <si>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</si>
  <si>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</si>
  <si>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</si>
  <si>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</si>
  <si>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</si>
  <si>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</si>
  <si>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</si>
  <si>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</si>
  <si>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</si>
  <si>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Bens Imóveis</t>
  </si>
  <si>
    <t>7. Por iniciar</t>
  </si>
  <si>
    <t>Modelo Verde</t>
  </si>
  <si>
    <t>LT Pilar III</t>
  </si>
  <si>
    <t>GD</t>
  </si>
  <si>
    <t>2. Re-especificação</t>
  </si>
  <si>
    <t>3. Testes / Re-testes</t>
  </si>
  <si>
    <t>Bens Imóveis - Input</t>
  </si>
  <si>
    <t>- Pendência de desenvolvimentos de IT: Tabela da Gloval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</si>
  <si>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</si>
  <si>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</si>
  <si>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</si>
  <si>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</si>
  <si>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</si>
  <si>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</si>
  <si>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</si>
  <si>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</si>
  <si>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</si>
  <si>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</si>
  <si>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</si>
  <si>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</si>
  <si>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</si>
  <si>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</si>
  <si>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</si>
  <si>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</si>
  <si>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</si>
  <si>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</si>
  <si>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</si>
  <si>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</si>
  <si>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</si>
  <si>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</si>
  <si>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</si>
  <si>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</si>
  <si>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</si>
  <si>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</si>
  <si>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</si>
  <si>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</si>
  <si>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</si>
  <si>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</si>
  <si>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</si>
  <si>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</si>
  <si>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</si>
  <si>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</si>
  <si>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</si>
  <si>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</si>
  <si>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</si>
  <si>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</si>
  <si>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</si>
  <si>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</si>
  <si>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</si>
  <si>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</si>
  <si>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</si>
  <si>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</si>
  <si>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</si>
  <si>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</si>
  <si>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</si>
  <si>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</si>
  <si>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</si>
  <si>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</si>
  <si>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</si>
  <si>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</si>
  <si>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</si>
  <si>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</si>
  <si>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</si>
  <si>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</si>
  <si>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</si>
  <si>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</si>
  <si>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</si>
  <si>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</si>
  <si>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</si>
  <si>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</si>
  <si>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</si>
  <si>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</si>
  <si>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</si>
  <si>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</si>
  <si>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</si>
  <si>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</si>
  <si>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</si>
  <si>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</si>
  <si>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</si>
  <si>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</si>
  <si>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</si>
  <si>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</si>
  <si>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</si>
  <si>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</si>
  <si>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</si>
  <si>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</si>
  <si>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</si>
  <si>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</si>
  <si>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</si>
  <si>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</si>
  <si>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</si>
  <si>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</si>
  <si>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</si>
  <si>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</si>
  <si>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</si>
  <si>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</si>
  <si>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</si>
  <si>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</si>
  <si>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</si>
  <si>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</si>
  <si>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</si>
  <si>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</si>
  <si>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</si>
  <si>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</si>
  <si>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</si>
  <si>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</si>
  <si>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</si>
  <si>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</si>
  <si>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</si>
  <si>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</si>
  <si>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</si>
  <si>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</si>
  <si>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</si>
  <si>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</si>
  <si>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</si>
  <si>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</si>
  <si>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</si>
  <si>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</si>
  <si>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</si>
  <si>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</si>
  <si>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</si>
  <si>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</si>
  <si>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</si>
  <si>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</si>
  <si>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</si>
  <si>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</si>
  <si>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</si>
  <si>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</si>
  <si>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</si>
  <si>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</si>
  <si>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</si>
  <si>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</si>
  <si>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</si>
  <si>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</si>
  <si>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</si>
  <si>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</si>
  <si>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</si>
  <si>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</si>
  <si>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</si>
  <si>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</si>
  <si>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</si>
  <si>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</si>
  <si>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</si>
  <si>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</si>
  <si>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</si>
  <si>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</si>
  <si>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</si>
  <si>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</si>
  <si>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r>
      <t xml:space="preserve">- Pendência de desenvolvimentos de IT do </t>
    </r>
    <r>
      <rPr>
        <b/>
        <i/>
        <sz val="10"/>
        <color theme="1"/>
        <rFont val="Santander Text"/>
        <family val="2"/>
      </rPr>
      <t>input</t>
    </r>
    <r>
      <rPr>
        <b/>
        <sz val="10"/>
        <color theme="1"/>
        <rFont val="Santander Text"/>
        <family val="2"/>
      </rPr>
      <t xml:space="preserve"> da MunichRe e dos desenvolvimentos das alterações na parametrização da marcação verde;
- Pendente de envio de nova versão da tabela de parametrização com alteração da estrutura e mapeamento das categorias SFCIS.</t>
    </r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</si>
  <si>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</si>
  <si>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</si>
  <si>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</si>
  <si>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</si>
  <si>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</si>
  <si>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</si>
  <si>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</si>
  <si>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</si>
  <si>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</si>
  <si>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</si>
  <si>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</si>
  <si>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</si>
  <si>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</si>
  <si>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</si>
  <si>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</si>
  <si>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</si>
  <si>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</si>
  <si>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</si>
  <si>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</si>
  <si>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</si>
  <si>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</si>
  <si>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</si>
  <si>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</si>
  <si>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</si>
  <si>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</si>
  <si>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</si>
  <si>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</si>
  <si>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</si>
  <si>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</si>
  <si>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</si>
  <si>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</si>
  <si>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</si>
  <si>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</si>
  <si>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</si>
  <si>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</si>
  <si>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</si>
  <si>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</si>
  <si>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</si>
  <si>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</si>
  <si>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</si>
  <si>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</si>
  <si>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</si>
  <si>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</si>
  <si>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</si>
  <si>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</si>
  <si>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</si>
  <si>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</si>
  <si>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</si>
  <si>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</si>
  <si>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</si>
  <si>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</si>
  <si>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</si>
  <si>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</si>
  <si>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</si>
  <si>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</si>
  <si>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</si>
  <si>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</si>
  <si>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</si>
  <si>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</si>
  <si>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</si>
  <si>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</si>
  <si>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</si>
  <si>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</si>
  <si>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</si>
  <si>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</si>
  <si>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</si>
  <si>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</si>
  <si>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</si>
  <si>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</si>
  <si>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</si>
  <si>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</si>
  <si>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</si>
  <si>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</si>
  <si>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</si>
  <si>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</si>
  <si>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</si>
  <si>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</si>
  <si>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</si>
  <si>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</si>
  <si>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</si>
  <si>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</si>
  <si>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</si>
  <si>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</si>
  <si>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</si>
  <si>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</si>
  <si>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</si>
  <si>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</si>
  <si>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</si>
  <si>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</si>
  <si>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</si>
  <si>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</si>
  <si>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</si>
  <si>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</si>
  <si>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</si>
  <si>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</si>
  <si>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</si>
  <si>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</si>
  <si>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</si>
  <si>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</si>
  <si>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</si>
  <si>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</si>
  <si>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</si>
  <si>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</si>
  <si>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</si>
  <si>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</si>
  <si>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</si>
  <si>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</si>
  <si>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</si>
  <si>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</si>
  <si>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</si>
  <si>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</si>
  <si>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</si>
  <si>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</si>
  <si>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</si>
  <si>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</si>
  <si>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</si>
  <si>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</si>
  <si>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</si>
  <si>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</si>
  <si>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</si>
  <si>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</si>
  <si>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</si>
  <si>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</si>
  <si>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</si>
  <si>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</si>
  <si>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</si>
  <si>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</si>
  <si>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</si>
  <si>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</si>
  <si>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</si>
  <si>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</si>
  <si>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</si>
  <si>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</si>
  <si>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</si>
  <si>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</si>
  <si>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</si>
  <si>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</si>
  <si>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</si>
  <si>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</si>
  <si>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</si>
  <si>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</si>
  <si>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</si>
  <si>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</si>
  <si>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</si>
  <si>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</si>
  <si>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</si>
  <si>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</si>
  <si>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</si>
  <si>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</si>
  <si>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</si>
  <si>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</si>
  <si>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</si>
  <si>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</si>
  <si>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</si>
  <si>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</si>
  <si>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</si>
  <si>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</si>
  <si>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</si>
  <si>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</si>
  <si>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</si>
  <si>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</si>
  <si>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</si>
  <si>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</si>
  <si>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</si>
  <si>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</si>
  <si>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</si>
  <si>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</si>
  <si>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</si>
  <si>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</si>
  <si>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</si>
  <si>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</si>
  <si>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</si>
  <si>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</si>
  <si>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</si>
  <si>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</si>
  <si>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</si>
  <si>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</si>
  <si>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</si>
  <si>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</si>
  <si>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</si>
  <si>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</si>
  <si>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</si>
  <si>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</si>
  <si>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</si>
  <si>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</si>
  <si>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</si>
  <si>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</si>
  <si>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</si>
  <si>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</si>
  <si>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</si>
  <si>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</si>
  <si>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</si>
  <si>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</si>
  <si>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</si>
  <si>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</si>
  <si>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</si>
  <si>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</si>
  <si>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</si>
  <si>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</si>
  <si>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</si>
  <si>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</si>
  <si>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</si>
  <si>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lt825_mthd_usd_instrmnt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</si>
  <si>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</si>
  <si>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</si>
  <si>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</si>
  <si>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</si>
  <si>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</si>
  <si>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</si>
  <si>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</si>
  <si>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</si>
  <si>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</si>
  <si>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</si>
  <si>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</si>
  <si>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</si>
  <si>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</si>
  <si>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</si>
  <si>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</si>
  <si>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</si>
  <si>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</si>
  <si>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</si>
  <si>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</si>
  <si>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</si>
  <si>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</si>
  <si>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</si>
  <si>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</si>
  <si>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</si>
  <si>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</si>
  <si>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</si>
  <si>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</si>
  <si>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</si>
  <si>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</si>
  <si>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</si>
  <si>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</si>
  <si>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</si>
  <si>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</si>
  <si>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</si>
  <si>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</si>
  <si>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</si>
  <si>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</si>
  <si>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</si>
  <si>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</si>
  <si>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</si>
  <si>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</si>
  <si>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</si>
  <si>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</si>
  <si>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</si>
  <si>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</si>
  <si>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</si>
  <si>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</si>
  <si>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</si>
  <si>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</si>
  <si>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</si>
  <si>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</si>
  <si>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</si>
  <si>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</si>
  <si>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</si>
  <si>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lt002_insrmnt</t>
  </si>
  <si>
    <t>off_blnc_sht_amnt_instrmnt</t>
  </si>
  <si>
    <t>prvsns_off_blnc_sht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</si>
  <si>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</si>
  <si>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</si>
  <si>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</si>
  <si>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</si>
  <si>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</si>
  <si>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</si>
  <si>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</si>
  <si>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</si>
  <si>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</si>
  <si>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</si>
  <si>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</si>
  <si>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</si>
  <si>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</si>
  <si>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</si>
  <si>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</si>
  <si>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</si>
  <si>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</si>
  <si>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grss_cmmssn_expns_off_blnc_ccrr</t>
  </si>
  <si>
    <t>grss_cmmssn_expns_off_blnc</t>
  </si>
  <si>
    <t>grss_cmmssn_incm_off_blnc_ccrr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</si>
  <si>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</si>
  <si>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</si>
  <si>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</si>
  <si>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</si>
  <si>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</si>
  <si>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</si>
  <si>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</si>
  <si>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</si>
  <si>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</si>
  <si>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 xml:space="preserve">1. Modelo de Bens Imóveis 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</si>
  <si>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</si>
  <si>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</si>
  <si>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</si>
  <si>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</si>
  <si>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</si>
  <si>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</si>
  <si>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</si>
  <si>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</si>
  <si>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</si>
  <si>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</si>
  <si>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</si>
  <si>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</si>
  <si>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</si>
  <si>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</si>
  <si>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</si>
  <si>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</si>
  <si>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</si>
  <si>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</si>
  <si>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</si>
  <si>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</si>
  <si>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</si>
  <si>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</si>
  <si>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</si>
  <si>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</si>
  <si>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</si>
  <si>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Em Implementação</t>
  </si>
  <si>
    <t>Tabela Output de Cerificados Energéticos</t>
  </si>
  <si>
    <t>2. Modelo Verde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</si>
  <si>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</si>
  <si>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</si>
  <si>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Em Implementação (re-especificação)</t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</si>
  <si>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</si>
  <si>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</si>
  <si>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</si>
  <si>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</si>
  <si>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</si>
  <si>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3. Loan Tape | Pilar III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</si>
  <si>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</si>
  <si>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</si>
  <si>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</si>
  <si>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</si>
  <si>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</si>
  <si>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Data Reunião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</si>
  <si>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</si>
  <si>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</si>
  <si>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</si>
  <si>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</si>
  <si>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</si>
  <si>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</si>
  <si>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</si>
  <si>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</si>
  <si>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</si>
  <si>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</si>
  <si>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</si>
  <si>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</si>
  <si>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</si>
  <si>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</si>
  <si>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</si>
  <si>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08/07/2024: Entrega de campo para testes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</si>
  <si>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</si>
  <si>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</si>
  <si>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</si>
  <si>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</si>
  <si>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</si>
  <si>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</si>
  <si>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</si>
  <si>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</si>
  <si>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</si>
  <si>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2.1 Em Teste</t>
  </si>
  <si>
    <t>2.2 Em Re-especificação</t>
  </si>
  <si>
    <t>Apesar da data de correção ser 28/11 a data que importa é 24/10, uma vez que a última implementação não é relevanta para iniciar os testes à tabela</t>
  </si>
  <si>
    <t>Validação EF</t>
  </si>
  <si>
    <r>
      <t>1.</t>
    </r>
    <r>
      <rPr>
        <b/>
        <sz val="11"/>
        <rFont val="Santander Text"/>
        <family val="2"/>
      </rPr>
      <t xml:space="preserve"> Partilha de ajustes à especificação do campo EPC da tabela de Certificados.</t>
    </r>
    <r>
      <rPr>
        <sz val="11"/>
        <rFont val="Santander Text"/>
        <family val="2"/>
      </rPr>
      <t xml:space="preserve">
2.</t>
    </r>
    <r>
      <rPr>
        <b/>
        <sz val="11"/>
        <rFont val="Santander Text"/>
        <family val="2"/>
      </rPr>
      <t xml:space="preserve"> Datas de entrega de Tecnologia:
- Entrada em produção (das 4 tabelas certificadas): 17/10/2024
</t>
    </r>
    <r>
      <rPr>
        <sz val="11"/>
        <rFont val="Santander Text"/>
        <family val="2"/>
      </rPr>
      <t xml:space="preserve">- Disponibilização do carrgamento de </t>
    </r>
    <r>
      <rPr>
        <i/>
        <sz val="11"/>
        <rFont val="Santander Text"/>
        <family val="2"/>
      </rPr>
      <t>input</t>
    </r>
    <r>
      <rPr>
        <sz val="11"/>
        <rFont val="Santander Text"/>
        <family val="2"/>
      </rPr>
      <t xml:space="preserve"> da Gloval (via front de Upload de Ficheiros): 24/10/2024
- Disponibilização da tabela de output de Certificados Energéticos (com as 4 fontes de informação): 11/11/2024
- Disponibilização de funcionalidades de Pedido de informação para a Gloval: 28/11/2024
 </t>
    </r>
  </si>
  <si>
    <t>Em Curso</t>
  </si>
  <si>
    <r>
      <t xml:space="preserve">1. </t>
    </r>
    <r>
      <rPr>
        <b/>
        <sz val="11"/>
        <color theme="1"/>
        <rFont val="Santander Text"/>
        <family val="2"/>
      </rPr>
      <t>Campos Em Implementação (re-especificão) ou Em Correção.</t>
    </r>
    <r>
      <rPr>
        <sz val="11"/>
        <color theme="1"/>
        <rFont val="Santander Text"/>
        <family val="2"/>
      </rPr>
      <t xml:space="preserve">
</t>
    </r>
  </si>
  <si>
    <t>E-mail enviado à Corporação no dia 10/10 e reforçado no dia 17/10</t>
  </si>
  <si>
    <t>Pendente de reunião com Corporação - Criação de Nova tabela</t>
  </si>
  <si>
    <t>Pendente de validação da Susana</t>
  </si>
  <si>
    <r>
      <rPr>
        <b/>
        <sz val="11"/>
        <color theme="1" tint="4.9989318521683403E-2"/>
        <rFont val="Santander Text"/>
        <family val="2"/>
      </rPr>
      <t xml:space="preserve">1. Continuação do assessment à Loan Tape - Pilar III.
2. Início da simulação das Tabelas instrument e entity.
3. Foram concluídos 9 campos, fechando a tabela lt826_esg_sbsctr.
</t>
    </r>
    <r>
      <rPr>
        <sz val="11"/>
        <color theme="1" tint="4.9989318521683403E-2"/>
        <rFont val="Santander Text"/>
        <family val="2"/>
      </rPr>
      <t xml:space="preserve">
4</t>
    </r>
    <r>
      <rPr>
        <b/>
        <sz val="11"/>
        <color theme="1" tint="4.9989318521683403E-2"/>
        <rFont val="Santander Text"/>
        <family val="2"/>
      </rPr>
      <t xml:space="preserve">. Detalhe dos campos em Re-especificação (14):
- </t>
    </r>
    <r>
      <rPr>
        <sz val="11"/>
        <color theme="1" tint="4.9989318521683403E-2"/>
        <rFont val="Santander Text"/>
        <family val="2"/>
      </rPr>
      <t>Emissões de Scopes ao Nível do Grupo</t>
    </r>
    <r>
      <rPr>
        <b/>
        <sz val="11"/>
        <color theme="1" tint="4.9989318521683403E-2"/>
        <rFont val="Santander Text"/>
        <family val="2"/>
      </rPr>
      <t xml:space="preserve">
</t>
    </r>
    <r>
      <rPr>
        <sz val="11"/>
        <color theme="1" tint="4.9989318521683403E-2"/>
        <rFont val="Santander Text"/>
        <family val="2"/>
      </rPr>
      <t>- Universo tabela Protection e respetivos atributos da Loan Tape Estrutural
5</t>
    </r>
    <r>
      <rPr>
        <b/>
        <sz val="11"/>
        <color theme="1" tint="4.9989318521683403E-2"/>
        <rFont val="Santander Text"/>
        <family val="2"/>
      </rPr>
      <t xml:space="preserve">. Detalhe dos campos em Validação EF (Dependências):
</t>
    </r>
    <r>
      <rPr>
        <sz val="11"/>
        <color theme="1" tint="4.9989318521683403E-2"/>
        <rFont val="Santander Text"/>
        <family val="2"/>
      </rPr>
      <t xml:space="preserve">- Resposta da Corporação (13 campos): Metodologia de Aprovisionamento de Emissões de Scopes
- Reunião com CDO e Zeneida (4 campos): Criação de Nova tabela
- Validação da Susana (1 campo): Mapeamento Categoria SFICS
</t>
    </r>
  </si>
  <si>
    <t>- Pendência de atualização da tabela de parametrização (CdG)</t>
  </si>
  <si>
    <t>Encontra-se em curso as re-especificações do Pilar III</t>
  </si>
  <si>
    <t xml:space="preserve">- Pendência de desenvolvimentos de IT: Tabela de certificados energéticos. </t>
  </si>
  <si>
    <t>- Pendente de desenvolvimentos de IT</t>
  </si>
  <si>
    <t>- Já foram testados campos da LT Estrutural e uma tabela de parametrização.</t>
  </si>
  <si>
    <t>1. Implementação em ambiente de Produção das tabelas já testadas e certificadas. A partir de dia 24 já será possível testar a tabela de input da Gloval.
2. Não existiram desenvolvimentos no âmito do Modelo Verde.
3. Foram concluídos 9 campos, permitindo fechar a 3ª tabela da Loan Tape Pilar III. Adicionalmente, foram fechadas as re-especificações de 12 campos.</t>
  </si>
  <si>
    <t/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</si>
  <si>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11 de outubro a 18 de outubro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</si>
</sst>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ddd"/>
    <numFmt numFmtId="166" formatCode="0.0"/>
  </numFmts>
  <fonts count="3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sz val="10"/>
      <color rgb="FFFF0000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b/>
      <sz val="11"/>
      <color theme="1" tint="4.9989318521683403E-2"/>
      <name val="Santander Text"/>
      <family val="2"/>
    </font>
    <font>
      <b/>
      <sz val="11"/>
      <color theme="8"/>
      <name val="Santander Text"/>
      <family val="2"/>
    </font>
    <font>
      <i/>
      <sz val="11"/>
      <name val="Santander Text"/>
      <family val="2"/>
    </font>
    <font>
      <b/>
      <sz val="11"/>
      <color theme="9" tint="-0.249977111117893"/>
      <name val="Santander Text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139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7" fillId="2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6" borderId="5" xfId="0" applyFont="1" applyFill="1" applyBorder="1" applyAlignment="1">
      <alignment horizontal="centerContinuous"/>
    </xf>
    <xf numFmtId="165" fontId="11" fillId="7" borderId="0" xfId="0" applyNumberFormat="1" applyFont="1" applyFill="1" applyAlignment="1">
      <alignment horizontal="center" vertical="center"/>
    </xf>
    <xf numFmtId="164" fontId="9" fillId="8" borderId="0" xfId="0" applyNumberFormat="1" applyFont="1" applyFill="1" applyAlignment="1" applyProtection="1">
      <alignment horizontal="center" vertical="center"/>
      <protection hidden="1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9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0" borderId="3" xfId="0" applyFont="1" applyBorder="1"/>
    <xf numFmtId="0" fontId="12" fillId="0" borderId="3" xfId="0" applyFont="1" applyBorder="1"/>
    <xf numFmtId="166" fontId="13" fillId="0" borderId="0" xfId="0" applyNumberFormat="1" applyFont="1" applyAlignment="1">
      <alignment horizontal="center" vertical="center"/>
    </xf>
    <xf numFmtId="0" fontId="0" fillId="10" borderId="6" xfId="0" applyFill="1" applyBorder="1"/>
    <xf numFmtId="0" fontId="0" fillId="10" borderId="3" xfId="0" applyFill="1" applyBorder="1"/>
    <xf numFmtId="0" fontId="0" fillId="10" borderId="7" xfId="0" applyFill="1" applyBorder="1"/>
    <xf numFmtId="0" fontId="9" fillId="0" borderId="3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 indent="2"/>
    </xf>
    <xf numFmtId="0" fontId="8" fillId="0" borderId="0" xfId="0" applyFont="1"/>
    <xf numFmtId="0" fontId="2" fillId="12" borderId="0" xfId="0" applyFont="1" applyFill="1"/>
    <xf numFmtId="0" fontId="2" fillId="3" borderId="0" xfId="0" applyFont="1" applyFill="1"/>
    <xf numFmtId="9" fontId="2" fillId="0" borderId="0" xfId="1" applyFo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4" fillId="3" borderId="0" xfId="0" applyFont="1" applyFill="1"/>
    <xf numFmtId="0" fontId="9" fillId="0" borderId="0" xfId="0" applyFont="1"/>
    <xf numFmtId="0" fontId="17" fillId="3" borderId="0" xfId="0" applyFont="1" applyFill="1"/>
    <xf numFmtId="0" fontId="9" fillId="0" borderId="1" xfId="0" applyFont="1" applyBorder="1"/>
    <xf numFmtId="0" fontId="2" fillId="0" borderId="1" xfId="0" applyFont="1" applyBorder="1"/>
    <xf numFmtId="16" fontId="9" fillId="0" borderId="1" xfId="0" applyNumberFormat="1" applyFont="1" applyBorder="1"/>
    <xf numFmtId="0" fontId="16" fillId="0" borderId="1" xfId="0" applyFont="1" applyBorder="1" applyAlignment="1">
      <alignment horizontal="right" indent="1"/>
    </xf>
    <xf numFmtId="0" fontId="7" fillId="2" borderId="16" xfId="0" applyFont="1" applyFill="1" applyBorder="1" applyAlignment="1">
      <alignment horizontal="left" vertical="center"/>
    </xf>
    <xf numFmtId="0" fontId="12" fillId="0" borderId="16" xfId="0" applyFont="1" applyBorder="1" applyAlignment="1">
      <alignment vertical="center"/>
    </xf>
    <xf numFmtId="0" fontId="12" fillId="0" borderId="16" xfId="0" applyFont="1" applyBorder="1" applyAlignment="1">
      <alignment horizontal="left" vertical="center"/>
    </xf>
    <xf numFmtId="0" fontId="12" fillId="0" borderId="16" xfId="0" applyFont="1" applyBorder="1"/>
    <xf numFmtId="0" fontId="20" fillId="0" borderId="16" xfId="0" applyFont="1" applyBorder="1" applyAlignment="1">
      <alignment horizontal="left" vertical="center" readingOrder="1"/>
    </xf>
    <xf numFmtId="0" fontId="19" fillId="13" borderId="16" xfId="0" applyFont="1" applyFill="1" applyBorder="1" applyAlignment="1">
      <alignment vertical="center"/>
    </xf>
    <xf numFmtId="0" fontId="0" fillId="14" borderId="6" xfId="0" applyFill="1" applyBorder="1"/>
    <xf numFmtId="0" fontId="0" fillId="14" borderId="7" xfId="0" applyFill="1" applyBorder="1"/>
    <xf numFmtId="0" fontId="19" fillId="13" borderId="4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left" vertical="center"/>
    </xf>
    <xf numFmtId="0" fontId="12" fillId="0" borderId="2" xfId="0" applyFont="1" applyBorder="1"/>
    <xf numFmtId="0" fontId="12" fillId="4" borderId="2" xfId="0" applyFont="1" applyFill="1" applyBorder="1"/>
    <xf numFmtId="0" fontId="12" fillId="5" borderId="2" xfId="0" applyFont="1" applyFill="1" applyBorder="1"/>
    <xf numFmtId="0" fontId="19" fillId="13" borderId="10" xfId="0" applyFont="1" applyFill="1" applyBorder="1" applyAlignment="1">
      <alignment vertical="center"/>
    </xf>
    <xf numFmtId="0" fontId="19" fillId="13" borderId="17" xfId="0" applyFont="1" applyFill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17" xfId="0" applyFont="1" applyBorder="1"/>
    <xf numFmtId="0" fontId="12" fillId="0" borderId="8" xfId="0" applyFont="1" applyBorder="1"/>
    <xf numFmtId="0" fontId="7" fillId="2" borderId="0" xfId="0" applyFont="1" applyFill="1" applyAlignment="1">
      <alignment horizontal="left" vertical="center"/>
    </xf>
    <xf numFmtId="14" fontId="12" fillId="0" borderId="16" xfId="0" applyNumberFormat="1" applyFont="1" applyBorder="1"/>
    <xf numFmtId="14" fontId="12" fillId="0" borderId="2" xfId="0" applyNumberFormat="1" applyFont="1" applyBorder="1"/>
    <xf numFmtId="0" fontId="15" fillId="0" borderId="0" xfId="0" applyFont="1"/>
    <xf numFmtId="0" fontId="18" fillId="0" borderId="0" xfId="0" applyFont="1"/>
    <xf numFmtId="0" fontId="23" fillId="0" borderId="0" xfId="0" quotePrefix="1" applyFont="1"/>
    <xf numFmtId="0" fontId="2" fillId="0" borderId="12" xfId="0" applyFont="1" applyBorder="1" applyAlignment="1">
      <alignment horizontal="left" vertical="top" wrapText="1" indent="1"/>
    </xf>
    <xf numFmtId="0" fontId="23" fillId="0" borderId="0" xfId="0" applyFont="1"/>
    <xf numFmtId="0" fontId="9" fillId="0" borderId="0" xfId="0" applyFont="1" applyAlignment="1">
      <alignment horizontal="right"/>
    </xf>
    <xf numFmtId="0" fontId="28" fillId="0" borderId="0" xfId="0" applyFont="1"/>
    <xf numFmtId="0" fontId="26" fillId="0" borderId="0" xfId="0" applyFont="1"/>
    <xf numFmtId="0" fontId="29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wrapText="1" indent="1"/>
    </xf>
    <xf numFmtId="0" fontId="27" fillId="0" borderId="0" xfId="0" applyFont="1"/>
    <xf numFmtId="0" fontId="31" fillId="0" borderId="0" xfId="0" applyFont="1"/>
    <xf numFmtId="0" fontId="3" fillId="0" borderId="0" xfId="0" applyFont="1" applyAlignment="1">
      <alignment horizontal="left" vertical="center" wrapText="1" indent="1"/>
    </xf>
    <xf numFmtId="0" fontId="32" fillId="0" borderId="16" xfId="0" applyFont="1" applyBorder="1" applyAlignment="1">
      <alignment vertical="center"/>
    </xf>
    <xf numFmtId="0" fontId="32" fillId="0" borderId="16" xfId="0" applyFont="1" applyBorder="1"/>
    <xf numFmtId="0" fontId="33" fillId="0" borderId="0" xfId="0" applyFont="1"/>
    <xf numFmtId="0" fontId="9" fillId="9" borderId="3" xfId="0" applyFont="1" applyFill="1" applyBorder="1" applyAlignment="1">
      <alignment horizontal="center" vertical="center"/>
    </xf>
    <xf numFmtId="9" fontId="9" fillId="9" borderId="3" xfId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" fontId="9" fillId="9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9" fontId="9" fillId="0" borderId="3" xfId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9" fontId="9" fillId="0" borderId="3" xfId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quotePrefix="1" applyFont="1" applyBorder="1" applyAlignment="1">
      <alignment wrapText="1"/>
    </xf>
    <xf numFmtId="0" fontId="11" fillId="0" borderId="4" xfId="0" quotePrefix="1" applyFont="1" applyBorder="1"/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13" borderId="6" xfId="0" applyFill="1" applyBorder="1"/>
    <xf numFmtId="0" fontId="2" fillId="15" borderId="0" xfId="0" applyFont="1" applyFill="1"/>
    <xf numFmtId="0" fontId="7" fillId="2" borderId="22" xfId="0" applyFont="1" applyFill="1" applyBorder="1" applyAlignment="1">
      <alignment horizontal="left" vertical="center"/>
    </xf>
    <xf numFmtId="14" fontId="12" fillId="0" borderId="21" xfId="0" applyNumberFormat="1" applyFont="1" applyBorder="1"/>
    <xf numFmtId="0" fontId="36" fillId="0" borderId="0" xfId="0" applyFont="1"/>
    <xf numFmtId="0" fontId="38" fillId="0" borderId="0" xfId="0" applyFont="1"/>
    <xf numFmtId="0" fontId="11" fillId="0" borderId="4" xfId="0" quotePrefix="1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9" fillId="11" borderId="8" xfId="0" applyFont="1" applyFill="1" applyBorder="1" applyAlignment="1">
      <alignment horizontal="left" vertical="top" wrapText="1"/>
    </xf>
    <xf numFmtId="0" fontId="2" fillId="11" borderId="9" xfId="0" applyFont="1" applyFill="1" applyBorder="1" applyAlignment="1">
      <alignment horizontal="left" vertical="top" wrapText="1"/>
    </xf>
    <xf numFmtId="0" fontId="2" fillId="11" borderId="10" xfId="0" applyFont="1" applyFill="1" applyBorder="1" applyAlignment="1">
      <alignment horizontal="left" vertical="top" wrapText="1"/>
    </xf>
    <xf numFmtId="0" fontId="2" fillId="11" borderId="11" xfId="0" applyFont="1" applyFill="1" applyBorder="1" applyAlignment="1">
      <alignment horizontal="left" vertical="top" wrapText="1"/>
    </xf>
    <xf numFmtId="0" fontId="2" fillId="11" borderId="0" xfId="0" applyFont="1" applyFill="1" applyAlignment="1">
      <alignment horizontal="left" vertical="top" wrapText="1"/>
    </xf>
    <xf numFmtId="0" fontId="2" fillId="11" borderId="12" xfId="0" applyFont="1" applyFill="1" applyBorder="1" applyAlignment="1">
      <alignment horizontal="left" vertical="top" wrapText="1"/>
    </xf>
    <xf numFmtId="0" fontId="22" fillId="0" borderId="8" xfId="0" applyFont="1" applyBorder="1" applyAlignment="1">
      <alignment horizontal="left" vertical="center" wrapText="1" indent="1"/>
    </xf>
    <xf numFmtId="0" fontId="22" fillId="0" borderId="9" xfId="0" applyFont="1" applyBorder="1" applyAlignment="1">
      <alignment horizontal="left" vertical="center" wrapText="1" indent="1"/>
    </xf>
    <xf numFmtId="0" fontId="22" fillId="0" borderId="10" xfId="0" applyFont="1" applyBorder="1" applyAlignment="1">
      <alignment horizontal="left" vertical="center" wrapText="1" indent="1"/>
    </xf>
    <xf numFmtId="0" fontId="22" fillId="0" borderId="11" xfId="0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2" fillId="0" borderId="12" xfId="0" applyFont="1" applyBorder="1" applyAlignment="1">
      <alignment horizontal="left" vertical="center" wrapText="1" indent="1"/>
    </xf>
    <xf numFmtId="0" fontId="22" fillId="0" borderId="13" xfId="0" applyFont="1" applyBorder="1" applyAlignment="1">
      <alignment horizontal="left" vertical="center" wrapText="1" indent="1"/>
    </xf>
    <xf numFmtId="0" fontId="22" fillId="0" borderId="14" xfId="0" applyFont="1" applyBorder="1" applyAlignment="1">
      <alignment horizontal="left" vertical="center" wrapText="1" indent="1"/>
    </xf>
    <xf numFmtId="0" fontId="22" fillId="0" borderId="15" xfId="0" applyFont="1" applyBorder="1" applyAlignment="1">
      <alignment horizontal="left" vertical="center" wrapText="1" indent="1"/>
    </xf>
    <xf numFmtId="0" fontId="2" fillId="11" borderId="8" xfId="0" applyFont="1" applyFill="1" applyBorder="1" applyAlignment="1">
      <alignment horizontal="left" vertical="top" wrapText="1" indent="1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2" fillId="11" borderId="14" xfId="0" applyFont="1" applyFill="1" applyBorder="1" applyAlignment="1">
      <alignment horizontal="left" vertical="top" wrapText="1" indent="1"/>
    </xf>
    <xf numFmtId="0" fontId="2" fillId="11" borderId="15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 indent="1"/>
    </xf>
    <xf numFmtId="0" fontId="3" fillId="11" borderId="10" xfId="0" applyFont="1" applyFill="1" applyBorder="1" applyAlignment="1">
      <alignment horizontal="left" vertical="top" wrapText="1" indent="1"/>
    </xf>
    <xf numFmtId="0" fontId="3" fillId="11" borderId="11" xfId="0" applyFont="1" applyFill="1" applyBorder="1" applyAlignment="1">
      <alignment horizontal="left" vertical="top" wrapText="1" indent="1"/>
    </xf>
    <xf numFmtId="0" fontId="3" fillId="11" borderId="0" xfId="0" applyFont="1" applyFill="1" applyAlignment="1">
      <alignment horizontal="left" vertical="top" wrapText="1" indent="1"/>
    </xf>
    <xf numFmtId="0" fontId="3" fillId="11" borderId="12" xfId="0" applyFont="1" applyFill="1" applyBorder="1" applyAlignment="1">
      <alignment horizontal="left" vertical="top" wrapText="1" indent="1"/>
    </xf>
    <xf numFmtId="0" fontId="3" fillId="11" borderId="19" xfId="0" applyFont="1" applyFill="1" applyBorder="1" applyAlignment="1">
      <alignment horizontal="left" vertical="top" wrapText="1" indent="1"/>
    </xf>
    <xf numFmtId="0" fontId="3" fillId="11" borderId="18" xfId="0" applyFont="1" applyFill="1" applyBorder="1" applyAlignment="1">
      <alignment horizontal="left" vertical="top" wrapText="1" indent="1"/>
    </xf>
    <xf numFmtId="0" fontId="3" fillId="11" borderId="20" xfId="0" applyFont="1" applyFill="1" applyBorder="1" applyAlignment="1">
      <alignment horizontal="left" vertical="top" wrapText="1" indent="1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33">
    <dxf>
      <font>
        <color theme="5" tint="-0.2499465926084170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6. Em implementação (re-especificação)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124</c:v>
              </c:pt>
              <c:pt idx="2">
                <c:v>34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7AB-44BA-8676-1557C900E5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AB-44BA-8676-1557C900E5D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7AB-44BA-8676-1557C900E5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7AB-44BA-8676-1557C900E5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7AB-44BA-8676-1557C900E5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AB-44BA-8676-1557C900E5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AB-44BA-8676-1557C900E5D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AB-44BA-8676-1557C900E5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12</c:v>
              </c:pt>
              <c:pt idx="1">
                <c:v>1</c:v>
              </c:pt>
              <c:pt idx="2">
                <c:v>8</c:v>
              </c:pt>
              <c:pt idx="3">
                <c:v>2</c:v>
              </c:pt>
              <c:pt idx="4">
                <c:v>6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5. Em Correção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9529119660156694E-17"/>
                  <c:y val="-1.813996307849270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7AB-44BA-8676-1557C900E5D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AB-44BA-8676-1557C900E5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7AB-44BA-8676-1557C900E5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7AB-44BA-8676-1557C900E5D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7AB-44BA-8676-1557C900E5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7AB-44BA-8676-1557C900E5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AB-44BA-8676-1557C900E5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7AB-44BA-8676-1557C900E5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AB-44BA-8676-1557C900E5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AB-44BA-8676-1557C900E5D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AB-44BA-8676-1557C900E5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AB-44BA-8676-1557C900E5D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AB-44BA-8676-1557C900E5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7AB-44BA-8676-1557C900E5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7AB-44BA-8676-1557C900E5D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7AB-44BA-8676-1557C900E5D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7AB-44BA-8676-1557C900E5D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7AB-44BA-8676-1557C900E5D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AB-44BA-8676-1557C900E5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AB-44BA-8676-1557C900E5D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AB-44BA-8676-1557C900E5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14</c:v>
              </c:pt>
              <c:pt idx="1">
                <c:v>12</c:v>
              </c:pt>
              <c:pt idx="2">
                <c:v>7</c:v>
              </c:pt>
              <c:pt idx="3">
                <c:v>30</c:v>
              </c:pt>
              <c:pt idx="4">
                <c:v>12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dLbl>
              <c:idx val="2"/>
              <c:layout>
                <c:manualLayout>
                  <c:x val="4.1470817134740247E-2"/>
                  <c:y val="-2.424174864322559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5. Em Correção</c:v>
              </c:pt>
              <c:pt idx="3">
                <c:v>6. Em implementação (re-especificação)</c:v>
              </c:pt>
            </c:strLit>
          </c:cat>
          <c:val>
            <c:numLit>
              <c:formatCode>General</c:formatCode>
              <c:ptCount val="4"/>
              <c:pt idx="0">
                <c:v>14</c:v>
              </c:pt>
              <c:pt idx="1">
                <c:v>154</c:v>
              </c:pt>
              <c:pt idx="2">
                <c:v>2</c:v>
              </c:pt>
              <c:pt idx="3">
                <c:v>75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20</c:v>
              </c:pt>
              <c:pt idx="1">
                <c:v>11</c:v>
              </c:pt>
              <c:pt idx="2">
                <c:v>1</c:v>
              </c:pt>
              <c:pt idx="3">
                <c:v>5</c:v>
              </c:pt>
              <c:pt idx="4">
                <c:v>5</c:v>
              </c:pt>
              <c:pt idx="5">
                <c:v>0</c:v>
              </c:pt>
              <c:pt idx="6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125-4011-9BB7-34E49719B5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125-4011-9BB7-34E49719B5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04-466D-888C-55EE7128F2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125-4011-9BB7-34E49719B5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8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125-4011-9BB7-34E49719B5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125-4011-9BB7-34E49719B5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20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125-4011-9BB7-34E49719B5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125-4011-9BB7-34E49719B5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8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B3A-4128-86BF-65BFE73D6DB8}"/>
            </c:ext>
          </c:extLst>
        </c:ser>
        <c:ser>
          <c:idx val="5"/>
          <c:order val="5"/>
          <c:tx>
            <c:v>Series6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C84-45DA-97C8-491B14E17EE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C84-45DA-97C8-491B14E17EE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125-4011-9BB7-34E49719B5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125-4011-9BB7-34E49719B5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125-4011-9BB7-34E49719B5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13D-46F8-9F37-6984A7C66E68}"/>
            </c:ext>
          </c:extLst>
        </c:ser>
        <c:ser>
          <c:idx val="6"/>
          <c:order val="6"/>
          <c:tx>
            <c:v>Series7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125-4011-9BB7-34E49719B5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125-4011-9BB7-34E49719B5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3</c:v>
              </c:pt>
              <c:pt idx="2">
                <c:v>10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901A-472F-96D5-763DAD64C79C}"/>
            </c:ext>
          </c:extLst>
        </c:ser>
        <c:ser>
          <c:idx val="7"/>
          <c:order val="7"/>
          <c:tx>
            <c:v>Series8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125-4011-9BB7-34E49719B5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125-4011-9BB7-34E49719B5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125-4011-9BB7-34E49719B5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125-4011-9BB7-34E49719B5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25-4011-9BB7-34E49719B5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25-4011-9BB7-34E49719B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lt825_mthd_usd_instrmnt</c:v>
              </c:pt>
              <c:pt idx="6">
                <c:v>lt826_esg_sbsctr</c:v>
              </c:pt>
            </c:strLit>
          </c:cat>
          <c:val>
            <c:numLit>
              <c:formatCode>General</c:formatCode>
              <c:ptCount val="7"/>
              <c:pt idx="0">
                <c:v>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C84-45DA-97C8-491B14E17E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5-439B-923A-BE58796246E4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4-4390-903C-CE65ADFF7F3F}"/>
              </c:ext>
            </c:extLst>
          </c:dPt>
          <c:dPt>
            <c:idx val="6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30-47BC-8FAC-9BF17807880A}"/>
              </c:ext>
            </c:extLst>
          </c:dPt>
          <c:dPt>
            <c:idx val="7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30-47BC-8FAC-9BF1780788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1. Concluído</c:v>
              </c:pt>
              <c:pt idx="1">
                <c:v>4. Validação EF</c:v>
              </c:pt>
              <c:pt idx="2">
                <c:v>6. Em implementação (re-especificação)</c:v>
              </c:pt>
              <c:pt idx="3">
                <c:v>3. Pendente de outros desenvolvimentos</c:v>
              </c:pt>
              <c:pt idx="4">
                <c:v>7. Por iniciar</c:v>
              </c:pt>
              <c:pt idx="5">
                <c:v>2.1 Em Teste</c:v>
              </c:pt>
              <c:pt idx="6">
                <c:v>2.2 Em Re-especificação</c:v>
              </c:pt>
              <c:pt idx="7">
                <c:v>5. Em Correção</c:v>
              </c:pt>
            </c:strLit>
          </c:cat>
          <c:val>
            <c:numLit>
              <c:formatCode>General</c:formatCode>
              <c:ptCount val="8"/>
              <c:pt idx="0">
                <c:v>51</c:v>
              </c:pt>
              <c:pt idx="1">
                <c:v>18</c:v>
              </c:pt>
              <c:pt idx="2">
                <c:v>13</c:v>
              </c:pt>
              <c:pt idx="3">
                <c:v>22</c:v>
              </c:pt>
              <c:pt idx="4">
                <c:v>5</c:v>
              </c:pt>
              <c:pt idx="5">
                <c:v>2</c:v>
              </c:pt>
              <c:pt idx="6">
                <c:v>14</c:v>
              </c:pt>
              <c:pt idx="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2.1 Em Teste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Lbls>
            <c:dLbl>
              <c:idx val="2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BD-4D10-BAD0-1A478074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1. Concluído</c:v>
              </c:pt>
              <c:pt idx="1">
                <c:v>2.1 Em Teste</c:v>
              </c:pt>
              <c:pt idx="2">
                <c:v>3. Pendente de outros desenvolvimentos</c:v>
              </c:pt>
            </c:strLit>
          </c:cat>
          <c:val>
            <c:numLit>
              <c:formatCode>General</c:formatCode>
              <c:ptCount val="3"/>
              <c:pt idx="0">
                <c:v>23</c:v>
              </c:pt>
              <c:pt idx="1">
                <c:v>26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7B-4D65-AC3F-824B3938347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7B-4D65-AC3F-824B393834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7B-4D65-AC3F-824B393834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50</c:v>
              </c:pt>
              <c:pt idx="2">
                <c:v>30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7B-4D65-AC3F-824B3938347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7B-4D65-AC3F-824B3938347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7B-4D65-AC3F-824B3938347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7B-4D65-AC3F-824B393834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22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3.svg"/><Relationship Id="rId5" Type="http://schemas.openxmlformats.org/officeDocument/2006/relationships/chart" Target="../charts/chart4.xml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24</xdr:row>
      <xdr:rowOff>0</xdr:rowOff>
    </xdr:from>
    <xdr:to>
      <xdr:col>6</xdr:col>
      <xdr:colOff>151318</xdr:colOff>
      <xdr:row>35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25</xdr:row>
      <xdr:rowOff>56603</xdr:rowOff>
    </xdr:from>
    <xdr:to>
      <xdr:col>14</xdr:col>
      <xdr:colOff>631909</xdr:colOff>
      <xdr:row>25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85609" y="5141895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26</xdr:row>
      <xdr:rowOff>58238</xdr:rowOff>
    </xdr:from>
    <xdr:to>
      <xdr:col>14</xdr:col>
      <xdr:colOff>628099</xdr:colOff>
      <xdr:row>26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27</xdr:row>
      <xdr:rowOff>56063</xdr:rowOff>
    </xdr:from>
    <xdr:to>
      <xdr:col>14</xdr:col>
      <xdr:colOff>628099</xdr:colOff>
      <xdr:row>27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29</xdr:row>
      <xdr:rowOff>59332</xdr:rowOff>
    </xdr:from>
    <xdr:to>
      <xdr:col>14</xdr:col>
      <xdr:colOff>628099</xdr:colOff>
      <xdr:row>29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89419" y="6012457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31</xdr:row>
      <xdr:rowOff>58791</xdr:rowOff>
    </xdr:from>
    <xdr:to>
      <xdr:col>14</xdr:col>
      <xdr:colOff>628099</xdr:colOff>
      <xdr:row>31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89419" y="6445833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33</xdr:row>
      <xdr:rowOff>60155</xdr:rowOff>
    </xdr:from>
    <xdr:to>
      <xdr:col>14</xdr:col>
      <xdr:colOff>631909</xdr:colOff>
      <xdr:row>33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32</xdr:row>
      <xdr:rowOff>58521</xdr:rowOff>
    </xdr:from>
    <xdr:to>
      <xdr:col>14</xdr:col>
      <xdr:colOff>628099</xdr:colOff>
      <xdr:row>32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89419" y="666252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51</xdr:row>
      <xdr:rowOff>60414</xdr:rowOff>
    </xdr:from>
    <xdr:to>
      <xdr:col>14</xdr:col>
      <xdr:colOff>621111</xdr:colOff>
      <xdr:row>51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52</xdr:row>
      <xdr:rowOff>56941</xdr:rowOff>
    </xdr:from>
    <xdr:to>
      <xdr:col>14</xdr:col>
      <xdr:colOff>624921</xdr:colOff>
      <xdr:row>52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093231" y="11127108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53</xdr:row>
      <xdr:rowOff>62994</xdr:rowOff>
    </xdr:from>
    <xdr:to>
      <xdr:col>14</xdr:col>
      <xdr:colOff>624921</xdr:colOff>
      <xdr:row>53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093231" y="11350119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55</xdr:row>
      <xdr:rowOff>66849</xdr:rowOff>
    </xdr:from>
    <xdr:to>
      <xdr:col>14</xdr:col>
      <xdr:colOff>625339</xdr:colOff>
      <xdr:row>55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089419" y="11787891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56</xdr:row>
      <xdr:rowOff>61051</xdr:rowOff>
    </xdr:from>
    <xdr:to>
      <xdr:col>14</xdr:col>
      <xdr:colOff>624921</xdr:colOff>
      <xdr:row>56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093231" y="1199905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57</xdr:row>
      <xdr:rowOff>63293</xdr:rowOff>
    </xdr:from>
    <xdr:to>
      <xdr:col>14</xdr:col>
      <xdr:colOff>624921</xdr:colOff>
      <xdr:row>57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093231" y="12218251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59</xdr:row>
      <xdr:rowOff>56346</xdr:rowOff>
    </xdr:from>
    <xdr:to>
      <xdr:col>14</xdr:col>
      <xdr:colOff>621111</xdr:colOff>
      <xdr:row>59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58</xdr:row>
      <xdr:rowOff>63629</xdr:rowOff>
    </xdr:from>
    <xdr:to>
      <xdr:col>14</xdr:col>
      <xdr:colOff>624921</xdr:colOff>
      <xdr:row>58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093231" y="12435546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86</xdr:row>
      <xdr:rowOff>56604</xdr:rowOff>
    </xdr:from>
    <xdr:to>
      <xdr:col>14</xdr:col>
      <xdr:colOff>624919</xdr:colOff>
      <xdr:row>86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093229" y="18413396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87</xdr:row>
      <xdr:rowOff>58608</xdr:rowOff>
    </xdr:from>
    <xdr:to>
      <xdr:col>14</xdr:col>
      <xdr:colOff>628729</xdr:colOff>
      <xdr:row>87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089419" y="1863235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88</xdr:row>
      <xdr:rowOff>54897</xdr:rowOff>
    </xdr:from>
    <xdr:to>
      <xdr:col>14</xdr:col>
      <xdr:colOff>628729</xdr:colOff>
      <xdr:row>88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089419" y="18845605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90</xdr:row>
      <xdr:rowOff>63989</xdr:rowOff>
    </xdr:from>
    <xdr:to>
      <xdr:col>14</xdr:col>
      <xdr:colOff>625339</xdr:colOff>
      <xdr:row>90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089419" y="19288614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91</xdr:row>
      <xdr:rowOff>56048</xdr:rowOff>
    </xdr:from>
    <xdr:to>
      <xdr:col>14</xdr:col>
      <xdr:colOff>628729</xdr:colOff>
      <xdr:row>91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089419" y="19497631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92</xdr:row>
      <xdr:rowOff>56146</xdr:rowOff>
    </xdr:from>
    <xdr:to>
      <xdr:col>14</xdr:col>
      <xdr:colOff>628729</xdr:colOff>
      <xdr:row>92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089419" y="19714688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94</xdr:row>
      <xdr:rowOff>60156</xdr:rowOff>
    </xdr:from>
    <xdr:to>
      <xdr:col>14</xdr:col>
      <xdr:colOff>624919</xdr:colOff>
      <xdr:row>94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093229" y="2015261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93</xdr:row>
      <xdr:rowOff>54340</xdr:rowOff>
    </xdr:from>
    <xdr:to>
      <xdr:col>14</xdr:col>
      <xdr:colOff>628729</xdr:colOff>
      <xdr:row>93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089419" y="199298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50</xdr:row>
      <xdr:rowOff>76535</xdr:rowOff>
    </xdr:from>
    <xdr:to>
      <xdr:col>14</xdr:col>
      <xdr:colOff>246753</xdr:colOff>
      <xdr:row>73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255772</xdr:colOff>
      <xdr:row>49</xdr:row>
      <xdr:rowOff>95817</xdr:rowOff>
    </xdr:from>
    <xdr:to>
      <xdr:col>6</xdr:col>
      <xdr:colOff>67836</xdr:colOff>
      <xdr:row>62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93006</xdr:colOff>
      <xdr:row>85</xdr:row>
      <xdr:rowOff>37660</xdr:rowOff>
    </xdr:from>
    <xdr:to>
      <xdr:col>14</xdr:col>
      <xdr:colOff>397922</xdr:colOff>
      <xdr:row>105</xdr:row>
      <xdr:rowOff>93458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44214</xdr:colOff>
      <xdr:row>80</xdr:row>
      <xdr:rowOff>111815</xdr:rowOff>
    </xdr:from>
    <xdr:to>
      <xdr:col>6</xdr:col>
      <xdr:colOff>22915</xdr:colOff>
      <xdr:row>102</xdr:row>
      <xdr:rowOff>57580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111</xdr:row>
      <xdr:rowOff>60414</xdr:rowOff>
    </xdr:from>
    <xdr:to>
      <xdr:col>14</xdr:col>
      <xdr:colOff>621111</xdr:colOff>
      <xdr:row>111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112</xdr:row>
      <xdr:rowOff>57538</xdr:rowOff>
    </xdr:from>
    <xdr:to>
      <xdr:col>14</xdr:col>
      <xdr:colOff>621111</xdr:colOff>
      <xdr:row>112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113</xdr:row>
      <xdr:rowOff>56118</xdr:rowOff>
    </xdr:from>
    <xdr:to>
      <xdr:col>14</xdr:col>
      <xdr:colOff>621111</xdr:colOff>
      <xdr:row>113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114</xdr:row>
      <xdr:rowOff>60189</xdr:rowOff>
    </xdr:from>
    <xdr:to>
      <xdr:col>14</xdr:col>
      <xdr:colOff>632959</xdr:colOff>
      <xdr:row>114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115</xdr:row>
      <xdr:rowOff>74234</xdr:rowOff>
    </xdr:from>
    <xdr:to>
      <xdr:col>14</xdr:col>
      <xdr:colOff>621111</xdr:colOff>
      <xdr:row>115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116</xdr:row>
      <xdr:rowOff>74943</xdr:rowOff>
    </xdr:from>
    <xdr:to>
      <xdr:col>14</xdr:col>
      <xdr:colOff>621111</xdr:colOff>
      <xdr:row>116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118</xdr:row>
      <xdr:rowOff>56346</xdr:rowOff>
    </xdr:from>
    <xdr:to>
      <xdr:col>14</xdr:col>
      <xdr:colOff>621111</xdr:colOff>
      <xdr:row>118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117</xdr:row>
      <xdr:rowOff>92090</xdr:rowOff>
    </xdr:from>
    <xdr:to>
      <xdr:col>14</xdr:col>
      <xdr:colOff>621111</xdr:colOff>
      <xdr:row>117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113</xdr:row>
      <xdr:rowOff>130394</xdr:rowOff>
    </xdr:from>
    <xdr:to>
      <xdr:col>14</xdr:col>
      <xdr:colOff>369793</xdr:colOff>
      <xdr:row>116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109</xdr:row>
      <xdr:rowOff>78081</xdr:rowOff>
    </xdr:from>
    <xdr:to>
      <xdr:col>6</xdr:col>
      <xdr:colOff>327030</xdr:colOff>
      <xdr:row>121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24</xdr:row>
      <xdr:rowOff>85830</xdr:rowOff>
    </xdr:from>
    <xdr:to>
      <xdr:col>14</xdr:col>
      <xdr:colOff>352159</xdr:colOff>
      <xdr:row>35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28</xdr:row>
      <xdr:rowOff>53887</xdr:rowOff>
    </xdr:from>
    <xdr:to>
      <xdr:col>14</xdr:col>
      <xdr:colOff>628099</xdr:colOff>
      <xdr:row>28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30</xdr:row>
      <xdr:rowOff>62872</xdr:rowOff>
    </xdr:from>
    <xdr:to>
      <xdr:col>14</xdr:col>
      <xdr:colOff>628099</xdr:colOff>
      <xdr:row>30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89419" y="623295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54</xdr:row>
      <xdr:rowOff>59522</xdr:rowOff>
    </xdr:from>
    <xdr:to>
      <xdr:col>14</xdr:col>
      <xdr:colOff>634864</xdr:colOff>
      <xdr:row>54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9086659" y="11563605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89</xdr:row>
      <xdr:rowOff>56900</xdr:rowOff>
    </xdr:from>
    <xdr:to>
      <xdr:col>14</xdr:col>
      <xdr:colOff>645244</xdr:colOff>
      <xdr:row>89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9089419" y="19064567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248841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21198</xdr:rowOff>
    </xdr:from>
    <xdr:to>
      <xdr:col>2</xdr:col>
      <xdr:colOff>173649</xdr:colOff>
      <xdr:row>1</xdr:row>
      <xdr:rowOff>173036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96D7B470-25AF-4043-B8AC-955A21C6F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36463"/>
          <a:ext cx="836589" cy="151838"/>
        </a:xfrm>
        <a:prstGeom prst="rect">
          <a:avLst/>
        </a:prstGeom>
      </xdr:spPr>
    </xdr:pic>
    <xdr:clientData/>
  </xdr:twoCellAnchor>
  <xdr:twoCellAnchor>
    <xdr:from>
      <xdr:col>2</xdr:col>
      <xdr:colOff>327225</xdr:colOff>
      <xdr:row>0</xdr:row>
      <xdr:rowOff>112058</xdr:rowOff>
    </xdr:from>
    <xdr:to>
      <xdr:col>2</xdr:col>
      <xdr:colOff>1273099</xdr:colOff>
      <xdr:row>2</xdr:row>
      <xdr:rowOff>114618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2E736BB7-A2C6-4946-AB81-A943F3F1F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915" y="112058"/>
          <a:ext cx="953494" cy="440710"/>
        </a:xfrm>
        <a:prstGeom prst="rect">
          <a:avLst/>
        </a:prstGeom>
      </xdr:spPr>
    </xdr:pic>
    <xdr:clientData/>
  </xdr:twoCellAnchor>
  <xdr:twoCellAnchor>
    <xdr:from>
      <xdr:col>95</xdr:col>
      <xdr:colOff>10883</xdr:colOff>
      <xdr:row>4</xdr:row>
      <xdr:rowOff>130628</xdr:rowOff>
    </xdr:from>
    <xdr:to>
      <xdr:col>95</xdr:col>
      <xdr:colOff>10883</xdr:colOff>
      <xdr:row>26</xdr:row>
      <xdr:rowOff>130629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5CFE12B-D8AF-D2E7-E5C9-68719FFEDCBE}"/>
            </a:ext>
          </a:extLst>
        </xdr:cNvPr>
        <xdr:cNvCxnSpPr/>
      </xdr:nvCxnSpPr>
      <xdr:spPr>
        <a:xfrm flipV="1">
          <a:off x="44185112" y="849085"/>
          <a:ext cx="0" cy="5475515"/>
        </a:xfrm>
        <a:prstGeom prst="straightConnector1">
          <a:avLst/>
        </a:prstGeom>
        <a:ln w="28575"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M615" totalsRowShown="0" headerRowDxfId="32" tableBorderDxfId="31">
  <autoFilter ref="B6:M615" xr:uid="{00000000-0009-0000-0100-000004000000}"/>
  <tableColumns count="12">
    <tableColumn id="1" xr3:uid="{00000000-0010-0000-0000-000001000000}" name="Âmbito" dataDxfId="30"/>
    <tableColumn id="2" xr3:uid="{00000000-0010-0000-0000-000002000000}" name="Sub-âmbito" dataDxfId="29"/>
    <tableColumn id="3" xr3:uid="{00000000-0010-0000-0000-000003000000}" name="Tipo de teste" dataDxfId="28"/>
    <tableColumn id="4" xr3:uid="{00000000-0010-0000-0000-000004000000}" name="Tabela" dataDxfId="27"/>
    <tableColumn id="5" xr3:uid="{00000000-0010-0000-0000-000005000000}" name="Campo" dataDxfId="26"/>
    <tableColumn id="6" xr3:uid="{00000000-0010-0000-0000-000006000000}" name="Status Atual" dataDxfId="25"/>
    <tableColumn id="7" xr3:uid="{00000000-0010-0000-0000-000007000000}" name="Status Anterior" dataDxfId="24"/>
    <tableColumn id="8" xr3:uid="{00000000-0010-0000-0000-000008000000}" name="Observações" dataDxfId="23"/>
    <tableColumn id="9" xr3:uid="{00000000-0010-0000-0000-000009000000}" name="Data de Pedido correção/esclarecimento" dataDxfId="22"/>
    <tableColumn id="10" xr3:uid="{00000000-0010-0000-0000-00000A000000}" name="Data de correção prevista" dataDxfId="21"/>
    <tableColumn id="11" xr3:uid="{00000000-0010-0000-0000-00000B000000}" name="Data de correção efetiva" dataDxfId="20"/>
    <tableColumn id="12" xr3:uid="{00000000-0010-0000-0000-00000C000000}" name="Data Reunião" dataDxf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N140"/>
  <sheetViews>
    <sheetView showGridLines="0" tabSelected="1" zoomScale="70" zoomScaleNormal="70" workbookViewId="0"/>
  </sheetViews>
  <sheetFormatPr defaultColWidth="0" defaultRowHeight="17.399999999999999" zeroHeight="1" x14ac:dyDescent="0.45"/>
  <cols>
    <col min="1" max="2" width="3.69921875" style="2" customWidth="1"/>
    <col min="3" max="22" width="8.69921875" style="2" customWidth="1"/>
    <col min="23" max="23" width="10" style="2" customWidth="1"/>
    <col min="24" max="32" width="8.69921875" style="2" customWidth="1"/>
    <col min="33" max="34" width="3.69921875" style="2" customWidth="1"/>
    <col min="35" max="40" width="3.69921875" style="2" hidden="1" customWidth="1"/>
    <col min="41" max="16384" width="8.69921875" style="2" hidden="1"/>
  </cols>
  <sheetData>
    <row r="1" spans="1:34" x14ac:dyDescent="0.45"/>
    <row r="2" spans="1:34" x14ac:dyDescent="0.45"/>
    <row r="3" spans="1:34" x14ac:dyDescent="0.45"/>
    <row r="4" spans="1:34" ht="4.95" customHeight="1" x14ac:dyDescent="0.4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4" x14ac:dyDescent="0.4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 spans="1:34" ht="22.2" x14ac:dyDescent="0.55000000000000004">
      <c r="A6" s="27"/>
      <c r="B6" s="37" t="s">
        <v>550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spans="1:34" ht="4.95" customHeight="1" x14ac:dyDescent="0.4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4" ht="17.7" customHeight="1" x14ac:dyDescent="0.45">
      <c r="A8" s="27"/>
      <c r="B8" s="112" t="s">
        <v>548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4"/>
      <c r="AH8" s="27"/>
    </row>
    <row r="9" spans="1:34" ht="17.7" customHeight="1" x14ac:dyDescent="0.45">
      <c r="A9" s="27"/>
      <c r="B9" s="115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7"/>
      <c r="AH9" s="27"/>
    </row>
    <row r="10" spans="1:34" ht="17.7" customHeight="1" x14ac:dyDescent="0.45">
      <c r="A10" s="27"/>
      <c r="B10" s="115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7"/>
      <c r="AH10" s="27"/>
    </row>
    <row r="11" spans="1:34" ht="17.7" customHeight="1" x14ac:dyDescent="0.45">
      <c r="A11" s="27"/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7"/>
      <c r="AH11" s="27"/>
    </row>
    <row r="12" spans="1:34" ht="17.7" customHeight="1" x14ac:dyDescent="0.45">
      <c r="A12" s="27"/>
      <c r="B12" s="115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7"/>
      <c r="AH12" s="27"/>
    </row>
    <row r="13" spans="1:34" ht="17.7" customHeight="1" x14ac:dyDescent="0.45">
      <c r="A13" s="27"/>
      <c r="B13" s="115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7"/>
      <c r="AH13" s="27"/>
    </row>
    <row r="14" spans="1:34" ht="17.7" customHeight="1" x14ac:dyDescent="0.45">
      <c r="A14" s="27"/>
      <c r="B14" s="115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7"/>
      <c r="AH14" s="27"/>
    </row>
    <row r="15" spans="1:34" ht="17.7" customHeight="1" x14ac:dyDescent="0.45">
      <c r="A15" s="27"/>
      <c r="B15" s="115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7"/>
      <c r="AH15" s="27"/>
    </row>
    <row r="16" spans="1:34" ht="17.7" customHeight="1" x14ac:dyDescent="0.45">
      <c r="A16" s="27"/>
      <c r="B16" s="115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7"/>
      <c r="AH16" s="27"/>
    </row>
    <row r="17" spans="1:34" ht="17.7" customHeight="1" x14ac:dyDescent="0.45">
      <c r="A17" s="27"/>
      <c r="B17" s="115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7"/>
      <c r="AH17" s="27"/>
    </row>
    <row r="18" spans="1:34" ht="17.7" customHeight="1" x14ac:dyDescent="0.45">
      <c r="A18" s="27"/>
      <c r="B18" s="115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7"/>
      <c r="AH18" s="27"/>
    </row>
    <row r="19" spans="1:34" ht="17.7" customHeight="1" x14ac:dyDescent="0.45">
      <c r="A19" s="27"/>
      <c r="B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20"/>
      <c r="AH19" s="27"/>
    </row>
    <row r="20" spans="1:34" x14ac:dyDescent="0.4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x14ac:dyDescent="0.4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ht="22.2" x14ac:dyDescent="0.55000000000000004">
      <c r="A22" s="27"/>
      <c r="B22" s="37" t="s">
        <v>463</v>
      </c>
      <c r="C22" s="27"/>
      <c r="D22" s="27"/>
      <c r="E22" s="27"/>
      <c r="F22" s="27"/>
      <c r="G22" s="39" t="s">
        <v>31</v>
      </c>
      <c r="H22" s="39" t="s">
        <v>49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ht="4.95" customHeight="1" x14ac:dyDescent="0.4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x14ac:dyDescent="0.45">
      <c r="A24" s="27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1"/>
      <c r="AH24" s="27"/>
    </row>
    <row r="25" spans="1:34" x14ac:dyDescent="0.45">
      <c r="A25" s="27"/>
      <c r="B25" s="32"/>
      <c r="C25" s="66" t="s">
        <v>464</v>
      </c>
      <c r="G25" s="66" t="s">
        <v>465</v>
      </c>
      <c r="P25" s="40" t="s">
        <v>466</v>
      </c>
      <c r="Q25" s="41"/>
      <c r="R25" s="40"/>
      <c r="S25" s="41"/>
      <c r="T25" s="42">
        <v>45576</v>
      </c>
      <c r="U25" s="42">
        <f>T25+7</f>
        <v>45583</v>
      </c>
      <c r="V25" s="43" t="s">
        <v>467</v>
      </c>
      <c r="X25" s="67" t="s">
        <v>468</v>
      </c>
      <c r="AG25" s="33"/>
      <c r="AH25" s="27"/>
    </row>
    <row r="26" spans="1:34" ht="17.7" customHeight="1" x14ac:dyDescent="0.45">
      <c r="A26" s="27"/>
      <c r="B26" s="32"/>
      <c r="P26" s="2" t="s">
        <v>469</v>
      </c>
      <c r="T26" s="2">
        <f>COUNTIFS('2. Status Detalhe Campos'!$H$7:$H$615,'1. Status Resumo'!$P26,'2. Status Detalhe Campos'!$C$7:$C$615,'1. Status Resumo'!$G$22,'2. Status Detalhe Campos'!$D$7:$D$615,"2. Campo")+COUNTIFS('2. Status Detalhe Campos'!$H$7:$H$615,'1. Status Resumo'!$P26,'2. Status Detalhe Campos'!$C$7:$C$615,'1. Status Resumo'!$H$22,'2. Status Detalhe Campos'!$D$7:$D$615,"2. Campo")</f>
        <v>10</v>
      </c>
      <c r="U26" s="2">
        <f>COUNTIFS('2. Status Detalhe Campos'!$G$7:$G$615,'1. Status Resumo'!$P26,'2. Status Detalhe Campos'!$C$7:$C$615,'1. Status Resumo'!$G$22,'2. Status Detalhe Campos'!$D$7:$D$615,"2. Campo")+COUNTIFS('2. Status Detalhe Campos'!$G$7:$G$615,'1. Status Resumo'!$P26,'2. Status Detalhe Campos'!$C$7:$C$615,'1. Status Resumo'!$H$22,'2. Status Detalhe Campos'!$D$7:$D$615,"2. Campo")</f>
        <v>10</v>
      </c>
      <c r="V26" s="2">
        <f>U26-T26</f>
        <v>0</v>
      </c>
      <c r="X26" s="130" t="s">
        <v>536</v>
      </c>
      <c r="Y26" s="131"/>
      <c r="Z26" s="131"/>
      <c r="AA26" s="131"/>
      <c r="AB26" s="131"/>
      <c r="AC26" s="131"/>
      <c r="AD26" s="131"/>
      <c r="AE26" s="131"/>
      <c r="AF26" s="132"/>
      <c r="AG26" s="75"/>
      <c r="AH26" s="27"/>
    </row>
    <row r="27" spans="1:34" x14ac:dyDescent="0.45">
      <c r="A27" s="27"/>
      <c r="B27" s="32"/>
      <c r="P27" s="2" t="s">
        <v>470</v>
      </c>
      <c r="T27" s="2">
        <f>COUNTIFS('2. Status Detalhe Campos'!$H$7:$H$615,'1. Status Resumo'!$P27,'2. Status Detalhe Campos'!$C$7:$C$615,'1. Status Resumo'!$G$22,'2. Status Detalhe Campos'!$D$7:$D$615,"2. Campo")+COUNTIFS('2. Status Detalhe Campos'!$H$7:$H$615,'1. Status Resumo'!$P27,'2. Status Detalhe Campos'!$C$7:$C$615,'1. Status Resumo'!$H$22,'2. Status Detalhe Campos'!$D$7:$D$615,"2. Campo")</f>
        <v>124</v>
      </c>
      <c r="U27" s="2">
        <f>COUNTIFS('2. Status Detalhe Campos'!$G$7:$G$615,'1. Status Resumo'!$P27,'2. Status Detalhe Campos'!$C$7:$C$615,'1. Status Resumo'!$G$22,'2. Status Detalhe Campos'!$D$7:$D$615,"2. Campo")+COUNTIFS('2. Status Detalhe Campos'!$G$7:$G$615,'1. Status Resumo'!$P27,'2. Status Detalhe Campos'!$C$7:$C$615,'1. Status Resumo'!$H$22,'2. Status Detalhe Campos'!$D$7:$D$615,"2. Campo")</f>
        <v>124</v>
      </c>
      <c r="V27" s="2">
        <f t="shared" ref="V27:V34" si="0">U27-T27</f>
        <v>0</v>
      </c>
      <c r="X27" s="133"/>
      <c r="Y27" s="134"/>
      <c r="Z27" s="134"/>
      <c r="AA27" s="134"/>
      <c r="AB27" s="134"/>
      <c r="AC27" s="134"/>
      <c r="AD27" s="134"/>
      <c r="AE27" s="134"/>
      <c r="AF27" s="135"/>
      <c r="AG27" s="75"/>
      <c r="AH27" s="27"/>
    </row>
    <row r="28" spans="1:34" x14ac:dyDescent="0.45">
      <c r="A28" s="27"/>
      <c r="B28" s="32"/>
      <c r="P28" s="2" t="s">
        <v>532</v>
      </c>
      <c r="T28" s="2">
        <f>COUNTIFS('2. Status Detalhe Campos'!$H$7:$H$615,'1. Status Resumo'!$P28,'2. Status Detalhe Campos'!$C$7:$C$615,'1. Status Resumo'!$G$22,'2. Status Detalhe Campos'!$D$7:$D$615,"2. Campo")+COUNTIFS('2. Status Detalhe Campos'!$H$7:$H$615,'1. Status Resumo'!$P28,'2. Status Detalhe Campos'!$C$7:$C$615,'1. Status Resumo'!$H$22,'2. Status Detalhe Campos'!$D$7:$D$615,"2. Campo")</f>
        <v>0</v>
      </c>
      <c r="U28" s="2">
        <f>COUNTIFS('2. Status Detalhe Campos'!$G$7:$G$615,'1. Status Resumo'!$P28,'2. Status Detalhe Campos'!$C$7:$C$615,'1. Status Resumo'!$G$22,'2. Status Detalhe Campos'!$D$7:$D$615,"2. Campo")+COUNTIFS('2. Status Detalhe Campos'!$G$7:$G$615,'1. Status Resumo'!$P28,'2. Status Detalhe Campos'!$C$7:$C$615,'1. Status Resumo'!$H$22,'2. Status Detalhe Campos'!$D$7:$D$615,"2. Campo")</f>
        <v>0</v>
      </c>
      <c r="V28" s="2">
        <f t="shared" si="0"/>
        <v>0</v>
      </c>
      <c r="X28" s="133"/>
      <c r="Y28" s="134"/>
      <c r="Z28" s="134"/>
      <c r="AA28" s="134"/>
      <c r="AB28" s="134"/>
      <c r="AC28" s="134"/>
      <c r="AD28" s="134"/>
      <c r="AE28" s="134"/>
      <c r="AF28" s="135"/>
      <c r="AG28" s="75"/>
      <c r="AH28" s="27"/>
    </row>
    <row r="29" spans="1:34" x14ac:dyDescent="0.45">
      <c r="A29" s="27"/>
      <c r="B29" s="32"/>
      <c r="D29" s="105" t="str">
        <f>"# "&amp;U35</f>
        <v># 168</v>
      </c>
      <c r="E29" s="105"/>
      <c r="P29" s="2" t="s">
        <v>533</v>
      </c>
      <c r="T29" s="2">
        <f>COUNTIFS('2. Status Detalhe Campos'!$H$7:$H$615,'1. Status Resumo'!$P29,'2. Status Detalhe Campos'!$C$7:$C$615,'1. Status Resumo'!$G$22,'2. Status Detalhe Campos'!$D$7:$D$615,"2. Campo")+COUNTIFS('2. Status Detalhe Campos'!$H$7:$H$615,'1. Status Resumo'!$P29,'2. Status Detalhe Campos'!$C$7:$C$615,'1. Status Resumo'!$H$22,'2. Status Detalhe Campos'!$D$7:$D$615,"2. Campo")</f>
        <v>0</v>
      </c>
      <c r="U29" s="2">
        <f>COUNTIFS('2. Status Detalhe Campos'!$G$7:$G$615,'1. Status Resumo'!$P29,'2. Status Detalhe Campos'!$C$7:$C$615,'1. Status Resumo'!$G$22,'2. Status Detalhe Campos'!$D$7:$D$615,"2. Campo")+COUNTIFS('2. Status Detalhe Campos'!$G$7:$G$615,'1. Status Resumo'!$P29,'2. Status Detalhe Campos'!$C$7:$C$615,'1. Status Resumo'!$H$22,'2. Status Detalhe Campos'!$D$7:$D$615,"2. Campo")</f>
        <v>0</v>
      </c>
      <c r="V29" s="2">
        <f t="shared" ref="V29" si="1">U29-T29</f>
        <v>0</v>
      </c>
      <c r="X29" s="133"/>
      <c r="Y29" s="134"/>
      <c r="Z29" s="134"/>
      <c r="AA29" s="134"/>
      <c r="AB29" s="134"/>
      <c r="AC29" s="134"/>
      <c r="AD29" s="134"/>
      <c r="AE29" s="134"/>
      <c r="AF29" s="135"/>
      <c r="AG29" s="75"/>
      <c r="AH29" s="27"/>
    </row>
    <row r="30" spans="1:34" ht="17.55" customHeight="1" x14ac:dyDescent="0.45">
      <c r="A30" s="27"/>
      <c r="B30" s="32"/>
      <c r="D30" s="105"/>
      <c r="E30" s="105"/>
      <c r="P30" s="2" t="s">
        <v>471</v>
      </c>
      <c r="T30" s="2">
        <f>COUNTIFS('2. Status Detalhe Campos'!$H$7:$H$615,'1. Status Resumo'!$P30,'2. Status Detalhe Campos'!$C$7:$C$615,'1. Status Resumo'!$G$22,'2. Status Detalhe Campos'!$D$7:$D$615,"2. Campo")+COUNTIFS('2. Status Detalhe Campos'!$H$7:$H$615,'1. Status Resumo'!$P30,'2. Status Detalhe Campos'!$C$7:$C$615,'1. Status Resumo'!$H$22,'2. Status Detalhe Campos'!$D$7:$D$615,"2. Campo")</f>
        <v>0</v>
      </c>
      <c r="U30" s="2">
        <f>COUNTIFS('2. Status Detalhe Campos'!$G$7:$G$615,'1. Status Resumo'!$P30,'2. Status Detalhe Campos'!$C$7:$C$615,'1. Status Resumo'!$G$22,'2. Status Detalhe Campos'!$D$7:$D$615,"2. Campo")+COUNTIFS('2. Status Detalhe Campos'!$G$7:$G$615,'1. Status Resumo'!$P30,'2. Status Detalhe Campos'!$C$7:$C$615,'1. Status Resumo'!$H$22,'2. Status Detalhe Campos'!$D$7:$D$615,"2. Campo")</f>
        <v>0</v>
      </c>
      <c r="V30" s="2">
        <f t="shared" si="0"/>
        <v>0</v>
      </c>
      <c r="X30" s="133"/>
      <c r="Y30" s="134"/>
      <c r="Z30" s="134"/>
      <c r="AA30" s="134"/>
      <c r="AB30" s="134"/>
      <c r="AC30" s="134"/>
      <c r="AD30" s="134"/>
      <c r="AE30" s="134"/>
      <c r="AF30" s="135"/>
      <c r="AG30" s="75"/>
      <c r="AH30" s="27"/>
    </row>
    <row r="31" spans="1:34" ht="17.55" customHeight="1" x14ac:dyDescent="0.45">
      <c r="A31" s="27"/>
      <c r="B31" s="32"/>
      <c r="D31" s="105"/>
      <c r="E31" s="105"/>
      <c r="P31" s="2" t="s">
        <v>472</v>
      </c>
      <c r="T31" s="2">
        <f>COUNTIFS('2. Status Detalhe Campos'!$H$7:$H$615,'1. Status Resumo'!$P31,'2. Status Detalhe Campos'!$C$7:$C$615,'1. Status Resumo'!$G$22,'2. Status Detalhe Campos'!$D$7:$D$615,"2. Campo")+COUNTIFS('2. Status Detalhe Campos'!$H$7:$H$615,'1. Status Resumo'!$P31,'2. Status Detalhe Campos'!$C$7:$C$615,'1. Status Resumo'!$H$22,'2. Status Detalhe Campos'!$D$7:$D$615,"2. Campo")</f>
        <v>0</v>
      </c>
      <c r="U31" s="2">
        <f>COUNTIFS('2. Status Detalhe Campos'!$G$7:$G$615,'1. Status Resumo'!$P31,'2. Status Detalhe Campos'!$C$7:$C$615,'1. Status Resumo'!$G$22,'2. Status Detalhe Campos'!$D$7:$D$615,"2. Campo")+COUNTIFS('2. Status Detalhe Campos'!$G$7:$G$615,'1. Status Resumo'!$P31,'2. Status Detalhe Campos'!$C$7:$C$615,'1. Status Resumo'!$H$22,'2. Status Detalhe Campos'!$D$7:$D$615,"2. Campo")</f>
        <v>0</v>
      </c>
      <c r="V31" s="2">
        <f t="shared" si="0"/>
        <v>0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75"/>
      <c r="AH31" s="27"/>
    </row>
    <row r="32" spans="1:34" x14ac:dyDescent="0.45">
      <c r="A32" s="27"/>
      <c r="B32" s="32"/>
      <c r="P32" s="2" t="s">
        <v>473</v>
      </c>
      <c r="R32" s="2" t="s">
        <v>474</v>
      </c>
      <c r="T32" s="2">
        <f>COUNTIFS('2. Status Detalhe Campos'!$H$7:$H$615,'1. Status Resumo'!$P32,'2. Status Detalhe Campos'!$C$7:$C$615,'1. Status Resumo'!$G$22,'2. Status Detalhe Campos'!$D$7:$D$615,"2. Campo")+COUNTIFS('2. Status Detalhe Campos'!$H$7:$H$615,'1. Status Resumo'!$P32,'2. Status Detalhe Campos'!$C$7:$C$615,'1. Status Resumo'!$H$22,'2. Status Detalhe Campos'!$D$7:$D$615,"2. Campo")</f>
        <v>0</v>
      </c>
      <c r="U32" s="2">
        <f>COUNTIFS('2. Status Detalhe Campos'!$G$7:$G$615,'1. Status Resumo'!$P32,'2. Status Detalhe Campos'!$C$7:$C$615,'1. Status Resumo'!$G$22,'2. Status Detalhe Campos'!$D$7:$D$615,"2. Campo")+COUNTIFS('2. Status Detalhe Campos'!$G$7:$G$615,'1. Status Resumo'!$P32,'2. Status Detalhe Campos'!$C$7:$C$615,'1. Status Resumo'!$H$22,'2. Status Detalhe Campos'!$D$7:$D$615,"2. Campo")</f>
        <v>0</v>
      </c>
      <c r="V32" s="2">
        <f t="shared" si="0"/>
        <v>0</v>
      </c>
      <c r="X32" s="133"/>
      <c r="Y32" s="134"/>
      <c r="Z32" s="134"/>
      <c r="AA32" s="134"/>
      <c r="AB32" s="134"/>
      <c r="AC32" s="134"/>
      <c r="AD32" s="134"/>
      <c r="AE32" s="134"/>
      <c r="AF32" s="135"/>
      <c r="AG32" s="75"/>
      <c r="AH32" s="27"/>
    </row>
    <row r="33" spans="1:34" x14ac:dyDescent="0.45">
      <c r="A33" s="27"/>
      <c r="B33" s="32"/>
      <c r="P33" s="2" t="s">
        <v>475</v>
      </c>
      <c r="T33" s="2">
        <f>COUNTIFS('2. Status Detalhe Campos'!$H$7:$H$615,'1. Status Resumo'!$P33,'2. Status Detalhe Campos'!$C$7:$C$615,'1. Status Resumo'!$G$22,'2. Status Detalhe Campos'!$D$7:$D$615,"2. Campo")+COUNTIFS('2. Status Detalhe Campos'!$H$7:$H$615,'1. Status Resumo'!$P33,'2. Status Detalhe Campos'!$C$7:$C$615,'1. Status Resumo'!$H$22,'2. Status Detalhe Campos'!$D$7:$D$615,"2. Campo")</f>
        <v>34</v>
      </c>
      <c r="U33" s="2">
        <f>COUNTIFS('2. Status Detalhe Campos'!$G$7:$G$615,'1. Status Resumo'!$P33,'2. Status Detalhe Campos'!$C$7:$C$615,'1. Status Resumo'!$G$22,'2. Status Detalhe Campos'!$D$7:$D$615,"2. Campo")+COUNTIFS('2. Status Detalhe Campos'!$G$7:$G$615,'1. Status Resumo'!$P33,'2. Status Detalhe Campos'!$C$7:$C$615,'1. Status Resumo'!$H$22,'2. Status Detalhe Campos'!$D$7:$D$615,"2. Campo")</f>
        <v>34</v>
      </c>
      <c r="V33" s="2">
        <f t="shared" si="0"/>
        <v>0</v>
      </c>
      <c r="X33" s="133"/>
      <c r="Y33" s="134"/>
      <c r="Z33" s="134"/>
      <c r="AA33" s="134"/>
      <c r="AB33" s="134"/>
      <c r="AC33" s="134"/>
      <c r="AD33" s="134"/>
      <c r="AE33" s="134"/>
      <c r="AF33" s="135"/>
      <c r="AG33" s="75"/>
      <c r="AH33" s="27"/>
    </row>
    <row r="34" spans="1:34" x14ac:dyDescent="0.45">
      <c r="A34" s="27"/>
      <c r="B34" s="32"/>
      <c r="P34" s="2" t="s">
        <v>25</v>
      </c>
      <c r="T34" s="2">
        <f>COUNTIFS('2. Status Detalhe Campos'!$H$7:$H$615,'1. Status Resumo'!$P34,'2. Status Detalhe Campos'!$C$7:$C$615,'1. Status Resumo'!$G$22,'2. Status Detalhe Campos'!$D$7:$D$615,"2. Campo")+COUNTIFS('2. Status Detalhe Campos'!$H$7:$H$615,'1. Status Resumo'!$P34,'2. Status Detalhe Campos'!$C$7:$C$615,'1. Status Resumo'!$H$22,'2. Status Detalhe Campos'!$D$7:$D$615,"2. Campo")</f>
        <v>0</v>
      </c>
      <c r="U34" s="2">
        <f>COUNTIFS('2. Status Detalhe Campos'!$G$7:$G$615,'1. Status Resumo'!$P34,'2. Status Detalhe Campos'!$C$7:$C$615,'1. Status Resumo'!$G$22,'2. Status Detalhe Campos'!$D$7:$D$615,"2. Campo")+COUNTIFS('2. Status Detalhe Campos'!$G$7:$G$615,'1. Status Resumo'!$P34,'2. Status Detalhe Campos'!$C$7:$C$615,'1. Status Resumo'!$H$22,'2. Status Detalhe Campos'!$D$7:$D$615,"2. Campo")</f>
        <v>0</v>
      </c>
      <c r="V34" s="2">
        <f t="shared" si="0"/>
        <v>0</v>
      </c>
      <c r="X34" s="133"/>
      <c r="Y34" s="134"/>
      <c r="Z34" s="134"/>
      <c r="AA34" s="134"/>
      <c r="AB34" s="134"/>
      <c r="AC34" s="134"/>
      <c r="AD34" s="134"/>
      <c r="AE34" s="134"/>
      <c r="AF34" s="135"/>
      <c r="AG34" s="75"/>
      <c r="AH34" s="27"/>
    </row>
    <row r="35" spans="1:34" x14ac:dyDescent="0.45">
      <c r="A35" s="27"/>
      <c r="B35" s="32"/>
      <c r="T35" s="38">
        <f>SUM(T26:T34)</f>
        <v>168</v>
      </c>
      <c r="U35" s="38">
        <f>SUM(U26:U34)</f>
        <v>168</v>
      </c>
      <c r="X35" s="133"/>
      <c r="Y35" s="134"/>
      <c r="Z35" s="134"/>
      <c r="AA35" s="134"/>
      <c r="AB35" s="134"/>
      <c r="AC35" s="134"/>
      <c r="AD35" s="134"/>
      <c r="AE35" s="134"/>
      <c r="AF35" s="135"/>
      <c r="AG35" s="75"/>
      <c r="AH35" s="27"/>
    </row>
    <row r="36" spans="1:34" x14ac:dyDescent="0.45">
      <c r="A36" s="27"/>
      <c r="B36" s="32"/>
      <c r="G36" s="40" t="s">
        <v>476</v>
      </c>
      <c r="H36" s="41"/>
      <c r="I36" s="41"/>
      <c r="J36" s="41"/>
      <c r="K36" s="41"/>
      <c r="L36" s="41"/>
      <c r="M36" s="41"/>
      <c r="P36" s="40" t="s">
        <v>477</v>
      </c>
      <c r="Q36" s="41"/>
      <c r="R36" s="41"/>
      <c r="S36" s="41"/>
      <c r="T36" s="41"/>
      <c r="U36" s="41"/>
      <c r="V36" s="41"/>
      <c r="X36" s="133"/>
      <c r="Y36" s="134"/>
      <c r="Z36" s="134"/>
      <c r="AA36" s="134"/>
      <c r="AB36" s="134"/>
      <c r="AC36" s="134"/>
      <c r="AD36" s="134"/>
      <c r="AE36" s="134"/>
      <c r="AF36" s="135"/>
      <c r="AG36" s="75"/>
      <c r="AH36" s="27"/>
    </row>
    <row r="37" spans="1:34" x14ac:dyDescent="0.45">
      <c r="A37" s="27"/>
      <c r="B37" s="32"/>
      <c r="F37" s="71" t="s">
        <v>478</v>
      </c>
      <c r="G37" s="2" t="s">
        <v>479</v>
      </c>
      <c r="L37" s="73" t="s">
        <v>480</v>
      </c>
      <c r="O37" s="71" t="s">
        <v>478</v>
      </c>
      <c r="P37" s="2" t="s">
        <v>481</v>
      </c>
      <c r="T37" s="73" t="s">
        <v>480</v>
      </c>
      <c r="X37" s="133"/>
      <c r="Y37" s="134"/>
      <c r="Z37" s="134"/>
      <c r="AA37" s="134"/>
      <c r="AB37" s="134"/>
      <c r="AC37" s="134"/>
      <c r="AD37" s="134"/>
      <c r="AE37" s="134"/>
      <c r="AF37" s="135"/>
      <c r="AG37" s="75"/>
      <c r="AH37" s="27"/>
    </row>
    <row r="38" spans="1:34" x14ac:dyDescent="0.45">
      <c r="A38" s="27"/>
      <c r="B38" s="32"/>
      <c r="F38" s="71" t="s">
        <v>478</v>
      </c>
      <c r="G38" s="2" t="s">
        <v>482</v>
      </c>
      <c r="L38" s="73" t="s">
        <v>480</v>
      </c>
      <c r="O38" s="71" t="s">
        <v>478</v>
      </c>
      <c r="P38" s="2" t="s">
        <v>483</v>
      </c>
      <c r="T38" s="73" t="s">
        <v>480</v>
      </c>
      <c r="X38" s="133"/>
      <c r="Y38" s="134"/>
      <c r="Z38" s="134"/>
      <c r="AA38" s="134"/>
      <c r="AB38" s="134"/>
      <c r="AC38" s="134"/>
      <c r="AD38" s="134"/>
      <c r="AE38" s="134"/>
      <c r="AF38" s="135"/>
      <c r="AG38" s="75"/>
      <c r="AH38" s="27"/>
    </row>
    <row r="39" spans="1:34" x14ac:dyDescent="0.45">
      <c r="A39" s="27"/>
      <c r="B39" s="32"/>
      <c r="F39" s="71" t="s">
        <v>478</v>
      </c>
      <c r="G39" s="2" t="s">
        <v>484</v>
      </c>
      <c r="L39" s="73" t="s">
        <v>480</v>
      </c>
      <c r="O39" s="71" t="s">
        <v>478</v>
      </c>
      <c r="P39" s="2" t="s">
        <v>485</v>
      </c>
      <c r="T39" s="76" t="s">
        <v>486</v>
      </c>
      <c r="X39" s="133"/>
      <c r="Y39" s="134"/>
      <c r="Z39" s="134"/>
      <c r="AA39" s="134"/>
      <c r="AB39" s="134"/>
      <c r="AC39" s="134"/>
      <c r="AD39" s="134"/>
      <c r="AE39" s="134"/>
      <c r="AF39" s="135"/>
      <c r="AG39" s="75"/>
      <c r="AH39" s="27"/>
    </row>
    <row r="40" spans="1:34" x14ac:dyDescent="0.45">
      <c r="A40" s="27"/>
      <c r="B40" s="32"/>
      <c r="F40" s="71" t="s">
        <v>478</v>
      </c>
      <c r="G40" s="2" t="s">
        <v>487</v>
      </c>
      <c r="L40" s="73" t="s">
        <v>480</v>
      </c>
      <c r="O40" s="71"/>
      <c r="T40" s="76"/>
      <c r="X40" s="133"/>
      <c r="Y40" s="134"/>
      <c r="Z40" s="134"/>
      <c r="AA40" s="134"/>
      <c r="AB40" s="134"/>
      <c r="AC40" s="134"/>
      <c r="AD40" s="134"/>
      <c r="AE40" s="134"/>
      <c r="AF40" s="135"/>
      <c r="AG40" s="75"/>
      <c r="AH40" s="27"/>
    </row>
    <row r="41" spans="1:34" x14ac:dyDescent="0.45">
      <c r="A41" s="27"/>
      <c r="B41" s="32"/>
      <c r="F41" s="71" t="s">
        <v>478</v>
      </c>
      <c r="G41" s="2" t="s">
        <v>488</v>
      </c>
      <c r="L41" s="77" t="s">
        <v>489</v>
      </c>
      <c r="O41" s="71"/>
      <c r="T41" s="76"/>
      <c r="X41" s="133"/>
      <c r="Y41" s="134"/>
      <c r="Z41" s="134"/>
      <c r="AA41" s="134"/>
      <c r="AB41" s="134"/>
      <c r="AC41" s="134"/>
      <c r="AD41" s="134"/>
      <c r="AE41" s="134"/>
      <c r="AF41" s="135"/>
      <c r="AG41" s="75"/>
      <c r="AH41" s="27"/>
    </row>
    <row r="42" spans="1:34" x14ac:dyDescent="0.45">
      <c r="A42" s="27"/>
      <c r="B42" s="32"/>
      <c r="F42" s="71" t="s">
        <v>478</v>
      </c>
      <c r="G42" s="2" t="s">
        <v>490</v>
      </c>
      <c r="L42" s="77" t="s">
        <v>489</v>
      </c>
      <c r="O42" s="71"/>
      <c r="T42" s="73"/>
      <c r="X42" s="133"/>
      <c r="Y42" s="134"/>
      <c r="Z42" s="134"/>
      <c r="AA42" s="134"/>
      <c r="AB42" s="134"/>
      <c r="AC42" s="134"/>
      <c r="AD42" s="134"/>
      <c r="AE42" s="134"/>
      <c r="AF42" s="135"/>
      <c r="AG42" s="75"/>
      <c r="AH42" s="27"/>
    </row>
    <row r="43" spans="1:34" x14ac:dyDescent="0.45">
      <c r="A43" s="27"/>
      <c r="B43" s="32"/>
      <c r="O43" s="71"/>
      <c r="X43" s="136"/>
      <c r="Y43" s="137"/>
      <c r="Z43" s="137"/>
      <c r="AA43" s="137"/>
      <c r="AB43" s="137"/>
      <c r="AC43" s="137"/>
      <c r="AD43" s="137"/>
      <c r="AE43" s="137"/>
      <c r="AF43" s="138"/>
      <c r="AG43" s="75"/>
      <c r="AH43" s="27"/>
    </row>
    <row r="44" spans="1:34" x14ac:dyDescent="0.45">
      <c r="A44" s="27"/>
      <c r="B44" s="32"/>
      <c r="O44" s="71"/>
      <c r="AG44" s="78"/>
      <c r="AH44" s="27"/>
    </row>
    <row r="45" spans="1:34" x14ac:dyDescent="0.45">
      <c r="A45" s="27"/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27"/>
    </row>
    <row r="46" spans="1:34" x14ac:dyDescent="0.4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34" x14ac:dyDescent="0.4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spans="1:34" ht="22.2" x14ac:dyDescent="0.55000000000000004">
      <c r="A48" s="27"/>
      <c r="B48" s="37" t="s">
        <v>491</v>
      </c>
      <c r="C48" s="27"/>
      <c r="D48" s="27"/>
      <c r="E48" s="27"/>
      <c r="F48" s="27"/>
      <c r="G48" s="39" t="s">
        <v>172</v>
      </c>
      <c r="H48" s="39" t="s">
        <v>302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 spans="1:34" ht="4.95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spans="1:34" x14ac:dyDescent="0.45">
      <c r="A50" s="27"/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1"/>
      <c r="AH50" s="27"/>
    </row>
    <row r="51" spans="1:34" x14ac:dyDescent="0.45">
      <c r="A51" s="27"/>
      <c r="B51" s="32"/>
      <c r="C51" s="66" t="s">
        <v>464</v>
      </c>
      <c r="G51" s="66" t="s">
        <v>465</v>
      </c>
      <c r="P51" s="40" t="s">
        <v>466</v>
      </c>
      <c r="Q51" s="41"/>
      <c r="R51" s="40"/>
      <c r="S51" s="41"/>
      <c r="T51" s="42">
        <f>T25</f>
        <v>45576</v>
      </c>
      <c r="U51" s="42">
        <f>$U$25</f>
        <v>45583</v>
      </c>
      <c r="V51" s="43" t="s">
        <v>467</v>
      </c>
      <c r="X51" s="67" t="s">
        <v>468</v>
      </c>
      <c r="AG51" s="33"/>
      <c r="AH51" s="27"/>
    </row>
    <row r="52" spans="1:34" ht="17.55" customHeight="1" x14ac:dyDescent="0.45">
      <c r="A52" s="27"/>
      <c r="B52" s="32"/>
      <c r="P52" s="2" t="s">
        <v>469</v>
      </c>
      <c r="T52" s="2">
        <f>COUNTIFS('2. Status Detalhe Campos'!$H$7:$H$615,'1. Status Resumo'!$P52,'2. Status Detalhe Campos'!$C$7:$C$615,'1. Status Resumo'!$G$48,'2. Status Detalhe Campos'!$D$7:$D$615,"2. Campo")+COUNTIFS('2. Status Detalhe Campos'!$H$7:$H$615,'1. Status Resumo'!$P52,'2. Status Detalhe Campos'!$C$7:$C$615,'1. Status Resumo'!$H$48,'2. Status Detalhe Campos'!$D$7:$D$615,"2. Campo")</f>
        <v>14</v>
      </c>
      <c r="U52" s="2">
        <f>COUNTIFS('2. Status Detalhe Campos'!$G$7:$G$615,'1. Status Resumo'!$P52,'2. Status Detalhe Campos'!$C$7:$C$615,'1. Status Resumo'!$G$48,'2. Status Detalhe Campos'!$D$7:$D$615,"2. Campo")+COUNTIFS('2. Status Detalhe Campos'!$G$7:$G$615,'1. Status Resumo'!$P52,'2. Status Detalhe Campos'!$C$7:$C$615,'1. Status Resumo'!$H$48,'2. Status Detalhe Campos'!$D$7:$D$615,"2. Campo")</f>
        <v>14</v>
      </c>
      <c r="V52" s="2">
        <f>U52-T52</f>
        <v>0</v>
      </c>
      <c r="W52" s="68"/>
      <c r="X52" s="121" t="s">
        <v>538</v>
      </c>
      <c r="Y52" s="122"/>
      <c r="Z52" s="122"/>
      <c r="AA52" s="122"/>
      <c r="AB52" s="122"/>
      <c r="AC52" s="122"/>
      <c r="AD52" s="122"/>
      <c r="AE52" s="122"/>
      <c r="AF52" s="123"/>
      <c r="AG52" s="69" t="s">
        <v>492</v>
      </c>
      <c r="AH52" s="27"/>
    </row>
    <row r="53" spans="1:34" x14ac:dyDescent="0.45">
      <c r="A53" s="27"/>
      <c r="B53" s="32"/>
      <c r="P53" s="2" t="s">
        <v>470</v>
      </c>
      <c r="T53" s="2">
        <f>COUNTIFS('2. Status Detalhe Campos'!$H$7:$H$615,'1. Status Resumo'!$P53,'2. Status Detalhe Campos'!$C$7:$C$615,'1. Status Resumo'!$G$48,'2. Status Detalhe Campos'!$D$7:$D$615,"2. Campo")+COUNTIFS('2. Status Detalhe Campos'!$H$7:$H$615,'1. Status Resumo'!$P53,'2. Status Detalhe Campos'!$C$7:$C$615,'1. Status Resumo'!$H$48,'2. Status Detalhe Campos'!$D$7:$D$615,"2. Campo")</f>
        <v>154</v>
      </c>
      <c r="U53" s="2">
        <f>COUNTIFS('2. Status Detalhe Campos'!$G$7:$G$615,'1. Status Resumo'!$P53,'2. Status Detalhe Campos'!$C$7:$C$615,'1. Status Resumo'!$G$48,'2. Status Detalhe Campos'!$D$7:$D$615,"2. Campo")+COUNTIFS('2. Status Detalhe Campos'!$G$7:$G$615,'1. Status Resumo'!$P53,'2. Status Detalhe Campos'!$C$7:$C$615,'1. Status Resumo'!$H$48,'2. Status Detalhe Campos'!$D$7:$D$615,"2. Campo")</f>
        <v>154</v>
      </c>
      <c r="V53" s="2">
        <f t="shared" ref="V53:V60" si="2">U53-T53</f>
        <v>0</v>
      </c>
      <c r="W53" s="68"/>
      <c r="X53" s="124"/>
      <c r="Y53" s="125"/>
      <c r="Z53" s="125"/>
      <c r="AA53" s="125"/>
      <c r="AB53" s="125"/>
      <c r="AC53" s="125"/>
      <c r="AD53" s="125"/>
      <c r="AE53" s="125"/>
      <c r="AF53" s="126"/>
      <c r="AG53" s="69"/>
      <c r="AH53" s="27"/>
    </row>
    <row r="54" spans="1:34" x14ac:dyDescent="0.45">
      <c r="A54" s="27"/>
      <c r="B54" s="32"/>
      <c r="P54" s="2" t="s">
        <v>532</v>
      </c>
      <c r="T54" s="2">
        <f>COUNTIFS('2. Status Detalhe Campos'!$H$7:$H$615,'1. Status Resumo'!$P54,'2. Status Detalhe Campos'!$C$7:$C$615,'1. Status Resumo'!$G$48,'2. Status Detalhe Campos'!$D$7:$D$615,"2. Campo")+COUNTIFS('2. Status Detalhe Campos'!$H$7:$H$615,'1. Status Resumo'!$P54,'2. Status Detalhe Campos'!$C$7:$C$615,'1. Status Resumo'!$H$48,'2. Status Detalhe Campos'!$D$7:$D$615,"2. Campo")</f>
        <v>0</v>
      </c>
      <c r="U54" s="2">
        <f>COUNTIFS('2. Status Detalhe Campos'!$G$7:$G$615,'1. Status Resumo'!$P54,'2. Status Detalhe Campos'!$C$7:$C$615,'1. Status Resumo'!$G$48,'2. Status Detalhe Campos'!$D$7:$D$615,"2. Campo")+COUNTIFS('2. Status Detalhe Campos'!$G$7:$G$615,'1. Status Resumo'!$P54,'2. Status Detalhe Campos'!$C$7:$C$615,'1. Status Resumo'!$H$48,'2. Status Detalhe Campos'!$D$7:$D$615,"2. Campo")</f>
        <v>0</v>
      </c>
      <c r="V54" s="2">
        <f t="shared" si="2"/>
        <v>0</v>
      </c>
      <c r="W54" s="68"/>
      <c r="X54" s="124"/>
      <c r="Y54" s="125"/>
      <c r="Z54" s="125"/>
      <c r="AA54" s="125"/>
      <c r="AB54" s="125"/>
      <c r="AC54" s="125"/>
      <c r="AD54" s="125"/>
      <c r="AE54" s="125"/>
      <c r="AF54" s="126"/>
      <c r="AG54" s="69"/>
      <c r="AH54" s="27"/>
    </row>
    <row r="55" spans="1:34" x14ac:dyDescent="0.45">
      <c r="A55" s="27"/>
      <c r="B55" s="32"/>
      <c r="D55" s="105" t="str">
        <f>"# "&amp;U61</f>
        <v># 245</v>
      </c>
      <c r="E55" s="105"/>
      <c r="P55" s="2" t="s">
        <v>533</v>
      </c>
      <c r="T55" s="2">
        <f>COUNTIFS('2. Status Detalhe Campos'!$H$7:$H$615,'1. Status Resumo'!$P55,'2. Status Detalhe Campos'!$C$7:$C$615,'1. Status Resumo'!$G$48,'2. Status Detalhe Campos'!$D$7:$D$615,"2. Campo")+COUNTIFS('2. Status Detalhe Campos'!$H$7:$H$615,'1. Status Resumo'!$P55,'2. Status Detalhe Campos'!$C$7:$C$615,'1. Status Resumo'!$H$48,'2. Status Detalhe Campos'!$D$7:$D$615,"2. Campo")</f>
        <v>0</v>
      </c>
      <c r="U55" s="2">
        <f>COUNTIFS('2. Status Detalhe Campos'!$G$7:$G$615,'1. Status Resumo'!$P55,'2. Status Detalhe Campos'!$C$7:$C$615,'1. Status Resumo'!$G$48,'2. Status Detalhe Campos'!$D$7:$D$615,"2. Campo")+COUNTIFS('2. Status Detalhe Campos'!$G$7:$G$615,'1. Status Resumo'!$P55,'2. Status Detalhe Campos'!$C$7:$C$615,'1. Status Resumo'!$H$48,'2. Status Detalhe Campos'!$D$7:$D$615,"2. Campo")</f>
        <v>0</v>
      </c>
      <c r="V55" s="2">
        <f t="shared" ref="V55" si="3">U55-T55</f>
        <v>0</v>
      </c>
      <c r="W55" s="68"/>
      <c r="X55" s="124"/>
      <c r="Y55" s="125"/>
      <c r="Z55" s="125"/>
      <c r="AA55" s="125"/>
      <c r="AB55" s="125"/>
      <c r="AC55" s="125"/>
      <c r="AD55" s="125"/>
      <c r="AE55" s="125"/>
      <c r="AF55" s="126"/>
      <c r="AG55" s="69"/>
      <c r="AH55" s="27"/>
    </row>
    <row r="56" spans="1:34" ht="17.55" customHeight="1" x14ac:dyDescent="0.45">
      <c r="A56" s="27"/>
      <c r="B56" s="32"/>
      <c r="D56" s="105"/>
      <c r="E56" s="105"/>
      <c r="P56" s="2" t="s">
        <v>471</v>
      </c>
      <c r="T56" s="2">
        <f>COUNTIFS('2. Status Detalhe Campos'!$H$7:$H$615,'1. Status Resumo'!$P56,'2. Status Detalhe Campos'!$C$7:$C$615,'1. Status Resumo'!$G$48,'2. Status Detalhe Campos'!$D$7:$D$615,"2. Campo")+COUNTIFS('2. Status Detalhe Campos'!$H$7:$H$615,'1. Status Resumo'!$P56,'2. Status Detalhe Campos'!$C$7:$C$615,'1. Status Resumo'!$H$48,'2. Status Detalhe Campos'!$D$7:$D$615,"2. Campo")</f>
        <v>0</v>
      </c>
      <c r="U56" s="2">
        <f>COUNTIFS('2. Status Detalhe Campos'!$G$7:$G$615,'1. Status Resumo'!$P56,'2. Status Detalhe Campos'!$C$7:$C$615,'1. Status Resumo'!$G$48,'2. Status Detalhe Campos'!$D$7:$D$615,"2. Campo")+COUNTIFS('2. Status Detalhe Campos'!$G$7:$G$615,'1. Status Resumo'!$P56,'2. Status Detalhe Campos'!$C$7:$C$615,'1. Status Resumo'!$H$48,'2. Status Detalhe Campos'!$D$7:$D$615,"2. Campo")</f>
        <v>0</v>
      </c>
      <c r="V56" s="2">
        <f t="shared" si="2"/>
        <v>0</v>
      </c>
      <c r="W56" s="68"/>
      <c r="X56" s="124"/>
      <c r="Y56" s="125"/>
      <c r="Z56" s="125"/>
      <c r="AA56" s="125"/>
      <c r="AB56" s="125"/>
      <c r="AC56" s="125"/>
      <c r="AD56" s="125"/>
      <c r="AE56" s="125"/>
      <c r="AF56" s="126"/>
      <c r="AG56" s="69"/>
      <c r="AH56" s="27"/>
    </row>
    <row r="57" spans="1:34" ht="17.7" customHeight="1" x14ac:dyDescent="0.45">
      <c r="A57" s="27"/>
      <c r="B57" s="32"/>
      <c r="D57" s="105"/>
      <c r="E57" s="105"/>
      <c r="P57" s="2" t="s">
        <v>472</v>
      </c>
      <c r="T57" s="2">
        <f>COUNTIFS('2. Status Detalhe Campos'!$H$7:$H$615,'1. Status Resumo'!$P57,'2. Status Detalhe Campos'!$C$7:$C$615,'1. Status Resumo'!$G$48,'2. Status Detalhe Campos'!$D$7:$D$615,"2. Campo")+COUNTIFS('2. Status Detalhe Campos'!$H$7:$H$615,'1. Status Resumo'!$P57,'2. Status Detalhe Campos'!$C$7:$C$615,'1. Status Resumo'!$H$48,'2. Status Detalhe Campos'!$D$7:$D$615,"2. Campo")</f>
        <v>0</v>
      </c>
      <c r="U57" s="2">
        <f>COUNTIFS('2. Status Detalhe Campos'!$G$7:$G$615,'1. Status Resumo'!$P57,'2. Status Detalhe Campos'!$C$7:$C$615,'1. Status Resumo'!$G$48,'2. Status Detalhe Campos'!$D$7:$D$615,"2. Campo")+COUNTIFS('2. Status Detalhe Campos'!$G$7:$G$615,'1. Status Resumo'!$P57,'2. Status Detalhe Campos'!$C$7:$C$615,'1. Status Resumo'!$H$48,'2. Status Detalhe Campos'!$D$7:$D$615,"2. Campo")</f>
        <v>0</v>
      </c>
      <c r="V57" s="2">
        <f t="shared" si="2"/>
        <v>0</v>
      </c>
      <c r="W57" s="68"/>
      <c r="X57" s="124"/>
      <c r="Y57" s="125"/>
      <c r="Z57" s="125"/>
      <c r="AA57" s="125"/>
      <c r="AB57" s="125"/>
      <c r="AC57" s="125"/>
      <c r="AD57" s="125"/>
      <c r="AE57" s="125"/>
      <c r="AF57" s="126"/>
      <c r="AG57" s="69"/>
      <c r="AH57" s="27"/>
    </row>
    <row r="58" spans="1:34" ht="17.7" customHeight="1" x14ac:dyDescent="0.45">
      <c r="A58" s="27"/>
      <c r="B58" s="32"/>
      <c r="P58" s="2" t="s">
        <v>473</v>
      </c>
      <c r="R58" s="2" t="s">
        <v>474</v>
      </c>
      <c r="T58" s="2">
        <f>COUNTIFS('2. Status Detalhe Campos'!$H$7:$H$615,'1. Status Resumo'!$P58,'2. Status Detalhe Campos'!$C$7:$C$615,'1. Status Resumo'!$G$48,'2. Status Detalhe Campos'!$D$7:$D$615,"2. Campo")+COUNTIFS('2. Status Detalhe Campos'!$H$7:$H$615,'1. Status Resumo'!$P58,'2. Status Detalhe Campos'!$C$7:$C$615,'1. Status Resumo'!$H$48,'2. Status Detalhe Campos'!$D$7:$D$615,"2. Campo")</f>
        <v>2</v>
      </c>
      <c r="U58" s="2">
        <f>COUNTIFS('2. Status Detalhe Campos'!$G$7:$G$615,'1. Status Resumo'!$P58,'2. Status Detalhe Campos'!$C$7:$C$615,'1. Status Resumo'!$G$48,'2. Status Detalhe Campos'!$D$7:$D$615,"2. Campo")+COUNTIFS('2. Status Detalhe Campos'!$G$7:$G$615,'1. Status Resumo'!$P58,'2. Status Detalhe Campos'!$C$7:$C$615,'1. Status Resumo'!$H$48,'2. Status Detalhe Campos'!$D$7:$D$615,"2. Campo")</f>
        <v>2</v>
      </c>
      <c r="V58" s="2">
        <f t="shared" si="2"/>
        <v>0</v>
      </c>
      <c r="W58" s="68"/>
      <c r="X58" s="124"/>
      <c r="Y58" s="125"/>
      <c r="Z58" s="125"/>
      <c r="AA58" s="125"/>
      <c r="AB58" s="125"/>
      <c r="AC58" s="125"/>
      <c r="AD58" s="125"/>
      <c r="AE58" s="125"/>
      <c r="AF58" s="126"/>
      <c r="AG58" s="69"/>
      <c r="AH58" s="27"/>
    </row>
    <row r="59" spans="1:34" x14ac:dyDescent="0.45">
      <c r="A59" s="27"/>
      <c r="B59" s="32"/>
      <c r="P59" s="2" t="s">
        <v>475</v>
      </c>
      <c r="T59" s="2">
        <f>COUNTIFS('2. Status Detalhe Campos'!$H$7:$H$615,'1. Status Resumo'!$P59,'2. Status Detalhe Campos'!$C$7:$C$615,'1. Status Resumo'!$G$48,'2. Status Detalhe Campos'!$D$7:$D$615,"2. Campo")+COUNTIFS('2. Status Detalhe Campos'!$H$7:$H$615,'1. Status Resumo'!$P59,'2. Status Detalhe Campos'!$C$7:$C$615,'1. Status Resumo'!$H$48,'2. Status Detalhe Campos'!$D$7:$D$615,"2. Campo")</f>
        <v>75</v>
      </c>
      <c r="U59" s="2">
        <f>COUNTIFS('2. Status Detalhe Campos'!$G$7:$G$615,'1. Status Resumo'!$P59,'2. Status Detalhe Campos'!$C$7:$C$615,'1. Status Resumo'!$G$48,'2. Status Detalhe Campos'!$D$7:$D$615,"2. Campo")+COUNTIFS('2. Status Detalhe Campos'!$G$7:$G$615,'1. Status Resumo'!$P59,'2. Status Detalhe Campos'!$C$7:$C$615,'1. Status Resumo'!$H$48,'2. Status Detalhe Campos'!$D$7:$D$615,"2. Campo")</f>
        <v>75</v>
      </c>
      <c r="V59" s="2">
        <f t="shared" si="2"/>
        <v>0</v>
      </c>
      <c r="X59" s="124"/>
      <c r="Y59" s="125"/>
      <c r="Z59" s="125"/>
      <c r="AA59" s="125"/>
      <c r="AB59" s="125"/>
      <c r="AC59" s="125"/>
      <c r="AD59" s="125"/>
      <c r="AE59" s="125"/>
      <c r="AF59" s="126"/>
      <c r="AG59" s="69"/>
      <c r="AH59" s="27"/>
    </row>
    <row r="60" spans="1:34" x14ac:dyDescent="0.45">
      <c r="A60" s="27"/>
      <c r="B60" s="32"/>
      <c r="P60" s="2" t="s">
        <v>25</v>
      </c>
      <c r="T60" s="2">
        <f>COUNTIFS('2. Status Detalhe Campos'!$H$7:$H$615,'1. Status Resumo'!$P60,'2. Status Detalhe Campos'!$C$7:$C$615,'1. Status Resumo'!$G$48,'2. Status Detalhe Campos'!$D$7:$D$615,"2. Campo")+COUNTIFS('2. Status Detalhe Campos'!$H$7:$H$615,'1. Status Resumo'!$P60,'2. Status Detalhe Campos'!$C$7:$C$615,'1. Status Resumo'!$H$48,'2. Status Detalhe Campos'!$D$7:$D$615,"2. Campo")</f>
        <v>0</v>
      </c>
      <c r="U60" s="2">
        <f>COUNTIFS('2. Status Detalhe Campos'!$G$7:$G$615,'1. Status Resumo'!$P60,'2. Status Detalhe Campos'!$C$7:$C$615,'1. Status Resumo'!$G$48,'2. Status Detalhe Campos'!$D$7:$D$615,"2. Campo")+COUNTIFS('2. Status Detalhe Campos'!$G$7:$G$615,'1. Status Resumo'!$P60,'2. Status Detalhe Campos'!$C$7:$C$615,'1. Status Resumo'!$H$48,'2. Status Detalhe Campos'!$D$7:$D$615,"2. Campo")</f>
        <v>0</v>
      </c>
      <c r="V60" s="2">
        <f t="shared" si="2"/>
        <v>0</v>
      </c>
      <c r="X60" s="124"/>
      <c r="Y60" s="125"/>
      <c r="Z60" s="125"/>
      <c r="AA60" s="125"/>
      <c r="AB60" s="125"/>
      <c r="AC60" s="125"/>
      <c r="AD60" s="125"/>
      <c r="AE60" s="125"/>
      <c r="AF60" s="126"/>
      <c r="AG60" s="69"/>
      <c r="AH60" s="27"/>
    </row>
    <row r="61" spans="1:34" x14ac:dyDescent="0.45">
      <c r="A61" s="27"/>
      <c r="B61" s="32"/>
      <c r="T61" s="38">
        <f>SUM(T52:T60)</f>
        <v>245</v>
      </c>
      <c r="U61" s="38">
        <f>SUM(U52:U60)</f>
        <v>245</v>
      </c>
      <c r="X61" s="124"/>
      <c r="Y61" s="125"/>
      <c r="Z61" s="125"/>
      <c r="AA61" s="125"/>
      <c r="AB61" s="125"/>
      <c r="AC61" s="125"/>
      <c r="AD61" s="125"/>
      <c r="AE61" s="125"/>
      <c r="AF61" s="126"/>
      <c r="AG61" s="69"/>
      <c r="AH61" s="27"/>
    </row>
    <row r="62" spans="1:34" x14ac:dyDescent="0.45">
      <c r="A62" s="27"/>
      <c r="B62" s="32"/>
      <c r="X62" s="124"/>
      <c r="Y62" s="125"/>
      <c r="Z62" s="125"/>
      <c r="AA62" s="125"/>
      <c r="AB62" s="125"/>
      <c r="AC62" s="125"/>
      <c r="AD62" s="125"/>
      <c r="AE62" s="125"/>
      <c r="AF62" s="126"/>
      <c r="AG62" s="69"/>
      <c r="AH62" s="27"/>
    </row>
    <row r="63" spans="1:34" x14ac:dyDescent="0.45">
      <c r="A63" s="27"/>
      <c r="B63" s="32"/>
      <c r="P63" s="40" t="s">
        <v>493</v>
      </c>
      <c r="Q63" s="41"/>
      <c r="R63" s="41"/>
      <c r="S63" s="41"/>
      <c r="T63" s="41"/>
      <c r="U63" s="41"/>
      <c r="V63" s="41"/>
      <c r="X63" s="124"/>
      <c r="Y63" s="125"/>
      <c r="Z63" s="125"/>
      <c r="AA63" s="125"/>
      <c r="AB63" s="125"/>
      <c r="AC63" s="125"/>
      <c r="AD63" s="125"/>
      <c r="AE63" s="125"/>
      <c r="AF63" s="126"/>
      <c r="AG63" s="69"/>
      <c r="AH63" s="27"/>
    </row>
    <row r="64" spans="1:34" x14ac:dyDescent="0.45">
      <c r="A64" s="27"/>
      <c r="B64" s="32"/>
      <c r="O64" s="71" t="s">
        <v>478</v>
      </c>
      <c r="P64" s="2" t="s">
        <v>209</v>
      </c>
      <c r="T64" s="73" t="s">
        <v>480</v>
      </c>
      <c r="X64" s="124"/>
      <c r="Y64" s="125"/>
      <c r="Z64" s="125"/>
      <c r="AA64" s="125"/>
      <c r="AB64" s="125"/>
      <c r="AC64" s="125"/>
      <c r="AD64" s="125"/>
      <c r="AE64" s="125"/>
      <c r="AF64" s="126"/>
      <c r="AG64" s="69"/>
      <c r="AH64" s="27"/>
    </row>
    <row r="65" spans="1:34" x14ac:dyDescent="0.45">
      <c r="A65" s="27"/>
      <c r="B65" s="32"/>
      <c r="O65" s="71" t="s">
        <v>478</v>
      </c>
      <c r="P65" s="2" t="s">
        <v>208</v>
      </c>
      <c r="T65" s="73" t="s">
        <v>480</v>
      </c>
      <c r="X65" s="124"/>
      <c r="Y65" s="125"/>
      <c r="Z65" s="125"/>
      <c r="AA65" s="125"/>
      <c r="AB65" s="125"/>
      <c r="AC65" s="125"/>
      <c r="AD65" s="125"/>
      <c r="AE65" s="125"/>
      <c r="AF65" s="126"/>
      <c r="AG65" s="69"/>
      <c r="AH65" s="27"/>
    </row>
    <row r="66" spans="1:34" x14ac:dyDescent="0.45">
      <c r="A66" s="27"/>
      <c r="B66" s="32"/>
      <c r="O66" s="71" t="s">
        <v>478</v>
      </c>
      <c r="P66" s="2" t="s">
        <v>206</v>
      </c>
      <c r="T66" s="73" t="s">
        <v>480</v>
      </c>
      <c r="X66" s="124"/>
      <c r="Y66" s="125"/>
      <c r="Z66" s="125"/>
      <c r="AA66" s="125"/>
      <c r="AB66" s="125"/>
      <c r="AC66" s="125"/>
      <c r="AD66" s="125"/>
      <c r="AE66" s="125"/>
      <c r="AF66" s="126"/>
      <c r="AG66" s="69"/>
      <c r="AH66" s="27"/>
    </row>
    <row r="67" spans="1:34" x14ac:dyDescent="0.45">
      <c r="A67" s="27"/>
      <c r="B67" s="32"/>
      <c r="O67" s="71" t="s">
        <v>478</v>
      </c>
      <c r="P67" s="2" t="s">
        <v>205</v>
      </c>
      <c r="T67" s="73" t="s">
        <v>480</v>
      </c>
      <c r="X67" s="124"/>
      <c r="Y67" s="125"/>
      <c r="Z67" s="125"/>
      <c r="AA67" s="125"/>
      <c r="AB67" s="125"/>
      <c r="AC67" s="125"/>
      <c r="AD67" s="125"/>
      <c r="AE67" s="125"/>
      <c r="AF67" s="126"/>
      <c r="AG67" s="69"/>
      <c r="AH67" s="27"/>
    </row>
    <row r="68" spans="1:34" x14ac:dyDescent="0.45">
      <c r="A68" s="27"/>
      <c r="B68" s="32"/>
      <c r="O68" s="71" t="s">
        <v>478</v>
      </c>
      <c r="P68" s="2" t="s">
        <v>210</v>
      </c>
      <c r="T68" s="73" t="s">
        <v>480</v>
      </c>
      <c r="X68" s="124"/>
      <c r="Y68" s="125"/>
      <c r="Z68" s="125"/>
      <c r="AA68" s="125"/>
      <c r="AB68" s="125"/>
      <c r="AC68" s="125"/>
      <c r="AD68" s="125"/>
      <c r="AE68" s="125"/>
      <c r="AF68" s="126"/>
      <c r="AG68" s="69"/>
      <c r="AH68" s="27"/>
    </row>
    <row r="69" spans="1:34" x14ac:dyDescent="0.45">
      <c r="A69" s="27"/>
      <c r="B69" s="32"/>
      <c r="O69" s="71" t="s">
        <v>478</v>
      </c>
      <c r="P69" s="2" t="s">
        <v>211</v>
      </c>
      <c r="T69" s="73" t="s">
        <v>480</v>
      </c>
      <c r="X69" s="124"/>
      <c r="Y69" s="125"/>
      <c r="Z69" s="125"/>
      <c r="AA69" s="125"/>
      <c r="AB69" s="125"/>
      <c r="AC69" s="125"/>
      <c r="AD69" s="125"/>
      <c r="AE69" s="125"/>
      <c r="AF69" s="126"/>
      <c r="AG69" s="69"/>
      <c r="AH69" s="27"/>
    </row>
    <row r="70" spans="1:34" x14ac:dyDescent="0.45">
      <c r="A70" s="27"/>
      <c r="B70" s="32"/>
      <c r="O70" s="71" t="s">
        <v>478</v>
      </c>
      <c r="P70" s="2" t="s">
        <v>212</v>
      </c>
      <c r="T70" s="73" t="s">
        <v>480</v>
      </c>
      <c r="X70" s="124"/>
      <c r="Y70" s="125"/>
      <c r="Z70" s="125"/>
      <c r="AA70" s="125"/>
      <c r="AB70" s="125"/>
      <c r="AC70" s="125"/>
      <c r="AD70" s="125"/>
      <c r="AE70" s="125"/>
      <c r="AF70" s="126"/>
      <c r="AG70" s="69"/>
      <c r="AH70" s="27"/>
    </row>
    <row r="71" spans="1:34" x14ac:dyDescent="0.45">
      <c r="A71" s="27"/>
      <c r="B71" s="32"/>
      <c r="O71" s="71" t="s">
        <v>478</v>
      </c>
      <c r="P71" s="2" t="s">
        <v>207</v>
      </c>
      <c r="T71" s="73" t="s">
        <v>480</v>
      </c>
      <c r="X71" s="124"/>
      <c r="Y71" s="125"/>
      <c r="Z71" s="125"/>
      <c r="AA71" s="125"/>
      <c r="AB71" s="125"/>
      <c r="AC71" s="125"/>
      <c r="AD71" s="125"/>
      <c r="AE71" s="125"/>
      <c r="AF71" s="126"/>
      <c r="AG71" s="69"/>
      <c r="AH71" s="27"/>
    </row>
    <row r="72" spans="1:34" x14ac:dyDescent="0.45">
      <c r="A72" s="27"/>
      <c r="B72" s="32"/>
      <c r="O72" s="71" t="s">
        <v>478</v>
      </c>
      <c r="P72" s="2" t="s">
        <v>174</v>
      </c>
      <c r="T72" s="77" t="s">
        <v>494</v>
      </c>
      <c r="X72" s="124"/>
      <c r="Y72" s="125"/>
      <c r="Z72" s="125"/>
      <c r="AA72" s="125"/>
      <c r="AB72" s="125"/>
      <c r="AC72" s="125"/>
      <c r="AD72" s="125"/>
      <c r="AE72" s="125"/>
      <c r="AF72" s="126"/>
      <c r="AG72" s="69"/>
      <c r="AH72" s="27"/>
    </row>
    <row r="73" spans="1:34" x14ac:dyDescent="0.45">
      <c r="A73" s="27"/>
      <c r="B73" s="32"/>
      <c r="O73" s="71" t="s">
        <v>478</v>
      </c>
      <c r="P73" s="81" t="s">
        <v>495</v>
      </c>
      <c r="T73" s="77" t="s">
        <v>496</v>
      </c>
      <c r="X73" s="124"/>
      <c r="Y73" s="125"/>
      <c r="Z73" s="125"/>
      <c r="AA73" s="125"/>
      <c r="AB73" s="125"/>
      <c r="AC73" s="125"/>
      <c r="AD73" s="125"/>
      <c r="AE73" s="125"/>
      <c r="AF73" s="126"/>
      <c r="AG73" s="69"/>
      <c r="AH73" s="27"/>
    </row>
    <row r="74" spans="1:34" x14ac:dyDescent="0.45">
      <c r="A74" s="27"/>
      <c r="B74" s="32"/>
      <c r="P74" s="70"/>
      <c r="X74" s="124"/>
      <c r="Y74" s="125"/>
      <c r="Z74" s="125"/>
      <c r="AA74" s="125"/>
      <c r="AB74" s="125"/>
      <c r="AC74" s="125"/>
      <c r="AD74" s="125"/>
      <c r="AE74" s="125"/>
      <c r="AF74" s="126"/>
      <c r="AG74" s="69"/>
      <c r="AH74" s="27"/>
    </row>
    <row r="75" spans="1:34" x14ac:dyDescent="0.45">
      <c r="A75" s="27"/>
      <c r="B75" s="32"/>
      <c r="P75" s="40" t="s">
        <v>497</v>
      </c>
      <c r="Q75" s="41"/>
      <c r="R75" s="41"/>
      <c r="S75" s="41"/>
      <c r="T75" s="41"/>
      <c r="U75" s="41"/>
      <c r="V75" s="41"/>
      <c r="X75" s="124"/>
      <c r="Y75" s="125"/>
      <c r="Z75" s="125"/>
      <c r="AA75" s="125"/>
      <c r="AB75" s="125"/>
      <c r="AC75" s="125"/>
      <c r="AD75" s="125"/>
      <c r="AE75" s="125"/>
      <c r="AF75" s="126"/>
      <c r="AG75" s="69"/>
      <c r="AH75" s="27"/>
    </row>
    <row r="76" spans="1:34" x14ac:dyDescent="0.45">
      <c r="A76" s="27"/>
      <c r="B76" s="32"/>
      <c r="O76" s="71" t="s">
        <v>478</v>
      </c>
      <c r="P76" s="2" t="s">
        <v>498</v>
      </c>
      <c r="T76" s="77" t="s">
        <v>494</v>
      </c>
      <c r="X76" s="124"/>
      <c r="Y76" s="125"/>
      <c r="Z76" s="125"/>
      <c r="AA76" s="125"/>
      <c r="AB76" s="125"/>
      <c r="AC76" s="125"/>
      <c r="AD76" s="125"/>
      <c r="AE76" s="125"/>
      <c r="AF76" s="126"/>
      <c r="AG76" s="69"/>
      <c r="AH76" s="27"/>
    </row>
    <row r="77" spans="1:34" x14ac:dyDescent="0.45">
      <c r="A77" s="27"/>
      <c r="B77" s="32"/>
      <c r="O77" s="71" t="s">
        <v>478</v>
      </c>
      <c r="P77" s="2" t="s">
        <v>303</v>
      </c>
      <c r="T77" s="73" t="s">
        <v>499</v>
      </c>
      <c r="X77" s="124"/>
      <c r="Y77" s="125"/>
      <c r="Z77" s="125"/>
      <c r="AA77" s="125"/>
      <c r="AB77" s="125"/>
      <c r="AC77" s="125"/>
      <c r="AD77" s="125"/>
      <c r="AE77" s="125"/>
      <c r="AF77" s="126"/>
      <c r="AG77" s="69"/>
      <c r="AH77" s="27"/>
    </row>
    <row r="78" spans="1:34" x14ac:dyDescent="0.45">
      <c r="A78" s="27"/>
      <c r="B78" s="32"/>
      <c r="O78" s="71" t="s">
        <v>478</v>
      </c>
      <c r="P78" s="2" t="s">
        <v>316</v>
      </c>
      <c r="T78" s="73" t="s">
        <v>480</v>
      </c>
      <c r="X78" s="124"/>
      <c r="Y78" s="125"/>
      <c r="Z78" s="125"/>
      <c r="AA78" s="125"/>
      <c r="AB78" s="125"/>
      <c r="AC78" s="125"/>
      <c r="AD78" s="125"/>
      <c r="AE78" s="125"/>
      <c r="AF78" s="126"/>
      <c r="AG78" s="69"/>
      <c r="AH78" s="27"/>
    </row>
    <row r="79" spans="1:34" x14ac:dyDescent="0.45">
      <c r="A79" s="27"/>
      <c r="B79" s="32"/>
      <c r="O79" s="71" t="s">
        <v>478</v>
      </c>
      <c r="P79" s="2" t="s">
        <v>322</v>
      </c>
      <c r="T79" s="77" t="s">
        <v>494</v>
      </c>
      <c r="X79" s="124"/>
      <c r="Y79" s="125"/>
      <c r="Z79" s="125"/>
      <c r="AA79" s="125"/>
      <c r="AB79" s="125"/>
      <c r="AC79" s="125"/>
      <c r="AD79" s="125"/>
      <c r="AE79" s="125"/>
      <c r="AF79" s="126"/>
      <c r="AG79" s="69"/>
      <c r="AH79" s="27"/>
    </row>
    <row r="80" spans="1:34" x14ac:dyDescent="0.45">
      <c r="A80" s="27"/>
      <c r="B80" s="32"/>
      <c r="O80" s="71"/>
      <c r="T80" s="72"/>
      <c r="X80" s="127"/>
      <c r="Y80" s="128"/>
      <c r="Z80" s="128"/>
      <c r="AA80" s="128"/>
      <c r="AB80" s="128"/>
      <c r="AC80" s="128"/>
      <c r="AD80" s="128"/>
      <c r="AE80" s="128"/>
      <c r="AF80" s="129"/>
      <c r="AG80" s="69"/>
      <c r="AH80" s="27"/>
    </row>
    <row r="81" spans="1:34" x14ac:dyDescent="0.45">
      <c r="A81" s="27"/>
      <c r="B81" s="34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6"/>
      <c r="AH81" s="27"/>
    </row>
    <row r="82" spans="1:34" x14ac:dyDescent="0.4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spans="1:34" ht="22.2" x14ac:dyDescent="0.55000000000000004">
      <c r="A83" s="27"/>
      <c r="B83" s="37" t="s">
        <v>500</v>
      </c>
      <c r="C83" s="27"/>
      <c r="D83" s="27"/>
      <c r="E83" s="27"/>
      <c r="F83" s="27"/>
      <c r="G83" s="39" t="s">
        <v>23</v>
      </c>
      <c r="H83" s="39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spans="1:34" ht="4.95" customHeight="1" x14ac:dyDescent="0.4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spans="1:34" x14ac:dyDescent="0.45">
      <c r="A85" s="27"/>
      <c r="B85" s="29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1"/>
      <c r="AH85" s="27"/>
    </row>
    <row r="86" spans="1:34" x14ac:dyDescent="0.45">
      <c r="A86" s="27"/>
      <c r="B86" s="32"/>
      <c r="C86" s="66" t="s">
        <v>464</v>
      </c>
      <c r="G86" s="66" t="s">
        <v>465</v>
      </c>
      <c r="P86" s="40" t="s">
        <v>466</v>
      </c>
      <c r="Q86" s="41"/>
      <c r="R86" s="40"/>
      <c r="S86" s="41"/>
      <c r="T86" s="42">
        <f>T25</f>
        <v>45576</v>
      </c>
      <c r="U86" s="42">
        <f>$U$25</f>
        <v>45583</v>
      </c>
      <c r="V86" s="43" t="s">
        <v>467</v>
      </c>
      <c r="X86" s="67" t="s">
        <v>468</v>
      </c>
      <c r="AG86" s="33"/>
      <c r="AH86" s="27"/>
    </row>
    <row r="87" spans="1:34" ht="18" customHeight="1" x14ac:dyDescent="0.45">
      <c r="A87" s="27"/>
      <c r="B87" s="32"/>
      <c r="P87" s="2" t="s">
        <v>469</v>
      </c>
      <c r="T87" s="2">
        <f>COUNTIFS(Table4[Status Anterior],'1. Status Resumo'!$P87,Table4[Sub-âmbito],'1. Status Resumo'!$G$83,Table4[Tipo de teste],"2. Campo")</f>
        <v>0</v>
      </c>
      <c r="U87" s="2">
        <f>COUNTIFS(Table4[Status Atual],'1. Status Resumo'!$P87,Table4[Sub-âmbito],'1. Status Resumo'!$G$83,Table4[Tipo de teste],"2. Campo")</f>
        <v>0</v>
      </c>
      <c r="V87" s="2">
        <f>U87-T87</f>
        <v>0</v>
      </c>
      <c r="X87" s="106" t="s">
        <v>542</v>
      </c>
      <c r="Y87" s="107"/>
      <c r="Z87" s="107"/>
      <c r="AA87" s="107"/>
      <c r="AB87" s="107"/>
      <c r="AC87" s="107"/>
      <c r="AD87" s="107"/>
      <c r="AE87" s="107"/>
      <c r="AF87" s="108"/>
      <c r="AG87" s="74"/>
      <c r="AH87" s="27"/>
    </row>
    <row r="88" spans="1:34" x14ac:dyDescent="0.45">
      <c r="A88" s="27"/>
      <c r="B88" s="32"/>
      <c r="P88" s="2" t="s">
        <v>470</v>
      </c>
      <c r="T88" s="2">
        <f>COUNTIFS(Table4[Status Anterior],'1. Status Resumo'!$P88,Table4[Sub-âmbito],'1. Status Resumo'!$G$83,Table4[Tipo de teste],"2. Campo")</f>
        <v>42</v>
      </c>
      <c r="U88" s="2">
        <f>COUNTIFS(Table4[Status Atual],'1. Status Resumo'!$P88,Table4[Sub-âmbito],'1. Status Resumo'!$G$83,Table4[Tipo de teste],"2. Campo")</f>
        <v>51</v>
      </c>
      <c r="V88" s="2">
        <f t="shared" ref="V88:V95" si="4">U88-T88</f>
        <v>9</v>
      </c>
      <c r="X88" s="109"/>
      <c r="Y88" s="110"/>
      <c r="Z88" s="110"/>
      <c r="AA88" s="110"/>
      <c r="AB88" s="110"/>
      <c r="AC88" s="110"/>
      <c r="AD88" s="110"/>
      <c r="AE88" s="110"/>
      <c r="AF88" s="111"/>
      <c r="AG88" s="74"/>
      <c r="AH88" s="27"/>
    </row>
    <row r="89" spans="1:34" x14ac:dyDescent="0.45">
      <c r="A89" s="27"/>
      <c r="B89" s="32"/>
      <c r="P89" s="2" t="s">
        <v>532</v>
      </c>
      <c r="T89" s="2">
        <f>COUNTIFS(Table4[Status Anterior],'1. Status Resumo'!$P89,Table4[Sub-âmbito],'1. Status Resumo'!$G$83,Table4[Tipo de teste],"2. Campo")</f>
        <v>12</v>
      </c>
      <c r="U89" s="2">
        <f>COUNTIFS(Table4[Status Atual],'1. Status Resumo'!$P89,Table4[Sub-âmbito],'1. Status Resumo'!$G$83,Table4[Tipo de teste],"2. Campo")</f>
        <v>2</v>
      </c>
      <c r="V89" s="2">
        <f t="shared" si="4"/>
        <v>-10</v>
      </c>
      <c r="X89" s="109"/>
      <c r="Y89" s="110"/>
      <c r="Z89" s="110"/>
      <c r="AA89" s="110"/>
      <c r="AB89" s="110"/>
      <c r="AC89" s="110"/>
      <c r="AD89" s="110"/>
      <c r="AE89" s="110"/>
      <c r="AF89" s="111"/>
      <c r="AG89" s="74"/>
      <c r="AH89" s="27"/>
    </row>
    <row r="90" spans="1:34" ht="17.55" customHeight="1" x14ac:dyDescent="0.45">
      <c r="A90" s="27"/>
      <c r="B90" s="32"/>
      <c r="D90" s="105" t="str">
        <f>"# "&amp;U96</f>
        <v># 126</v>
      </c>
      <c r="E90" s="105"/>
      <c r="P90" s="2" t="s">
        <v>533</v>
      </c>
      <c r="T90" s="2">
        <f>COUNTIFS(Table4[Status Anterior],'1. Status Resumo'!$P90,Table4[Sub-âmbito],'1. Status Resumo'!$G$83,Table4[Tipo de teste],"2. Campo")</f>
        <v>23</v>
      </c>
      <c r="U90" s="2">
        <f>COUNTIFS(Table4[Status Atual],'1. Status Resumo'!$P90,Table4[Sub-âmbito],'1. Status Resumo'!$G$83,Table4[Tipo de teste],"2. Campo")</f>
        <v>14</v>
      </c>
      <c r="V90" s="2">
        <f t="shared" ref="V90" si="5">U90-T90</f>
        <v>-9</v>
      </c>
      <c r="X90" s="109"/>
      <c r="Y90" s="110"/>
      <c r="Z90" s="110"/>
      <c r="AA90" s="110"/>
      <c r="AB90" s="110"/>
      <c r="AC90" s="110"/>
      <c r="AD90" s="110"/>
      <c r="AE90" s="110"/>
      <c r="AF90" s="111"/>
      <c r="AG90" s="74"/>
      <c r="AH90" s="27"/>
    </row>
    <row r="91" spans="1:34" ht="17.7" customHeight="1" x14ac:dyDescent="0.45">
      <c r="A91" s="27"/>
      <c r="B91" s="32"/>
      <c r="D91" s="105"/>
      <c r="E91" s="105"/>
      <c r="P91" s="2" t="s">
        <v>471</v>
      </c>
      <c r="T91" s="2">
        <f>COUNTIFS(Table4[Status Anterior],'1. Status Resumo'!$P91,Table4[Sub-âmbito],'1. Status Resumo'!$G$83,Table4[Tipo de teste],"2. Campo")</f>
        <v>20</v>
      </c>
      <c r="U91" s="2">
        <f>COUNTIFS(Table4[Status Atual],'1. Status Resumo'!$P91,Table4[Sub-âmbito],'1. Status Resumo'!$G$83,Table4[Tipo de teste],"2. Campo")</f>
        <v>22</v>
      </c>
      <c r="V91" s="2">
        <f t="shared" si="4"/>
        <v>2</v>
      </c>
      <c r="X91" s="109"/>
      <c r="Y91" s="110"/>
      <c r="Z91" s="110"/>
      <c r="AA91" s="110"/>
      <c r="AB91" s="110"/>
      <c r="AC91" s="110"/>
      <c r="AD91" s="110"/>
      <c r="AE91" s="110"/>
      <c r="AF91" s="111"/>
      <c r="AG91" s="74"/>
      <c r="AH91" s="27"/>
    </row>
    <row r="92" spans="1:34" ht="17.7" customHeight="1" x14ac:dyDescent="0.45">
      <c r="A92" s="27"/>
      <c r="B92" s="32"/>
      <c r="D92" s="105"/>
      <c r="E92" s="105"/>
      <c r="P92" s="2" t="s">
        <v>472</v>
      </c>
      <c r="T92" s="2">
        <f>COUNTIFS(Table4[Status Anterior],'1. Status Resumo'!$P92,Table4[Sub-âmbito],'1. Status Resumo'!$G$83,Table4[Tipo de teste],"2. Campo")</f>
        <v>24</v>
      </c>
      <c r="U92" s="2">
        <f>COUNTIFS(Table4[Status Atual],'1. Status Resumo'!$P92,Table4[Sub-âmbito],'1. Status Resumo'!$G$83,Table4[Tipo de teste],"2. Campo")</f>
        <v>18</v>
      </c>
      <c r="V92" s="2">
        <f t="shared" si="4"/>
        <v>-6</v>
      </c>
      <c r="X92" s="109"/>
      <c r="Y92" s="110"/>
      <c r="Z92" s="110"/>
      <c r="AA92" s="110"/>
      <c r="AB92" s="110"/>
      <c r="AC92" s="110"/>
      <c r="AD92" s="110"/>
      <c r="AE92" s="110"/>
      <c r="AF92" s="111"/>
      <c r="AG92" s="74"/>
      <c r="AH92" s="27"/>
    </row>
    <row r="93" spans="1:34" x14ac:dyDescent="0.45">
      <c r="A93" s="27"/>
      <c r="B93" s="32"/>
      <c r="D93" s="105"/>
      <c r="E93" s="105"/>
      <c r="P93" s="2" t="s">
        <v>473</v>
      </c>
      <c r="R93" s="2" t="s">
        <v>474</v>
      </c>
      <c r="T93" s="2">
        <f>COUNTIFS(Table4[Status Anterior],'1. Status Resumo'!$P93,Table4[Sub-âmbito],'1. Status Resumo'!$G$83,Table4[Tipo de teste],"2. Campo")</f>
        <v>0</v>
      </c>
      <c r="U93" s="2">
        <f>COUNTIFS(Table4[Status Atual],'1. Status Resumo'!$P93,Table4[Sub-âmbito],'1. Status Resumo'!$G$83,Table4[Tipo de teste],"2. Campo")</f>
        <v>1</v>
      </c>
      <c r="V93" s="2">
        <f t="shared" si="4"/>
        <v>1</v>
      </c>
      <c r="X93" s="109"/>
      <c r="Y93" s="110"/>
      <c r="Z93" s="110"/>
      <c r="AA93" s="110"/>
      <c r="AB93" s="110"/>
      <c r="AC93" s="110"/>
      <c r="AD93" s="110"/>
      <c r="AE93" s="110"/>
      <c r="AF93" s="111"/>
      <c r="AG93" s="74"/>
      <c r="AH93" s="27"/>
    </row>
    <row r="94" spans="1:34" x14ac:dyDescent="0.45">
      <c r="A94" s="27"/>
      <c r="B94" s="32"/>
      <c r="D94" s="105"/>
      <c r="E94" s="105"/>
      <c r="P94" s="2" t="s">
        <v>475</v>
      </c>
      <c r="T94" s="2">
        <f>COUNTIFS(Table4[Status Anterior],'1. Status Resumo'!$P94,Table4[Sub-âmbito],'1. Status Resumo'!$G$83,Table4[Tipo de teste],"2. Campo")</f>
        <v>0</v>
      </c>
      <c r="U94" s="2">
        <f>COUNTIFS(Table4[Status Atual],'1. Status Resumo'!$P94,Table4[Sub-âmbito],'1. Status Resumo'!$G$83,Table4[Tipo de teste],"2. Campo")</f>
        <v>13</v>
      </c>
      <c r="V94" s="2">
        <f t="shared" si="4"/>
        <v>13</v>
      </c>
      <c r="X94" s="109"/>
      <c r="Y94" s="110"/>
      <c r="Z94" s="110"/>
      <c r="AA94" s="110"/>
      <c r="AB94" s="110"/>
      <c r="AC94" s="110"/>
      <c r="AD94" s="110"/>
      <c r="AE94" s="110"/>
      <c r="AF94" s="111"/>
      <c r="AG94" s="74"/>
      <c r="AH94" s="27"/>
    </row>
    <row r="95" spans="1:34" x14ac:dyDescent="0.45">
      <c r="A95" s="27"/>
      <c r="B95" s="32"/>
      <c r="P95" s="2" t="s">
        <v>25</v>
      </c>
      <c r="T95" s="2">
        <f>COUNTIFS(Table4[Status Anterior],'1. Status Resumo'!$P95,Table4[Sub-âmbito],'1. Status Resumo'!$G$83,Table4[Tipo de teste],"2. Campo")</f>
        <v>5</v>
      </c>
      <c r="U95" s="2">
        <f>COUNTIFS(Table4[Status Atual],'1. Status Resumo'!$P95,Table4[Sub-âmbito],'1. Status Resumo'!$G$83,Table4[Tipo de teste],"2. Campo")</f>
        <v>5</v>
      </c>
      <c r="V95" s="2">
        <f t="shared" si="4"/>
        <v>0</v>
      </c>
      <c r="X95" s="109"/>
      <c r="Y95" s="110"/>
      <c r="Z95" s="110"/>
      <c r="AA95" s="110"/>
      <c r="AB95" s="110"/>
      <c r="AC95" s="110"/>
      <c r="AD95" s="110"/>
      <c r="AE95" s="110"/>
      <c r="AF95" s="111"/>
      <c r="AG95" s="74"/>
      <c r="AH95" s="27"/>
    </row>
    <row r="96" spans="1:34" x14ac:dyDescent="0.45">
      <c r="A96" s="27"/>
      <c r="B96" s="32"/>
      <c r="T96" s="38">
        <f>SUM(T87:T95)</f>
        <v>126</v>
      </c>
      <c r="U96" s="38">
        <f>SUM(U87:U95)</f>
        <v>126</v>
      </c>
      <c r="X96" s="109"/>
      <c r="Y96" s="110"/>
      <c r="Z96" s="110"/>
      <c r="AA96" s="110"/>
      <c r="AB96" s="110"/>
      <c r="AC96" s="110"/>
      <c r="AD96" s="110"/>
      <c r="AE96" s="110"/>
      <c r="AF96" s="111"/>
      <c r="AG96" s="74"/>
      <c r="AH96" s="27"/>
    </row>
    <row r="97" spans="1:34" x14ac:dyDescent="0.45">
      <c r="A97" s="27"/>
      <c r="B97" s="32"/>
      <c r="T97" s="38"/>
      <c r="U97" s="38"/>
      <c r="X97" s="109"/>
      <c r="Y97" s="110"/>
      <c r="Z97" s="110"/>
      <c r="AA97" s="110"/>
      <c r="AB97" s="110"/>
      <c r="AC97" s="110"/>
      <c r="AD97" s="110"/>
      <c r="AE97" s="110"/>
      <c r="AF97" s="111"/>
      <c r="AG97" s="74"/>
      <c r="AH97" s="27"/>
    </row>
    <row r="98" spans="1:34" x14ac:dyDescent="0.45">
      <c r="A98" s="27"/>
      <c r="B98" s="32"/>
      <c r="P98" s="40" t="s">
        <v>476</v>
      </c>
      <c r="Q98" s="41"/>
      <c r="R98" s="41"/>
      <c r="S98" s="41"/>
      <c r="T98" s="41"/>
      <c r="U98" s="41"/>
      <c r="V98" s="41"/>
      <c r="X98" s="109"/>
      <c r="Y98" s="110"/>
      <c r="Z98" s="110"/>
      <c r="AA98" s="110"/>
      <c r="AB98" s="110"/>
      <c r="AC98" s="110"/>
      <c r="AD98" s="110"/>
      <c r="AE98" s="110"/>
      <c r="AF98" s="111"/>
      <c r="AG98" s="74"/>
      <c r="AH98" s="27"/>
    </row>
    <row r="99" spans="1:34" x14ac:dyDescent="0.45">
      <c r="A99" s="27"/>
      <c r="B99" s="32"/>
      <c r="O99" s="71" t="s">
        <v>478</v>
      </c>
      <c r="P99" s="2" t="s">
        <v>366</v>
      </c>
      <c r="T99" s="103" t="s">
        <v>537</v>
      </c>
      <c r="X99" s="109"/>
      <c r="Y99" s="110"/>
      <c r="Z99" s="110"/>
      <c r="AA99" s="110"/>
      <c r="AB99" s="110"/>
      <c r="AC99" s="110"/>
      <c r="AD99" s="110"/>
      <c r="AE99" s="110"/>
      <c r="AF99" s="111"/>
      <c r="AG99" s="74"/>
      <c r="AH99" s="27"/>
    </row>
    <row r="100" spans="1:34" x14ac:dyDescent="0.45">
      <c r="A100" s="27"/>
      <c r="B100" s="32"/>
      <c r="O100" s="71" t="s">
        <v>478</v>
      </c>
      <c r="P100" s="2" t="s">
        <v>323</v>
      </c>
      <c r="T100" s="103" t="s">
        <v>537</v>
      </c>
      <c r="X100" s="109"/>
      <c r="Y100" s="110"/>
      <c r="Z100" s="110"/>
      <c r="AA100" s="110"/>
      <c r="AB100" s="110"/>
      <c r="AC100" s="110"/>
      <c r="AD100" s="110"/>
      <c r="AE100" s="110"/>
      <c r="AF100" s="111"/>
      <c r="AG100" s="74"/>
      <c r="AH100" s="27"/>
    </row>
    <row r="101" spans="1:34" x14ac:dyDescent="0.45">
      <c r="A101" s="27"/>
      <c r="B101" s="32"/>
      <c r="O101" s="71" t="s">
        <v>478</v>
      </c>
      <c r="P101" s="2" t="s">
        <v>355</v>
      </c>
      <c r="T101" s="103" t="s">
        <v>537</v>
      </c>
      <c r="X101" s="109"/>
      <c r="Y101" s="110"/>
      <c r="Z101" s="110"/>
      <c r="AA101" s="110"/>
      <c r="AB101" s="110"/>
      <c r="AC101" s="110"/>
      <c r="AD101" s="110"/>
      <c r="AE101" s="110"/>
      <c r="AF101" s="111"/>
      <c r="AG101" s="74"/>
      <c r="AH101" s="27"/>
    </row>
    <row r="102" spans="1:34" x14ac:dyDescent="0.45">
      <c r="A102" s="27"/>
      <c r="B102" s="32"/>
      <c r="O102" s="71" t="s">
        <v>478</v>
      </c>
      <c r="P102" s="2" t="s">
        <v>425</v>
      </c>
      <c r="T102" s="73" t="s">
        <v>480</v>
      </c>
      <c r="X102" s="109"/>
      <c r="Y102" s="110"/>
      <c r="Z102" s="110"/>
      <c r="AA102" s="110"/>
      <c r="AB102" s="110"/>
      <c r="AC102" s="110"/>
      <c r="AD102" s="110"/>
      <c r="AE102" s="110"/>
      <c r="AF102" s="111"/>
      <c r="AG102" s="74"/>
      <c r="AH102" s="27"/>
    </row>
    <row r="103" spans="1:34" x14ac:dyDescent="0.45">
      <c r="A103" s="27"/>
      <c r="B103" s="32"/>
      <c r="O103" s="71" t="s">
        <v>478</v>
      </c>
      <c r="P103" s="2" t="s">
        <v>427</v>
      </c>
      <c r="T103" s="73" t="s">
        <v>480</v>
      </c>
      <c r="X103" s="109"/>
      <c r="Y103" s="110"/>
      <c r="Z103" s="110"/>
      <c r="AA103" s="110"/>
      <c r="AB103" s="110"/>
      <c r="AC103" s="110"/>
      <c r="AD103" s="110"/>
      <c r="AE103" s="110"/>
      <c r="AF103" s="111"/>
      <c r="AG103" s="74"/>
      <c r="AH103" s="27"/>
    </row>
    <row r="104" spans="1:34" x14ac:dyDescent="0.45">
      <c r="A104" s="27"/>
      <c r="B104" s="32"/>
      <c r="O104" s="71" t="s">
        <v>478</v>
      </c>
      <c r="P104" s="2" t="s">
        <v>376</v>
      </c>
      <c r="T104" s="102" t="s">
        <v>535</v>
      </c>
      <c r="X104" s="109"/>
      <c r="Y104" s="110"/>
      <c r="Z104" s="110"/>
      <c r="AA104" s="110"/>
      <c r="AB104" s="110"/>
      <c r="AC104" s="110"/>
      <c r="AD104" s="110"/>
      <c r="AE104" s="110"/>
      <c r="AF104" s="111"/>
      <c r="AG104" s="74"/>
      <c r="AH104" s="27"/>
    </row>
    <row r="105" spans="1:34" x14ac:dyDescent="0.45">
      <c r="A105" s="27"/>
      <c r="B105" s="32"/>
      <c r="O105" s="71" t="s">
        <v>478</v>
      </c>
      <c r="P105" s="2" t="s">
        <v>379</v>
      </c>
      <c r="T105" s="73" t="s">
        <v>480</v>
      </c>
      <c r="X105" s="30"/>
      <c r="Y105" s="30"/>
      <c r="Z105" s="30"/>
      <c r="AA105" s="30"/>
      <c r="AB105" s="30"/>
      <c r="AC105" s="30"/>
      <c r="AD105" s="30"/>
      <c r="AE105" s="30"/>
      <c r="AF105" s="30"/>
      <c r="AG105" s="33"/>
      <c r="AH105" s="27"/>
    </row>
    <row r="106" spans="1:34" x14ac:dyDescent="0.45">
      <c r="A106" s="27"/>
      <c r="B106" s="34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6"/>
      <c r="AH106" s="27"/>
    </row>
    <row r="107" spans="1:34" x14ac:dyDescent="0.4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</row>
    <row r="108" spans="1:34" ht="22.2" hidden="1" customHeight="1" x14ac:dyDescent="0.4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 spans="1:34" ht="4.95" hidden="1" customHeight="1" x14ac:dyDescent="0.4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</row>
    <row r="110" spans="1:34" ht="17.55" hidden="1" customHeight="1" x14ac:dyDescent="0.4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</row>
    <row r="111" spans="1:34" ht="17.55" hidden="1" customHeight="1" x14ac:dyDescent="0.4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</row>
    <row r="112" spans="1:34" ht="17.55" hidden="1" customHeight="1" x14ac:dyDescent="0.4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</row>
    <row r="113" spans="1:34" ht="17.55" hidden="1" customHeight="1" x14ac:dyDescent="0.4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 spans="1:34" ht="17.55" hidden="1" customHeight="1" x14ac:dyDescent="0.4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 spans="1:34" ht="17.7" hidden="1" customHeight="1" x14ac:dyDescent="0.4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 spans="1:34" ht="17.7" hidden="1" customHeight="1" x14ac:dyDescent="0.4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 spans="1:34" ht="17.55" hidden="1" customHeight="1" x14ac:dyDescent="0.4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 spans="1:34" ht="17.55" hidden="1" customHeight="1" x14ac:dyDescent="0.4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 spans="1:34" ht="17.55" hidden="1" customHeight="1" x14ac:dyDescent="0.4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spans="1:34" ht="17.55" hidden="1" customHeight="1" x14ac:dyDescent="0.4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spans="1:34" ht="17.55" hidden="1" customHeight="1" x14ac:dyDescent="0.4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</row>
    <row r="122" spans="1:34" ht="17.55" hidden="1" customHeight="1" x14ac:dyDescent="0.4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</row>
    <row r="123" spans="1:34" x14ac:dyDescent="0.4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 spans="1:34" x14ac:dyDescent="0.4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 spans="1:34" ht="17.55" hidden="1" customHeight="1" x14ac:dyDescent="0.4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 spans="1:34" ht="17.55" hidden="1" customHeight="1" x14ac:dyDescent="0.4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 spans="1:34" ht="17.55" hidden="1" customHeight="1" x14ac:dyDescent="0.4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 spans="1:34" ht="17.55" hidden="1" customHeight="1" x14ac:dyDescent="0.4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</row>
    <row r="129" spans="1:34" ht="17.55" hidden="1" customHeight="1" x14ac:dyDescent="0.4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</row>
    <row r="130" spans="1:34" ht="17.55" hidden="1" customHeight="1" x14ac:dyDescent="0.4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</row>
    <row r="131" spans="1:34" ht="17.55" hidden="1" customHeight="1" x14ac:dyDescent="0.4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</row>
    <row r="132" spans="1:34" ht="17.55" hidden="1" customHeight="1" x14ac:dyDescent="0.4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 spans="1:34" ht="17.55" hidden="1" customHeight="1" x14ac:dyDescent="0.4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</row>
    <row r="134" spans="1:34" ht="17.55" hidden="1" customHeight="1" x14ac:dyDescent="0.4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</row>
    <row r="135" spans="1:34" ht="17.55" hidden="1" customHeight="1" x14ac:dyDescent="0.4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 spans="1:34" s="99" customFormat="1" x14ac:dyDescent="0.4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 spans="1:34" s="99" customFormat="1" hidden="1" x14ac:dyDescent="0.45"/>
    <row r="138" spans="1:34" s="99" customFormat="1" hidden="1" x14ac:dyDescent="0.45"/>
    <row r="139" spans="1:34" s="99" customFormat="1" hidden="1" x14ac:dyDescent="0.45"/>
    <row r="140" spans="1:34" s="99" customFormat="1" hidden="1" x14ac:dyDescent="0.45"/>
  </sheetData>
  <sortState xmlns:xlrd2="http://schemas.microsoft.com/office/spreadsheetml/2017/richdata2" ref="R21:R28">
    <sortCondition ref="R21:R28"/>
  </sortState>
  <mergeCells count="7">
    <mergeCell ref="D90:E94"/>
    <mergeCell ref="X87:AF104"/>
    <mergeCell ref="B8:AG19"/>
    <mergeCell ref="X52:AF80"/>
    <mergeCell ref="X26:AF43"/>
    <mergeCell ref="D55:E57"/>
    <mergeCell ref="D29:E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615"/>
  <sheetViews>
    <sheetView showGridLines="0" zoomScale="70" zoomScaleNormal="7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0" defaultRowHeight="13.8" x14ac:dyDescent="0.25"/>
  <cols>
    <col min="1" max="1" width="3.69921875" customWidth="1"/>
    <col min="2" max="2" width="8.19921875" customWidth="1"/>
    <col min="3" max="3" width="19.69921875" bestFit="1" customWidth="1"/>
    <col min="4" max="4" width="12.5" customWidth="1"/>
    <col min="5" max="5" width="35.69921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3" width="22" customWidth="1"/>
    <col min="14" max="14" width="3.69921875" customWidth="1"/>
    <col min="15" max="16384" width="8.69921875" hidden="1"/>
  </cols>
  <sheetData>
    <row r="1" spans="1:14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4.95" customHeight="1" x14ac:dyDescent="0.4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6" spans="1:14" ht="17.399999999999999" x14ac:dyDescent="0.25">
      <c r="B6" s="4" t="s">
        <v>6</v>
      </c>
      <c r="C6" s="44" t="s">
        <v>7</v>
      </c>
      <c r="D6" s="44" t="s">
        <v>8</v>
      </c>
      <c r="E6" s="44" t="s">
        <v>9</v>
      </c>
      <c r="F6" s="44" t="s">
        <v>10</v>
      </c>
      <c r="G6" s="44" t="s">
        <v>501</v>
      </c>
      <c r="H6" s="44" t="s">
        <v>502</v>
      </c>
      <c r="I6" s="53" t="s">
        <v>20</v>
      </c>
      <c r="J6" s="53" t="s">
        <v>503</v>
      </c>
      <c r="K6" s="53" t="s">
        <v>504</v>
      </c>
      <c r="L6" s="63" t="s">
        <v>505</v>
      </c>
      <c r="M6" s="100" t="s">
        <v>506</v>
      </c>
    </row>
    <row r="7" spans="1:14" ht="16.2" x14ac:dyDescent="0.4">
      <c r="A7" s="3" t="str">
        <f>E7&amp;F7</f>
        <v>ENERGY_CERTIFICATE_EST_INPUTn.a.</v>
      </c>
      <c r="B7" s="52" t="s">
        <v>23</v>
      </c>
      <c r="C7" s="49" t="s">
        <v>31</v>
      </c>
      <c r="D7" s="45" t="s">
        <v>33</v>
      </c>
      <c r="E7" s="46" t="s">
        <v>34</v>
      </c>
      <c r="F7" s="45" t="s">
        <v>35</v>
      </c>
      <c r="G7" s="47" t="s">
        <v>475</v>
      </c>
      <c r="H7" s="47" t="s">
        <v>475</v>
      </c>
      <c r="I7" s="54" t="s">
        <v>534</v>
      </c>
      <c r="J7" s="64">
        <v>45510</v>
      </c>
      <c r="K7" s="64">
        <v>45624</v>
      </c>
      <c r="L7" s="64" t="s">
        <v>549</v>
      </c>
      <c r="M7" s="101"/>
    </row>
    <row r="8" spans="1:14" ht="16.2" x14ac:dyDescent="0.4">
      <c r="A8" s="3" t="str">
        <f t="shared" ref="A8:A71" si="0">E8&amp;F8</f>
        <v>ENERGY_CERTIFICATE_EST_INPUTPROPERTY_BANK_ID</v>
      </c>
      <c r="B8" s="52" t="s">
        <v>23</v>
      </c>
      <c r="C8" s="49" t="s">
        <v>31</v>
      </c>
      <c r="D8" s="45" t="s">
        <v>36</v>
      </c>
      <c r="E8" s="46" t="s">
        <v>34</v>
      </c>
      <c r="F8" s="45" t="s">
        <v>37</v>
      </c>
      <c r="G8" s="47" t="s">
        <v>475</v>
      </c>
      <c r="H8" s="47" t="s">
        <v>475</v>
      </c>
      <c r="I8" s="54" t="s">
        <v>534</v>
      </c>
      <c r="J8" s="64">
        <v>45510</v>
      </c>
      <c r="K8" s="64">
        <v>45624</v>
      </c>
      <c r="L8" s="64" t="s">
        <v>549</v>
      </c>
      <c r="M8" s="64"/>
    </row>
    <row r="9" spans="1:14" ht="16.2" x14ac:dyDescent="0.4">
      <c r="A9" s="3" t="str">
        <f t="shared" si="0"/>
        <v>ENERGY_CERTIFICATE_EST_INPUTENCRYPTED_KEY</v>
      </c>
      <c r="B9" s="52" t="s">
        <v>23</v>
      </c>
      <c r="C9" s="49" t="s">
        <v>31</v>
      </c>
      <c r="D9" s="45" t="s">
        <v>36</v>
      </c>
      <c r="E9" s="46" t="s">
        <v>34</v>
      </c>
      <c r="F9" s="45" t="s">
        <v>38</v>
      </c>
      <c r="G9" s="47" t="s">
        <v>475</v>
      </c>
      <c r="H9" s="47" t="s">
        <v>475</v>
      </c>
      <c r="I9" s="54" t="s">
        <v>534</v>
      </c>
      <c r="J9" s="64">
        <v>45510</v>
      </c>
      <c r="K9" s="64">
        <v>45624</v>
      </c>
      <c r="L9" s="64" t="s">
        <v>549</v>
      </c>
      <c r="M9" s="64"/>
    </row>
    <row r="10" spans="1:14" ht="16.2" x14ac:dyDescent="0.4">
      <c r="A10" s="3" t="str">
        <f t="shared" si="0"/>
        <v>ENERGY_CERTIFICATE_EST_INPUTPROPERTY_BRANCH_CODE</v>
      </c>
      <c r="B10" s="52" t="s">
        <v>23</v>
      </c>
      <c r="C10" s="49" t="s">
        <v>31</v>
      </c>
      <c r="D10" s="45" t="s">
        <v>36</v>
      </c>
      <c r="E10" s="46" t="s">
        <v>34</v>
      </c>
      <c r="F10" s="45" t="s">
        <v>39</v>
      </c>
      <c r="G10" s="47" t="s">
        <v>475</v>
      </c>
      <c r="H10" s="47" t="s">
        <v>475</v>
      </c>
      <c r="I10" s="54" t="s">
        <v>534</v>
      </c>
      <c r="J10" s="64">
        <v>45510</v>
      </c>
      <c r="K10" s="64">
        <v>45624</v>
      </c>
      <c r="L10" s="64" t="s">
        <v>549</v>
      </c>
      <c r="M10" s="64"/>
    </row>
    <row r="11" spans="1:14" ht="16.2" x14ac:dyDescent="0.4">
      <c r="A11" s="3" t="str">
        <f t="shared" si="0"/>
        <v>ENERGY_CERTIFICATE_EST_INPUTPROPERTY_CONTRACT_ID</v>
      </c>
      <c r="B11" s="52" t="s">
        <v>23</v>
      </c>
      <c r="C11" s="49" t="s">
        <v>31</v>
      </c>
      <c r="D11" s="45" t="s">
        <v>36</v>
      </c>
      <c r="E11" s="46" t="s">
        <v>34</v>
      </c>
      <c r="F11" s="45" t="s">
        <v>40</v>
      </c>
      <c r="G11" s="47" t="s">
        <v>475</v>
      </c>
      <c r="H11" s="47" t="s">
        <v>475</v>
      </c>
      <c r="I11" s="54" t="s">
        <v>534</v>
      </c>
      <c r="J11" s="64">
        <v>45510</v>
      </c>
      <c r="K11" s="64">
        <v>45624</v>
      </c>
      <c r="L11" s="64" t="s">
        <v>549</v>
      </c>
      <c r="M11" s="64"/>
    </row>
    <row r="12" spans="1:14" ht="16.2" x14ac:dyDescent="0.4">
      <c r="A12" s="3" t="str">
        <f t="shared" si="0"/>
        <v>ENERGY_CERTIFICATE_EST_INPUTPROPERTY_REFERENCE_CODE</v>
      </c>
      <c r="B12" s="52" t="s">
        <v>23</v>
      </c>
      <c r="C12" s="49" t="s">
        <v>31</v>
      </c>
      <c r="D12" s="45" t="s">
        <v>36</v>
      </c>
      <c r="E12" s="46" t="s">
        <v>34</v>
      </c>
      <c r="F12" s="45" t="s">
        <v>41</v>
      </c>
      <c r="G12" s="47" t="s">
        <v>475</v>
      </c>
      <c r="H12" s="47" t="s">
        <v>475</v>
      </c>
      <c r="I12" s="54" t="s">
        <v>534</v>
      </c>
      <c r="J12" s="64">
        <v>45510</v>
      </c>
      <c r="K12" s="64">
        <v>45624</v>
      </c>
      <c r="L12" s="64" t="s">
        <v>549</v>
      </c>
      <c r="M12" s="64"/>
    </row>
    <row r="13" spans="1:14" ht="16.2" x14ac:dyDescent="0.4">
      <c r="A13" s="3" t="str">
        <f t="shared" si="0"/>
        <v>ENERGY_CERTIFICATE_EST_INPUTDATA_EXTRACTION_DATE</v>
      </c>
      <c r="B13" s="52" t="s">
        <v>23</v>
      </c>
      <c r="C13" s="49" t="s">
        <v>31</v>
      </c>
      <c r="D13" s="45" t="s">
        <v>36</v>
      </c>
      <c r="E13" s="46" t="s">
        <v>34</v>
      </c>
      <c r="F13" s="45" t="s">
        <v>42</v>
      </c>
      <c r="G13" s="47" t="s">
        <v>475</v>
      </c>
      <c r="H13" s="47" t="s">
        <v>475</v>
      </c>
      <c r="I13" s="54" t="s">
        <v>534</v>
      </c>
      <c r="J13" s="64">
        <v>45510</v>
      </c>
      <c r="K13" s="64">
        <v>45624</v>
      </c>
      <c r="L13" s="64" t="s">
        <v>549</v>
      </c>
      <c r="M13" s="64"/>
    </row>
    <row r="14" spans="1:14" ht="16.2" x14ac:dyDescent="0.4">
      <c r="A14" s="3" t="str">
        <f t="shared" si="0"/>
        <v>ENERGY_CERTIFICATE_EST_INPUTEPC</v>
      </c>
      <c r="B14" s="52" t="s">
        <v>23</v>
      </c>
      <c r="C14" s="49" t="s">
        <v>31</v>
      </c>
      <c r="D14" s="45" t="s">
        <v>36</v>
      </c>
      <c r="E14" s="46" t="s">
        <v>34</v>
      </c>
      <c r="F14" s="45" t="s">
        <v>43</v>
      </c>
      <c r="G14" s="47" t="s">
        <v>475</v>
      </c>
      <c r="H14" s="47" t="s">
        <v>475</v>
      </c>
      <c r="I14" s="54" t="s">
        <v>534</v>
      </c>
      <c r="J14" s="64">
        <v>45510</v>
      </c>
      <c r="K14" s="64">
        <v>45624</v>
      </c>
      <c r="L14" s="64" t="s">
        <v>549</v>
      </c>
      <c r="M14" s="64"/>
    </row>
    <row r="15" spans="1:14" ht="16.2" x14ac:dyDescent="0.4">
      <c r="A15" s="3" t="str">
        <f t="shared" si="0"/>
        <v>ENERGY_CERTIFICATE_EST_INPUTDATA_PROVIDER</v>
      </c>
      <c r="B15" s="52" t="s">
        <v>23</v>
      </c>
      <c r="C15" s="49" t="s">
        <v>31</v>
      </c>
      <c r="D15" s="45" t="s">
        <v>36</v>
      </c>
      <c r="E15" s="46" t="s">
        <v>34</v>
      </c>
      <c r="F15" s="45" t="s">
        <v>44</v>
      </c>
      <c r="G15" s="47" t="s">
        <v>475</v>
      </c>
      <c r="H15" s="47" t="s">
        <v>475</v>
      </c>
      <c r="I15" s="54" t="s">
        <v>534</v>
      </c>
      <c r="J15" s="64">
        <v>45510</v>
      </c>
      <c r="K15" s="64">
        <v>45624</v>
      </c>
      <c r="L15" s="64" t="s">
        <v>549</v>
      </c>
      <c r="M15" s="64"/>
    </row>
    <row r="16" spans="1:14" ht="16.2" x14ac:dyDescent="0.4">
      <c r="A16" s="3" t="str">
        <f t="shared" si="0"/>
        <v>ENERGY_CERTIFICATE_EST_INPUTACTUAL_VALUE_IND</v>
      </c>
      <c r="B16" s="52" t="s">
        <v>23</v>
      </c>
      <c r="C16" s="49" t="s">
        <v>31</v>
      </c>
      <c r="D16" s="45" t="s">
        <v>36</v>
      </c>
      <c r="E16" s="46" t="s">
        <v>34</v>
      </c>
      <c r="F16" s="45" t="s">
        <v>45</v>
      </c>
      <c r="G16" s="47" t="s">
        <v>475</v>
      </c>
      <c r="H16" s="47" t="s">
        <v>475</v>
      </c>
      <c r="I16" s="54" t="s">
        <v>534</v>
      </c>
      <c r="J16" s="64">
        <v>45510</v>
      </c>
      <c r="K16" s="64">
        <v>45624</v>
      </c>
      <c r="L16" s="64" t="s">
        <v>549</v>
      </c>
      <c r="M16" s="64"/>
    </row>
    <row r="17" spans="1:13" ht="16.2" x14ac:dyDescent="0.4">
      <c r="A17" s="3" t="str">
        <f t="shared" si="0"/>
        <v>ENERGY_CERTIFICATE_EST_INPUTQUALITY_SCORE</v>
      </c>
      <c r="B17" s="52" t="s">
        <v>23</v>
      </c>
      <c r="C17" s="49" t="s">
        <v>31</v>
      </c>
      <c r="D17" s="45" t="s">
        <v>36</v>
      </c>
      <c r="E17" s="46" t="s">
        <v>34</v>
      </c>
      <c r="F17" s="45" t="s">
        <v>46</v>
      </c>
      <c r="G17" s="47" t="s">
        <v>475</v>
      </c>
      <c r="H17" s="47" t="s">
        <v>475</v>
      </c>
      <c r="I17" s="54" t="s">
        <v>534</v>
      </c>
      <c r="J17" s="64">
        <v>45510</v>
      </c>
      <c r="K17" s="64">
        <v>45624</v>
      </c>
      <c r="L17" s="64" t="s">
        <v>549</v>
      </c>
      <c r="M17" s="64"/>
    </row>
    <row r="18" spans="1:13" ht="16.2" x14ac:dyDescent="0.4">
      <c r="A18" s="3" t="str">
        <f t="shared" si="0"/>
        <v>ENERGY_CERTIFICATE_EST_INPUTENERGY_CONSUMPTION_VALUE_YEAR</v>
      </c>
      <c r="B18" s="52" t="s">
        <v>23</v>
      </c>
      <c r="C18" s="49" t="s">
        <v>31</v>
      </c>
      <c r="D18" s="45" t="s">
        <v>36</v>
      </c>
      <c r="E18" s="46" t="s">
        <v>34</v>
      </c>
      <c r="F18" s="45" t="s">
        <v>47</v>
      </c>
      <c r="G18" s="47" t="s">
        <v>475</v>
      </c>
      <c r="H18" s="47" t="s">
        <v>475</v>
      </c>
      <c r="I18" s="54" t="s">
        <v>534</v>
      </c>
      <c r="J18" s="64">
        <v>45510</v>
      </c>
      <c r="K18" s="64">
        <v>45624</v>
      </c>
      <c r="L18" s="64" t="s">
        <v>549</v>
      </c>
      <c r="M18" s="64"/>
    </row>
    <row r="19" spans="1:13" ht="16.2" x14ac:dyDescent="0.4">
      <c r="A19" s="3" t="str">
        <f t="shared" si="0"/>
        <v>ENERGY_CERTIFICATE_EST_INPUTCARBON_EMISSION_VALUE_YEAR</v>
      </c>
      <c r="B19" s="52" t="s">
        <v>23</v>
      </c>
      <c r="C19" s="49" t="s">
        <v>31</v>
      </c>
      <c r="D19" s="45" t="s">
        <v>36</v>
      </c>
      <c r="E19" s="46" t="s">
        <v>34</v>
      </c>
      <c r="F19" s="45" t="s">
        <v>48</v>
      </c>
      <c r="G19" s="47" t="s">
        <v>475</v>
      </c>
      <c r="H19" s="47" t="s">
        <v>475</v>
      </c>
      <c r="I19" s="54" t="s">
        <v>534</v>
      </c>
      <c r="J19" s="64">
        <v>45510</v>
      </c>
      <c r="K19" s="64">
        <v>45624</v>
      </c>
      <c r="L19" s="64" t="s">
        <v>549</v>
      </c>
      <c r="M19" s="64"/>
    </row>
    <row r="20" spans="1:13" ht="16.2" x14ac:dyDescent="0.4">
      <c r="A20" s="3" t="str">
        <f t="shared" si="0"/>
        <v>PROCESSn.a.</v>
      </c>
      <c r="B20" s="52" t="s">
        <v>23</v>
      </c>
      <c r="C20" s="49" t="s">
        <v>49</v>
      </c>
      <c r="D20" s="45" t="s">
        <v>33</v>
      </c>
      <c r="E20" s="46" t="s">
        <v>50</v>
      </c>
      <c r="F20" s="45" t="s">
        <v>35</v>
      </c>
      <c r="G20" s="47" t="s">
        <v>470</v>
      </c>
      <c r="H20" s="47" t="s">
        <v>470</v>
      </c>
      <c r="I20" s="54"/>
      <c r="J20" s="64" t="s">
        <v>549</v>
      </c>
      <c r="K20" s="64" t="s">
        <v>549</v>
      </c>
      <c r="L20" s="64" t="s">
        <v>549</v>
      </c>
      <c r="M20" s="64"/>
    </row>
    <row r="21" spans="1:13" ht="16.2" x14ac:dyDescent="0.4">
      <c r="A21" s="3" t="str">
        <f t="shared" si="0"/>
        <v>PROCESSPROCESS_BANK_ID</v>
      </c>
      <c r="B21" s="52" t="s">
        <v>23</v>
      </c>
      <c r="C21" s="49" t="s">
        <v>49</v>
      </c>
      <c r="D21" s="45" t="s">
        <v>36</v>
      </c>
      <c r="E21" s="46" t="s">
        <v>50</v>
      </c>
      <c r="F21" s="45" t="s">
        <v>51</v>
      </c>
      <c r="G21" s="47" t="s">
        <v>470</v>
      </c>
      <c r="H21" s="47" t="s">
        <v>470</v>
      </c>
      <c r="I21" s="65" t="s">
        <v>507</v>
      </c>
      <c r="J21" s="64" t="s">
        <v>549</v>
      </c>
      <c r="K21" s="64" t="s">
        <v>549</v>
      </c>
      <c r="L21" s="64" t="s">
        <v>549</v>
      </c>
      <c r="M21" s="64"/>
    </row>
    <row r="22" spans="1:13" ht="16.2" x14ac:dyDescent="0.4">
      <c r="A22" s="3" t="str">
        <f t="shared" si="0"/>
        <v>PROCESSPROCESS_BRANCH_CODE</v>
      </c>
      <c r="B22" s="52" t="s">
        <v>23</v>
      </c>
      <c r="C22" s="49" t="s">
        <v>49</v>
      </c>
      <c r="D22" s="45" t="s">
        <v>36</v>
      </c>
      <c r="E22" s="46" t="s">
        <v>50</v>
      </c>
      <c r="F22" s="45" t="s">
        <v>52</v>
      </c>
      <c r="G22" s="47" t="s">
        <v>470</v>
      </c>
      <c r="H22" s="47" t="s">
        <v>470</v>
      </c>
      <c r="I22" s="65" t="s">
        <v>507</v>
      </c>
      <c r="J22" s="64" t="s">
        <v>549</v>
      </c>
      <c r="K22" s="64" t="s">
        <v>549</v>
      </c>
      <c r="L22" s="64" t="s">
        <v>549</v>
      </c>
      <c r="M22" s="64"/>
    </row>
    <row r="23" spans="1:13" ht="16.2" x14ac:dyDescent="0.4">
      <c r="A23" s="3" t="str">
        <f t="shared" si="0"/>
        <v>PROCESSPROCESS_ACCOUNT_ID</v>
      </c>
      <c r="B23" s="52" t="s">
        <v>23</v>
      </c>
      <c r="C23" s="49" t="s">
        <v>49</v>
      </c>
      <c r="D23" s="45" t="s">
        <v>36</v>
      </c>
      <c r="E23" s="46" t="s">
        <v>50</v>
      </c>
      <c r="F23" s="45" t="s">
        <v>53</v>
      </c>
      <c r="G23" s="47" t="s">
        <v>470</v>
      </c>
      <c r="H23" s="47" t="s">
        <v>470</v>
      </c>
      <c r="I23" s="65" t="s">
        <v>507</v>
      </c>
      <c r="J23" s="64" t="s">
        <v>549</v>
      </c>
      <c r="K23" s="64" t="s">
        <v>549</v>
      </c>
      <c r="L23" s="64" t="s">
        <v>549</v>
      </c>
      <c r="M23" s="64"/>
    </row>
    <row r="24" spans="1:13" ht="16.2" x14ac:dyDescent="0.4">
      <c r="A24" s="3" t="str">
        <f t="shared" si="0"/>
        <v>PROCESScod_estd_prcs</v>
      </c>
      <c r="B24" s="52" t="s">
        <v>23</v>
      </c>
      <c r="C24" s="49" t="s">
        <v>49</v>
      </c>
      <c r="D24" s="45" t="s">
        <v>36</v>
      </c>
      <c r="E24" s="46" t="s">
        <v>50</v>
      </c>
      <c r="F24" s="45" t="s">
        <v>54</v>
      </c>
      <c r="G24" s="47" t="s">
        <v>469</v>
      </c>
      <c r="H24" s="47" t="s">
        <v>469</v>
      </c>
      <c r="I24" s="54" t="s">
        <v>508</v>
      </c>
      <c r="J24" s="64" t="s">
        <v>549</v>
      </c>
      <c r="K24" s="64" t="s">
        <v>549</v>
      </c>
      <c r="L24" s="64" t="s">
        <v>549</v>
      </c>
      <c r="M24" s="64"/>
    </row>
    <row r="25" spans="1:13" ht="16.2" x14ac:dyDescent="0.4">
      <c r="A25" s="3" t="str">
        <f t="shared" si="0"/>
        <v>PROCESSGUARANTEE_CODE</v>
      </c>
      <c r="B25" s="52" t="s">
        <v>23</v>
      </c>
      <c r="C25" s="49" t="s">
        <v>49</v>
      </c>
      <c r="D25" s="45" t="s">
        <v>36</v>
      </c>
      <c r="E25" s="46" t="s">
        <v>50</v>
      </c>
      <c r="F25" s="45" t="s">
        <v>55</v>
      </c>
      <c r="G25" s="47" t="s">
        <v>470</v>
      </c>
      <c r="H25" s="47" t="s">
        <v>470</v>
      </c>
      <c r="I25" s="54"/>
      <c r="J25" s="64" t="s">
        <v>549</v>
      </c>
      <c r="K25" s="64" t="s">
        <v>549</v>
      </c>
      <c r="L25" s="64" t="s">
        <v>549</v>
      </c>
      <c r="M25" s="64"/>
    </row>
    <row r="26" spans="1:13" ht="16.2" x14ac:dyDescent="0.4">
      <c r="A26" s="3" t="str">
        <f t="shared" si="0"/>
        <v>PROCESSCURRENCY_CODE</v>
      </c>
      <c r="B26" s="52" t="s">
        <v>23</v>
      </c>
      <c r="C26" s="49" t="s">
        <v>49</v>
      </c>
      <c r="D26" s="45" t="s">
        <v>36</v>
      </c>
      <c r="E26" s="46" t="s">
        <v>50</v>
      </c>
      <c r="F26" s="45" t="s">
        <v>56</v>
      </c>
      <c r="G26" s="47" t="s">
        <v>470</v>
      </c>
      <c r="H26" s="47" t="s">
        <v>470</v>
      </c>
      <c r="I26" s="54"/>
      <c r="J26" s="64">
        <v>45512</v>
      </c>
      <c r="K26" s="64">
        <v>45526</v>
      </c>
      <c r="L26" s="64" t="s">
        <v>549</v>
      </c>
      <c r="M26" s="64"/>
    </row>
    <row r="27" spans="1:13" ht="16.2" x14ac:dyDescent="0.4">
      <c r="A27" s="3" t="str">
        <f t="shared" si="0"/>
        <v>PROCESSPROCESS_CAMPAIGN_CODE</v>
      </c>
      <c r="B27" s="52" t="s">
        <v>23</v>
      </c>
      <c r="C27" s="49" t="s">
        <v>49</v>
      </c>
      <c r="D27" s="45" t="s">
        <v>36</v>
      </c>
      <c r="E27" s="46" t="s">
        <v>50</v>
      </c>
      <c r="F27" s="45" t="s">
        <v>57</v>
      </c>
      <c r="G27" s="47" t="s">
        <v>470</v>
      </c>
      <c r="H27" s="47" t="s">
        <v>470</v>
      </c>
      <c r="I27" s="54"/>
      <c r="J27" s="64" t="s">
        <v>549</v>
      </c>
      <c r="K27" s="64" t="s">
        <v>549</v>
      </c>
      <c r="L27" s="64" t="s">
        <v>549</v>
      </c>
      <c r="M27" s="64"/>
    </row>
    <row r="28" spans="1:13" ht="16.2" x14ac:dyDescent="0.4">
      <c r="A28" s="3" t="str">
        <f t="shared" si="0"/>
        <v>PROCESSPROCESS_PRODUCT_ID</v>
      </c>
      <c r="B28" s="52" t="s">
        <v>23</v>
      </c>
      <c r="C28" s="49" t="s">
        <v>49</v>
      </c>
      <c r="D28" s="45" t="s">
        <v>36</v>
      </c>
      <c r="E28" s="46" t="s">
        <v>50</v>
      </c>
      <c r="F28" s="45" t="s">
        <v>58</v>
      </c>
      <c r="G28" s="47" t="s">
        <v>470</v>
      </c>
      <c r="H28" s="47" t="s">
        <v>470</v>
      </c>
      <c r="I28" s="54"/>
      <c r="J28" s="64" t="s">
        <v>549</v>
      </c>
      <c r="K28" s="64" t="s">
        <v>549</v>
      </c>
      <c r="L28" s="64" t="s">
        <v>549</v>
      </c>
      <c r="M28" s="64"/>
    </row>
    <row r="29" spans="1:13" ht="16.2" x14ac:dyDescent="0.4">
      <c r="A29" s="3" t="str">
        <f t="shared" si="0"/>
        <v>PROCESSPROCESS_SUBPRODUCT_ID</v>
      </c>
      <c r="B29" s="52" t="s">
        <v>23</v>
      </c>
      <c r="C29" s="49" t="s">
        <v>49</v>
      </c>
      <c r="D29" s="45" t="s">
        <v>36</v>
      </c>
      <c r="E29" s="46" t="s">
        <v>50</v>
      </c>
      <c r="F29" s="45" t="s">
        <v>59</v>
      </c>
      <c r="G29" s="47" t="s">
        <v>470</v>
      </c>
      <c r="H29" s="47" t="s">
        <v>470</v>
      </c>
      <c r="I29" s="54"/>
      <c r="J29" s="64" t="s">
        <v>549</v>
      </c>
      <c r="K29" s="64" t="s">
        <v>549</v>
      </c>
      <c r="L29" s="64" t="s">
        <v>549</v>
      </c>
      <c r="M29" s="64"/>
    </row>
    <row r="30" spans="1:13" ht="16.2" x14ac:dyDescent="0.4">
      <c r="A30" s="3" t="str">
        <f t="shared" si="0"/>
        <v>PROCESSGUARANTEE_TYPE_CODE</v>
      </c>
      <c r="B30" s="52" t="s">
        <v>23</v>
      </c>
      <c r="C30" s="49" t="s">
        <v>49</v>
      </c>
      <c r="D30" s="45" t="s">
        <v>36</v>
      </c>
      <c r="E30" s="46" t="s">
        <v>50</v>
      </c>
      <c r="F30" s="45" t="s">
        <v>60</v>
      </c>
      <c r="G30" s="47" t="s">
        <v>470</v>
      </c>
      <c r="H30" s="47" t="s">
        <v>470</v>
      </c>
      <c r="I30" s="54"/>
      <c r="J30" s="64" t="s">
        <v>549</v>
      </c>
      <c r="K30" s="64" t="s">
        <v>549</v>
      </c>
      <c r="L30" s="64" t="s">
        <v>549</v>
      </c>
      <c r="M30" s="64"/>
    </row>
    <row r="31" spans="1:13" ht="16.2" x14ac:dyDescent="0.4">
      <c r="A31" s="3" t="str">
        <f t="shared" si="0"/>
        <v>PROCESSPROCESS_REFERENCE_CODE</v>
      </c>
      <c r="B31" s="52" t="s">
        <v>23</v>
      </c>
      <c r="C31" s="49" t="s">
        <v>49</v>
      </c>
      <c r="D31" s="45" t="s">
        <v>36</v>
      </c>
      <c r="E31" s="46" t="s">
        <v>50</v>
      </c>
      <c r="F31" s="45" t="s">
        <v>61</v>
      </c>
      <c r="G31" s="47" t="s">
        <v>470</v>
      </c>
      <c r="H31" s="47" t="s">
        <v>470</v>
      </c>
      <c r="I31" s="54"/>
      <c r="J31" s="64" t="s">
        <v>549</v>
      </c>
      <c r="K31" s="64" t="s">
        <v>549</v>
      </c>
      <c r="L31" s="64" t="s">
        <v>549</v>
      </c>
      <c r="M31" s="64"/>
    </row>
    <row r="32" spans="1:13" ht="16.2" x14ac:dyDescent="0.4">
      <c r="A32" s="3" t="str">
        <f t="shared" si="0"/>
        <v>PROCESSPROCESS_START_DATE</v>
      </c>
      <c r="B32" s="52" t="s">
        <v>23</v>
      </c>
      <c r="C32" s="49" t="s">
        <v>49</v>
      </c>
      <c r="D32" s="45" t="s">
        <v>36</v>
      </c>
      <c r="E32" s="46" t="s">
        <v>50</v>
      </c>
      <c r="F32" s="45" t="s">
        <v>62</v>
      </c>
      <c r="G32" s="47" t="s">
        <v>470</v>
      </c>
      <c r="H32" s="47" t="s">
        <v>470</v>
      </c>
      <c r="I32" s="54"/>
      <c r="J32" s="64" t="s">
        <v>549</v>
      </c>
      <c r="K32" s="64" t="s">
        <v>549</v>
      </c>
      <c r="L32" s="64" t="s">
        <v>549</v>
      </c>
      <c r="M32" s="64"/>
    </row>
    <row r="33" spans="1:13" ht="16.2" x14ac:dyDescent="0.4">
      <c r="A33" s="3" t="str">
        <f t="shared" si="0"/>
        <v>PROCESSPROCESS_DUE_DATE</v>
      </c>
      <c r="B33" s="52" t="s">
        <v>23</v>
      </c>
      <c r="C33" s="49" t="s">
        <v>49</v>
      </c>
      <c r="D33" s="45" t="s">
        <v>36</v>
      </c>
      <c r="E33" s="46" t="s">
        <v>50</v>
      </c>
      <c r="F33" s="45" t="s">
        <v>63</v>
      </c>
      <c r="G33" s="47" t="s">
        <v>470</v>
      </c>
      <c r="H33" s="47" t="s">
        <v>470</v>
      </c>
      <c r="I33" s="54"/>
      <c r="J33" s="64" t="s">
        <v>549</v>
      </c>
      <c r="K33" s="64" t="s">
        <v>549</v>
      </c>
      <c r="L33" s="64" t="s">
        <v>549</v>
      </c>
      <c r="M33" s="64"/>
    </row>
    <row r="34" spans="1:13" ht="16.2" x14ac:dyDescent="0.4">
      <c r="A34" s="3" t="str">
        <f t="shared" si="0"/>
        <v>PROCESSmontante_eur</v>
      </c>
      <c r="B34" s="52" t="s">
        <v>23</v>
      </c>
      <c r="C34" s="49" t="s">
        <v>49</v>
      </c>
      <c r="D34" s="45" t="s">
        <v>36</v>
      </c>
      <c r="E34" s="46" t="s">
        <v>50</v>
      </c>
      <c r="F34" s="45" t="s">
        <v>64</v>
      </c>
      <c r="G34" s="47" t="s">
        <v>469</v>
      </c>
      <c r="H34" s="47" t="s">
        <v>469</v>
      </c>
      <c r="I34" s="54" t="s">
        <v>508</v>
      </c>
      <c r="J34" s="64" t="s">
        <v>549</v>
      </c>
      <c r="K34" s="64" t="s">
        <v>549</v>
      </c>
      <c r="L34" s="64" t="s">
        <v>549</v>
      </c>
      <c r="M34" s="64"/>
    </row>
    <row r="35" spans="1:13" ht="16.2" x14ac:dyDescent="0.4">
      <c r="A35" s="3" t="str">
        <f t="shared" si="0"/>
        <v>PROCESSmontante_org</v>
      </c>
      <c r="B35" s="52" t="s">
        <v>23</v>
      </c>
      <c r="C35" s="49" t="s">
        <v>49</v>
      </c>
      <c r="D35" s="45" t="s">
        <v>36</v>
      </c>
      <c r="E35" s="46" t="s">
        <v>50</v>
      </c>
      <c r="F35" s="45" t="s">
        <v>65</v>
      </c>
      <c r="G35" s="47" t="s">
        <v>469</v>
      </c>
      <c r="H35" s="47" t="s">
        <v>469</v>
      </c>
      <c r="I35" s="54" t="s">
        <v>508</v>
      </c>
      <c r="J35" s="64" t="s">
        <v>549</v>
      </c>
      <c r="K35" s="64" t="s">
        <v>549</v>
      </c>
      <c r="L35" s="64" t="s">
        <v>549</v>
      </c>
      <c r="M35" s="64"/>
    </row>
    <row r="36" spans="1:13" ht="16.2" x14ac:dyDescent="0.4">
      <c r="A36" s="3" t="str">
        <f t="shared" si="0"/>
        <v>PROCESSorigem</v>
      </c>
      <c r="B36" s="52" t="s">
        <v>23</v>
      </c>
      <c r="C36" s="49" t="s">
        <v>49</v>
      </c>
      <c r="D36" s="45" t="s">
        <v>36</v>
      </c>
      <c r="E36" s="46" t="s">
        <v>50</v>
      </c>
      <c r="F36" s="45" t="s">
        <v>66</v>
      </c>
      <c r="G36" s="47" t="s">
        <v>469</v>
      </c>
      <c r="H36" s="47" t="s">
        <v>469</v>
      </c>
      <c r="I36" s="54" t="s">
        <v>509</v>
      </c>
      <c r="J36" s="64" t="s">
        <v>549</v>
      </c>
      <c r="K36" s="64" t="s">
        <v>549</v>
      </c>
      <c r="L36" s="64" t="s">
        <v>549</v>
      </c>
      <c r="M36" s="64"/>
    </row>
    <row r="37" spans="1:13" ht="16.2" x14ac:dyDescent="0.4">
      <c r="A37" s="3" t="str">
        <f t="shared" si="0"/>
        <v>PROCESSDATA_DATE_PART</v>
      </c>
      <c r="B37" s="52" t="s">
        <v>23</v>
      </c>
      <c r="C37" s="49" t="s">
        <v>49</v>
      </c>
      <c r="D37" s="45" t="s">
        <v>36</v>
      </c>
      <c r="E37" s="46" t="s">
        <v>50</v>
      </c>
      <c r="F37" s="45" t="s">
        <v>67</v>
      </c>
      <c r="G37" s="47" t="s">
        <v>470</v>
      </c>
      <c r="H37" s="47" t="s">
        <v>470</v>
      </c>
      <c r="I37" s="54"/>
      <c r="J37" s="64" t="s">
        <v>549</v>
      </c>
      <c r="K37" s="64" t="s">
        <v>549</v>
      </c>
      <c r="L37" s="64" t="s">
        <v>549</v>
      </c>
      <c r="M37" s="64"/>
    </row>
    <row r="38" spans="1:13" ht="16.2" x14ac:dyDescent="0.4">
      <c r="A38" s="3" t="str">
        <f t="shared" si="0"/>
        <v>RESPONSIBILITY_PROCESS_RELn.a.</v>
      </c>
      <c r="B38" s="52" t="s">
        <v>23</v>
      </c>
      <c r="C38" s="49" t="s">
        <v>49</v>
      </c>
      <c r="D38" s="45" t="s">
        <v>33</v>
      </c>
      <c r="E38" s="46" t="s">
        <v>68</v>
      </c>
      <c r="F38" s="45" t="s">
        <v>35</v>
      </c>
      <c r="G38" s="47" t="s">
        <v>470</v>
      </c>
      <c r="H38" s="47" t="s">
        <v>470</v>
      </c>
      <c r="I38" s="54"/>
      <c r="J38" s="64" t="s">
        <v>549</v>
      </c>
      <c r="K38" s="64" t="s">
        <v>549</v>
      </c>
      <c r="L38" s="64" t="s">
        <v>549</v>
      </c>
      <c r="M38" s="64"/>
    </row>
    <row r="39" spans="1:13" ht="16.2" x14ac:dyDescent="0.4">
      <c r="A39" s="3" t="str">
        <f t="shared" si="0"/>
        <v>RESPONSIBILITY_PROCESS_RELPROCESS_BANK_ID</v>
      </c>
      <c r="B39" s="52" t="s">
        <v>23</v>
      </c>
      <c r="C39" s="49" t="s">
        <v>49</v>
      </c>
      <c r="D39" s="45" t="s">
        <v>36</v>
      </c>
      <c r="E39" s="46" t="s">
        <v>68</v>
      </c>
      <c r="F39" s="45" t="s">
        <v>51</v>
      </c>
      <c r="G39" s="47" t="s">
        <v>470</v>
      </c>
      <c r="H39" s="47" t="s">
        <v>470</v>
      </c>
      <c r="I39" s="65" t="s">
        <v>507</v>
      </c>
      <c r="J39" s="64" t="s">
        <v>549</v>
      </c>
      <c r="K39" s="64" t="s">
        <v>549</v>
      </c>
      <c r="L39" s="64" t="s">
        <v>549</v>
      </c>
      <c r="M39" s="64"/>
    </row>
    <row r="40" spans="1:13" ht="16.2" x14ac:dyDescent="0.4">
      <c r="A40" s="3" t="str">
        <f t="shared" si="0"/>
        <v>RESPONSIBILITY_PROCESS_RELBANK_ID</v>
      </c>
      <c r="B40" s="52" t="s">
        <v>23</v>
      </c>
      <c r="C40" s="49" t="s">
        <v>49</v>
      </c>
      <c r="D40" s="45" t="s">
        <v>36</v>
      </c>
      <c r="E40" s="46" t="s">
        <v>68</v>
      </c>
      <c r="F40" s="45" t="s">
        <v>69</v>
      </c>
      <c r="G40" s="47" t="s">
        <v>470</v>
      </c>
      <c r="H40" s="47" t="s">
        <v>470</v>
      </c>
      <c r="I40" s="65" t="s">
        <v>507</v>
      </c>
      <c r="J40" s="64" t="s">
        <v>549</v>
      </c>
      <c r="K40" s="64" t="s">
        <v>549</v>
      </c>
      <c r="L40" s="64" t="s">
        <v>549</v>
      </c>
      <c r="M40" s="64"/>
    </row>
    <row r="41" spans="1:13" ht="16.2" x14ac:dyDescent="0.4">
      <c r="A41" s="3" t="str">
        <f t="shared" si="0"/>
        <v>RESPONSIBILITY_PROCESS_RELPROCESS_BRANCH_CODE</v>
      </c>
      <c r="B41" s="52" t="s">
        <v>23</v>
      </c>
      <c r="C41" s="49" t="s">
        <v>49</v>
      </c>
      <c r="D41" s="45" t="s">
        <v>36</v>
      </c>
      <c r="E41" s="46" t="s">
        <v>68</v>
      </c>
      <c r="F41" s="45" t="s">
        <v>52</v>
      </c>
      <c r="G41" s="47" t="s">
        <v>470</v>
      </c>
      <c r="H41" s="47" t="s">
        <v>470</v>
      </c>
      <c r="I41" s="65" t="s">
        <v>507</v>
      </c>
      <c r="J41" s="64" t="s">
        <v>549</v>
      </c>
      <c r="K41" s="64" t="s">
        <v>549</v>
      </c>
      <c r="L41" s="64" t="s">
        <v>549</v>
      </c>
      <c r="M41" s="64"/>
    </row>
    <row r="42" spans="1:13" ht="16.2" x14ac:dyDescent="0.4">
      <c r="A42" s="3" t="str">
        <f t="shared" si="0"/>
        <v>RESPONSIBILITY_PROCESS_RELBRANCH_CODE</v>
      </c>
      <c r="B42" s="52" t="s">
        <v>23</v>
      </c>
      <c r="C42" s="49" t="s">
        <v>49</v>
      </c>
      <c r="D42" s="45" t="s">
        <v>36</v>
      </c>
      <c r="E42" s="46" t="s">
        <v>68</v>
      </c>
      <c r="F42" s="45" t="s">
        <v>70</v>
      </c>
      <c r="G42" s="47" t="s">
        <v>470</v>
      </c>
      <c r="H42" s="47" t="s">
        <v>470</v>
      </c>
      <c r="I42" s="65" t="s">
        <v>507</v>
      </c>
      <c r="J42" s="64" t="s">
        <v>549</v>
      </c>
      <c r="K42" s="64" t="s">
        <v>549</v>
      </c>
      <c r="L42" s="64" t="s">
        <v>549</v>
      </c>
      <c r="M42" s="64"/>
    </row>
    <row r="43" spans="1:13" ht="16.2" x14ac:dyDescent="0.4">
      <c r="A43" s="3" t="str">
        <f t="shared" si="0"/>
        <v>RESPONSIBILITY_PROCESS_RELCONTRACT_ID</v>
      </c>
      <c r="B43" s="52" t="s">
        <v>23</v>
      </c>
      <c r="C43" s="49" t="s">
        <v>49</v>
      </c>
      <c r="D43" s="45" t="s">
        <v>36</v>
      </c>
      <c r="E43" s="46" t="s">
        <v>68</v>
      </c>
      <c r="F43" s="45" t="s">
        <v>71</v>
      </c>
      <c r="G43" s="47" t="s">
        <v>470</v>
      </c>
      <c r="H43" s="47" t="s">
        <v>470</v>
      </c>
      <c r="I43" s="65" t="s">
        <v>507</v>
      </c>
      <c r="J43" s="64" t="s">
        <v>549</v>
      </c>
      <c r="K43" s="64" t="s">
        <v>549</v>
      </c>
      <c r="L43" s="64" t="s">
        <v>549</v>
      </c>
      <c r="M43" s="64"/>
    </row>
    <row r="44" spans="1:13" ht="16.2" x14ac:dyDescent="0.4">
      <c r="A44" s="3" t="str">
        <f t="shared" si="0"/>
        <v>RESPONSIBILITY_PROCESS_RELPROCESS_ACCOUNT_ID</v>
      </c>
      <c r="B44" s="52" t="s">
        <v>23</v>
      </c>
      <c r="C44" s="49" t="s">
        <v>49</v>
      </c>
      <c r="D44" s="45" t="s">
        <v>36</v>
      </c>
      <c r="E44" s="46" t="s">
        <v>68</v>
      </c>
      <c r="F44" s="45" t="s">
        <v>53</v>
      </c>
      <c r="G44" s="47" t="s">
        <v>470</v>
      </c>
      <c r="H44" s="47" t="s">
        <v>470</v>
      </c>
      <c r="I44" s="65" t="s">
        <v>507</v>
      </c>
      <c r="J44" s="64" t="s">
        <v>549</v>
      </c>
      <c r="K44" s="64" t="s">
        <v>549</v>
      </c>
      <c r="L44" s="64" t="s">
        <v>549</v>
      </c>
      <c r="M44" s="64"/>
    </row>
    <row r="45" spans="1:13" ht="16.2" x14ac:dyDescent="0.4">
      <c r="A45" s="3" t="str">
        <f t="shared" si="0"/>
        <v>RESPONSIBILITY_PROCESS_RELREFERENCE_CODE</v>
      </c>
      <c r="B45" s="52" t="s">
        <v>23</v>
      </c>
      <c r="C45" s="49" t="s">
        <v>49</v>
      </c>
      <c r="D45" s="45" t="s">
        <v>36</v>
      </c>
      <c r="E45" s="46" t="s">
        <v>68</v>
      </c>
      <c r="F45" s="45" t="s">
        <v>72</v>
      </c>
      <c r="G45" s="47" t="s">
        <v>470</v>
      </c>
      <c r="H45" s="47" t="s">
        <v>470</v>
      </c>
      <c r="I45" s="65" t="s">
        <v>507</v>
      </c>
      <c r="J45" s="64" t="s">
        <v>549</v>
      </c>
      <c r="K45" s="64" t="s">
        <v>549</v>
      </c>
      <c r="L45" s="64" t="s">
        <v>549</v>
      </c>
      <c r="M45" s="64"/>
    </row>
    <row r="46" spans="1:13" ht="16.2" x14ac:dyDescent="0.4">
      <c r="A46" s="3" t="str">
        <f t="shared" si="0"/>
        <v>RESPONSIBILITY_PROCESS_RELPURPOSE_CODE</v>
      </c>
      <c r="B46" s="52" t="s">
        <v>23</v>
      </c>
      <c r="C46" s="49" t="s">
        <v>49</v>
      </c>
      <c r="D46" s="45" t="s">
        <v>36</v>
      </c>
      <c r="E46" s="46" t="s">
        <v>68</v>
      </c>
      <c r="F46" s="45" t="s">
        <v>73</v>
      </c>
      <c r="G46" s="47" t="s">
        <v>470</v>
      </c>
      <c r="H46" s="47" t="s">
        <v>470</v>
      </c>
      <c r="I46" s="54"/>
      <c r="J46" s="64" t="s">
        <v>549</v>
      </c>
      <c r="K46" s="64" t="s">
        <v>549</v>
      </c>
      <c r="L46" s="64" t="s">
        <v>549</v>
      </c>
      <c r="M46" s="64"/>
    </row>
    <row r="47" spans="1:13" ht="16.2" x14ac:dyDescent="0.4">
      <c r="A47" s="3" t="str">
        <f t="shared" si="0"/>
        <v>RESPONSIBILITY_PROCESS_RELINDIVIDUAL_OCCUPATION_CODE</v>
      </c>
      <c r="B47" s="52" t="s">
        <v>23</v>
      </c>
      <c r="C47" s="49" t="s">
        <v>49</v>
      </c>
      <c r="D47" s="45" t="s">
        <v>36</v>
      </c>
      <c r="E47" s="46" t="s">
        <v>68</v>
      </c>
      <c r="F47" s="45" t="s">
        <v>74</v>
      </c>
      <c r="G47" s="47" t="s">
        <v>470</v>
      </c>
      <c r="H47" s="47" t="s">
        <v>470</v>
      </c>
      <c r="I47" s="54"/>
      <c r="J47" s="64" t="s">
        <v>549</v>
      </c>
      <c r="K47" s="64" t="s">
        <v>549</v>
      </c>
      <c r="L47" s="64" t="s">
        <v>549</v>
      </c>
      <c r="M47" s="64"/>
    </row>
    <row r="48" spans="1:13" ht="16.2" x14ac:dyDescent="0.4">
      <c r="A48" s="3" t="str">
        <f t="shared" si="0"/>
        <v>RESPONSIBILITY_PROCESS_RELPRODUCT_ID</v>
      </c>
      <c r="B48" s="52" t="s">
        <v>23</v>
      </c>
      <c r="C48" s="49" t="s">
        <v>49</v>
      </c>
      <c r="D48" s="45" t="s">
        <v>36</v>
      </c>
      <c r="E48" s="46" t="s">
        <v>68</v>
      </c>
      <c r="F48" s="45" t="s">
        <v>75</v>
      </c>
      <c r="G48" s="47" t="s">
        <v>470</v>
      </c>
      <c r="H48" s="47" t="s">
        <v>470</v>
      </c>
      <c r="I48" s="54"/>
      <c r="J48" s="64" t="s">
        <v>549</v>
      </c>
      <c r="K48" s="64" t="s">
        <v>549</v>
      </c>
      <c r="L48" s="64" t="s">
        <v>549</v>
      </c>
      <c r="M48" s="64"/>
    </row>
    <row r="49" spans="1:13" ht="16.2" x14ac:dyDescent="0.4">
      <c r="A49" s="3" t="str">
        <f t="shared" si="0"/>
        <v>RESPONSIBILITY_PROCESS_RELcod_sit</v>
      </c>
      <c r="B49" s="52" t="s">
        <v>23</v>
      </c>
      <c r="C49" s="49" t="s">
        <v>49</v>
      </c>
      <c r="D49" s="45" t="s">
        <v>36</v>
      </c>
      <c r="E49" s="46" t="s">
        <v>68</v>
      </c>
      <c r="F49" s="45" t="s">
        <v>76</v>
      </c>
      <c r="G49" s="47" t="s">
        <v>469</v>
      </c>
      <c r="H49" s="47" t="s">
        <v>469</v>
      </c>
      <c r="I49" s="54" t="s">
        <v>508</v>
      </c>
      <c r="J49" s="64" t="s">
        <v>549</v>
      </c>
      <c r="K49" s="64" t="s">
        <v>549</v>
      </c>
      <c r="L49" s="64" t="s">
        <v>549</v>
      </c>
      <c r="M49" s="64"/>
    </row>
    <row r="50" spans="1:13" ht="16.2" x14ac:dyDescent="0.4">
      <c r="A50" s="3" t="str">
        <f t="shared" si="0"/>
        <v>RESPONSIBILITY_PROCESS_RELSUBPRODUCT_ID</v>
      </c>
      <c r="B50" s="52" t="s">
        <v>23</v>
      </c>
      <c r="C50" s="49" t="s">
        <v>49</v>
      </c>
      <c r="D50" s="45" t="s">
        <v>36</v>
      </c>
      <c r="E50" s="46" t="s">
        <v>68</v>
      </c>
      <c r="F50" s="45" t="s">
        <v>77</v>
      </c>
      <c r="G50" s="47" t="s">
        <v>470</v>
      </c>
      <c r="H50" s="47" t="s">
        <v>470</v>
      </c>
      <c r="I50" s="54"/>
      <c r="J50" s="64" t="s">
        <v>549</v>
      </c>
      <c r="K50" s="64" t="s">
        <v>549</v>
      </c>
      <c r="L50" s="64" t="s">
        <v>549</v>
      </c>
      <c r="M50" s="64"/>
    </row>
    <row r="51" spans="1:13" ht="16.2" x14ac:dyDescent="0.4">
      <c r="A51" s="3" t="str">
        <f t="shared" si="0"/>
        <v>RESPONSIBILITY_PROCESS_RELPROCESS_REFERENCE_CODE</v>
      </c>
      <c r="B51" s="52" t="s">
        <v>23</v>
      </c>
      <c r="C51" s="49" t="s">
        <v>49</v>
      </c>
      <c r="D51" s="45" t="s">
        <v>36</v>
      </c>
      <c r="E51" s="46" t="s">
        <v>68</v>
      </c>
      <c r="F51" s="45" t="s">
        <v>61</v>
      </c>
      <c r="G51" s="47" t="s">
        <v>470</v>
      </c>
      <c r="H51" s="47" t="s">
        <v>470</v>
      </c>
      <c r="I51" s="54"/>
      <c r="J51" s="64" t="s">
        <v>549</v>
      </c>
      <c r="K51" s="64" t="s">
        <v>549</v>
      </c>
      <c r="L51" s="64" t="s">
        <v>549</v>
      </c>
      <c r="M51" s="64"/>
    </row>
    <row r="52" spans="1:13" ht="16.2" x14ac:dyDescent="0.4">
      <c r="A52" s="3" t="str">
        <f t="shared" si="0"/>
        <v>RESPONSIBILITY_PROCESS_RELEFFECTIVE_RELATION_END_DATE</v>
      </c>
      <c r="B52" s="52" t="s">
        <v>23</v>
      </c>
      <c r="C52" s="49" t="s">
        <v>49</v>
      </c>
      <c r="D52" s="45" t="s">
        <v>36</v>
      </c>
      <c r="E52" s="46" t="s">
        <v>68</v>
      </c>
      <c r="F52" s="45" t="s">
        <v>78</v>
      </c>
      <c r="G52" s="47" t="s">
        <v>470</v>
      </c>
      <c r="H52" s="47" t="s">
        <v>470</v>
      </c>
      <c r="I52" s="54"/>
      <c r="J52" s="64" t="s">
        <v>549</v>
      </c>
      <c r="K52" s="64" t="s">
        <v>549</v>
      </c>
      <c r="L52" s="64" t="s">
        <v>549</v>
      </c>
      <c r="M52" s="64"/>
    </row>
    <row r="53" spans="1:13" ht="16.2" x14ac:dyDescent="0.4">
      <c r="A53" s="3" t="str">
        <f t="shared" si="0"/>
        <v>RESPONSIBILITY_PROCESS_RELPROCESS_START_DATE</v>
      </c>
      <c r="B53" s="52" t="s">
        <v>23</v>
      </c>
      <c r="C53" s="49" t="s">
        <v>49</v>
      </c>
      <c r="D53" s="45" t="s">
        <v>36</v>
      </c>
      <c r="E53" s="46" t="s">
        <v>68</v>
      </c>
      <c r="F53" s="45" t="s">
        <v>62</v>
      </c>
      <c r="G53" s="47" t="s">
        <v>470</v>
      </c>
      <c r="H53" s="47" t="s">
        <v>470</v>
      </c>
      <c r="I53" s="54"/>
      <c r="J53" s="64" t="s">
        <v>549</v>
      </c>
      <c r="K53" s="64" t="s">
        <v>549</v>
      </c>
      <c r="L53" s="64" t="s">
        <v>549</v>
      </c>
      <c r="M53" s="64"/>
    </row>
    <row r="54" spans="1:13" ht="16.2" x14ac:dyDescent="0.4">
      <c r="A54" s="3" t="str">
        <f t="shared" si="0"/>
        <v>RESPONSIBILITY_PROCESS_RELPROCESS_DUE_DATE</v>
      </c>
      <c r="B54" s="52" t="s">
        <v>23</v>
      </c>
      <c r="C54" s="49" t="s">
        <v>49</v>
      </c>
      <c r="D54" s="45" t="s">
        <v>36</v>
      </c>
      <c r="E54" s="46" t="s">
        <v>68</v>
      </c>
      <c r="F54" s="45" t="s">
        <v>63</v>
      </c>
      <c r="G54" s="47" t="s">
        <v>470</v>
      </c>
      <c r="H54" s="47" t="s">
        <v>470</v>
      </c>
      <c r="I54" s="54"/>
      <c r="J54" s="64" t="s">
        <v>549</v>
      </c>
      <c r="K54" s="64" t="s">
        <v>549</v>
      </c>
      <c r="L54" s="64" t="s">
        <v>549</v>
      </c>
      <c r="M54" s="64"/>
    </row>
    <row r="55" spans="1:13" ht="16.2" x14ac:dyDescent="0.4">
      <c r="A55" s="3" t="str">
        <f t="shared" si="0"/>
        <v>RESPONSIBILITY_PROCESS_RELidetgar</v>
      </c>
      <c r="B55" s="52" t="s">
        <v>23</v>
      </c>
      <c r="C55" s="49" t="s">
        <v>49</v>
      </c>
      <c r="D55" s="45" t="s">
        <v>36</v>
      </c>
      <c r="E55" s="46" t="s">
        <v>68</v>
      </c>
      <c r="F55" s="45" t="s">
        <v>79</v>
      </c>
      <c r="G55" s="47" t="s">
        <v>469</v>
      </c>
      <c r="H55" s="47" t="s">
        <v>469</v>
      </c>
      <c r="I55" s="54" t="s">
        <v>508</v>
      </c>
      <c r="J55" s="64" t="s">
        <v>549</v>
      </c>
      <c r="K55" s="64" t="s">
        <v>549</v>
      </c>
      <c r="L55" s="64" t="s">
        <v>549</v>
      </c>
      <c r="M55" s="64"/>
    </row>
    <row r="56" spans="1:13" ht="16.2" x14ac:dyDescent="0.4">
      <c r="A56" s="3" t="str">
        <f t="shared" si="0"/>
        <v>RESPONSIBILITY_PROCESS_RELnum_prop</v>
      </c>
      <c r="B56" s="52" t="s">
        <v>23</v>
      </c>
      <c r="C56" s="49" t="s">
        <v>49</v>
      </c>
      <c r="D56" s="45" t="s">
        <v>36</v>
      </c>
      <c r="E56" s="46" t="s">
        <v>68</v>
      </c>
      <c r="F56" s="45" t="s">
        <v>80</v>
      </c>
      <c r="G56" s="47" t="s">
        <v>469</v>
      </c>
      <c r="H56" s="47" t="s">
        <v>469</v>
      </c>
      <c r="I56" s="54" t="s">
        <v>508</v>
      </c>
      <c r="J56" s="64" t="s">
        <v>549</v>
      </c>
      <c r="K56" s="64" t="s">
        <v>549</v>
      </c>
      <c r="L56" s="64" t="s">
        <v>549</v>
      </c>
      <c r="M56" s="64"/>
    </row>
    <row r="57" spans="1:13" ht="16.2" x14ac:dyDescent="0.4">
      <c r="A57" s="3" t="str">
        <f t="shared" si="0"/>
        <v>RESPONSIBILITY_PROCESS_RELSOURCE_CODE</v>
      </c>
      <c r="B57" s="52" t="s">
        <v>23</v>
      </c>
      <c r="C57" s="49" t="s">
        <v>49</v>
      </c>
      <c r="D57" s="45" t="s">
        <v>36</v>
      </c>
      <c r="E57" s="46" t="s">
        <v>68</v>
      </c>
      <c r="F57" s="45" t="s">
        <v>81</v>
      </c>
      <c r="G57" s="47" t="s">
        <v>470</v>
      </c>
      <c r="H57" s="47" t="s">
        <v>470</v>
      </c>
      <c r="I57" s="54"/>
      <c r="J57" s="64" t="s">
        <v>549</v>
      </c>
      <c r="K57" s="64" t="s">
        <v>549</v>
      </c>
      <c r="L57" s="64" t="s">
        <v>549</v>
      </c>
      <c r="M57" s="64"/>
    </row>
    <row r="58" spans="1:13" ht="16.2" x14ac:dyDescent="0.4">
      <c r="A58" s="3" t="str">
        <f t="shared" si="0"/>
        <v>RESPONSIBILITY_PROCESS_RELDATA_DATE_PART</v>
      </c>
      <c r="B58" s="52" t="s">
        <v>23</v>
      </c>
      <c r="C58" s="49" t="s">
        <v>49</v>
      </c>
      <c r="D58" s="45" t="s">
        <v>36</v>
      </c>
      <c r="E58" s="46" t="s">
        <v>68</v>
      </c>
      <c r="F58" s="45" t="s">
        <v>67</v>
      </c>
      <c r="G58" s="47" t="s">
        <v>470</v>
      </c>
      <c r="H58" s="47" t="s">
        <v>470</v>
      </c>
      <c r="I58" s="54"/>
      <c r="J58" s="64" t="s">
        <v>549</v>
      </c>
      <c r="K58" s="64" t="s">
        <v>549</v>
      </c>
      <c r="L58" s="64" t="s">
        <v>549</v>
      </c>
      <c r="M58" s="64"/>
    </row>
    <row r="59" spans="1:13" ht="16.2" x14ac:dyDescent="0.4">
      <c r="A59" s="3" t="str">
        <f t="shared" si="0"/>
        <v>PROCESS_PROPERTY_RELn.a.</v>
      </c>
      <c r="B59" s="52" t="s">
        <v>23</v>
      </c>
      <c r="C59" s="49" t="s">
        <v>49</v>
      </c>
      <c r="D59" s="45" t="s">
        <v>33</v>
      </c>
      <c r="E59" s="46" t="s">
        <v>82</v>
      </c>
      <c r="F59" s="45" t="s">
        <v>35</v>
      </c>
      <c r="G59" s="47" t="s">
        <v>470</v>
      </c>
      <c r="H59" s="47" t="s">
        <v>470</v>
      </c>
      <c r="I59" s="54"/>
      <c r="J59" s="64" t="s">
        <v>549</v>
      </c>
      <c r="K59" s="64" t="s">
        <v>549</v>
      </c>
      <c r="L59" s="64" t="s">
        <v>549</v>
      </c>
      <c r="M59" s="64"/>
    </row>
    <row r="60" spans="1:13" ht="16.2" x14ac:dyDescent="0.4">
      <c r="A60" s="3" t="str">
        <f t="shared" si="0"/>
        <v>PROCESS_PROPERTY_RELPROPERTY_BANK_ID</v>
      </c>
      <c r="B60" s="52" t="s">
        <v>23</v>
      </c>
      <c r="C60" s="49" t="s">
        <v>49</v>
      </c>
      <c r="D60" s="45" t="s">
        <v>36</v>
      </c>
      <c r="E60" s="46" t="s">
        <v>82</v>
      </c>
      <c r="F60" s="45" t="s">
        <v>37</v>
      </c>
      <c r="G60" s="47" t="s">
        <v>470</v>
      </c>
      <c r="H60" s="47" t="s">
        <v>470</v>
      </c>
      <c r="I60" s="65"/>
      <c r="J60" s="64" t="s">
        <v>549</v>
      </c>
      <c r="K60" s="64" t="s">
        <v>549</v>
      </c>
      <c r="L60" s="64" t="s">
        <v>549</v>
      </c>
      <c r="M60" s="64"/>
    </row>
    <row r="61" spans="1:13" ht="16.2" x14ac:dyDescent="0.4">
      <c r="A61" s="3" t="str">
        <f t="shared" si="0"/>
        <v>PROCESS_PROPERTY_RELPROCESS_BANK_ID</v>
      </c>
      <c r="B61" s="52" t="s">
        <v>23</v>
      </c>
      <c r="C61" s="49" t="s">
        <v>49</v>
      </c>
      <c r="D61" s="45" t="s">
        <v>36</v>
      </c>
      <c r="E61" s="46" t="s">
        <v>82</v>
      </c>
      <c r="F61" s="45" t="s">
        <v>51</v>
      </c>
      <c r="G61" s="47" t="s">
        <v>470</v>
      </c>
      <c r="H61" s="47" t="s">
        <v>470</v>
      </c>
      <c r="I61" s="65" t="s">
        <v>507</v>
      </c>
      <c r="J61" s="64" t="s">
        <v>549</v>
      </c>
      <c r="K61" s="64" t="s">
        <v>549</v>
      </c>
      <c r="L61" s="64" t="s">
        <v>549</v>
      </c>
      <c r="M61" s="64"/>
    </row>
    <row r="62" spans="1:13" ht="16.2" x14ac:dyDescent="0.4">
      <c r="A62" s="3" t="str">
        <f t="shared" si="0"/>
        <v>PROCESS_PROPERTY_RELPROPERTY_BRANCH_CODE</v>
      </c>
      <c r="B62" s="52" t="s">
        <v>23</v>
      </c>
      <c r="C62" s="49" t="s">
        <v>49</v>
      </c>
      <c r="D62" s="45" t="s">
        <v>36</v>
      </c>
      <c r="E62" s="46" t="s">
        <v>82</v>
      </c>
      <c r="F62" s="45" t="s">
        <v>39</v>
      </c>
      <c r="G62" s="47" t="s">
        <v>470</v>
      </c>
      <c r="H62" s="47" t="s">
        <v>470</v>
      </c>
      <c r="I62" s="65" t="s">
        <v>507</v>
      </c>
      <c r="J62" s="64" t="s">
        <v>549</v>
      </c>
      <c r="K62" s="64" t="s">
        <v>549</v>
      </c>
      <c r="L62" s="64" t="s">
        <v>549</v>
      </c>
      <c r="M62" s="64"/>
    </row>
    <row r="63" spans="1:13" ht="16.2" x14ac:dyDescent="0.4">
      <c r="A63" s="3" t="str">
        <f t="shared" si="0"/>
        <v>PROCESS_PROPERTY_RELPROCESS_BRANCH_CODE</v>
      </c>
      <c r="B63" s="52" t="s">
        <v>23</v>
      </c>
      <c r="C63" s="49" t="s">
        <v>49</v>
      </c>
      <c r="D63" s="45" t="s">
        <v>36</v>
      </c>
      <c r="E63" s="46" t="s">
        <v>82</v>
      </c>
      <c r="F63" s="45" t="s">
        <v>52</v>
      </c>
      <c r="G63" s="47" t="s">
        <v>470</v>
      </c>
      <c r="H63" s="47" t="s">
        <v>470</v>
      </c>
      <c r="I63" s="65" t="s">
        <v>507</v>
      </c>
      <c r="J63" s="64" t="s">
        <v>549</v>
      </c>
      <c r="K63" s="64" t="s">
        <v>549</v>
      </c>
      <c r="L63" s="64" t="s">
        <v>549</v>
      </c>
      <c r="M63" s="64"/>
    </row>
    <row r="64" spans="1:13" ht="16.2" x14ac:dyDescent="0.4">
      <c r="A64" s="3" t="str">
        <f t="shared" si="0"/>
        <v>PROCESS_PROPERTY_RELPROPERTY_CONTRACT_ID</v>
      </c>
      <c r="B64" s="52" t="s">
        <v>23</v>
      </c>
      <c r="C64" s="49" t="s">
        <v>49</v>
      </c>
      <c r="D64" s="45" t="s">
        <v>36</v>
      </c>
      <c r="E64" s="46" t="s">
        <v>82</v>
      </c>
      <c r="F64" s="45" t="s">
        <v>40</v>
      </c>
      <c r="G64" s="47" t="s">
        <v>470</v>
      </c>
      <c r="H64" s="47" t="s">
        <v>470</v>
      </c>
      <c r="I64" s="65" t="s">
        <v>507</v>
      </c>
      <c r="J64" s="64" t="s">
        <v>549</v>
      </c>
      <c r="K64" s="64" t="s">
        <v>549</v>
      </c>
      <c r="L64" s="64" t="s">
        <v>549</v>
      </c>
      <c r="M64" s="64"/>
    </row>
    <row r="65" spans="1:13" ht="16.2" x14ac:dyDescent="0.4">
      <c r="A65" s="3" t="str">
        <f t="shared" si="0"/>
        <v>PROCESS_PROPERTY_RELPROCESS_ACCOUNT_ID</v>
      </c>
      <c r="B65" s="52" t="s">
        <v>23</v>
      </c>
      <c r="C65" s="49" t="s">
        <v>49</v>
      </c>
      <c r="D65" s="45" t="s">
        <v>36</v>
      </c>
      <c r="E65" s="46" t="s">
        <v>82</v>
      </c>
      <c r="F65" s="45" t="s">
        <v>53</v>
      </c>
      <c r="G65" s="47" t="s">
        <v>470</v>
      </c>
      <c r="H65" s="47" t="s">
        <v>470</v>
      </c>
      <c r="I65" s="65" t="s">
        <v>507</v>
      </c>
      <c r="J65" s="64" t="s">
        <v>549</v>
      </c>
      <c r="K65" s="64" t="s">
        <v>549</v>
      </c>
      <c r="L65" s="64" t="s">
        <v>549</v>
      </c>
      <c r="M65" s="64"/>
    </row>
    <row r="66" spans="1:13" ht="16.2" x14ac:dyDescent="0.4">
      <c r="A66" s="3" t="str">
        <f t="shared" si="0"/>
        <v>PROCESS_PROPERTY_RELPROPERTY_REFERENCE_CODE</v>
      </c>
      <c r="B66" s="52" t="s">
        <v>23</v>
      </c>
      <c r="C66" s="49" t="s">
        <v>49</v>
      </c>
      <c r="D66" s="45" t="s">
        <v>36</v>
      </c>
      <c r="E66" s="46" t="s">
        <v>82</v>
      </c>
      <c r="F66" s="45" t="s">
        <v>41</v>
      </c>
      <c r="G66" s="47" t="s">
        <v>470</v>
      </c>
      <c r="H66" s="47" t="s">
        <v>470</v>
      </c>
      <c r="I66" s="65"/>
      <c r="J66" s="64" t="s">
        <v>549</v>
      </c>
      <c r="K66" s="64" t="s">
        <v>549</v>
      </c>
      <c r="L66" s="64" t="s">
        <v>549</v>
      </c>
      <c r="M66" s="64"/>
    </row>
    <row r="67" spans="1:13" ht="16.2" x14ac:dyDescent="0.4">
      <c r="A67" s="3" t="str">
        <f t="shared" si="0"/>
        <v>PROCESS_PROPERTY_RELPROCESS_REFERENCE_CODE</v>
      </c>
      <c r="B67" s="52" t="s">
        <v>23</v>
      </c>
      <c r="C67" s="49" t="s">
        <v>49</v>
      </c>
      <c r="D67" s="45" t="s">
        <v>36</v>
      </c>
      <c r="E67" s="46" t="s">
        <v>82</v>
      </c>
      <c r="F67" s="45" t="s">
        <v>61</v>
      </c>
      <c r="G67" s="47" t="s">
        <v>470</v>
      </c>
      <c r="H67" s="47" t="s">
        <v>470</v>
      </c>
      <c r="I67" s="54"/>
      <c r="J67" s="64" t="s">
        <v>549</v>
      </c>
      <c r="K67" s="64" t="s">
        <v>549</v>
      </c>
      <c r="L67" s="64" t="s">
        <v>549</v>
      </c>
      <c r="M67" s="64"/>
    </row>
    <row r="68" spans="1:13" ht="16.2" x14ac:dyDescent="0.4">
      <c r="A68" s="3" t="str">
        <f t="shared" si="0"/>
        <v>PROCESS_PROPERTY_RELdata_assc</v>
      </c>
      <c r="B68" s="52" t="s">
        <v>23</v>
      </c>
      <c r="C68" s="49" t="s">
        <v>49</v>
      </c>
      <c r="D68" s="45" t="s">
        <v>36</v>
      </c>
      <c r="E68" s="46" t="s">
        <v>82</v>
      </c>
      <c r="F68" s="45" t="s">
        <v>83</v>
      </c>
      <c r="G68" s="47" t="s">
        <v>469</v>
      </c>
      <c r="H68" s="47" t="s">
        <v>469</v>
      </c>
      <c r="I68" s="54" t="s">
        <v>508</v>
      </c>
      <c r="J68" s="64" t="s">
        <v>549</v>
      </c>
      <c r="K68" s="64" t="s">
        <v>549</v>
      </c>
      <c r="L68" s="64" t="s">
        <v>549</v>
      </c>
      <c r="M68" s="64"/>
    </row>
    <row r="69" spans="1:13" ht="16.2" x14ac:dyDescent="0.4">
      <c r="A69" s="3" t="str">
        <f t="shared" si="0"/>
        <v>PROCESS_PROPERTY_RELSEIZED_PROPERTY_IND</v>
      </c>
      <c r="B69" s="52" t="s">
        <v>23</v>
      </c>
      <c r="C69" s="49" t="s">
        <v>49</v>
      </c>
      <c r="D69" s="45" t="s">
        <v>36</v>
      </c>
      <c r="E69" s="46" t="s">
        <v>82</v>
      </c>
      <c r="F69" s="45" t="s">
        <v>84</v>
      </c>
      <c r="G69" s="47" t="s">
        <v>470</v>
      </c>
      <c r="H69" s="47" t="s">
        <v>470</v>
      </c>
      <c r="I69" s="65"/>
      <c r="J69" s="64" t="s">
        <v>549</v>
      </c>
      <c r="K69" s="64" t="s">
        <v>549</v>
      </c>
      <c r="L69" s="64" t="s">
        <v>549</v>
      </c>
      <c r="M69" s="64"/>
    </row>
    <row r="70" spans="1:13" ht="16.2" x14ac:dyDescent="0.4">
      <c r="A70" s="3" t="str">
        <f t="shared" si="0"/>
        <v>PROCESS_PROPERTY_RELCOLLATERAL_PROPERTY_IND</v>
      </c>
      <c r="B70" s="52" t="s">
        <v>23</v>
      </c>
      <c r="C70" s="49" t="s">
        <v>49</v>
      </c>
      <c r="D70" s="45" t="s">
        <v>36</v>
      </c>
      <c r="E70" s="46" t="s">
        <v>82</v>
      </c>
      <c r="F70" s="45" t="s">
        <v>85</v>
      </c>
      <c r="G70" s="47" t="s">
        <v>470</v>
      </c>
      <c r="H70" s="47" t="s">
        <v>470</v>
      </c>
      <c r="I70" s="65"/>
      <c r="J70" s="64" t="s">
        <v>549</v>
      </c>
      <c r="K70" s="64" t="s">
        <v>549</v>
      </c>
      <c r="L70" s="64" t="s">
        <v>549</v>
      </c>
      <c r="M70" s="64"/>
    </row>
    <row r="71" spans="1:13" ht="16.2" x14ac:dyDescent="0.4">
      <c r="A71" s="3" t="str">
        <f t="shared" si="0"/>
        <v>PROCESS_PROPERTY_RELFINANCED_PROPERTY_IND</v>
      </c>
      <c r="B71" s="52" t="s">
        <v>23</v>
      </c>
      <c r="C71" s="49" t="s">
        <v>49</v>
      </c>
      <c r="D71" s="45" t="s">
        <v>36</v>
      </c>
      <c r="E71" s="46" t="s">
        <v>82</v>
      </c>
      <c r="F71" s="45" t="s">
        <v>86</v>
      </c>
      <c r="G71" s="47" t="s">
        <v>470</v>
      </c>
      <c r="H71" s="47" t="s">
        <v>470</v>
      </c>
      <c r="I71" s="65"/>
      <c r="J71" s="64" t="s">
        <v>549</v>
      </c>
      <c r="K71" s="64" t="s">
        <v>549</v>
      </c>
      <c r="L71" s="64" t="s">
        <v>549</v>
      </c>
      <c r="M71" s="64"/>
    </row>
    <row r="72" spans="1:13" ht="16.2" x14ac:dyDescent="0.4">
      <c r="A72" s="3" t="str">
        <f t="shared" ref="A72:A135" si="1">E72&amp;F72</f>
        <v>PROCESS_PROPERTY_RELOWNED_PROPERTY_IND</v>
      </c>
      <c r="B72" s="52" t="s">
        <v>23</v>
      </c>
      <c r="C72" s="49" t="s">
        <v>49</v>
      </c>
      <c r="D72" s="45" t="s">
        <v>36</v>
      </c>
      <c r="E72" s="46" t="s">
        <v>82</v>
      </c>
      <c r="F72" s="45" t="s">
        <v>87</v>
      </c>
      <c r="G72" s="47" t="s">
        <v>470</v>
      </c>
      <c r="H72" s="47" t="s">
        <v>470</v>
      </c>
      <c r="I72" s="65"/>
      <c r="J72" s="64" t="s">
        <v>549</v>
      </c>
      <c r="K72" s="64" t="s">
        <v>549</v>
      </c>
      <c r="L72" s="64" t="s">
        <v>549</v>
      </c>
      <c r="M72" s="64"/>
    </row>
    <row r="73" spans="1:13" ht="16.2" x14ac:dyDescent="0.4">
      <c r="A73" s="3" t="str">
        <f t="shared" si="1"/>
        <v>PROCESS_PROPERTY_RELSOURCE_CODE</v>
      </c>
      <c r="B73" s="52" t="s">
        <v>23</v>
      </c>
      <c r="C73" s="49" t="s">
        <v>49</v>
      </c>
      <c r="D73" s="45" t="s">
        <v>36</v>
      </c>
      <c r="E73" s="46" t="s">
        <v>82</v>
      </c>
      <c r="F73" s="45" t="s">
        <v>81</v>
      </c>
      <c r="G73" s="47" t="s">
        <v>470</v>
      </c>
      <c r="H73" s="47" t="s">
        <v>470</v>
      </c>
      <c r="I73" s="65"/>
      <c r="J73" s="64" t="s">
        <v>549</v>
      </c>
      <c r="K73" s="64" t="s">
        <v>549</v>
      </c>
      <c r="L73" s="64" t="s">
        <v>549</v>
      </c>
      <c r="M73" s="64"/>
    </row>
    <row r="74" spans="1:13" ht="16.2" x14ac:dyDescent="0.4">
      <c r="A74" s="3" t="str">
        <f t="shared" si="1"/>
        <v>PROCESS_PROPERTY_RELDATA_DATE_PART</v>
      </c>
      <c r="B74" s="52" t="s">
        <v>23</v>
      </c>
      <c r="C74" s="49" t="s">
        <v>49</v>
      </c>
      <c r="D74" s="45" t="s">
        <v>36</v>
      </c>
      <c r="E74" s="46" t="s">
        <v>82</v>
      </c>
      <c r="F74" s="45" t="s">
        <v>67</v>
      </c>
      <c r="G74" s="47" t="s">
        <v>470</v>
      </c>
      <c r="H74" s="47" t="s">
        <v>470</v>
      </c>
      <c r="I74" s="65"/>
      <c r="J74" s="64" t="s">
        <v>549</v>
      </c>
      <c r="K74" s="64" t="s">
        <v>549</v>
      </c>
      <c r="L74" s="64" t="s">
        <v>549</v>
      </c>
      <c r="M74" s="64"/>
    </row>
    <row r="75" spans="1:13" ht="16.2" x14ac:dyDescent="0.4">
      <c r="A75" s="3" t="str">
        <f t="shared" si="1"/>
        <v>PROPERTYn.a.</v>
      </c>
      <c r="B75" s="52" t="s">
        <v>23</v>
      </c>
      <c r="C75" s="49" t="s">
        <v>49</v>
      </c>
      <c r="D75" s="45" t="s">
        <v>33</v>
      </c>
      <c r="E75" s="46" t="s">
        <v>88</v>
      </c>
      <c r="F75" s="45" t="s">
        <v>35</v>
      </c>
      <c r="G75" s="47" t="s">
        <v>470</v>
      </c>
      <c r="H75" s="47" t="s">
        <v>470</v>
      </c>
      <c r="I75" s="54"/>
      <c r="J75" s="64" t="s">
        <v>549</v>
      </c>
      <c r="K75" s="64" t="s">
        <v>549</v>
      </c>
      <c r="L75" s="64" t="s">
        <v>549</v>
      </c>
      <c r="M75" s="64"/>
    </row>
    <row r="76" spans="1:13" ht="16.2" x14ac:dyDescent="0.4">
      <c r="A76" s="3" t="str">
        <f t="shared" si="1"/>
        <v>PROPERTYCONSTRUCTION_YEAR</v>
      </c>
      <c r="B76" s="52" t="s">
        <v>23</v>
      </c>
      <c r="C76" s="49" t="s">
        <v>49</v>
      </c>
      <c r="D76" s="45" t="s">
        <v>36</v>
      </c>
      <c r="E76" s="46" t="s">
        <v>88</v>
      </c>
      <c r="F76" s="45" t="s">
        <v>89</v>
      </c>
      <c r="G76" s="47" t="s">
        <v>470</v>
      </c>
      <c r="H76" s="47" t="s">
        <v>470</v>
      </c>
      <c r="I76" s="54"/>
      <c r="J76" s="64" t="s">
        <v>549</v>
      </c>
      <c r="K76" s="64" t="s">
        <v>549</v>
      </c>
      <c r="L76" s="64" t="s">
        <v>549</v>
      </c>
      <c r="M76" s="64"/>
    </row>
    <row r="77" spans="1:13" ht="16.2" x14ac:dyDescent="0.4">
      <c r="A77" s="3" t="str">
        <f t="shared" si="1"/>
        <v>PROPERTYNET_FLOOR_AREA</v>
      </c>
      <c r="B77" s="52" t="s">
        <v>23</v>
      </c>
      <c r="C77" s="49" t="s">
        <v>49</v>
      </c>
      <c r="D77" s="45" t="s">
        <v>36</v>
      </c>
      <c r="E77" s="46" t="s">
        <v>88</v>
      </c>
      <c r="F77" s="45" t="s">
        <v>90</v>
      </c>
      <c r="G77" s="47" t="s">
        <v>470</v>
      </c>
      <c r="H77" s="47" t="s">
        <v>470</v>
      </c>
      <c r="I77" s="54"/>
      <c r="J77" s="64" t="s">
        <v>549</v>
      </c>
      <c r="K77" s="64" t="s">
        <v>549</v>
      </c>
      <c r="L77" s="64" t="s">
        <v>549</v>
      </c>
      <c r="M77" s="64"/>
    </row>
    <row r="78" spans="1:13" ht="16.2" x14ac:dyDescent="0.4">
      <c r="A78" s="3" t="str">
        <f t="shared" si="1"/>
        <v>PROPERTYPROPERTY_BANK_ID</v>
      </c>
      <c r="B78" s="52" t="s">
        <v>23</v>
      </c>
      <c r="C78" s="49" t="s">
        <v>49</v>
      </c>
      <c r="D78" s="45" t="s">
        <v>36</v>
      </c>
      <c r="E78" s="46" t="s">
        <v>88</v>
      </c>
      <c r="F78" s="45" t="s">
        <v>37</v>
      </c>
      <c r="G78" s="47" t="s">
        <v>470</v>
      </c>
      <c r="H78" s="47" t="s">
        <v>470</v>
      </c>
      <c r="I78" s="65"/>
      <c r="J78" s="64" t="s">
        <v>549</v>
      </c>
      <c r="K78" s="64" t="s">
        <v>549</v>
      </c>
      <c r="L78" s="64" t="s">
        <v>549</v>
      </c>
      <c r="M78" s="64"/>
    </row>
    <row r="79" spans="1:13" ht="16.2" x14ac:dyDescent="0.4">
      <c r="A79" s="3" t="str">
        <f t="shared" si="1"/>
        <v>PROPERTYPROPERTY_BRANCH_CODE</v>
      </c>
      <c r="B79" s="52" t="s">
        <v>23</v>
      </c>
      <c r="C79" s="49" t="s">
        <v>49</v>
      </c>
      <c r="D79" s="45" t="s">
        <v>36</v>
      </c>
      <c r="E79" s="46" t="s">
        <v>88</v>
      </c>
      <c r="F79" s="45" t="s">
        <v>39</v>
      </c>
      <c r="G79" s="47" t="s">
        <v>470</v>
      </c>
      <c r="H79" s="47" t="s">
        <v>470</v>
      </c>
      <c r="I79" s="65"/>
      <c r="J79" s="64" t="s">
        <v>549</v>
      </c>
      <c r="K79" s="64" t="s">
        <v>549</v>
      </c>
      <c r="L79" s="64" t="s">
        <v>549</v>
      </c>
      <c r="M79" s="64"/>
    </row>
    <row r="80" spans="1:13" ht="16.2" x14ac:dyDescent="0.4">
      <c r="A80" s="3" t="str">
        <f t="shared" si="1"/>
        <v>PROPERTYPROPERTY_CONTRACT_ID</v>
      </c>
      <c r="B80" s="52" t="s">
        <v>23</v>
      </c>
      <c r="C80" s="49" t="s">
        <v>49</v>
      </c>
      <c r="D80" s="45" t="s">
        <v>36</v>
      </c>
      <c r="E80" s="46" t="s">
        <v>88</v>
      </c>
      <c r="F80" s="45" t="s">
        <v>40</v>
      </c>
      <c r="G80" s="47" t="s">
        <v>470</v>
      </c>
      <c r="H80" s="47" t="s">
        <v>470</v>
      </c>
      <c r="I80" s="65"/>
      <c r="J80" s="64" t="s">
        <v>549</v>
      </c>
      <c r="K80" s="64" t="s">
        <v>549</v>
      </c>
      <c r="L80" s="64" t="s">
        <v>549</v>
      </c>
      <c r="M80" s="64"/>
    </row>
    <row r="81" spans="1:13" ht="16.2" x14ac:dyDescent="0.4">
      <c r="A81" s="3" t="str">
        <f t="shared" si="1"/>
        <v>PROPERTYPROPERTY_REFERENCE_CODE</v>
      </c>
      <c r="B81" s="52" t="s">
        <v>23</v>
      </c>
      <c r="C81" s="49" t="s">
        <v>49</v>
      </c>
      <c r="D81" s="45" t="s">
        <v>36</v>
      </c>
      <c r="E81" s="46" t="s">
        <v>88</v>
      </c>
      <c r="F81" s="45" t="s">
        <v>41</v>
      </c>
      <c r="G81" s="47" t="s">
        <v>470</v>
      </c>
      <c r="H81" s="47" t="s">
        <v>470</v>
      </c>
      <c r="I81" s="65"/>
      <c r="J81" s="64" t="s">
        <v>549</v>
      </c>
      <c r="K81" s="64" t="s">
        <v>549</v>
      </c>
      <c r="L81" s="64" t="s">
        <v>549</v>
      </c>
      <c r="M81" s="64"/>
    </row>
    <row r="82" spans="1:13" ht="16.2" x14ac:dyDescent="0.4">
      <c r="A82" s="3" t="str">
        <f t="shared" si="1"/>
        <v>PROPERTYCADASTRAL_REGISTER_CODE</v>
      </c>
      <c r="B82" s="52" t="s">
        <v>23</v>
      </c>
      <c r="C82" s="49" t="s">
        <v>49</v>
      </c>
      <c r="D82" s="45" t="s">
        <v>36</v>
      </c>
      <c r="E82" s="46" t="s">
        <v>88</v>
      </c>
      <c r="F82" s="45" t="s">
        <v>91</v>
      </c>
      <c r="G82" s="47" t="s">
        <v>470</v>
      </c>
      <c r="H82" s="47" t="s">
        <v>470</v>
      </c>
      <c r="I82" s="65"/>
      <c r="J82" s="64" t="s">
        <v>549</v>
      </c>
      <c r="K82" s="64" t="s">
        <v>549</v>
      </c>
      <c r="L82" s="64" t="s">
        <v>549</v>
      </c>
      <c r="M82" s="64"/>
    </row>
    <row r="83" spans="1:13" ht="16.2" x14ac:dyDescent="0.4">
      <c r="A83" s="3" t="str">
        <f t="shared" si="1"/>
        <v>PROPERTYAPPRAISAL_CODE</v>
      </c>
      <c r="B83" s="52" t="s">
        <v>23</v>
      </c>
      <c r="C83" s="49" t="s">
        <v>49</v>
      </c>
      <c r="D83" s="45" t="s">
        <v>36</v>
      </c>
      <c r="E83" s="46" t="s">
        <v>88</v>
      </c>
      <c r="F83" s="45" t="s">
        <v>92</v>
      </c>
      <c r="G83" s="47" t="s">
        <v>470</v>
      </c>
      <c r="H83" s="47" t="s">
        <v>470</v>
      </c>
      <c r="I83" s="65"/>
      <c r="J83" s="64" t="s">
        <v>549</v>
      </c>
      <c r="K83" s="64" t="s">
        <v>549</v>
      </c>
      <c r="L83" s="64" t="s">
        <v>549</v>
      </c>
      <c r="M83" s="64"/>
    </row>
    <row r="84" spans="1:13" ht="16.2" x14ac:dyDescent="0.4">
      <c r="A84" s="3" t="str">
        <f t="shared" si="1"/>
        <v>PROPERTYcod_bem</v>
      </c>
      <c r="B84" s="52" t="s">
        <v>23</v>
      </c>
      <c r="C84" s="49" t="s">
        <v>49</v>
      </c>
      <c r="D84" s="45" t="s">
        <v>36</v>
      </c>
      <c r="E84" s="46" t="s">
        <v>88</v>
      </c>
      <c r="F84" s="45" t="s">
        <v>93</v>
      </c>
      <c r="G84" s="47" t="s">
        <v>469</v>
      </c>
      <c r="H84" s="47" t="s">
        <v>469</v>
      </c>
      <c r="I84" s="54" t="s">
        <v>508</v>
      </c>
      <c r="J84" s="64" t="s">
        <v>549</v>
      </c>
      <c r="K84" s="64" t="s">
        <v>549</v>
      </c>
      <c r="L84" s="64" t="s">
        <v>549</v>
      </c>
      <c r="M84" s="64"/>
    </row>
    <row r="85" spans="1:13" ht="16.2" x14ac:dyDescent="0.4">
      <c r="A85" s="3" t="str">
        <f t="shared" si="1"/>
        <v>PROPERTYDISTRICT_MUNICIP_PARISH_CODE</v>
      </c>
      <c r="B85" s="52" t="s">
        <v>23</v>
      </c>
      <c r="C85" s="49" t="s">
        <v>49</v>
      </c>
      <c r="D85" s="45" t="s">
        <v>36</v>
      </c>
      <c r="E85" s="46" t="s">
        <v>88</v>
      </c>
      <c r="F85" s="45" t="s">
        <v>94</v>
      </c>
      <c r="G85" s="47" t="s">
        <v>470</v>
      </c>
      <c r="H85" s="47" t="s">
        <v>470</v>
      </c>
      <c r="I85" s="65"/>
      <c r="J85" s="64" t="s">
        <v>549</v>
      </c>
      <c r="K85" s="64" t="s">
        <v>549</v>
      </c>
      <c r="L85" s="64" t="s">
        <v>549</v>
      </c>
      <c r="M85" s="64"/>
    </row>
    <row r="86" spans="1:13" ht="16.2" x14ac:dyDescent="0.4">
      <c r="A86" s="3" t="str">
        <f t="shared" si="1"/>
        <v>PROPERTYPROPERTY_PURPOSE_CODE</v>
      </c>
      <c r="B86" s="52" t="s">
        <v>23</v>
      </c>
      <c r="C86" s="49" t="s">
        <v>49</v>
      </c>
      <c r="D86" s="45" t="s">
        <v>36</v>
      </c>
      <c r="E86" s="46" t="s">
        <v>88</v>
      </c>
      <c r="F86" s="45" t="s">
        <v>95</v>
      </c>
      <c r="G86" s="47" t="s">
        <v>470</v>
      </c>
      <c r="H86" s="47" t="s">
        <v>470</v>
      </c>
      <c r="I86" s="65"/>
      <c r="J86" s="64" t="s">
        <v>549</v>
      </c>
      <c r="K86" s="64" t="s">
        <v>549</v>
      </c>
      <c r="L86" s="64" t="s">
        <v>549</v>
      </c>
      <c r="M86" s="64"/>
    </row>
    <row r="87" spans="1:13" ht="16.2" x14ac:dyDescent="0.4">
      <c r="A87" s="3" t="str">
        <f t="shared" si="1"/>
        <v>PROPERTYPROPERTY_LIFETIME_CODE</v>
      </c>
      <c r="B87" s="52" t="s">
        <v>23</v>
      </c>
      <c r="C87" s="49" t="s">
        <v>49</v>
      </c>
      <c r="D87" s="45" t="s">
        <v>36</v>
      </c>
      <c r="E87" s="46" t="s">
        <v>88</v>
      </c>
      <c r="F87" s="45" t="s">
        <v>96</v>
      </c>
      <c r="G87" s="47" t="s">
        <v>470</v>
      </c>
      <c r="H87" s="47" t="s">
        <v>470</v>
      </c>
      <c r="I87" s="65"/>
      <c r="J87" s="64" t="s">
        <v>549</v>
      </c>
      <c r="K87" s="64" t="s">
        <v>549</v>
      </c>
      <c r="L87" s="64" t="s">
        <v>549</v>
      </c>
      <c r="M87" s="64"/>
    </row>
    <row r="88" spans="1:13" ht="16.2" x14ac:dyDescent="0.4">
      <c r="A88" s="3" t="str">
        <f t="shared" si="1"/>
        <v>PROPERTYADDRESS_CODE</v>
      </c>
      <c r="B88" s="52" t="s">
        <v>23</v>
      </c>
      <c r="C88" s="49" t="s">
        <v>49</v>
      </c>
      <c r="D88" s="45" t="s">
        <v>36</v>
      </c>
      <c r="E88" s="46" t="s">
        <v>88</v>
      </c>
      <c r="F88" s="45" t="s">
        <v>97</v>
      </c>
      <c r="G88" s="47" t="s">
        <v>470</v>
      </c>
      <c r="H88" s="47" t="s">
        <v>470</v>
      </c>
      <c r="I88" s="65"/>
      <c r="J88" s="64" t="s">
        <v>549</v>
      </c>
      <c r="K88" s="64" t="s">
        <v>549</v>
      </c>
      <c r="L88" s="64" t="s">
        <v>549</v>
      </c>
      <c r="M88" s="64"/>
    </row>
    <row r="89" spans="1:13" ht="16.2" x14ac:dyDescent="0.4">
      <c r="A89" s="3" t="str">
        <f t="shared" si="1"/>
        <v>PROPERTYCOUNTRY_CODE</v>
      </c>
      <c r="B89" s="52" t="s">
        <v>23</v>
      </c>
      <c r="C89" s="49" t="s">
        <v>49</v>
      </c>
      <c r="D89" s="45" t="s">
        <v>36</v>
      </c>
      <c r="E89" s="46" t="s">
        <v>88</v>
      </c>
      <c r="F89" s="45" t="s">
        <v>98</v>
      </c>
      <c r="G89" s="47" t="s">
        <v>470</v>
      </c>
      <c r="H89" s="47" t="s">
        <v>470</v>
      </c>
      <c r="I89" s="65"/>
      <c r="J89" s="64" t="s">
        <v>549</v>
      </c>
      <c r="K89" s="64" t="s">
        <v>549</v>
      </c>
      <c r="L89" s="64" t="s">
        <v>549</v>
      </c>
      <c r="M89" s="64"/>
    </row>
    <row r="90" spans="1:13" ht="16.2" x14ac:dyDescent="0.4">
      <c r="A90" s="3" t="str">
        <f t="shared" si="1"/>
        <v>PROPERTYPOSTAL_CODE</v>
      </c>
      <c r="B90" s="52" t="s">
        <v>23</v>
      </c>
      <c r="C90" s="49" t="s">
        <v>49</v>
      </c>
      <c r="D90" s="45" t="s">
        <v>36</v>
      </c>
      <c r="E90" s="46" t="s">
        <v>88</v>
      </c>
      <c r="F90" s="45" t="s">
        <v>99</v>
      </c>
      <c r="G90" s="47" t="s">
        <v>470</v>
      </c>
      <c r="H90" s="47" t="s">
        <v>470</v>
      </c>
      <c r="I90" s="65"/>
      <c r="J90" s="64" t="s">
        <v>549</v>
      </c>
      <c r="K90" s="64" t="s">
        <v>549</v>
      </c>
      <c r="L90" s="64" t="s">
        <v>549</v>
      </c>
      <c r="M90" s="64"/>
    </row>
    <row r="91" spans="1:13" ht="16.2" x14ac:dyDescent="0.4">
      <c r="A91" s="3" t="str">
        <f t="shared" si="1"/>
        <v>PROPERTYPROPERTY_TYPE_CODE</v>
      </c>
      <c r="B91" s="52" t="s">
        <v>23</v>
      </c>
      <c r="C91" s="49" t="s">
        <v>49</v>
      </c>
      <c r="D91" s="45" t="s">
        <v>36</v>
      </c>
      <c r="E91" s="46" t="s">
        <v>88</v>
      </c>
      <c r="F91" s="45" t="s">
        <v>100</v>
      </c>
      <c r="G91" s="47" t="s">
        <v>470</v>
      </c>
      <c r="H91" s="47" t="s">
        <v>470</v>
      </c>
      <c r="I91" s="65"/>
      <c r="J91" s="64" t="s">
        <v>549</v>
      </c>
      <c r="K91" s="64" t="s">
        <v>549</v>
      </c>
      <c r="L91" s="64" t="s">
        <v>549</v>
      </c>
      <c r="M91" s="64"/>
    </row>
    <row r="92" spans="1:13" ht="16.2" x14ac:dyDescent="0.4">
      <c r="A92" s="3" t="str">
        <f t="shared" si="1"/>
        <v>PROPERTYLAST_APPRAISAL_DATE</v>
      </c>
      <c r="B92" s="52" t="s">
        <v>23</v>
      </c>
      <c r="C92" s="49" t="s">
        <v>49</v>
      </c>
      <c r="D92" s="45" t="s">
        <v>36</v>
      </c>
      <c r="E92" s="46" t="s">
        <v>88</v>
      </c>
      <c r="F92" s="45" t="s">
        <v>101</v>
      </c>
      <c r="G92" s="47" t="s">
        <v>470</v>
      </c>
      <c r="H92" s="47" t="s">
        <v>470</v>
      </c>
      <c r="I92" s="65"/>
      <c r="J92" s="64" t="s">
        <v>549</v>
      </c>
      <c r="K92" s="64" t="s">
        <v>549</v>
      </c>
      <c r="L92" s="64" t="s">
        <v>549</v>
      </c>
      <c r="M92" s="64"/>
    </row>
    <row r="93" spans="1:13" ht="16.2" x14ac:dyDescent="0.4">
      <c r="A93" s="3" t="str">
        <f t="shared" si="1"/>
        <v>PROPERTYUSAGE_PERMIT_START_DATE</v>
      </c>
      <c r="B93" s="52" t="s">
        <v>23</v>
      </c>
      <c r="C93" s="49" t="s">
        <v>49</v>
      </c>
      <c r="D93" s="45" t="s">
        <v>36</v>
      </c>
      <c r="E93" s="46" t="s">
        <v>88</v>
      </c>
      <c r="F93" s="45" t="s">
        <v>102</v>
      </c>
      <c r="G93" s="47" t="s">
        <v>470</v>
      </c>
      <c r="H93" s="47" t="s">
        <v>470</v>
      </c>
      <c r="I93" s="65"/>
      <c r="J93" s="64" t="s">
        <v>549</v>
      </c>
      <c r="K93" s="64" t="s">
        <v>549</v>
      </c>
      <c r="L93" s="64" t="s">
        <v>549</v>
      </c>
      <c r="M93" s="64"/>
    </row>
    <row r="94" spans="1:13" ht="16.2" x14ac:dyDescent="0.4">
      <c r="A94" s="3" t="str">
        <f t="shared" si="1"/>
        <v>PROPERTYCONSERVATORY_REG_FILE_ID</v>
      </c>
      <c r="B94" s="52" t="s">
        <v>23</v>
      </c>
      <c r="C94" s="49" t="s">
        <v>49</v>
      </c>
      <c r="D94" s="45" t="s">
        <v>36</v>
      </c>
      <c r="E94" s="46" t="s">
        <v>88</v>
      </c>
      <c r="F94" s="45" t="s">
        <v>103</v>
      </c>
      <c r="G94" s="47" t="s">
        <v>470</v>
      </c>
      <c r="H94" s="47" t="s">
        <v>470</v>
      </c>
      <c r="I94" s="65"/>
      <c r="J94" s="64" t="s">
        <v>549</v>
      </c>
      <c r="K94" s="64" t="s">
        <v>549</v>
      </c>
      <c r="L94" s="64" t="s">
        <v>549</v>
      </c>
      <c r="M94" s="64"/>
    </row>
    <row r="95" spans="1:13" ht="16.2" x14ac:dyDescent="0.4">
      <c r="A95" s="3" t="str">
        <f t="shared" si="1"/>
        <v>PROPERTYFLOOR_NUMBER</v>
      </c>
      <c r="B95" s="52" t="s">
        <v>23</v>
      </c>
      <c r="C95" s="49" t="s">
        <v>49</v>
      </c>
      <c r="D95" s="45" t="s">
        <v>36</v>
      </c>
      <c r="E95" s="46" t="s">
        <v>88</v>
      </c>
      <c r="F95" s="45" t="s">
        <v>104</v>
      </c>
      <c r="G95" s="47" t="s">
        <v>470</v>
      </c>
      <c r="H95" s="47" t="s">
        <v>470</v>
      </c>
      <c r="I95" s="65"/>
      <c r="J95" s="64" t="s">
        <v>549</v>
      </c>
      <c r="K95" s="64" t="s">
        <v>549</v>
      </c>
      <c r="L95" s="64" t="s">
        <v>549</v>
      </c>
      <c r="M95" s="64"/>
    </row>
    <row r="96" spans="1:13" ht="16.2" x14ac:dyDescent="0.4">
      <c r="A96" s="3" t="str">
        <f t="shared" si="1"/>
        <v>PROPERTYLOCALITY</v>
      </c>
      <c r="B96" s="52" t="s">
        <v>23</v>
      </c>
      <c r="C96" s="49" t="s">
        <v>49</v>
      </c>
      <c r="D96" s="45" t="s">
        <v>36</v>
      </c>
      <c r="E96" s="46" t="s">
        <v>88</v>
      </c>
      <c r="F96" s="45" t="s">
        <v>105</v>
      </c>
      <c r="G96" s="47" t="s">
        <v>470</v>
      </c>
      <c r="H96" s="47" t="s">
        <v>470</v>
      </c>
      <c r="I96" s="65"/>
      <c r="J96" s="64" t="s">
        <v>549</v>
      </c>
      <c r="K96" s="64" t="s">
        <v>549</v>
      </c>
      <c r="L96" s="64" t="s">
        <v>549</v>
      </c>
      <c r="M96" s="64"/>
    </row>
    <row r="97" spans="1:13" ht="16.2" x14ac:dyDescent="0.4">
      <c r="A97" s="3" t="str">
        <f t="shared" si="1"/>
        <v>PROPERTYPROPERTY_LOT</v>
      </c>
      <c r="B97" s="52" t="s">
        <v>23</v>
      </c>
      <c r="C97" s="49" t="s">
        <v>49</v>
      </c>
      <c r="D97" s="45" t="s">
        <v>36</v>
      </c>
      <c r="E97" s="46" t="s">
        <v>88</v>
      </c>
      <c r="F97" s="45" t="s">
        <v>106</v>
      </c>
      <c r="G97" s="47" t="s">
        <v>470</v>
      </c>
      <c r="H97" s="47" t="s">
        <v>470</v>
      </c>
      <c r="I97" s="65"/>
      <c r="J97" s="64" t="s">
        <v>549</v>
      </c>
      <c r="K97" s="64" t="s">
        <v>549</v>
      </c>
      <c r="L97" s="64" t="s">
        <v>549</v>
      </c>
      <c r="M97" s="64"/>
    </row>
    <row r="98" spans="1:13" ht="16.2" x14ac:dyDescent="0.4">
      <c r="A98" s="3" t="str">
        <f t="shared" si="1"/>
        <v>PROPERTYLAST_APPRAISAL_AMOUNT</v>
      </c>
      <c r="B98" s="52" t="s">
        <v>23</v>
      </c>
      <c r="C98" s="49" t="s">
        <v>49</v>
      </c>
      <c r="D98" s="45" t="s">
        <v>36</v>
      </c>
      <c r="E98" s="46" t="s">
        <v>88</v>
      </c>
      <c r="F98" s="45" t="s">
        <v>107</v>
      </c>
      <c r="G98" s="47" t="s">
        <v>470</v>
      </c>
      <c r="H98" s="47" t="s">
        <v>470</v>
      </c>
      <c r="I98" s="65"/>
      <c r="J98" s="64" t="s">
        <v>549</v>
      </c>
      <c r="K98" s="64" t="s">
        <v>549</v>
      </c>
      <c r="L98" s="64" t="s">
        <v>549</v>
      </c>
      <c r="M98" s="64"/>
    </row>
    <row r="99" spans="1:13" ht="16.2" x14ac:dyDescent="0.4">
      <c r="A99" s="3" t="str">
        <f t="shared" si="1"/>
        <v>PROPERTYNET_APPRAISAL_AMOUNT</v>
      </c>
      <c r="B99" s="52" t="s">
        <v>23</v>
      </c>
      <c r="C99" s="49" t="s">
        <v>49</v>
      </c>
      <c r="D99" s="45" t="s">
        <v>36</v>
      </c>
      <c r="E99" s="46" t="s">
        <v>88</v>
      </c>
      <c r="F99" s="45" t="s">
        <v>108</v>
      </c>
      <c r="G99" s="47" t="s">
        <v>470</v>
      </c>
      <c r="H99" s="47" t="s">
        <v>470</v>
      </c>
      <c r="I99" s="65"/>
      <c r="J99" s="64" t="s">
        <v>549</v>
      </c>
      <c r="K99" s="64" t="s">
        <v>549</v>
      </c>
      <c r="L99" s="64" t="s">
        <v>549</v>
      </c>
      <c r="M99" s="64"/>
    </row>
    <row r="100" spans="1:13" ht="16.2" x14ac:dyDescent="0.4">
      <c r="A100" s="3" t="str">
        <f t="shared" si="1"/>
        <v>PROPERTYCOLLATERAL_FAST_SALE_AMOUNT</v>
      </c>
      <c r="B100" s="52" t="s">
        <v>23</v>
      </c>
      <c r="C100" s="49" t="s">
        <v>49</v>
      </c>
      <c r="D100" s="45" t="s">
        <v>36</v>
      </c>
      <c r="E100" s="46" t="s">
        <v>88</v>
      </c>
      <c r="F100" s="45" t="s">
        <v>109</v>
      </c>
      <c r="G100" s="47" t="s">
        <v>470</v>
      </c>
      <c r="H100" s="47" t="s">
        <v>470</v>
      </c>
      <c r="I100" s="65"/>
      <c r="J100" s="64" t="s">
        <v>549</v>
      </c>
      <c r="K100" s="64" t="s">
        <v>549</v>
      </c>
      <c r="L100" s="64" t="s">
        <v>549</v>
      </c>
      <c r="M100" s="64"/>
    </row>
    <row r="101" spans="1:13" ht="16.2" x14ac:dyDescent="0.4">
      <c r="A101" s="3" t="str">
        <f t="shared" si="1"/>
        <v>PROPERTYADDRESS</v>
      </c>
      <c r="B101" s="52" t="s">
        <v>23</v>
      </c>
      <c r="C101" s="49" t="s">
        <v>49</v>
      </c>
      <c r="D101" s="45" t="s">
        <v>36</v>
      </c>
      <c r="E101" s="46" t="s">
        <v>88</v>
      </c>
      <c r="F101" s="45" t="s">
        <v>110</v>
      </c>
      <c r="G101" s="47" t="s">
        <v>470</v>
      </c>
      <c r="H101" s="47" t="s">
        <v>470</v>
      </c>
      <c r="I101" s="65"/>
      <c r="J101" s="64" t="s">
        <v>549</v>
      </c>
      <c r="K101" s="64" t="s">
        <v>549</v>
      </c>
      <c r="L101" s="64" t="s">
        <v>549</v>
      </c>
      <c r="M101" s="64"/>
    </row>
    <row r="102" spans="1:13" ht="16.2" x14ac:dyDescent="0.4">
      <c r="A102" s="3" t="str">
        <f t="shared" si="1"/>
        <v>PROPERTYPROPERTY_NUMBER</v>
      </c>
      <c r="B102" s="52" t="s">
        <v>23</v>
      </c>
      <c r="C102" s="49" t="s">
        <v>49</v>
      </c>
      <c r="D102" s="45" t="s">
        <v>36</v>
      </c>
      <c r="E102" s="46" t="s">
        <v>88</v>
      </c>
      <c r="F102" s="45" t="s">
        <v>111</v>
      </c>
      <c r="G102" s="47" t="s">
        <v>470</v>
      </c>
      <c r="H102" s="47" t="s">
        <v>470</v>
      </c>
      <c r="I102" s="65"/>
      <c r="J102" s="64" t="s">
        <v>549</v>
      </c>
      <c r="K102" s="64" t="s">
        <v>549</v>
      </c>
      <c r="L102" s="64" t="s">
        <v>549</v>
      </c>
      <c r="M102" s="64"/>
    </row>
    <row r="103" spans="1:13" ht="16.2" x14ac:dyDescent="0.4">
      <c r="A103" s="3" t="str">
        <f t="shared" si="1"/>
        <v>PROPERTYOrigem</v>
      </c>
      <c r="B103" s="52" t="s">
        <v>23</v>
      </c>
      <c r="C103" s="49" t="s">
        <v>49</v>
      </c>
      <c r="D103" s="45" t="s">
        <v>36</v>
      </c>
      <c r="E103" s="46" t="s">
        <v>88</v>
      </c>
      <c r="F103" s="45" t="s">
        <v>112</v>
      </c>
      <c r="G103" s="47" t="s">
        <v>469</v>
      </c>
      <c r="H103" s="47" t="s">
        <v>469</v>
      </c>
      <c r="I103" s="54" t="s">
        <v>509</v>
      </c>
      <c r="J103" s="64" t="s">
        <v>549</v>
      </c>
      <c r="K103" s="64" t="s">
        <v>549</v>
      </c>
      <c r="L103" s="64" t="s">
        <v>549</v>
      </c>
      <c r="M103" s="64"/>
    </row>
    <row r="104" spans="1:13" ht="16.2" x14ac:dyDescent="0.4">
      <c r="A104" s="3" t="str">
        <f t="shared" si="1"/>
        <v>PROPERTYCURRENT_CONSTRUCTION_PCT</v>
      </c>
      <c r="B104" s="52" t="s">
        <v>23</v>
      </c>
      <c r="C104" s="49" t="s">
        <v>49</v>
      </c>
      <c r="D104" s="45" t="s">
        <v>36</v>
      </c>
      <c r="E104" s="46" t="s">
        <v>88</v>
      </c>
      <c r="F104" s="45" t="s">
        <v>113</v>
      </c>
      <c r="G104" s="47" t="s">
        <v>470</v>
      </c>
      <c r="H104" s="47" t="s">
        <v>470</v>
      </c>
      <c r="I104" s="54" t="s">
        <v>510</v>
      </c>
      <c r="J104" s="64">
        <v>45491</v>
      </c>
      <c r="K104" s="64">
        <v>45495</v>
      </c>
      <c r="L104" s="64">
        <v>45495</v>
      </c>
      <c r="M104" s="64"/>
    </row>
    <row r="105" spans="1:13" ht="16.2" x14ac:dyDescent="0.4">
      <c r="A105" s="3" t="str">
        <f t="shared" si="1"/>
        <v>PROPERTYCONSTRUCTION_COMPLETED_PCT</v>
      </c>
      <c r="B105" s="52" t="s">
        <v>23</v>
      </c>
      <c r="C105" s="49" t="s">
        <v>49</v>
      </c>
      <c r="D105" s="45" t="s">
        <v>36</v>
      </c>
      <c r="E105" s="46" t="s">
        <v>88</v>
      </c>
      <c r="F105" s="45" t="s">
        <v>114</v>
      </c>
      <c r="G105" s="47" t="s">
        <v>470</v>
      </c>
      <c r="H105" s="47" t="s">
        <v>470</v>
      </c>
      <c r="I105" s="54" t="s">
        <v>510</v>
      </c>
      <c r="J105" s="64">
        <v>45491</v>
      </c>
      <c r="K105" s="64">
        <v>45495</v>
      </c>
      <c r="L105" s="64">
        <v>45495</v>
      </c>
      <c r="M105" s="64"/>
    </row>
    <row r="106" spans="1:13" ht="16.2" x14ac:dyDescent="0.4">
      <c r="A106" s="3" t="str">
        <f t="shared" si="1"/>
        <v>PROPERTYDATA_DATE_PART</v>
      </c>
      <c r="B106" s="52" t="s">
        <v>23</v>
      </c>
      <c r="C106" s="49" t="s">
        <v>49</v>
      </c>
      <c r="D106" s="45" t="s">
        <v>36</v>
      </c>
      <c r="E106" s="46" t="s">
        <v>88</v>
      </c>
      <c r="F106" s="45" t="s">
        <v>67</v>
      </c>
      <c r="G106" s="47" t="s">
        <v>470</v>
      </c>
      <c r="H106" s="47" t="s">
        <v>470</v>
      </c>
      <c r="I106" s="65"/>
      <c r="J106" s="64" t="s">
        <v>549</v>
      </c>
      <c r="K106" s="64" t="s">
        <v>549</v>
      </c>
      <c r="L106" s="64" t="s">
        <v>549</v>
      </c>
      <c r="M106" s="64"/>
    </row>
    <row r="107" spans="1:13" ht="16.2" x14ac:dyDescent="0.4">
      <c r="A107" s="3" t="str">
        <f t="shared" si="1"/>
        <v>PROPERTYURBANIZATION</v>
      </c>
      <c r="B107" s="52" t="s">
        <v>23</v>
      </c>
      <c r="C107" s="49" t="s">
        <v>49</v>
      </c>
      <c r="D107" s="45" t="s">
        <v>36</v>
      </c>
      <c r="E107" s="46" t="s">
        <v>88</v>
      </c>
      <c r="F107" s="45" t="s">
        <v>115</v>
      </c>
      <c r="G107" s="47" t="s">
        <v>470</v>
      </c>
      <c r="H107" s="47" t="s">
        <v>470</v>
      </c>
      <c r="I107" s="65"/>
      <c r="J107" s="64" t="s">
        <v>549</v>
      </c>
      <c r="K107" s="64" t="s">
        <v>549</v>
      </c>
      <c r="L107" s="64" t="s">
        <v>549</v>
      </c>
      <c r="M107" s="64"/>
    </row>
    <row r="108" spans="1:13" ht="16.2" x14ac:dyDescent="0.4">
      <c r="A108" s="3" t="str">
        <f t="shared" si="1"/>
        <v>PROPERTY_ENERGY_CERTIFICATEn.a.</v>
      </c>
      <c r="B108" s="52" t="s">
        <v>23</v>
      </c>
      <c r="C108" s="49" t="s">
        <v>49</v>
      </c>
      <c r="D108" s="45" t="s">
        <v>33</v>
      </c>
      <c r="E108" s="46" t="s">
        <v>116</v>
      </c>
      <c r="F108" s="45" t="s">
        <v>35</v>
      </c>
      <c r="G108" s="47" t="s">
        <v>470</v>
      </c>
      <c r="H108" s="47" t="s">
        <v>470</v>
      </c>
      <c r="I108" s="54"/>
      <c r="J108" s="64" t="s">
        <v>549</v>
      </c>
      <c r="K108" s="64" t="s">
        <v>549</v>
      </c>
      <c r="L108" s="64" t="s">
        <v>549</v>
      </c>
      <c r="M108" s="64"/>
    </row>
    <row r="109" spans="1:13" ht="16.2" x14ac:dyDescent="0.4">
      <c r="A109" s="3" t="str">
        <f t="shared" si="1"/>
        <v>PROPERTY_ENERGY_CERTIFICATEPROPERTY_BANK_ID</v>
      </c>
      <c r="B109" s="52" t="s">
        <v>23</v>
      </c>
      <c r="C109" s="49" t="s">
        <v>49</v>
      </c>
      <c r="D109" s="45" t="s">
        <v>36</v>
      </c>
      <c r="E109" s="46" t="s">
        <v>116</v>
      </c>
      <c r="F109" s="45" t="s">
        <v>37</v>
      </c>
      <c r="G109" s="47" t="s">
        <v>470</v>
      </c>
      <c r="H109" s="47" t="s">
        <v>470</v>
      </c>
      <c r="I109" s="54"/>
      <c r="J109" s="64" t="s">
        <v>549</v>
      </c>
      <c r="K109" s="64" t="s">
        <v>549</v>
      </c>
      <c r="L109" s="64" t="s">
        <v>549</v>
      </c>
      <c r="M109" s="64"/>
    </row>
    <row r="110" spans="1:13" ht="16.2" x14ac:dyDescent="0.4">
      <c r="A110" s="3" t="str">
        <f t="shared" si="1"/>
        <v>PROPERTY_ENERGY_CERTIFICATEPROPERTY_BRANCH_CODE</v>
      </c>
      <c r="B110" s="52" t="s">
        <v>23</v>
      </c>
      <c r="C110" s="49" t="s">
        <v>49</v>
      </c>
      <c r="D110" s="45" t="s">
        <v>36</v>
      </c>
      <c r="E110" s="46" t="s">
        <v>116</v>
      </c>
      <c r="F110" s="45" t="s">
        <v>39</v>
      </c>
      <c r="G110" s="47" t="s">
        <v>470</v>
      </c>
      <c r="H110" s="47" t="s">
        <v>470</v>
      </c>
      <c r="I110" s="54"/>
      <c r="J110" s="64" t="s">
        <v>549</v>
      </c>
      <c r="K110" s="64" t="s">
        <v>549</v>
      </c>
      <c r="L110" s="64" t="s">
        <v>549</v>
      </c>
      <c r="M110" s="64"/>
    </row>
    <row r="111" spans="1:13" ht="16.2" x14ac:dyDescent="0.4">
      <c r="A111" s="3" t="str">
        <f t="shared" si="1"/>
        <v>PROPERTY_ENERGY_CERTIFICATEPROPERTY_CONTRACT_ID</v>
      </c>
      <c r="B111" s="52" t="s">
        <v>23</v>
      </c>
      <c r="C111" s="49" t="s">
        <v>49</v>
      </c>
      <c r="D111" s="45" t="s">
        <v>36</v>
      </c>
      <c r="E111" s="46" t="s">
        <v>116</v>
      </c>
      <c r="F111" s="45" t="s">
        <v>40</v>
      </c>
      <c r="G111" s="47" t="s">
        <v>470</v>
      </c>
      <c r="H111" s="47" t="s">
        <v>470</v>
      </c>
      <c r="I111" s="54"/>
      <c r="J111" s="64" t="s">
        <v>549</v>
      </c>
      <c r="K111" s="64" t="s">
        <v>549</v>
      </c>
      <c r="L111" s="64" t="s">
        <v>549</v>
      </c>
      <c r="M111" s="64"/>
    </row>
    <row r="112" spans="1:13" ht="16.2" x14ac:dyDescent="0.4">
      <c r="A112" s="3" t="str">
        <f t="shared" si="1"/>
        <v>PROPERTY_ENERGY_CERTIFICATEPROPERTY_REFERENCE_CODE</v>
      </c>
      <c r="B112" s="52" t="s">
        <v>23</v>
      </c>
      <c r="C112" s="49" t="s">
        <v>49</v>
      </c>
      <c r="D112" s="45" t="s">
        <v>36</v>
      </c>
      <c r="E112" s="46" t="s">
        <v>116</v>
      </c>
      <c r="F112" s="45" t="s">
        <v>41</v>
      </c>
      <c r="G112" s="47" t="s">
        <v>470</v>
      </c>
      <c r="H112" s="47" t="s">
        <v>470</v>
      </c>
      <c r="I112" s="54"/>
      <c r="J112" s="64" t="s">
        <v>549</v>
      </c>
      <c r="K112" s="64" t="s">
        <v>549</v>
      </c>
      <c r="L112" s="64" t="s">
        <v>549</v>
      </c>
      <c r="M112" s="64"/>
    </row>
    <row r="113" spans="1:13" ht="16.2" x14ac:dyDescent="0.4">
      <c r="A113" s="3" t="str">
        <f t="shared" si="1"/>
        <v>PROPERTY_ENERGY_CERTIFICATELAND_REGISTRY_OFFICE_CODE</v>
      </c>
      <c r="B113" s="52" t="s">
        <v>23</v>
      </c>
      <c r="C113" s="49" t="s">
        <v>49</v>
      </c>
      <c r="D113" s="45" t="s">
        <v>36</v>
      </c>
      <c r="E113" s="46" t="s">
        <v>116</v>
      </c>
      <c r="F113" s="45" t="s">
        <v>117</v>
      </c>
      <c r="G113" s="47" t="s">
        <v>475</v>
      </c>
      <c r="H113" s="47" t="s">
        <v>475</v>
      </c>
      <c r="I113" s="54"/>
      <c r="J113" s="64">
        <v>45562</v>
      </c>
      <c r="K113" s="64">
        <v>45607</v>
      </c>
      <c r="L113" s="64" t="s">
        <v>549</v>
      </c>
      <c r="M113" s="64"/>
    </row>
    <row r="114" spans="1:13" ht="16.2" x14ac:dyDescent="0.4">
      <c r="A114" s="3" t="str">
        <f t="shared" si="1"/>
        <v>PROPERTY_ENERGY_CERTIFICATEPROPERTY_IDENTIFICATION_CODE</v>
      </c>
      <c r="B114" s="52" t="s">
        <v>23</v>
      </c>
      <c r="C114" s="49" t="s">
        <v>49</v>
      </c>
      <c r="D114" s="45" t="s">
        <v>36</v>
      </c>
      <c r="E114" s="46" t="s">
        <v>116</v>
      </c>
      <c r="F114" s="45" t="s">
        <v>118</v>
      </c>
      <c r="G114" s="47" t="s">
        <v>475</v>
      </c>
      <c r="H114" s="47" t="s">
        <v>475</v>
      </c>
      <c r="I114" s="54"/>
      <c r="J114" s="64">
        <v>45562</v>
      </c>
      <c r="K114" s="64">
        <v>45607</v>
      </c>
      <c r="L114" s="64" t="s">
        <v>549</v>
      </c>
      <c r="M114" s="64"/>
    </row>
    <row r="115" spans="1:13" ht="16.2" x14ac:dyDescent="0.4">
      <c r="A115" s="3" t="str">
        <f t="shared" si="1"/>
        <v>PROPERTY_ENERGY_CERTIFICATEENERGY_CERTIFICATION_SYSTEM_CODE</v>
      </c>
      <c r="B115" s="52" t="s">
        <v>23</v>
      </c>
      <c r="C115" s="49" t="s">
        <v>49</v>
      </c>
      <c r="D115" s="45" t="s">
        <v>36</v>
      </c>
      <c r="E115" s="46" t="s">
        <v>116</v>
      </c>
      <c r="F115" s="45" t="s">
        <v>119</v>
      </c>
      <c r="G115" s="47" t="s">
        <v>475</v>
      </c>
      <c r="H115" s="47" t="s">
        <v>475</v>
      </c>
      <c r="I115" s="54"/>
      <c r="J115" s="64">
        <v>45562</v>
      </c>
      <c r="K115" s="64">
        <v>45607</v>
      </c>
      <c r="L115" s="64" t="s">
        <v>549</v>
      </c>
      <c r="M115" s="64"/>
    </row>
    <row r="116" spans="1:13" ht="16.2" x14ac:dyDescent="0.4">
      <c r="A116" s="3" t="str">
        <f t="shared" si="1"/>
        <v>PROPERTY_ENERGY_CERTIFICATEEPC_ISSUING_DATE</v>
      </c>
      <c r="B116" s="52" t="s">
        <v>23</v>
      </c>
      <c r="C116" s="49" t="s">
        <v>49</v>
      </c>
      <c r="D116" s="45" t="s">
        <v>36</v>
      </c>
      <c r="E116" s="46" t="s">
        <v>116</v>
      </c>
      <c r="F116" s="45" t="s">
        <v>120</v>
      </c>
      <c r="G116" s="47" t="s">
        <v>475</v>
      </c>
      <c r="H116" s="47" t="s">
        <v>475</v>
      </c>
      <c r="I116" s="54"/>
      <c r="J116" s="64">
        <v>45562</v>
      </c>
      <c r="K116" s="64">
        <v>45607</v>
      </c>
      <c r="L116" s="64" t="s">
        <v>549</v>
      </c>
      <c r="M116" s="64"/>
    </row>
    <row r="117" spans="1:13" ht="16.2" x14ac:dyDescent="0.4">
      <c r="A117" s="3" t="str">
        <f t="shared" si="1"/>
        <v>PROPERTY_ENERGY_CERTIFICATEEPC_EXPIRATION_DATE</v>
      </c>
      <c r="B117" s="52" t="s">
        <v>23</v>
      </c>
      <c r="C117" s="49" t="s">
        <v>49</v>
      </c>
      <c r="D117" s="45" t="s">
        <v>36</v>
      </c>
      <c r="E117" s="46" t="s">
        <v>116</v>
      </c>
      <c r="F117" s="45" t="s">
        <v>121</v>
      </c>
      <c r="G117" s="47" t="s">
        <v>475</v>
      </c>
      <c r="H117" s="47" t="s">
        <v>475</v>
      </c>
      <c r="I117" s="54"/>
      <c r="J117" s="64">
        <v>45562</v>
      </c>
      <c r="K117" s="64">
        <v>45607</v>
      </c>
      <c r="L117" s="64" t="s">
        <v>549</v>
      </c>
      <c r="M117" s="64"/>
    </row>
    <row r="118" spans="1:13" ht="16.2" x14ac:dyDescent="0.4">
      <c r="A118" s="3" t="str">
        <f t="shared" si="1"/>
        <v>PROPERTY_ENERGY_CERTIFICATEEPC</v>
      </c>
      <c r="B118" s="52" t="s">
        <v>23</v>
      </c>
      <c r="C118" s="49" t="s">
        <v>49</v>
      </c>
      <c r="D118" s="45" t="s">
        <v>36</v>
      </c>
      <c r="E118" s="46" t="s">
        <v>116</v>
      </c>
      <c r="F118" s="45" t="s">
        <v>43</v>
      </c>
      <c r="G118" s="47" t="s">
        <v>475</v>
      </c>
      <c r="H118" s="47" t="s">
        <v>475</v>
      </c>
      <c r="I118" s="54"/>
      <c r="J118" s="64">
        <v>45562</v>
      </c>
      <c r="K118" s="64">
        <v>45607</v>
      </c>
      <c r="L118" s="64" t="s">
        <v>549</v>
      </c>
      <c r="M118" s="64"/>
    </row>
    <row r="119" spans="1:13" ht="16.2" x14ac:dyDescent="0.4">
      <c r="A119" s="3" t="str">
        <f t="shared" si="1"/>
        <v>PROPERTY_ENERGY_CERTIFICATEENERGY_CONSUMPTION_TYPE_S_IND</v>
      </c>
      <c r="B119" s="52" t="s">
        <v>23</v>
      </c>
      <c r="C119" s="49" t="s">
        <v>49</v>
      </c>
      <c r="D119" s="45" t="s">
        <v>36</v>
      </c>
      <c r="E119" s="46" t="s">
        <v>116</v>
      </c>
      <c r="F119" s="45" t="s">
        <v>122</v>
      </c>
      <c r="G119" s="47" t="s">
        <v>470</v>
      </c>
      <c r="H119" s="47" t="s">
        <v>470</v>
      </c>
      <c r="I119" s="54"/>
      <c r="J119" s="64" t="s">
        <v>549</v>
      </c>
      <c r="K119" s="64" t="s">
        <v>549</v>
      </c>
      <c r="L119" s="64" t="s">
        <v>549</v>
      </c>
      <c r="M119" s="64"/>
    </row>
    <row r="120" spans="1:13" ht="16.2" x14ac:dyDescent="0.4">
      <c r="A120" s="3" t="str">
        <f t="shared" si="1"/>
        <v>PROPERTY_ENERGY_CERTIFICATEENERGY_CONSUMPTION_TYPE_T_IND</v>
      </c>
      <c r="B120" s="52" t="s">
        <v>23</v>
      </c>
      <c r="C120" s="49" t="s">
        <v>49</v>
      </c>
      <c r="D120" s="45" t="s">
        <v>36</v>
      </c>
      <c r="E120" s="46" t="s">
        <v>116</v>
      </c>
      <c r="F120" s="45" t="s">
        <v>123</v>
      </c>
      <c r="G120" s="47" t="s">
        <v>470</v>
      </c>
      <c r="H120" s="47" t="s">
        <v>470</v>
      </c>
      <c r="I120" s="54"/>
      <c r="J120" s="64" t="s">
        <v>549</v>
      </c>
      <c r="K120" s="64" t="s">
        <v>549</v>
      </c>
      <c r="L120" s="64" t="s">
        <v>549</v>
      </c>
      <c r="M120" s="64"/>
    </row>
    <row r="121" spans="1:13" ht="16.2" x14ac:dyDescent="0.4">
      <c r="A121" s="3" t="str">
        <f t="shared" si="1"/>
        <v>PROPERTY_ENERGY_CERTIFICATEENERGY_EFFICIENCY_IND</v>
      </c>
      <c r="B121" s="52" t="s">
        <v>23</v>
      </c>
      <c r="C121" s="49" t="s">
        <v>49</v>
      </c>
      <c r="D121" s="45" t="s">
        <v>36</v>
      </c>
      <c r="E121" s="46" t="s">
        <v>116</v>
      </c>
      <c r="F121" s="45" t="s">
        <v>124</v>
      </c>
      <c r="G121" s="47" t="s">
        <v>475</v>
      </c>
      <c r="H121" s="47" t="s">
        <v>475</v>
      </c>
      <c r="I121" s="54"/>
      <c r="J121" s="64">
        <v>45562</v>
      </c>
      <c r="K121" s="64">
        <v>45607</v>
      </c>
      <c r="L121" s="64" t="s">
        <v>549</v>
      </c>
      <c r="M121" s="64"/>
    </row>
    <row r="122" spans="1:13" ht="16.2" x14ac:dyDescent="0.4">
      <c r="A122" s="3" t="str">
        <f t="shared" si="1"/>
        <v>PROPERTY_ENERGY_CERTIFICATEREN_ENERGY_EFFICIENCY_IND</v>
      </c>
      <c r="B122" s="52" t="s">
        <v>23</v>
      </c>
      <c r="C122" s="49" t="s">
        <v>49</v>
      </c>
      <c r="D122" s="45" t="s">
        <v>36</v>
      </c>
      <c r="E122" s="46" t="s">
        <v>116</v>
      </c>
      <c r="F122" s="45" t="s">
        <v>125</v>
      </c>
      <c r="G122" s="47" t="s">
        <v>470</v>
      </c>
      <c r="H122" s="47" t="s">
        <v>470</v>
      </c>
      <c r="I122" s="54"/>
      <c r="J122" s="64" t="s">
        <v>549</v>
      </c>
      <c r="K122" s="64" t="s">
        <v>549</v>
      </c>
      <c r="L122" s="64" t="s">
        <v>549</v>
      </c>
      <c r="M122" s="64"/>
    </row>
    <row r="123" spans="1:13" ht="16.2" x14ac:dyDescent="0.4">
      <c r="A123" s="3" t="str">
        <f t="shared" si="1"/>
        <v>PROPERTY_ENERGY_CERTIFICATENZEB_IND</v>
      </c>
      <c r="B123" s="52" t="s">
        <v>23</v>
      </c>
      <c r="C123" s="49" t="s">
        <v>49</v>
      </c>
      <c r="D123" s="45" t="s">
        <v>36</v>
      </c>
      <c r="E123" s="46" t="s">
        <v>116</v>
      </c>
      <c r="F123" s="45" t="s">
        <v>126</v>
      </c>
      <c r="G123" s="47" t="s">
        <v>475</v>
      </c>
      <c r="H123" s="47" t="s">
        <v>475</v>
      </c>
      <c r="I123" s="54"/>
      <c r="J123" s="64">
        <v>45562</v>
      </c>
      <c r="K123" s="64">
        <v>45607</v>
      </c>
      <c r="L123" s="64" t="s">
        <v>549</v>
      </c>
      <c r="M123" s="64"/>
    </row>
    <row r="124" spans="1:13" ht="16.2" x14ac:dyDescent="0.4">
      <c r="A124" s="3" t="str">
        <f t="shared" si="1"/>
        <v>PROPERTY_ENERGY_CERTIFICATEACTUAL_VALUE_IND</v>
      </c>
      <c r="B124" s="52" t="s">
        <v>23</v>
      </c>
      <c r="C124" s="49" t="s">
        <v>49</v>
      </c>
      <c r="D124" s="45" t="s">
        <v>36</v>
      </c>
      <c r="E124" s="46" t="s">
        <v>116</v>
      </c>
      <c r="F124" s="45" t="s">
        <v>45</v>
      </c>
      <c r="G124" s="47" t="s">
        <v>475</v>
      </c>
      <c r="H124" s="47" t="s">
        <v>475</v>
      </c>
      <c r="I124" s="54"/>
      <c r="J124" s="64">
        <v>45562</v>
      </c>
      <c r="K124" s="64">
        <v>45607</v>
      </c>
      <c r="L124" s="64" t="s">
        <v>549</v>
      </c>
      <c r="M124" s="64"/>
    </row>
    <row r="125" spans="1:13" ht="16.2" x14ac:dyDescent="0.4">
      <c r="A125" s="3" t="str">
        <f t="shared" si="1"/>
        <v>PROPERTY_ENERGY_CERTIFICATEEP_SCORE</v>
      </c>
      <c r="B125" s="52" t="s">
        <v>23</v>
      </c>
      <c r="C125" s="49" t="s">
        <v>49</v>
      </c>
      <c r="D125" s="45" t="s">
        <v>36</v>
      </c>
      <c r="E125" s="46" t="s">
        <v>116</v>
      </c>
      <c r="F125" s="45" t="s">
        <v>127</v>
      </c>
      <c r="G125" s="47" t="s">
        <v>470</v>
      </c>
      <c r="H125" s="47" t="s">
        <v>470</v>
      </c>
      <c r="I125" s="54"/>
      <c r="J125" s="64" t="s">
        <v>549</v>
      </c>
      <c r="K125" s="64" t="s">
        <v>549</v>
      </c>
      <c r="L125" s="64" t="s">
        <v>549</v>
      </c>
      <c r="M125" s="64"/>
    </row>
    <row r="126" spans="1:13" ht="16.2" x14ac:dyDescent="0.4">
      <c r="A126" s="3" t="str">
        <f t="shared" si="1"/>
        <v>PROPERTY_ENERGY_CERTIFICATESOURCE_CODE</v>
      </c>
      <c r="B126" s="52" t="s">
        <v>23</v>
      </c>
      <c r="C126" s="49" t="s">
        <v>49</v>
      </c>
      <c r="D126" s="45" t="s">
        <v>36</v>
      </c>
      <c r="E126" s="46" t="s">
        <v>116</v>
      </c>
      <c r="F126" s="45" t="s">
        <v>81</v>
      </c>
      <c r="G126" s="47" t="s">
        <v>475</v>
      </c>
      <c r="H126" s="47" t="s">
        <v>475</v>
      </c>
      <c r="I126" s="54"/>
      <c r="J126" s="64">
        <v>45562</v>
      </c>
      <c r="K126" s="64">
        <v>45607</v>
      </c>
      <c r="L126" s="64" t="s">
        <v>549</v>
      </c>
      <c r="M126" s="64"/>
    </row>
    <row r="127" spans="1:13" ht="16.2" x14ac:dyDescent="0.4">
      <c r="A127" s="3" t="str">
        <f t="shared" si="1"/>
        <v>PROPERTY_ENERGY_CERTIFICATEDATA_DATE_PART</v>
      </c>
      <c r="B127" s="52" t="s">
        <v>23</v>
      </c>
      <c r="C127" s="49" t="s">
        <v>49</v>
      </c>
      <c r="D127" s="45" t="s">
        <v>36</v>
      </c>
      <c r="E127" s="46" t="s">
        <v>116</v>
      </c>
      <c r="F127" s="45" t="s">
        <v>67</v>
      </c>
      <c r="G127" s="47" t="s">
        <v>470</v>
      </c>
      <c r="H127" s="47" t="s">
        <v>470</v>
      </c>
      <c r="I127" s="54"/>
      <c r="J127" s="64" t="s">
        <v>549</v>
      </c>
      <c r="K127" s="64" t="s">
        <v>549</v>
      </c>
      <c r="L127" s="64" t="s">
        <v>549</v>
      </c>
      <c r="M127" s="64"/>
    </row>
    <row r="128" spans="1:13" ht="16.2" x14ac:dyDescent="0.4">
      <c r="A128" s="3" t="str">
        <f t="shared" si="1"/>
        <v>PROPERTY_ENERGY_CERTIFICATECERTIFICATE_TYPE</v>
      </c>
      <c r="B128" s="52" t="s">
        <v>23</v>
      </c>
      <c r="C128" s="49" t="s">
        <v>49</v>
      </c>
      <c r="D128" s="45" t="s">
        <v>36</v>
      </c>
      <c r="E128" s="46" t="s">
        <v>116</v>
      </c>
      <c r="F128" s="45" t="s">
        <v>128</v>
      </c>
      <c r="G128" s="47" t="s">
        <v>475</v>
      </c>
      <c r="H128" s="47" t="s">
        <v>475</v>
      </c>
      <c r="I128" s="54"/>
      <c r="J128" s="64">
        <v>45562</v>
      </c>
      <c r="K128" s="64">
        <v>45607</v>
      </c>
      <c r="L128" s="64" t="s">
        <v>549</v>
      </c>
      <c r="M128" s="64"/>
    </row>
    <row r="129" spans="1:13" ht="16.2" x14ac:dyDescent="0.4">
      <c r="A129" s="3" t="str">
        <f t="shared" si="1"/>
        <v>PROPERTY_ENERGY_CERTIFICATEBUILDING_DOMEST_HOTWATER_VALUE</v>
      </c>
      <c r="B129" s="52" t="s">
        <v>23</v>
      </c>
      <c r="C129" s="49" t="s">
        <v>49</v>
      </c>
      <c r="D129" s="45" t="s">
        <v>36</v>
      </c>
      <c r="E129" s="46" t="s">
        <v>116</v>
      </c>
      <c r="F129" s="45" t="s">
        <v>129</v>
      </c>
      <c r="G129" s="47" t="s">
        <v>470</v>
      </c>
      <c r="H129" s="47" t="s">
        <v>470</v>
      </c>
      <c r="I129" s="54"/>
      <c r="J129" s="64" t="s">
        <v>549</v>
      </c>
      <c r="K129" s="64" t="s">
        <v>549</v>
      </c>
      <c r="L129" s="64" t="s">
        <v>549</v>
      </c>
      <c r="M129" s="64"/>
    </row>
    <row r="130" spans="1:13" ht="16.2" x14ac:dyDescent="0.4">
      <c r="A130" s="3" t="str">
        <f t="shared" si="1"/>
        <v>PROPERTY_ENERGY_CERTIFICATERENEWABLE_DOMEST_HOTWATER_VALUE</v>
      </c>
      <c r="B130" s="52" t="s">
        <v>23</v>
      </c>
      <c r="C130" s="49" t="s">
        <v>49</v>
      </c>
      <c r="D130" s="45" t="s">
        <v>36</v>
      </c>
      <c r="E130" s="46" t="s">
        <v>116</v>
      </c>
      <c r="F130" s="45" t="s">
        <v>130</v>
      </c>
      <c r="G130" s="47" t="s">
        <v>470</v>
      </c>
      <c r="H130" s="47" t="s">
        <v>470</v>
      </c>
      <c r="I130" s="54"/>
      <c r="J130" s="64" t="s">
        <v>549</v>
      </c>
      <c r="K130" s="64" t="s">
        <v>549</v>
      </c>
      <c r="L130" s="64" t="s">
        <v>549</v>
      </c>
      <c r="M130" s="64"/>
    </row>
    <row r="131" spans="1:13" ht="16.2" x14ac:dyDescent="0.4">
      <c r="A131" s="3" t="str">
        <f t="shared" si="1"/>
        <v>PROPERTY_ENERGY_CERTIFICATEDOMEST_HOTWATER_REF_VALUE</v>
      </c>
      <c r="B131" s="52" t="s">
        <v>23</v>
      </c>
      <c r="C131" s="49" t="s">
        <v>49</v>
      </c>
      <c r="D131" s="45" t="s">
        <v>36</v>
      </c>
      <c r="E131" s="46" t="s">
        <v>116</v>
      </c>
      <c r="F131" s="45" t="s">
        <v>131</v>
      </c>
      <c r="G131" s="47" t="s">
        <v>470</v>
      </c>
      <c r="H131" s="47" t="s">
        <v>470</v>
      </c>
      <c r="I131" s="54"/>
      <c r="J131" s="64" t="s">
        <v>549</v>
      </c>
      <c r="K131" s="64" t="s">
        <v>549</v>
      </c>
      <c r="L131" s="64" t="s">
        <v>549</v>
      </c>
      <c r="M131" s="64"/>
    </row>
    <row r="132" spans="1:13" ht="16.2" x14ac:dyDescent="0.4">
      <c r="A132" s="3" t="str">
        <f t="shared" si="1"/>
        <v>PROPERTY_ENERGY_CERTIFICATEHEIGHT</v>
      </c>
      <c r="B132" s="52" t="s">
        <v>23</v>
      </c>
      <c r="C132" s="49" t="s">
        <v>49</v>
      </c>
      <c r="D132" s="45" t="s">
        <v>36</v>
      </c>
      <c r="E132" s="46" t="s">
        <v>116</v>
      </c>
      <c r="F132" s="45" t="s">
        <v>132</v>
      </c>
      <c r="G132" s="47" t="s">
        <v>470</v>
      </c>
      <c r="H132" s="47" t="s">
        <v>470</v>
      </c>
      <c r="I132" s="54"/>
      <c r="J132" s="64" t="s">
        <v>549</v>
      </c>
      <c r="K132" s="64" t="s">
        <v>549</v>
      </c>
      <c r="L132" s="64" t="s">
        <v>549</v>
      </c>
      <c r="M132" s="64"/>
    </row>
    <row r="133" spans="1:13" ht="16.2" x14ac:dyDescent="0.4">
      <c r="A133" s="3" t="str">
        <f t="shared" si="1"/>
        <v>PROPERTY_ENERGY_CERTIFICATEBUILDING_SPACE_HEATING_VALUE</v>
      </c>
      <c r="B133" s="52" t="s">
        <v>23</v>
      </c>
      <c r="C133" s="49" t="s">
        <v>49</v>
      </c>
      <c r="D133" s="45" t="s">
        <v>36</v>
      </c>
      <c r="E133" s="46" t="s">
        <v>116</v>
      </c>
      <c r="F133" s="45" t="s">
        <v>133</v>
      </c>
      <c r="G133" s="47" t="s">
        <v>470</v>
      </c>
      <c r="H133" s="47" t="s">
        <v>470</v>
      </c>
      <c r="I133" s="54"/>
      <c r="J133" s="64" t="s">
        <v>549</v>
      </c>
      <c r="K133" s="64" t="s">
        <v>549</v>
      </c>
      <c r="L133" s="64" t="s">
        <v>549</v>
      </c>
      <c r="M133" s="64"/>
    </row>
    <row r="134" spans="1:13" ht="16.2" x14ac:dyDescent="0.4">
      <c r="A134" s="3" t="str">
        <f t="shared" si="1"/>
        <v>PROPERTY_ENERGY_CERTIFICATESPACE_HEATING_REF_VALUE</v>
      </c>
      <c r="B134" s="52" t="s">
        <v>23</v>
      </c>
      <c r="C134" s="49" t="s">
        <v>49</v>
      </c>
      <c r="D134" s="45" t="s">
        <v>36</v>
      </c>
      <c r="E134" s="46" t="s">
        <v>116</v>
      </c>
      <c r="F134" s="45" t="s">
        <v>134</v>
      </c>
      <c r="G134" s="47" t="s">
        <v>470</v>
      </c>
      <c r="H134" s="47" t="s">
        <v>470</v>
      </c>
      <c r="I134" s="54"/>
      <c r="J134" s="64" t="s">
        <v>549</v>
      </c>
      <c r="K134" s="64" t="s">
        <v>549</v>
      </c>
      <c r="L134" s="64" t="s">
        <v>549</v>
      </c>
      <c r="M134" s="64"/>
    </row>
    <row r="135" spans="1:13" ht="16.2" x14ac:dyDescent="0.4">
      <c r="A135" s="3" t="str">
        <f t="shared" si="1"/>
        <v>PROPERTY_ENERGY_CERTIFICATERENEWABLE_SPACE_HEATING_VALUE</v>
      </c>
      <c r="B135" s="52" t="s">
        <v>23</v>
      </c>
      <c r="C135" s="49" t="s">
        <v>49</v>
      </c>
      <c r="D135" s="45" t="s">
        <v>36</v>
      </c>
      <c r="E135" s="46" t="s">
        <v>116</v>
      </c>
      <c r="F135" s="45" t="s">
        <v>135</v>
      </c>
      <c r="G135" s="47" t="s">
        <v>470</v>
      </c>
      <c r="H135" s="47" t="s">
        <v>470</v>
      </c>
      <c r="I135" s="54"/>
      <c r="J135" s="64" t="s">
        <v>549</v>
      </c>
      <c r="K135" s="64" t="s">
        <v>549</v>
      </c>
      <c r="L135" s="64" t="s">
        <v>549</v>
      </c>
      <c r="M135" s="64"/>
    </row>
    <row r="136" spans="1:13" ht="16.2" x14ac:dyDescent="0.4">
      <c r="A136" s="3" t="str">
        <f t="shared" ref="A136:A206" si="2">E136&amp;F136</f>
        <v>PROPERTY_ENERGY_CERTIFICATEBUILDING_SPACE_COOLING_VALUE</v>
      </c>
      <c r="B136" s="52" t="s">
        <v>23</v>
      </c>
      <c r="C136" s="49" t="s">
        <v>49</v>
      </c>
      <c r="D136" s="45" t="s">
        <v>36</v>
      </c>
      <c r="E136" s="46" t="s">
        <v>116</v>
      </c>
      <c r="F136" s="45" t="s">
        <v>136</v>
      </c>
      <c r="G136" s="47" t="s">
        <v>470</v>
      </c>
      <c r="H136" s="47" t="s">
        <v>470</v>
      </c>
      <c r="I136" s="54"/>
      <c r="J136" s="64" t="s">
        <v>549</v>
      </c>
      <c r="K136" s="64" t="s">
        <v>549</v>
      </c>
      <c r="L136" s="64" t="s">
        <v>549</v>
      </c>
      <c r="M136" s="64"/>
    </row>
    <row r="137" spans="1:13" ht="16.2" x14ac:dyDescent="0.4">
      <c r="A137" s="3" t="str">
        <f t="shared" si="2"/>
        <v>PROPERTY_ENERGY_CERTIFICATERENEWABLE_SPACE_COOLING_VALUE</v>
      </c>
      <c r="B137" s="52" t="s">
        <v>23</v>
      </c>
      <c r="C137" s="49" t="s">
        <v>49</v>
      </c>
      <c r="D137" s="45" t="s">
        <v>36</v>
      </c>
      <c r="E137" s="46" t="s">
        <v>116</v>
      </c>
      <c r="F137" s="45" t="s">
        <v>137</v>
      </c>
      <c r="G137" s="47" t="s">
        <v>470</v>
      </c>
      <c r="H137" s="47" t="s">
        <v>470</v>
      </c>
      <c r="I137" s="54"/>
      <c r="J137" s="64" t="s">
        <v>549</v>
      </c>
      <c r="K137" s="64" t="s">
        <v>549</v>
      </c>
      <c r="L137" s="64" t="s">
        <v>549</v>
      </c>
      <c r="M137" s="64"/>
    </row>
    <row r="138" spans="1:13" ht="16.2" x14ac:dyDescent="0.4">
      <c r="A138" s="3" t="str">
        <f t="shared" si="2"/>
        <v>PROPERTY_ENERGY_CERTIFICATESPACE_COOLING_REF_VALUE</v>
      </c>
      <c r="B138" s="52" t="s">
        <v>23</v>
      </c>
      <c r="C138" s="49" t="s">
        <v>49</v>
      </c>
      <c r="D138" s="45" t="s">
        <v>36</v>
      </c>
      <c r="E138" s="46" t="s">
        <v>116</v>
      </c>
      <c r="F138" s="45" t="s">
        <v>138</v>
      </c>
      <c r="G138" s="47" t="s">
        <v>470</v>
      </c>
      <c r="H138" s="47" t="s">
        <v>470</v>
      </c>
      <c r="I138" s="54"/>
      <c r="J138" s="64" t="s">
        <v>549</v>
      </c>
      <c r="K138" s="64" t="s">
        <v>549</v>
      </c>
      <c r="L138" s="64" t="s">
        <v>549</v>
      </c>
      <c r="M138" s="64"/>
    </row>
    <row r="139" spans="1:13" ht="16.2" x14ac:dyDescent="0.4">
      <c r="A139" s="3" t="str">
        <f t="shared" si="2"/>
        <v>PROPERTY_ENERGY_CERTIFICATEENERGY_CLASS_AFTER_MEASUREMENT</v>
      </c>
      <c r="B139" s="52" t="s">
        <v>23</v>
      </c>
      <c r="C139" s="49" t="s">
        <v>49</v>
      </c>
      <c r="D139" s="45" t="s">
        <v>36</v>
      </c>
      <c r="E139" s="46" t="s">
        <v>116</v>
      </c>
      <c r="F139" s="45" t="s">
        <v>139</v>
      </c>
      <c r="G139" s="47" t="s">
        <v>470</v>
      </c>
      <c r="H139" s="47" t="s">
        <v>470</v>
      </c>
      <c r="I139" s="54"/>
      <c r="J139" s="64" t="s">
        <v>549</v>
      </c>
      <c r="K139" s="64" t="s">
        <v>549</v>
      </c>
      <c r="L139" s="64" t="s">
        <v>549</v>
      </c>
      <c r="M139" s="64"/>
    </row>
    <row r="140" spans="1:13" ht="16.2" x14ac:dyDescent="0.4">
      <c r="A140" s="3" t="str">
        <f t="shared" si="2"/>
        <v>PROPERTY_ENERGY_CERTIFICATEENERGY_CONSUMPTION_VALUE_YEAR</v>
      </c>
      <c r="B140" s="52" t="s">
        <v>23</v>
      </c>
      <c r="C140" s="49" t="s">
        <v>49</v>
      </c>
      <c r="D140" s="45" t="s">
        <v>36</v>
      </c>
      <c r="E140" s="46" t="s">
        <v>116</v>
      </c>
      <c r="F140" s="45" t="s">
        <v>47</v>
      </c>
      <c r="G140" s="47" t="s">
        <v>475</v>
      </c>
      <c r="H140" s="47" t="s">
        <v>475</v>
      </c>
      <c r="I140" s="54"/>
      <c r="J140" s="64">
        <v>45562</v>
      </c>
      <c r="K140" s="64">
        <v>45607</v>
      </c>
      <c r="L140" s="64" t="s">
        <v>549</v>
      </c>
      <c r="M140" s="64"/>
    </row>
    <row r="141" spans="1:13" ht="16.2" x14ac:dyDescent="0.4">
      <c r="A141" s="3" t="str">
        <f t="shared" si="2"/>
        <v>PROPERTY_ENERGY_CERTIFICATETHERMAL_BEHAVIOUR_ROOF</v>
      </c>
      <c r="B141" s="52" t="s">
        <v>23</v>
      </c>
      <c r="C141" s="49" t="s">
        <v>49</v>
      </c>
      <c r="D141" s="45" t="s">
        <v>36</v>
      </c>
      <c r="E141" s="46" t="s">
        <v>116</v>
      </c>
      <c r="F141" s="45" t="s">
        <v>140</v>
      </c>
      <c r="G141" s="47" t="s">
        <v>470</v>
      </c>
      <c r="H141" s="47" t="s">
        <v>470</v>
      </c>
      <c r="I141" s="54"/>
      <c r="J141" s="64" t="s">
        <v>549</v>
      </c>
      <c r="K141" s="64" t="s">
        <v>549</v>
      </c>
      <c r="L141" s="64" t="s">
        <v>549</v>
      </c>
      <c r="M141" s="64"/>
    </row>
    <row r="142" spans="1:13" ht="16.2" x14ac:dyDescent="0.4">
      <c r="A142" s="3" t="str">
        <f t="shared" si="2"/>
        <v>PROPERTY_ENERGY_CERTIFICATETHERMAL_BEHAVIOUR_WINDOWS</v>
      </c>
      <c r="B142" s="52" t="s">
        <v>23</v>
      </c>
      <c r="C142" s="49" t="s">
        <v>49</v>
      </c>
      <c r="D142" s="45" t="s">
        <v>36</v>
      </c>
      <c r="E142" s="46" t="s">
        <v>116</v>
      </c>
      <c r="F142" s="45" t="s">
        <v>141</v>
      </c>
      <c r="G142" s="47" t="s">
        <v>470</v>
      </c>
      <c r="H142" s="47" t="s">
        <v>470</v>
      </c>
      <c r="I142" s="54"/>
      <c r="J142" s="64" t="s">
        <v>549</v>
      </c>
      <c r="K142" s="64" t="s">
        <v>549</v>
      </c>
      <c r="L142" s="64" t="s">
        <v>549</v>
      </c>
      <c r="M142" s="64"/>
    </row>
    <row r="143" spans="1:13" ht="16.2" x14ac:dyDescent="0.4">
      <c r="A143" s="3" t="str">
        <f t="shared" si="2"/>
        <v>PROPERTY_ENERGY_CERTIFICATETHERMAL_BEHAVIOUR_WALL</v>
      </c>
      <c r="B143" s="52" t="s">
        <v>23</v>
      </c>
      <c r="C143" s="49" t="s">
        <v>49</v>
      </c>
      <c r="D143" s="45" t="s">
        <v>36</v>
      </c>
      <c r="E143" s="46" t="s">
        <v>116</v>
      </c>
      <c r="F143" s="45" t="s">
        <v>142</v>
      </c>
      <c r="G143" s="47" t="s">
        <v>470</v>
      </c>
      <c r="H143" s="47" t="s">
        <v>470</v>
      </c>
      <c r="I143" s="54"/>
      <c r="J143" s="64" t="s">
        <v>549</v>
      </c>
      <c r="K143" s="64" t="s">
        <v>549</v>
      </c>
      <c r="L143" s="64" t="s">
        <v>549</v>
      </c>
      <c r="M143" s="64"/>
    </row>
    <row r="144" spans="1:13" ht="16.2" x14ac:dyDescent="0.4">
      <c r="A144" s="3" t="str">
        <f t="shared" si="2"/>
        <v>PROPERTY_ENERGY_CERTIFICATETHERMAL_BEHAVIOUR_FLOORS</v>
      </c>
      <c r="B144" s="52" t="s">
        <v>23</v>
      </c>
      <c r="C144" s="49" t="s">
        <v>49</v>
      </c>
      <c r="D144" s="45" t="s">
        <v>36</v>
      </c>
      <c r="E144" s="46" t="s">
        <v>116</v>
      </c>
      <c r="F144" s="45" t="s">
        <v>143</v>
      </c>
      <c r="G144" s="47" t="s">
        <v>470</v>
      </c>
      <c r="H144" s="47" t="s">
        <v>470</v>
      </c>
      <c r="I144" s="54"/>
      <c r="J144" s="64" t="s">
        <v>549</v>
      </c>
      <c r="K144" s="64" t="s">
        <v>549</v>
      </c>
      <c r="L144" s="64" t="s">
        <v>549</v>
      </c>
      <c r="M144" s="64"/>
    </row>
    <row r="145" spans="1:13" ht="16.2" x14ac:dyDescent="0.4">
      <c r="A145" s="3" t="str">
        <f t="shared" si="2"/>
        <v>PROPERTY_ENERGY_CERTIFICATETHERMAL_BEHAVIOUR_TECH_SYS_VENT</v>
      </c>
      <c r="B145" s="52" t="s">
        <v>23</v>
      </c>
      <c r="C145" s="49" t="s">
        <v>49</v>
      </c>
      <c r="D145" s="45" t="s">
        <v>36</v>
      </c>
      <c r="E145" s="46" t="s">
        <v>116</v>
      </c>
      <c r="F145" s="45" t="s">
        <v>144</v>
      </c>
      <c r="G145" s="47" t="s">
        <v>470</v>
      </c>
      <c r="H145" s="47" t="s">
        <v>470</v>
      </c>
      <c r="I145" s="54"/>
      <c r="J145" s="64" t="s">
        <v>549</v>
      </c>
      <c r="K145" s="64" t="s">
        <v>549</v>
      </c>
      <c r="L145" s="64" t="s">
        <v>549</v>
      </c>
      <c r="M145" s="64"/>
    </row>
    <row r="146" spans="1:13" ht="16.2" x14ac:dyDescent="0.4">
      <c r="A146" s="3" t="str">
        <f t="shared" si="2"/>
        <v>PROPERTY_ENERGY_CERTIFICATETOTAL_INVSTMNT_ESTMTD_VALUE</v>
      </c>
      <c r="B146" s="52" t="s">
        <v>23</v>
      </c>
      <c r="C146" s="49" t="s">
        <v>49</v>
      </c>
      <c r="D146" s="45" t="s">
        <v>36</v>
      </c>
      <c r="E146" s="46" t="s">
        <v>116</v>
      </c>
      <c r="F146" s="45" t="s">
        <v>145</v>
      </c>
      <c r="G146" s="47" t="s">
        <v>470</v>
      </c>
      <c r="H146" s="47" t="s">
        <v>470</v>
      </c>
      <c r="I146" s="54"/>
      <c r="J146" s="64" t="s">
        <v>549</v>
      </c>
      <c r="K146" s="64" t="s">
        <v>549</v>
      </c>
      <c r="L146" s="64" t="s">
        <v>549</v>
      </c>
      <c r="M146" s="64"/>
    </row>
    <row r="147" spans="1:13" ht="16.2" x14ac:dyDescent="0.4">
      <c r="A147" s="3" t="str">
        <f t="shared" si="2"/>
        <v>PROPERTY_ENERGY_CERTIFICATEDURATION_SUMMER</v>
      </c>
      <c r="B147" s="52" t="s">
        <v>23</v>
      </c>
      <c r="C147" s="49" t="s">
        <v>49</v>
      </c>
      <c r="D147" s="45" t="s">
        <v>36</v>
      </c>
      <c r="E147" s="46" t="s">
        <v>116</v>
      </c>
      <c r="F147" s="45" t="s">
        <v>146</v>
      </c>
      <c r="G147" s="47" t="s">
        <v>470</v>
      </c>
      <c r="H147" s="47" t="s">
        <v>470</v>
      </c>
      <c r="I147" s="54"/>
      <c r="J147" s="64" t="s">
        <v>549</v>
      </c>
      <c r="K147" s="64" t="s">
        <v>549</v>
      </c>
      <c r="L147" s="64" t="s">
        <v>549</v>
      </c>
      <c r="M147" s="64"/>
    </row>
    <row r="148" spans="1:13" ht="16.2" x14ac:dyDescent="0.4">
      <c r="A148" s="3" t="str">
        <f t="shared" si="2"/>
        <v>PROPERTY_ENERGY_CERTIFICATEDURATION_WINTER</v>
      </c>
      <c r="B148" s="52" t="s">
        <v>23</v>
      </c>
      <c r="C148" s="49" t="s">
        <v>49</v>
      </c>
      <c r="D148" s="45" t="s">
        <v>36</v>
      </c>
      <c r="E148" s="46" t="s">
        <v>116</v>
      </c>
      <c r="F148" s="45" t="s">
        <v>147</v>
      </c>
      <c r="G148" s="47" t="s">
        <v>470</v>
      </c>
      <c r="H148" s="47" t="s">
        <v>470</v>
      </c>
      <c r="I148" s="54"/>
      <c r="J148" s="64" t="s">
        <v>549</v>
      </c>
      <c r="K148" s="64" t="s">
        <v>549</v>
      </c>
      <c r="L148" s="64" t="s">
        <v>549</v>
      </c>
      <c r="M148" s="64"/>
    </row>
    <row r="149" spans="1:13" ht="16.2" x14ac:dyDescent="0.4">
      <c r="A149" s="3" t="str">
        <f t="shared" si="2"/>
        <v>PROPERTY_ENERGY_CERTIFICATECARBON_EMISSION_VALUE_YEAR</v>
      </c>
      <c r="B149" s="52" t="s">
        <v>23</v>
      </c>
      <c r="C149" s="49" t="s">
        <v>49</v>
      </c>
      <c r="D149" s="45" t="s">
        <v>36</v>
      </c>
      <c r="E149" s="46" t="s">
        <v>116</v>
      </c>
      <c r="F149" s="45" t="s">
        <v>48</v>
      </c>
      <c r="G149" s="47" t="s">
        <v>475</v>
      </c>
      <c r="H149" s="47" t="s">
        <v>475</v>
      </c>
      <c r="I149" s="54"/>
      <c r="J149" s="64">
        <v>45562</v>
      </c>
      <c r="K149" s="64">
        <v>45607</v>
      </c>
      <c r="L149" s="64" t="s">
        <v>549</v>
      </c>
      <c r="M149" s="64"/>
    </row>
    <row r="150" spans="1:13" ht="16.2" x14ac:dyDescent="0.4">
      <c r="A150" s="3" t="str">
        <f t="shared" si="2"/>
        <v>PROPERTY_ENERGY_CERTIFICATECARBON_EMISSION_VALUE</v>
      </c>
      <c r="B150" s="52" t="s">
        <v>23</v>
      </c>
      <c r="C150" s="49" t="s">
        <v>49</v>
      </c>
      <c r="D150" s="45" t="s">
        <v>36</v>
      </c>
      <c r="E150" s="46" t="s">
        <v>116</v>
      </c>
      <c r="F150" s="45" t="s">
        <v>148</v>
      </c>
      <c r="G150" s="47" t="s">
        <v>470</v>
      </c>
      <c r="H150" s="47" t="s">
        <v>470</v>
      </c>
      <c r="I150" s="54"/>
      <c r="J150" s="64" t="s">
        <v>549</v>
      </c>
      <c r="K150" s="64" t="s">
        <v>549</v>
      </c>
      <c r="L150" s="64" t="s">
        <v>549</v>
      </c>
      <c r="M150" s="64"/>
    </row>
    <row r="151" spans="1:13" ht="16.2" x14ac:dyDescent="0.4">
      <c r="A151" s="3" t="str">
        <f t="shared" si="2"/>
        <v>PROPERTY_ENERGY_CERTIFICATEUSEFUL_ENERGY_FANS_REQ_VALUE</v>
      </c>
      <c r="B151" s="52" t="s">
        <v>23</v>
      </c>
      <c r="C151" s="49" t="s">
        <v>49</v>
      </c>
      <c r="D151" s="45" t="s">
        <v>36</v>
      </c>
      <c r="E151" s="46" t="s">
        <v>116</v>
      </c>
      <c r="F151" s="45" t="s">
        <v>149</v>
      </c>
      <c r="G151" s="47" t="s">
        <v>470</v>
      </c>
      <c r="H151" s="47" t="s">
        <v>470</v>
      </c>
      <c r="I151" s="54"/>
      <c r="J151" s="64" t="s">
        <v>549</v>
      </c>
      <c r="K151" s="64" t="s">
        <v>549</v>
      </c>
      <c r="L151" s="64" t="s">
        <v>549</v>
      </c>
      <c r="M151" s="64"/>
    </row>
    <row r="152" spans="1:13" ht="16.2" x14ac:dyDescent="0.4">
      <c r="A152" s="3" t="str">
        <f t="shared" si="2"/>
        <v>PROPERTY_ENERGY_CERTIFICATEREN_ENERGY_PRODUCED_OTHER_VALUE</v>
      </c>
      <c r="B152" s="52" t="s">
        <v>23</v>
      </c>
      <c r="C152" s="49" t="s">
        <v>49</v>
      </c>
      <c r="D152" s="45" t="s">
        <v>36</v>
      </c>
      <c r="E152" s="46" t="s">
        <v>116</v>
      </c>
      <c r="F152" s="45" t="s">
        <v>150</v>
      </c>
      <c r="G152" s="47" t="s">
        <v>470</v>
      </c>
      <c r="H152" s="47" t="s">
        <v>470</v>
      </c>
      <c r="I152" s="54"/>
      <c r="J152" s="64" t="s">
        <v>549</v>
      </c>
      <c r="K152" s="64" t="s">
        <v>549</v>
      </c>
      <c r="L152" s="64" t="s">
        <v>549</v>
      </c>
      <c r="M152" s="64"/>
    </row>
    <row r="153" spans="1:13" ht="16.2" x14ac:dyDescent="0.4">
      <c r="A153" s="3" t="str">
        <f t="shared" si="2"/>
        <v>PROPERTY_ENERGY_CERTIFICATEREN_ENERGY_PRODUCED_REG_VALUE</v>
      </c>
      <c r="B153" s="52" t="s">
        <v>23</v>
      </c>
      <c r="C153" s="49" t="s">
        <v>49</v>
      </c>
      <c r="D153" s="45" t="s">
        <v>36</v>
      </c>
      <c r="E153" s="46" t="s">
        <v>116</v>
      </c>
      <c r="F153" s="45" t="s">
        <v>151</v>
      </c>
      <c r="G153" s="47" t="s">
        <v>470</v>
      </c>
      <c r="H153" s="47" t="s">
        <v>470</v>
      </c>
      <c r="I153" s="54"/>
      <c r="J153" s="64" t="s">
        <v>549</v>
      </c>
      <c r="K153" s="64" t="s">
        <v>549</v>
      </c>
      <c r="L153" s="64" t="s">
        <v>549</v>
      </c>
      <c r="M153" s="64"/>
    </row>
    <row r="154" spans="1:13" ht="16.2" x14ac:dyDescent="0.4">
      <c r="A154" s="3" t="str">
        <f t="shared" si="2"/>
        <v>PROPERTY_ENERGY_CERTIFICATEREN_ENERGY_PRODUCED_VALUE</v>
      </c>
      <c r="B154" s="52" t="s">
        <v>23</v>
      </c>
      <c r="C154" s="49" t="s">
        <v>49</v>
      </c>
      <c r="D154" s="45" t="s">
        <v>36</v>
      </c>
      <c r="E154" s="46" t="s">
        <v>116</v>
      </c>
      <c r="F154" s="45" t="s">
        <v>152</v>
      </c>
      <c r="G154" s="47" t="s">
        <v>475</v>
      </c>
      <c r="H154" s="47" t="s">
        <v>475</v>
      </c>
      <c r="I154" s="54"/>
      <c r="J154" s="64">
        <v>45562</v>
      </c>
      <c r="K154" s="64">
        <v>45607</v>
      </c>
      <c r="L154" s="64" t="s">
        <v>549</v>
      </c>
      <c r="M154" s="64"/>
    </row>
    <row r="155" spans="1:13" ht="16.2" x14ac:dyDescent="0.4">
      <c r="A155" s="3" t="str">
        <f t="shared" si="2"/>
        <v>PROPERTY_ENERGY_CERTIFICATEUSEFUL_ENERGY_DOM_HOTWATER_VALUE</v>
      </c>
      <c r="B155" s="52" t="s">
        <v>23</v>
      </c>
      <c r="C155" s="49" t="s">
        <v>49</v>
      </c>
      <c r="D155" s="45" t="s">
        <v>36</v>
      </c>
      <c r="E155" s="46" t="s">
        <v>116</v>
      </c>
      <c r="F155" s="45" t="s">
        <v>153</v>
      </c>
      <c r="G155" s="47" t="s">
        <v>470</v>
      </c>
      <c r="H155" s="47" t="s">
        <v>470</v>
      </c>
      <c r="I155" s="54"/>
      <c r="J155" s="64" t="s">
        <v>549</v>
      </c>
      <c r="K155" s="64" t="s">
        <v>549</v>
      </c>
      <c r="L155" s="64" t="s">
        <v>549</v>
      </c>
      <c r="M155" s="64"/>
    </row>
    <row r="156" spans="1:13" ht="16.2" x14ac:dyDescent="0.4">
      <c r="A156" s="3" t="str">
        <f t="shared" si="2"/>
        <v>PROPERTY_ENERGY_CERTIFICATEUSEFUL_ENERGY_COOLING_VALUE</v>
      </c>
      <c r="B156" s="52" t="s">
        <v>23</v>
      </c>
      <c r="C156" s="49" t="s">
        <v>49</v>
      </c>
      <c r="D156" s="45" t="s">
        <v>36</v>
      </c>
      <c r="E156" s="46" t="s">
        <v>116</v>
      </c>
      <c r="F156" s="45" t="s">
        <v>154</v>
      </c>
      <c r="G156" s="47" t="s">
        <v>470</v>
      </c>
      <c r="H156" s="47" t="s">
        <v>470</v>
      </c>
      <c r="I156" s="54"/>
      <c r="J156" s="64" t="s">
        <v>549</v>
      </c>
      <c r="K156" s="64" t="s">
        <v>549</v>
      </c>
      <c r="L156" s="64" t="s">
        <v>549</v>
      </c>
      <c r="M156" s="64"/>
    </row>
    <row r="157" spans="1:13" ht="16.2" x14ac:dyDescent="0.4">
      <c r="A157" s="3" t="str">
        <f t="shared" si="2"/>
        <v>PROPERTY_ENERGY_CERTIFICATETEMPERATURE_DAY_VALUE</v>
      </c>
      <c r="B157" s="52" t="s">
        <v>23</v>
      </c>
      <c r="C157" s="49" t="s">
        <v>49</v>
      </c>
      <c r="D157" s="45" t="s">
        <v>36</v>
      </c>
      <c r="E157" s="46" t="s">
        <v>116</v>
      </c>
      <c r="F157" s="45" t="s">
        <v>155</v>
      </c>
      <c r="G157" s="47" t="s">
        <v>470</v>
      </c>
      <c r="H157" s="47" t="s">
        <v>470</v>
      </c>
      <c r="I157" s="54"/>
      <c r="J157" s="64" t="s">
        <v>549</v>
      </c>
      <c r="K157" s="64" t="s">
        <v>549</v>
      </c>
      <c r="L157" s="64" t="s">
        <v>549</v>
      </c>
      <c r="M157" s="64"/>
    </row>
    <row r="158" spans="1:13" ht="16.2" x14ac:dyDescent="0.4">
      <c r="A158" s="3" t="str">
        <f t="shared" si="2"/>
        <v>PROPERTY_ENERGY_CERTIFICATEPRIMARY_ENERGY_REQ_VALUE</v>
      </c>
      <c r="B158" s="52" t="s">
        <v>23</v>
      </c>
      <c r="C158" s="49" t="s">
        <v>49</v>
      </c>
      <c r="D158" s="45" t="s">
        <v>36</v>
      </c>
      <c r="E158" s="46" t="s">
        <v>116</v>
      </c>
      <c r="F158" s="45" t="s">
        <v>156</v>
      </c>
      <c r="G158" s="47" t="s">
        <v>475</v>
      </c>
      <c r="H158" s="47" t="s">
        <v>475</v>
      </c>
      <c r="I158" s="54"/>
      <c r="J158" s="64">
        <v>45562</v>
      </c>
      <c r="K158" s="64">
        <v>45607</v>
      </c>
      <c r="L158" s="64" t="s">
        <v>549</v>
      </c>
      <c r="M158" s="64"/>
    </row>
    <row r="159" spans="1:13" ht="16.2" x14ac:dyDescent="0.4">
      <c r="A159" s="3" t="str">
        <f t="shared" si="2"/>
        <v>PROPERTY_ENERGY_CERTIFICATEUSEFUL_ENERGY_HEATING_REQ_VALUE</v>
      </c>
      <c r="B159" s="52" t="s">
        <v>23</v>
      </c>
      <c r="C159" s="49" t="s">
        <v>49</v>
      </c>
      <c r="D159" s="45" t="s">
        <v>36</v>
      </c>
      <c r="E159" s="46" t="s">
        <v>116</v>
      </c>
      <c r="F159" s="45" t="s">
        <v>157</v>
      </c>
      <c r="G159" s="47" t="s">
        <v>470</v>
      </c>
      <c r="H159" s="47" t="s">
        <v>470</v>
      </c>
      <c r="I159" s="54"/>
      <c r="J159" s="64" t="s">
        <v>549</v>
      </c>
      <c r="K159" s="64" t="s">
        <v>549</v>
      </c>
      <c r="L159" s="64" t="s">
        <v>549</v>
      </c>
      <c r="M159" s="64"/>
    </row>
    <row r="160" spans="1:13" ht="16.2" x14ac:dyDescent="0.4">
      <c r="A160" s="3" t="str">
        <f t="shared" si="2"/>
        <v>PROPERTY_ENERGY_CERTIFICATEPNL_WINTER_WALLS_DOORS_VALUE</v>
      </c>
      <c r="B160" s="52" t="s">
        <v>23</v>
      </c>
      <c r="C160" s="49" t="s">
        <v>49</v>
      </c>
      <c r="D160" s="45" t="s">
        <v>36</v>
      </c>
      <c r="E160" s="46" t="s">
        <v>116</v>
      </c>
      <c r="F160" s="45" t="s">
        <v>158</v>
      </c>
      <c r="G160" s="47" t="s">
        <v>470</v>
      </c>
      <c r="H160" s="47" t="s">
        <v>470</v>
      </c>
      <c r="I160" s="54"/>
      <c r="J160" s="64" t="s">
        <v>549</v>
      </c>
      <c r="K160" s="64" t="s">
        <v>549</v>
      </c>
      <c r="L160" s="64" t="s">
        <v>549</v>
      </c>
      <c r="M160" s="64"/>
    </row>
    <row r="161" spans="1:13" ht="16.2" x14ac:dyDescent="0.4">
      <c r="A161" s="3" t="str">
        <f t="shared" si="2"/>
        <v>PROPERTY_ENERGY_CERTIFICATEPNL_WINTER_FLOORS_VALUE</v>
      </c>
      <c r="B161" s="52" t="s">
        <v>23</v>
      </c>
      <c r="C161" s="49" t="s">
        <v>49</v>
      </c>
      <c r="D161" s="45" t="s">
        <v>36</v>
      </c>
      <c r="E161" s="46" t="s">
        <v>116</v>
      </c>
      <c r="F161" s="45" t="s">
        <v>159</v>
      </c>
      <c r="G161" s="47" t="s">
        <v>470</v>
      </c>
      <c r="H161" s="47" t="s">
        <v>470</v>
      </c>
      <c r="I161" s="54"/>
      <c r="J161" s="64" t="s">
        <v>549</v>
      </c>
      <c r="K161" s="64" t="s">
        <v>549</v>
      </c>
      <c r="L161" s="64" t="s">
        <v>549</v>
      </c>
      <c r="M161" s="64"/>
    </row>
    <row r="162" spans="1:13" ht="16.2" x14ac:dyDescent="0.4">
      <c r="A162" s="3" t="str">
        <f t="shared" si="2"/>
        <v>PROPERTY_ENERGY_CERTIFICATEPNL_WINTER_ROOF_VALUE</v>
      </c>
      <c r="B162" s="52" t="s">
        <v>23</v>
      </c>
      <c r="C162" s="49" t="s">
        <v>49</v>
      </c>
      <c r="D162" s="45" t="s">
        <v>36</v>
      </c>
      <c r="E162" s="46" t="s">
        <v>116</v>
      </c>
      <c r="F162" s="45" t="s">
        <v>160</v>
      </c>
      <c r="G162" s="47" t="s">
        <v>470</v>
      </c>
      <c r="H162" s="47" t="s">
        <v>470</v>
      </c>
      <c r="I162" s="54"/>
      <c r="J162" s="64" t="s">
        <v>549</v>
      </c>
      <c r="K162" s="64" t="s">
        <v>549</v>
      </c>
      <c r="L162" s="64" t="s">
        <v>549</v>
      </c>
      <c r="M162" s="64"/>
    </row>
    <row r="163" spans="1:13" ht="16.2" x14ac:dyDescent="0.4">
      <c r="A163" s="3" t="str">
        <f t="shared" si="2"/>
        <v>PROPERTY_ENERGY_CERTIFICATEPNL_WINTER_WINDOWS_VALUE</v>
      </c>
      <c r="B163" s="52" t="s">
        <v>23</v>
      </c>
      <c r="C163" s="49" t="s">
        <v>49</v>
      </c>
      <c r="D163" s="45" t="s">
        <v>36</v>
      </c>
      <c r="E163" s="46" t="s">
        <v>116</v>
      </c>
      <c r="F163" s="45" t="s">
        <v>161</v>
      </c>
      <c r="G163" s="47" t="s">
        <v>470</v>
      </c>
      <c r="H163" s="47" t="s">
        <v>470</v>
      </c>
      <c r="I163" s="54"/>
      <c r="J163" s="64" t="s">
        <v>549</v>
      </c>
      <c r="K163" s="64" t="s">
        <v>549</v>
      </c>
      <c r="L163" s="64" t="s">
        <v>549</v>
      </c>
      <c r="M163" s="64"/>
    </row>
    <row r="164" spans="1:13" ht="16.2" x14ac:dyDescent="0.4">
      <c r="A164" s="3" t="str">
        <f t="shared" si="2"/>
        <v>PROPERTY_ENERGY_CERTIFICATEPNL_WINTER_REF_VALUE</v>
      </c>
      <c r="B164" s="52" t="s">
        <v>23</v>
      </c>
      <c r="C164" s="49" t="s">
        <v>49</v>
      </c>
      <c r="D164" s="45" t="s">
        <v>36</v>
      </c>
      <c r="E164" s="46" t="s">
        <v>116</v>
      </c>
      <c r="F164" s="45" t="s">
        <v>162</v>
      </c>
      <c r="G164" s="47" t="s">
        <v>470</v>
      </c>
      <c r="H164" s="47" t="s">
        <v>470</v>
      </c>
      <c r="I164" s="54"/>
      <c r="J164" s="64" t="s">
        <v>549</v>
      </c>
      <c r="K164" s="64" t="s">
        <v>549</v>
      </c>
      <c r="L164" s="64" t="s">
        <v>549</v>
      </c>
      <c r="M164" s="64"/>
    </row>
    <row r="165" spans="1:13" ht="16.2" x14ac:dyDescent="0.4">
      <c r="A165" s="3" t="str">
        <f t="shared" si="2"/>
        <v>PROPERTY_ENERGY_CERTIFICATEPNL_WINTER_FANS_VALUE</v>
      </c>
      <c r="B165" s="52" t="s">
        <v>23</v>
      </c>
      <c r="C165" s="49" t="s">
        <v>49</v>
      </c>
      <c r="D165" s="45" t="s">
        <v>36</v>
      </c>
      <c r="E165" s="46" t="s">
        <v>116</v>
      </c>
      <c r="F165" s="45" t="s">
        <v>163</v>
      </c>
      <c r="G165" s="47" t="s">
        <v>470</v>
      </c>
      <c r="H165" s="47" t="s">
        <v>470</v>
      </c>
      <c r="I165" s="54"/>
      <c r="J165" s="64" t="s">
        <v>549</v>
      </c>
      <c r="K165" s="64" t="s">
        <v>549</v>
      </c>
      <c r="L165" s="64" t="s">
        <v>549</v>
      </c>
      <c r="M165" s="64"/>
    </row>
    <row r="166" spans="1:13" ht="16.2" x14ac:dyDescent="0.4">
      <c r="A166" s="3" t="str">
        <f t="shared" si="2"/>
        <v>PROPERTY_ENERGY_CERTIFICATEPNL_SUMMER_ROOF_VALUE</v>
      </c>
      <c r="B166" s="52" t="s">
        <v>23</v>
      </c>
      <c r="C166" s="49" t="s">
        <v>49</v>
      </c>
      <c r="D166" s="45" t="s">
        <v>36</v>
      </c>
      <c r="E166" s="46" t="s">
        <v>116</v>
      </c>
      <c r="F166" s="45" t="s">
        <v>164</v>
      </c>
      <c r="G166" s="47" t="s">
        <v>470</v>
      </c>
      <c r="H166" s="47" t="s">
        <v>470</v>
      </c>
      <c r="I166" s="54"/>
      <c r="J166" s="64" t="s">
        <v>549</v>
      </c>
      <c r="K166" s="64" t="s">
        <v>549</v>
      </c>
      <c r="L166" s="64" t="s">
        <v>549</v>
      </c>
      <c r="M166" s="64"/>
    </row>
    <row r="167" spans="1:13" ht="16.2" x14ac:dyDescent="0.4">
      <c r="A167" s="3" t="str">
        <f t="shared" si="2"/>
        <v>PROPERTY_ENERGY_CERTIFICATEPNL_SUMMER_WINDOWS_VALUE</v>
      </c>
      <c r="B167" s="52" t="s">
        <v>23</v>
      </c>
      <c r="C167" s="49" t="s">
        <v>49</v>
      </c>
      <c r="D167" s="45" t="s">
        <v>36</v>
      </c>
      <c r="E167" s="46" t="s">
        <v>116</v>
      </c>
      <c r="F167" s="45" t="s">
        <v>165</v>
      </c>
      <c r="G167" s="47" t="s">
        <v>470</v>
      </c>
      <c r="H167" s="47" t="s">
        <v>470</v>
      </c>
      <c r="I167" s="54"/>
      <c r="J167" s="64" t="s">
        <v>549</v>
      </c>
      <c r="K167" s="64" t="s">
        <v>549</v>
      </c>
      <c r="L167" s="64" t="s">
        <v>549</v>
      </c>
      <c r="M167" s="64"/>
    </row>
    <row r="168" spans="1:13" ht="16.2" x14ac:dyDescent="0.4">
      <c r="A168" s="3" t="str">
        <f t="shared" si="2"/>
        <v>PROPERTY_ENERGY_CERTIFICATEPNL_SUMMER_WALLS_DOORS_VALUE</v>
      </c>
      <c r="B168" s="52" t="s">
        <v>23</v>
      </c>
      <c r="C168" s="49" t="s">
        <v>49</v>
      </c>
      <c r="D168" s="45" t="s">
        <v>36</v>
      </c>
      <c r="E168" s="46" t="s">
        <v>116</v>
      </c>
      <c r="F168" s="45" t="s">
        <v>166</v>
      </c>
      <c r="G168" s="47" t="s">
        <v>470</v>
      </c>
      <c r="H168" s="47" t="s">
        <v>470</v>
      </c>
      <c r="I168" s="54"/>
      <c r="J168" s="64" t="s">
        <v>549</v>
      </c>
      <c r="K168" s="64" t="s">
        <v>549</v>
      </c>
      <c r="L168" s="64" t="s">
        <v>549</v>
      </c>
      <c r="M168" s="64"/>
    </row>
    <row r="169" spans="1:13" ht="16.2" x14ac:dyDescent="0.4">
      <c r="A169" s="3" t="str">
        <f t="shared" si="2"/>
        <v>PROPERTY_ENERGY_CERTIFICATEPNL_SUMMER_REF_VALUE</v>
      </c>
      <c r="B169" s="52" t="s">
        <v>23</v>
      </c>
      <c r="C169" s="49" t="s">
        <v>49</v>
      </c>
      <c r="D169" s="45" t="s">
        <v>36</v>
      </c>
      <c r="E169" s="46" t="s">
        <v>116</v>
      </c>
      <c r="F169" s="45" t="s">
        <v>167</v>
      </c>
      <c r="G169" s="47" t="s">
        <v>470</v>
      </c>
      <c r="H169" s="47" t="s">
        <v>470</v>
      </c>
      <c r="I169" s="54"/>
      <c r="J169" s="64" t="s">
        <v>549</v>
      </c>
      <c r="K169" s="64" t="s">
        <v>549</v>
      </c>
      <c r="L169" s="64" t="s">
        <v>549</v>
      </c>
      <c r="M169" s="64"/>
    </row>
    <row r="170" spans="1:13" ht="16.2" x14ac:dyDescent="0.4">
      <c r="A170" s="3" t="str">
        <f t="shared" si="2"/>
        <v>PROPERTY_ENERGY_CERTIFICATEINVOICE_RED_ANNUAL_ESTMTD_VALUE</v>
      </c>
      <c r="B170" s="52" t="s">
        <v>23</v>
      </c>
      <c r="C170" s="49" t="s">
        <v>49</v>
      </c>
      <c r="D170" s="45" t="s">
        <v>36</v>
      </c>
      <c r="E170" s="46" t="s">
        <v>116</v>
      </c>
      <c r="F170" s="45" t="s">
        <v>168</v>
      </c>
      <c r="G170" s="47" t="s">
        <v>470</v>
      </c>
      <c r="H170" s="47" t="s">
        <v>470</v>
      </c>
      <c r="I170" s="54"/>
      <c r="J170" s="64" t="s">
        <v>549</v>
      </c>
      <c r="K170" s="64" t="s">
        <v>549</v>
      </c>
      <c r="L170" s="64" t="s">
        <v>549</v>
      </c>
      <c r="M170" s="64"/>
    </row>
    <row r="171" spans="1:13" ht="16.2" x14ac:dyDescent="0.4">
      <c r="A171" s="3" t="str">
        <f t="shared" si="2"/>
        <v>PROPERTY_ENERGY_CERTIFICATETEMPERATURE_OUTDOOR_AVG_VALUE</v>
      </c>
      <c r="B171" s="52" t="s">
        <v>23</v>
      </c>
      <c r="C171" s="49" t="s">
        <v>49</v>
      </c>
      <c r="D171" s="45" t="s">
        <v>36</v>
      </c>
      <c r="E171" s="46" t="s">
        <v>116</v>
      </c>
      <c r="F171" s="45" t="s">
        <v>169</v>
      </c>
      <c r="G171" s="47" t="s">
        <v>470</v>
      </c>
      <c r="H171" s="47" t="s">
        <v>470</v>
      </c>
      <c r="I171" s="54"/>
      <c r="J171" s="64" t="s">
        <v>549</v>
      </c>
      <c r="K171" s="64" t="s">
        <v>549</v>
      </c>
      <c r="L171" s="64" t="s">
        <v>549</v>
      </c>
      <c r="M171" s="64"/>
    </row>
    <row r="172" spans="1:13" ht="16.2" x14ac:dyDescent="0.4">
      <c r="A172" s="3" t="str">
        <f t="shared" si="2"/>
        <v>PROPERTY_ENERGY_CERTIFICATECLIMATE_ZONE_WINTER</v>
      </c>
      <c r="B172" s="52" t="s">
        <v>23</v>
      </c>
      <c r="C172" s="49" t="s">
        <v>49</v>
      </c>
      <c r="D172" s="45" t="s">
        <v>36</v>
      </c>
      <c r="E172" s="46" t="s">
        <v>116</v>
      </c>
      <c r="F172" s="45" t="s">
        <v>170</v>
      </c>
      <c r="G172" s="47" t="s">
        <v>470</v>
      </c>
      <c r="H172" s="47" t="s">
        <v>470</v>
      </c>
      <c r="I172" s="54"/>
      <c r="J172" s="64" t="s">
        <v>549</v>
      </c>
      <c r="K172" s="64" t="s">
        <v>549</v>
      </c>
      <c r="L172" s="64" t="s">
        <v>549</v>
      </c>
      <c r="M172" s="64"/>
    </row>
    <row r="173" spans="1:13" ht="16.2" x14ac:dyDescent="0.4">
      <c r="A173" s="3" t="str">
        <f t="shared" si="2"/>
        <v>PROPERTY_ENERGY_CERTIFICATENET_FLOOR_AREA</v>
      </c>
      <c r="B173" s="52" t="s">
        <v>23</v>
      </c>
      <c r="C173" s="49" t="s">
        <v>49</v>
      </c>
      <c r="D173" s="45" t="s">
        <v>36</v>
      </c>
      <c r="E173" s="46" t="s">
        <v>116</v>
      </c>
      <c r="F173" s="45" t="s">
        <v>90</v>
      </c>
      <c r="G173" s="47" t="s">
        <v>475</v>
      </c>
      <c r="H173" s="47" t="s">
        <v>475</v>
      </c>
      <c r="I173" s="54"/>
      <c r="J173" s="64">
        <v>45562</v>
      </c>
      <c r="K173" s="64">
        <v>45607</v>
      </c>
      <c r="L173" s="64" t="s">
        <v>549</v>
      </c>
      <c r="M173" s="64"/>
    </row>
    <row r="174" spans="1:13" ht="16.2" x14ac:dyDescent="0.4">
      <c r="A174" s="3" t="str">
        <f t="shared" si="2"/>
        <v>PROPERTY_ENERGY_CERTIFICATECADASTRAL_REGISTER_CODE</v>
      </c>
      <c r="B174" s="52" t="s">
        <v>23</v>
      </c>
      <c r="C174" s="49" t="s">
        <v>49</v>
      </c>
      <c r="D174" s="45" t="s">
        <v>36</v>
      </c>
      <c r="E174" s="46" t="s">
        <v>116</v>
      </c>
      <c r="F174" s="45" t="s">
        <v>91</v>
      </c>
      <c r="G174" s="47" t="s">
        <v>475</v>
      </c>
      <c r="H174" s="47" t="s">
        <v>475</v>
      </c>
      <c r="I174" s="54"/>
      <c r="J174" s="64">
        <v>45562</v>
      </c>
      <c r="K174" s="64">
        <v>45607</v>
      </c>
      <c r="L174" s="64" t="s">
        <v>549</v>
      </c>
      <c r="M174" s="64"/>
    </row>
    <row r="175" spans="1:13" ht="16.2" x14ac:dyDescent="0.4">
      <c r="A175" s="3" t="str">
        <f t="shared" si="2"/>
        <v>PROPERTY_ENERGY_CERTIFICATEDISTRICT_MUNICIP_PARISH_CODE</v>
      </c>
      <c r="B175" s="52" t="s">
        <v>23</v>
      </c>
      <c r="C175" s="49" t="s">
        <v>49</v>
      </c>
      <c r="D175" s="45" t="s">
        <v>36</v>
      </c>
      <c r="E175" s="46" t="s">
        <v>116</v>
      </c>
      <c r="F175" s="45" t="s">
        <v>94</v>
      </c>
      <c r="G175" s="47" t="s">
        <v>475</v>
      </c>
      <c r="H175" s="47" t="s">
        <v>475</v>
      </c>
      <c r="I175" s="54"/>
      <c r="J175" s="64">
        <v>45562</v>
      </c>
      <c r="K175" s="64">
        <v>45607</v>
      </c>
      <c r="L175" s="64" t="s">
        <v>549</v>
      </c>
      <c r="M175" s="64"/>
    </row>
    <row r="176" spans="1:13" ht="16.2" x14ac:dyDescent="0.4">
      <c r="A176" s="3" t="str">
        <f t="shared" si="2"/>
        <v>PROPERTY_ENERGY_CERTIFICATEPROPERTY_PURPOSE_CODE</v>
      </c>
      <c r="B176" s="52" t="s">
        <v>23</v>
      </c>
      <c r="C176" s="49" t="s">
        <v>49</v>
      </c>
      <c r="D176" s="45" t="s">
        <v>36</v>
      </c>
      <c r="E176" s="46" t="s">
        <v>116</v>
      </c>
      <c r="F176" s="45" t="s">
        <v>95</v>
      </c>
      <c r="G176" s="47" t="s">
        <v>475</v>
      </c>
      <c r="H176" s="47" t="s">
        <v>475</v>
      </c>
      <c r="I176" s="54"/>
      <c r="J176" s="64">
        <v>45562</v>
      </c>
      <c r="K176" s="64">
        <v>45607</v>
      </c>
      <c r="L176" s="64" t="s">
        <v>549</v>
      </c>
      <c r="M176" s="64"/>
    </row>
    <row r="177" spans="1:13" ht="16.2" x14ac:dyDescent="0.4">
      <c r="A177" s="3" t="str">
        <f t="shared" si="2"/>
        <v>PROPERTY_ENERGY_CERTIFICATEADDRESS_CODE</v>
      </c>
      <c r="B177" s="52" t="s">
        <v>23</v>
      </c>
      <c r="C177" s="49" t="s">
        <v>49</v>
      </c>
      <c r="D177" s="45" t="s">
        <v>36</v>
      </c>
      <c r="E177" s="46" t="s">
        <v>116</v>
      </c>
      <c r="F177" s="45" t="s">
        <v>97</v>
      </c>
      <c r="G177" s="47" t="s">
        <v>475</v>
      </c>
      <c r="H177" s="47" t="s">
        <v>475</v>
      </c>
      <c r="I177" s="54"/>
      <c r="J177" s="64">
        <v>45562</v>
      </c>
      <c r="K177" s="64">
        <v>45607</v>
      </c>
      <c r="L177" s="64" t="s">
        <v>549</v>
      </c>
      <c r="M177" s="64"/>
    </row>
    <row r="178" spans="1:13" ht="16.2" x14ac:dyDescent="0.4">
      <c r="A178" s="3" t="str">
        <f t="shared" si="2"/>
        <v>PROPERTY_ENERGY_CERTIFICATEFLOOR_NUMBER</v>
      </c>
      <c r="B178" s="52" t="s">
        <v>23</v>
      </c>
      <c r="C178" s="49" t="s">
        <v>49</v>
      </c>
      <c r="D178" s="45" t="s">
        <v>36</v>
      </c>
      <c r="E178" s="46" t="s">
        <v>116</v>
      </c>
      <c r="F178" s="45" t="s">
        <v>104</v>
      </c>
      <c r="G178" s="47" t="s">
        <v>475</v>
      </c>
      <c r="H178" s="47" t="s">
        <v>475</v>
      </c>
      <c r="I178" s="54"/>
      <c r="J178" s="64">
        <v>45562</v>
      </c>
      <c r="K178" s="64">
        <v>45607</v>
      </c>
      <c r="L178" s="64" t="s">
        <v>549</v>
      </c>
      <c r="M178" s="64"/>
    </row>
    <row r="179" spans="1:13" ht="16.2" x14ac:dyDescent="0.4">
      <c r="A179" s="3" t="str">
        <f t="shared" si="2"/>
        <v>PROPERTY_ENERGY_CERTIFICATELOCALITY</v>
      </c>
      <c r="B179" s="52" t="s">
        <v>23</v>
      </c>
      <c r="C179" s="49" t="s">
        <v>49</v>
      </c>
      <c r="D179" s="45" t="s">
        <v>36</v>
      </c>
      <c r="E179" s="46" t="s">
        <v>116</v>
      </c>
      <c r="F179" s="45" t="s">
        <v>105</v>
      </c>
      <c r="G179" s="47" t="s">
        <v>475</v>
      </c>
      <c r="H179" s="47" t="s">
        <v>475</v>
      </c>
      <c r="I179" s="54"/>
      <c r="J179" s="64">
        <v>45562</v>
      </c>
      <c r="K179" s="64">
        <v>45607</v>
      </c>
      <c r="L179" s="64" t="s">
        <v>549</v>
      </c>
      <c r="M179" s="64"/>
    </row>
    <row r="180" spans="1:13" ht="16.2" x14ac:dyDescent="0.4">
      <c r="A180" s="3" t="str">
        <f t="shared" si="2"/>
        <v>PROPERTY_ENERGY_CERTIFICATECLIMATE_ZONE_SUMMER</v>
      </c>
      <c r="B180" s="52" t="s">
        <v>23</v>
      </c>
      <c r="C180" s="49" t="s">
        <v>49</v>
      </c>
      <c r="D180" s="45" t="s">
        <v>36</v>
      </c>
      <c r="E180" s="46" t="s">
        <v>116</v>
      </c>
      <c r="F180" s="45" t="s">
        <v>171</v>
      </c>
      <c r="G180" s="47" t="s">
        <v>470</v>
      </c>
      <c r="H180" s="47" t="s">
        <v>470</v>
      </c>
      <c r="I180" s="54"/>
      <c r="J180" s="64" t="s">
        <v>549</v>
      </c>
      <c r="K180" s="64" t="s">
        <v>549</v>
      </c>
      <c r="L180" s="64" t="s">
        <v>549</v>
      </c>
      <c r="M180" s="64"/>
    </row>
    <row r="181" spans="1:13" ht="16.2" x14ac:dyDescent="0.4">
      <c r="A181" s="3" t="str">
        <f t="shared" si="2"/>
        <v>modesg_param_sfcs_taxon_europeian.a.</v>
      </c>
      <c r="B181" s="52" t="s">
        <v>23</v>
      </c>
      <c r="C181" s="49" t="s">
        <v>172</v>
      </c>
      <c r="D181" s="45" t="s">
        <v>33</v>
      </c>
      <c r="E181" s="46" t="s">
        <v>174</v>
      </c>
      <c r="F181" s="45" t="s">
        <v>35</v>
      </c>
      <c r="G181" s="47" t="s">
        <v>475</v>
      </c>
      <c r="H181" s="47" t="s">
        <v>475</v>
      </c>
      <c r="I181" s="54"/>
      <c r="J181" s="64">
        <v>45563</v>
      </c>
      <c r="K181" s="64" t="s">
        <v>549</v>
      </c>
      <c r="L181" s="64" t="s">
        <v>549</v>
      </c>
      <c r="M181" s="64"/>
    </row>
    <row r="182" spans="1:13" ht="16.2" x14ac:dyDescent="0.4">
      <c r="A182" s="3" t="str">
        <f t="shared" si="2"/>
        <v>modesg_param_sfcs_taxon_europeiacbalcao</v>
      </c>
      <c r="B182" s="52" t="s">
        <v>23</v>
      </c>
      <c r="C182" s="49" t="s">
        <v>172</v>
      </c>
      <c r="D182" s="45" t="s">
        <v>36</v>
      </c>
      <c r="E182" s="46" t="s">
        <v>174</v>
      </c>
      <c r="F182" s="45" t="s">
        <v>175</v>
      </c>
      <c r="G182" s="47" t="s">
        <v>470</v>
      </c>
      <c r="H182" s="47" t="s">
        <v>470</v>
      </c>
      <c r="I182" s="65"/>
      <c r="J182" s="64" t="s">
        <v>549</v>
      </c>
      <c r="K182" s="64" t="s">
        <v>549</v>
      </c>
      <c r="L182" s="64" t="s">
        <v>549</v>
      </c>
      <c r="M182" s="64"/>
    </row>
    <row r="183" spans="1:13" ht="16.2" x14ac:dyDescent="0.4">
      <c r="A183" s="3" t="str">
        <f t="shared" si="2"/>
        <v>modesg_param_sfcs_taxon_europeiacempresa</v>
      </c>
      <c r="B183" s="52" t="s">
        <v>23</v>
      </c>
      <c r="C183" s="49" t="s">
        <v>172</v>
      </c>
      <c r="D183" s="45" t="s">
        <v>36</v>
      </c>
      <c r="E183" s="46" t="s">
        <v>174</v>
      </c>
      <c r="F183" s="45" t="s">
        <v>176</v>
      </c>
      <c r="G183" s="47" t="s">
        <v>470</v>
      </c>
      <c r="H183" s="47" t="s">
        <v>470</v>
      </c>
      <c r="I183" s="65"/>
      <c r="J183" s="64" t="s">
        <v>549</v>
      </c>
      <c r="K183" s="64" t="s">
        <v>549</v>
      </c>
      <c r="L183" s="64" t="s">
        <v>549</v>
      </c>
      <c r="M183" s="64"/>
    </row>
    <row r="184" spans="1:13" ht="16.2" x14ac:dyDescent="0.4">
      <c r="A184" s="3" t="str">
        <f t="shared" si="2"/>
        <v>modesg_param_sfcs_taxon_europeiackmetamis</v>
      </c>
      <c r="B184" s="52" t="s">
        <v>23</v>
      </c>
      <c r="C184" s="49" t="s">
        <v>172</v>
      </c>
      <c r="D184" s="45" t="s">
        <v>36</v>
      </c>
      <c r="E184" s="46" t="s">
        <v>174</v>
      </c>
      <c r="F184" s="45" t="s">
        <v>177</v>
      </c>
      <c r="G184" s="47" t="s">
        <v>470</v>
      </c>
      <c r="H184" s="47" t="s">
        <v>470</v>
      </c>
      <c r="I184" s="65"/>
      <c r="J184" s="64" t="s">
        <v>549</v>
      </c>
      <c r="K184" s="64" t="s">
        <v>549</v>
      </c>
      <c r="L184" s="64" t="s">
        <v>549</v>
      </c>
      <c r="M184" s="64"/>
    </row>
    <row r="185" spans="1:13" ht="16.2" x14ac:dyDescent="0.4">
      <c r="A185" s="3" t="str">
        <f t="shared" si="2"/>
        <v>modesg_param_sfcs_taxon_europeiackprodmi</v>
      </c>
      <c r="B185" s="52" t="s">
        <v>23</v>
      </c>
      <c r="C185" s="49" t="s">
        <v>172</v>
      </c>
      <c r="D185" s="45" t="s">
        <v>36</v>
      </c>
      <c r="E185" s="46" t="s">
        <v>174</v>
      </c>
      <c r="F185" s="45" t="s">
        <v>178</v>
      </c>
      <c r="G185" s="47" t="s">
        <v>470</v>
      </c>
      <c r="H185" s="47" t="s">
        <v>470</v>
      </c>
      <c r="I185" s="65"/>
      <c r="J185" s="64" t="s">
        <v>549</v>
      </c>
      <c r="K185" s="64" t="s">
        <v>549</v>
      </c>
      <c r="L185" s="64" t="s">
        <v>549</v>
      </c>
      <c r="M185" s="64"/>
    </row>
    <row r="186" spans="1:13" ht="16.2" x14ac:dyDescent="0.4">
      <c r="A186" s="3" t="str">
        <f t="shared" si="2"/>
        <v>modesg_param_sfcs_taxon_europeiacmetanseg</v>
      </c>
      <c r="B186" s="52" t="s">
        <v>23</v>
      </c>
      <c r="C186" s="49" t="s">
        <v>172</v>
      </c>
      <c r="D186" s="45" t="s">
        <v>36</v>
      </c>
      <c r="E186" s="46" t="s">
        <v>174</v>
      </c>
      <c r="F186" s="45" t="s">
        <v>179</v>
      </c>
      <c r="G186" s="47" t="s">
        <v>470</v>
      </c>
      <c r="H186" s="47" t="s">
        <v>470</v>
      </c>
      <c r="I186" s="65"/>
      <c r="J186" s="64" t="s">
        <v>549</v>
      </c>
      <c r="K186" s="64" t="s">
        <v>549</v>
      </c>
      <c r="L186" s="64" t="s">
        <v>549</v>
      </c>
      <c r="M186" s="64"/>
    </row>
    <row r="187" spans="1:13" ht="16.2" x14ac:dyDescent="0.4">
      <c r="A187" s="3" t="str">
        <f t="shared" si="2"/>
        <v>modesg_param_sfcs_taxon_europeiacnsm_co2</v>
      </c>
      <c r="B187" s="52" t="s">
        <v>23</v>
      </c>
      <c r="C187" s="49" t="s">
        <v>172</v>
      </c>
      <c r="D187" s="45" t="s">
        <v>36</v>
      </c>
      <c r="E187" s="46" t="s">
        <v>174</v>
      </c>
      <c r="F187" s="45" t="s">
        <v>180</v>
      </c>
      <c r="G187" s="47" t="s">
        <v>470</v>
      </c>
      <c r="H187" s="47" t="s">
        <v>470</v>
      </c>
      <c r="I187" s="65"/>
      <c r="J187" s="64" t="s">
        <v>549</v>
      </c>
      <c r="K187" s="64" t="s">
        <v>549</v>
      </c>
      <c r="L187" s="64" t="s">
        <v>549</v>
      </c>
      <c r="M187" s="64"/>
    </row>
    <row r="188" spans="1:13" ht="16.2" x14ac:dyDescent="0.4">
      <c r="A188" s="3" t="str">
        <f t="shared" si="2"/>
        <v>modesg_param_sfcs_taxon_europeiacnumecta</v>
      </c>
      <c r="B188" s="52" t="s">
        <v>23</v>
      </c>
      <c r="C188" s="49" t="s">
        <v>172</v>
      </c>
      <c r="D188" s="45" t="s">
        <v>36</v>
      </c>
      <c r="E188" s="46" t="s">
        <v>174</v>
      </c>
      <c r="F188" s="45" t="s">
        <v>181</v>
      </c>
      <c r="G188" s="47" t="s">
        <v>470</v>
      </c>
      <c r="H188" s="47" t="s">
        <v>470</v>
      </c>
      <c r="I188" s="65"/>
      <c r="J188" s="64" t="s">
        <v>549</v>
      </c>
      <c r="K188" s="64" t="s">
        <v>549</v>
      </c>
      <c r="L188" s="64" t="s">
        <v>549</v>
      </c>
      <c r="M188" s="64"/>
    </row>
    <row r="189" spans="1:13" ht="16.2" x14ac:dyDescent="0.4">
      <c r="A189" s="3" t="str">
        <f t="shared" si="2"/>
        <v>modesg_param_sfcs_taxon_europeiacod_lease</v>
      </c>
      <c r="B189" s="52" t="s">
        <v>23</v>
      </c>
      <c r="C189" s="49" t="s">
        <v>172</v>
      </c>
      <c r="D189" s="45" t="s">
        <v>36</v>
      </c>
      <c r="E189" s="46" t="s">
        <v>174</v>
      </c>
      <c r="F189" s="45" t="s">
        <v>182</v>
      </c>
      <c r="G189" s="47" t="s">
        <v>470</v>
      </c>
      <c r="H189" s="47" t="s">
        <v>470</v>
      </c>
      <c r="I189" s="65"/>
      <c r="J189" s="64" t="s">
        <v>549</v>
      </c>
      <c r="K189" s="64" t="s">
        <v>549</v>
      </c>
      <c r="L189" s="64" t="s">
        <v>549</v>
      </c>
      <c r="M189" s="64"/>
    </row>
    <row r="190" spans="1:13" ht="16.2" x14ac:dyDescent="0.4">
      <c r="A190" s="3" t="str">
        <f t="shared" si="2"/>
        <v>modesg_param_sfcs_taxon_europeiacod_regra</v>
      </c>
      <c r="B190" s="52" t="s">
        <v>23</v>
      </c>
      <c r="C190" s="49" t="s">
        <v>172</v>
      </c>
      <c r="D190" s="45" t="s">
        <v>36</v>
      </c>
      <c r="E190" s="46" t="s">
        <v>174</v>
      </c>
      <c r="F190" s="45" t="s">
        <v>183</v>
      </c>
      <c r="G190" s="47" t="s">
        <v>475</v>
      </c>
      <c r="H190" s="47" t="s">
        <v>475</v>
      </c>
      <c r="I190" s="54"/>
      <c r="J190" s="64">
        <v>45563</v>
      </c>
      <c r="K190" s="64" t="s">
        <v>549</v>
      </c>
      <c r="L190" s="64" t="s">
        <v>549</v>
      </c>
      <c r="M190" s="64"/>
    </row>
    <row r="191" spans="1:13" ht="16.2" x14ac:dyDescent="0.4">
      <c r="A191" s="3" t="str">
        <f t="shared" si="2"/>
        <v>modesg_param_sfcs_taxon_europeiacomite</v>
      </c>
      <c r="B191" s="52" t="s">
        <v>23</v>
      </c>
      <c r="C191" s="49" t="s">
        <v>172</v>
      </c>
      <c r="D191" s="45" t="s">
        <v>36</v>
      </c>
      <c r="E191" s="46" t="s">
        <v>174</v>
      </c>
      <c r="F191" s="45" t="s">
        <v>184</v>
      </c>
      <c r="G191" s="47" t="s">
        <v>475</v>
      </c>
      <c r="H191" s="47" t="s">
        <v>475</v>
      </c>
      <c r="I191" s="54"/>
      <c r="J191" s="64">
        <v>45563</v>
      </c>
      <c r="K191" s="64" t="s">
        <v>549</v>
      </c>
      <c r="L191" s="64" t="s">
        <v>549</v>
      </c>
      <c r="M191" s="64"/>
    </row>
    <row r="192" spans="1:13" ht="16.2" x14ac:dyDescent="0.4">
      <c r="A192" s="3" t="str">
        <f t="shared" si="2"/>
        <v>modesg_param_sfcs_taxon_europeiadata_aprvc</v>
      </c>
      <c r="B192" s="52" t="s">
        <v>23</v>
      </c>
      <c r="C192" s="49" t="s">
        <v>172</v>
      </c>
      <c r="D192" s="45" t="s">
        <v>36</v>
      </c>
      <c r="E192" s="46" t="s">
        <v>174</v>
      </c>
      <c r="F192" s="45" t="s">
        <v>185</v>
      </c>
      <c r="G192" s="47" t="s">
        <v>475</v>
      </c>
      <c r="H192" s="47" t="s">
        <v>475</v>
      </c>
      <c r="I192" s="54"/>
      <c r="J192" s="64">
        <v>45563</v>
      </c>
      <c r="K192" s="64" t="s">
        <v>549</v>
      </c>
      <c r="L192" s="64" t="s">
        <v>549</v>
      </c>
      <c r="M192" s="64"/>
    </row>
    <row r="193" spans="1:13" ht="16.2" x14ac:dyDescent="0.4">
      <c r="A193" s="3" t="str">
        <f t="shared" si="2"/>
        <v>modesg_param_sfcs_taxon_europeiadata_final</v>
      </c>
      <c r="B193" s="52" t="s">
        <v>23</v>
      </c>
      <c r="C193" s="49" t="s">
        <v>172</v>
      </c>
      <c r="D193" s="45" t="s">
        <v>36</v>
      </c>
      <c r="E193" s="46" t="s">
        <v>174</v>
      </c>
      <c r="F193" s="45" t="s">
        <v>186</v>
      </c>
      <c r="G193" s="47" t="s">
        <v>473</v>
      </c>
      <c r="H193" s="47" t="s">
        <v>473</v>
      </c>
      <c r="I193" s="54"/>
      <c r="J193" s="64">
        <v>45561</v>
      </c>
      <c r="K193" s="64" t="s">
        <v>549</v>
      </c>
      <c r="L193" s="64" t="s">
        <v>549</v>
      </c>
      <c r="M193" s="64"/>
    </row>
    <row r="194" spans="1:13" ht="16.2" x14ac:dyDescent="0.4">
      <c r="A194" s="3" t="str">
        <f t="shared" si="2"/>
        <v>modesg_param_sfcs_taxon_europeiadata_inicial</v>
      </c>
      <c r="B194" s="52" t="s">
        <v>23</v>
      </c>
      <c r="C194" s="49" t="s">
        <v>172</v>
      </c>
      <c r="D194" s="45" t="s">
        <v>36</v>
      </c>
      <c r="E194" s="46" t="s">
        <v>174</v>
      </c>
      <c r="F194" s="45" t="s">
        <v>187</v>
      </c>
      <c r="G194" s="47" t="s">
        <v>473</v>
      </c>
      <c r="H194" s="47" t="s">
        <v>473</v>
      </c>
      <c r="I194" s="54"/>
      <c r="J194" s="64">
        <v>45561</v>
      </c>
      <c r="K194" s="64" t="s">
        <v>549</v>
      </c>
      <c r="L194" s="64" t="s">
        <v>549</v>
      </c>
      <c r="M194" s="64"/>
    </row>
    <row r="195" spans="1:13" ht="16.2" x14ac:dyDescent="0.4">
      <c r="A195" s="3" t="str">
        <f t="shared" si="2"/>
        <v>modesg_param_sfcs_taxon_europeiadominio</v>
      </c>
      <c r="B195" s="52" t="s">
        <v>23</v>
      </c>
      <c r="C195" s="49" t="s">
        <v>172</v>
      </c>
      <c r="D195" s="45" t="s">
        <v>36</v>
      </c>
      <c r="E195" s="46" t="s">
        <v>174</v>
      </c>
      <c r="F195" s="45" t="s">
        <v>188</v>
      </c>
      <c r="G195" s="47" t="s">
        <v>470</v>
      </c>
      <c r="H195" s="47" t="s">
        <v>470</v>
      </c>
      <c r="I195" s="65"/>
      <c r="J195" s="64" t="s">
        <v>549</v>
      </c>
      <c r="K195" s="64" t="s">
        <v>549</v>
      </c>
      <c r="L195" s="64" t="s">
        <v>549</v>
      </c>
      <c r="M195" s="64"/>
    </row>
    <row r="196" spans="1:13" ht="16.2" x14ac:dyDescent="0.4">
      <c r="A196" s="3" t="str">
        <f t="shared" si="2"/>
        <v>modesg_param_sfcs_taxon_europeiadscrc</v>
      </c>
      <c r="B196" s="52" t="s">
        <v>23</v>
      </c>
      <c r="C196" s="49" t="s">
        <v>172</v>
      </c>
      <c r="D196" s="45" t="s">
        <v>36</v>
      </c>
      <c r="E196" s="46" t="s">
        <v>174</v>
      </c>
      <c r="F196" s="45" t="s">
        <v>189</v>
      </c>
      <c r="G196" s="47" t="s">
        <v>470</v>
      </c>
      <c r="H196" s="47" t="s">
        <v>470</v>
      </c>
      <c r="I196" s="65"/>
      <c r="J196" s="64" t="s">
        <v>549</v>
      </c>
      <c r="K196" s="64" t="s">
        <v>549</v>
      </c>
      <c r="L196" s="64" t="s">
        <v>549</v>
      </c>
      <c r="M196" s="64"/>
    </row>
    <row r="197" spans="1:13" ht="16.2" x14ac:dyDescent="0.4">
      <c r="A197" s="3" t="str">
        <f t="shared" si="2"/>
        <v>modesg_param_sfcs_taxon_europeiaepc</v>
      </c>
      <c r="B197" s="52" t="s">
        <v>23</v>
      </c>
      <c r="C197" s="49" t="s">
        <v>172</v>
      </c>
      <c r="D197" s="45" t="s">
        <v>36</v>
      </c>
      <c r="E197" s="46" t="s">
        <v>174</v>
      </c>
      <c r="F197" s="45" t="s">
        <v>190</v>
      </c>
      <c r="G197" s="47" t="s">
        <v>470</v>
      </c>
      <c r="H197" s="47" t="s">
        <v>470</v>
      </c>
      <c r="I197" s="65"/>
      <c r="J197" s="64" t="s">
        <v>549</v>
      </c>
      <c r="K197" s="64" t="s">
        <v>549</v>
      </c>
      <c r="L197" s="64" t="s">
        <v>549</v>
      </c>
      <c r="M197" s="64"/>
    </row>
    <row r="198" spans="1:13" ht="16.2" x14ac:dyDescent="0.4">
      <c r="A198" s="3" t="str">
        <f t="shared" si="2"/>
        <v>modesg_param_sfcs_taxon_europeiaflag_project_finance</v>
      </c>
      <c r="B198" s="52" t="s">
        <v>23</v>
      </c>
      <c r="C198" s="49" t="s">
        <v>172</v>
      </c>
      <c r="D198" s="45" t="s">
        <v>36</v>
      </c>
      <c r="E198" s="46" t="s">
        <v>174</v>
      </c>
      <c r="F198" s="45" t="s">
        <v>191</v>
      </c>
      <c r="G198" s="47" t="s">
        <v>475</v>
      </c>
      <c r="H198" s="47" t="s">
        <v>475</v>
      </c>
      <c r="I198" s="55" t="s">
        <v>511</v>
      </c>
      <c r="J198" s="64">
        <v>45563</v>
      </c>
      <c r="K198" s="64" t="s">
        <v>549</v>
      </c>
      <c r="L198" s="64" t="s">
        <v>549</v>
      </c>
      <c r="M198" s="64"/>
    </row>
    <row r="199" spans="1:13" ht="16.2" x14ac:dyDescent="0.4">
      <c r="A199" s="3" t="str">
        <f t="shared" si="2"/>
        <v>modesg_param_sfcs_taxon_europeiacfinalidad</v>
      </c>
      <c r="B199" s="52" t="s">
        <v>23</v>
      </c>
      <c r="C199" s="49" t="s">
        <v>172</v>
      </c>
      <c r="D199" s="45" t="s">
        <v>36</v>
      </c>
      <c r="E199" s="46" t="s">
        <v>174</v>
      </c>
      <c r="F199" s="45" t="s">
        <v>192</v>
      </c>
      <c r="G199" s="47" t="s">
        <v>475</v>
      </c>
      <c r="H199" s="47" t="s">
        <v>475</v>
      </c>
      <c r="I199" s="55" t="s">
        <v>511</v>
      </c>
      <c r="J199" s="64">
        <v>45563</v>
      </c>
      <c r="K199" s="64" t="s">
        <v>549</v>
      </c>
      <c r="L199" s="64" t="s">
        <v>549</v>
      </c>
      <c r="M199" s="64"/>
    </row>
    <row r="200" spans="1:13" ht="16.2" x14ac:dyDescent="0.4">
      <c r="A200" s="3" t="str">
        <f t="shared" si="2"/>
        <v>modesg_param_sfcs_taxon_europeiatipo_combust</v>
      </c>
      <c r="B200" s="52" t="s">
        <v>23</v>
      </c>
      <c r="C200" s="49" t="s">
        <v>172</v>
      </c>
      <c r="D200" s="45" t="s">
        <v>36</v>
      </c>
      <c r="E200" s="46" t="s">
        <v>174</v>
      </c>
      <c r="F200" s="45" t="s">
        <v>193</v>
      </c>
      <c r="G200" s="47" t="s">
        <v>475</v>
      </c>
      <c r="H200" s="47" t="s">
        <v>475</v>
      </c>
      <c r="I200" s="55" t="s">
        <v>512</v>
      </c>
      <c r="J200" s="64">
        <v>45563</v>
      </c>
      <c r="K200" s="64" t="s">
        <v>549</v>
      </c>
      <c r="L200" s="64" t="s">
        <v>549</v>
      </c>
      <c r="M200" s="64"/>
    </row>
    <row r="201" spans="1:13" ht="16.2" x14ac:dyDescent="0.4">
      <c r="A201" s="3" t="str">
        <f t="shared" si="2"/>
        <v>modesg_param_sfcs_taxon_europeiamontante_pndrc</v>
      </c>
      <c r="B201" s="52" t="s">
        <v>23</v>
      </c>
      <c r="C201" s="49" t="s">
        <v>172</v>
      </c>
      <c r="D201" s="45" t="s">
        <v>36</v>
      </c>
      <c r="E201" s="46" t="s">
        <v>174</v>
      </c>
      <c r="F201" s="45" t="s">
        <v>194</v>
      </c>
      <c r="G201" s="47" t="s">
        <v>475</v>
      </c>
      <c r="H201" s="47" t="s">
        <v>475</v>
      </c>
      <c r="I201" s="54"/>
      <c r="J201" s="64">
        <v>45563</v>
      </c>
      <c r="K201" s="64" t="s">
        <v>549</v>
      </c>
      <c r="L201" s="64" t="s">
        <v>549</v>
      </c>
      <c r="M201" s="64"/>
    </row>
    <row r="202" spans="1:13" ht="16.2" x14ac:dyDescent="0.4">
      <c r="A202" s="3" t="str">
        <f t="shared" si="2"/>
        <v>modesg_param_sfcs_taxon_europeianome_ctgr_sfcs</v>
      </c>
      <c r="B202" s="52" t="s">
        <v>23</v>
      </c>
      <c r="C202" s="49" t="s">
        <v>172</v>
      </c>
      <c r="D202" s="45" t="s">
        <v>36</v>
      </c>
      <c r="E202" s="46" t="s">
        <v>174</v>
      </c>
      <c r="F202" s="45" t="s">
        <v>195</v>
      </c>
      <c r="G202" s="47" t="s">
        <v>475</v>
      </c>
      <c r="H202" s="47" t="s">
        <v>475</v>
      </c>
      <c r="I202" s="54" t="s">
        <v>513</v>
      </c>
      <c r="J202" s="64">
        <v>45563</v>
      </c>
      <c r="K202" s="64" t="s">
        <v>549</v>
      </c>
      <c r="L202" s="64" t="s">
        <v>549</v>
      </c>
      <c r="M202" s="64"/>
    </row>
    <row r="203" spans="1:13" ht="16.2" x14ac:dyDescent="0.4">
      <c r="A203" s="3" t="str">
        <f t="shared" si="2"/>
        <v>modesg_param_sfcs_taxon_europeianome_general_specific_purpose</v>
      </c>
      <c r="B203" s="52" t="s">
        <v>23</v>
      </c>
      <c r="C203" s="49" t="s">
        <v>172</v>
      </c>
      <c r="D203" s="45" t="s">
        <v>36</v>
      </c>
      <c r="E203" s="46" t="s">
        <v>174</v>
      </c>
      <c r="F203" s="45" t="s">
        <v>196</v>
      </c>
      <c r="G203" s="47" t="s">
        <v>475</v>
      </c>
      <c r="H203" s="47" t="s">
        <v>475</v>
      </c>
      <c r="I203" s="65"/>
      <c r="J203" s="64">
        <v>45563</v>
      </c>
      <c r="K203" s="64" t="s">
        <v>549</v>
      </c>
      <c r="L203" s="64" t="s">
        <v>549</v>
      </c>
      <c r="M203" s="64"/>
    </row>
    <row r="204" spans="1:13" ht="16.2" x14ac:dyDescent="0.4">
      <c r="A204" s="3" t="str">
        <f t="shared" si="2"/>
        <v>modesg_param_sfcs_taxon_europeianome_purpose_esg</v>
      </c>
      <c r="B204" s="52" t="s">
        <v>23</v>
      </c>
      <c r="C204" s="49" t="s">
        <v>172</v>
      </c>
      <c r="D204" s="45" t="s">
        <v>36</v>
      </c>
      <c r="E204" s="46" t="s">
        <v>174</v>
      </c>
      <c r="F204" s="45" t="s">
        <v>197</v>
      </c>
      <c r="G204" s="47" t="s">
        <v>475</v>
      </c>
      <c r="H204" s="47" t="s">
        <v>475</v>
      </c>
      <c r="I204" s="65"/>
      <c r="J204" s="64">
        <v>45563</v>
      </c>
      <c r="K204" s="64" t="s">
        <v>549</v>
      </c>
      <c r="L204" s="64" t="s">
        <v>549</v>
      </c>
      <c r="M204" s="64"/>
    </row>
    <row r="205" spans="1:13" ht="16.2" x14ac:dyDescent="0.4">
      <c r="A205" s="3" t="str">
        <f t="shared" si="2"/>
        <v>modesg_param_sfcs_taxon_europeianome_specific_eligible</v>
      </c>
      <c r="B205" s="52" t="s">
        <v>23</v>
      </c>
      <c r="C205" s="49" t="s">
        <v>172</v>
      </c>
      <c r="D205" s="45" t="s">
        <v>36</v>
      </c>
      <c r="E205" s="46" t="s">
        <v>174</v>
      </c>
      <c r="F205" s="45" t="s">
        <v>198</v>
      </c>
      <c r="G205" s="47" t="s">
        <v>475</v>
      </c>
      <c r="H205" s="47" t="s">
        <v>475</v>
      </c>
      <c r="I205" s="65"/>
      <c r="J205" s="64">
        <v>45563</v>
      </c>
      <c r="K205" s="64" t="s">
        <v>549</v>
      </c>
      <c r="L205" s="64" t="s">
        <v>549</v>
      </c>
      <c r="M205" s="64"/>
    </row>
    <row r="206" spans="1:13" ht="16.2" x14ac:dyDescent="0.4">
      <c r="A206" s="3" t="str">
        <f t="shared" si="2"/>
        <v>modesg_param_sfcs_taxon_europeianome_specific_sustainable</v>
      </c>
      <c r="B206" s="52" t="s">
        <v>23</v>
      </c>
      <c r="C206" s="49" t="s">
        <v>172</v>
      </c>
      <c r="D206" s="45" t="s">
        <v>36</v>
      </c>
      <c r="E206" s="46" t="s">
        <v>174</v>
      </c>
      <c r="F206" s="45" t="s">
        <v>199</v>
      </c>
      <c r="G206" s="47" t="s">
        <v>475</v>
      </c>
      <c r="H206" s="47" t="s">
        <v>475</v>
      </c>
      <c r="I206" s="65"/>
      <c r="J206" s="64">
        <v>45563</v>
      </c>
      <c r="K206" s="64" t="s">
        <v>549</v>
      </c>
      <c r="L206" s="64" t="s">
        <v>549</v>
      </c>
      <c r="M206" s="64"/>
    </row>
    <row r="207" spans="1:13" ht="16.2" x14ac:dyDescent="0.4">
      <c r="A207" s="3" t="str">
        <f t="shared" ref="A207:A209" si="3">E207&amp;F207</f>
        <v>modesg_param_sfcs_taxon_europeiaref_date</v>
      </c>
      <c r="B207" s="52" t="s">
        <v>23</v>
      </c>
      <c r="C207" s="49" t="s">
        <v>172</v>
      </c>
      <c r="D207" s="45" t="s">
        <v>36</v>
      </c>
      <c r="E207" s="46" t="s">
        <v>174</v>
      </c>
      <c r="F207" s="45" t="s">
        <v>200</v>
      </c>
      <c r="G207" s="47" t="s">
        <v>470</v>
      </c>
      <c r="H207" s="47" t="s">
        <v>470</v>
      </c>
      <c r="I207" s="65"/>
      <c r="J207" s="64" t="s">
        <v>549</v>
      </c>
      <c r="K207" s="64" t="s">
        <v>549</v>
      </c>
      <c r="L207" s="64" t="s">
        <v>549</v>
      </c>
      <c r="M207" s="64"/>
    </row>
    <row r="208" spans="1:13" ht="16.2" x14ac:dyDescent="0.4">
      <c r="A208" s="3" t="str">
        <f t="shared" si="3"/>
        <v>modesg_param_sfcs_taxon_europeiazcliente</v>
      </c>
      <c r="B208" s="52" t="s">
        <v>23</v>
      </c>
      <c r="C208" s="49" t="s">
        <v>172</v>
      </c>
      <c r="D208" s="45" t="s">
        <v>36</v>
      </c>
      <c r="E208" s="46" t="s">
        <v>174</v>
      </c>
      <c r="F208" s="45" t="s">
        <v>201</v>
      </c>
      <c r="G208" s="47" t="s">
        <v>475</v>
      </c>
      <c r="H208" s="47" t="s">
        <v>475</v>
      </c>
      <c r="I208" s="65"/>
      <c r="J208" s="64">
        <v>45563</v>
      </c>
      <c r="K208" s="64" t="s">
        <v>549</v>
      </c>
      <c r="L208" s="64" t="s">
        <v>549</v>
      </c>
      <c r="M208" s="64"/>
    </row>
    <row r="209" spans="1:13" ht="16.2" x14ac:dyDescent="0.4">
      <c r="A209" s="3" t="str">
        <f t="shared" si="3"/>
        <v>modesg_param_sfcs_taxon_europeiazdeposit</v>
      </c>
      <c r="B209" s="52" t="s">
        <v>23</v>
      </c>
      <c r="C209" s="49" t="s">
        <v>172</v>
      </c>
      <c r="D209" s="45" t="s">
        <v>36</v>
      </c>
      <c r="E209" s="46" t="s">
        <v>174</v>
      </c>
      <c r="F209" s="45" t="s">
        <v>202</v>
      </c>
      <c r="G209" s="47" t="s">
        <v>475</v>
      </c>
      <c r="H209" s="47" t="s">
        <v>475</v>
      </c>
      <c r="I209" s="65"/>
      <c r="J209" s="64">
        <v>45563</v>
      </c>
      <c r="K209" s="64" t="s">
        <v>549</v>
      </c>
      <c r="L209" s="64" t="s">
        <v>549</v>
      </c>
      <c r="M209" s="64"/>
    </row>
    <row r="210" spans="1:13" ht="16.2" x14ac:dyDescent="0.4">
      <c r="A210" s="3" t="str">
        <f t="shared" ref="A210:A211" si="4">E210&amp;F210</f>
        <v>modesg_param_sfcs_taxon_europeiaordem</v>
      </c>
      <c r="B210" s="52" t="s">
        <v>23</v>
      </c>
      <c r="C210" s="49" t="s">
        <v>172</v>
      </c>
      <c r="D210" s="45" t="s">
        <v>36</v>
      </c>
      <c r="E210" s="46" t="s">
        <v>174</v>
      </c>
      <c r="F210" s="45" t="s">
        <v>203</v>
      </c>
      <c r="G210" s="47" t="s">
        <v>469</v>
      </c>
      <c r="H210" s="47" t="s">
        <v>469</v>
      </c>
      <c r="I210" s="65" t="s">
        <v>514</v>
      </c>
      <c r="J210" s="64">
        <v>45561</v>
      </c>
      <c r="K210" s="64" t="s">
        <v>549</v>
      </c>
      <c r="L210" s="64" t="s">
        <v>549</v>
      </c>
      <c r="M210" s="64"/>
    </row>
    <row r="211" spans="1:13" ht="16.2" x14ac:dyDescent="0.4">
      <c r="A211" s="3" t="str">
        <f t="shared" si="4"/>
        <v>modesg_param_sfcs_taxon_europeianivel_mrc</v>
      </c>
      <c r="B211" s="52" t="s">
        <v>23</v>
      </c>
      <c r="C211" s="49" t="s">
        <v>172</v>
      </c>
      <c r="D211" s="45" t="s">
        <v>36</v>
      </c>
      <c r="E211" s="46" t="s">
        <v>174</v>
      </c>
      <c r="F211" s="45" t="s">
        <v>204</v>
      </c>
      <c r="G211" s="47" t="s">
        <v>469</v>
      </c>
      <c r="H211" s="47" t="s">
        <v>469</v>
      </c>
      <c r="I211" s="65" t="s">
        <v>514</v>
      </c>
      <c r="J211" s="64">
        <v>45561</v>
      </c>
      <c r="K211" s="64" t="s">
        <v>549</v>
      </c>
      <c r="L211" s="64" t="s">
        <v>549</v>
      </c>
      <c r="M211" s="64"/>
    </row>
    <row r="212" spans="1:13" ht="16.2" x14ac:dyDescent="0.4">
      <c r="A212" s="3" t="str">
        <f t="shared" ref="A212:A243" si="5">E212&amp;F212</f>
        <v>modesg_inp_emss_vclsn.a.</v>
      </c>
      <c r="B212" s="52" t="s">
        <v>23</v>
      </c>
      <c r="C212" s="49" t="s">
        <v>172</v>
      </c>
      <c r="D212" s="45" t="s">
        <v>33</v>
      </c>
      <c r="E212" s="46" t="s">
        <v>205</v>
      </c>
      <c r="F212" s="45" t="s">
        <v>35</v>
      </c>
      <c r="G212" s="47" t="s">
        <v>470</v>
      </c>
      <c r="H212" s="47" t="s">
        <v>470</v>
      </c>
      <c r="I212" s="54"/>
      <c r="J212" s="64">
        <v>45471</v>
      </c>
      <c r="K212" s="64">
        <v>45534</v>
      </c>
      <c r="L212" s="64">
        <v>45534</v>
      </c>
      <c r="M212" s="64"/>
    </row>
    <row r="213" spans="1:13" ht="16.2" x14ac:dyDescent="0.4">
      <c r="A213" s="3" t="str">
        <f t="shared" si="5"/>
        <v>modesg_inp_km_medios_emss_vclsn.a.</v>
      </c>
      <c r="B213" s="52" t="s">
        <v>23</v>
      </c>
      <c r="C213" s="49" t="s">
        <v>172</v>
      </c>
      <c r="D213" s="45" t="s">
        <v>33</v>
      </c>
      <c r="E213" s="46" t="s">
        <v>206</v>
      </c>
      <c r="F213" s="45" t="s">
        <v>35</v>
      </c>
      <c r="G213" s="47" t="s">
        <v>470</v>
      </c>
      <c r="H213" s="47" t="s">
        <v>470</v>
      </c>
      <c r="I213" s="54"/>
      <c r="J213" s="64" t="s">
        <v>549</v>
      </c>
      <c r="K213" s="64">
        <v>45534</v>
      </c>
      <c r="L213" s="64">
        <v>45534</v>
      </c>
      <c r="M213" s="64"/>
    </row>
    <row r="214" spans="1:13" ht="16.2" x14ac:dyDescent="0.4">
      <c r="A214" s="3" t="str">
        <f t="shared" si="5"/>
        <v>modesg_inp_empr_excl_parisn.a.</v>
      </c>
      <c r="B214" s="52" t="s">
        <v>23</v>
      </c>
      <c r="C214" s="49" t="s">
        <v>172</v>
      </c>
      <c r="D214" s="45" t="s">
        <v>33</v>
      </c>
      <c r="E214" s="46" t="s">
        <v>207</v>
      </c>
      <c r="F214" s="45" t="s">
        <v>35</v>
      </c>
      <c r="G214" s="47" t="s">
        <v>470</v>
      </c>
      <c r="H214" s="47" t="s">
        <v>470</v>
      </c>
      <c r="I214" s="65"/>
      <c r="J214" s="64" t="s">
        <v>549</v>
      </c>
      <c r="K214" s="64" t="s">
        <v>549</v>
      </c>
      <c r="L214" s="64" t="s">
        <v>549</v>
      </c>
      <c r="M214" s="64"/>
    </row>
    <row r="215" spans="1:13" ht="16.2" x14ac:dyDescent="0.4">
      <c r="A215" s="3" t="str">
        <f t="shared" si="5"/>
        <v>modesg_inp_nfrd_alinhamento_taxn.a.</v>
      </c>
      <c r="B215" s="52" t="s">
        <v>23</v>
      </c>
      <c r="C215" s="49" t="s">
        <v>172</v>
      </c>
      <c r="D215" s="45" t="s">
        <v>33</v>
      </c>
      <c r="E215" s="46" t="s">
        <v>208</v>
      </c>
      <c r="F215" s="45" t="s">
        <v>35</v>
      </c>
      <c r="G215" s="47" t="s">
        <v>470</v>
      </c>
      <c r="H215" s="47" t="s">
        <v>470</v>
      </c>
      <c r="I215" s="54"/>
      <c r="J215" s="64" t="s">
        <v>549</v>
      </c>
      <c r="K215" s="64">
        <v>45534</v>
      </c>
      <c r="L215" s="64">
        <v>45534</v>
      </c>
      <c r="M215" s="64"/>
    </row>
    <row r="216" spans="1:13" ht="16.2" x14ac:dyDescent="0.4">
      <c r="A216" s="3" t="str">
        <f t="shared" si="5"/>
        <v>modesg_inp_risco_fisicon.a.</v>
      </c>
      <c r="B216" s="52" t="s">
        <v>23</v>
      </c>
      <c r="C216" s="49" t="s">
        <v>172</v>
      </c>
      <c r="D216" s="45" t="s">
        <v>33</v>
      </c>
      <c r="E216" s="46" t="s">
        <v>209</v>
      </c>
      <c r="F216" s="45" t="s">
        <v>35</v>
      </c>
      <c r="G216" s="47" t="s">
        <v>470</v>
      </c>
      <c r="H216" s="47" t="s">
        <v>470</v>
      </c>
      <c r="I216" s="65"/>
      <c r="J216" s="64" t="s">
        <v>549</v>
      </c>
      <c r="K216" s="64" t="s">
        <v>549</v>
      </c>
      <c r="L216" s="64" t="s">
        <v>549</v>
      </c>
      <c r="M216" s="64"/>
    </row>
    <row r="217" spans="1:13" ht="16.2" x14ac:dyDescent="0.4">
      <c r="A217" s="3" t="str">
        <f t="shared" si="5"/>
        <v>modesg_inp_emss_scibn.a.</v>
      </c>
      <c r="B217" s="52" t="s">
        <v>23</v>
      </c>
      <c r="C217" s="49" t="s">
        <v>172</v>
      </c>
      <c r="D217" s="45" t="s">
        <v>33</v>
      </c>
      <c r="E217" s="46" t="s">
        <v>210</v>
      </c>
      <c r="F217" s="45" t="s">
        <v>35</v>
      </c>
      <c r="G217" s="47" t="s">
        <v>470</v>
      </c>
      <c r="H217" s="47" t="s">
        <v>470</v>
      </c>
      <c r="I217" s="65"/>
      <c r="J217" s="64" t="s">
        <v>549</v>
      </c>
      <c r="K217" s="64" t="s">
        <v>549</v>
      </c>
      <c r="L217" s="64" t="s">
        <v>549</v>
      </c>
      <c r="M217" s="64"/>
    </row>
    <row r="218" spans="1:13" ht="16.2" x14ac:dyDescent="0.4">
      <c r="A218" s="3" t="str">
        <f t="shared" si="5"/>
        <v>modesg_inp_emss_nacen.a.</v>
      </c>
      <c r="B218" s="52" t="s">
        <v>23</v>
      </c>
      <c r="C218" s="49" t="s">
        <v>172</v>
      </c>
      <c r="D218" s="45" t="s">
        <v>33</v>
      </c>
      <c r="E218" s="46" t="s">
        <v>211</v>
      </c>
      <c r="F218" s="45" t="s">
        <v>35</v>
      </c>
      <c r="G218" s="47" t="s">
        <v>470</v>
      </c>
      <c r="H218" s="47" t="s">
        <v>470</v>
      </c>
      <c r="I218" s="54"/>
      <c r="J218" s="64" t="s">
        <v>549</v>
      </c>
      <c r="K218" s="64" t="s">
        <v>549</v>
      </c>
      <c r="L218" s="64" t="s">
        <v>549</v>
      </c>
      <c r="M218" s="64"/>
    </row>
    <row r="219" spans="1:13" ht="16.2" x14ac:dyDescent="0.4">
      <c r="A219" s="3" t="str">
        <f t="shared" si="5"/>
        <v>modesg_inp_emss_bens_imoveisn.a.</v>
      </c>
      <c r="B219" s="52" t="s">
        <v>23</v>
      </c>
      <c r="C219" s="49" t="s">
        <v>172</v>
      </c>
      <c r="D219" s="45" t="s">
        <v>33</v>
      </c>
      <c r="E219" s="46" t="s">
        <v>212</v>
      </c>
      <c r="F219" s="45" t="s">
        <v>35</v>
      </c>
      <c r="G219" s="47" t="s">
        <v>470</v>
      </c>
      <c r="H219" s="47" t="s">
        <v>470</v>
      </c>
      <c r="I219" s="54"/>
      <c r="J219" s="64" t="s">
        <v>549</v>
      </c>
      <c r="K219" s="64">
        <v>45534</v>
      </c>
      <c r="L219" s="64">
        <v>45534</v>
      </c>
      <c r="M219" s="64"/>
    </row>
    <row r="220" spans="1:13" ht="16.2" x14ac:dyDescent="0.4">
      <c r="A220" s="3" t="str">
        <f t="shared" si="5"/>
        <v>modesg_inp_emss_vclsref_date</v>
      </c>
      <c r="B220" s="52" t="s">
        <v>23</v>
      </c>
      <c r="C220" s="49" t="s">
        <v>172</v>
      </c>
      <c r="D220" s="45" t="s">
        <v>36</v>
      </c>
      <c r="E220" s="46" t="s">
        <v>205</v>
      </c>
      <c r="F220" s="45" t="s">
        <v>200</v>
      </c>
      <c r="G220" s="47" t="s">
        <v>470</v>
      </c>
      <c r="H220" s="47" t="s">
        <v>470</v>
      </c>
      <c r="I220" s="54"/>
      <c r="J220" s="64" t="s">
        <v>549</v>
      </c>
      <c r="K220" s="64">
        <v>45534</v>
      </c>
      <c r="L220" s="64">
        <v>45534</v>
      </c>
      <c r="M220" s="64"/>
    </row>
    <row r="221" spans="1:13" ht="16.2" x14ac:dyDescent="0.4">
      <c r="A221" s="3" t="str">
        <f t="shared" si="5"/>
        <v>modesg_inp_emss_vclsnome_regiao</v>
      </c>
      <c r="B221" s="52" t="s">
        <v>23</v>
      </c>
      <c r="C221" s="49" t="s">
        <v>172</v>
      </c>
      <c r="D221" s="45" t="s">
        <v>36</v>
      </c>
      <c r="E221" s="46" t="s">
        <v>205</v>
      </c>
      <c r="F221" s="45" t="s">
        <v>213</v>
      </c>
      <c r="G221" s="47" t="s">
        <v>470</v>
      </c>
      <c r="H221" s="47" t="s">
        <v>470</v>
      </c>
      <c r="I221" s="54"/>
      <c r="J221" s="64" t="s">
        <v>549</v>
      </c>
      <c r="K221" s="64">
        <v>45534</v>
      </c>
      <c r="L221" s="64">
        <v>45534</v>
      </c>
      <c r="M221" s="64"/>
    </row>
    <row r="222" spans="1:13" ht="16.2" x14ac:dyDescent="0.4">
      <c r="A222" s="3" t="str">
        <f t="shared" si="5"/>
        <v>modesg_inp_emss_vclsnome_pais</v>
      </c>
      <c r="B222" s="52" t="s">
        <v>23</v>
      </c>
      <c r="C222" s="49" t="s">
        <v>172</v>
      </c>
      <c r="D222" s="45" t="s">
        <v>36</v>
      </c>
      <c r="E222" s="46" t="s">
        <v>205</v>
      </c>
      <c r="F222" s="45" t="s">
        <v>214</v>
      </c>
      <c r="G222" s="47" t="s">
        <v>470</v>
      </c>
      <c r="H222" s="47" t="s">
        <v>470</v>
      </c>
      <c r="I222" s="54"/>
      <c r="J222" s="64" t="s">
        <v>549</v>
      </c>
      <c r="K222" s="64">
        <v>45534</v>
      </c>
      <c r="L222" s="64">
        <v>45534</v>
      </c>
      <c r="M222" s="64"/>
    </row>
    <row r="223" spans="1:13" ht="16.2" x14ac:dyDescent="0.4">
      <c r="A223" s="3" t="str">
        <f t="shared" si="5"/>
        <v>modesg_inp_emss_vclsnome_estado</v>
      </c>
      <c r="B223" s="52" t="s">
        <v>23</v>
      </c>
      <c r="C223" s="49" t="s">
        <v>172</v>
      </c>
      <c r="D223" s="45" t="s">
        <v>36</v>
      </c>
      <c r="E223" s="46" t="s">
        <v>205</v>
      </c>
      <c r="F223" s="45" t="s">
        <v>215</v>
      </c>
      <c r="G223" s="47" t="s">
        <v>470</v>
      </c>
      <c r="H223" s="47" t="s">
        <v>470</v>
      </c>
      <c r="I223" s="54"/>
      <c r="J223" s="64" t="s">
        <v>549</v>
      </c>
      <c r="K223" s="64">
        <v>45534</v>
      </c>
      <c r="L223" s="64">
        <v>45534</v>
      </c>
      <c r="M223" s="64"/>
    </row>
    <row r="224" spans="1:13" ht="16.2" x14ac:dyDescent="0.4">
      <c r="A224" s="3" t="str">
        <f t="shared" si="5"/>
        <v>modesg_inp_emss_vclstipo_veiculo</v>
      </c>
      <c r="B224" s="52" t="s">
        <v>23</v>
      </c>
      <c r="C224" s="49" t="s">
        <v>172</v>
      </c>
      <c r="D224" s="45" t="s">
        <v>36</v>
      </c>
      <c r="E224" s="46" t="s">
        <v>205</v>
      </c>
      <c r="F224" s="45" t="s">
        <v>216</v>
      </c>
      <c r="G224" s="47" t="s">
        <v>470</v>
      </c>
      <c r="H224" s="47" t="s">
        <v>470</v>
      </c>
      <c r="I224" s="54"/>
      <c r="J224" s="64" t="s">
        <v>549</v>
      </c>
      <c r="K224" s="64">
        <v>45534</v>
      </c>
      <c r="L224" s="64">
        <v>45534</v>
      </c>
      <c r="M224" s="64"/>
    </row>
    <row r="225" spans="1:13" ht="16.2" x14ac:dyDescent="0.4">
      <c r="A225" s="3" t="str">
        <f t="shared" si="5"/>
        <v>modesg_inp_emss_vclstipo_motor</v>
      </c>
      <c r="B225" s="52" t="s">
        <v>23</v>
      </c>
      <c r="C225" s="49" t="s">
        <v>172</v>
      </c>
      <c r="D225" s="45" t="s">
        <v>36</v>
      </c>
      <c r="E225" s="46" t="s">
        <v>205</v>
      </c>
      <c r="F225" s="45" t="s">
        <v>217</v>
      </c>
      <c r="G225" s="47" t="s">
        <v>470</v>
      </c>
      <c r="H225" s="47" t="s">
        <v>470</v>
      </c>
      <c r="I225" s="54"/>
      <c r="J225" s="64" t="s">
        <v>549</v>
      </c>
      <c r="K225" s="64">
        <v>45534</v>
      </c>
      <c r="L225" s="64">
        <v>45534</v>
      </c>
      <c r="M225" s="64"/>
    </row>
    <row r="226" spans="1:13" ht="16.2" x14ac:dyDescent="0.4">
      <c r="A226" s="3" t="str">
        <f t="shared" si="5"/>
        <v>modesg_inp_emss_vclsmarca</v>
      </c>
      <c r="B226" s="52" t="s">
        <v>23</v>
      </c>
      <c r="C226" s="49" t="s">
        <v>172</v>
      </c>
      <c r="D226" s="45" t="s">
        <v>36</v>
      </c>
      <c r="E226" s="46" t="s">
        <v>205</v>
      </c>
      <c r="F226" s="45" t="s">
        <v>218</v>
      </c>
      <c r="G226" s="47" t="s">
        <v>470</v>
      </c>
      <c r="H226" s="47" t="s">
        <v>470</v>
      </c>
      <c r="I226" s="54"/>
      <c r="J226" s="64" t="s">
        <v>549</v>
      </c>
      <c r="K226" s="64">
        <v>45534</v>
      </c>
      <c r="L226" s="64">
        <v>45534</v>
      </c>
      <c r="M226" s="64"/>
    </row>
    <row r="227" spans="1:13" ht="16.2" x14ac:dyDescent="0.4">
      <c r="A227" s="3" t="str">
        <f t="shared" si="5"/>
        <v>modesg_inp_emss_vclsmodelo</v>
      </c>
      <c r="B227" s="52" t="s">
        <v>23</v>
      </c>
      <c r="C227" s="49" t="s">
        <v>172</v>
      </c>
      <c r="D227" s="45" t="s">
        <v>36</v>
      </c>
      <c r="E227" s="46" t="s">
        <v>205</v>
      </c>
      <c r="F227" s="45" t="s">
        <v>219</v>
      </c>
      <c r="G227" s="47" t="s">
        <v>470</v>
      </c>
      <c r="H227" s="47" t="s">
        <v>470</v>
      </c>
      <c r="I227" s="54"/>
      <c r="J227" s="64" t="s">
        <v>549</v>
      </c>
      <c r="K227" s="64">
        <v>45534</v>
      </c>
      <c r="L227" s="64">
        <v>45534</v>
      </c>
      <c r="M227" s="64"/>
    </row>
    <row r="228" spans="1:13" ht="16.2" x14ac:dyDescent="0.4">
      <c r="A228" s="3" t="str">
        <f t="shared" si="5"/>
        <v>modesg_inp_emss_vclssubgrupo</v>
      </c>
      <c r="B228" s="52" t="s">
        <v>23</v>
      </c>
      <c r="C228" s="49" t="s">
        <v>172</v>
      </c>
      <c r="D228" s="45" t="s">
        <v>36</v>
      </c>
      <c r="E228" s="46" t="s">
        <v>205</v>
      </c>
      <c r="F228" s="45" t="s">
        <v>220</v>
      </c>
      <c r="G228" s="47" t="s">
        <v>470</v>
      </c>
      <c r="H228" s="47" t="s">
        <v>470</v>
      </c>
      <c r="I228" s="55" t="s">
        <v>515</v>
      </c>
      <c r="J228" s="64" t="s">
        <v>549</v>
      </c>
      <c r="K228" s="64">
        <v>45534</v>
      </c>
      <c r="L228" s="64">
        <v>45534</v>
      </c>
      <c r="M228" s="64"/>
    </row>
    <row r="229" spans="1:13" ht="16.2" x14ac:dyDescent="0.4">
      <c r="A229" s="3" t="str">
        <f t="shared" si="5"/>
        <v>modesg_inp_emss_vclsnome_unidade_funcional</v>
      </c>
      <c r="B229" s="52" t="s">
        <v>23</v>
      </c>
      <c r="C229" s="49" t="s">
        <v>172</v>
      </c>
      <c r="D229" s="45" t="s">
        <v>36</v>
      </c>
      <c r="E229" s="46" t="s">
        <v>205</v>
      </c>
      <c r="F229" s="45" t="s">
        <v>221</v>
      </c>
      <c r="G229" s="47" t="s">
        <v>470</v>
      </c>
      <c r="H229" s="47" t="s">
        <v>470</v>
      </c>
      <c r="I229" s="54"/>
      <c r="J229" s="64" t="s">
        <v>549</v>
      </c>
      <c r="K229" s="64">
        <v>45534</v>
      </c>
      <c r="L229" s="64">
        <v>45534</v>
      </c>
      <c r="M229" s="64"/>
    </row>
    <row r="230" spans="1:13" ht="16.2" x14ac:dyDescent="0.4">
      <c r="A230" s="3" t="str">
        <f t="shared" si="5"/>
        <v>modesg_inp_emss_vclsunidade_funcional</v>
      </c>
      <c r="B230" s="52" t="s">
        <v>23</v>
      </c>
      <c r="C230" s="49" t="s">
        <v>172</v>
      </c>
      <c r="D230" s="45" t="s">
        <v>36</v>
      </c>
      <c r="E230" s="46" t="s">
        <v>205</v>
      </c>
      <c r="F230" s="45" t="s">
        <v>222</v>
      </c>
      <c r="G230" s="47" t="s">
        <v>470</v>
      </c>
      <c r="H230" s="47" t="s">
        <v>470</v>
      </c>
      <c r="I230" s="54"/>
      <c r="J230" s="64" t="s">
        <v>549</v>
      </c>
      <c r="K230" s="64">
        <v>45534</v>
      </c>
      <c r="L230" s="64">
        <v>45534</v>
      </c>
      <c r="M230" s="64"/>
    </row>
    <row r="231" spans="1:13" ht="16.2" x14ac:dyDescent="0.4">
      <c r="A231" s="3" t="str">
        <f t="shared" si="5"/>
        <v>modesg_inp_emss_vclsnome_fator_emissao</v>
      </c>
      <c r="B231" s="52" t="s">
        <v>23</v>
      </c>
      <c r="C231" s="49" t="s">
        <v>172</v>
      </c>
      <c r="D231" s="45" t="s">
        <v>36</v>
      </c>
      <c r="E231" s="46" t="s">
        <v>205</v>
      </c>
      <c r="F231" s="45" t="s">
        <v>223</v>
      </c>
      <c r="G231" s="47" t="s">
        <v>470</v>
      </c>
      <c r="H231" s="47" t="s">
        <v>470</v>
      </c>
      <c r="I231" s="54"/>
      <c r="J231" s="64" t="s">
        <v>549</v>
      </c>
      <c r="K231" s="64">
        <v>45534</v>
      </c>
      <c r="L231" s="64">
        <v>45534</v>
      </c>
      <c r="M231" s="64"/>
    </row>
    <row r="232" spans="1:13" ht="16.2" x14ac:dyDescent="0.4">
      <c r="A232" s="3" t="str">
        <f t="shared" si="5"/>
        <v>modesg_inp_emss_vclsunidade_fator_de_emissao</v>
      </c>
      <c r="B232" s="52" t="s">
        <v>23</v>
      </c>
      <c r="C232" s="49" t="s">
        <v>172</v>
      </c>
      <c r="D232" s="45" t="s">
        <v>36</v>
      </c>
      <c r="E232" s="46" t="s">
        <v>205</v>
      </c>
      <c r="F232" s="45" t="s">
        <v>224</v>
      </c>
      <c r="G232" s="47" t="s">
        <v>470</v>
      </c>
      <c r="H232" s="47" t="s">
        <v>470</v>
      </c>
      <c r="I232" s="54"/>
      <c r="J232" s="64" t="s">
        <v>549</v>
      </c>
      <c r="K232" s="64">
        <v>45534</v>
      </c>
      <c r="L232" s="64">
        <v>45534</v>
      </c>
      <c r="M232" s="64"/>
    </row>
    <row r="233" spans="1:13" ht="16.2" x14ac:dyDescent="0.4">
      <c r="A233" s="3" t="str">
        <f t="shared" si="5"/>
        <v>modesg_inp_emss_vclsscore_qualidade</v>
      </c>
      <c r="B233" s="52" t="s">
        <v>23</v>
      </c>
      <c r="C233" s="49" t="s">
        <v>172</v>
      </c>
      <c r="D233" s="45" t="s">
        <v>36</v>
      </c>
      <c r="E233" s="46" t="s">
        <v>205</v>
      </c>
      <c r="F233" s="45" t="s">
        <v>225</v>
      </c>
      <c r="G233" s="47" t="s">
        <v>470</v>
      </c>
      <c r="H233" s="47" t="s">
        <v>470</v>
      </c>
      <c r="I233" s="54"/>
      <c r="J233" s="64" t="s">
        <v>549</v>
      </c>
      <c r="K233" s="64">
        <v>45534</v>
      </c>
      <c r="L233" s="64">
        <v>45534</v>
      </c>
      <c r="M233" s="64"/>
    </row>
    <row r="234" spans="1:13" ht="16.2" x14ac:dyDescent="0.4">
      <c r="A234" s="3" t="str">
        <f t="shared" si="5"/>
        <v>modesg_inp_emss_vclsscp1_ftr_emss</v>
      </c>
      <c r="B234" s="52" t="s">
        <v>23</v>
      </c>
      <c r="C234" s="49" t="s">
        <v>172</v>
      </c>
      <c r="D234" s="45" t="s">
        <v>36</v>
      </c>
      <c r="E234" s="46" t="s">
        <v>205</v>
      </c>
      <c r="F234" s="45" t="s">
        <v>226</v>
      </c>
      <c r="G234" s="47" t="s">
        <v>470</v>
      </c>
      <c r="H234" s="47" t="s">
        <v>470</v>
      </c>
      <c r="I234" s="54"/>
      <c r="J234" s="64" t="s">
        <v>549</v>
      </c>
      <c r="K234" s="64">
        <v>45534</v>
      </c>
      <c r="L234" s="64">
        <v>45534</v>
      </c>
      <c r="M234" s="64"/>
    </row>
    <row r="235" spans="1:13" ht="16.2" x14ac:dyDescent="0.4">
      <c r="A235" s="3" t="str">
        <f t="shared" si="5"/>
        <v>modesg_inp_emss_vclsscp2_ftr_emss</v>
      </c>
      <c r="B235" s="52" t="s">
        <v>23</v>
      </c>
      <c r="C235" s="49" t="s">
        <v>172</v>
      </c>
      <c r="D235" s="45" t="s">
        <v>36</v>
      </c>
      <c r="E235" s="46" t="s">
        <v>205</v>
      </c>
      <c r="F235" s="45" t="s">
        <v>227</v>
      </c>
      <c r="G235" s="47" t="s">
        <v>470</v>
      </c>
      <c r="H235" s="47" t="s">
        <v>470</v>
      </c>
      <c r="I235" s="54"/>
      <c r="J235" s="64" t="s">
        <v>549</v>
      </c>
      <c r="K235" s="64">
        <v>45534</v>
      </c>
      <c r="L235" s="64">
        <v>45534</v>
      </c>
      <c r="M235" s="64"/>
    </row>
    <row r="236" spans="1:13" ht="16.2" x14ac:dyDescent="0.4">
      <c r="A236" s="3" t="str">
        <f t="shared" si="5"/>
        <v>modesg_inp_emss_vclsscp3_ftr_emss</v>
      </c>
      <c r="B236" s="52" t="s">
        <v>23</v>
      </c>
      <c r="C236" s="49" t="s">
        <v>172</v>
      </c>
      <c r="D236" s="45" t="s">
        <v>36</v>
      </c>
      <c r="E236" s="46" t="s">
        <v>205</v>
      </c>
      <c r="F236" s="45" t="s">
        <v>228</v>
      </c>
      <c r="G236" s="47" t="s">
        <v>470</v>
      </c>
      <c r="H236" s="47" t="s">
        <v>470</v>
      </c>
      <c r="I236" s="54"/>
      <c r="J236" s="64" t="s">
        <v>549</v>
      </c>
      <c r="K236" s="64">
        <v>45534</v>
      </c>
      <c r="L236" s="64">
        <v>45534</v>
      </c>
      <c r="M236" s="64"/>
    </row>
    <row r="237" spans="1:13" ht="16.2" x14ac:dyDescent="0.4">
      <c r="A237" s="3" t="str">
        <f t="shared" si="5"/>
        <v>modesg_inp_km_medios_emss_vclsref_date</v>
      </c>
      <c r="B237" s="52" t="s">
        <v>23</v>
      </c>
      <c r="C237" s="49" t="s">
        <v>172</v>
      </c>
      <c r="D237" s="45" t="s">
        <v>36</v>
      </c>
      <c r="E237" s="46" t="s">
        <v>206</v>
      </c>
      <c r="F237" s="45" t="s">
        <v>200</v>
      </c>
      <c r="G237" s="47" t="s">
        <v>470</v>
      </c>
      <c r="H237" s="47" t="s">
        <v>470</v>
      </c>
      <c r="I237" s="54"/>
      <c r="J237" s="64" t="s">
        <v>549</v>
      </c>
      <c r="K237" s="64">
        <v>45534</v>
      </c>
      <c r="L237" s="64">
        <v>45534</v>
      </c>
      <c r="M237" s="64"/>
    </row>
    <row r="238" spans="1:13" ht="16.2" x14ac:dyDescent="0.4">
      <c r="A238" s="3" t="str">
        <f t="shared" si="5"/>
        <v>modesg_inp_km_medios_emss_vclsnome_pais</v>
      </c>
      <c r="B238" s="52" t="s">
        <v>23</v>
      </c>
      <c r="C238" s="49" t="s">
        <v>172</v>
      </c>
      <c r="D238" s="45" t="s">
        <v>36</v>
      </c>
      <c r="E238" s="46" t="s">
        <v>206</v>
      </c>
      <c r="F238" s="45" t="s">
        <v>214</v>
      </c>
      <c r="G238" s="47" t="s">
        <v>470</v>
      </c>
      <c r="H238" s="47" t="s">
        <v>470</v>
      </c>
      <c r="I238" s="54"/>
      <c r="J238" s="64" t="s">
        <v>549</v>
      </c>
      <c r="K238" s="64">
        <v>45534</v>
      </c>
      <c r="L238" s="64">
        <v>45534</v>
      </c>
      <c r="M238" s="64"/>
    </row>
    <row r="239" spans="1:13" ht="16.2" x14ac:dyDescent="0.4">
      <c r="A239" s="3" t="str">
        <f t="shared" si="5"/>
        <v>modesg_inp_km_medios_emss_vclstipo_vcl</v>
      </c>
      <c r="B239" s="52" t="s">
        <v>23</v>
      </c>
      <c r="C239" s="49" t="s">
        <v>172</v>
      </c>
      <c r="D239" s="45" t="s">
        <v>36</v>
      </c>
      <c r="E239" s="46" t="s">
        <v>206</v>
      </c>
      <c r="F239" s="45" t="s">
        <v>229</v>
      </c>
      <c r="G239" s="47" t="s">
        <v>470</v>
      </c>
      <c r="H239" s="47" t="s">
        <v>470</v>
      </c>
      <c r="I239" s="54"/>
      <c r="J239" s="64" t="s">
        <v>549</v>
      </c>
      <c r="K239" s="64">
        <v>45534</v>
      </c>
      <c r="L239" s="64">
        <v>45534</v>
      </c>
      <c r="M239" s="64"/>
    </row>
    <row r="240" spans="1:13" ht="16.2" x14ac:dyDescent="0.4">
      <c r="A240" s="3" t="str">
        <f t="shared" si="5"/>
        <v>modesg_inp_km_medios_emss_vclstipo_motor</v>
      </c>
      <c r="B240" s="52" t="s">
        <v>23</v>
      </c>
      <c r="C240" s="49" t="s">
        <v>172</v>
      </c>
      <c r="D240" s="45" t="s">
        <v>36</v>
      </c>
      <c r="E240" s="46" t="s">
        <v>206</v>
      </c>
      <c r="F240" s="45" t="s">
        <v>217</v>
      </c>
      <c r="G240" s="47" t="s">
        <v>470</v>
      </c>
      <c r="H240" s="47" t="s">
        <v>470</v>
      </c>
      <c r="I240" s="54"/>
      <c r="J240" s="64" t="s">
        <v>549</v>
      </c>
      <c r="K240" s="64">
        <v>45534</v>
      </c>
      <c r="L240" s="64">
        <v>45534</v>
      </c>
      <c r="M240" s="64"/>
    </row>
    <row r="241" spans="1:13" ht="16.2" x14ac:dyDescent="0.4">
      <c r="A241" s="3" t="str">
        <f t="shared" si="5"/>
        <v>modesg_inp_km_medios_emss_vclssubgrupo</v>
      </c>
      <c r="B241" s="52" t="s">
        <v>23</v>
      </c>
      <c r="C241" s="49" t="s">
        <v>172</v>
      </c>
      <c r="D241" s="45" t="s">
        <v>36</v>
      </c>
      <c r="E241" s="46" t="s">
        <v>206</v>
      </c>
      <c r="F241" s="45" t="s">
        <v>220</v>
      </c>
      <c r="G241" s="47" t="s">
        <v>470</v>
      </c>
      <c r="H241" s="47" t="s">
        <v>470</v>
      </c>
      <c r="I241" s="55" t="s">
        <v>515</v>
      </c>
      <c r="J241" s="64" t="s">
        <v>549</v>
      </c>
      <c r="K241" s="64">
        <v>45534</v>
      </c>
      <c r="L241" s="64">
        <v>45534</v>
      </c>
      <c r="M241" s="64"/>
    </row>
    <row r="242" spans="1:13" ht="16.2" x14ac:dyDescent="0.4">
      <c r="A242" s="3" t="str">
        <f t="shared" si="5"/>
        <v>modesg_inp_km_medios_emss_vclsmedia_km</v>
      </c>
      <c r="B242" s="52" t="s">
        <v>23</v>
      </c>
      <c r="C242" s="49" t="s">
        <v>172</v>
      </c>
      <c r="D242" s="45" t="s">
        <v>36</v>
      </c>
      <c r="E242" s="46" t="s">
        <v>206</v>
      </c>
      <c r="F242" s="45" t="s">
        <v>230</v>
      </c>
      <c r="G242" s="47" t="s">
        <v>470</v>
      </c>
      <c r="H242" s="47" t="s">
        <v>470</v>
      </c>
      <c r="I242" s="54"/>
      <c r="J242" s="64" t="s">
        <v>549</v>
      </c>
      <c r="K242" s="64">
        <v>45534</v>
      </c>
      <c r="L242" s="64">
        <v>45534</v>
      </c>
      <c r="M242" s="64"/>
    </row>
    <row r="243" spans="1:13" ht="16.2" x14ac:dyDescent="0.4">
      <c r="A243" s="3" t="str">
        <f t="shared" si="5"/>
        <v>modesg_inp_empr_excl_parisref_date</v>
      </c>
      <c r="B243" s="52" t="s">
        <v>23</v>
      </c>
      <c r="C243" s="49" t="s">
        <v>172</v>
      </c>
      <c r="D243" s="45" t="s">
        <v>36</v>
      </c>
      <c r="E243" s="46" t="s">
        <v>207</v>
      </c>
      <c r="F243" s="45" t="s">
        <v>200</v>
      </c>
      <c r="G243" s="47" t="s">
        <v>470</v>
      </c>
      <c r="H243" s="47" t="s">
        <v>470</v>
      </c>
      <c r="I243" s="65"/>
      <c r="J243" s="64" t="s">
        <v>549</v>
      </c>
      <c r="K243" s="64" t="s">
        <v>549</v>
      </c>
      <c r="L243" s="64" t="s">
        <v>549</v>
      </c>
      <c r="M243" s="64"/>
    </row>
    <row r="244" spans="1:13" ht="16.2" x14ac:dyDescent="0.4">
      <c r="A244" s="3" t="str">
        <f t="shared" ref="A244:A273" si="6">E244&amp;F244</f>
        <v>modesg_inp_empr_excl_parisisin</v>
      </c>
      <c r="B244" s="52" t="s">
        <v>23</v>
      </c>
      <c r="C244" s="49" t="s">
        <v>172</v>
      </c>
      <c r="D244" s="45" t="s">
        <v>36</v>
      </c>
      <c r="E244" s="46" t="s">
        <v>207</v>
      </c>
      <c r="F244" s="45" t="s">
        <v>231</v>
      </c>
      <c r="G244" s="47" t="s">
        <v>470</v>
      </c>
      <c r="H244" s="47" t="s">
        <v>470</v>
      </c>
      <c r="I244" s="65"/>
      <c r="J244" s="64" t="s">
        <v>549</v>
      </c>
      <c r="K244" s="64" t="s">
        <v>549</v>
      </c>
      <c r="L244" s="64" t="s">
        <v>549</v>
      </c>
      <c r="M244" s="64"/>
    </row>
    <row r="245" spans="1:13" ht="16.2" x14ac:dyDescent="0.4">
      <c r="A245" s="3" t="str">
        <f t="shared" si="6"/>
        <v>modesg_inp_empr_excl_parisclei</v>
      </c>
      <c r="B245" s="52" t="s">
        <v>23</v>
      </c>
      <c r="C245" s="49" t="s">
        <v>172</v>
      </c>
      <c r="D245" s="45" t="s">
        <v>36</v>
      </c>
      <c r="E245" s="46" t="s">
        <v>207</v>
      </c>
      <c r="F245" s="45" t="s">
        <v>232</v>
      </c>
      <c r="G245" s="47" t="s">
        <v>470</v>
      </c>
      <c r="H245" s="47" t="s">
        <v>470</v>
      </c>
      <c r="I245" s="65"/>
      <c r="J245" s="64" t="s">
        <v>549</v>
      </c>
      <c r="K245" s="64" t="s">
        <v>549</v>
      </c>
      <c r="L245" s="64" t="s">
        <v>549</v>
      </c>
      <c r="M245" s="64"/>
    </row>
    <row r="246" spans="1:13" ht="16.2" x14ac:dyDescent="0.4">
      <c r="A246" s="3" t="str">
        <f t="shared" si="6"/>
        <v>modesg_inp_empr_excl_parisccli_kgl</v>
      </c>
      <c r="B246" s="52" t="s">
        <v>23</v>
      </c>
      <c r="C246" s="49" t="s">
        <v>172</v>
      </c>
      <c r="D246" s="45" t="s">
        <v>36</v>
      </c>
      <c r="E246" s="46" t="s">
        <v>207</v>
      </c>
      <c r="F246" s="45" t="s">
        <v>233</v>
      </c>
      <c r="G246" s="47" t="s">
        <v>470</v>
      </c>
      <c r="H246" s="47" t="s">
        <v>470</v>
      </c>
      <c r="I246" s="65"/>
      <c r="J246" s="64" t="s">
        <v>549</v>
      </c>
      <c r="K246" s="64" t="s">
        <v>549</v>
      </c>
      <c r="L246" s="64" t="s">
        <v>549</v>
      </c>
      <c r="M246" s="64"/>
    </row>
    <row r="247" spans="1:13" ht="16.2" x14ac:dyDescent="0.4">
      <c r="A247" s="3" t="str">
        <f t="shared" si="6"/>
        <v>modesg_inp_empr_excl_parisnome_entidade</v>
      </c>
      <c r="B247" s="52" t="s">
        <v>23</v>
      </c>
      <c r="C247" s="49" t="s">
        <v>172</v>
      </c>
      <c r="D247" s="45" t="s">
        <v>36</v>
      </c>
      <c r="E247" s="46" t="s">
        <v>207</v>
      </c>
      <c r="F247" s="45" t="s">
        <v>234</v>
      </c>
      <c r="G247" s="47" t="s">
        <v>470</v>
      </c>
      <c r="H247" s="47" t="s">
        <v>470</v>
      </c>
      <c r="I247" s="65"/>
      <c r="J247" s="64" t="s">
        <v>549</v>
      </c>
      <c r="K247" s="64" t="s">
        <v>549</v>
      </c>
      <c r="L247" s="64" t="s">
        <v>549</v>
      </c>
      <c r="M247" s="64"/>
    </row>
    <row r="248" spans="1:13" ht="16.2" x14ac:dyDescent="0.4">
      <c r="A248" s="3" t="str">
        <f t="shared" si="6"/>
        <v>modesg_inp_empr_excl_parisflg_scib</v>
      </c>
      <c r="B248" s="52" t="s">
        <v>23</v>
      </c>
      <c r="C248" s="49" t="s">
        <v>172</v>
      </c>
      <c r="D248" s="45" t="s">
        <v>36</v>
      </c>
      <c r="E248" s="46" t="s">
        <v>207</v>
      </c>
      <c r="F248" s="45" t="s">
        <v>235</v>
      </c>
      <c r="G248" s="47" t="s">
        <v>470</v>
      </c>
      <c r="H248" s="47" t="s">
        <v>470</v>
      </c>
      <c r="I248" s="65"/>
      <c r="J248" s="64" t="s">
        <v>549</v>
      </c>
      <c r="K248" s="64" t="s">
        <v>549</v>
      </c>
      <c r="L248" s="64" t="s">
        <v>549</v>
      </c>
      <c r="M248" s="64"/>
    </row>
    <row r="249" spans="1:13" ht="16.2" x14ac:dyDescent="0.4">
      <c r="A249" s="3" t="str">
        <f t="shared" si="6"/>
        <v>modesg_inp_empr_excl_parisnome_pais</v>
      </c>
      <c r="B249" s="52" t="s">
        <v>23</v>
      </c>
      <c r="C249" s="49" t="s">
        <v>172</v>
      </c>
      <c r="D249" s="45" t="s">
        <v>36</v>
      </c>
      <c r="E249" s="46" t="s">
        <v>207</v>
      </c>
      <c r="F249" s="45" t="s">
        <v>214</v>
      </c>
      <c r="G249" s="47" t="s">
        <v>470</v>
      </c>
      <c r="H249" s="47" t="s">
        <v>470</v>
      </c>
      <c r="I249" s="65"/>
      <c r="J249" s="64" t="s">
        <v>549</v>
      </c>
      <c r="K249" s="64" t="s">
        <v>549</v>
      </c>
      <c r="L249" s="64" t="s">
        <v>549</v>
      </c>
      <c r="M249" s="64"/>
    </row>
    <row r="250" spans="1:13" ht="16.2" x14ac:dyDescent="0.4">
      <c r="A250" s="3" t="str">
        <f t="shared" si="6"/>
        <v>modesg_inp_nfrd_alinhamento_taxref_date</v>
      </c>
      <c r="B250" s="52" t="s">
        <v>23</v>
      </c>
      <c r="C250" s="49" t="s">
        <v>172</v>
      </c>
      <c r="D250" s="45" t="s">
        <v>36</v>
      </c>
      <c r="E250" s="46" t="s">
        <v>208</v>
      </c>
      <c r="F250" s="45" t="s">
        <v>200</v>
      </c>
      <c r="G250" s="47" t="s">
        <v>470</v>
      </c>
      <c r="H250" s="47" t="s">
        <v>470</v>
      </c>
      <c r="I250" s="54"/>
      <c r="J250" s="64" t="s">
        <v>549</v>
      </c>
      <c r="K250" s="64">
        <v>45534</v>
      </c>
      <c r="L250" s="64">
        <v>45534</v>
      </c>
      <c r="M250" s="64"/>
    </row>
    <row r="251" spans="1:13" ht="16.2" x14ac:dyDescent="0.4">
      <c r="A251" s="3" t="str">
        <f t="shared" si="6"/>
        <v>modesg_inp_nfrd_alinhamento_taxccli_kgl</v>
      </c>
      <c r="B251" s="52" t="s">
        <v>23</v>
      </c>
      <c r="C251" s="49" t="s">
        <v>172</v>
      </c>
      <c r="D251" s="45" t="s">
        <v>36</v>
      </c>
      <c r="E251" s="46" t="s">
        <v>208</v>
      </c>
      <c r="F251" s="45" t="s">
        <v>233</v>
      </c>
      <c r="G251" s="47" t="s">
        <v>470</v>
      </c>
      <c r="H251" s="47" t="s">
        <v>470</v>
      </c>
      <c r="I251" s="54"/>
      <c r="J251" s="64" t="s">
        <v>549</v>
      </c>
      <c r="K251" s="64">
        <v>45534</v>
      </c>
      <c r="L251" s="64">
        <v>45534</v>
      </c>
      <c r="M251" s="64"/>
    </row>
    <row r="252" spans="1:13" ht="16.2" x14ac:dyDescent="0.4">
      <c r="A252" s="3" t="str">
        <f t="shared" si="6"/>
        <v>modesg_inp_nfrd_alinhamento_taxclei</v>
      </c>
      <c r="B252" s="52" t="s">
        <v>23</v>
      </c>
      <c r="C252" s="49" t="s">
        <v>172</v>
      </c>
      <c r="D252" s="45" t="s">
        <v>36</v>
      </c>
      <c r="E252" s="46" t="s">
        <v>208</v>
      </c>
      <c r="F252" s="45" t="s">
        <v>232</v>
      </c>
      <c r="G252" s="47" t="s">
        <v>470</v>
      </c>
      <c r="H252" s="47" t="s">
        <v>470</v>
      </c>
      <c r="I252" s="54"/>
      <c r="J252" s="64" t="s">
        <v>549</v>
      </c>
      <c r="K252" s="64">
        <v>45534</v>
      </c>
      <c r="L252" s="64">
        <v>45534</v>
      </c>
      <c r="M252" s="64"/>
    </row>
    <row r="253" spans="1:13" ht="16.2" x14ac:dyDescent="0.4">
      <c r="A253" s="3" t="str">
        <f t="shared" si="6"/>
        <v>modesg_inp_nfrd_alinhamento_taxperm_id</v>
      </c>
      <c r="B253" s="52" t="s">
        <v>23</v>
      </c>
      <c r="C253" s="49" t="s">
        <v>172</v>
      </c>
      <c r="D253" s="45" t="s">
        <v>36</v>
      </c>
      <c r="E253" s="46" t="s">
        <v>208</v>
      </c>
      <c r="F253" s="45" t="s">
        <v>236</v>
      </c>
      <c r="G253" s="47" t="s">
        <v>470</v>
      </c>
      <c r="H253" s="47" t="s">
        <v>470</v>
      </c>
      <c r="I253" s="54"/>
      <c r="J253" s="64" t="s">
        <v>549</v>
      </c>
      <c r="K253" s="64">
        <v>45534</v>
      </c>
      <c r="L253" s="64">
        <v>45534</v>
      </c>
      <c r="M253" s="64"/>
    </row>
    <row r="254" spans="1:13" ht="16.2" x14ac:dyDescent="0.4">
      <c r="A254" s="3" t="str">
        <f t="shared" si="6"/>
        <v>modesg_inp_nfrd_alinhamento_taxnome_entidade</v>
      </c>
      <c r="B254" s="52" t="s">
        <v>23</v>
      </c>
      <c r="C254" s="49" t="s">
        <v>172</v>
      </c>
      <c r="D254" s="45" t="s">
        <v>36</v>
      </c>
      <c r="E254" s="46" t="s">
        <v>208</v>
      </c>
      <c r="F254" s="45" t="s">
        <v>234</v>
      </c>
      <c r="G254" s="47" t="s">
        <v>470</v>
      </c>
      <c r="H254" s="47" t="s">
        <v>470</v>
      </c>
      <c r="I254" s="54"/>
      <c r="J254" s="64" t="s">
        <v>549</v>
      </c>
      <c r="K254" s="64">
        <v>45534</v>
      </c>
      <c r="L254" s="64">
        <v>45534</v>
      </c>
      <c r="M254" s="64"/>
    </row>
    <row r="255" spans="1:13" ht="16.2" x14ac:dyDescent="0.4">
      <c r="A255" s="3" t="str">
        <f t="shared" si="6"/>
        <v>modesg_inp_nfrd_alinhamento_taxnome_pais</v>
      </c>
      <c r="B255" s="52" t="s">
        <v>23</v>
      </c>
      <c r="C255" s="49" t="s">
        <v>172</v>
      </c>
      <c r="D255" s="45" t="s">
        <v>36</v>
      </c>
      <c r="E255" s="46" t="s">
        <v>208</v>
      </c>
      <c r="F255" s="45" t="s">
        <v>214</v>
      </c>
      <c r="G255" s="47" t="s">
        <v>470</v>
      </c>
      <c r="H255" s="47" t="s">
        <v>470</v>
      </c>
      <c r="I255" s="55" t="s">
        <v>515</v>
      </c>
      <c r="J255" s="64" t="s">
        <v>549</v>
      </c>
      <c r="K255" s="64">
        <v>45534</v>
      </c>
      <c r="L255" s="64">
        <v>45534</v>
      </c>
      <c r="M255" s="64"/>
    </row>
    <row r="256" spans="1:13" ht="16.2" x14ac:dyDescent="0.4">
      <c r="A256" s="3" t="str">
        <f t="shared" si="6"/>
        <v>modesg_inp_nfrd_alinhamento_taxflg_nfrd</v>
      </c>
      <c r="B256" s="52" t="s">
        <v>23</v>
      </c>
      <c r="C256" s="49" t="s">
        <v>172</v>
      </c>
      <c r="D256" s="45" t="s">
        <v>36</v>
      </c>
      <c r="E256" s="46" t="s">
        <v>208</v>
      </c>
      <c r="F256" s="45" t="s">
        <v>237</v>
      </c>
      <c r="G256" s="47" t="s">
        <v>470</v>
      </c>
      <c r="H256" s="47" t="s">
        <v>470</v>
      </c>
      <c r="I256" s="54"/>
      <c r="J256" s="64" t="s">
        <v>549</v>
      </c>
      <c r="K256" s="64">
        <v>45534</v>
      </c>
      <c r="L256" s="64">
        <v>45534</v>
      </c>
      <c r="M256" s="64"/>
    </row>
    <row r="257" spans="1:13" ht="16.2" x14ac:dyDescent="0.4">
      <c r="A257" s="3" t="str">
        <f t="shared" si="6"/>
        <v>modesg_inp_nfrd_alinhamento_taxcca_trnvr_ttl_elgbl</v>
      </c>
      <c r="B257" s="52" t="s">
        <v>23</v>
      </c>
      <c r="C257" s="49" t="s">
        <v>172</v>
      </c>
      <c r="D257" s="45" t="s">
        <v>36</v>
      </c>
      <c r="E257" s="46" t="s">
        <v>208</v>
      </c>
      <c r="F257" s="45" t="s">
        <v>238</v>
      </c>
      <c r="G257" s="47" t="s">
        <v>470</v>
      </c>
      <c r="H257" s="47" t="s">
        <v>470</v>
      </c>
      <c r="I257" s="54"/>
      <c r="J257" s="64" t="s">
        <v>549</v>
      </c>
      <c r="K257" s="64">
        <v>45534</v>
      </c>
      <c r="L257" s="64">
        <v>45534</v>
      </c>
      <c r="M257" s="64"/>
    </row>
    <row r="258" spans="1:13" ht="16.2" x14ac:dyDescent="0.4">
      <c r="A258" s="3" t="str">
        <f t="shared" si="6"/>
        <v>modesg_inp_nfrd_alinhamento_taxcca_trnvr_enblng_alignd</v>
      </c>
      <c r="B258" s="52" t="s">
        <v>23</v>
      </c>
      <c r="C258" s="49" t="s">
        <v>172</v>
      </c>
      <c r="D258" s="45" t="s">
        <v>36</v>
      </c>
      <c r="E258" s="46" t="s">
        <v>208</v>
      </c>
      <c r="F258" s="45" t="s">
        <v>239</v>
      </c>
      <c r="G258" s="47" t="s">
        <v>470</v>
      </c>
      <c r="H258" s="47" t="s">
        <v>470</v>
      </c>
      <c r="I258" s="54"/>
      <c r="J258" s="64" t="s">
        <v>549</v>
      </c>
      <c r="K258" s="64">
        <v>45534</v>
      </c>
      <c r="L258" s="64">
        <v>45534</v>
      </c>
      <c r="M258" s="64"/>
    </row>
    <row r="259" spans="1:13" ht="16.2" x14ac:dyDescent="0.4">
      <c r="A259" s="3" t="str">
        <f t="shared" si="6"/>
        <v>modesg_inp_nfrd_alinhamento_taxcca_turnover_own_prfrmnce_algnd</v>
      </c>
      <c r="B259" s="52" t="s">
        <v>23</v>
      </c>
      <c r="C259" s="49" t="s">
        <v>172</v>
      </c>
      <c r="D259" s="45" t="s">
        <v>36</v>
      </c>
      <c r="E259" s="46" t="s">
        <v>208</v>
      </c>
      <c r="F259" s="45" t="s">
        <v>240</v>
      </c>
      <c r="G259" s="47" t="s">
        <v>470</v>
      </c>
      <c r="H259" s="47" t="s">
        <v>470</v>
      </c>
      <c r="I259" s="54"/>
      <c r="J259" s="64" t="s">
        <v>549</v>
      </c>
      <c r="K259" s="64">
        <v>45534</v>
      </c>
      <c r="L259" s="64">
        <v>45534</v>
      </c>
      <c r="M259" s="64"/>
    </row>
    <row r="260" spans="1:13" ht="16.2" x14ac:dyDescent="0.4">
      <c r="A260" s="3" t="str">
        <f t="shared" si="6"/>
        <v>modesg_inp_nfrd_alinhamento_taxcca_capex_ttl_elgbl</v>
      </c>
      <c r="B260" s="52" t="s">
        <v>23</v>
      </c>
      <c r="C260" s="49" t="s">
        <v>172</v>
      </c>
      <c r="D260" s="45" t="s">
        <v>36</v>
      </c>
      <c r="E260" s="46" t="s">
        <v>208</v>
      </c>
      <c r="F260" s="45" t="s">
        <v>241</v>
      </c>
      <c r="G260" s="47" t="s">
        <v>470</v>
      </c>
      <c r="H260" s="47" t="s">
        <v>470</v>
      </c>
      <c r="I260" s="54"/>
      <c r="J260" s="64" t="s">
        <v>549</v>
      </c>
      <c r="K260" s="64">
        <v>45534</v>
      </c>
      <c r="L260" s="64">
        <v>45534</v>
      </c>
      <c r="M260" s="64"/>
    </row>
    <row r="261" spans="1:13" ht="16.2" x14ac:dyDescent="0.4">
      <c r="A261" s="3" t="str">
        <f t="shared" si="6"/>
        <v>modesg_inp_nfrd_alinhamento_taxcca_capex_enblng_algnd</v>
      </c>
      <c r="B261" s="52" t="s">
        <v>23</v>
      </c>
      <c r="C261" s="49" t="s">
        <v>172</v>
      </c>
      <c r="D261" s="45" t="s">
        <v>36</v>
      </c>
      <c r="E261" s="46" t="s">
        <v>208</v>
      </c>
      <c r="F261" s="45" t="s">
        <v>242</v>
      </c>
      <c r="G261" s="47" t="s">
        <v>470</v>
      </c>
      <c r="H261" s="47" t="s">
        <v>470</v>
      </c>
      <c r="I261" s="54"/>
      <c r="J261" s="64" t="s">
        <v>549</v>
      </c>
      <c r="K261" s="64">
        <v>45534</v>
      </c>
      <c r="L261" s="64">
        <v>45534</v>
      </c>
      <c r="M261" s="64"/>
    </row>
    <row r="262" spans="1:13" ht="16.2" x14ac:dyDescent="0.4">
      <c r="A262" s="3" t="str">
        <f t="shared" si="6"/>
        <v>modesg_inp_nfrd_alinhamento_taxcca_capex_own_prfrmnce_algnd</v>
      </c>
      <c r="B262" s="52" t="s">
        <v>23</v>
      </c>
      <c r="C262" s="49" t="s">
        <v>172</v>
      </c>
      <c r="D262" s="45" t="s">
        <v>36</v>
      </c>
      <c r="E262" s="46" t="s">
        <v>208</v>
      </c>
      <c r="F262" s="45" t="s">
        <v>243</v>
      </c>
      <c r="G262" s="47" t="s">
        <v>470</v>
      </c>
      <c r="H262" s="47" t="s">
        <v>470</v>
      </c>
      <c r="I262" s="54"/>
      <c r="J262" s="64" t="s">
        <v>549</v>
      </c>
      <c r="K262" s="64">
        <v>45534</v>
      </c>
      <c r="L262" s="64">
        <v>45534</v>
      </c>
      <c r="M262" s="64"/>
    </row>
    <row r="263" spans="1:13" ht="16.2" x14ac:dyDescent="0.4">
      <c r="A263" s="3" t="str">
        <f t="shared" si="6"/>
        <v>modesg_inp_nfrd_alinhamento_taxccm_trnvr_ttl_elgbl</v>
      </c>
      <c r="B263" s="52" t="s">
        <v>23</v>
      </c>
      <c r="C263" s="49" t="s">
        <v>172</v>
      </c>
      <c r="D263" s="45" t="s">
        <v>36</v>
      </c>
      <c r="E263" s="46" t="s">
        <v>208</v>
      </c>
      <c r="F263" s="45" t="s">
        <v>244</v>
      </c>
      <c r="G263" s="47" t="s">
        <v>470</v>
      </c>
      <c r="H263" s="47" t="s">
        <v>470</v>
      </c>
      <c r="I263" s="54"/>
      <c r="J263" s="64" t="s">
        <v>549</v>
      </c>
      <c r="K263" s="64">
        <v>45534</v>
      </c>
      <c r="L263" s="64">
        <v>45534</v>
      </c>
      <c r="M263" s="64"/>
    </row>
    <row r="264" spans="1:13" ht="16.2" x14ac:dyDescent="0.4">
      <c r="A264" s="3" t="str">
        <f t="shared" si="6"/>
        <v>modesg_inp_nfrd_alinhamento_taxccm_trnvr_enblng_algnd</v>
      </c>
      <c r="B264" s="52" t="s">
        <v>23</v>
      </c>
      <c r="C264" s="49" t="s">
        <v>172</v>
      </c>
      <c r="D264" s="45" t="s">
        <v>36</v>
      </c>
      <c r="E264" s="46" t="s">
        <v>208</v>
      </c>
      <c r="F264" s="45" t="s">
        <v>245</v>
      </c>
      <c r="G264" s="47" t="s">
        <v>470</v>
      </c>
      <c r="H264" s="47" t="s">
        <v>470</v>
      </c>
      <c r="I264" s="54"/>
      <c r="J264" s="64" t="s">
        <v>549</v>
      </c>
      <c r="K264" s="64">
        <v>45534</v>
      </c>
      <c r="L264" s="64">
        <v>45534</v>
      </c>
      <c r="M264" s="64"/>
    </row>
    <row r="265" spans="1:13" ht="16.2" x14ac:dyDescent="0.4">
      <c r="A265" s="3" t="str">
        <f t="shared" si="6"/>
        <v>modesg_inp_nfrd_alinhamento_taxccm_trnvr_trnstn_alignd</v>
      </c>
      <c r="B265" s="52" t="s">
        <v>23</v>
      </c>
      <c r="C265" s="49" t="s">
        <v>172</v>
      </c>
      <c r="D265" s="45" t="s">
        <v>36</v>
      </c>
      <c r="E265" s="46" t="s">
        <v>208</v>
      </c>
      <c r="F265" s="45" t="s">
        <v>246</v>
      </c>
      <c r="G265" s="47" t="s">
        <v>470</v>
      </c>
      <c r="H265" s="47" t="s">
        <v>470</v>
      </c>
      <c r="I265" s="54"/>
      <c r="J265" s="64" t="s">
        <v>549</v>
      </c>
      <c r="K265" s="64">
        <v>45534</v>
      </c>
      <c r="L265" s="64">
        <v>45534</v>
      </c>
      <c r="M265" s="64"/>
    </row>
    <row r="266" spans="1:13" ht="16.2" x14ac:dyDescent="0.4">
      <c r="A266" s="3" t="str">
        <f t="shared" si="6"/>
        <v>modesg_inp_nfrd_alinhamento_taxccm_trnvr_own_prfrmnce_algnd</v>
      </c>
      <c r="B266" s="52" t="s">
        <v>23</v>
      </c>
      <c r="C266" s="49" t="s">
        <v>172</v>
      </c>
      <c r="D266" s="45" t="s">
        <v>36</v>
      </c>
      <c r="E266" s="46" t="s">
        <v>208</v>
      </c>
      <c r="F266" s="45" t="s">
        <v>247</v>
      </c>
      <c r="G266" s="47" t="s">
        <v>470</v>
      </c>
      <c r="H266" s="47" t="s">
        <v>470</v>
      </c>
      <c r="I266" s="54"/>
      <c r="J266" s="64" t="s">
        <v>549</v>
      </c>
      <c r="K266" s="64">
        <v>45534</v>
      </c>
      <c r="L266" s="64">
        <v>45534</v>
      </c>
      <c r="M266" s="64"/>
    </row>
    <row r="267" spans="1:13" ht="16.2" x14ac:dyDescent="0.4">
      <c r="A267" s="3" t="str">
        <f t="shared" si="6"/>
        <v>modesg_inp_nfrd_alinhamento_taxccm_capex_ttl_elgbl</v>
      </c>
      <c r="B267" s="52" t="s">
        <v>23</v>
      </c>
      <c r="C267" s="49" t="s">
        <v>172</v>
      </c>
      <c r="D267" s="45" t="s">
        <v>36</v>
      </c>
      <c r="E267" s="46" t="s">
        <v>208</v>
      </c>
      <c r="F267" s="45" t="s">
        <v>248</v>
      </c>
      <c r="G267" s="47" t="s">
        <v>470</v>
      </c>
      <c r="H267" s="47" t="s">
        <v>470</v>
      </c>
      <c r="I267" s="54"/>
      <c r="J267" s="64" t="s">
        <v>549</v>
      </c>
      <c r="K267" s="64">
        <v>45534</v>
      </c>
      <c r="L267" s="64">
        <v>45534</v>
      </c>
      <c r="M267" s="64"/>
    </row>
    <row r="268" spans="1:13" ht="16.2" x14ac:dyDescent="0.4">
      <c r="A268" s="3" t="str">
        <f t="shared" si="6"/>
        <v>modesg_inp_nfrd_alinhamento_taxccm_capex_enblng_algnd</v>
      </c>
      <c r="B268" s="52" t="s">
        <v>23</v>
      </c>
      <c r="C268" s="49" t="s">
        <v>172</v>
      </c>
      <c r="D268" s="45" t="s">
        <v>36</v>
      </c>
      <c r="E268" s="46" t="s">
        <v>208</v>
      </c>
      <c r="F268" s="45" t="s">
        <v>249</v>
      </c>
      <c r="G268" s="47" t="s">
        <v>470</v>
      </c>
      <c r="H268" s="47" t="s">
        <v>470</v>
      </c>
      <c r="I268" s="54"/>
      <c r="J268" s="64" t="s">
        <v>549</v>
      </c>
      <c r="K268" s="64">
        <v>45534</v>
      </c>
      <c r="L268" s="64">
        <v>45534</v>
      </c>
      <c r="M268" s="64"/>
    </row>
    <row r="269" spans="1:13" ht="16.2" x14ac:dyDescent="0.4">
      <c r="A269" s="3" t="str">
        <f t="shared" si="6"/>
        <v>modesg_inp_nfrd_alinhamento_taxccm_capex_trnstn_algnd</v>
      </c>
      <c r="B269" s="52" t="s">
        <v>23</v>
      </c>
      <c r="C269" s="49" t="s">
        <v>172</v>
      </c>
      <c r="D269" s="45" t="s">
        <v>36</v>
      </c>
      <c r="E269" s="46" t="s">
        <v>208</v>
      </c>
      <c r="F269" s="45" t="s">
        <v>250</v>
      </c>
      <c r="G269" s="47" t="s">
        <v>470</v>
      </c>
      <c r="H269" s="47" t="s">
        <v>470</v>
      </c>
      <c r="I269" s="54"/>
      <c r="J269" s="64" t="s">
        <v>549</v>
      </c>
      <c r="K269" s="64">
        <v>45534</v>
      </c>
      <c r="L269" s="64">
        <v>45534</v>
      </c>
      <c r="M269" s="64"/>
    </row>
    <row r="270" spans="1:13" ht="16.2" x14ac:dyDescent="0.4">
      <c r="A270" s="3" t="str">
        <f t="shared" si="6"/>
        <v>modesg_inp_nfrd_alinhamento_taxccm_capex_own_prfrmnce_algnd</v>
      </c>
      <c r="B270" s="52" t="s">
        <v>23</v>
      </c>
      <c r="C270" s="49" t="s">
        <v>172</v>
      </c>
      <c r="D270" s="45" t="s">
        <v>36</v>
      </c>
      <c r="E270" s="46" t="s">
        <v>208</v>
      </c>
      <c r="F270" s="45" t="s">
        <v>251</v>
      </c>
      <c r="G270" s="47" t="s">
        <v>470</v>
      </c>
      <c r="H270" s="47" t="s">
        <v>470</v>
      </c>
      <c r="I270" s="54"/>
      <c r="J270" s="64" t="s">
        <v>549</v>
      </c>
      <c r="K270" s="64">
        <v>45534</v>
      </c>
      <c r="L270" s="64">
        <v>45534</v>
      </c>
      <c r="M270" s="64"/>
    </row>
    <row r="271" spans="1:13" ht="16.2" x14ac:dyDescent="0.4">
      <c r="A271" s="3" t="str">
        <f t="shared" si="6"/>
        <v>modesg_inp_nfrd_alinhamento_taxppc_trnvr_ttl_elgbl</v>
      </c>
      <c r="B271" s="52" t="s">
        <v>23</v>
      </c>
      <c r="C271" s="49" t="s">
        <v>172</v>
      </c>
      <c r="D271" s="45" t="s">
        <v>36</v>
      </c>
      <c r="E271" s="46" t="s">
        <v>208</v>
      </c>
      <c r="F271" s="45" t="s">
        <v>252</v>
      </c>
      <c r="G271" s="47" t="s">
        <v>470</v>
      </c>
      <c r="H271" s="47" t="s">
        <v>470</v>
      </c>
      <c r="I271" s="55" t="s">
        <v>515</v>
      </c>
      <c r="J271" s="64" t="s">
        <v>549</v>
      </c>
      <c r="K271" s="64">
        <v>45534</v>
      </c>
      <c r="L271" s="64">
        <v>45534</v>
      </c>
      <c r="M271" s="64"/>
    </row>
    <row r="272" spans="1:13" ht="16.2" x14ac:dyDescent="0.4">
      <c r="A272" s="3" t="str">
        <f t="shared" si="6"/>
        <v>modesg_inp_nfrd_alinhamento_taxppc_turnover_own_prfrmnce_algnd</v>
      </c>
      <c r="B272" s="52" t="s">
        <v>23</v>
      </c>
      <c r="C272" s="49" t="s">
        <v>172</v>
      </c>
      <c r="D272" s="45" t="s">
        <v>36</v>
      </c>
      <c r="E272" s="46" t="s">
        <v>208</v>
      </c>
      <c r="F272" s="45" t="s">
        <v>253</v>
      </c>
      <c r="G272" s="47" t="s">
        <v>470</v>
      </c>
      <c r="H272" s="47" t="s">
        <v>470</v>
      </c>
      <c r="I272" s="55" t="s">
        <v>515</v>
      </c>
      <c r="J272" s="64" t="s">
        <v>549</v>
      </c>
      <c r="K272" s="64">
        <v>45534</v>
      </c>
      <c r="L272" s="64">
        <v>45534</v>
      </c>
      <c r="M272" s="64"/>
    </row>
    <row r="273" spans="1:13" ht="16.2" x14ac:dyDescent="0.4">
      <c r="A273" s="3" t="str">
        <f t="shared" si="6"/>
        <v>modesg_inp_nfrd_alinhamento_taxppc_capex_ttl_elgbl</v>
      </c>
      <c r="B273" s="52" t="s">
        <v>23</v>
      </c>
      <c r="C273" s="49" t="s">
        <v>172</v>
      </c>
      <c r="D273" s="45" t="s">
        <v>36</v>
      </c>
      <c r="E273" s="46" t="s">
        <v>208</v>
      </c>
      <c r="F273" s="45" t="s">
        <v>254</v>
      </c>
      <c r="G273" s="47" t="s">
        <v>470</v>
      </c>
      <c r="H273" s="47" t="s">
        <v>470</v>
      </c>
      <c r="I273" s="55" t="s">
        <v>515</v>
      </c>
      <c r="J273" s="64" t="s">
        <v>549</v>
      </c>
      <c r="K273" s="64">
        <v>45534</v>
      </c>
      <c r="L273" s="64">
        <v>45534</v>
      </c>
      <c r="M273" s="64"/>
    </row>
    <row r="274" spans="1:13" ht="16.2" x14ac:dyDescent="0.4">
      <c r="A274" s="3" t="str">
        <f t="shared" ref="A274:A337" si="7">E274&amp;F274</f>
        <v>modesg_inp_nfrd_alinhamento_taxppc_capex_own_prfrmnce_algnd</v>
      </c>
      <c r="B274" s="52" t="s">
        <v>23</v>
      </c>
      <c r="C274" s="49" t="s">
        <v>172</v>
      </c>
      <c r="D274" s="45" t="s">
        <v>36</v>
      </c>
      <c r="E274" s="46" t="s">
        <v>208</v>
      </c>
      <c r="F274" s="45" t="s">
        <v>255</v>
      </c>
      <c r="G274" s="47" t="s">
        <v>470</v>
      </c>
      <c r="H274" s="47" t="s">
        <v>470</v>
      </c>
      <c r="I274" s="55" t="s">
        <v>515</v>
      </c>
      <c r="J274" s="64" t="s">
        <v>549</v>
      </c>
      <c r="K274" s="64">
        <v>45534</v>
      </c>
      <c r="L274" s="64">
        <v>45534</v>
      </c>
      <c r="M274" s="64"/>
    </row>
    <row r="275" spans="1:13" ht="16.2" x14ac:dyDescent="0.4">
      <c r="A275" s="3" t="str">
        <f t="shared" si="7"/>
        <v>modesg_inp_nfrd_alinhamento_taxbio_trnvr_ttl_elgbl</v>
      </c>
      <c r="B275" s="52" t="s">
        <v>23</v>
      </c>
      <c r="C275" s="49" t="s">
        <v>172</v>
      </c>
      <c r="D275" s="45" t="s">
        <v>36</v>
      </c>
      <c r="E275" s="46" t="s">
        <v>208</v>
      </c>
      <c r="F275" s="45" t="s">
        <v>256</v>
      </c>
      <c r="G275" s="47" t="s">
        <v>470</v>
      </c>
      <c r="H275" s="47" t="s">
        <v>470</v>
      </c>
      <c r="I275" s="55" t="s">
        <v>515</v>
      </c>
      <c r="J275" s="64" t="s">
        <v>549</v>
      </c>
      <c r="K275" s="64">
        <v>45534</v>
      </c>
      <c r="L275" s="64">
        <v>45534</v>
      </c>
      <c r="M275" s="64"/>
    </row>
    <row r="276" spans="1:13" ht="16.2" x14ac:dyDescent="0.4">
      <c r="A276" s="3" t="str">
        <f t="shared" si="7"/>
        <v>modesg_inp_nfrd_alinhamento_taxbio_turnover_own_prfrmnce_algnd</v>
      </c>
      <c r="B276" s="52" t="s">
        <v>23</v>
      </c>
      <c r="C276" s="49" t="s">
        <v>172</v>
      </c>
      <c r="D276" s="45" t="s">
        <v>36</v>
      </c>
      <c r="E276" s="46" t="s">
        <v>208</v>
      </c>
      <c r="F276" s="45" t="s">
        <v>257</v>
      </c>
      <c r="G276" s="47" t="s">
        <v>470</v>
      </c>
      <c r="H276" s="47" t="s">
        <v>470</v>
      </c>
      <c r="I276" s="55" t="s">
        <v>515</v>
      </c>
      <c r="J276" s="64" t="s">
        <v>549</v>
      </c>
      <c r="K276" s="64">
        <v>45534</v>
      </c>
      <c r="L276" s="64">
        <v>45534</v>
      </c>
      <c r="M276" s="64"/>
    </row>
    <row r="277" spans="1:13" ht="16.2" x14ac:dyDescent="0.4">
      <c r="A277" s="3" t="str">
        <f t="shared" si="7"/>
        <v>modesg_inp_nfrd_alinhamento_taxbio_capex_ttl_elgbl</v>
      </c>
      <c r="B277" s="52" t="s">
        <v>23</v>
      </c>
      <c r="C277" s="49" t="s">
        <v>172</v>
      </c>
      <c r="D277" s="45" t="s">
        <v>36</v>
      </c>
      <c r="E277" s="46" t="s">
        <v>208</v>
      </c>
      <c r="F277" s="45" t="s">
        <v>258</v>
      </c>
      <c r="G277" s="47" t="s">
        <v>470</v>
      </c>
      <c r="H277" s="47" t="s">
        <v>470</v>
      </c>
      <c r="I277" s="55" t="s">
        <v>515</v>
      </c>
      <c r="J277" s="64" t="s">
        <v>549</v>
      </c>
      <c r="K277" s="64">
        <v>45534</v>
      </c>
      <c r="L277" s="64">
        <v>45534</v>
      </c>
      <c r="M277" s="64"/>
    </row>
    <row r="278" spans="1:13" ht="16.2" x14ac:dyDescent="0.4">
      <c r="A278" s="3" t="str">
        <f t="shared" si="7"/>
        <v>modesg_inp_nfrd_alinhamento_taxbio_capex_own_prfrmnce_algnd</v>
      </c>
      <c r="B278" s="52" t="s">
        <v>23</v>
      </c>
      <c r="C278" s="49" t="s">
        <v>172</v>
      </c>
      <c r="D278" s="45" t="s">
        <v>36</v>
      </c>
      <c r="E278" s="46" t="s">
        <v>208</v>
      </c>
      <c r="F278" s="45" t="s">
        <v>259</v>
      </c>
      <c r="G278" s="47" t="s">
        <v>470</v>
      </c>
      <c r="H278" s="47" t="s">
        <v>470</v>
      </c>
      <c r="I278" s="55" t="s">
        <v>515</v>
      </c>
      <c r="J278" s="64" t="s">
        <v>549</v>
      </c>
      <c r="K278" s="64">
        <v>45534</v>
      </c>
      <c r="L278" s="64">
        <v>45534</v>
      </c>
      <c r="M278" s="64"/>
    </row>
    <row r="279" spans="1:13" ht="16.2" x14ac:dyDescent="0.4">
      <c r="A279" s="3" t="str">
        <f t="shared" si="7"/>
        <v>modesg_inp_nfrd_alinhamento_taxwtr_trnvr_ttl_elgbl</v>
      </c>
      <c r="B279" s="52" t="s">
        <v>23</v>
      </c>
      <c r="C279" s="49" t="s">
        <v>172</v>
      </c>
      <c r="D279" s="45" t="s">
        <v>36</v>
      </c>
      <c r="E279" s="46" t="s">
        <v>208</v>
      </c>
      <c r="F279" s="45" t="s">
        <v>260</v>
      </c>
      <c r="G279" s="47" t="s">
        <v>470</v>
      </c>
      <c r="H279" s="47" t="s">
        <v>470</v>
      </c>
      <c r="I279" s="55" t="s">
        <v>515</v>
      </c>
      <c r="J279" s="64" t="s">
        <v>549</v>
      </c>
      <c r="K279" s="64">
        <v>45534</v>
      </c>
      <c r="L279" s="64">
        <v>45534</v>
      </c>
      <c r="M279" s="64"/>
    </row>
    <row r="280" spans="1:13" ht="16.2" x14ac:dyDescent="0.4">
      <c r="A280" s="3" t="str">
        <f t="shared" si="7"/>
        <v>modesg_inp_nfrd_alinhamento_taxwtr_trnvr_enblng_alignd</v>
      </c>
      <c r="B280" s="52" t="s">
        <v>23</v>
      </c>
      <c r="C280" s="49" t="s">
        <v>172</v>
      </c>
      <c r="D280" s="45" t="s">
        <v>36</v>
      </c>
      <c r="E280" s="46" t="s">
        <v>208</v>
      </c>
      <c r="F280" s="45" t="s">
        <v>261</v>
      </c>
      <c r="G280" s="47" t="s">
        <v>470</v>
      </c>
      <c r="H280" s="47" t="s">
        <v>470</v>
      </c>
      <c r="I280" s="55" t="s">
        <v>515</v>
      </c>
      <c r="J280" s="64" t="s">
        <v>549</v>
      </c>
      <c r="K280" s="64">
        <v>45534</v>
      </c>
      <c r="L280" s="64">
        <v>45534</v>
      </c>
      <c r="M280" s="64"/>
    </row>
    <row r="281" spans="1:13" ht="16.2" x14ac:dyDescent="0.4">
      <c r="A281" s="3" t="str">
        <f t="shared" si="7"/>
        <v>modesg_inp_nfrd_alinhamento_taxwtr_turnover_own_prfrmnce_algnd</v>
      </c>
      <c r="B281" s="52" t="s">
        <v>23</v>
      </c>
      <c r="C281" s="49" t="s">
        <v>172</v>
      </c>
      <c r="D281" s="45" t="s">
        <v>36</v>
      </c>
      <c r="E281" s="46" t="s">
        <v>208</v>
      </c>
      <c r="F281" s="45" t="s">
        <v>262</v>
      </c>
      <c r="G281" s="47" t="s">
        <v>470</v>
      </c>
      <c r="H281" s="47" t="s">
        <v>470</v>
      </c>
      <c r="I281" s="55" t="s">
        <v>515</v>
      </c>
      <c r="J281" s="64" t="s">
        <v>549</v>
      </c>
      <c r="K281" s="64">
        <v>45534</v>
      </c>
      <c r="L281" s="64">
        <v>45534</v>
      </c>
      <c r="M281" s="64"/>
    </row>
    <row r="282" spans="1:13" ht="16.2" x14ac:dyDescent="0.4">
      <c r="A282" s="3" t="str">
        <f t="shared" si="7"/>
        <v>modesg_inp_nfrd_alinhamento_taxwtr_capex_ttl_elgbl</v>
      </c>
      <c r="B282" s="52" t="s">
        <v>23</v>
      </c>
      <c r="C282" s="49" t="s">
        <v>172</v>
      </c>
      <c r="D282" s="45" t="s">
        <v>36</v>
      </c>
      <c r="E282" s="46" t="s">
        <v>208</v>
      </c>
      <c r="F282" s="45" t="s">
        <v>263</v>
      </c>
      <c r="G282" s="47" t="s">
        <v>470</v>
      </c>
      <c r="H282" s="47" t="s">
        <v>470</v>
      </c>
      <c r="I282" s="55" t="s">
        <v>515</v>
      </c>
      <c r="J282" s="64" t="s">
        <v>549</v>
      </c>
      <c r="K282" s="64">
        <v>45534</v>
      </c>
      <c r="L282" s="64">
        <v>45534</v>
      </c>
      <c r="M282" s="64"/>
    </row>
    <row r="283" spans="1:13" ht="16.2" x14ac:dyDescent="0.4">
      <c r="A283" s="3" t="str">
        <f t="shared" si="7"/>
        <v>modesg_inp_nfrd_alinhamento_taxwtr_capex_enblng_algnd</v>
      </c>
      <c r="B283" s="52" t="s">
        <v>23</v>
      </c>
      <c r="C283" s="49" t="s">
        <v>172</v>
      </c>
      <c r="D283" s="45" t="s">
        <v>36</v>
      </c>
      <c r="E283" s="46" t="s">
        <v>208</v>
      </c>
      <c r="F283" s="45" t="s">
        <v>264</v>
      </c>
      <c r="G283" s="47" t="s">
        <v>470</v>
      </c>
      <c r="H283" s="47" t="s">
        <v>470</v>
      </c>
      <c r="I283" s="55" t="s">
        <v>515</v>
      </c>
      <c r="J283" s="64" t="s">
        <v>549</v>
      </c>
      <c r="K283" s="64">
        <v>45534</v>
      </c>
      <c r="L283" s="64">
        <v>45534</v>
      </c>
      <c r="M283" s="64"/>
    </row>
    <row r="284" spans="1:13" ht="16.2" x14ac:dyDescent="0.4">
      <c r="A284" s="3" t="str">
        <f t="shared" si="7"/>
        <v>modesg_inp_nfrd_alinhamento_taxwtr_capex_own_prfrmnce_algnd</v>
      </c>
      <c r="B284" s="52" t="s">
        <v>23</v>
      </c>
      <c r="C284" s="49" t="s">
        <v>172</v>
      </c>
      <c r="D284" s="45" t="s">
        <v>36</v>
      </c>
      <c r="E284" s="46" t="s">
        <v>208</v>
      </c>
      <c r="F284" s="45" t="s">
        <v>265</v>
      </c>
      <c r="G284" s="47" t="s">
        <v>470</v>
      </c>
      <c r="H284" s="47" t="s">
        <v>470</v>
      </c>
      <c r="I284" s="55" t="s">
        <v>515</v>
      </c>
      <c r="J284" s="64" t="s">
        <v>549</v>
      </c>
      <c r="K284" s="64">
        <v>45534</v>
      </c>
      <c r="L284" s="64">
        <v>45534</v>
      </c>
      <c r="M284" s="64"/>
    </row>
    <row r="285" spans="1:13" ht="16.2" x14ac:dyDescent="0.4">
      <c r="A285" s="3" t="str">
        <f t="shared" si="7"/>
        <v>modesg_inp_nfrd_alinhamento_taxce_trnvr_ttl_elgbl</v>
      </c>
      <c r="B285" s="52" t="s">
        <v>23</v>
      </c>
      <c r="C285" s="49" t="s">
        <v>172</v>
      </c>
      <c r="D285" s="45" t="s">
        <v>36</v>
      </c>
      <c r="E285" s="46" t="s">
        <v>208</v>
      </c>
      <c r="F285" s="45" t="s">
        <v>266</v>
      </c>
      <c r="G285" s="47" t="s">
        <v>470</v>
      </c>
      <c r="H285" s="47" t="s">
        <v>470</v>
      </c>
      <c r="I285" s="55" t="s">
        <v>515</v>
      </c>
      <c r="J285" s="64" t="s">
        <v>549</v>
      </c>
      <c r="K285" s="64">
        <v>45534</v>
      </c>
      <c r="L285" s="64">
        <v>45534</v>
      </c>
      <c r="M285" s="64"/>
    </row>
    <row r="286" spans="1:13" ht="16.2" x14ac:dyDescent="0.4">
      <c r="A286" s="3" t="str">
        <f t="shared" si="7"/>
        <v>modesg_inp_nfrd_alinhamento_taxce_trnvr_enblng_alignd</v>
      </c>
      <c r="B286" s="52" t="s">
        <v>23</v>
      </c>
      <c r="C286" s="49" t="s">
        <v>172</v>
      </c>
      <c r="D286" s="45" t="s">
        <v>36</v>
      </c>
      <c r="E286" s="46" t="s">
        <v>208</v>
      </c>
      <c r="F286" s="45" t="s">
        <v>267</v>
      </c>
      <c r="G286" s="47" t="s">
        <v>470</v>
      </c>
      <c r="H286" s="47" t="s">
        <v>470</v>
      </c>
      <c r="I286" s="55" t="s">
        <v>515</v>
      </c>
      <c r="J286" s="64" t="s">
        <v>549</v>
      </c>
      <c r="K286" s="64">
        <v>45534</v>
      </c>
      <c r="L286" s="64">
        <v>45534</v>
      </c>
      <c r="M286" s="64"/>
    </row>
    <row r="287" spans="1:13" ht="16.2" x14ac:dyDescent="0.4">
      <c r="A287" s="3" t="str">
        <f t="shared" si="7"/>
        <v>modesg_inp_nfrd_alinhamento_taxce_turnover_own_prfrmnce_algnd</v>
      </c>
      <c r="B287" s="52" t="s">
        <v>23</v>
      </c>
      <c r="C287" s="49" t="s">
        <v>172</v>
      </c>
      <c r="D287" s="45" t="s">
        <v>36</v>
      </c>
      <c r="E287" s="46" t="s">
        <v>208</v>
      </c>
      <c r="F287" s="45" t="s">
        <v>268</v>
      </c>
      <c r="G287" s="47" t="s">
        <v>470</v>
      </c>
      <c r="H287" s="47" t="s">
        <v>470</v>
      </c>
      <c r="I287" s="55" t="s">
        <v>515</v>
      </c>
      <c r="J287" s="64" t="s">
        <v>549</v>
      </c>
      <c r="K287" s="64">
        <v>45534</v>
      </c>
      <c r="L287" s="64">
        <v>45534</v>
      </c>
      <c r="M287" s="64"/>
    </row>
    <row r="288" spans="1:13" ht="16.2" x14ac:dyDescent="0.4">
      <c r="A288" s="3" t="str">
        <f t="shared" si="7"/>
        <v>modesg_inp_nfrd_alinhamento_taxce_capex_ttl_elgbl</v>
      </c>
      <c r="B288" s="52" t="s">
        <v>23</v>
      </c>
      <c r="C288" s="49" t="s">
        <v>172</v>
      </c>
      <c r="D288" s="45" t="s">
        <v>36</v>
      </c>
      <c r="E288" s="46" t="s">
        <v>208</v>
      </c>
      <c r="F288" s="45" t="s">
        <v>269</v>
      </c>
      <c r="G288" s="47" t="s">
        <v>470</v>
      </c>
      <c r="H288" s="47" t="s">
        <v>470</v>
      </c>
      <c r="I288" s="55" t="s">
        <v>515</v>
      </c>
      <c r="J288" s="64" t="s">
        <v>549</v>
      </c>
      <c r="K288" s="64">
        <v>45534</v>
      </c>
      <c r="L288" s="64">
        <v>45534</v>
      </c>
      <c r="M288" s="64"/>
    </row>
    <row r="289" spans="1:13" ht="16.2" x14ac:dyDescent="0.4">
      <c r="A289" s="3" t="str">
        <f t="shared" si="7"/>
        <v>modesg_inp_nfrd_alinhamento_taxce_capex_enblng_algnd</v>
      </c>
      <c r="B289" s="52" t="s">
        <v>23</v>
      </c>
      <c r="C289" s="49" t="s">
        <v>172</v>
      </c>
      <c r="D289" s="45" t="s">
        <v>36</v>
      </c>
      <c r="E289" s="46" t="s">
        <v>208</v>
      </c>
      <c r="F289" s="45" t="s">
        <v>270</v>
      </c>
      <c r="G289" s="47" t="s">
        <v>470</v>
      </c>
      <c r="H289" s="47" t="s">
        <v>470</v>
      </c>
      <c r="I289" s="55" t="s">
        <v>515</v>
      </c>
      <c r="J289" s="64" t="s">
        <v>549</v>
      </c>
      <c r="K289" s="64">
        <v>45534</v>
      </c>
      <c r="L289" s="64">
        <v>45534</v>
      </c>
      <c r="M289" s="64"/>
    </row>
    <row r="290" spans="1:13" ht="16.2" x14ac:dyDescent="0.4">
      <c r="A290" s="3" t="str">
        <f t="shared" si="7"/>
        <v>modesg_inp_nfrd_alinhamento_taxce_capex_own_prfrmnce_algnd</v>
      </c>
      <c r="B290" s="52" t="s">
        <v>23</v>
      </c>
      <c r="C290" s="49" t="s">
        <v>172</v>
      </c>
      <c r="D290" s="45" t="s">
        <v>36</v>
      </c>
      <c r="E290" s="46" t="s">
        <v>208</v>
      </c>
      <c r="F290" s="45" t="s">
        <v>271</v>
      </c>
      <c r="G290" s="47" t="s">
        <v>470</v>
      </c>
      <c r="H290" s="47" t="s">
        <v>470</v>
      </c>
      <c r="I290" s="55" t="s">
        <v>515</v>
      </c>
      <c r="J290" s="64" t="s">
        <v>549</v>
      </c>
      <c r="K290" s="64">
        <v>45534</v>
      </c>
      <c r="L290" s="64">
        <v>45534</v>
      </c>
      <c r="M290" s="64"/>
    </row>
    <row r="291" spans="1:13" ht="16.2" x14ac:dyDescent="0.4">
      <c r="A291" s="3" t="str">
        <f t="shared" si="7"/>
        <v>modesg_inp_risco_fisicoref_date</v>
      </c>
      <c r="B291" s="52" t="s">
        <v>23</v>
      </c>
      <c r="C291" s="49" t="s">
        <v>172</v>
      </c>
      <c r="D291" s="45" t="s">
        <v>36</v>
      </c>
      <c r="E291" s="46" t="s">
        <v>209</v>
      </c>
      <c r="F291" s="45" t="s">
        <v>200</v>
      </c>
      <c r="G291" s="47" t="s">
        <v>470</v>
      </c>
      <c r="H291" s="47" t="s">
        <v>470</v>
      </c>
      <c r="I291" s="65"/>
      <c r="J291" s="64" t="s">
        <v>549</v>
      </c>
      <c r="K291" s="64" t="s">
        <v>549</v>
      </c>
      <c r="L291" s="64" t="s">
        <v>549</v>
      </c>
      <c r="M291" s="64"/>
    </row>
    <row r="292" spans="1:13" ht="16.2" x14ac:dyDescent="0.4">
      <c r="A292" s="3" t="str">
        <f t="shared" si="7"/>
        <v>modesg_inp_risco_fisicocod_pais</v>
      </c>
      <c r="B292" s="52" t="s">
        <v>23</v>
      </c>
      <c r="C292" s="49" t="s">
        <v>172</v>
      </c>
      <c r="D292" s="45" t="s">
        <v>36</v>
      </c>
      <c r="E292" s="46" t="s">
        <v>209</v>
      </c>
      <c r="F292" s="45" t="s">
        <v>272</v>
      </c>
      <c r="G292" s="47" t="s">
        <v>470</v>
      </c>
      <c r="H292" s="47" t="s">
        <v>470</v>
      </c>
      <c r="I292" s="65"/>
      <c r="J292" s="64" t="s">
        <v>549</v>
      </c>
      <c r="K292" s="64" t="s">
        <v>549</v>
      </c>
      <c r="L292" s="64" t="s">
        <v>549</v>
      </c>
      <c r="M292" s="64"/>
    </row>
    <row r="293" spans="1:13" ht="16.2" x14ac:dyDescent="0.4">
      <c r="A293" s="3" t="str">
        <f t="shared" si="7"/>
        <v>modesg_inp_risco_fisicocod_nutiii</v>
      </c>
      <c r="B293" s="52" t="s">
        <v>23</v>
      </c>
      <c r="C293" s="49" t="s">
        <v>172</v>
      </c>
      <c r="D293" s="45" t="s">
        <v>36</v>
      </c>
      <c r="E293" s="46" t="s">
        <v>209</v>
      </c>
      <c r="F293" s="45" t="s">
        <v>273</v>
      </c>
      <c r="G293" s="47" t="s">
        <v>470</v>
      </c>
      <c r="H293" s="47" t="s">
        <v>470</v>
      </c>
      <c r="I293" s="65"/>
      <c r="J293" s="64" t="s">
        <v>549</v>
      </c>
      <c r="K293" s="64" t="s">
        <v>549</v>
      </c>
      <c r="L293" s="64" t="s">
        <v>549</v>
      </c>
      <c r="M293" s="64"/>
    </row>
    <row r="294" spans="1:13" ht="16.2" x14ac:dyDescent="0.4">
      <c r="A294" s="3" t="str">
        <f t="shared" si="7"/>
        <v>modesg_inp_risco_fisicocod_nace_esg</v>
      </c>
      <c r="B294" s="52" t="s">
        <v>23</v>
      </c>
      <c r="C294" s="49" t="s">
        <v>172</v>
      </c>
      <c r="D294" s="45" t="s">
        <v>36</v>
      </c>
      <c r="E294" s="46" t="s">
        <v>209</v>
      </c>
      <c r="F294" s="45" t="s">
        <v>274</v>
      </c>
      <c r="G294" s="47" t="s">
        <v>470</v>
      </c>
      <c r="H294" s="47" t="s">
        <v>470</v>
      </c>
      <c r="I294" s="65"/>
      <c r="J294" s="64" t="s">
        <v>549</v>
      </c>
      <c r="K294" s="64" t="s">
        <v>549</v>
      </c>
      <c r="L294" s="64" t="s">
        <v>549</v>
      </c>
      <c r="M294" s="64"/>
    </row>
    <row r="295" spans="1:13" ht="16.2" x14ac:dyDescent="0.4">
      <c r="A295" s="3" t="str">
        <f t="shared" si="7"/>
        <v>modesg_inp_risco_fisicoflg_rsc_fsc_agd</v>
      </c>
      <c r="B295" s="52" t="s">
        <v>23</v>
      </c>
      <c r="C295" s="49" t="s">
        <v>172</v>
      </c>
      <c r="D295" s="45" t="s">
        <v>36</v>
      </c>
      <c r="E295" s="46" t="s">
        <v>209</v>
      </c>
      <c r="F295" s="45" t="s">
        <v>275</v>
      </c>
      <c r="G295" s="47" t="s">
        <v>470</v>
      </c>
      <c r="H295" s="47" t="s">
        <v>470</v>
      </c>
      <c r="I295" s="65"/>
      <c r="J295" s="64" t="s">
        <v>549</v>
      </c>
      <c r="K295" s="64" t="s">
        <v>549</v>
      </c>
      <c r="L295" s="64" t="s">
        <v>549</v>
      </c>
      <c r="M295" s="64"/>
    </row>
    <row r="296" spans="1:13" ht="16.2" x14ac:dyDescent="0.4">
      <c r="A296" s="3" t="str">
        <f t="shared" si="7"/>
        <v>modesg_inp_risco_fisicoflg_rsc_fsc_crnc</v>
      </c>
      <c r="B296" s="52" t="s">
        <v>23</v>
      </c>
      <c r="C296" s="49" t="s">
        <v>172</v>
      </c>
      <c r="D296" s="45" t="s">
        <v>36</v>
      </c>
      <c r="E296" s="46" t="s">
        <v>209</v>
      </c>
      <c r="F296" s="45" t="s">
        <v>276</v>
      </c>
      <c r="G296" s="47" t="s">
        <v>470</v>
      </c>
      <c r="H296" s="47" t="s">
        <v>470</v>
      </c>
      <c r="I296" s="65"/>
      <c r="J296" s="64" t="s">
        <v>549</v>
      </c>
      <c r="K296" s="64" t="s">
        <v>549</v>
      </c>
      <c r="L296" s="64" t="s">
        <v>549</v>
      </c>
      <c r="M296" s="64"/>
    </row>
    <row r="297" spans="1:13" ht="16.2" x14ac:dyDescent="0.4">
      <c r="A297" s="3" t="str">
        <f t="shared" si="7"/>
        <v>modesg_inp_emss_scibref_date</v>
      </c>
      <c r="B297" s="52" t="s">
        <v>23</v>
      </c>
      <c r="C297" s="49" t="s">
        <v>172</v>
      </c>
      <c r="D297" s="45" t="s">
        <v>36</v>
      </c>
      <c r="E297" s="46" t="s">
        <v>210</v>
      </c>
      <c r="F297" s="45" t="s">
        <v>200</v>
      </c>
      <c r="G297" s="47" t="s">
        <v>470</v>
      </c>
      <c r="H297" s="47" t="s">
        <v>470</v>
      </c>
      <c r="I297" s="65"/>
      <c r="J297" s="64" t="s">
        <v>549</v>
      </c>
      <c r="K297" s="64" t="s">
        <v>549</v>
      </c>
      <c r="L297" s="64" t="s">
        <v>549</v>
      </c>
      <c r="M297" s="64"/>
    </row>
    <row r="298" spans="1:13" ht="16.2" x14ac:dyDescent="0.4">
      <c r="A298" s="3" t="str">
        <f t="shared" si="7"/>
        <v>modesg_inp_emss_scibccli_kgl</v>
      </c>
      <c r="B298" s="52" t="s">
        <v>23</v>
      </c>
      <c r="C298" s="49" t="s">
        <v>172</v>
      </c>
      <c r="D298" s="45" t="s">
        <v>36</v>
      </c>
      <c r="E298" s="46" t="s">
        <v>210</v>
      </c>
      <c r="F298" s="45" t="s">
        <v>233</v>
      </c>
      <c r="G298" s="47" t="s">
        <v>470</v>
      </c>
      <c r="H298" s="47" t="s">
        <v>470</v>
      </c>
      <c r="I298" s="65"/>
      <c r="J298" s="64" t="s">
        <v>549</v>
      </c>
      <c r="K298" s="64" t="s">
        <v>549</v>
      </c>
      <c r="L298" s="64" t="s">
        <v>549</v>
      </c>
      <c r="M298" s="64"/>
    </row>
    <row r="299" spans="1:13" ht="16.2" x14ac:dyDescent="0.4">
      <c r="A299" s="3" t="str">
        <f t="shared" si="7"/>
        <v>modesg_inp_emss_scibnome_grupo</v>
      </c>
      <c r="B299" s="52" t="s">
        <v>23</v>
      </c>
      <c r="C299" s="49" t="s">
        <v>172</v>
      </c>
      <c r="D299" s="45" t="s">
        <v>36</v>
      </c>
      <c r="E299" s="46" t="s">
        <v>210</v>
      </c>
      <c r="F299" s="45" t="s">
        <v>277</v>
      </c>
      <c r="G299" s="47" t="s">
        <v>470</v>
      </c>
      <c r="H299" s="47" t="s">
        <v>470</v>
      </c>
      <c r="I299" s="65"/>
      <c r="J299" s="64" t="s">
        <v>549</v>
      </c>
      <c r="K299" s="64" t="s">
        <v>549</v>
      </c>
      <c r="L299" s="64" t="s">
        <v>549</v>
      </c>
      <c r="M299" s="64"/>
    </row>
    <row r="300" spans="1:13" ht="16.2" x14ac:dyDescent="0.4">
      <c r="A300" s="3" t="str">
        <f t="shared" si="7"/>
        <v>modesg_inp_emss_scibisin</v>
      </c>
      <c r="B300" s="52" t="s">
        <v>23</v>
      </c>
      <c r="C300" s="49" t="s">
        <v>172</v>
      </c>
      <c r="D300" s="45" t="s">
        <v>36</v>
      </c>
      <c r="E300" s="46" t="s">
        <v>210</v>
      </c>
      <c r="F300" s="45" t="s">
        <v>231</v>
      </c>
      <c r="G300" s="47" t="s">
        <v>470</v>
      </c>
      <c r="H300" s="47" t="s">
        <v>470</v>
      </c>
      <c r="I300" s="65"/>
      <c r="J300" s="64" t="s">
        <v>549</v>
      </c>
      <c r="K300" s="64" t="s">
        <v>549</v>
      </c>
      <c r="L300" s="64" t="s">
        <v>549</v>
      </c>
      <c r="M300" s="64"/>
    </row>
    <row r="301" spans="1:13" ht="16.2" x14ac:dyDescent="0.4">
      <c r="A301" s="3" t="str">
        <f t="shared" si="7"/>
        <v>modesg_inp_emss_scibclei</v>
      </c>
      <c r="B301" s="52" t="s">
        <v>23</v>
      </c>
      <c r="C301" s="49" t="s">
        <v>172</v>
      </c>
      <c r="D301" s="45" t="s">
        <v>36</v>
      </c>
      <c r="E301" s="46" t="s">
        <v>210</v>
      </c>
      <c r="F301" s="45" t="s">
        <v>232</v>
      </c>
      <c r="G301" s="47" t="s">
        <v>470</v>
      </c>
      <c r="H301" s="47" t="s">
        <v>470</v>
      </c>
      <c r="I301" s="65"/>
      <c r="J301" s="64" t="s">
        <v>549</v>
      </c>
      <c r="K301" s="64" t="s">
        <v>549</v>
      </c>
      <c r="L301" s="64" t="s">
        <v>549</v>
      </c>
      <c r="M301" s="64"/>
    </row>
    <row r="302" spans="1:13" ht="16.2" x14ac:dyDescent="0.4">
      <c r="A302" s="3" t="str">
        <f t="shared" si="7"/>
        <v>modesg_inp_emss_scibscp1_emss</v>
      </c>
      <c r="B302" s="52" t="s">
        <v>23</v>
      </c>
      <c r="C302" s="49" t="s">
        <v>172</v>
      </c>
      <c r="D302" s="45" t="s">
        <v>36</v>
      </c>
      <c r="E302" s="46" t="s">
        <v>210</v>
      </c>
      <c r="F302" s="45" t="s">
        <v>278</v>
      </c>
      <c r="G302" s="47" t="s">
        <v>470</v>
      </c>
      <c r="H302" s="47" t="s">
        <v>470</v>
      </c>
      <c r="I302" s="54" t="s">
        <v>516</v>
      </c>
      <c r="J302" s="64">
        <v>45491</v>
      </c>
      <c r="K302" s="64" t="s">
        <v>549</v>
      </c>
      <c r="L302" s="64">
        <v>45499</v>
      </c>
      <c r="M302" s="64"/>
    </row>
    <row r="303" spans="1:13" ht="16.2" x14ac:dyDescent="0.4">
      <c r="A303" s="3" t="str">
        <f t="shared" si="7"/>
        <v>modesg_inp_emss_scibscp2_emss</v>
      </c>
      <c r="B303" s="52" t="s">
        <v>23</v>
      </c>
      <c r="C303" s="49" t="s">
        <v>172</v>
      </c>
      <c r="D303" s="45" t="s">
        <v>36</v>
      </c>
      <c r="E303" s="46" t="s">
        <v>210</v>
      </c>
      <c r="F303" s="45" t="s">
        <v>279</v>
      </c>
      <c r="G303" s="47" t="s">
        <v>470</v>
      </c>
      <c r="H303" s="47" t="s">
        <v>470</v>
      </c>
      <c r="I303" s="54" t="s">
        <v>516</v>
      </c>
      <c r="J303" s="64">
        <v>45491</v>
      </c>
      <c r="K303" s="64" t="s">
        <v>549</v>
      </c>
      <c r="L303" s="64">
        <v>45499</v>
      </c>
      <c r="M303" s="64"/>
    </row>
    <row r="304" spans="1:13" ht="16.2" x14ac:dyDescent="0.4">
      <c r="A304" s="3" t="str">
        <f t="shared" si="7"/>
        <v>modesg_inp_emss_scibscp3_emss</v>
      </c>
      <c r="B304" s="52" t="s">
        <v>23</v>
      </c>
      <c r="C304" s="49" t="s">
        <v>172</v>
      </c>
      <c r="D304" s="45" t="s">
        <v>36</v>
      </c>
      <c r="E304" s="46" t="s">
        <v>210</v>
      </c>
      <c r="F304" s="45" t="s">
        <v>280</v>
      </c>
      <c r="G304" s="47" t="s">
        <v>470</v>
      </c>
      <c r="H304" s="47" t="s">
        <v>470</v>
      </c>
      <c r="I304" s="65"/>
      <c r="J304" s="64" t="s">
        <v>549</v>
      </c>
      <c r="K304" s="64" t="s">
        <v>549</v>
      </c>
      <c r="L304" s="64" t="s">
        <v>549</v>
      </c>
      <c r="M304" s="64"/>
    </row>
    <row r="305" spans="1:13" ht="16.2" x14ac:dyDescent="0.4">
      <c r="A305" s="3" t="str">
        <f t="shared" si="7"/>
        <v>modesg_inp_emss_scibscore_scp1</v>
      </c>
      <c r="B305" s="52" t="s">
        <v>23</v>
      </c>
      <c r="C305" s="49" t="s">
        <v>172</v>
      </c>
      <c r="D305" s="45" t="s">
        <v>36</v>
      </c>
      <c r="E305" s="46" t="s">
        <v>210</v>
      </c>
      <c r="F305" s="45" t="s">
        <v>281</v>
      </c>
      <c r="G305" s="47" t="s">
        <v>470</v>
      </c>
      <c r="H305" s="47" t="s">
        <v>470</v>
      </c>
      <c r="I305" s="65"/>
      <c r="J305" s="64" t="s">
        <v>549</v>
      </c>
      <c r="K305" s="64" t="s">
        <v>549</v>
      </c>
      <c r="L305" s="64" t="s">
        <v>549</v>
      </c>
      <c r="M305" s="64"/>
    </row>
    <row r="306" spans="1:13" ht="16.2" x14ac:dyDescent="0.4">
      <c r="A306" s="3" t="str">
        <f t="shared" si="7"/>
        <v>modesg_inp_emss_scibscore_scp2</v>
      </c>
      <c r="B306" s="52" t="s">
        <v>23</v>
      </c>
      <c r="C306" s="49" t="s">
        <v>172</v>
      </c>
      <c r="D306" s="45" t="s">
        <v>36</v>
      </c>
      <c r="E306" s="46" t="s">
        <v>210</v>
      </c>
      <c r="F306" s="45" t="s">
        <v>282</v>
      </c>
      <c r="G306" s="47" t="s">
        <v>470</v>
      </c>
      <c r="H306" s="47" t="s">
        <v>470</v>
      </c>
      <c r="I306" s="65"/>
      <c r="J306" s="64" t="s">
        <v>549</v>
      </c>
      <c r="K306" s="64" t="s">
        <v>549</v>
      </c>
      <c r="L306" s="64" t="s">
        <v>549</v>
      </c>
      <c r="M306" s="64"/>
    </row>
    <row r="307" spans="1:13" ht="16.2" x14ac:dyDescent="0.4">
      <c r="A307" s="3" t="str">
        <f t="shared" si="7"/>
        <v>modesg_inp_emss_scibscore_scp3</v>
      </c>
      <c r="B307" s="52" t="s">
        <v>23</v>
      </c>
      <c r="C307" s="49" t="s">
        <v>172</v>
      </c>
      <c r="D307" s="45" t="s">
        <v>36</v>
      </c>
      <c r="E307" s="46" t="s">
        <v>210</v>
      </c>
      <c r="F307" s="45" t="s">
        <v>283</v>
      </c>
      <c r="G307" s="47" t="s">
        <v>470</v>
      </c>
      <c r="H307" s="47" t="s">
        <v>470</v>
      </c>
      <c r="I307" s="65"/>
      <c r="J307" s="64" t="s">
        <v>549</v>
      </c>
      <c r="K307" s="64" t="s">
        <v>549</v>
      </c>
      <c r="L307" s="64" t="s">
        <v>549</v>
      </c>
      <c r="M307" s="64"/>
    </row>
    <row r="308" spans="1:13" ht="16.2" x14ac:dyDescent="0.4">
      <c r="A308" s="3" t="str">
        <f t="shared" si="7"/>
        <v>modesg_inp_emss_sciborigem_scp1</v>
      </c>
      <c r="B308" s="52" t="s">
        <v>23</v>
      </c>
      <c r="C308" s="49" t="s">
        <v>172</v>
      </c>
      <c r="D308" s="45" t="s">
        <v>36</v>
      </c>
      <c r="E308" s="46" t="s">
        <v>210</v>
      </c>
      <c r="F308" s="45" t="s">
        <v>284</v>
      </c>
      <c r="G308" s="47" t="s">
        <v>470</v>
      </c>
      <c r="H308" s="47" t="s">
        <v>470</v>
      </c>
      <c r="I308" s="65"/>
      <c r="J308" s="64" t="s">
        <v>549</v>
      </c>
      <c r="K308" s="64" t="s">
        <v>549</v>
      </c>
      <c r="L308" s="64" t="s">
        <v>549</v>
      </c>
      <c r="M308" s="64"/>
    </row>
    <row r="309" spans="1:13" ht="16.2" x14ac:dyDescent="0.4">
      <c r="A309" s="3" t="str">
        <f t="shared" si="7"/>
        <v>modesg_inp_emss_sciborigem_scp2</v>
      </c>
      <c r="B309" s="52" t="s">
        <v>23</v>
      </c>
      <c r="C309" s="49" t="s">
        <v>172</v>
      </c>
      <c r="D309" s="45" t="s">
        <v>36</v>
      </c>
      <c r="E309" s="46" t="s">
        <v>210</v>
      </c>
      <c r="F309" s="45" t="s">
        <v>285</v>
      </c>
      <c r="G309" s="47" t="s">
        <v>470</v>
      </c>
      <c r="H309" s="47" t="s">
        <v>470</v>
      </c>
      <c r="I309" s="65"/>
      <c r="J309" s="64" t="s">
        <v>549</v>
      </c>
      <c r="K309" s="64" t="s">
        <v>549</v>
      </c>
      <c r="L309" s="64" t="s">
        <v>549</v>
      </c>
      <c r="M309" s="64"/>
    </row>
    <row r="310" spans="1:13" ht="16.2" x14ac:dyDescent="0.4">
      <c r="A310" s="3" t="str">
        <f t="shared" si="7"/>
        <v>modesg_inp_emss_sciborigem_scp3</v>
      </c>
      <c r="B310" s="52" t="s">
        <v>23</v>
      </c>
      <c r="C310" s="49" t="s">
        <v>172</v>
      </c>
      <c r="D310" s="45" t="s">
        <v>36</v>
      </c>
      <c r="E310" s="46" t="s">
        <v>210</v>
      </c>
      <c r="F310" s="45" t="s">
        <v>286</v>
      </c>
      <c r="G310" s="47" t="s">
        <v>470</v>
      </c>
      <c r="H310" s="47" t="s">
        <v>470</v>
      </c>
      <c r="I310" s="65"/>
      <c r="J310" s="64" t="s">
        <v>549</v>
      </c>
      <c r="K310" s="64" t="s">
        <v>549</v>
      </c>
      <c r="L310" s="64" t="s">
        <v>549</v>
      </c>
      <c r="M310" s="64"/>
    </row>
    <row r="311" spans="1:13" ht="16.2" x14ac:dyDescent="0.4">
      <c r="A311" s="3" t="str">
        <f t="shared" si="7"/>
        <v>modesg_inp_emss_scibano_info</v>
      </c>
      <c r="B311" s="52" t="s">
        <v>23</v>
      </c>
      <c r="C311" s="49" t="s">
        <v>172</v>
      </c>
      <c r="D311" s="45" t="s">
        <v>36</v>
      </c>
      <c r="E311" s="46" t="s">
        <v>210</v>
      </c>
      <c r="F311" s="45" t="s">
        <v>287</v>
      </c>
      <c r="G311" s="47" t="s">
        <v>470</v>
      </c>
      <c r="H311" s="47" t="s">
        <v>470</v>
      </c>
      <c r="I311" s="65"/>
      <c r="J311" s="64" t="s">
        <v>549</v>
      </c>
      <c r="K311" s="64" t="s">
        <v>549</v>
      </c>
      <c r="L311" s="64" t="s">
        <v>549</v>
      </c>
      <c r="M311" s="64"/>
    </row>
    <row r="312" spans="1:13" ht="16.2" x14ac:dyDescent="0.4">
      <c r="A312" s="3" t="str">
        <f t="shared" si="7"/>
        <v>modesg_inp_emss_scibdivida_total</v>
      </c>
      <c r="B312" s="52" t="s">
        <v>23</v>
      </c>
      <c r="C312" s="49" t="s">
        <v>172</v>
      </c>
      <c r="D312" s="45" t="s">
        <v>36</v>
      </c>
      <c r="E312" s="46" t="s">
        <v>210</v>
      </c>
      <c r="F312" s="45" t="s">
        <v>288</v>
      </c>
      <c r="G312" s="47" t="s">
        <v>470</v>
      </c>
      <c r="H312" s="47" t="s">
        <v>470</v>
      </c>
      <c r="I312" s="65"/>
      <c r="J312" s="64" t="s">
        <v>549</v>
      </c>
      <c r="K312" s="64" t="s">
        <v>549</v>
      </c>
      <c r="L312" s="64" t="s">
        <v>549</v>
      </c>
      <c r="M312" s="64"/>
    </row>
    <row r="313" spans="1:13" ht="16.2" x14ac:dyDescent="0.4">
      <c r="A313" s="3" t="str">
        <f t="shared" si="7"/>
        <v>modesg_inp_emss_scibcapital_proprio</v>
      </c>
      <c r="B313" s="52" t="s">
        <v>23</v>
      </c>
      <c r="C313" s="49" t="s">
        <v>172</v>
      </c>
      <c r="D313" s="45" t="s">
        <v>36</v>
      </c>
      <c r="E313" s="46" t="s">
        <v>210</v>
      </c>
      <c r="F313" s="45" t="s">
        <v>289</v>
      </c>
      <c r="G313" s="47" t="s">
        <v>470</v>
      </c>
      <c r="H313" s="47" t="s">
        <v>470</v>
      </c>
      <c r="I313" s="65"/>
      <c r="J313" s="64" t="s">
        <v>549</v>
      </c>
      <c r="K313" s="64" t="s">
        <v>549</v>
      </c>
      <c r="L313" s="64" t="s">
        <v>549</v>
      </c>
      <c r="M313" s="64"/>
    </row>
    <row r="314" spans="1:13" ht="16.2" x14ac:dyDescent="0.4">
      <c r="A314" s="3" t="str">
        <f t="shared" si="7"/>
        <v>modesg_inp_emss_naceref_date</v>
      </c>
      <c r="B314" s="52" t="s">
        <v>23</v>
      </c>
      <c r="C314" s="49" t="s">
        <v>172</v>
      </c>
      <c r="D314" s="45" t="s">
        <v>36</v>
      </c>
      <c r="E314" s="46" t="s">
        <v>211</v>
      </c>
      <c r="F314" s="45" t="s">
        <v>200</v>
      </c>
      <c r="G314" s="47" t="s">
        <v>470</v>
      </c>
      <c r="H314" s="47" t="s">
        <v>470</v>
      </c>
      <c r="I314" s="54"/>
      <c r="J314" s="64" t="s">
        <v>549</v>
      </c>
      <c r="K314" s="64" t="s">
        <v>549</v>
      </c>
      <c r="L314" s="64" t="s">
        <v>549</v>
      </c>
      <c r="M314" s="64"/>
    </row>
    <row r="315" spans="1:13" ht="16.2" x14ac:dyDescent="0.4">
      <c r="A315" s="3" t="str">
        <f t="shared" si="7"/>
        <v>modesg_inp_emss_naceano</v>
      </c>
      <c r="B315" s="52" t="s">
        <v>23</v>
      </c>
      <c r="C315" s="49" t="s">
        <v>172</v>
      </c>
      <c r="D315" s="45" t="s">
        <v>36</v>
      </c>
      <c r="E315" s="46" t="s">
        <v>211</v>
      </c>
      <c r="F315" s="45" t="s">
        <v>290</v>
      </c>
      <c r="G315" s="47" t="s">
        <v>470</v>
      </c>
      <c r="H315" s="47" t="s">
        <v>470</v>
      </c>
      <c r="I315" s="55" t="s">
        <v>515</v>
      </c>
      <c r="J315" s="64" t="s">
        <v>549</v>
      </c>
      <c r="K315" s="64" t="s">
        <v>549</v>
      </c>
      <c r="L315" s="64" t="s">
        <v>549</v>
      </c>
      <c r="M315" s="64"/>
    </row>
    <row r="316" spans="1:13" ht="16.2" x14ac:dyDescent="0.4">
      <c r="A316" s="3" t="str">
        <f t="shared" si="7"/>
        <v>modesg_inp_emss_nacenome_pais</v>
      </c>
      <c r="B316" s="52" t="s">
        <v>23</v>
      </c>
      <c r="C316" s="49" t="s">
        <v>172</v>
      </c>
      <c r="D316" s="45" t="s">
        <v>36</v>
      </c>
      <c r="E316" s="46" t="s">
        <v>211</v>
      </c>
      <c r="F316" s="45" t="s">
        <v>214</v>
      </c>
      <c r="G316" s="47" t="s">
        <v>470</v>
      </c>
      <c r="H316" s="47" t="s">
        <v>470</v>
      </c>
      <c r="I316" s="55" t="s">
        <v>515</v>
      </c>
      <c r="J316" s="64" t="s">
        <v>549</v>
      </c>
      <c r="K316" s="64" t="s">
        <v>549</v>
      </c>
      <c r="L316" s="64" t="s">
        <v>549</v>
      </c>
      <c r="M316" s="64"/>
    </row>
    <row r="317" spans="1:13" ht="16.2" x14ac:dyDescent="0.4">
      <c r="A317" s="3" t="str">
        <f t="shared" si="7"/>
        <v>modesg_inp_emss_nacecod_nace_esg</v>
      </c>
      <c r="B317" s="52" t="s">
        <v>23</v>
      </c>
      <c r="C317" s="49" t="s">
        <v>172</v>
      </c>
      <c r="D317" s="45" t="s">
        <v>36</v>
      </c>
      <c r="E317" s="46" t="s">
        <v>211</v>
      </c>
      <c r="F317" s="45" t="s">
        <v>274</v>
      </c>
      <c r="G317" s="47" t="s">
        <v>470</v>
      </c>
      <c r="H317" s="47" t="s">
        <v>470</v>
      </c>
      <c r="I317" s="54"/>
      <c r="J317" s="64" t="s">
        <v>549</v>
      </c>
      <c r="K317" s="64" t="s">
        <v>549</v>
      </c>
      <c r="L317" s="64" t="s">
        <v>549</v>
      </c>
      <c r="M317" s="64"/>
    </row>
    <row r="318" spans="1:13" ht="16.2" x14ac:dyDescent="0.4">
      <c r="A318" s="3" t="str">
        <f t="shared" si="7"/>
        <v>modesg_inp_emss_nacecod_class_indust</v>
      </c>
      <c r="B318" s="52" t="s">
        <v>23</v>
      </c>
      <c r="C318" s="49" t="s">
        <v>172</v>
      </c>
      <c r="D318" s="45" t="s">
        <v>36</v>
      </c>
      <c r="E318" s="46" t="s">
        <v>211</v>
      </c>
      <c r="F318" s="45" t="s">
        <v>291</v>
      </c>
      <c r="G318" s="47" t="s">
        <v>470</v>
      </c>
      <c r="H318" s="47" t="s">
        <v>470</v>
      </c>
      <c r="I318" s="54"/>
      <c r="J318" s="64" t="s">
        <v>549</v>
      </c>
      <c r="K318" s="64" t="s">
        <v>549</v>
      </c>
      <c r="L318" s="64" t="s">
        <v>549</v>
      </c>
      <c r="M318" s="64"/>
    </row>
    <row r="319" spans="1:13" ht="16.2" x14ac:dyDescent="0.4">
      <c r="A319" s="3" t="str">
        <f t="shared" si="7"/>
        <v>modesg_inp_emss_nacenivel_classificacao_1</v>
      </c>
      <c r="B319" s="52" t="s">
        <v>23</v>
      </c>
      <c r="C319" s="49" t="s">
        <v>172</v>
      </c>
      <c r="D319" s="45" t="s">
        <v>36</v>
      </c>
      <c r="E319" s="46" t="s">
        <v>211</v>
      </c>
      <c r="F319" s="45" t="s">
        <v>292</v>
      </c>
      <c r="G319" s="47" t="s">
        <v>470</v>
      </c>
      <c r="H319" s="47" t="s">
        <v>470</v>
      </c>
      <c r="I319" s="55" t="s">
        <v>515</v>
      </c>
      <c r="J319" s="64" t="s">
        <v>549</v>
      </c>
      <c r="K319" s="64" t="s">
        <v>549</v>
      </c>
      <c r="L319" s="64" t="s">
        <v>549</v>
      </c>
      <c r="M319" s="64"/>
    </row>
    <row r="320" spans="1:13" ht="16.2" x14ac:dyDescent="0.4">
      <c r="A320" s="3" t="str">
        <f t="shared" si="7"/>
        <v>modesg_inp_emss_naceclasse_ativo</v>
      </c>
      <c r="B320" s="52" t="s">
        <v>23</v>
      </c>
      <c r="C320" s="49" t="s">
        <v>172</v>
      </c>
      <c r="D320" s="45" t="s">
        <v>36</v>
      </c>
      <c r="E320" s="46" t="s">
        <v>211</v>
      </c>
      <c r="F320" s="45" t="s">
        <v>293</v>
      </c>
      <c r="G320" s="47" t="s">
        <v>470</v>
      </c>
      <c r="H320" s="47" t="s">
        <v>470</v>
      </c>
      <c r="I320" s="55" t="s">
        <v>515</v>
      </c>
      <c r="J320" s="64" t="s">
        <v>549</v>
      </c>
      <c r="K320" s="64" t="s">
        <v>549</v>
      </c>
      <c r="L320" s="64" t="s">
        <v>549</v>
      </c>
      <c r="M320" s="64"/>
    </row>
    <row r="321" spans="1:13" ht="16.2" x14ac:dyDescent="0.4">
      <c r="A321" s="3" t="str">
        <f t="shared" si="7"/>
        <v>modesg_inp_emss_naceopcao_metodologia</v>
      </c>
      <c r="B321" s="52" t="s">
        <v>23</v>
      </c>
      <c r="C321" s="49" t="s">
        <v>172</v>
      </c>
      <c r="D321" s="45" t="s">
        <v>36</v>
      </c>
      <c r="E321" s="46" t="s">
        <v>211</v>
      </c>
      <c r="F321" s="45" t="s">
        <v>294</v>
      </c>
      <c r="G321" s="47" t="s">
        <v>470</v>
      </c>
      <c r="H321" s="47" t="s">
        <v>470</v>
      </c>
      <c r="I321" s="55" t="s">
        <v>515</v>
      </c>
      <c r="J321" s="64" t="s">
        <v>549</v>
      </c>
      <c r="K321" s="64" t="s">
        <v>549</v>
      </c>
      <c r="L321" s="64" t="s">
        <v>549</v>
      </c>
      <c r="M321" s="64"/>
    </row>
    <row r="322" spans="1:13" ht="16.2" x14ac:dyDescent="0.4">
      <c r="A322" s="3" t="str">
        <f t="shared" si="7"/>
        <v>modesg_inp_emss_naceunidade_funcional</v>
      </c>
      <c r="B322" s="52" t="s">
        <v>23</v>
      </c>
      <c r="C322" s="49" t="s">
        <v>172</v>
      </c>
      <c r="D322" s="45" t="s">
        <v>36</v>
      </c>
      <c r="E322" s="46" t="s">
        <v>211</v>
      </c>
      <c r="F322" s="45" t="s">
        <v>222</v>
      </c>
      <c r="G322" s="47" t="s">
        <v>470</v>
      </c>
      <c r="H322" s="47" t="s">
        <v>470</v>
      </c>
      <c r="I322" s="54"/>
      <c r="J322" s="64" t="s">
        <v>549</v>
      </c>
      <c r="K322" s="64" t="s">
        <v>549</v>
      </c>
      <c r="L322" s="64" t="s">
        <v>549</v>
      </c>
      <c r="M322" s="64"/>
    </row>
    <row r="323" spans="1:13" ht="16.2" x14ac:dyDescent="0.4">
      <c r="A323" s="3" t="str">
        <f t="shared" si="7"/>
        <v>modesg_inp_emss_naceunidades_fator_de_emissao</v>
      </c>
      <c r="B323" s="52" t="s">
        <v>23</v>
      </c>
      <c r="C323" s="49" t="s">
        <v>172</v>
      </c>
      <c r="D323" s="45" t="s">
        <v>36</v>
      </c>
      <c r="E323" s="46" t="s">
        <v>211</v>
      </c>
      <c r="F323" s="45" t="s">
        <v>295</v>
      </c>
      <c r="G323" s="47" t="s">
        <v>470</v>
      </c>
      <c r="H323" s="47" t="s">
        <v>470</v>
      </c>
      <c r="I323" s="54"/>
      <c r="J323" s="64" t="s">
        <v>549</v>
      </c>
      <c r="K323" s="64" t="s">
        <v>549</v>
      </c>
      <c r="L323" s="64" t="s">
        <v>549</v>
      </c>
      <c r="M323" s="64"/>
    </row>
    <row r="324" spans="1:13" ht="16.2" x14ac:dyDescent="0.4">
      <c r="A324" s="3" t="str">
        <f t="shared" si="7"/>
        <v>modesg_inp_emss_nacescore_qualidade</v>
      </c>
      <c r="B324" s="52" t="s">
        <v>23</v>
      </c>
      <c r="C324" s="49" t="s">
        <v>172</v>
      </c>
      <c r="D324" s="45" t="s">
        <v>36</v>
      </c>
      <c r="E324" s="46" t="s">
        <v>211</v>
      </c>
      <c r="F324" s="45" t="s">
        <v>225</v>
      </c>
      <c r="G324" s="47" t="s">
        <v>470</v>
      </c>
      <c r="H324" s="47" t="s">
        <v>470</v>
      </c>
      <c r="I324" s="54"/>
      <c r="J324" s="64" t="s">
        <v>549</v>
      </c>
      <c r="K324" s="64" t="s">
        <v>549</v>
      </c>
      <c r="L324" s="64" t="s">
        <v>549</v>
      </c>
      <c r="M324" s="64"/>
    </row>
    <row r="325" spans="1:13" ht="16.2" x14ac:dyDescent="0.4">
      <c r="A325" s="3" t="str">
        <f t="shared" si="7"/>
        <v>modesg_inp_emss_nacescp1_ftr_emss</v>
      </c>
      <c r="B325" s="52" t="s">
        <v>23</v>
      </c>
      <c r="C325" s="49" t="s">
        <v>172</v>
      </c>
      <c r="D325" s="45" t="s">
        <v>36</v>
      </c>
      <c r="E325" s="46" t="s">
        <v>211</v>
      </c>
      <c r="F325" s="45" t="s">
        <v>226</v>
      </c>
      <c r="G325" s="47" t="s">
        <v>470</v>
      </c>
      <c r="H325" s="47" t="s">
        <v>470</v>
      </c>
      <c r="I325" s="54"/>
      <c r="J325" s="64" t="s">
        <v>549</v>
      </c>
      <c r="K325" s="64" t="s">
        <v>549</v>
      </c>
      <c r="L325" s="64" t="s">
        <v>549</v>
      </c>
      <c r="M325" s="64"/>
    </row>
    <row r="326" spans="1:13" ht="16.2" x14ac:dyDescent="0.4">
      <c r="A326" s="3" t="str">
        <f t="shared" si="7"/>
        <v>modesg_inp_emss_nacescp2_ftr_emss</v>
      </c>
      <c r="B326" s="52" t="s">
        <v>23</v>
      </c>
      <c r="C326" s="49" t="s">
        <v>172</v>
      </c>
      <c r="D326" s="45" t="s">
        <v>36</v>
      </c>
      <c r="E326" s="46" t="s">
        <v>211</v>
      </c>
      <c r="F326" s="45" t="s">
        <v>227</v>
      </c>
      <c r="G326" s="47" t="s">
        <v>470</v>
      </c>
      <c r="H326" s="47" t="s">
        <v>470</v>
      </c>
      <c r="I326" s="54"/>
      <c r="J326" s="64" t="s">
        <v>549</v>
      </c>
      <c r="K326" s="64" t="s">
        <v>549</v>
      </c>
      <c r="L326" s="64" t="s">
        <v>549</v>
      </c>
      <c r="M326" s="64"/>
    </row>
    <row r="327" spans="1:13" ht="16.2" x14ac:dyDescent="0.4">
      <c r="A327" s="3" t="str">
        <f t="shared" si="7"/>
        <v>modesg_inp_emss_nacescp3_ftr_emss</v>
      </c>
      <c r="B327" s="52" t="s">
        <v>23</v>
      </c>
      <c r="C327" s="49" t="s">
        <v>172</v>
      </c>
      <c r="D327" s="45" t="s">
        <v>36</v>
      </c>
      <c r="E327" s="46" t="s">
        <v>211</v>
      </c>
      <c r="F327" s="45" t="s">
        <v>228</v>
      </c>
      <c r="G327" s="47" t="s">
        <v>470</v>
      </c>
      <c r="H327" s="47" t="s">
        <v>470</v>
      </c>
      <c r="I327" s="54"/>
      <c r="J327" s="64" t="s">
        <v>549</v>
      </c>
      <c r="K327" s="64" t="s">
        <v>549</v>
      </c>
      <c r="L327" s="64" t="s">
        <v>549</v>
      </c>
      <c r="M327" s="64"/>
    </row>
    <row r="328" spans="1:13" ht="16.2" x14ac:dyDescent="0.4">
      <c r="A328" s="3" t="str">
        <f t="shared" si="7"/>
        <v>modesg_inp_emss_bens_imoveisref_date</v>
      </c>
      <c r="B328" s="52" t="s">
        <v>23</v>
      </c>
      <c r="C328" s="49" t="s">
        <v>172</v>
      </c>
      <c r="D328" s="45" t="s">
        <v>36</v>
      </c>
      <c r="E328" s="46" t="s">
        <v>212</v>
      </c>
      <c r="F328" s="45" t="s">
        <v>200</v>
      </c>
      <c r="G328" s="47" t="s">
        <v>470</v>
      </c>
      <c r="H328" s="47" t="s">
        <v>470</v>
      </c>
      <c r="I328" s="54"/>
      <c r="J328" s="64" t="s">
        <v>549</v>
      </c>
      <c r="K328" s="64">
        <v>45534</v>
      </c>
      <c r="L328" s="64">
        <v>45534</v>
      </c>
      <c r="M328" s="64"/>
    </row>
    <row r="329" spans="1:13" ht="16.2" x14ac:dyDescent="0.4">
      <c r="A329" s="3" t="str">
        <f t="shared" si="7"/>
        <v>modesg_inp_emss_bens_imoveisnome_pais</v>
      </c>
      <c r="B329" s="52" t="s">
        <v>23</v>
      </c>
      <c r="C329" s="49" t="s">
        <v>172</v>
      </c>
      <c r="D329" s="45" t="s">
        <v>36</v>
      </c>
      <c r="E329" s="46" t="s">
        <v>212</v>
      </c>
      <c r="F329" s="45" t="s">
        <v>214</v>
      </c>
      <c r="G329" s="47" t="s">
        <v>470</v>
      </c>
      <c r="H329" s="47" t="s">
        <v>470</v>
      </c>
      <c r="I329" s="54"/>
      <c r="J329" s="64" t="s">
        <v>549</v>
      </c>
      <c r="K329" s="64">
        <v>45534</v>
      </c>
      <c r="L329" s="64">
        <v>45534</v>
      </c>
      <c r="M329" s="64"/>
    </row>
    <row r="330" spans="1:13" ht="16.2" x14ac:dyDescent="0.4">
      <c r="A330" s="3" t="str">
        <f t="shared" si="7"/>
        <v>modesg_inp_emss_bens_imoveisnome_estado</v>
      </c>
      <c r="B330" s="52" t="s">
        <v>23</v>
      </c>
      <c r="C330" s="49" t="s">
        <v>172</v>
      </c>
      <c r="D330" s="45" t="s">
        <v>36</v>
      </c>
      <c r="E330" s="46" t="s">
        <v>212</v>
      </c>
      <c r="F330" s="45" t="s">
        <v>215</v>
      </c>
      <c r="G330" s="47" t="s">
        <v>470</v>
      </c>
      <c r="H330" s="47" t="s">
        <v>470</v>
      </c>
      <c r="I330" s="54"/>
      <c r="J330" s="64" t="s">
        <v>549</v>
      </c>
      <c r="K330" s="64">
        <v>45534</v>
      </c>
      <c r="L330" s="64">
        <v>45534</v>
      </c>
      <c r="M330" s="64"/>
    </row>
    <row r="331" spans="1:13" ht="16.2" x14ac:dyDescent="0.4">
      <c r="A331" s="3" t="str">
        <f t="shared" si="7"/>
        <v>modesg_inp_emss_bens_imoveisclasse_ativo</v>
      </c>
      <c r="B331" s="52" t="s">
        <v>23</v>
      </c>
      <c r="C331" s="49" t="s">
        <v>172</v>
      </c>
      <c r="D331" s="45" t="s">
        <v>36</v>
      </c>
      <c r="E331" s="46" t="s">
        <v>212</v>
      </c>
      <c r="F331" s="45" t="s">
        <v>293</v>
      </c>
      <c r="G331" s="47" t="s">
        <v>470</v>
      </c>
      <c r="H331" s="47" t="s">
        <v>470</v>
      </c>
      <c r="I331" s="55" t="s">
        <v>515</v>
      </c>
      <c r="J331" s="64" t="s">
        <v>549</v>
      </c>
      <c r="K331" s="64">
        <v>45534</v>
      </c>
      <c r="L331" s="64">
        <v>45534</v>
      </c>
      <c r="M331" s="64"/>
    </row>
    <row r="332" spans="1:13" ht="16.2" x14ac:dyDescent="0.4">
      <c r="A332" s="3" t="str">
        <f t="shared" si="7"/>
        <v>modesg_inp_emss_bens_imoveistipo_fator_emissao</v>
      </c>
      <c r="B332" s="52" t="s">
        <v>23</v>
      </c>
      <c r="C332" s="49" t="s">
        <v>172</v>
      </c>
      <c r="D332" s="45" t="s">
        <v>36</v>
      </c>
      <c r="E332" s="46" t="s">
        <v>212</v>
      </c>
      <c r="F332" s="45" t="s">
        <v>296</v>
      </c>
      <c r="G332" s="47" t="s">
        <v>470</v>
      </c>
      <c r="H332" s="47" t="s">
        <v>470</v>
      </c>
      <c r="I332" s="55" t="s">
        <v>515</v>
      </c>
      <c r="J332" s="64" t="s">
        <v>549</v>
      </c>
      <c r="K332" s="64">
        <v>45534</v>
      </c>
      <c r="L332" s="64">
        <v>45534</v>
      </c>
      <c r="M332" s="64"/>
    </row>
    <row r="333" spans="1:13" ht="16.2" x14ac:dyDescent="0.4">
      <c r="A333" s="3" t="str">
        <f t="shared" si="7"/>
        <v>modesg_inp_emss_bens_imoveisregiao</v>
      </c>
      <c r="B333" s="52" t="s">
        <v>23</v>
      </c>
      <c r="C333" s="49" t="s">
        <v>172</v>
      </c>
      <c r="D333" s="45" t="s">
        <v>36</v>
      </c>
      <c r="E333" s="46" t="s">
        <v>212</v>
      </c>
      <c r="F333" s="45" t="s">
        <v>297</v>
      </c>
      <c r="G333" s="47" t="s">
        <v>470</v>
      </c>
      <c r="H333" s="47" t="s">
        <v>470</v>
      </c>
      <c r="I333" s="55" t="s">
        <v>515</v>
      </c>
      <c r="J333" s="64" t="s">
        <v>549</v>
      </c>
      <c r="K333" s="64">
        <v>45534</v>
      </c>
      <c r="L333" s="64">
        <v>45534</v>
      </c>
      <c r="M333" s="64"/>
    </row>
    <row r="334" spans="1:13" ht="16.2" x14ac:dyDescent="0.4">
      <c r="A334" s="3" t="str">
        <f t="shared" si="7"/>
        <v>modesg_inp_emss_bens_imoveistipo_bem</v>
      </c>
      <c r="B334" s="52" t="s">
        <v>23</v>
      </c>
      <c r="C334" s="49" t="s">
        <v>172</v>
      </c>
      <c r="D334" s="45" t="s">
        <v>36</v>
      </c>
      <c r="E334" s="46" t="s">
        <v>212</v>
      </c>
      <c r="F334" s="45" t="s">
        <v>298</v>
      </c>
      <c r="G334" s="47" t="s">
        <v>470</v>
      </c>
      <c r="H334" s="47" t="s">
        <v>470</v>
      </c>
      <c r="I334" s="54"/>
      <c r="J334" s="64" t="s">
        <v>549</v>
      </c>
      <c r="K334" s="64">
        <v>45534</v>
      </c>
      <c r="L334" s="64">
        <v>45534</v>
      </c>
      <c r="M334" s="64"/>
    </row>
    <row r="335" spans="1:13" ht="16.2" x14ac:dyDescent="0.4">
      <c r="A335" s="3" t="str">
        <f t="shared" si="7"/>
        <v>modesg_inp_emss_bens_imoveistipo_finalidade_bem</v>
      </c>
      <c r="B335" s="52" t="s">
        <v>23</v>
      </c>
      <c r="C335" s="49" t="s">
        <v>172</v>
      </c>
      <c r="D335" s="45" t="s">
        <v>36</v>
      </c>
      <c r="E335" s="46" t="s">
        <v>212</v>
      </c>
      <c r="F335" s="45" t="s">
        <v>299</v>
      </c>
      <c r="G335" s="47" t="s">
        <v>470</v>
      </c>
      <c r="H335" s="47" t="s">
        <v>470</v>
      </c>
      <c r="I335" s="54"/>
      <c r="J335" s="64" t="s">
        <v>549</v>
      </c>
      <c r="K335" s="64">
        <v>45534</v>
      </c>
      <c r="L335" s="64">
        <v>45534</v>
      </c>
      <c r="M335" s="64"/>
    </row>
    <row r="336" spans="1:13" ht="16.2" x14ac:dyDescent="0.4">
      <c r="A336" s="3" t="str">
        <f t="shared" si="7"/>
        <v>modesg_inp_emss_bens_imoveisepc</v>
      </c>
      <c r="B336" s="52" t="s">
        <v>23</v>
      </c>
      <c r="C336" s="49" t="s">
        <v>172</v>
      </c>
      <c r="D336" s="45" t="s">
        <v>36</v>
      </c>
      <c r="E336" s="46" t="s">
        <v>212</v>
      </c>
      <c r="F336" s="45" t="s">
        <v>190</v>
      </c>
      <c r="G336" s="47" t="s">
        <v>470</v>
      </c>
      <c r="H336" s="47" t="s">
        <v>470</v>
      </c>
      <c r="I336" s="54"/>
      <c r="J336" s="64" t="s">
        <v>549</v>
      </c>
      <c r="K336" s="64">
        <v>45534</v>
      </c>
      <c r="L336" s="64">
        <v>45534</v>
      </c>
      <c r="M336" s="64"/>
    </row>
    <row r="337" spans="1:13" ht="16.2" x14ac:dyDescent="0.4">
      <c r="A337" s="3" t="str">
        <f t="shared" si="7"/>
        <v>modesg_inp_emss_bens_imoveisflg_ftr_emss_area</v>
      </c>
      <c r="B337" s="52" t="s">
        <v>23</v>
      </c>
      <c r="C337" s="49" t="s">
        <v>172</v>
      </c>
      <c r="D337" s="45" t="s">
        <v>36</v>
      </c>
      <c r="E337" s="46" t="s">
        <v>212</v>
      </c>
      <c r="F337" s="45" t="s">
        <v>300</v>
      </c>
      <c r="G337" s="47" t="s">
        <v>469</v>
      </c>
      <c r="H337" s="47" t="s">
        <v>469</v>
      </c>
      <c r="I337" s="56" t="s">
        <v>517</v>
      </c>
      <c r="J337" s="64" t="s">
        <v>549</v>
      </c>
      <c r="K337" s="64">
        <v>45534</v>
      </c>
      <c r="L337" s="64">
        <v>45534</v>
      </c>
      <c r="M337" s="64"/>
    </row>
    <row r="338" spans="1:13" ht="16.2" x14ac:dyDescent="0.4">
      <c r="A338" s="3" t="str">
        <f t="shared" ref="A338:A401" si="8">E338&amp;F338</f>
        <v>modesg_inp_emss_bens_imoveisnome_unidade_funcional</v>
      </c>
      <c r="B338" s="52" t="s">
        <v>23</v>
      </c>
      <c r="C338" s="49" t="s">
        <v>172</v>
      </c>
      <c r="D338" s="45" t="s">
        <v>36</v>
      </c>
      <c r="E338" s="46" t="s">
        <v>212</v>
      </c>
      <c r="F338" s="45" t="s">
        <v>221</v>
      </c>
      <c r="G338" s="47" t="s">
        <v>470</v>
      </c>
      <c r="H338" s="47" t="s">
        <v>470</v>
      </c>
      <c r="I338" s="54"/>
      <c r="J338" s="64" t="s">
        <v>549</v>
      </c>
      <c r="K338" s="64">
        <v>45534</v>
      </c>
      <c r="L338" s="64">
        <v>45534</v>
      </c>
      <c r="M338" s="64"/>
    </row>
    <row r="339" spans="1:13" ht="16.2" x14ac:dyDescent="0.4">
      <c r="A339" s="3" t="str">
        <f t="shared" si="8"/>
        <v>modesg_inp_emss_bens_imoveisunidade_funcional</v>
      </c>
      <c r="B339" s="52" t="s">
        <v>23</v>
      </c>
      <c r="C339" s="49" t="s">
        <v>172</v>
      </c>
      <c r="D339" s="45" t="s">
        <v>36</v>
      </c>
      <c r="E339" s="46" t="s">
        <v>212</v>
      </c>
      <c r="F339" s="45" t="s">
        <v>222</v>
      </c>
      <c r="G339" s="47" t="s">
        <v>470</v>
      </c>
      <c r="H339" s="47" t="s">
        <v>470</v>
      </c>
      <c r="I339" s="54"/>
      <c r="J339" s="64" t="s">
        <v>549</v>
      </c>
      <c r="K339" s="64">
        <v>45534</v>
      </c>
      <c r="L339" s="64">
        <v>45534</v>
      </c>
      <c r="M339" s="64"/>
    </row>
    <row r="340" spans="1:13" ht="16.2" x14ac:dyDescent="0.4">
      <c r="A340" s="3" t="str">
        <f t="shared" si="8"/>
        <v>modesg_inp_emss_bens_imoveisnome_fator_emissao</v>
      </c>
      <c r="B340" s="52" t="s">
        <v>23</v>
      </c>
      <c r="C340" s="49" t="s">
        <v>172</v>
      </c>
      <c r="D340" s="45" t="s">
        <v>36</v>
      </c>
      <c r="E340" s="46" t="s">
        <v>212</v>
      </c>
      <c r="F340" s="45" t="s">
        <v>223</v>
      </c>
      <c r="G340" s="47" t="s">
        <v>470</v>
      </c>
      <c r="H340" s="47" t="s">
        <v>470</v>
      </c>
      <c r="I340" s="54"/>
      <c r="J340" s="64" t="s">
        <v>549</v>
      </c>
      <c r="K340" s="64">
        <v>45534</v>
      </c>
      <c r="L340" s="64">
        <v>45534</v>
      </c>
      <c r="M340" s="64"/>
    </row>
    <row r="341" spans="1:13" ht="16.2" x14ac:dyDescent="0.4">
      <c r="A341" s="3" t="str">
        <f t="shared" si="8"/>
        <v>modesg_inp_emss_bens_imoveisunidade_fator_de_emissao</v>
      </c>
      <c r="B341" s="52" t="s">
        <v>23</v>
      </c>
      <c r="C341" s="49" t="s">
        <v>172</v>
      </c>
      <c r="D341" s="45" t="s">
        <v>36</v>
      </c>
      <c r="E341" s="46" t="s">
        <v>212</v>
      </c>
      <c r="F341" s="45" t="s">
        <v>224</v>
      </c>
      <c r="G341" s="47" t="s">
        <v>470</v>
      </c>
      <c r="H341" s="47" t="s">
        <v>470</v>
      </c>
      <c r="I341" s="54"/>
      <c r="J341" s="64" t="s">
        <v>549</v>
      </c>
      <c r="K341" s="64">
        <v>45534</v>
      </c>
      <c r="L341" s="64">
        <v>45534</v>
      </c>
      <c r="M341" s="64"/>
    </row>
    <row r="342" spans="1:13" ht="16.2" x14ac:dyDescent="0.4">
      <c r="A342" s="3" t="str">
        <f t="shared" si="8"/>
        <v>modesg_inp_emss_bens_imoveisscore_qualidade</v>
      </c>
      <c r="B342" s="52" t="s">
        <v>23</v>
      </c>
      <c r="C342" s="49" t="s">
        <v>172</v>
      </c>
      <c r="D342" s="45" t="s">
        <v>36</v>
      </c>
      <c r="E342" s="46" t="s">
        <v>212</v>
      </c>
      <c r="F342" s="45" t="s">
        <v>225</v>
      </c>
      <c r="G342" s="47" t="s">
        <v>470</v>
      </c>
      <c r="H342" s="47" t="s">
        <v>470</v>
      </c>
      <c r="I342" s="54"/>
      <c r="J342" s="64" t="s">
        <v>549</v>
      </c>
      <c r="K342" s="64">
        <v>45534</v>
      </c>
      <c r="L342" s="64">
        <v>45534</v>
      </c>
      <c r="M342" s="64"/>
    </row>
    <row r="343" spans="1:13" ht="16.2" x14ac:dyDescent="0.4">
      <c r="A343" s="3" t="str">
        <f t="shared" si="8"/>
        <v>modesg_inp_emss_bens_imoveisano_fator_emissao</v>
      </c>
      <c r="B343" s="52" t="s">
        <v>23</v>
      </c>
      <c r="C343" s="49" t="s">
        <v>172</v>
      </c>
      <c r="D343" s="45" t="s">
        <v>36</v>
      </c>
      <c r="E343" s="46" t="s">
        <v>212</v>
      </c>
      <c r="F343" s="45" t="s">
        <v>301</v>
      </c>
      <c r="G343" s="47" t="s">
        <v>470</v>
      </c>
      <c r="H343" s="47" t="s">
        <v>470</v>
      </c>
      <c r="I343" s="55" t="s">
        <v>515</v>
      </c>
      <c r="J343" s="64" t="s">
        <v>549</v>
      </c>
      <c r="K343" s="64">
        <v>45534</v>
      </c>
      <c r="L343" s="64">
        <v>45534</v>
      </c>
      <c r="M343" s="64"/>
    </row>
    <row r="344" spans="1:13" ht="16.2" x14ac:dyDescent="0.4">
      <c r="A344" s="3" t="str">
        <f t="shared" si="8"/>
        <v>modesg_inp_emss_bens_imoveisscp1_ftr_emss</v>
      </c>
      <c r="B344" s="52" t="s">
        <v>23</v>
      </c>
      <c r="C344" s="49" t="s">
        <v>172</v>
      </c>
      <c r="D344" s="45" t="s">
        <v>36</v>
      </c>
      <c r="E344" s="46" t="s">
        <v>212</v>
      </c>
      <c r="F344" s="45" t="s">
        <v>226</v>
      </c>
      <c r="G344" s="47" t="s">
        <v>470</v>
      </c>
      <c r="H344" s="47" t="s">
        <v>470</v>
      </c>
      <c r="I344" s="54"/>
      <c r="J344" s="64" t="s">
        <v>549</v>
      </c>
      <c r="K344" s="64">
        <v>45534</v>
      </c>
      <c r="L344" s="64">
        <v>45534</v>
      </c>
      <c r="M344" s="64"/>
    </row>
    <row r="345" spans="1:13" ht="16.2" x14ac:dyDescent="0.4">
      <c r="A345" s="3" t="str">
        <f t="shared" si="8"/>
        <v>modesg_inp_emss_bens_imoveisscp2_ftr_emss</v>
      </c>
      <c r="B345" s="52" t="s">
        <v>23</v>
      </c>
      <c r="C345" s="49" t="s">
        <v>172</v>
      </c>
      <c r="D345" s="45" t="s">
        <v>36</v>
      </c>
      <c r="E345" s="46" t="s">
        <v>212</v>
      </c>
      <c r="F345" s="45" t="s">
        <v>227</v>
      </c>
      <c r="G345" s="47" t="s">
        <v>470</v>
      </c>
      <c r="H345" s="47" t="s">
        <v>470</v>
      </c>
      <c r="I345" s="54"/>
      <c r="J345" s="64" t="s">
        <v>549</v>
      </c>
      <c r="K345" s="64">
        <v>45534</v>
      </c>
      <c r="L345" s="64">
        <v>45534</v>
      </c>
      <c r="M345" s="64"/>
    </row>
    <row r="346" spans="1:13" ht="16.2" x14ac:dyDescent="0.4">
      <c r="A346" s="3" t="str">
        <f t="shared" si="8"/>
        <v>modesg_out_bens_imoveisn.a.</v>
      </c>
      <c r="B346" s="52" t="s">
        <v>23</v>
      </c>
      <c r="C346" s="49" t="s">
        <v>302</v>
      </c>
      <c r="D346" s="45" t="s">
        <v>33</v>
      </c>
      <c r="E346" s="46" t="s">
        <v>303</v>
      </c>
      <c r="F346" s="45" t="s">
        <v>35</v>
      </c>
      <c r="G346" s="47" t="s">
        <v>470</v>
      </c>
      <c r="H346" s="47" t="s">
        <v>470</v>
      </c>
      <c r="I346" s="54"/>
      <c r="J346" s="64" t="s">
        <v>549</v>
      </c>
      <c r="K346" s="64" t="s">
        <v>549</v>
      </c>
      <c r="L346" s="64" t="s">
        <v>549</v>
      </c>
      <c r="M346" s="64"/>
    </row>
    <row r="347" spans="1:13" ht="16.2" x14ac:dyDescent="0.4">
      <c r="A347" s="3" t="str">
        <f t="shared" si="8"/>
        <v>modesg_out_bens_imoveiscempbem</v>
      </c>
      <c r="B347" s="52" t="s">
        <v>23</v>
      </c>
      <c r="C347" s="49" t="s">
        <v>302</v>
      </c>
      <c r="D347" s="45" t="s">
        <v>36</v>
      </c>
      <c r="E347" s="46" t="s">
        <v>303</v>
      </c>
      <c r="F347" s="45" t="s">
        <v>304</v>
      </c>
      <c r="G347" s="47" t="s">
        <v>470</v>
      </c>
      <c r="H347" s="47" t="s">
        <v>470</v>
      </c>
      <c r="I347" s="65"/>
      <c r="J347" s="64" t="s">
        <v>549</v>
      </c>
      <c r="K347" s="64" t="s">
        <v>549</v>
      </c>
      <c r="L347" s="64" t="s">
        <v>549</v>
      </c>
      <c r="M347" s="64"/>
    </row>
    <row r="348" spans="1:13" ht="16.2" x14ac:dyDescent="0.4">
      <c r="A348" s="3" t="str">
        <f t="shared" si="8"/>
        <v>modesg_out_bens_imoveisckbalbem</v>
      </c>
      <c r="B348" s="52" t="s">
        <v>23</v>
      </c>
      <c r="C348" s="49" t="s">
        <v>302</v>
      </c>
      <c r="D348" s="45" t="s">
        <v>36</v>
      </c>
      <c r="E348" s="46" t="s">
        <v>303</v>
      </c>
      <c r="F348" s="45" t="s">
        <v>305</v>
      </c>
      <c r="G348" s="47" t="s">
        <v>470</v>
      </c>
      <c r="H348" s="47" t="s">
        <v>470</v>
      </c>
      <c r="I348" s="65"/>
      <c r="J348" s="64" t="s">
        <v>549</v>
      </c>
      <c r="K348" s="64" t="s">
        <v>549</v>
      </c>
      <c r="L348" s="64" t="s">
        <v>549</v>
      </c>
      <c r="M348" s="64"/>
    </row>
    <row r="349" spans="1:13" ht="16.2" x14ac:dyDescent="0.4">
      <c r="A349" s="3" t="str">
        <f t="shared" si="8"/>
        <v>modesg_out_bens_imoveisckctabem</v>
      </c>
      <c r="B349" s="52" t="s">
        <v>23</v>
      </c>
      <c r="C349" s="49" t="s">
        <v>302</v>
      </c>
      <c r="D349" s="45" t="s">
        <v>36</v>
      </c>
      <c r="E349" s="46" t="s">
        <v>303</v>
      </c>
      <c r="F349" s="45" t="s">
        <v>306</v>
      </c>
      <c r="G349" s="47" t="s">
        <v>470</v>
      </c>
      <c r="H349" s="47" t="s">
        <v>470</v>
      </c>
      <c r="I349" s="65"/>
      <c r="J349" s="64" t="s">
        <v>549</v>
      </c>
      <c r="K349" s="64" t="s">
        <v>549</v>
      </c>
      <c r="L349" s="64" t="s">
        <v>549</v>
      </c>
      <c r="M349" s="64"/>
    </row>
    <row r="350" spans="1:13" ht="16.2" x14ac:dyDescent="0.4">
      <c r="A350" s="3" t="str">
        <f t="shared" si="8"/>
        <v>modesg_out_bens_imoveisckrefbem</v>
      </c>
      <c r="B350" s="52" t="s">
        <v>23</v>
      </c>
      <c r="C350" s="49" t="s">
        <v>302</v>
      </c>
      <c r="D350" s="45" t="s">
        <v>36</v>
      </c>
      <c r="E350" s="46" t="s">
        <v>303</v>
      </c>
      <c r="F350" s="45" t="s">
        <v>307</v>
      </c>
      <c r="G350" s="47" t="s">
        <v>470</v>
      </c>
      <c r="H350" s="47" t="s">
        <v>470</v>
      </c>
      <c r="I350" s="65"/>
      <c r="J350" s="64" t="s">
        <v>549</v>
      </c>
      <c r="K350" s="64" t="s">
        <v>549</v>
      </c>
      <c r="L350" s="64" t="s">
        <v>549</v>
      </c>
      <c r="M350" s="64"/>
    </row>
    <row r="351" spans="1:13" ht="16.2" x14ac:dyDescent="0.4">
      <c r="A351" s="3" t="str">
        <f t="shared" si="8"/>
        <v>modesg_out_bens_imoveisflg_rsc_fsc_agd</v>
      </c>
      <c r="B351" s="52" t="s">
        <v>23</v>
      </c>
      <c r="C351" s="49" t="s">
        <v>302</v>
      </c>
      <c r="D351" s="45" t="s">
        <v>36</v>
      </c>
      <c r="E351" s="46" t="s">
        <v>303</v>
      </c>
      <c r="F351" s="45" t="s">
        <v>275</v>
      </c>
      <c r="G351" s="47" t="s">
        <v>475</v>
      </c>
      <c r="H351" s="47" t="s">
        <v>475</v>
      </c>
      <c r="I351" s="54" t="s">
        <v>518</v>
      </c>
      <c r="J351" s="64">
        <v>45569</v>
      </c>
      <c r="K351" s="64" t="s">
        <v>549</v>
      </c>
      <c r="L351" s="64" t="s">
        <v>549</v>
      </c>
      <c r="M351" s="64"/>
    </row>
    <row r="352" spans="1:13" ht="16.2" x14ac:dyDescent="0.4">
      <c r="A352" s="3" t="str">
        <f t="shared" si="8"/>
        <v>modesg_out_bens_imoveisflg_rsc_fsc_crnc</v>
      </c>
      <c r="B352" s="52" t="s">
        <v>23</v>
      </c>
      <c r="C352" s="49" t="s">
        <v>302</v>
      </c>
      <c r="D352" s="45" t="s">
        <v>36</v>
      </c>
      <c r="E352" s="46" t="s">
        <v>303</v>
      </c>
      <c r="F352" s="45" t="s">
        <v>276</v>
      </c>
      <c r="G352" s="47" t="s">
        <v>475</v>
      </c>
      <c r="H352" s="47" t="s">
        <v>475</v>
      </c>
      <c r="I352" s="54" t="s">
        <v>518</v>
      </c>
      <c r="J352" s="64">
        <v>45569</v>
      </c>
      <c r="K352" s="64" t="s">
        <v>549</v>
      </c>
      <c r="L352" s="64" t="s">
        <v>549</v>
      </c>
      <c r="M352" s="64"/>
    </row>
    <row r="353" spans="1:13" ht="16.2" x14ac:dyDescent="0.4">
      <c r="A353" s="3" t="str">
        <f t="shared" si="8"/>
        <v>modesg_out_bens_imoveisorigem_flg_rsc_fsc_agd</v>
      </c>
      <c r="B353" s="52" t="s">
        <v>23</v>
      </c>
      <c r="C353" s="49" t="s">
        <v>302</v>
      </c>
      <c r="D353" s="45" t="s">
        <v>36</v>
      </c>
      <c r="E353" s="46" t="s">
        <v>303</v>
      </c>
      <c r="F353" s="45" t="s">
        <v>308</v>
      </c>
      <c r="G353" s="47" t="s">
        <v>475</v>
      </c>
      <c r="H353" s="47" t="s">
        <v>475</v>
      </c>
      <c r="I353" s="54" t="s">
        <v>518</v>
      </c>
      <c r="J353" s="64">
        <v>45569</v>
      </c>
      <c r="K353" s="64" t="s">
        <v>549</v>
      </c>
      <c r="L353" s="64" t="s">
        <v>549</v>
      </c>
      <c r="M353" s="64"/>
    </row>
    <row r="354" spans="1:13" ht="16.2" x14ac:dyDescent="0.4">
      <c r="A354" s="3" t="str">
        <f t="shared" si="8"/>
        <v>modesg_out_bens_imoveisorigem_flg_rsc_fsc_crnc</v>
      </c>
      <c r="B354" s="52" t="s">
        <v>23</v>
      </c>
      <c r="C354" s="49" t="s">
        <v>302</v>
      </c>
      <c r="D354" s="45" t="s">
        <v>36</v>
      </c>
      <c r="E354" s="46" t="s">
        <v>303</v>
      </c>
      <c r="F354" s="45" t="s">
        <v>309</v>
      </c>
      <c r="G354" s="47" t="s">
        <v>475</v>
      </c>
      <c r="H354" s="47" t="s">
        <v>475</v>
      </c>
      <c r="I354" s="54" t="s">
        <v>518</v>
      </c>
      <c r="J354" s="64">
        <v>45569</v>
      </c>
      <c r="K354" s="64" t="s">
        <v>549</v>
      </c>
      <c r="L354" s="64" t="s">
        <v>549</v>
      </c>
      <c r="M354" s="64"/>
    </row>
    <row r="355" spans="1:13" ht="16.2" x14ac:dyDescent="0.4">
      <c r="A355" s="3" t="str">
        <f t="shared" si="8"/>
        <v>modesg_out_bens_imoveisorigem_scp1_emss</v>
      </c>
      <c r="B355" s="52" t="s">
        <v>23</v>
      </c>
      <c r="C355" s="49" t="s">
        <v>302</v>
      </c>
      <c r="D355" s="45" t="s">
        <v>36</v>
      </c>
      <c r="E355" s="46" t="s">
        <v>303</v>
      </c>
      <c r="F355" s="45" t="s">
        <v>310</v>
      </c>
      <c r="G355" s="47" t="s">
        <v>475</v>
      </c>
      <c r="H355" s="47" t="s">
        <v>475</v>
      </c>
      <c r="I355" s="54" t="s">
        <v>519</v>
      </c>
      <c r="J355" s="64">
        <v>45569</v>
      </c>
      <c r="K355" s="64" t="s">
        <v>549</v>
      </c>
      <c r="L355" s="64">
        <v>45562</v>
      </c>
      <c r="M355" s="64"/>
    </row>
    <row r="356" spans="1:13" ht="16.2" x14ac:dyDescent="0.4">
      <c r="A356" s="3" t="str">
        <f t="shared" si="8"/>
        <v>modesg_out_bens_imoveisorigem_scp2_emss</v>
      </c>
      <c r="B356" s="52" t="s">
        <v>23</v>
      </c>
      <c r="C356" s="49" t="s">
        <v>302</v>
      </c>
      <c r="D356" s="45" t="s">
        <v>36</v>
      </c>
      <c r="E356" s="46" t="s">
        <v>303</v>
      </c>
      <c r="F356" s="45" t="s">
        <v>311</v>
      </c>
      <c r="G356" s="47" t="s">
        <v>475</v>
      </c>
      <c r="H356" s="47" t="s">
        <v>475</v>
      </c>
      <c r="I356" s="54" t="s">
        <v>519</v>
      </c>
      <c r="J356" s="64">
        <v>45569</v>
      </c>
      <c r="K356" s="64" t="s">
        <v>549</v>
      </c>
      <c r="L356" s="64">
        <v>45562</v>
      </c>
      <c r="M356" s="64"/>
    </row>
    <row r="357" spans="1:13" ht="16.2" x14ac:dyDescent="0.4">
      <c r="A357" s="3" t="str">
        <f t="shared" si="8"/>
        <v>modesg_out_bens_imoveisorigem_scp3_emss</v>
      </c>
      <c r="B357" s="52" t="s">
        <v>23</v>
      </c>
      <c r="C357" s="49" t="s">
        <v>302</v>
      </c>
      <c r="D357" s="45" t="s">
        <v>36</v>
      </c>
      <c r="E357" s="46" t="s">
        <v>303</v>
      </c>
      <c r="F357" s="45" t="s">
        <v>312</v>
      </c>
      <c r="G357" s="47" t="s">
        <v>475</v>
      </c>
      <c r="H357" s="47" t="s">
        <v>475</v>
      </c>
      <c r="I357" s="54" t="s">
        <v>519</v>
      </c>
      <c r="J357" s="64">
        <v>45569</v>
      </c>
      <c r="K357" s="64" t="s">
        <v>549</v>
      </c>
      <c r="L357" s="64">
        <v>45562</v>
      </c>
      <c r="M357" s="64"/>
    </row>
    <row r="358" spans="1:13" ht="16.2" x14ac:dyDescent="0.4">
      <c r="A358" s="3" t="str">
        <f t="shared" si="8"/>
        <v>modesg_out_bens_imoveisref_date</v>
      </c>
      <c r="B358" s="52" t="s">
        <v>23</v>
      </c>
      <c r="C358" s="49" t="s">
        <v>302</v>
      </c>
      <c r="D358" s="45" t="s">
        <v>36</v>
      </c>
      <c r="E358" s="46" t="s">
        <v>303</v>
      </c>
      <c r="F358" s="45" t="s">
        <v>200</v>
      </c>
      <c r="G358" s="47" t="s">
        <v>470</v>
      </c>
      <c r="H358" s="47" t="s">
        <v>470</v>
      </c>
      <c r="I358" s="65"/>
      <c r="J358" s="64" t="s">
        <v>549</v>
      </c>
      <c r="K358" s="64" t="s">
        <v>549</v>
      </c>
      <c r="L358" s="64" t="s">
        <v>549</v>
      </c>
      <c r="M358" s="64"/>
    </row>
    <row r="359" spans="1:13" ht="16.2" x14ac:dyDescent="0.4">
      <c r="A359" s="3" t="str">
        <f t="shared" si="8"/>
        <v>modesg_out_bens_imoveisscp1_emss</v>
      </c>
      <c r="B359" s="52" t="s">
        <v>23</v>
      </c>
      <c r="C359" s="49" t="s">
        <v>302</v>
      </c>
      <c r="D359" s="45" t="s">
        <v>36</v>
      </c>
      <c r="E359" s="46" t="s">
        <v>303</v>
      </c>
      <c r="F359" s="45" t="s">
        <v>278</v>
      </c>
      <c r="G359" s="47" t="s">
        <v>475</v>
      </c>
      <c r="H359" s="47" t="s">
        <v>475</v>
      </c>
      <c r="I359" s="54" t="s">
        <v>519</v>
      </c>
      <c r="J359" s="64">
        <v>45569</v>
      </c>
      <c r="K359" s="64" t="s">
        <v>549</v>
      </c>
      <c r="L359" s="64">
        <v>45562</v>
      </c>
      <c r="M359" s="64"/>
    </row>
    <row r="360" spans="1:13" ht="16.2" x14ac:dyDescent="0.4">
      <c r="A360" s="3" t="str">
        <f t="shared" si="8"/>
        <v>modesg_out_bens_imoveisscp2_emss</v>
      </c>
      <c r="B360" s="52" t="s">
        <v>23</v>
      </c>
      <c r="C360" s="49" t="s">
        <v>302</v>
      </c>
      <c r="D360" s="45" t="s">
        <v>36</v>
      </c>
      <c r="E360" s="46" t="s">
        <v>303</v>
      </c>
      <c r="F360" s="45" t="s">
        <v>279</v>
      </c>
      <c r="G360" s="47" t="s">
        <v>475</v>
      </c>
      <c r="H360" s="47" t="s">
        <v>475</v>
      </c>
      <c r="I360" s="54" t="s">
        <v>519</v>
      </c>
      <c r="J360" s="64">
        <v>45569</v>
      </c>
      <c r="K360" s="64" t="s">
        <v>549</v>
      </c>
      <c r="L360" s="64">
        <v>45562</v>
      </c>
      <c r="M360" s="64"/>
    </row>
    <row r="361" spans="1:13" ht="16.2" x14ac:dyDescent="0.4">
      <c r="A361" s="3" t="str">
        <f t="shared" si="8"/>
        <v>modesg_out_bens_imoveisscp3_emss</v>
      </c>
      <c r="B361" s="52" t="s">
        <v>23</v>
      </c>
      <c r="C361" s="49" t="s">
        <v>302</v>
      </c>
      <c r="D361" s="45" t="s">
        <v>36</v>
      </c>
      <c r="E361" s="46" t="s">
        <v>303</v>
      </c>
      <c r="F361" s="45" t="s">
        <v>280</v>
      </c>
      <c r="G361" s="47" t="s">
        <v>470</v>
      </c>
      <c r="H361" s="47" t="s">
        <v>470</v>
      </c>
      <c r="I361" s="65"/>
      <c r="J361" s="64" t="s">
        <v>549</v>
      </c>
      <c r="K361" s="64" t="s">
        <v>549</v>
      </c>
      <c r="L361" s="64" t="s">
        <v>549</v>
      </c>
      <c r="M361" s="64"/>
    </row>
    <row r="362" spans="1:13" ht="16.2" x14ac:dyDescent="0.4">
      <c r="A362" s="3" t="str">
        <f t="shared" si="8"/>
        <v>modesg_out_bens_imoveisunidade_funcional_scp1_emss</v>
      </c>
      <c r="B362" s="52" t="s">
        <v>23</v>
      </c>
      <c r="C362" s="49" t="s">
        <v>302</v>
      </c>
      <c r="D362" s="45" t="s">
        <v>36</v>
      </c>
      <c r="E362" s="46" t="s">
        <v>303</v>
      </c>
      <c r="F362" s="45" t="s">
        <v>313</v>
      </c>
      <c r="G362" s="47" t="s">
        <v>475</v>
      </c>
      <c r="H362" s="47" t="s">
        <v>475</v>
      </c>
      <c r="I362" s="54" t="s">
        <v>519</v>
      </c>
      <c r="J362" s="64">
        <v>45569</v>
      </c>
      <c r="K362" s="64" t="s">
        <v>549</v>
      </c>
      <c r="L362" s="64" t="s">
        <v>549</v>
      </c>
      <c r="M362" s="64"/>
    </row>
    <row r="363" spans="1:13" ht="16.2" x14ac:dyDescent="0.4">
      <c r="A363" s="3" t="str">
        <f t="shared" si="8"/>
        <v>modesg_out_bens_imoveisunidade_funcional_scp2_emss</v>
      </c>
      <c r="B363" s="52" t="s">
        <v>23</v>
      </c>
      <c r="C363" s="49" t="s">
        <v>302</v>
      </c>
      <c r="D363" s="45" t="s">
        <v>36</v>
      </c>
      <c r="E363" s="46" t="s">
        <v>303</v>
      </c>
      <c r="F363" s="45" t="s">
        <v>314</v>
      </c>
      <c r="G363" s="47" t="s">
        <v>475</v>
      </c>
      <c r="H363" s="47" t="s">
        <v>475</v>
      </c>
      <c r="I363" s="54" t="s">
        <v>519</v>
      </c>
      <c r="J363" s="64">
        <v>45569</v>
      </c>
      <c r="K363" s="64" t="s">
        <v>549</v>
      </c>
      <c r="L363" s="64" t="s">
        <v>549</v>
      </c>
      <c r="M363" s="64"/>
    </row>
    <row r="364" spans="1:13" ht="16.2" x14ac:dyDescent="0.4">
      <c r="A364" s="3" t="str">
        <f t="shared" si="8"/>
        <v>modesg_out_bens_imoveisunidade_funcional_scp3_emss</v>
      </c>
      <c r="B364" s="52" t="s">
        <v>23</v>
      </c>
      <c r="C364" s="49" t="s">
        <v>302</v>
      </c>
      <c r="D364" s="45" t="s">
        <v>36</v>
      </c>
      <c r="E364" s="46" t="s">
        <v>303</v>
      </c>
      <c r="F364" s="45" t="s">
        <v>315</v>
      </c>
      <c r="G364" s="47" t="s">
        <v>475</v>
      </c>
      <c r="H364" s="47" t="s">
        <v>475</v>
      </c>
      <c r="I364" s="54" t="s">
        <v>519</v>
      </c>
      <c r="J364" s="64">
        <v>45569</v>
      </c>
      <c r="K364" s="64" t="s">
        <v>549</v>
      </c>
      <c r="L364" s="64" t="s">
        <v>549</v>
      </c>
      <c r="M364" s="64"/>
    </row>
    <row r="365" spans="1:13" ht="16.2" x14ac:dyDescent="0.4">
      <c r="A365" s="3" t="str">
        <f t="shared" si="8"/>
        <v>modesg_out_empr_info_nfinn.a.</v>
      </c>
      <c r="B365" s="52" t="s">
        <v>23</v>
      </c>
      <c r="C365" s="49" t="s">
        <v>302</v>
      </c>
      <c r="D365" s="45" t="s">
        <v>33</v>
      </c>
      <c r="E365" s="46" t="s">
        <v>316</v>
      </c>
      <c r="F365" s="45" t="s">
        <v>35</v>
      </c>
      <c r="G365" s="47" t="s">
        <v>470</v>
      </c>
      <c r="H365" s="47" t="s">
        <v>470</v>
      </c>
      <c r="I365" s="65"/>
      <c r="J365" s="64">
        <v>45512</v>
      </c>
      <c r="K365" s="64" t="s">
        <v>549</v>
      </c>
      <c r="L365" s="64" t="s">
        <v>549</v>
      </c>
      <c r="M365" s="64"/>
    </row>
    <row r="366" spans="1:13" ht="16.2" x14ac:dyDescent="0.4">
      <c r="A366" s="3" t="str">
        <f t="shared" si="8"/>
        <v>modesg_out_empr_info_nfincca_capex_enblng_algnd</v>
      </c>
      <c r="B366" s="52" t="s">
        <v>23</v>
      </c>
      <c r="C366" s="49" t="s">
        <v>302</v>
      </c>
      <c r="D366" s="45" t="s">
        <v>36</v>
      </c>
      <c r="E366" s="46" t="s">
        <v>316</v>
      </c>
      <c r="F366" s="45" t="s">
        <v>242</v>
      </c>
      <c r="G366" s="47" t="s">
        <v>475</v>
      </c>
      <c r="H366" s="47" t="s">
        <v>475</v>
      </c>
      <c r="I366" s="65" t="s">
        <v>518</v>
      </c>
      <c r="J366" s="64">
        <v>45561</v>
      </c>
      <c r="K366" s="64" t="s">
        <v>549</v>
      </c>
      <c r="L366" s="64" t="s">
        <v>549</v>
      </c>
      <c r="M366" s="64"/>
    </row>
    <row r="367" spans="1:13" ht="16.2" x14ac:dyDescent="0.4">
      <c r="A367" s="3" t="str">
        <f t="shared" si="8"/>
        <v>modesg_out_empr_info_nfincca_capex_own_prfrmnce_algnd</v>
      </c>
      <c r="B367" s="52" t="s">
        <v>23</v>
      </c>
      <c r="C367" s="49" t="s">
        <v>302</v>
      </c>
      <c r="D367" s="45" t="s">
        <v>36</v>
      </c>
      <c r="E367" s="46" t="s">
        <v>316</v>
      </c>
      <c r="F367" s="45" t="s">
        <v>243</v>
      </c>
      <c r="G367" s="47" t="s">
        <v>475</v>
      </c>
      <c r="H367" s="47" t="s">
        <v>475</v>
      </c>
      <c r="I367" s="65" t="s">
        <v>518</v>
      </c>
      <c r="J367" s="64">
        <v>45561</v>
      </c>
      <c r="K367" s="64" t="s">
        <v>549</v>
      </c>
      <c r="L367" s="64" t="s">
        <v>549</v>
      </c>
      <c r="M367" s="64"/>
    </row>
    <row r="368" spans="1:13" ht="16.2" x14ac:dyDescent="0.4">
      <c r="A368" s="3" t="str">
        <f t="shared" si="8"/>
        <v>modesg_out_empr_info_nfincca_capex_ttl_elgbl</v>
      </c>
      <c r="B368" s="52" t="s">
        <v>23</v>
      </c>
      <c r="C368" s="49" t="s">
        <v>302</v>
      </c>
      <c r="D368" s="45" t="s">
        <v>36</v>
      </c>
      <c r="E368" s="46" t="s">
        <v>316</v>
      </c>
      <c r="F368" s="45" t="s">
        <v>241</v>
      </c>
      <c r="G368" s="47" t="s">
        <v>475</v>
      </c>
      <c r="H368" s="47" t="s">
        <v>475</v>
      </c>
      <c r="I368" s="65" t="s">
        <v>518</v>
      </c>
      <c r="J368" s="64">
        <v>45561</v>
      </c>
      <c r="K368" s="64" t="s">
        <v>549</v>
      </c>
      <c r="L368" s="64" t="s">
        <v>549</v>
      </c>
      <c r="M368" s="64"/>
    </row>
    <row r="369" spans="1:13" ht="16.2" x14ac:dyDescent="0.4">
      <c r="A369" s="3" t="str">
        <f t="shared" si="8"/>
        <v>modesg_out_empr_info_nfincca_trnvr_enblng_alignd</v>
      </c>
      <c r="B369" s="52" t="s">
        <v>23</v>
      </c>
      <c r="C369" s="49" t="s">
        <v>302</v>
      </c>
      <c r="D369" s="45" t="s">
        <v>36</v>
      </c>
      <c r="E369" s="46" t="s">
        <v>316</v>
      </c>
      <c r="F369" s="45" t="s">
        <v>239</v>
      </c>
      <c r="G369" s="47" t="s">
        <v>475</v>
      </c>
      <c r="H369" s="47" t="s">
        <v>475</v>
      </c>
      <c r="I369" s="65" t="s">
        <v>518</v>
      </c>
      <c r="J369" s="64">
        <v>45561</v>
      </c>
      <c r="K369" s="64" t="s">
        <v>549</v>
      </c>
      <c r="L369" s="64" t="s">
        <v>549</v>
      </c>
      <c r="M369" s="64"/>
    </row>
    <row r="370" spans="1:13" ht="16.2" x14ac:dyDescent="0.4">
      <c r="A370" s="3" t="str">
        <f t="shared" si="8"/>
        <v>modesg_out_empr_info_nfincca_trnvr_ttl_elgbl</v>
      </c>
      <c r="B370" s="52" t="s">
        <v>23</v>
      </c>
      <c r="C370" s="49" t="s">
        <v>302</v>
      </c>
      <c r="D370" s="45" t="s">
        <v>36</v>
      </c>
      <c r="E370" s="46" t="s">
        <v>316</v>
      </c>
      <c r="F370" s="45" t="s">
        <v>238</v>
      </c>
      <c r="G370" s="47" t="s">
        <v>475</v>
      </c>
      <c r="H370" s="47" t="s">
        <v>475</v>
      </c>
      <c r="I370" s="65" t="s">
        <v>518</v>
      </c>
      <c r="J370" s="64">
        <v>45561</v>
      </c>
      <c r="K370" s="64" t="s">
        <v>549</v>
      </c>
      <c r="L370" s="64" t="s">
        <v>549</v>
      </c>
      <c r="M370" s="64"/>
    </row>
    <row r="371" spans="1:13" ht="16.2" x14ac:dyDescent="0.4">
      <c r="A371" s="3" t="str">
        <f t="shared" si="8"/>
        <v>modesg_out_empr_info_nfincca_turnover_own_prfrmnce_algnd</v>
      </c>
      <c r="B371" s="52" t="s">
        <v>23</v>
      </c>
      <c r="C371" s="49" t="s">
        <v>302</v>
      </c>
      <c r="D371" s="45" t="s">
        <v>36</v>
      </c>
      <c r="E371" s="46" t="s">
        <v>316</v>
      </c>
      <c r="F371" s="45" t="s">
        <v>240</v>
      </c>
      <c r="G371" s="47" t="s">
        <v>475</v>
      </c>
      <c r="H371" s="47" t="s">
        <v>475</v>
      </c>
      <c r="I371" s="65" t="s">
        <v>518</v>
      </c>
      <c r="J371" s="64">
        <v>45561</v>
      </c>
      <c r="K371" s="64" t="s">
        <v>549</v>
      </c>
      <c r="L371" s="64" t="s">
        <v>549</v>
      </c>
      <c r="M371" s="64"/>
    </row>
    <row r="372" spans="1:13" ht="16.2" x14ac:dyDescent="0.4">
      <c r="A372" s="3" t="str">
        <f t="shared" si="8"/>
        <v>modesg_out_empr_info_nfinccm_capex_enblng_algnd</v>
      </c>
      <c r="B372" s="52" t="s">
        <v>23</v>
      </c>
      <c r="C372" s="49" t="s">
        <v>302</v>
      </c>
      <c r="D372" s="45" t="s">
        <v>36</v>
      </c>
      <c r="E372" s="46" t="s">
        <v>316</v>
      </c>
      <c r="F372" s="45" t="s">
        <v>249</v>
      </c>
      <c r="G372" s="47" t="s">
        <v>475</v>
      </c>
      <c r="H372" s="47" t="s">
        <v>475</v>
      </c>
      <c r="I372" s="65" t="s">
        <v>518</v>
      </c>
      <c r="J372" s="64">
        <v>45561</v>
      </c>
      <c r="K372" s="64" t="s">
        <v>549</v>
      </c>
      <c r="L372" s="64" t="s">
        <v>549</v>
      </c>
      <c r="M372" s="64"/>
    </row>
    <row r="373" spans="1:13" ht="16.2" x14ac:dyDescent="0.4">
      <c r="A373" s="3" t="str">
        <f t="shared" si="8"/>
        <v>modesg_out_empr_info_nfinccm_capex_own_prfrmnce_algnd</v>
      </c>
      <c r="B373" s="52" t="s">
        <v>23</v>
      </c>
      <c r="C373" s="49" t="s">
        <v>302</v>
      </c>
      <c r="D373" s="45" t="s">
        <v>36</v>
      </c>
      <c r="E373" s="46" t="s">
        <v>316</v>
      </c>
      <c r="F373" s="45" t="s">
        <v>251</v>
      </c>
      <c r="G373" s="47" t="s">
        <v>475</v>
      </c>
      <c r="H373" s="47" t="s">
        <v>475</v>
      </c>
      <c r="I373" s="65" t="s">
        <v>518</v>
      </c>
      <c r="J373" s="64">
        <v>45561</v>
      </c>
      <c r="K373" s="64" t="s">
        <v>549</v>
      </c>
      <c r="L373" s="64" t="s">
        <v>549</v>
      </c>
      <c r="M373" s="64"/>
    </row>
    <row r="374" spans="1:13" ht="16.2" x14ac:dyDescent="0.4">
      <c r="A374" s="3" t="str">
        <f t="shared" si="8"/>
        <v>modesg_out_empr_info_nfinccm_capex_trnstn_algnd</v>
      </c>
      <c r="B374" s="52" t="s">
        <v>23</v>
      </c>
      <c r="C374" s="49" t="s">
        <v>302</v>
      </c>
      <c r="D374" s="45" t="s">
        <v>36</v>
      </c>
      <c r="E374" s="46" t="s">
        <v>316</v>
      </c>
      <c r="F374" s="45" t="s">
        <v>250</v>
      </c>
      <c r="G374" s="47" t="s">
        <v>475</v>
      </c>
      <c r="H374" s="47" t="s">
        <v>475</v>
      </c>
      <c r="I374" s="65" t="s">
        <v>518</v>
      </c>
      <c r="J374" s="64">
        <v>45561</v>
      </c>
      <c r="K374" s="64" t="s">
        <v>549</v>
      </c>
      <c r="L374" s="64" t="s">
        <v>549</v>
      </c>
      <c r="M374" s="64"/>
    </row>
    <row r="375" spans="1:13" ht="16.2" x14ac:dyDescent="0.4">
      <c r="A375" s="3" t="str">
        <f t="shared" si="8"/>
        <v>modesg_out_empr_info_nfinccm_capex_ttl_elgbl</v>
      </c>
      <c r="B375" s="52" t="s">
        <v>23</v>
      </c>
      <c r="C375" s="49" t="s">
        <v>302</v>
      </c>
      <c r="D375" s="45" t="s">
        <v>36</v>
      </c>
      <c r="E375" s="46" t="s">
        <v>316</v>
      </c>
      <c r="F375" s="45" t="s">
        <v>248</v>
      </c>
      <c r="G375" s="47" t="s">
        <v>475</v>
      </c>
      <c r="H375" s="47" t="s">
        <v>475</v>
      </c>
      <c r="I375" s="65" t="s">
        <v>518</v>
      </c>
      <c r="J375" s="64">
        <v>45561</v>
      </c>
      <c r="K375" s="64" t="s">
        <v>549</v>
      </c>
      <c r="L375" s="64" t="s">
        <v>549</v>
      </c>
      <c r="M375" s="64"/>
    </row>
    <row r="376" spans="1:13" ht="16.2" x14ac:dyDescent="0.4">
      <c r="A376" s="3" t="str">
        <f t="shared" si="8"/>
        <v>modesg_out_empr_info_nfinccm_trnvr_enblng_algnd</v>
      </c>
      <c r="B376" s="52" t="s">
        <v>23</v>
      </c>
      <c r="C376" s="49" t="s">
        <v>302</v>
      </c>
      <c r="D376" s="45" t="s">
        <v>36</v>
      </c>
      <c r="E376" s="46" t="s">
        <v>316</v>
      </c>
      <c r="F376" s="45" t="s">
        <v>245</v>
      </c>
      <c r="G376" s="47" t="s">
        <v>475</v>
      </c>
      <c r="H376" s="47" t="s">
        <v>475</v>
      </c>
      <c r="I376" s="65" t="s">
        <v>518</v>
      </c>
      <c r="J376" s="64">
        <v>45561</v>
      </c>
      <c r="K376" s="64" t="s">
        <v>549</v>
      </c>
      <c r="L376" s="64" t="s">
        <v>549</v>
      </c>
      <c r="M376" s="64"/>
    </row>
    <row r="377" spans="1:13" ht="16.2" x14ac:dyDescent="0.4">
      <c r="A377" s="3" t="str">
        <f t="shared" si="8"/>
        <v>modesg_out_empr_info_nfinccm_trnvr_own_prfrmnce_algnd</v>
      </c>
      <c r="B377" s="52" t="s">
        <v>23</v>
      </c>
      <c r="C377" s="49" t="s">
        <v>302</v>
      </c>
      <c r="D377" s="45" t="s">
        <v>36</v>
      </c>
      <c r="E377" s="46" t="s">
        <v>316</v>
      </c>
      <c r="F377" s="45" t="s">
        <v>247</v>
      </c>
      <c r="G377" s="47" t="s">
        <v>475</v>
      </c>
      <c r="H377" s="47" t="s">
        <v>475</v>
      </c>
      <c r="I377" s="65" t="s">
        <v>518</v>
      </c>
      <c r="J377" s="64">
        <v>45561</v>
      </c>
      <c r="K377" s="64" t="s">
        <v>549</v>
      </c>
      <c r="L377" s="64" t="s">
        <v>549</v>
      </c>
      <c r="M377" s="64"/>
    </row>
    <row r="378" spans="1:13" ht="16.2" x14ac:dyDescent="0.4">
      <c r="A378" s="3" t="str">
        <f t="shared" si="8"/>
        <v>modesg_out_empr_info_nfinccm_trnvr_trnstn_alignd</v>
      </c>
      <c r="B378" s="52" t="s">
        <v>23</v>
      </c>
      <c r="C378" s="49" t="s">
        <v>302</v>
      </c>
      <c r="D378" s="45" t="s">
        <v>36</v>
      </c>
      <c r="E378" s="46" t="s">
        <v>316</v>
      </c>
      <c r="F378" s="45" t="s">
        <v>246</v>
      </c>
      <c r="G378" s="47" t="s">
        <v>475</v>
      </c>
      <c r="H378" s="47" t="s">
        <v>475</v>
      </c>
      <c r="I378" s="65" t="s">
        <v>518</v>
      </c>
      <c r="J378" s="64">
        <v>45561</v>
      </c>
      <c r="K378" s="64" t="s">
        <v>549</v>
      </c>
      <c r="L378" s="64" t="s">
        <v>549</v>
      </c>
      <c r="M378" s="64"/>
    </row>
    <row r="379" spans="1:13" ht="16.2" x14ac:dyDescent="0.4">
      <c r="A379" s="3" t="str">
        <f t="shared" si="8"/>
        <v>modesg_out_empr_info_nfinccm_trnvr_ttl_elgbl</v>
      </c>
      <c r="B379" s="52" t="s">
        <v>23</v>
      </c>
      <c r="C379" s="49" t="s">
        <v>302</v>
      </c>
      <c r="D379" s="45" t="s">
        <v>36</v>
      </c>
      <c r="E379" s="46" t="s">
        <v>316</v>
      </c>
      <c r="F379" s="45" t="s">
        <v>244</v>
      </c>
      <c r="G379" s="47" t="s">
        <v>475</v>
      </c>
      <c r="H379" s="47" t="s">
        <v>475</v>
      </c>
      <c r="I379" s="65" t="s">
        <v>518</v>
      </c>
      <c r="J379" s="64">
        <v>45561</v>
      </c>
      <c r="K379" s="64" t="s">
        <v>549</v>
      </c>
      <c r="L379" s="64" t="s">
        <v>549</v>
      </c>
      <c r="M379" s="64"/>
    </row>
    <row r="380" spans="1:13" ht="16.2" x14ac:dyDescent="0.4">
      <c r="A380" s="3" t="str">
        <f t="shared" si="8"/>
        <v>modesg_out_empr_info_nfincod_nace_esg</v>
      </c>
      <c r="B380" s="52" t="s">
        <v>23</v>
      </c>
      <c r="C380" s="49" t="s">
        <v>302</v>
      </c>
      <c r="D380" s="45" t="s">
        <v>36</v>
      </c>
      <c r="E380" s="46" t="s">
        <v>316</v>
      </c>
      <c r="F380" s="79" t="s">
        <v>274</v>
      </c>
      <c r="G380" s="80" t="s">
        <v>475</v>
      </c>
      <c r="H380" s="47" t="s">
        <v>475</v>
      </c>
      <c r="I380" s="65" t="s">
        <v>518</v>
      </c>
      <c r="J380" s="64">
        <v>45561</v>
      </c>
      <c r="K380" s="64" t="s">
        <v>549</v>
      </c>
      <c r="L380" s="64" t="s">
        <v>549</v>
      </c>
      <c r="M380" s="64"/>
    </row>
    <row r="381" spans="1:13" ht="16.2" x14ac:dyDescent="0.4">
      <c r="A381" s="3" t="str">
        <f t="shared" si="8"/>
        <v>modesg_out_empr_info_nfinflg_emprs_excl_paris</v>
      </c>
      <c r="B381" s="52" t="s">
        <v>23</v>
      </c>
      <c r="C381" s="49" t="s">
        <v>302</v>
      </c>
      <c r="D381" s="45" t="s">
        <v>36</v>
      </c>
      <c r="E381" s="46" t="s">
        <v>316</v>
      </c>
      <c r="F381" s="45" t="s">
        <v>317</v>
      </c>
      <c r="G381" s="47" t="s">
        <v>475</v>
      </c>
      <c r="H381" s="47" t="s">
        <v>475</v>
      </c>
      <c r="I381" s="65" t="s">
        <v>518</v>
      </c>
      <c r="J381" s="64">
        <v>45553</v>
      </c>
      <c r="K381" s="64">
        <v>45565</v>
      </c>
      <c r="L381" s="64" t="s">
        <v>549</v>
      </c>
      <c r="M381" s="64"/>
    </row>
    <row r="382" spans="1:13" ht="16.2" x14ac:dyDescent="0.4">
      <c r="A382" s="3" t="str">
        <f t="shared" si="8"/>
        <v>modesg_out_empr_info_nfinflg_nfrd</v>
      </c>
      <c r="B382" s="52" t="s">
        <v>23</v>
      </c>
      <c r="C382" s="49" t="s">
        <v>302</v>
      </c>
      <c r="D382" s="45" t="s">
        <v>36</v>
      </c>
      <c r="E382" s="46" t="s">
        <v>316</v>
      </c>
      <c r="F382" s="45" t="s">
        <v>237</v>
      </c>
      <c r="G382" s="47" t="s">
        <v>475</v>
      </c>
      <c r="H382" s="47" t="s">
        <v>475</v>
      </c>
      <c r="I382" s="65" t="s">
        <v>518</v>
      </c>
      <c r="J382" s="64">
        <v>45553</v>
      </c>
      <c r="K382" s="64">
        <v>45565</v>
      </c>
      <c r="L382" s="64" t="s">
        <v>549</v>
      </c>
      <c r="M382" s="64"/>
    </row>
    <row r="383" spans="1:13" ht="16.2" x14ac:dyDescent="0.4">
      <c r="A383" s="3" t="str">
        <f t="shared" si="8"/>
        <v>modesg_out_empr_info_nfinflg_rsc_fsc_agd</v>
      </c>
      <c r="B383" s="52" t="s">
        <v>23</v>
      </c>
      <c r="C383" s="49" t="s">
        <v>302</v>
      </c>
      <c r="D383" s="45" t="s">
        <v>36</v>
      </c>
      <c r="E383" s="46" t="s">
        <v>316</v>
      </c>
      <c r="F383" s="45" t="s">
        <v>275</v>
      </c>
      <c r="G383" s="47" t="s">
        <v>475</v>
      </c>
      <c r="H383" s="47" t="s">
        <v>475</v>
      </c>
      <c r="I383" s="65" t="s">
        <v>518</v>
      </c>
      <c r="J383" s="64">
        <v>45569</v>
      </c>
      <c r="K383" s="64" t="s">
        <v>549</v>
      </c>
      <c r="L383" s="64" t="s">
        <v>549</v>
      </c>
      <c r="M383" s="64"/>
    </row>
    <row r="384" spans="1:13" ht="16.2" x14ac:dyDescent="0.4">
      <c r="A384" s="3" t="str">
        <f t="shared" si="8"/>
        <v>modesg_out_empr_info_nfinflg_rsc_fsc_crnc</v>
      </c>
      <c r="B384" s="52" t="s">
        <v>23</v>
      </c>
      <c r="C384" s="49" t="s">
        <v>302</v>
      </c>
      <c r="D384" s="45" t="s">
        <v>36</v>
      </c>
      <c r="E384" s="46" t="s">
        <v>316</v>
      </c>
      <c r="F384" s="45" t="s">
        <v>276</v>
      </c>
      <c r="G384" s="47" t="s">
        <v>475</v>
      </c>
      <c r="H384" s="47" t="s">
        <v>475</v>
      </c>
      <c r="I384" s="65" t="s">
        <v>518</v>
      </c>
      <c r="J384" s="64">
        <v>45569</v>
      </c>
      <c r="K384" s="64" t="s">
        <v>549</v>
      </c>
      <c r="L384" s="64" t="s">
        <v>549</v>
      </c>
      <c r="M384" s="64"/>
    </row>
    <row r="385" spans="1:13" ht="16.2" x14ac:dyDescent="0.4">
      <c r="A385" s="3" t="str">
        <f t="shared" si="8"/>
        <v>modesg_out_empr_info_nfinorigem_alinhamentos</v>
      </c>
      <c r="B385" s="52" t="s">
        <v>23</v>
      </c>
      <c r="C385" s="49" t="s">
        <v>302</v>
      </c>
      <c r="D385" s="45" t="s">
        <v>36</v>
      </c>
      <c r="E385" s="46" t="s">
        <v>316</v>
      </c>
      <c r="F385" s="45" t="s">
        <v>318</v>
      </c>
      <c r="G385" s="47" t="s">
        <v>475</v>
      </c>
      <c r="H385" s="47" t="s">
        <v>475</v>
      </c>
      <c r="I385" s="65" t="s">
        <v>518</v>
      </c>
      <c r="J385" s="64">
        <v>45569</v>
      </c>
      <c r="K385" s="64" t="s">
        <v>549</v>
      </c>
      <c r="L385" s="64" t="s">
        <v>549</v>
      </c>
      <c r="M385" s="64"/>
    </row>
    <row r="386" spans="1:13" ht="16.2" x14ac:dyDescent="0.4">
      <c r="A386" s="3" t="str">
        <f t="shared" si="8"/>
        <v>modesg_out_empr_info_nfinorigem_flg_emprs_excl_paris</v>
      </c>
      <c r="B386" s="52" t="s">
        <v>23</v>
      </c>
      <c r="C386" s="49" t="s">
        <v>302</v>
      </c>
      <c r="D386" s="45" t="s">
        <v>36</v>
      </c>
      <c r="E386" s="46" t="s">
        <v>316</v>
      </c>
      <c r="F386" s="45" t="s">
        <v>319</v>
      </c>
      <c r="G386" s="47" t="s">
        <v>475</v>
      </c>
      <c r="H386" s="47" t="s">
        <v>475</v>
      </c>
      <c r="I386" s="65" t="s">
        <v>518</v>
      </c>
      <c r="J386" s="64">
        <v>45553</v>
      </c>
      <c r="K386" s="64">
        <v>45565</v>
      </c>
      <c r="L386" s="64" t="s">
        <v>549</v>
      </c>
      <c r="M386" s="64"/>
    </row>
    <row r="387" spans="1:13" ht="16.2" x14ac:dyDescent="0.4">
      <c r="A387" s="3" t="str">
        <f t="shared" si="8"/>
        <v>modesg_out_empr_info_nfinorigem_flg_nfrd</v>
      </c>
      <c r="B387" s="52" t="s">
        <v>23</v>
      </c>
      <c r="C387" s="49" t="s">
        <v>302</v>
      </c>
      <c r="D387" s="45" t="s">
        <v>36</v>
      </c>
      <c r="E387" s="46" t="s">
        <v>316</v>
      </c>
      <c r="F387" s="45" t="s">
        <v>320</v>
      </c>
      <c r="G387" s="47" t="s">
        <v>475</v>
      </c>
      <c r="H387" s="47" t="s">
        <v>475</v>
      </c>
      <c r="I387" s="65" t="s">
        <v>518</v>
      </c>
      <c r="J387" s="64">
        <v>45553</v>
      </c>
      <c r="K387" s="64">
        <v>45565</v>
      </c>
      <c r="L387" s="64" t="s">
        <v>549</v>
      </c>
      <c r="M387" s="64"/>
    </row>
    <row r="388" spans="1:13" ht="16.2" x14ac:dyDescent="0.4">
      <c r="A388" s="3" t="str">
        <f t="shared" si="8"/>
        <v>modesg_out_empr_info_nfinorigem_flg_rsc_fsc_agd</v>
      </c>
      <c r="B388" s="52" t="s">
        <v>23</v>
      </c>
      <c r="C388" s="49" t="s">
        <v>302</v>
      </c>
      <c r="D388" s="45" t="s">
        <v>36</v>
      </c>
      <c r="E388" s="46" t="s">
        <v>316</v>
      </c>
      <c r="F388" s="45" t="s">
        <v>308</v>
      </c>
      <c r="G388" s="47" t="s">
        <v>475</v>
      </c>
      <c r="H388" s="47" t="s">
        <v>475</v>
      </c>
      <c r="I388" s="65" t="s">
        <v>518</v>
      </c>
      <c r="J388" s="64">
        <v>45569</v>
      </c>
      <c r="K388" s="64" t="s">
        <v>549</v>
      </c>
      <c r="L388" s="64" t="s">
        <v>549</v>
      </c>
      <c r="M388" s="64"/>
    </row>
    <row r="389" spans="1:13" ht="16.2" x14ac:dyDescent="0.4">
      <c r="A389" s="3" t="str">
        <f t="shared" si="8"/>
        <v>modesg_out_empr_info_nfinorigem_flg_rsc_fsc_crnc</v>
      </c>
      <c r="B389" s="52" t="s">
        <v>23</v>
      </c>
      <c r="C389" s="49" t="s">
        <v>302</v>
      </c>
      <c r="D389" s="45" t="s">
        <v>36</v>
      </c>
      <c r="E389" s="46" t="s">
        <v>316</v>
      </c>
      <c r="F389" s="45" t="s">
        <v>309</v>
      </c>
      <c r="G389" s="47" t="s">
        <v>475</v>
      </c>
      <c r="H389" s="47" t="s">
        <v>475</v>
      </c>
      <c r="I389" s="65" t="s">
        <v>518</v>
      </c>
      <c r="J389" s="64">
        <v>45569</v>
      </c>
      <c r="K389" s="64" t="s">
        <v>549</v>
      </c>
      <c r="L389" s="64" t="s">
        <v>549</v>
      </c>
      <c r="M389" s="64"/>
    </row>
    <row r="390" spans="1:13" ht="16.2" x14ac:dyDescent="0.4">
      <c r="A390" s="3" t="str">
        <f t="shared" si="8"/>
        <v>modesg_out_empr_info_nfinorigem_scp1_emss</v>
      </c>
      <c r="B390" s="52" t="s">
        <v>23</v>
      </c>
      <c r="C390" s="49" t="s">
        <v>302</v>
      </c>
      <c r="D390" s="45" t="s">
        <v>36</v>
      </c>
      <c r="E390" s="46" t="s">
        <v>316</v>
      </c>
      <c r="F390" s="45" t="s">
        <v>310</v>
      </c>
      <c r="G390" s="47" t="s">
        <v>475</v>
      </c>
      <c r="H390" s="47" t="s">
        <v>475</v>
      </c>
      <c r="I390" s="65" t="s">
        <v>519</v>
      </c>
      <c r="J390" s="64">
        <v>45569</v>
      </c>
      <c r="K390" s="64" t="s">
        <v>549</v>
      </c>
      <c r="L390" s="64" t="s">
        <v>549</v>
      </c>
      <c r="M390" s="64"/>
    </row>
    <row r="391" spans="1:13" ht="16.2" x14ac:dyDescent="0.4">
      <c r="A391" s="3" t="str">
        <f t="shared" si="8"/>
        <v>modesg_out_empr_info_nfinorigem_scp2_emss</v>
      </c>
      <c r="B391" s="52" t="s">
        <v>23</v>
      </c>
      <c r="C391" s="49" t="s">
        <v>302</v>
      </c>
      <c r="D391" s="45" t="s">
        <v>36</v>
      </c>
      <c r="E391" s="46" t="s">
        <v>316</v>
      </c>
      <c r="F391" s="45" t="s">
        <v>311</v>
      </c>
      <c r="G391" s="47" t="s">
        <v>475</v>
      </c>
      <c r="H391" s="47" t="s">
        <v>475</v>
      </c>
      <c r="I391" s="65" t="s">
        <v>519</v>
      </c>
      <c r="J391" s="64">
        <v>45569</v>
      </c>
      <c r="K391" s="64" t="s">
        <v>549</v>
      </c>
      <c r="L391" s="64" t="s">
        <v>549</v>
      </c>
      <c r="M391" s="64"/>
    </row>
    <row r="392" spans="1:13" ht="16.2" x14ac:dyDescent="0.4">
      <c r="A392" s="3" t="str">
        <f t="shared" si="8"/>
        <v>modesg_out_empr_info_nfinorigem_scp3_emss</v>
      </c>
      <c r="B392" s="52" t="s">
        <v>23</v>
      </c>
      <c r="C392" s="49" t="s">
        <v>302</v>
      </c>
      <c r="D392" s="45" t="s">
        <v>36</v>
      </c>
      <c r="E392" s="46" t="s">
        <v>316</v>
      </c>
      <c r="F392" s="45" t="s">
        <v>312</v>
      </c>
      <c r="G392" s="47" t="s">
        <v>475</v>
      </c>
      <c r="H392" s="47" t="s">
        <v>475</v>
      </c>
      <c r="I392" s="65" t="s">
        <v>519</v>
      </c>
      <c r="J392" s="64">
        <v>45569</v>
      </c>
      <c r="K392" s="64" t="s">
        <v>549</v>
      </c>
      <c r="L392" s="64" t="s">
        <v>549</v>
      </c>
      <c r="M392" s="64"/>
    </row>
    <row r="393" spans="1:13" ht="16.2" x14ac:dyDescent="0.4">
      <c r="A393" s="3" t="str">
        <f t="shared" si="8"/>
        <v>modesg_out_empr_info_nfinref_date</v>
      </c>
      <c r="B393" s="52" t="s">
        <v>23</v>
      </c>
      <c r="C393" s="49" t="s">
        <v>302</v>
      </c>
      <c r="D393" s="45" t="s">
        <v>36</v>
      </c>
      <c r="E393" s="46" t="s">
        <v>316</v>
      </c>
      <c r="F393" s="45" t="s">
        <v>200</v>
      </c>
      <c r="G393" s="47" t="s">
        <v>470</v>
      </c>
      <c r="H393" s="47" t="s">
        <v>470</v>
      </c>
      <c r="I393" s="65"/>
      <c r="J393" s="64" t="s">
        <v>549</v>
      </c>
      <c r="K393" s="64" t="s">
        <v>549</v>
      </c>
      <c r="L393" s="64" t="s">
        <v>549</v>
      </c>
      <c r="M393" s="64"/>
    </row>
    <row r="394" spans="1:13" ht="16.2" x14ac:dyDescent="0.4">
      <c r="A394" s="3" t="str">
        <f t="shared" si="8"/>
        <v>modesg_out_empr_info_nfinscp1_emss</v>
      </c>
      <c r="B394" s="52" t="s">
        <v>23</v>
      </c>
      <c r="C394" s="49" t="s">
        <v>302</v>
      </c>
      <c r="D394" s="45" t="s">
        <v>36</v>
      </c>
      <c r="E394" s="46" t="s">
        <v>316</v>
      </c>
      <c r="F394" s="45" t="s">
        <v>278</v>
      </c>
      <c r="G394" s="47" t="s">
        <v>475</v>
      </c>
      <c r="H394" s="47" t="s">
        <v>475</v>
      </c>
      <c r="I394" s="65" t="s">
        <v>519</v>
      </c>
      <c r="J394" s="64">
        <v>45569</v>
      </c>
      <c r="K394" s="64" t="s">
        <v>549</v>
      </c>
      <c r="L394" s="64" t="s">
        <v>549</v>
      </c>
      <c r="M394" s="64"/>
    </row>
    <row r="395" spans="1:13" ht="16.2" x14ac:dyDescent="0.4">
      <c r="A395" s="3" t="str">
        <f t="shared" si="8"/>
        <v>modesg_out_empr_info_nfinscp2_emss</v>
      </c>
      <c r="B395" s="52" t="s">
        <v>23</v>
      </c>
      <c r="C395" s="49" t="s">
        <v>302</v>
      </c>
      <c r="D395" s="45" t="s">
        <v>36</v>
      </c>
      <c r="E395" s="46" t="s">
        <v>316</v>
      </c>
      <c r="F395" s="45" t="s">
        <v>279</v>
      </c>
      <c r="G395" s="47" t="s">
        <v>475</v>
      </c>
      <c r="H395" s="47" t="s">
        <v>475</v>
      </c>
      <c r="I395" s="65" t="s">
        <v>519</v>
      </c>
      <c r="J395" s="64">
        <v>45569</v>
      </c>
      <c r="K395" s="64" t="s">
        <v>549</v>
      </c>
      <c r="L395" s="64" t="s">
        <v>549</v>
      </c>
      <c r="M395" s="64"/>
    </row>
    <row r="396" spans="1:13" ht="16.2" x14ac:dyDescent="0.4">
      <c r="A396" s="3" t="str">
        <f t="shared" si="8"/>
        <v>modesg_out_empr_info_nfinscp3_emss</v>
      </c>
      <c r="B396" s="52" t="s">
        <v>23</v>
      </c>
      <c r="C396" s="49" t="s">
        <v>302</v>
      </c>
      <c r="D396" s="45" t="s">
        <v>36</v>
      </c>
      <c r="E396" s="46" t="s">
        <v>316</v>
      </c>
      <c r="F396" s="45" t="s">
        <v>280</v>
      </c>
      <c r="G396" s="47" t="s">
        <v>475</v>
      </c>
      <c r="H396" s="47" t="s">
        <v>475</v>
      </c>
      <c r="I396" s="65" t="s">
        <v>519</v>
      </c>
      <c r="J396" s="64">
        <v>45569</v>
      </c>
      <c r="K396" s="64" t="s">
        <v>549</v>
      </c>
      <c r="L396" s="64" t="s">
        <v>549</v>
      </c>
      <c r="M396" s="64"/>
    </row>
    <row r="397" spans="1:13" ht="16.2" x14ac:dyDescent="0.4">
      <c r="A397" s="3" t="str">
        <f t="shared" si="8"/>
        <v>modesg_out_empr_info_nfinzcliente</v>
      </c>
      <c r="B397" s="52" t="s">
        <v>23</v>
      </c>
      <c r="C397" s="49" t="s">
        <v>302</v>
      </c>
      <c r="D397" s="45" t="s">
        <v>36</v>
      </c>
      <c r="E397" s="46" t="s">
        <v>316</v>
      </c>
      <c r="F397" s="45" t="s">
        <v>201</v>
      </c>
      <c r="G397" s="47" t="s">
        <v>470</v>
      </c>
      <c r="H397" s="47" t="s">
        <v>470</v>
      </c>
      <c r="I397" s="65"/>
      <c r="J397" s="64" t="s">
        <v>549</v>
      </c>
      <c r="K397" s="64" t="s">
        <v>549</v>
      </c>
      <c r="L397" s="64" t="s">
        <v>549</v>
      </c>
      <c r="M397" s="64"/>
    </row>
    <row r="398" spans="1:13" ht="16.2" x14ac:dyDescent="0.4">
      <c r="A398" s="3" t="str">
        <f t="shared" si="8"/>
        <v>modesg_out_emss_vclsn.a.</v>
      </c>
      <c r="B398" s="52" t="s">
        <v>23</v>
      </c>
      <c r="C398" s="49" t="s">
        <v>302</v>
      </c>
      <c r="D398" s="45" t="s">
        <v>33</v>
      </c>
      <c r="E398" s="46" t="s">
        <v>321</v>
      </c>
      <c r="F398" s="45" t="s">
        <v>35</v>
      </c>
      <c r="G398" s="47" t="s">
        <v>475</v>
      </c>
      <c r="H398" s="47" t="s">
        <v>475</v>
      </c>
      <c r="I398" s="54" t="s">
        <v>520</v>
      </c>
      <c r="J398" s="64">
        <v>45560</v>
      </c>
      <c r="K398" s="64" t="s">
        <v>549</v>
      </c>
      <c r="L398" s="64" t="s">
        <v>549</v>
      </c>
      <c r="M398" s="64"/>
    </row>
    <row r="399" spans="1:13" ht="16.2" x14ac:dyDescent="0.4">
      <c r="A399" s="3" t="str">
        <f t="shared" si="8"/>
        <v>modesg_out_emss_vclscempbem</v>
      </c>
      <c r="B399" s="52" t="s">
        <v>23</v>
      </c>
      <c r="C399" s="49" t="s">
        <v>302</v>
      </c>
      <c r="D399" s="45" t="s">
        <v>36</v>
      </c>
      <c r="E399" s="46" t="s">
        <v>321</v>
      </c>
      <c r="F399" s="45" t="s">
        <v>304</v>
      </c>
      <c r="G399" s="47" t="s">
        <v>470</v>
      </c>
      <c r="H399" s="47" t="s">
        <v>470</v>
      </c>
      <c r="I399" s="65"/>
      <c r="J399" s="64" t="s">
        <v>549</v>
      </c>
      <c r="K399" s="64" t="s">
        <v>549</v>
      </c>
      <c r="L399" s="64" t="s">
        <v>549</v>
      </c>
      <c r="M399" s="64"/>
    </row>
    <row r="400" spans="1:13" ht="16.2" x14ac:dyDescent="0.4">
      <c r="A400" s="3" t="str">
        <f t="shared" si="8"/>
        <v>modesg_out_emss_vclsckbalbem</v>
      </c>
      <c r="B400" s="52" t="s">
        <v>23</v>
      </c>
      <c r="C400" s="49" t="s">
        <v>302</v>
      </c>
      <c r="D400" s="45" t="s">
        <v>36</v>
      </c>
      <c r="E400" s="46" t="s">
        <v>321</v>
      </c>
      <c r="F400" s="45" t="s">
        <v>305</v>
      </c>
      <c r="G400" s="47" t="s">
        <v>470</v>
      </c>
      <c r="H400" s="47" t="s">
        <v>470</v>
      </c>
      <c r="I400" s="65"/>
      <c r="J400" s="64" t="s">
        <v>549</v>
      </c>
      <c r="K400" s="64" t="s">
        <v>549</v>
      </c>
      <c r="L400" s="64" t="s">
        <v>549</v>
      </c>
      <c r="M400" s="64"/>
    </row>
    <row r="401" spans="1:13" ht="16.2" x14ac:dyDescent="0.4">
      <c r="A401" s="3" t="str">
        <f t="shared" si="8"/>
        <v>modesg_out_emss_vclsckctabem</v>
      </c>
      <c r="B401" s="52" t="s">
        <v>23</v>
      </c>
      <c r="C401" s="49" t="s">
        <v>302</v>
      </c>
      <c r="D401" s="45" t="s">
        <v>36</v>
      </c>
      <c r="E401" s="46" t="s">
        <v>321</v>
      </c>
      <c r="F401" s="45" t="s">
        <v>306</v>
      </c>
      <c r="G401" s="47" t="s">
        <v>470</v>
      </c>
      <c r="H401" s="47" t="s">
        <v>470</v>
      </c>
      <c r="I401" s="65"/>
      <c r="J401" s="64" t="s">
        <v>549</v>
      </c>
      <c r="K401" s="64" t="s">
        <v>549</v>
      </c>
      <c r="L401" s="64" t="s">
        <v>549</v>
      </c>
      <c r="M401" s="64"/>
    </row>
    <row r="402" spans="1:13" ht="16.2" x14ac:dyDescent="0.4">
      <c r="A402" s="3" t="str">
        <f t="shared" ref="A402:A465" si="9">E402&amp;F402</f>
        <v>modesg_out_emss_vclsckrefbem</v>
      </c>
      <c r="B402" s="52" t="s">
        <v>23</v>
      </c>
      <c r="C402" s="49" t="s">
        <v>302</v>
      </c>
      <c r="D402" s="45" t="s">
        <v>36</v>
      </c>
      <c r="E402" s="46" t="s">
        <v>321</v>
      </c>
      <c r="F402" s="45" t="s">
        <v>307</v>
      </c>
      <c r="G402" s="47" t="s">
        <v>470</v>
      </c>
      <c r="H402" s="47" t="s">
        <v>470</v>
      </c>
      <c r="I402" s="65"/>
      <c r="J402" s="64" t="s">
        <v>549</v>
      </c>
      <c r="K402" s="64" t="s">
        <v>549</v>
      </c>
      <c r="L402" s="64" t="s">
        <v>549</v>
      </c>
      <c r="M402" s="64"/>
    </row>
    <row r="403" spans="1:13" ht="16.2" x14ac:dyDescent="0.4">
      <c r="A403" s="3" t="str">
        <f t="shared" si="9"/>
        <v>modesg_out_emss_vclscnsm_co2</v>
      </c>
      <c r="B403" s="52" t="s">
        <v>23</v>
      </c>
      <c r="C403" s="49" t="s">
        <v>302</v>
      </c>
      <c r="D403" s="45" t="s">
        <v>36</v>
      </c>
      <c r="E403" s="46" t="s">
        <v>321</v>
      </c>
      <c r="F403" s="45" t="s">
        <v>180</v>
      </c>
      <c r="G403" s="47" t="s">
        <v>475</v>
      </c>
      <c r="H403" s="47" t="s">
        <v>475</v>
      </c>
      <c r="I403" s="54" t="s">
        <v>520</v>
      </c>
      <c r="J403" s="64">
        <v>45559</v>
      </c>
      <c r="K403" s="64" t="s">
        <v>549</v>
      </c>
      <c r="L403" s="64" t="s">
        <v>549</v>
      </c>
      <c r="M403" s="64"/>
    </row>
    <row r="404" spans="1:13" ht="16.2" x14ac:dyDescent="0.4">
      <c r="A404" s="3" t="str">
        <f t="shared" si="9"/>
        <v>modesg_out_emss_vclsorigem_scp1_emss</v>
      </c>
      <c r="B404" s="52" t="s">
        <v>23</v>
      </c>
      <c r="C404" s="49" t="s">
        <v>302</v>
      </c>
      <c r="D404" s="45" t="s">
        <v>36</v>
      </c>
      <c r="E404" s="46" t="s">
        <v>321</v>
      </c>
      <c r="F404" s="45" t="s">
        <v>310</v>
      </c>
      <c r="G404" s="47" t="s">
        <v>475</v>
      </c>
      <c r="H404" s="47" t="s">
        <v>475</v>
      </c>
      <c r="I404" s="54" t="s">
        <v>520</v>
      </c>
      <c r="J404" s="64">
        <v>45569</v>
      </c>
      <c r="K404" s="64" t="s">
        <v>549</v>
      </c>
      <c r="L404" s="64" t="s">
        <v>549</v>
      </c>
      <c r="M404" s="64"/>
    </row>
    <row r="405" spans="1:13" ht="16.2" x14ac:dyDescent="0.4">
      <c r="A405" s="3" t="str">
        <f t="shared" si="9"/>
        <v>modesg_out_emss_vclsorigem_scp2_emss</v>
      </c>
      <c r="B405" s="52" t="s">
        <v>23</v>
      </c>
      <c r="C405" s="49" t="s">
        <v>302</v>
      </c>
      <c r="D405" s="45" t="s">
        <v>36</v>
      </c>
      <c r="E405" s="46" t="s">
        <v>321</v>
      </c>
      <c r="F405" s="45" t="s">
        <v>311</v>
      </c>
      <c r="G405" s="47" t="s">
        <v>475</v>
      </c>
      <c r="H405" s="47" t="s">
        <v>475</v>
      </c>
      <c r="I405" s="54" t="s">
        <v>520</v>
      </c>
      <c r="J405" s="64">
        <v>45569</v>
      </c>
      <c r="K405" s="64" t="s">
        <v>549</v>
      </c>
      <c r="L405" s="64" t="s">
        <v>549</v>
      </c>
      <c r="M405" s="64"/>
    </row>
    <row r="406" spans="1:13" ht="16.2" x14ac:dyDescent="0.4">
      <c r="A406" s="3" t="str">
        <f t="shared" si="9"/>
        <v>modesg_out_emss_vclsorigem_scp3_emss</v>
      </c>
      <c r="B406" s="52" t="s">
        <v>23</v>
      </c>
      <c r="C406" s="49" t="s">
        <v>302</v>
      </c>
      <c r="D406" s="45" t="s">
        <v>36</v>
      </c>
      <c r="E406" s="46" t="s">
        <v>321</v>
      </c>
      <c r="F406" s="45" t="s">
        <v>312</v>
      </c>
      <c r="G406" s="47" t="s">
        <v>475</v>
      </c>
      <c r="H406" s="47" t="s">
        <v>475</v>
      </c>
      <c r="I406" s="54" t="s">
        <v>520</v>
      </c>
      <c r="J406" s="64">
        <v>45569</v>
      </c>
      <c r="K406" s="64" t="s">
        <v>549</v>
      </c>
      <c r="L406" s="64" t="s">
        <v>549</v>
      </c>
      <c r="M406" s="64"/>
    </row>
    <row r="407" spans="1:13" ht="16.2" x14ac:dyDescent="0.4">
      <c r="A407" s="3" t="str">
        <f t="shared" si="9"/>
        <v>modesg_out_emss_vclsref_date</v>
      </c>
      <c r="B407" s="52" t="s">
        <v>23</v>
      </c>
      <c r="C407" s="49" t="s">
        <v>302</v>
      </c>
      <c r="D407" s="45" t="s">
        <v>36</v>
      </c>
      <c r="E407" s="46" t="s">
        <v>321</v>
      </c>
      <c r="F407" s="45" t="s">
        <v>200</v>
      </c>
      <c r="G407" s="47" t="s">
        <v>470</v>
      </c>
      <c r="H407" s="47" t="s">
        <v>470</v>
      </c>
      <c r="I407" s="65"/>
      <c r="J407" s="64" t="s">
        <v>549</v>
      </c>
      <c r="K407" s="64" t="s">
        <v>549</v>
      </c>
      <c r="L407" s="64" t="s">
        <v>549</v>
      </c>
      <c r="M407" s="64"/>
    </row>
    <row r="408" spans="1:13" ht="16.2" x14ac:dyDescent="0.4">
      <c r="A408" s="3" t="str">
        <f t="shared" si="9"/>
        <v>modesg_out_emss_vclsscp1_emss</v>
      </c>
      <c r="B408" s="52" t="s">
        <v>23</v>
      </c>
      <c r="C408" s="49" t="s">
        <v>302</v>
      </c>
      <c r="D408" s="45" t="s">
        <v>36</v>
      </c>
      <c r="E408" s="46" t="s">
        <v>321</v>
      </c>
      <c r="F408" s="45" t="s">
        <v>278</v>
      </c>
      <c r="G408" s="47" t="s">
        <v>475</v>
      </c>
      <c r="H408" s="47" t="s">
        <v>475</v>
      </c>
      <c r="I408" s="54" t="s">
        <v>520</v>
      </c>
      <c r="J408" s="64">
        <v>45569</v>
      </c>
      <c r="K408" s="64" t="s">
        <v>549</v>
      </c>
      <c r="L408" s="64" t="s">
        <v>549</v>
      </c>
      <c r="M408" s="64"/>
    </row>
    <row r="409" spans="1:13" ht="16.2" x14ac:dyDescent="0.4">
      <c r="A409" s="3" t="str">
        <f t="shared" si="9"/>
        <v>modesg_out_emss_vclsscp2_emss</v>
      </c>
      <c r="B409" s="52" t="s">
        <v>23</v>
      </c>
      <c r="C409" s="49" t="s">
        <v>302</v>
      </c>
      <c r="D409" s="45" t="s">
        <v>36</v>
      </c>
      <c r="E409" s="46" t="s">
        <v>321</v>
      </c>
      <c r="F409" s="45" t="s">
        <v>279</v>
      </c>
      <c r="G409" s="47" t="s">
        <v>475</v>
      </c>
      <c r="H409" s="47" t="s">
        <v>475</v>
      </c>
      <c r="I409" s="54" t="s">
        <v>520</v>
      </c>
      <c r="J409" s="64">
        <v>45569</v>
      </c>
      <c r="K409" s="64" t="s">
        <v>549</v>
      </c>
      <c r="L409" s="64" t="s">
        <v>549</v>
      </c>
      <c r="M409" s="64"/>
    </row>
    <row r="410" spans="1:13" ht="16.2" x14ac:dyDescent="0.4">
      <c r="A410" s="3" t="str">
        <f t="shared" si="9"/>
        <v>modesg_out_emss_vclsscp3_emss</v>
      </c>
      <c r="B410" s="52" t="s">
        <v>23</v>
      </c>
      <c r="C410" s="49" t="s">
        <v>302</v>
      </c>
      <c r="D410" s="45" t="s">
        <v>36</v>
      </c>
      <c r="E410" s="46" t="s">
        <v>321</v>
      </c>
      <c r="F410" s="45" t="s">
        <v>280</v>
      </c>
      <c r="G410" s="47" t="s">
        <v>475</v>
      </c>
      <c r="H410" s="47" t="s">
        <v>475</v>
      </c>
      <c r="I410" s="54" t="s">
        <v>520</v>
      </c>
      <c r="J410" s="64">
        <v>45569</v>
      </c>
      <c r="K410" s="64" t="s">
        <v>549</v>
      </c>
      <c r="L410" s="64" t="s">
        <v>549</v>
      </c>
      <c r="M410" s="64"/>
    </row>
    <row r="411" spans="1:13" ht="16.2" x14ac:dyDescent="0.4">
      <c r="A411" s="3" t="str">
        <f t="shared" si="9"/>
        <v>modesg_out_emss_vclsunidade_funcional_scp1_emss</v>
      </c>
      <c r="B411" s="52" t="s">
        <v>23</v>
      </c>
      <c r="C411" s="49" t="s">
        <v>302</v>
      </c>
      <c r="D411" s="45" t="s">
        <v>36</v>
      </c>
      <c r="E411" s="46" t="s">
        <v>321</v>
      </c>
      <c r="F411" s="45" t="s">
        <v>313</v>
      </c>
      <c r="G411" s="47" t="s">
        <v>470</v>
      </c>
      <c r="H411" s="47" t="s">
        <v>470</v>
      </c>
      <c r="I411" s="65"/>
      <c r="J411" s="64" t="s">
        <v>549</v>
      </c>
      <c r="K411" s="64" t="s">
        <v>549</v>
      </c>
      <c r="L411" s="64" t="s">
        <v>549</v>
      </c>
      <c r="M411" s="64"/>
    </row>
    <row r="412" spans="1:13" ht="16.2" x14ac:dyDescent="0.4">
      <c r="A412" s="3" t="str">
        <f t="shared" si="9"/>
        <v>modesg_out_emss_vclsunidade_funcional_scp2_emss</v>
      </c>
      <c r="B412" s="52" t="s">
        <v>23</v>
      </c>
      <c r="C412" s="49" t="s">
        <v>302</v>
      </c>
      <c r="D412" s="45" t="s">
        <v>36</v>
      </c>
      <c r="E412" s="46" t="s">
        <v>321</v>
      </c>
      <c r="F412" s="45" t="s">
        <v>314</v>
      </c>
      <c r="G412" s="47" t="s">
        <v>470</v>
      </c>
      <c r="H412" s="47" t="s">
        <v>470</v>
      </c>
      <c r="I412" s="65"/>
      <c r="J412" s="64" t="s">
        <v>549</v>
      </c>
      <c r="K412" s="64" t="s">
        <v>549</v>
      </c>
      <c r="L412" s="64" t="s">
        <v>549</v>
      </c>
      <c r="M412" s="64"/>
    </row>
    <row r="413" spans="1:13" ht="16.2" x14ac:dyDescent="0.4">
      <c r="A413" s="3" t="str">
        <f t="shared" si="9"/>
        <v>modesg_out_emss_vclsunidade_funcional_scp3_emss</v>
      </c>
      <c r="B413" s="52" t="s">
        <v>23</v>
      </c>
      <c r="C413" s="49" t="s">
        <v>302</v>
      </c>
      <c r="D413" s="45" t="s">
        <v>36</v>
      </c>
      <c r="E413" s="46" t="s">
        <v>321</v>
      </c>
      <c r="F413" s="45" t="s">
        <v>315</v>
      </c>
      <c r="G413" s="47" t="s">
        <v>470</v>
      </c>
      <c r="H413" s="47" t="s">
        <v>470</v>
      </c>
      <c r="I413" s="65"/>
      <c r="J413" s="64" t="s">
        <v>549</v>
      </c>
      <c r="K413" s="64" t="s">
        <v>549</v>
      </c>
      <c r="L413" s="64" t="s">
        <v>549</v>
      </c>
      <c r="M413" s="64"/>
    </row>
    <row r="414" spans="1:13" ht="16.2" x14ac:dyDescent="0.4">
      <c r="A414" s="3" t="str">
        <f t="shared" si="9"/>
        <v>modesg_out_sfcs_taxon_europeian.a.</v>
      </c>
      <c r="B414" s="52" t="s">
        <v>23</v>
      </c>
      <c r="C414" s="49" t="s">
        <v>302</v>
      </c>
      <c r="D414" s="45" t="s">
        <v>33</v>
      </c>
      <c r="E414" s="46" t="s">
        <v>322</v>
      </c>
      <c r="F414" s="45" t="s">
        <v>35</v>
      </c>
      <c r="G414" s="47" t="s">
        <v>475</v>
      </c>
      <c r="H414" s="47" t="s">
        <v>475</v>
      </c>
      <c r="I414" s="54" t="s">
        <v>518</v>
      </c>
      <c r="J414" s="64">
        <v>45563</v>
      </c>
      <c r="K414" s="64" t="s">
        <v>549</v>
      </c>
      <c r="L414" s="64" t="s">
        <v>549</v>
      </c>
      <c r="M414" s="64"/>
    </row>
    <row r="415" spans="1:13" ht="16.2" x14ac:dyDescent="0.4">
      <c r="A415" s="3" t="str">
        <f t="shared" si="9"/>
        <v>modesg_out_sfcs_taxon_europeiacbalcao</v>
      </c>
      <c r="B415" s="52" t="s">
        <v>23</v>
      </c>
      <c r="C415" s="49" t="s">
        <v>302</v>
      </c>
      <c r="D415" s="45" t="s">
        <v>36</v>
      </c>
      <c r="E415" s="46" t="s">
        <v>322</v>
      </c>
      <c r="F415" s="45" t="s">
        <v>175</v>
      </c>
      <c r="G415" s="47" t="s">
        <v>475</v>
      </c>
      <c r="H415" s="47" t="s">
        <v>475</v>
      </c>
      <c r="I415" s="54" t="s">
        <v>518</v>
      </c>
      <c r="J415" s="64">
        <v>45563</v>
      </c>
      <c r="K415" s="64" t="s">
        <v>549</v>
      </c>
      <c r="L415" s="64" t="s">
        <v>549</v>
      </c>
      <c r="M415" s="64"/>
    </row>
    <row r="416" spans="1:13" ht="16.2" x14ac:dyDescent="0.4">
      <c r="A416" s="3" t="str">
        <f t="shared" si="9"/>
        <v>modesg_out_sfcs_taxon_europeiacempresa</v>
      </c>
      <c r="B416" s="52" t="s">
        <v>23</v>
      </c>
      <c r="C416" s="49" t="s">
        <v>302</v>
      </c>
      <c r="D416" s="45" t="s">
        <v>36</v>
      </c>
      <c r="E416" s="46" t="s">
        <v>322</v>
      </c>
      <c r="F416" s="45" t="s">
        <v>176</v>
      </c>
      <c r="G416" s="47" t="s">
        <v>475</v>
      </c>
      <c r="H416" s="47" t="s">
        <v>475</v>
      </c>
      <c r="I416" s="54" t="s">
        <v>518</v>
      </c>
      <c r="J416" s="64">
        <v>45563</v>
      </c>
      <c r="K416" s="64" t="s">
        <v>549</v>
      </c>
      <c r="L416" s="64" t="s">
        <v>549</v>
      </c>
      <c r="M416" s="64"/>
    </row>
    <row r="417" spans="1:13" ht="16.2" x14ac:dyDescent="0.4">
      <c r="A417" s="3" t="str">
        <f t="shared" si="9"/>
        <v>modesg_out_sfcs_taxon_europeiacnumecta</v>
      </c>
      <c r="B417" s="52" t="s">
        <v>23</v>
      </c>
      <c r="C417" s="49" t="s">
        <v>302</v>
      </c>
      <c r="D417" s="45" t="s">
        <v>36</v>
      </c>
      <c r="E417" s="46" t="s">
        <v>322</v>
      </c>
      <c r="F417" s="45" t="s">
        <v>181</v>
      </c>
      <c r="G417" s="47" t="s">
        <v>475</v>
      </c>
      <c r="H417" s="47" t="s">
        <v>475</v>
      </c>
      <c r="I417" s="54" t="s">
        <v>518</v>
      </c>
      <c r="J417" s="64">
        <v>45563</v>
      </c>
      <c r="K417" s="64" t="s">
        <v>549</v>
      </c>
      <c r="L417" s="64" t="s">
        <v>549</v>
      </c>
      <c r="M417" s="64"/>
    </row>
    <row r="418" spans="1:13" ht="16.2" x14ac:dyDescent="0.4">
      <c r="A418" s="3" t="str">
        <f t="shared" si="9"/>
        <v>modesg_out_sfcs_taxon_europeiacod_regra</v>
      </c>
      <c r="B418" s="52" t="s">
        <v>23</v>
      </c>
      <c r="C418" s="49" t="s">
        <v>302</v>
      </c>
      <c r="D418" s="45" t="s">
        <v>36</v>
      </c>
      <c r="E418" s="46" t="s">
        <v>322</v>
      </c>
      <c r="F418" s="45" t="s">
        <v>183</v>
      </c>
      <c r="G418" s="47" t="s">
        <v>475</v>
      </c>
      <c r="H418" s="47" t="s">
        <v>475</v>
      </c>
      <c r="I418" s="54" t="s">
        <v>518</v>
      </c>
      <c r="J418" s="64">
        <v>45563</v>
      </c>
      <c r="K418" s="64" t="s">
        <v>549</v>
      </c>
      <c r="L418" s="64" t="s">
        <v>549</v>
      </c>
      <c r="M418" s="64"/>
    </row>
    <row r="419" spans="1:13" ht="16.2" x14ac:dyDescent="0.4">
      <c r="A419" s="3" t="str">
        <f t="shared" si="9"/>
        <v>modesg_out_sfcs_taxon_europeiaordem</v>
      </c>
      <c r="B419" s="52" t="s">
        <v>23</v>
      </c>
      <c r="C419" s="49" t="s">
        <v>302</v>
      </c>
      <c r="D419" s="45" t="s">
        <v>36</v>
      </c>
      <c r="E419" s="46" t="s">
        <v>322</v>
      </c>
      <c r="F419" s="45" t="s">
        <v>203</v>
      </c>
      <c r="G419" s="47" t="s">
        <v>469</v>
      </c>
      <c r="H419" s="47" t="s">
        <v>469</v>
      </c>
      <c r="I419" s="56" t="s">
        <v>517</v>
      </c>
      <c r="J419" s="64">
        <v>45562</v>
      </c>
      <c r="K419" s="64" t="s">
        <v>549</v>
      </c>
      <c r="L419" s="64" t="s">
        <v>549</v>
      </c>
      <c r="M419" s="64"/>
    </row>
    <row r="420" spans="1:13" ht="16.2" x14ac:dyDescent="0.4">
      <c r="A420" s="3" t="str">
        <f t="shared" si="9"/>
        <v>modesg_out_sfcs_taxon_europeiamontante_pndrc</v>
      </c>
      <c r="B420" s="52" t="s">
        <v>23</v>
      </c>
      <c r="C420" s="49" t="s">
        <v>302</v>
      </c>
      <c r="D420" s="45" t="s">
        <v>36</v>
      </c>
      <c r="E420" s="46" t="s">
        <v>322</v>
      </c>
      <c r="F420" s="45" t="s">
        <v>194</v>
      </c>
      <c r="G420" s="47" t="s">
        <v>475</v>
      </c>
      <c r="H420" s="47" t="s">
        <v>475</v>
      </c>
      <c r="I420" s="54" t="s">
        <v>518</v>
      </c>
      <c r="J420" s="64">
        <v>45563</v>
      </c>
      <c r="K420" s="64" t="s">
        <v>549</v>
      </c>
      <c r="L420" s="64" t="s">
        <v>549</v>
      </c>
      <c r="M420" s="64"/>
    </row>
    <row r="421" spans="1:13" ht="16.2" x14ac:dyDescent="0.4">
      <c r="A421" s="3" t="str">
        <f t="shared" si="9"/>
        <v>modesg_out_sfcs_taxon_europeianome_ctgr_sfcs</v>
      </c>
      <c r="B421" s="52" t="s">
        <v>23</v>
      </c>
      <c r="C421" s="49" t="s">
        <v>302</v>
      </c>
      <c r="D421" s="45" t="s">
        <v>36</v>
      </c>
      <c r="E421" s="46" t="s">
        <v>322</v>
      </c>
      <c r="F421" s="45" t="s">
        <v>195</v>
      </c>
      <c r="G421" s="47" t="s">
        <v>475</v>
      </c>
      <c r="H421" s="47" t="s">
        <v>475</v>
      </c>
      <c r="I421" s="54" t="s">
        <v>518</v>
      </c>
      <c r="J421" s="64">
        <v>45562</v>
      </c>
      <c r="K421" s="64" t="s">
        <v>549</v>
      </c>
      <c r="L421" s="64" t="s">
        <v>549</v>
      </c>
      <c r="M421" s="64"/>
    </row>
    <row r="422" spans="1:13" ht="16.2" x14ac:dyDescent="0.4">
      <c r="A422" s="3" t="str">
        <f t="shared" si="9"/>
        <v>modesg_out_sfcs_taxon_europeianome_general_specific_purpose</v>
      </c>
      <c r="B422" s="52" t="s">
        <v>23</v>
      </c>
      <c r="C422" s="49" t="s">
        <v>302</v>
      </c>
      <c r="D422" s="45" t="s">
        <v>36</v>
      </c>
      <c r="E422" s="46" t="s">
        <v>322</v>
      </c>
      <c r="F422" s="45" t="s">
        <v>196</v>
      </c>
      <c r="G422" s="47" t="s">
        <v>475</v>
      </c>
      <c r="H422" s="47" t="s">
        <v>475</v>
      </c>
      <c r="I422" s="54" t="s">
        <v>518</v>
      </c>
      <c r="J422" s="64">
        <v>45563</v>
      </c>
      <c r="K422" s="64" t="s">
        <v>549</v>
      </c>
      <c r="L422" s="64" t="s">
        <v>549</v>
      </c>
      <c r="M422" s="64"/>
    </row>
    <row r="423" spans="1:13" ht="16.2" x14ac:dyDescent="0.4">
      <c r="A423" s="3" t="str">
        <f t="shared" si="9"/>
        <v>modesg_out_sfcs_taxon_europeianome_purpose_esg</v>
      </c>
      <c r="B423" s="52" t="s">
        <v>23</v>
      </c>
      <c r="C423" s="49" t="s">
        <v>302</v>
      </c>
      <c r="D423" s="45" t="s">
        <v>36</v>
      </c>
      <c r="E423" s="46" t="s">
        <v>322</v>
      </c>
      <c r="F423" s="45" t="s">
        <v>197</v>
      </c>
      <c r="G423" s="47" t="s">
        <v>475</v>
      </c>
      <c r="H423" s="47" t="s">
        <v>475</v>
      </c>
      <c r="I423" s="54" t="s">
        <v>518</v>
      </c>
      <c r="J423" s="64">
        <v>45563</v>
      </c>
      <c r="K423" s="64" t="s">
        <v>549</v>
      </c>
      <c r="L423" s="64" t="s">
        <v>549</v>
      </c>
      <c r="M423" s="64"/>
    </row>
    <row r="424" spans="1:13" ht="16.2" x14ac:dyDescent="0.4">
      <c r="A424" s="3" t="str">
        <f t="shared" si="9"/>
        <v>modesg_out_sfcs_taxon_europeianome_specific_eligible</v>
      </c>
      <c r="B424" s="52" t="s">
        <v>23</v>
      </c>
      <c r="C424" s="49" t="s">
        <v>302</v>
      </c>
      <c r="D424" s="45" t="s">
        <v>36</v>
      </c>
      <c r="E424" s="46" t="s">
        <v>322</v>
      </c>
      <c r="F424" s="45" t="s">
        <v>198</v>
      </c>
      <c r="G424" s="47" t="s">
        <v>475</v>
      </c>
      <c r="H424" s="47" t="s">
        <v>475</v>
      </c>
      <c r="I424" s="54" t="s">
        <v>518</v>
      </c>
      <c r="J424" s="64">
        <v>45563</v>
      </c>
      <c r="K424" s="64" t="s">
        <v>549</v>
      </c>
      <c r="L424" s="64" t="s">
        <v>549</v>
      </c>
      <c r="M424" s="64"/>
    </row>
    <row r="425" spans="1:13" ht="16.2" x14ac:dyDescent="0.4">
      <c r="A425" s="3" t="str">
        <f t="shared" si="9"/>
        <v>modesg_out_sfcs_taxon_europeianome_specific_sustainable</v>
      </c>
      <c r="B425" s="52" t="s">
        <v>23</v>
      </c>
      <c r="C425" s="49" t="s">
        <v>302</v>
      </c>
      <c r="D425" s="45" t="s">
        <v>36</v>
      </c>
      <c r="E425" s="46" t="s">
        <v>322</v>
      </c>
      <c r="F425" s="45" t="s">
        <v>199</v>
      </c>
      <c r="G425" s="47" t="s">
        <v>475</v>
      </c>
      <c r="H425" s="47" t="s">
        <v>475</v>
      </c>
      <c r="I425" s="54" t="s">
        <v>518</v>
      </c>
      <c r="J425" s="64">
        <v>45563</v>
      </c>
      <c r="K425" s="64" t="s">
        <v>549</v>
      </c>
      <c r="L425" s="64" t="s">
        <v>549</v>
      </c>
      <c r="M425" s="64"/>
    </row>
    <row r="426" spans="1:13" ht="16.2" x14ac:dyDescent="0.4">
      <c r="A426" s="3" t="str">
        <f t="shared" si="9"/>
        <v>modesg_out_sfcs_taxon_europeiaorigem</v>
      </c>
      <c r="B426" s="52" t="s">
        <v>23</v>
      </c>
      <c r="C426" s="49" t="s">
        <v>302</v>
      </c>
      <c r="D426" s="45" t="s">
        <v>36</v>
      </c>
      <c r="E426" s="46" t="s">
        <v>322</v>
      </c>
      <c r="F426" s="45" t="s">
        <v>66</v>
      </c>
      <c r="G426" s="47" t="s">
        <v>470</v>
      </c>
      <c r="H426" s="47" t="s">
        <v>470</v>
      </c>
      <c r="I426" s="54"/>
      <c r="J426" s="64" t="s">
        <v>549</v>
      </c>
      <c r="K426" s="64" t="s">
        <v>549</v>
      </c>
      <c r="L426" s="64" t="s">
        <v>549</v>
      </c>
      <c r="M426" s="64"/>
    </row>
    <row r="427" spans="1:13" ht="16.2" x14ac:dyDescent="0.4">
      <c r="A427" s="3" t="str">
        <f t="shared" si="9"/>
        <v>modesg_out_sfcs_taxon_europeiaref_date</v>
      </c>
      <c r="B427" s="52" t="s">
        <v>23</v>
      </c>
      <c r="C427" s="49" t="s">
        <v>302</v>
      </c>
      <c r="D427" s="45" t="s">
        <v>36</v>
      </c>
      <c r="E427" s="46" t="s">
        <v>322</v>
      </c>
      <c r="F427" s="45" t="s">
        <v>200</v>
      </c>
      <c r="G427" s="47" t="s">
        <v>475</v>
      </c>
      <c r="H427" s="47" t="s">
        <v>475</v>
      </c>
      <c r="I427" s="54" t="s">
        <v>518</v>
      </c>
      <c r="J427" s="64">
        <v>45561</v>
      </c>
      <c r="K427" s="64" t="s">
        <v>549</v>
      </c>
      <c r="L427" s="64" t="s">
        <v>549</v>
      </c>
      <c r="M427" s="64"/>
    </row>
    <row r="428" spans="1:13" ht="16.2" x14ac:dyDescent="0.4">
      <c r="A428" s="3" t="str">
        <f t="shared" si="9"/>
        <v>modesg_out_sfcs_taxon_europeiazdeposit</v>
      </c>
      <c r="B428" s="52" t="s">
        <v>23</v>
      </c>
      <c r="C428" s="49" t="s">
        <v>302</v>
      </c>
      <c r="D428" s="45" t="s">
        <v>36</v>
      </c>
      <c r="E428" s="46" t="s">
        <v>322</v>
      </c>
      <c r="F428" s="45" t="s">
        <v>202</v>
      </c>
      <c r="G428" s="47" t="s">
        <v>475</v>
      </c>
      <c r="H428" s="47" t="s">
        <v>475</v>
      </c>
      <c r="I428" s="54" t="s">
        <v>518</v>
      </c>
      <c r="J428" s="64">
        <v>45561</v>
      </c>
      <c r="K428" s="64" t="s">
        <v>549</v>
      </c>
      <c r="L428" s="64" t="s">
        <v>549</v>
      </c>
      <c r="M428" s="64"/>
    </row>
    <row r="429" spans="1:13" ht="16.2" x14ac:dyDescent="0.4">
      <c r="A429" s="3" t="str">
        <f t="shared" si="9"/>
        <v>lt003_entitynace_esg</v>
      </c>
      <c r="B429" s="52" t="s">
        <v>23</v>
      </c>
      <c r="C429" s="49" t="s">
        <v>23</v>
      </c>
      <c r="D429" s="45" t="s">
        <v>36</v>
      </c>
      <c r="E429" s="48" t="s">
        <v>323</v>
      </c>
      <c r="F429" s="48" t="s">
        <v>324</v>
      </c>
      <c r="G429" s="47" t="s">
        <v>475</v>
      </c>
      <c r="H429" s="47" t="s">
        <v>533</v>
      </c>
      <c r="I429" s="54"/>
      <c r="J429" s="64">
        <v>45583</v>
      </c>
      <c r="K429" s="64" t="s">
        <v>549</v>
      </c>
      <c r="L429" s="64" t="s">
        <v>549</v>
      </c>
      <c r="M429" s="64"/>
    </row>
    <row r="430" spans="1:13" ht="16.2" x14ac:dyDescent="0.4">
      <c r="A430" s="3" t="str">
        <f t="shared" si="9"/>
        <v>lt003_entitytxnmy_elgbl_capex_ccm</v>
      </c>
      <c r="B430" s="52" t="s">
        <v>23</v>
      </c>
      <c r="C430" s="49" t="s">
        <v>23</v>
      </c>
      <c r="D430" s="45" t="s">
        <v>36</v>
      </c>
      <c r="E430" s="48" t="s">
        <v>323</v>
      </c>
      <c r="F430" s="48" t="s">
        <v>325</v>
      </c>
      <c r="G430" s="47" t="s">
        <v>471</v>
      </c>
      <c r="H430" s="47" t="s">
        <v>471</v>
      </c>
      <c r="I430" s="54"/>
      <c r="J430" s="64" t="s">
        <v>549</v>
      </c>
      <c r="K430" s="64" t="s">
        <v>549</v>
      </c>
      <c r="L430" s="64" t="s">
        <v>549</v>
      </c>
      <c r="M430" s="64"/>
    </row>
    <row r="431" spans="1:13" ht="16.2" x14ac:dyDescent="0.4">
      <c r="A431" s="3" t="str">
        <f t="shared" si="9"/>
        <v>lt003_entitytxnmy_elgbl_trnvr_ccm</v>
      </c>
      <c r="B431" s="52" t="s">
        <v>23</v>
      </c>
      <c r="C431" s="49" t="s">
        <v>23</v>
      </c>
      <c r="D431" s="45" t="s">
        <v>36</v>
      </c>
      <c r="E431" s="48" t="s">
        <v>323</v>
      </c>
      <c r="F431" s="48" t="s">
        <v>326</v>
      </c>
      <c r="G431" s="47" t="s">
        <v>471</v>
      </c>
      <c r="H431" s="47" t="s">
        <v>471</v>
      </c>
      <c r="I431" s="54"/>
      <c r="J431" s="64" t="s">
        <v>549</v>
      </c>
      <c r="K431" s="64" t="s">
        <v>549</v>
      </c>
      <c r="L431" s="64" t="s">
        <v>549</v>
      </c>
      <c r="M431" s="64"/>
    </row>
    <row r="432" spans="1:13" ht="16.2" x14ac:dyDescent="0.4">
      <c r="A432" s="3" t="str">
        <f t="shared" si="9"/>
        <v>lt003_entitytxnmy_elgbl_capex_cca</v>
      </c>
      <c r="B432" s="52" t="s">
        <v>23</v>
      </c>
      <c r="C432" s="49" t="s">
        <v>23</v>
      </c>
      <c r="D432" s="45" t="s">
        <v>36</v>
      </c>
      <c r="E432" s="48" t="s">
        <v>323</v>
      </c>
      <c r="F432" s="48" t="s">
        <v>327</v>
      </c>
      <c r="G432" s="47" t="s">
        <v>471</v>
      </c>
      <c r="H432" s="47" t="s">
        <v>471</v>
      </c>
      <c r="I432" s="54"/>
      <c r="J432" s="64" t="s">
        <v>549</v>
      </c>
      <c r="K432" s="64" t="s">
        <v>549</v>
      </c>
      <c r="L432" s="64" t="s">
        <v>549</v>
      </c>
      <c r="M432" s="64"/>
    </row>
    <row r="433" spans="1:13" ht="16.2" x14ac:dyDescent="0.4">
      <c r="A433" s="3" t="str">
        <f t="shared" si="9"/>
        <v>lt003_entitytxnmy_elgbl_trnvr_cca</v>
      </c>
      <c r="B433" s="52" t="s">
        <v>23</v>
      </c>
      <c r="C433" s="49" t="s">
        <v>23</v>
      </c>
      <c r="D433" s="45" t="s">
        <v>36</v>
      </c>
      <c r="E433" s="48" t="s">
        <v>323</v>
      </c>
      <c r="F433" s="48" t="s">
        <v>328</v>
      </c>
      <c r="G433" s="47" t="s">
        <v>471</v>
      </c>
      <c r="H433" s="47" t="s">
        <v>471</v>
      </c>
      <c r="I433" s="54"/>
      <c r="J433" s="64" t="s">
        <v>549</v>
      </c>
      <c r="K433" s="64" t="s">
        <v>549</v>
      </c>
      <c r="L433" s="64" t="s">
        <v>549</v>
      </c>
      <c r="M433" s="64"/>
    </row>
    <row r="434" spans="1:13" ht="16.2" x14ac:dyDescent="0.4">
      <c r="A434" s="3" t="str">
        <f t="shared" si="9"/>
        <v>lt003_entityenblng_capex_ccm</v>
      </c>
      <c r="B434" s="52" t="s">
        <v>23</v>
      </c>
      <c r="C434" s="49" t="s">
        <v>23</v>
      </c>
      <c r="D434" s="45" t="s">
        <v>36</v>
      </c>
      <c r="E434" s="48" t="s">
        <v>323</v>
      </c>
      <c r="F434" s="48" t="s">
        <v>329</v>
      </c>
      <c r="G434" s="47" t="s">
        <v>471</v>
      </c>
      <c r="H434" s="47" t="s">
        <v>471</v>
      </c>
      <c r="I434" s="54"/>
      <c r="J434" s="64" t="s">
        <v>549</v>
      </c>
      <c r="K434" s="64" t="s">
        <v>549</v>
      </c>
      <c r="L434" s="64" t="s">
        <v>549</v>
      </c>
      <c r="M434" s="64"/>
    </row>
    <row r="435" spans="1:13" ht="16.2" x14ac:dyDescent="0.4">
      <c r="A435" s="3" t="str">
        <f t="shared" si="9"/>
        <v>lt003_entityenblng_capex_cca</v>
      </c>
      <c r="B435" s="52" t="s">
        <v>23</v>
      </c>
      <c r="C435" s="49" t="s">
        <v>23</v>
      </c>
      <c r="D435" s="45" t="s">
        <v>36</v>
      </c>
      <c r="E435" s="48" t="s">
        <v>323</v>
      </c>
      <c r="F435" s="48" t="s">
        <v>330</v>
      </c>
      <c r="G435" s="47" t="s">
        <v>471</v>
      </c>
      <c r="H435" s="47" t="s">
        <v>471</v>
      </c>
      <c r="I435" s="54"/>
      <c r="J435" s="64" t="s">
        <v>549</v>
      </c>
      <c r="K435" s="64" t="s">
        <v>549</v>
      </c>
      <c r="L435" s="64" t="s">
        <v>549</v>
      </c>
      <c r="M435" s="64"/>
    </row>
    <row r="436" spans="1:13" ht="16.2" x14ac:dyDescent="0.4">
      <c r="A436" s="3" t="str">
        <f t="shared" si="9"/>
        <v>lt003_entitytrnstnl_capex</v>
      </c>
      <c r="B436" s="52" t="s">
        <v>23</v>
      </c>
      <c r="C436" s="49" t="s">
        <v>23</v>
      </c>
      <c r="D436" s="45" t="s">
        <v>36</v>
      </c>
      <c r="E436" s="48" t="s">
        <v>323</v>
      </c>
      <c r="F436" s="48" t="s">
        <v>331</v>
      </c>
      <c r="G436" s="47" t="s">
        <v>471</v>
      </c>
      <c r="H436" s="47" t="s">
        <v>471</v>
      </c>
      <c r="I436" s="54"/>
      <c r="J436" s="64" t="s">
        <v>549</v>
      </c>
      <c r="K436" s="64" t="s">
        <v>549</v>
      </c>
      <c r="L436" s="64" t="s">
        <v>549</v>
      </c>
      <c r="M436" s="64"/>
    </row>
    <row r="437" spans="1:13" ht="16.2" x14ac:dyDescent="0.4">
      <c r="A437" s="3" t="str">
        <f t="shared" si="9"/>
        <v>lt003_entitypure_capex_ccm</v>
      </c>
      <c r="B437" s="52" t="s">
        <v>23</v>
      </c>
      <c r="C437" s="49" t="s">
        <v>23</v>
      </c>
      <c r="D437" s="45" t="s">
        <v>36</v>
      </c>
      <c r="E437" s="48" t="s">
        <v>323</v>
      </c>
      <c r="F437" s="48" t="s">
        <v>332</v>
      </c>
      <c r="G437" s="47" t="s">
        <v>471</v>
      </c>
      <c r="H437" s="47" t="s">
        <v>471</v>
      </c>
      <c r="I437" s="54"/>
      <c r="J437" s="64" t="s">
        <v>549</v>
      </c>
      <c r="K437" s="64" t="s">
        <v>549</v>
      </c>
      <c r="L437" s="64" t="s">
        <v>549</v>
      </c>
      <c r="M437" s="64"/>
    </row>
    <row r="438" spans="1:13" ht="16.2" x14ac:dyDescent="0.4">
      <c r="A438" s="3" t="str">
        <f t="shared" si="9"/>
        <v>lt003_entitypure_capex_cca</v>
      </c>
      <c r="B438" s="52" t="s">
        <v>23</v>
      </c>
      <c r="C438" s="49" t="s">
        <v>23</v>
      </c>
      <c r="D438" s="45" t="s">
        <v>36</v>
      </c>
      <c r="E438" s="48" t="s">
        <v>323</v>
      </c>
      <c r="F438" s="48" t="s">
        <v>333</v>
      </c>
      <c r="G438" s="47" t="s">
        <v>471</v>
      </c>
      <c r="H438" s="47" t="s">
        <v>471</v>
      </c>
      <c r="I438" s="54"/>
      <c r="J438" s="64" t="s">
        <v>549</v>
      </c>
      <c r="K438" s="64" t="s">
        <v>549</v>
      </c>
      <c r="L438" s="64" t="s">
        <v>549</v>
      </c>
      <c r="M438" s="64"/>
    </row>
    <row r="439" spans="1:13" ht="16.2" x14ac:dyDescent="0.4">
      <c r="A439" s="3" t="str">
        <f t="shared" si="9"/>
        <v>lt003_entityenblng_trnvr_ccm</v>
      </c>
      <c r="B439" s="52" t="s">
        <v>23</v>
      </c>
      <c r="C439" s="49" t="s">
        <v>23</v>
      </c>
      <c r="D439" s="45" t="s">
        <v>36</v>
      </c>
      <c r="E439" s="48" t="s">
        <v>323</v>
      </c>
      <c r="F439" s="48" t="s">
        <v>334</v>
      </c>
      <c r="G439" s="47" t="s">
        <v>471</v>
      </c>
      <c r="H439" s="47" t="s">
        <v>471</v>
      </c>
      <c r="I439" s="54"/>
      <c r="J439" s="64" t="s">
        <v>549</v>
      </c>
      <c r="K439" s="64" t="s">
        <v>549</v>
      </c>
      <c r="L439" s="64" t="s">
        <v>549</v>
      </c>
      <c r="M439" s="64"/>
    </row>
    <row r="440" spans="1:13" ht="16.2" x14ac:dyDescent="0.4">
      <c r="A440" s="3" t="str">
        <f t="shared" si="9"/>
        <v>lt003_entityenblng_trnvr_cca</v>
      </c>
      <c r="B440" s="52" t="s">
        <v>23</v>
      </c>
      <c r="C440" s="49" t="s">
        <v>23</v>
      </c>
      <c r="D440" s="45" t="s">
        <v>36</v>
      </c>
      <c r="E440" s="48" t="s">
        <v>323</v>
      </c>
      <c r="F440" s="48" t="s">
        <v>335</v>
      </c>
      <c r="G440" s="47" t="s">
        <v>471</v>
      </c>
      <c r="H440" s="47" t="s">
        <v>471</v>
      </c>
      <c r="I440" s="54"/>
      <c r="J440" s="64" t="s">
        <v>549</v>
      </c>
      <c r="K440" s="64" t="s">
        <v>549</v>
      </c>
      <c r="L440" s="64" t="s">
        <v>549</v>
      </c>
      <c r="M440" s="64"/>
    </row>
    <row r="441" spans="1:13" ht="16.2" x14ac:dyDescent="0.4">
      <c r="A441" s="3" t="str">
        <f t="shared" si="9"/>
        <v>lt003_entitytrnstnl_trnvr</v>
      </c>
      <c r="B441" s="52" t="s">
        <v>23</v>
      </c>
      <c r="C441" s="49" t="s">
        <v>23</v>
      </c>
      <c r="D441" s="45" t="s">
        <v>36</v>
      </c>
      <c r="E441" s="48" t="s">
        <v>323</v>
      </c>
      <c r="F441" s="48" t="s">
        <v>336</v>
      </c>
      <c r="G441" s="47" t="s">
        <v>471</v>
      </c>
      <c r="H441" s="47" t="s">
        <v>471</v>
      </c>
      <c r="I441" s="54"/>
      <c r="J441" s="64" t="s">
        <v>549</v>
      </c>
      <c r="K441" s="64" t="s">
        <v>549</v>
      </c>
      <c r="L441" s="64" t="s">
        <v>549</v>
      </c>
      <c r="M441" s="64"/>
    </row>
    <row r="442" spans="1:13" ht="16.2" x14ac:dyDescent="0.4">
      <c r="A442" s="3" t="str">
        <f t="shared" si="9"/>
        <v>lt003_entitypure_trnvr_ccm</v>
      </c>
      <c r="B442" s="52" t="s">
        <v>23</v>
      </c>
      <c r="C442" s="49" t="s">
        <v>23</v>
      </c>
      <c r="D442" s="45" t="s">
        <v>36</v>
      </c>
      <c r="E442" s="48" t="s">
        <v>323</v>
      </c>
      <c r="F442" s="48" t="s">
        <v>337</v>
      </c>
      <c r="G442" s="47" t="s">
        <v>471</v>
      </c>
      <c r="H442" s="47" t="s">
        <v>471</v>
      </c>
      <c r="I442" s="54"/>
      <c r="J442" s="64" t="s">
        <v>549</v>
      </c>
      <c r="K442" s="64" t="s">
        <v>549</v>
      </c>
      <c r="L442" s="64" t="s">
        <v>549</v>
      </c>
      <c r="M442" s="64"/>
    </row>
    <row r="443" spans="1:13" ht="16.2" x14ac:dyDescent="0.4">
      <c r="A443" s="3" t="str">
        <f t="shared" si="9"/>
        <v>lt003_entitypure_trnvr_cca</v>
      </c>
      <c r="B443" s="52" t="s">
        <v>23</v>
      </c>
      <c r="C443" s="49" t="s">
        <v>23</v>
      </c>
      <c r="D443" s="45" t="s">
        <v>36</v>
      </c>
      <c r="E443" s="48" t="s">
        <v>323</v>
      </c>
      <c r="F443" s="48" t="s">
        <v>338</v>
      </c>
      <c r="G443" s="47" t="s">
        <v>471</v>
      </c>
      <c r="H443" s="47" t="s">
        <v>471</v>
      </c>
      <c r="I443" s="54"/>
      <c r="J443" s="64" t="s">
        <v>549</v>
      </c>
      <c r="K443" s="64" t="s">
        <v>549</v>
      </c>
      <c r="L443" s="64" t="s">
        <v>549</v>
      </c>
      <c r="M443" s="64"/>
    </row>
    <row r="444" spans="1:13" ht="16.2" x14ac:dyDescent="0.4">
      <c r="A444" s="3" t="str">
        <f t="shared" si="9"/>
        <v>lt003_entityflg_nfrd_applcblty</v>
      </c>
      <c r="B444" s="52" t="s">
        <v>23</v>
      </c>
      <c r="C444" s="49" t="s">
        <v>23</v>
      </c>
      <c r="D444" s="45" t="s">
        <v>36</v>
      </c>
      <c r="E444" s="48" t="s">
        <v>323</v>
      </c>
      <c r="F444" s="48" t="s">
        <v>339</v>
      </c>
      <c r="G444" s="47" t="s">
        <v>475</v>
      </c>
      <c r="H444" s="47" t="s">
        <v>533</v>
      </c>
      <c r="I444" s="54"/>
      <c r="J444" s="64">
        <v>45583</v>
      </c>
      <c r="K444" s="64" t="s">
        <v>549</v>
      </c>
      <c r="L444" s="64" t="s">
        <v>549</v>
      </c>
      <c r="M444" s="64"/>
    </row>
    <row r="445" spans="1:13" ht="16.2" x14ac:dyDescent="0.4">
      <c r="A445" s="3" t="str">
        <f t="shared" si="9"/>
        <v>lt003_entitycntrprty_emssns_scp1</v>
      </c>
      <c r="B445" s="52" t="s">
        <v>23</v>
      </c>
      <c r="C445" s="49" t="s">
        <v>23</v>
      </c>
      <c r="D445" s="45" t="s">
        <v>36</v>
      </c>
      <c r="E445" s="48" t="s">
        <v>323</v>
      </c>
      <c r="F445" s="48" t="s">
        <v>340</v>
      </c>
      <c r="G445" s="47" t="s">
        <v>471</v>
      </c>
      <c r="H445" s="47" t="s">
        <v>471</v>
      </c>
      <c r="I445" s="54"/>
      <c r="J445" s="64" t="s">
        <v>549</v>
      </c>
      <c r="K445" s="64" t="s">
        <v>549</v>
      </c>
      <c r="L445" s="64" t="s">
        <v>549</v>
      </c>
      <c r="M445" s="64"/>
    </row>
    <row r="446" spans="1:13" ht="16.2" x14ac:dyDescent="0.4">
      <c r="A446" s="3" t="str">
        <f t="shared" si="9"/>
        <v>lt003_entitycntrprty_emssns_scp2</v>
      </c>
      <c r="B446" s="52" t="s">
        <v>23</v>
      </c>
      <c r="C446" s="49" t="s">
        <v>23</v>
      </c>
      <c r="D446" s="45" t="s">
        <v>36</v>
      </c>
      <c r="E446" s="48" t="s">
        <v>323</v>
      </c>
      <c r="F446" s="48" t="s">
        <v>341</v>
      </c>
      <c r="G446" s="47" t="s">
        <v>471</v>
      </c>
      <c r="H446" s="47" t="s">
        <v>471</v>
      </c>
      <c r="I446" s="54"/>
      <c r="J446" s="64" t="s">
        <v>549</v>
      </c>
      <c r="K446" s="64" t="s">
        <v>549</v>
      </c>
      <c r="L446" s="64" t="s">
        <v>549</v>
      </c>
      <c r="M446" s="64"/>
    </row>
    <row r="447" spans="1:13" ht="16.2" x14ac:dyDescent="0.4">
      <c r="A447" s="3" t="str">
        <f t="shared" si="9"/>
        <v>lt003_entitycntrprty_emssns_scp3</v>
      </c>
      <c r="B447" s="52" t="s">
        <v>23</v>
      </c>
      <c r="C447" s="49" t="s">
        <v>23</v>
      </c>
      <c r="D447" s="45" t="s">
        <v>36</v>
      </c>
      <c r="E447" s="48" t="s">
        <v>323</v>
      </c>
      <c r="F447" s="48" t="s">
        <v>342</v>
      </c>
      <c r="G447" s="47" t="s">
        <v>471</v>
      </c>
      <c r="H447" s="47" t="s">
        <v>471</v>
      </c>
      <c r="I447" s="54"/>
      <c r="J447" s="64" t="s">
        <v>549</v>
      </c>
      <c r="K447" s="64" t="s">
        <v>549</v>
      </c>
      <c r="L447" s="64" t="s">
        <v>549</v>
      </c>
      <c r="M447" s="64"/>
    </row>
    <row r="448" spans="1:13" ht="16.2" x14ac:dyDescent="0.4">
      <c r="A448" s="3" t="str">
        <f t="shared" si="9"/>
        <v>lt003_entityflg_excldd_eu_prs_algnd_bnchmrk</v>
      </c>
      <c r="B448" s="52" t="s">
        <v>23</v>
      </c>
      <c r="C448" s="49" t="s">
        <v>23</v>
      </c>
      <c r="D448" s="45" t="s">
        <v>36</v>
      </c>
      <c r="E448" s="48" t="s">
        <v>323</v>
      </c>
      <c r="F448" s="48" t="s">
        <v>343</v>
      </c>
      <c r="G448" s="47" t="s">
        <v>471</v>
      </c>
      <c r="H448" s="47" t="s">
        <v>471</v>
      </c>
      <c r="I448" s="54"/>
      <c r="J448" s="64" t="s">
        <v>549</v>
      </c>
      <c r="K448" s="64" t="s">
        <v>549</v>
      </c>
      <c r="L448" s="64" t="s">
        <v>549</v>
      </c>
      <c r="M448" s="64"/>
    </row>
    <row r="449" spans="1:13" ht="16.2" x14ac:dyDescent="0.4">
      <c r="A449" s="3" t="str">
        <f t="shared" si="9"/>
        <v>lt003_entityflg_act_physcl_rsk</v>
      </c>
      <c r="B449" s="52" t="s">
        <v>23</v>
      </c>
      <c r="C449" s="49" t="s">
        <v>23</v>
      </c>
      <c r="D449" s="45" t="s">
        <v>36</v>
      </c>
      <c r="E449" s="48" t="s">
        <v>323</v>
      </c>
      <c r="F449" s="48" t="s">
        <v>344</v>
      </c>
      <c r="G449" s="47" t="s">
        <v>471</v>
      </c>
      <c r="H449" s="47" t="s">
        <v>471</v>
      </c>
      <c r="I449" s="54"/>
      <c r="J449" s="64" t="s">
        <v>549</v>
      </c>
      <c r="K449" s="64" t="s">
        <v>549</v>
      </c>
      <c r="L449" s="64" t="s">
        <v>549</v>
      </c>
      <c r="M449" s="64"/>
    </row>
    <row r="450" spans="1:13" ht="16.2" x14ac:dyDescent="0.4">
      <c r="A450" s="3" t="str">
        <f t="shared" si="9"/>
        <v>lt003_entityflg_chrnc_physcl_rsk</v>
      </c>
      <c r="B450" s="52" t="s">
        <v>23</v>
      </c>
      <c r="C450" s="49" t="s">
        <v>23</v>
      </c>
      <c r="D450" s="45" t="s">
        <v>36</v>
      </c>
      <c r="E450" s="48" t="s">
        <v>323</v>
      </c>
      <c r="F450" s="48" t="s">
        <v>345</v>
      </c>
      <c r="G450" s="47" t="s">
        <v>471</v>
      </c>
      <c r="H450" s="47" t="s">
        <v>471</v>
      </c>
      <c r="I450" s="54"/>
      <c r="J450" s="64" t="s">
        <v>549</v>
      </c>
      <c r="K450" s="64" t="s">
        <v>549</v>
      </c>
      <c r="L450" s="64" t="s">
        <v>549</v>
      </c>
      <c r="M450" s="64"/>
    </row>
    <row r="451" spans="1:13" ht="16.2" x14ac:dyDescent="0.4">
      <c r="A451" s="3" t="str">
        <f t="shared" si="9"/>
        <v>lt003_entitypst_cd</v>
      </c>
      <c r="B451" s="52" t="s">
        <v>23</v>
      </c>
      <c r="C451" s="49" t="s">
        <v>23</v>
      </c>
      <c r="D451" s="45" t="s">
        <v>36</v>
      </c>
      <c r="E451" s="48" t="s">
        <v>323</v>
      </c>
      <c r="F451" s="48" t="s">
        <v>346</v>
      </c>
      <c r="G451" s="47" t="s">
        <v>532</v>
      </c>
      <c r="H451" s="47" t="s">
        <v>532</v>
      </c>
      <c r="I451" s="54"/>
      <c r="J451" s="64" t="s">
        <v>549</v>
      </c>
      <c r="K451" s="64" t="s">
        <v>549</v>
      </c>
      <c r="L451" s="64" t="s">
        <v>549</v>
      </c>
      <c r="M451" s="64"/>
    </row>
    <row r="452" spans="1:13" ht="16.2" x14ac:dyDescent="0.4">
      <c r="A452" s="3" t="str">
        <f t="shared" si="9"/>
        <v>lt003_entityesg_sbsctr</v>
      </c>
      <c r="B452" s="52" t="s">
        <v>23</v>
      </c>
      <c r="C452" s="49" t="s">
        <v>23</v>
      </c>
      <c r="D452" s="45" t="s">
        <v>36</v>
      </c>
      <c r="E452" s="48" t="s">
        <v>323</v>
      </c>
      <c r="F452" s="48" t="s">
        <v>347</v>
      </c>
      <c r="G452" s="47" t="s">
        <v>475</v>
      </c>
      <c r="H452" s="47" t="s">
        <v>533</v>
      </c>
      <c r="I452" s="54"/>
      <c r="J452" s="64">
        <v>45583</v>
      </c>
      <c r="K452" s="64" t="s">
        <v>549</v>
      </c>
      <c r="L452" s="64" t="s">
        <v>549</v>
      </c>
      <c r="M452" s="64"/>
    </row>
    <row r="453" spans="1:13" ht="16.2" x14ac:dyDescent="0.4">
      <c r="A453" s="3" t="str">
        <f t="shared" si="9"/>
        <v>lt003_entityttl_lblty</v>
      </c>
      <c r="B453" s="52" t="s">
        <v>23</v>
      </c>
      <c r="C453" s="49" t="s">
        <v>23</v>
      </c>
      <c r="D453" s="45" t="s">
        <v>36</v>
      </c>
      <c r="E453" s="48" t="s">
        <v>323</v>
      </c>
      <c r="F453" s="48" t="s">
        <v>348</v>
      </c>
      <c r="G453" s="47" t="s">
        <v>533</v>
      </c>
      <c r="H453" s="47" t="s">
        <v>533</v>
      </c>
      <c r="I453" s="54"/>
      <c r="J453" s="64" t="s">
        <v>549</v>
      </c>
      <c r="K453" s="64" t="s">
        <v>549</v>
      </c>
      <c r="L453" s="64" t="s">
        <v>549</v>
      </c>
      <c r="M453" s="64"/>
    </row>
    <row r="454" spans="1:13" ht="16.2" x14ac:dyDescent="0.4">
      <c r="A454" s="3" t="str">
        <f t="shared" si="9"/>
        <v>lt003_entityisin</v>
      </c>
      <c r="B454" s="52" t="s">
        <v>23</v>
      </c>
      <c r="C454" s="49" t="s">
        <v>23</v>
      </c>
      <c r="D454" s="45" t="s">
        <v>36</v>
      </c>
      <c r="E454" s="48" t="s">
        <v>323</v>
      </c>
      <c r="F454" s="48" t="s">
        <v>231</v>
      </c>
      <c r="G454" s="47" t="s">
        <v>533</v>
      </c>
      <c r="H454" s="47" t="s">
        <v>533</v>
      </c>
      <c r="I454" s="54"/>
      <c r="J454" s="64" t="s">
        <v>549</v>
      </c>
      <c r="K454" s="64" t="s">
        <v>549</v>
      </c>
      <c r="L454" s="64" t="s">
        <v>549</v>
      </c>
      <c r="M454" s="64"/>
    </row>
    <row r="455" spans="1:13" ht="16.2" x14ac:dyDescent="0.4">
      <c r="A455" s="3" t="str">
        <f t="shared" si="9"/>
        <v>lt003_entitygrp_annl_trnvr_le</v>
      </c>
      <c r="B455" s="52" t="s">
        <v>23</v>
      </c>
      <c r="C455" s="49" t="s">
        <v>23</v>
      </c>
      <c r="D455" s="45" t="s">
        <v>36</v>
      </c>
      <c r="E455" s="48" t="s">
        <v>323</v>
      </c>
      <c r="F455" s="48" t="s">
        <v>349</v>
      </c>
      <c r="G455" s="47" t="s">
        <v>533</v>
      </c>
      <c r="H455" s="47" t="s">
        <v>533</v>
      </c>
      <c r="I455" s="54"/>
      <c r="J455" s="64" t="s">
        <v>549</v>
      </c>
      <c r="K455" s="64" t="s">
        <v>549</v>
      </c>
      <c r="L455" s="64" t="s">
        <v>549</v>
      </c>
      <c r="M455" s="64"/>
    </row>
    <row r="456" spans="1:13" ht="16.2" x14ac:dyDescent="0.4">
      <c r="A456" s="3" t="str">
        <f t="shared" si="9"/>
        <v>lt003_entitygrp_ttl_lblty</v>
      </c>
      <c r="B456" s="52" t="s">
        <v>23</v>
      </c>
      <c r="C456" s="49" t="s">
        <v>23</v>
      </c>
      <c r="D456" s="45" t="s">
        <v>36</v>
      </c>
      <c r="E456" s="48" t="s">
        <v>323</v>
      </c>
      <c r="F456" s="48" t="s">
        <v>350</v>
      </c>
      <c r="G456" s="47" t="s">
        <v>533</v>
      </c>
      <c r="H456" s="47" t="s">
        <v>533</v>
      </c>
      <c r="I456" s="54"/>
      <c r="J456" s="64" t="s">
        <v>549</v>
      </c>
      <c r="K456" s="64" t="s">
        <v>549</v>
      </c>
      <c r="L456" s="64" t="s">
        <v>549</v>
      </c>
      <c r="M456" s="64"/>
    </row>
    <row r="457" spans="1:13" ht="16.2" x14ac:dyDescent="0.4">
      <c r="A457" s="3" t="str">
        <f t="shared" si="9"/>
        <v>lt003_entityflg_grp_nfrd_applcblty</v>
      </c>
      <c r="B457" s="52" t="s">
        <v>23</v>
      </c>
      <c r="C457" s="49" t="s">
        <v>23</v>
      </c>
      <c r="D457" s="45" t="s">
        <v>36</v>
      </c>
      <c r="E457" s="48" t="s">
        <v>323</v>
      </c>
      <c r="F457" s="48" t="s">
        <v>351</v>
      </c>
      <c r="G457" s="47" t="s">
        <v>533</v>
      </c>
      <c r="H457" s="47" t="s">
        <v>533</v>
      </c>
      <c r="I457" s="54"/>
      <c r="J457" s="64" t="s">
        <v>549</v>
      </c>
      <c r="K457" s="64" t="s">
        <v>549</v>
      </c>
      <c r="L457" s="64" t="s">
        <v>549</v>
      </c>
      <c r="M457" s="64"/>
    </row>
    <row r="458" spans="1:13" ht="16.2" x14ac:dyDescent="0.4">
      <c r="A458" s="3" t="str">
        <f t="shared" si="9"/>
        <v>lt003_entitygrp_emssns_scp1</v>
      </c>
      <c r="B458" s="52" t="s">
        <v>23</v>
      </c>
      <c r="C458" s="49" t="s">
        <v>23</v>
      </c>
      <c r="D458" s="45" t="s">
        <v>36</v>
      </c>
      <c r="E458" s="48" t="s">
        <v>323</v>
      </c>
      <c r="F458" s="48" t="s">
        <v>352</v>
      </c>
      <c r="G458" s="47" t="s">
        <v>533</v>
      </c>
      <c r="H458" s="47" t="s">
        <v>533</v>
      </c>
      <c r="I458" s="54"/>
      <c r="J458" s="64" t="s">
        <v>549</v>
      </c>
      <c r="K458" s="64" t="s">
        <v>549</v>
      </c>
      <c r="L458" s="64" t="s">
        <v>549</v>
      </c>
      <c r="M458" s="64"/>
    </row>
    <row r="459" spans="1:13" ht="16.2" x14ac:dyDescent="0.4">
      <c r="A459" s="3" t="str">
        <f t="shared" si="9"/>
        <v>lt003_entitygrp_emssns_scp2</v>
      </c>
      <c r="B459" s="52" t="s">
        <v>23</v>
      </c>
      <c r="C459" s="49" t="s">
        <v>23</v>
      </c>
      <c r="D459" s="45" t="s">
        <v>36</v>
      </c>
      <c r="E459" s="48" t="s">
        <v>323</v>
      </c>
      <c r="F459" s="48" t="s">
        <v>353</v>
      </c>
      <c r="G459" s="47" t="s">
        <v>533</v>
      </c>
      <c r="H459" s="47" t="s">
        <v>533</v>
      </c>
      <c r="I459" s="54"/>
      <c r="J459" s="64" t="s">
        <v>549</v>
      </c>
      <c r="K459" s="64" t="s">
        <v>549</v>
      </c>
      <c r="L459" s="64" t="s">
        <v>549</v>
      </c>
      <c r="M459" s="64"/>
    </row>
    <row r="460" spans="1:13" ht="16.2" x14ac:dyDescent="0.4">
      <c r="A460" s="3" t="str">
        <f t="shared" si="9"/>
        <v>lt003_entitygrp_emssns_scp3</v>
      </c>
      <c r="B460" s="52" t="s">
        <v>23</v>
      </c>
      <c r="C460" s="49" t="s">
        <v>23</v>
      </c>
      <c r="D460" s="45" t="s">
        <v>36</v>
      </c>
      <c r="E460" s="48" t="s">
        <v>323</v>
      </c>
      <c r="F460" s="48" t="s">
        <v>354</v>
      </c>
      <c r="G460" s="47" t="s">
        <v>533</v>
      </c>
      <c r="H460" s="47" t="s">
        <v>533</v>
      </c>
      <c r="I460" s="54"/>
      <c r="J460" s="64" t="s">
        <v>549</v>
      </c>
      <c r="K460" s="64" t="s">
        <v>549</v>
      </c>
      <c r="L460" s="64" t="s">
        <v>549</v>
      </c>
      <c r="M460" s="64"/>
    </row>
    <row r="461" spans="1:13" ht="16.2" x14ac:dyDescent="0.4">
      <c r="A461" s="3" t="str">
        <f t="shared" si="9"/>
        <v>lt004_protectiontyp_ep_scr</v>
      </c>
      <c r="B461" s="52" t="s">
        <v>23</v>
      </c>
      <c r="C461" s="49" t="s">
        <v>23</v>
      </c>
      <c r="D461" s="45" t="s">
        <v>36</v>
      </c>
      <c r="E461" s="48" t="s">
        <v>355</v>
      </c>
      <c r="F461" s="48" t="s">
        <v>356</v>
      </c>
      <c r="G461" s="47" t="s">
        <v>475</v>
      </c>
      <c r="H461" s="47" t="s">
        <v>533</v>
      </c>
      <c r="I461" s="54"/>
      <c r="J461" s="64">
        <v>45583</v>
      </c>
      <c r="K461" s="64" t="s">
        <v>549</v>
      </c>
      <c r="L461" s="64" t="s">
        <v>549</v>
      </c>
      <c r="M461" s="64"/>
    </row>
    <row r="462" spans="1:13" ht="16.2" x14ac:dyDescent="0.4">
      <c r="A462" s="3" t="str">
        <f t="shared" si="9"/>
        <v>lt004_protectionep_scr</v>
      </c>
      <c r="B462" s="52" t="s">
        <v>23</v>
      </c>
      <c r="C462" s="49" t="s">
        <v>23</v>
      </c>
      <c r="D462" s="45" t="s">
        <v>36</v>
      </c>
      <c r="E462" s="48" t="s">
        <v>355</v>
      </c>
      <c r="F462" s="48" t="s">
        <v>357</v>
      </c>
      <c r="G462" s="47" t="s">
        <v>475</v>
      </c>
      <c r="H462" s="47" t="s">
        <v>533</v>
      </c>
      <c r="I462" s="54"/>
      <c r="J462" s="64">
        <v>45583</v>
      </c>
      <c r="K462" s="64" t="s">
        <v>549</v>
      </c>
      <c r="L462" s="64" t="s">
        <v>549</v>
      </c>
      <c r="M462" s="64"/>
    </row>
    <row r="463" spans="1:13" ht="16.2" x14ac:dyDescent="0.4">
      <c r="A463" s="3" t="str">
        <f t="shared" si="9"/>
        <v>lt004_protectiontyp_epc_lbl</v>
      </c>
      <c r="B463" s="52" t="s">
        <v>23</v>
      </c>
      <c r="C463" s="49" t="s">
        <v>23</v>
      </c>
      <c r="D463" s="45" t="s">
        <v>36</v>
      </c>
      <c r="E463" s="48" t="s">
        <v>355</v>
      </c>
      <c r="F463" s="48" t="s">
        <v>358</v>
      </c>
      <c r="G463" s="47" t="s">
        <v>475</v>
      </c>
      <c r="H463" s="47" t="s">
        <v>533</v>
      </c>
      <c r="I463" s="54"/>
      <c r="J463" s="64">
        <v>45583</v>
      </c>
      <c r="K463" s="64" t="s">
        <v>549</v>
      </c>
      <c r="L463" s="64" t="s">
        <v>549</v>
      </c>
      <c r="M463" s="64"/>
    </row>
    <row r="464" spans="1:13" ht="16.2" x14ac:dyDescent="0.4">
      <c r="A464" s="3" t="str">
        <f t="shared" si="9"/>
        <v>lt004_protectionepc_lbl</v>
      </c>
      <c r="B464" s="52" t="s">
        <v>23</v>
      </c>
      <c r="C464" s="49" t="s">
        <v>23</v>
      </c>
      <c r="D464" s="45" t="s">
        <v>36</v>
      </c>
      <c r="E464" s="48" t="s">
        <v>355</v>
      </c>
      <c r="F464" s="48" t="s">
        <v>359</v>
      </c>
      <c r="G464" s="47" t="s">
        <v>475</v>
      </c>
      <c r="H464" s="47" t="s">
        <v>533</v>
      </c>
      <c r="I464" s="54"/>
      <c r="J464" s="64">
        <v>45583</v>
      </c>
      <c r="K464" s="64" t="s">
        <v>549</v>
      </c>
      <c r="L464" s="64" t="s">
        <v>549</v>
      </c>
      <c r="M464" s="64"/>
    </row>
    <row r="465" spans="1:13" ht="16.2" x14ac:dyDescent="0.4">
      <c r="A465" s="3" t="str">
        <f t="shared" si="9"/>
        <v>lt004_protectionemssns_scp1_prtctn</v>
      </c>
      <c r="B465" s="52" t="s">
        <v>23</v>
      </c>
      <c r="C465" s="49" t="s">
        <v>23</v>
      </c>
      <c r="D465" s="45" t="s">
        <v>36</v>
      </c>
      <c r="E465" s="48" t="s">
        <v>355</v>
      </c>
      <c r="F465" s="48" t="s">
        <v>360</v>
      </c>
      <c r="G465" s="47" t="s">
        <v>471</v>
      </c>
      <c r="H465" s="47" t="s">
        <v>533</v>
      </c>
      <c r="I465" s="54"/>
      <c r="J465" s="64" t="s">
        <v>549</v>
      </c>
      <c r="K465" s="64" t="s">
        <v>549</v>
      </c>
      <c r="L465" s="64" t="s">
        <v>549</v>
      </c>
      <c r="M465" s="64"/>
    </row>
    <row r="466" spans="1:13" ht="16.2" x14ac:dyDescent="0.4">
      <c r="A466" s="3" t="str">
        <f t="shared" ref="A466:A529" si="10">E466&amp;F466</f>
        <v>lt004_protectionemssns_scp2_prtctn</v>
      </c>
      <c r="B466" s="52" t="s">
        <v>23</v>
      </c>
      <c r="C466" s="49" t="s">
        <v>23</v>
      </c>
      <c r="D466" s="45" t="s">
        <v>36</v>
      </c>
      <c r="E466" s="48" t="s">
        <v>355</v>
      </c>
      <c r="F466" s="48" t="s">
        <v>361</v>
      </c>
      <c r="G466" s="47" t="s">
        <v>471</v>
      </c>
      <c r="H466" s="47" t="s">
        <v>533</v>
      </c>
      <c r="I466" s="54"/>
      <c r="J466" s="64" t="s">
        <v>549</v>
      </c>
      <c r="K466" s="64" t="s">
        <v>549</v>
      </c>
      <c r="L466" s="64" t="s">
        <v>549</v>
      </c>
      <c r="M466" s="64"/>
    </row>
    <row r="467" spans="1:13" ht="16.2" x14ac:dyDescent="0.4">
      <c r="A467" s="3" t="str">
        <f t="shared" si="10"/>
        <v>lt004_protectionemssns_scp3_prtctn</v>
      </c>
      <c r="B467" s="52" t="s">
        <v>23</v>
      </c>
      <c r="C467" s="49" t="s">
        <v>23</v>
      </c>
      <c r="D467" s="45" t="s">
        <v>36</v>
      </c>
      <c r="E467" s="48" t="s">
        <v>355</v>
      </c>
      <c r="F467" s="48" t="s">
        <v>362</v>
      </c>
      <c r="G467" s="47" t="s">
        <v>475</v>
      </c>
      <c r="H467" s="47" t="s">
        <v>533</v>
      </c>
      <c r="I467" s="54"/>
      <c r="J467" s="64">
        <v>45583</v>
      </c>
      <c r="K467" s="64" t="s">
        <v>549</v>
      </c>
      <c r="L467" s="64" t="s">
        <v>549</v>
      </c>
      <c r="M467" s="64"/>
    </row>
    <row r="468" spans="1:13" ht="16.2" x14ac:dyDescent="0.4">
      <c r="A468" s="3" t="str">
        <f t="shared" si="10"/>
        <v>lt004_protectionmthd_usd_prtctn_scp_1</v>
      </c>
      <c r="B468" s="52" t="s">
        <v>23</v>
      </c>
      <c r="C468" s="49" t="s">
        <v>23</v>
      </c>
      <c r="D468" s="45" t="s">
        <v>36</v>
      </c>
      <c r="E468" s="48" t="s">
        <v>355</v>
      </c>
      <c r="F468" s="48" t="s">
        <v>363</v>
      </c>
      <c r="G468" s="47" t="s">
        <v>475</v>
      </c>
      <c r="H468" s="47" t="s">
        <v>533</v>
      </c>
      <c r="I468" s="54"/>
      <c r="J468" s="64">
        <v>45583</v>
      </c>
      <c r="K468" s="64" t="s">
        <v>549</v>
      </c>
      <c r="L468" s="64" t="s">
        <v>549</v>
      </c>
      <c r="M468" s="64"/>
    </row>
    <row r="469" spans="1:13" ht="16.2" x14ac:dyDescent="0.4">
      <c r="A469" s="3" t="str">
        <f t="shared" si="10"/>
        <v>lt004_protectionmthd_usd_prtctn_scp_2</v>
      </c>
      <c r="B469" s="52" t="s">
        <v>23</v>
      </c>
      <c r="C469" s="49" t="s">
        <v>23</v>
      </c>
      <c r="D469" s="45" t="s">
        <v>36</v>
      </c>
      <c r="E469" s="48" t="s">
        <v>355</v>
      </c>
      <c r="F469" s="48" t="s">
        <v>364</v>
      </c>
      <c r="G469" s="47" t="s">
        <v>475</v>
      </c>
      <c r="H469" s="47" t="s">
        <v>533</v>
      </c>
      <c r="I469" s="54"/>
      <c r="J469" s="64">
        <v>45583</v>
      </c>
      <c r="K469" s="64" t="s">
        <v>549</v>
      </c>
      <c r="L469" s="64" t="s">
        <v>549</v>
      </c>
      <c r="M469" s="64"/>
    </row>
    <row r="470" spans="1:13" ht="16.2" x14ac:dyDescent="0.4">
      <c r="A470" s="3" t="str">
        <f t="shared" si="10"/>
        <v>lt004_protectionmthd_usd_prtctn_scp_3</v>
      </c>
      <c r="B470" s="52" t="s">
        <v>23</v>
      </c>
      <c r="C470" s="49" t="s">
        <v>23</v>
      </c>
      <c r="D470" s="45" t="s">
        <v>36</v>
      </c>
      <c r="E470" s="48" t="s">
        <v>355</v>
      </c>
      <c r="F470" s="48" t="s">
        <v>365</v>
      </c>
      <c r="G470" s="47" t="s">
        <v>475</v>
      </c>
      <c r="H470" s="47" t="s">
        <v>533</v>
      </c>
      <c r="I470" s="54"/>
      <c r="J470" s="64">
        <v>45583</v>
      </c>
      <c r="K470" s="64" t="s">
        <v>549</v>
      </c>
      <c r="L470" s="64" t="s">
        <v>549</v>
      </c>
      <c r="M470" s="64"/>
    </row>
    <row r="471" spans="1:13" ht="16.2" x14ac:dyDescent="0.4">
      <c r="A471" s="3" t="str">
        <f t="shared" si="10"/>
        <v>lt004_protectionflg_act_physcl_rsk</v>
      </c>
      <c r="B471" s="52" t="s">
        <v>23</v>
      </c>
      <c r="C471" s="49" t="s">
        <v>23</v>
      </c>
      <c r="D471" s="45" t="s">
        <v>36</v>
      </c>
      <c r="E471" s="48" t="s">
        <v>355</v>
      </c>
      <c r="F471" s="48" t="s">
        <v>344</v>
      </c>
      <c r="G471" s="47" t="s">
        <v>475</v>
      </c>
      <c r="H471" s="47" t="s">
        <v>533</v>
      </c>
      <c r="I471" s="54"/>
      <c r="J471" s="64">
        <v>45583</v>
      </c>
      <c r="K471" s="64" t="s">
        <v>549</v>
      </c>
      <c r="L471" s="64" t="s">
        <v>549</v>
      </c>
      <c r="M471" s="64"/>
    </row>
    <row r="472" spans="1:13" ht="16.2" x14ac:dyDescent="0.4">
      <c r="A472" s="3" t="str">
        <f t="shared" si="10"/>
        <v>lt004_protectionflg_chrnc_physcl_rsk</v>
      </c>
      <c r="B472" s="52" t="s">
        <v>23</v>
      </c>
      <c r="C472" s="49" t="s">
        <v>23</v>
      </c>
      <c r="D472" s="45" t="s">
        <v>36</v>
      </c>
      <c r="E472" s="48" t="s">
        <v>355</v>
      </c>
      <c r="F472" s="48" t="s">
        <v>345</v>
      </c>
      <c r="G472" s="47" t="s">
        <v>475</v>
      </c>
      <c r="H472" s="47" t="s">
        <v>533</v>
      </c>
      <c r="I472" s="54"/>
      <c r="J472" s="64">
        <v>45583</v>
      </c>
      <c r="K472" s="64" t="s">
        <v>549</v>
      </c>
      <c r="L472" s="64" t="s">
        <v>549</v>
      </c>
      <c r="M472" s="64"/>
    </row>
    <row r="473" spans="1:13" ht="16.2" x14ac:dyDescent="0.4">
      <c r="A473" s="3" t="str">
        <f t="shared" si="10"/>
        <v>lt002_instrumentrsk_mtgtd_cct</v>
      </c>
      <c r="B473" s="52" t="s">
        <v>23</v>
      </c>
      <c r="C473" s="49" t="s">
        <v>23</v>
      </c>
      <c r="D473" s="45" t="s">
        <v>36</v>
      </c>
      <c r="E473" s="48" t="s">
        <v>366</v>
      </c>
      <c r="F473" s="48" t="s">
        <v>367</v>
      </c>
      <c r="G473" s="47" t="s">
        <v>25</v>
      </c>
      <c r="H473" s="47" t="s">
        <v>25</v>
      </c>
      <c r="I473" s="54"/>
      <c r="J473" s="64" t="s">
        <v>549</v>
      </c>
      <c r="K473" s="64" t="s">
        <v>549</v>
      </c>
      <c r="L473" s="64" t="s">
        <v>549</v>
      </c>
      <c r="M473" s="64"/>
    </row>
    <row r="474" spans="1:13" ht="16.2" x14ac:dyDescent="0.4">
      <c r="A474" s="3" t="str">
        <f t="shared" si="10"/>
        <v>lt002_instrumentrsk_mtgtd_ccp</v>
      </c>
      <c r="B474" s="52" t="s">
        <v>23</v>
      </c>
      <c r="C474" s="49" t="s">
        <v>23</v>
      </c>
      <c r="D474" s="45" t="s">
        <v>36</v>
      </c>
      <c r="E474" s="48" t="s">
        <v>366</v>
      </c>
      <c r="F474" s="48" t="s">
        <v>368</v>
      </c>
      <c r="G474" s="47" t="s">
        <v>25</v>
      </c>
      <c r="H474" s="47" t="s">
        <v>25</v>
      </c>
      <c r="I474" s="54"/>
      <c r="J474" s="64" t="s">
        <v>549</v>
      </c>
      <c r="K474" s="64" t="s">
        <v>549</v>
      </c>
      <c r="L474" s="64" t="s">
        <v>549</v>
      </c>
      <c r="M474" s="64"/>
    </row>
    <row r="475" spans="1:13" ht="16.2" x14ac:dyDescent="0.4">
      <c r="A475" s="3" t="str">
        <f t="shared" si="10"/>
        <v>lt002_instrumentenvrnmntl_objctv</v>
      </c>
      <c r="B475" s="52" t="s">
        <v>23</v>
      </c>
      <c r="C475" s="49" t="s">
        <v>23</v>
      </c>
      <c r="D475" s="45" t="s">
        <v>36</v>
      </c>
      <c r="E475" s="48" t="s">
        <v>366</v>
      </c>
      <c r="F475" s="48" t="s">
        <v>369</v>
      </c>
      <c r="G475" s="47" t="s">
        <v>472</v>
      </c>
      <c r="H475" s="47" t="s">
        <v>472</v>
      </c>
      <c r="I475" s="54" t="s">
        <v>540</v>
      </c>
      <c r="J475" s="64" t="s">
        <v>549</v>
      </c>
      <c r="K475" s="64" t="s">
        <v>549</v>
      </c>
      <c r="L475" s="64" t="s">
        <v>549</v>
      </c>
      <c r="M475" s="64"/>
    </row>
    <row r="476" spans="1:13" ht="16.2" x14ac:dyDescent="0.4">
      <c r="A476" s="3" t="str">
        <f t="shared" si="10"/>
        <v>lt002_instrumenttyp_actvty</v>
      </c>
      <c r="B476" s="52" t="s">
        <v>23</v>
      </c>
      <c r="C476" s="49" t="s">
        <v>23</v>
      </c>
      <c r="D476" s="45" t="s">
        <v>36</v>
      </c>
      <c r="E476" s="48" t="s">
        <v>366</v>
      </c>
      <c r="F476" s="48" t="s">
        <v>370</v>
      </c>
      <c r="G476" s="47" t="s">
        <v>472</v>
      </c>
      <c r="H476" s="47" t="s">
        <v>472</v>
      </c>
      <c r="I476" s="54" t="s">
        <v>540</v>
      </c>
      <c r="J476" s="64" t="s">
        <v>549</v>
      </c>
      <c r="K476" s="64" t="s">
        <v>549</v>
      </c>
      <c r="L476" s="64" t="s">
        <v>549</v>
      </c>
      <c r="M476" s="64"/>
    </row>
    <row r="477" spans="1:13" ht="16.2" x14ac:dyDescent="0.4">
      <c r="A477" s="3" t="str">
        <f t="shared" si="10"/>
        <v>lt002_instrumentlns_clltrlzd_clssfctn</v>
      </c>
      <c r="B477" s="52" t="s">
        <v>23</v>
      </c>
      <c r="C477" s="49" t="s">
        <v>23</v>
      </c>
      <c r="D477" s="45" t="s">
        <v>36</v>
      </c>
      <c r="E477" s="48" t="s">
        <v>366</v>
      </c>
      <c r="F477" s="48" t="s">
        <v>371</v>
      </c>
      <c r="G477" s="47" t="s">
        <v>473</v>
      </c>
      <c r="H477" s="47" t="s">
        <v>532</v>
      </c>
      <c r="I477" s="54"/>
      <c r="J477" s="64">
        <v>45583</v>
      </c>
      <c r="K477" s="64" t="s">
        <v>549</v>
      </c>
      <c r="L477" s="64" t="s">
        <v>549</v>
      </c>
      <c r="M477" s="64"/>
    </row>
    <row r="478" spans="1:13" ht="16.2" x14ac:dyDescent="0.4">
      <c r="A478" s="3" t="str">
        <f t="shared" si="10"/>
        <v>lt002_instrumentmthd_usd_instrmnt_scp_1</v>
      </c>
      <c r="B478" s="52" t="s">
        <v>23</v>
      </c>
      <c r="C478" s="49" t="s">
        <v>23</v>
      </c>
      <c r="D478" s="45" t="s">
        <v>36</v>
      </c>
      <c r="E478" s="48" t="s">
        <v>366</v>
      </c>
      <c r="F478" s="48" t="s">
        <v>372</v>
      </c>
      <c r="G478" s="47" t="s">
        <v>472</v>
      </c>
      <c r="H478" s="47" t="s">
        <v>472</v>
      </c>
      <c r="I478" s="54" t="s">
        <v>539</v>
      </c>
      <c r="J478" s="64">
        <v>45575</v>
      </c>
      <c r="K478" s="64" t="s">
        <v>549</v>
      </c>
      <c r="L478" s="64" t="s">
        <v>549</v>
      </c>
      <c r="M478" s="64"/>
    </row>
    <row r="479" spans="1:13" ht="16.2" x14ac:dyDescent="0.4">
      <c r="A479" s="3" t="str">
        <f t="shared" si="10"/>
        <v>lt002_instrumentmthd_usd_instrmnt_scp_2</v>
      </c>
      <c r="B479" s="52" t="s">
        <v>23</v>
      </c>
      <c r="C479" s="49" t="s">
        <v>23</v>
      </c>
      <c r="D479" s="45" t="s">
        <v>36</v>
      </c>
      <c r="E479" s="48" t="s">
        <v>366</v>
      </c>
      <c r="F479" s="48" t="s">
        <v>373</v>
      </c>
      <c r="G479" s="47" t="s">
        <v>472</v>
      </c>
      <c r="H479" s="47" t="s">
        <v>472</v>
      </c>
      <c r="I479" s="54" t="s">
        <v>539</v>
      </c>
      <c r="J479" s="64">
        <v>45575</v>
      </c>
      <c r="K479" s="64" t="s">
        <v>549</v>
      </c>
      <c r="L479" s="64" t="s">
        <v>549</v>
      </c>
      <c r="M479" s="64"/>
    </row>
    <row r="480" spans="1:13" ht="16.2" x14ac:dyDescent="0.4">
      <c r="A480" s="3" t="str">
        <f t="shared" si="10"/>
        <v>lt002_instrumentmthd_usd_instrmnt_scp_3</v>
      </c>
      <c r="B480" s="52" t="s">
        <v>23</v>
      </c>
      <c r="C480" s="49" t="s">
        <v>23</v>
      </c>
      <c r="D480" s="45" t="s">
        <v>36</v>
      </c>
      <c r="E480" s="48" t="s">
        <v>366</v>
      </c>
      <c r="F480" s="48" t="s">
        <v>374</v>
      </c>
      <c r="G480" s="47" t="s">
        <v>472</v>
      </c>
      <c r="H480" s="47" t="s">
        <v>472</v>
      </c>
      <c r="I480" s="54" t="s">
        <v>539</v>
      </c>
      <c r="J480" s="64">
        <v>45575</v>
      </c>
      <c r="K480" s="64" t="s">
        <v>549</v>
      </c>
      <c r="L480" s="64" t="s">
        <v>549</v>
      </c>
      <c r="M480" s="64"/>
    </row>
    <row r="481" spans="1:13" ht="16.2" x14ac:dyDescent="0.4">
      <c r="A481" s="3" t="str">
        <f t="shared" si="10"/>
        <v>lt002_instrumentsstnbl_ctgry_txnmy</v>
      </c>
      <c r="B481" s="52" t="s">
        <v>23</v>
      </c>
      <c r="C481" s="49" t="s">
        <v>23</v>
      </c>
      <c r="D481" s="45" t="s">
        <v>36</v>
      </c>
      <c r="E481" s="48" t="s">
        <v>366</v>
      </c>
      <c r="F481" s="48" t="s">
        <v>375</v>
      </c>
      <c r="G481" s="47" t="s">
        <v>472</v>
      </c>
      <c r="H481" s="47" t="s">
        <v>472</v>
      </c>
      <c r="I481" s="54" t="s">
        <v>540</v>
      </c>
      <c r="J481" s="64" t="s">
        <v>549</v>
      </c>
      <c r="K481" s="64" t="s">
        <v>549</v>
      </c>
      <c r="L481" s="64" t="s">
        <v>549</v>
      </c>
      <c r="M481" s="64"/>
    </row>
    <row r="482" spans="1:13" ht="16.2" x14ac:dyDescent="0.4">
      <c r="A482" s="3" t="str">
        <f t="shared" si="10"/>
        <v>lt825_mthd_usd_instrmntambito</v>
      </c>
      <c r="B482" s="52" t="s">
        <v>23</v>
      </c>
      <c r="C482" s="49" t="s">
        <v>23</v>
      </c>
      <c r="D482" s="45" t="s">
        <v>36</v>
      </c>
      <c r="E482" s="48" t="s">
        <v>376</v>
      </c>
      <c r="F482" s="48" t="s">
        <v>377</v>
      </c>
      <c r="G482" s="47" t="s">
        <v>472</v>
      </c>
      <c r="H482" s="47" t="s">
        <v>472</v>
      </c>
      <c r="I482" s="54" t="s">
        <v>539</v>
      </c>
      <c r="J482" s="64">
        <v>45575</v>
      </c>
      <c r="K482" s="64" t="s">
        <v>549</v>
      </c>
      <c r="L482" s="64" t="s">
        <v>549</v>
      </c>
      <c r="M482" s="64"/>
    </row>
    <row r="483" spans="1:13" ht="16.2" x14ac:dyDescent="0.4">
      <c r="A483" s="3" t="str">
        <f t="shared" si="10"/>
        <v>lt825_mthd_usd_instrmntref_date</v>
      </c>
      <c r="B483" s="52" t="s">
        <v>23</v>
      </c>
      <c r="C483" s="49" t="s">
        <v>23</v>
      </c>
      <c r="D483" s="45" t="s">
        <v>36</v>
      </c>
      <c r="E483" s="48" t="s">
        <v>376</v>
      </c>
      <c r="F483" s="48" t="s">
        <v>200</v>
      </c>
      <c r="G483" s="47" t="s">
        <v>472</v>
      </c>
      <c r="H483" s="47" t="s">
        <v>472</v>
      </c>
      <c r="I483" s="54" t="s">
        <v>539</v>
      </c>
      <c r="J483" s="64">
        <v>45575</v>
      </c>
      <c r="K483" s="64" t="s">
        <v>549</v>
      </c>
      <c r="L483" s="64" t="s">
        <v>549</v>
      </c>
      <c r="M483" s="64"/>
    </row>
    <row r="484" spans="1:13" ht="16.2" x14ac:dyDescent="0.4">
      <c r="A484" s="3" t="str">
        <f t="shared" si="10"/>
        <v>lt825_mthd_usd_instrmntordem</v>
      </c>
      <c r="B484" s="52" t="s">
        <v>23</v>
      </c>
      <c r="C484" s="49" t="s">
        <v>23</v>
      </c>
      <c r="D484" s="45" t="s">
        <v>36</v>
      </c>
      <c r="E484" s="48" t="s">
        <v>376</v>
      </c>
      <c r="F484" s="48" t="s">
        <v>203</v>
      </c>
      <c r="G484" s="47" t="s">
        <v>472</v>
      </c>
      <c r="H484" s="47" t="s">
        <v>472</v>
      </c>
      <c r="I484" s="54" t="s">
        <v>539</v>
      </c>
      <c r="J484" s="64">
        <v>45575</v>
      </c>
      <c r="K484" s="64" t="s">
        <v>549</v>
      </c>
      <c r="L484" s="64" t="s">
        <v>549</v>
      </c>
      <c r="M484" s="64"/>
    </row>
    <row r="485" spans="1:13" ht="16.2" x14ac:dyDescent="0.4">
      <c r="A485" s="3" t="str">
        <f t="shared" si="10"/>
        <v>lt825_mthd_usd_instrmnttabela</v>
      </c>
      <c r="B485" s="52" t="s">
        <v>23</v>
      </c>
      <c r="C485" s="49" t="s">
        <v>23</v>
      </c>
      <c r="D485" s="45" t="s">
        <v>36</v>
      </c>
      <c r="E485" s="48" t="s">
        <v>376</v>
      </c>
      <c r="F485" s="48" t="s">
        <v>378</v>
      </c>
      <c r="G485" s="47" t="s">
        <v>472</v>
      </c>
      <c r="H485" s="47" t="s">
        <v>472</v>
      </c>
      <c r="I485" s="54" t="s">
        <v>539</v>
      </c>
      <c r="J485" s="64">
        <v>45575</v>
      </c>
      <c r="K485" s="64" t="s">
        <v>549</v>
      </c>
      <c r="L485" s="64" t="s">
        <v>549</v>
      </c>
      <c r="M485" s="64"/>
    </row>
    <row r="486" spans="1:13" ht="16.2" x14ac:dyDescent="0.4">
      <c r="A486" s="3" t="str">
        <f t="shared" si="10"/>
        <v>lt825_mthd_usd_instrmntorigem_scp1_emss</v>
      </c>
      <c r="B486" s="52" t="s">
        <v>23</v>
      </c>
      <c r="C486" s="49" t="s">
        <v>23</v>
      </c>
      <c r="D486" s="45" t="s">
        <v>36</v>
      </c>
      <c r="E486" s="48" t="s">
        <v>376</v>
      </c>
      <c r="F486" s="48" t="s">
        <v>310</v>
      </c>
      <c r="G486" s="47" t="s">
        <v>472</v>
      </c>
      <c r="H486" s="47" t="s">
        <v>472</v>
      </c>
      <c r="I486" s="54" t="s">
        <v>539</v>
      </c>
      <c r="J486" s="64">
        <v>45575</v>
      </c>
      <c r="K486" s="64" t="s">
        <v>549</v>
      </c>
      <c r="L486" s="64" t="s">
        <v>549</v>
      </c>
      <c r="M486" s="64"/>
    </row>
    <row r="487" spans="1:13" ht="16.2" x14ac:dyDescent="0.4">
      <c r="A487" s="3" t="str">
        <f t="shared" si="10"/>
        <v>lt825_mthd_usd_instrmntorigem_scp2_emss</v>
      </c>
      <c r="B487" s="52" t="s">
        <v>23</v>
      </c>
      <c r="C487" s="49" t="s">
        <v>23</v>
      </c>
      <c r="D487" s="45" t="s">
        <v>36</v>
      </c>
      <c r="E487" s="48" t="s">
        <v>376</v>
      </c>
      <c r="F487" s="48" t="s">
        <v>311</v>
      </c>
      <c r="G487" s="47" t="s">
        <v>472</v>
      </c>
      <c r="H487" s="47" t="s">
        <v>472</v>
      </c>
      <c r="I487" s="54" t="s">
        <v>539</v>
      </c>
      <c r="J487" s="64">
        <v>45575</v>
      </c>
      <c r="K487" s="64" t="s">
        <v>549</v>
      </c>
      <c r="L487" s="64" t="s">
        <v>549</v>
      </c>
      <c r="M487" s="64"/>
    </row>
    <row r="488" spans="1:13" ht="16.2" x14ac:dyDescent="0.4">
      <c r="A488" s="3" t="str">
        <f t="shared" si="10"/>
        <v>lt825_mthd_usd_instrmntorigem_scp3_emss</v>
      </c>
      <c r="B488" s="52" t="s">
        <v>23</v>
      </c>
      <c r="C488" s="49" t="s">
        <v>23</v>
      </c>
      <c r="D488" s="45" t="s">
        <v>36</v>
      </c>
      <c r="E488" s="48" t="s">
        <v>376</v>
      </c>
      <c r="F488" s="48" t="s">
        <v>312</v>
      </c>
      <c r="G488" s="47" t="s">
        <v>472</v>
      </c>
      <c r="H488" s="47" t="s">
        <v>472</v>
      </c>
      <c r="I488" s="54" t="s">
        <v>539</v>
      </c>
      <c r="J488" s="64">
        <v>45575</v>
      </c>
      <c r="K488" s="64" t="s">
        <v>549</v>
      </c>
      <c r="L488" s="64" t="s">
        <v>549</v>
      </c>
      <c r="M488" s="64"/>
    </row>
    <row r="489" spans="1:13" ht="16.2" x14ac:dyDescent="0.4">
      <c r="A489" s="3" t="str">
        <f t="shared" si="10"/>
        <v>lt825_mthd_usd_instrmntmthd_usd_instrmnt_scp_1</v>
      </c>
      <c r="B489" s="52" t="s">
        <v>23</v>
      </c>
      <c r="C489" s="49" t="s">
        <v>23</v>
      </c>
      <c r="D489" s="45" t="s">
        <v>36</v>
      </c>
      <c r="E489" s="48" t="s">
        <v>376</v>
      </c>
      <c r="F489" s="48" t="s">
        <v>372</v>
      </c>
      <c r="G489" s="47" t="s">
        <v>472</v>
      </c>
      <c r="H489" s="47" t="s">
        <v>472</v>
      </c>
      <c r="I489" s="54" t="s">
        <v>539</v>
      </c>
      <c r="J489" s="64">
        <v>45575</v>
      </c>
      <c r="K489" s="64" t="s">
        <v>549</v>
      </c>
      <c r="L489" s="64" t="s">
        <v>549</v>
      </c>
      <c r="M489" s="64"/>
    </row>
    <row r="490" spans="1:13" ht="16.2" x14ac:dyDescent="0.4">
      <c r="A490" s="3" t="str">
        <f t="shared" si="10"/>
        <v>lt825_mthd_usd_instrmntmthd_usd_instrmnt_scp_2</v>
      </c>
      <c r="B490" s="52" t="s">
        <v>23</v>
      </c>
      <c r="C490" s="49" t="s">
        <v>23</v>
      </c>
      <c r="D490" s="45" t="s">
        <v>36</v>
      </c>
      <c r="E490" s="48" t="s">
        <v>376</v>
      </c>
      <c r="F490" s="48" t="s">
        <v>373</v>
      </c>
      <c r="G490" s="47" t="s">
        <v>472</v>
      </c>
      <c r="H490" s="47" t="s">
        <v>472</v>
      </c>
      <c r="I490" s="54" t="s">
        <v>539</v>
      </c>
      <c r="J490" s="64">
        <v>45575</v>
      </c>
      <c r="K490" s="64" t="s">
        <v>549</v>
      </c>
      <c r="L490" s="64" t="s">
        <v>549</v>
      </c>
      <c r="M490" s="64"/>
    </row>
    <row r="491" spans="1:13" ht="16.2" x14ac:dyDescent="0.4">
      <c r="A491" s="3" t="str">
        <f t="shared" si="10"/>
        <v>lt825_mthd_usd_instrmntmthd_usd_instrmnt_scp_3</v>
      </c>
      <c r="B491" s="52" t="s">
        <v>23</v>
      </c>
      <c r="C491" s="49" t="s">
        <v>23</v>
      </c>
      <c r="D491" s="45" t="s">
        <v>36</v>
      </c>
      <c r="E491" s="48" t="s">
        <v>376</v>
      </c>
      <c r="F491" s="48" t="s">
        <v>374</v>
      </c>
      <c r="G491" s="47" t="s">
        <v>472</v>
      </c>
      <c r="H491" s="47" t="s">
        <v>472</v>
      </c>
      <c r="I491" s="54" t="s">
        <v>539</v>
      </c>
      <c r="J491" s="64">
        <v>45575</v>
      </c>
      <c r="K491" s="64" t="s">
        <v>549</v>
      </c>
      <c r="L491" s="64" t="s">
        <v>549</v>
      </c>
      <c r="M491" s="64"/>
    </row>
    <row r="492" spans="1:13" ht="16.2" x14ac:dyDescent="0.4">
      <c r="A492" s="3" t="str">
        <f t="shared" si="10"/>
        <v>lt826_esg_sbsctrambito</v>
      </c>
      <c r="B492" s="52" t="s">
        <v>23</v>
      </c>
      <c r="C492" s="49" t="s">
        <v>23</v>
      </c>
      <c r="D492" s="45" t="s">
        <v>36</v>
      </c>
      <c r="E492" s="48" t="s">
        <v>379</v>
      </c>
      <c r="F492" s="48" t="s">
        <v>377</v>
      </c>
      <c r="G492" s="47" t="s">
        <v>470</v>
      </c>
      <c r="H492" s="47" t="s">
        <v>532</v>
      </c>
      <c r="I492" s="54"/>
      <c r="J492" s="64" t="s">
        <v>549</v>
      </c>
      <c r="K492" s="64" t="s">
        <v>549</v>
      </c>
      <c r="L492" s="64" t="s">
        <v>549</v>
      </c>
      <c r="M492" s="64"/>
    </row>
    <row r="493" spans="1:13" ht="16.2" x14ac:dyDescent="0.4">
      <c r="A493" s="3" t="str">
        <f t="shared" si="10"/>
        <v>lt826_esg_sbsctrref_date</v>
      </c>
      <c r="B493" s="52" t="s">
        <v>23</v>
      </c>
      <c r="C493" s="49" t="s">
        <v>23</v>
      </c>
      <c r="D493" s="45" t="s">
        <v>36</v>
      </c>
      <c r="E493" s="48" t="s">
        <v>379</v>
      </c>
      <c r="F493" s="48" t="s">
        <v>200</v>
      </c>
      <c r="G493" s="47" t="s">
        <v>470</v>
      </c>
      <c r="H493" s="47" t="s">
        <v>532</v>
      </c>
      <c r="I493" s="54"/>
      <c r="J493" s="64" t="s">
        <v>549</v>
      </c>
      <c r="K493" s="64" t="s">
        <v>549</v>
      </c>
      <c r="L493" s="64" t="s">
        <v>549</v>
      </c>
      <c r="M493" s="64"/>
    </row>
    <row r="494" spans="1:13" ht="16.2" x14ac:dyDescent="0.4">
      <c r="A494" s="3" t="str">
        <f t="shared" si="10"/>
        <v>lt826_esg_sbsctrordem</v>
      </c>
      <c r="B494" s="52" t="s">
        <v>23</v>
      </c>
      <c r="C494" s="49" t="s">
        <v>23</v>
      </c>
      <c r="D494" s="45" t="s">
        <v>36</v>
      </c>
      <c r="E494" s="48" t="s">
        <v>379</v>
      </c>
      <c r="F494" s="48" t="s">
        <v>203</v>
      </c>
      <c r="G494" s="47" t="s">
        <v>470</v>
      </c>
      <c r="H494" s="47" t="s">
        <v>532</v>
      </c>
      <c r="I494" s="54"/>
      <c r="J494" s="64" t="s">
        <v>549</v>
      </c>
      <c r="K494" s="64" t="s">
        <v>549</v>
      </c>
      <c r="L494" s="64" t="s">
        <v>549</v>
      </c>
      <c r="M494" s="64"/>
    </row>
    <row r="495" spans="1:13" ht="16.2" x14ac:dyDescent="0.4">
      <c r="A495" s="3" t="str">
        <f t="shared" si="10"/>
        <v>lt826_esg_sbsctrnace_code</v>
      </c>
      <c r="B495" s="52" t="s">
        <v>23</v>
      </c>
      <c r="C495" s="49" t="s">
        <v>23</v>
      </c>
      <c r="D495" s="45" t="s">
        <v>36</v>
      </c>
      <c r="E495" s="48" t="s">
        <v>379</v>
      </c>
      <c r="F495" s="48" t="s">
        <v>380</v>
      </c>
      <c r="G495" s="47" t="s">
        <v>470</v>
      </c>
      <c r="H495" s="47" t="s">
        <v>532</v>
      </c>
      <c r="I495" s="54"/>
      <c r="J495" s="64" t="s">
        <v>549</v>
      </c>
      <c r="K495" s="64" t="s">
        <v>549</v>
      </c>
      <c r="L495" s="64" t="s">
        <v>549</v>
      </c>
      <c r="M495" s="64"/>
    </row>
    <row r="496" spans="1:13" ht="16.2" x14ac:dyDescent="0.4">
      <c r="A496" s="3" t="str">
        <f t="shared" si="10"/>
        <v>lt826_esg_sbsctrcontraparte</v>
      </c>
      <c r="B496" s="52" t="s">
        <v>23</v>
      </c>
      <c r="C496" s="49" t="s">
        <v>23</v>
      </c>
      <c r="D496" s="45" t="s">
        <v>36</v>
      </c>
      <c r="E496" s="48" t="s">
        <v>379</v>
      </c>
      <c r="F496" s="48" t="s">
        <v>381</v>
      </c>
      <c r="G496" s="47" t="s">
        <v>470</v>
      </c>
      <c r="H496" s="47" t="s">
        <v>532</v>
      </c>
      <c r="I496" s="54"/>
      <c r="J496" s="64" t="s">
        <v>549</v>
      </c>
      <c r="K496" s="64" t="s">
        <v>549</v>
      </c>
      <c r="L496" s="64" t="s">
        <v>549</v>
      </c>
      <c r="M496" s="64"/>
    </row>
    <row r="497" spans="1:13" ht="16.2" x14ac:dyDescent="0.4">
      <c r="A497" s="3" t="str">
        <f t="shared" si="10"/>
        <v>lt826_esg_sbsctrcnatureza_juri</v>
      </c>
      <c r="B497" s="52" t="s">
        <v>23</v>
      </c>
      <c r="C497" s="49" t="s">
        <v>23</v>
      </c>
      <c r="D497" s="45" t="s">
        <v>36</v>
      </c>
      <c r="E497" s="48" t="s">
        <v>379</v>
      </c>
      <c r="F497" s="48" t="s">
        <v>382</v>
      </c>
      <c r="G497" s="47" t="s">
        <v>470</v>
      </c>
      <c r="H497" s="47" t="s">
        <v>532</v>
      </c>
      <c r="I497" s="54"/>
      <c r="J497" s="64" t="s">
        <v>549</v>
      </c>
      <c r="K497" s="64" t="s">
        <v>549</v>
      </c>
      <c r="L497" s="64" t="s">
        <v>549</v>
      </c>
      <c r="M497" s="64"/>
    </row>
    <row r="498" spans="1:13" ht="16.2" x14ac:dyDescent="0.4">
      <c r="A498" s="3" t="str">
        <f t="shared" si="10"/>
        <v>lt826_esg_sbsctridcomb</v>
      </c>
      <c r="B498" s="52" t="s">
        <v>23</v>
      </c>
      <c r="C498" s="49" t="s">
        <v>23</v>
      </c>
      <c r="D498" s="45" t="s">
        <v>36</v>
      </c>
      <c r="E498" s="48" t="s">
        <v>379</v>
      </c>
      <c r="F498" s="48" t="s">
        <v>383</v>
      </c>
      <c r="G498" s="47" t="s">
        <v>470</v>
      </c>
      <c r="H498" s="47" t="s">
        <v>532</v>
      </c>
      <c r="I498" s="54"/>
      <c r="J498" s="64" t="s">
        <v>549</v>
      </c>
      <c r="K498" s="64" t="s">
        <v>549</v>
      </c>
      <c r="L498" s="64" t="s">
        <v>549</v>
      </c>
      <c r="M498" s="64"/>
    </row>
    <row r="499" spans="1:13" ht="16.2" x14ac:dyDescent="0.4">
      <c r="A499" s="3" t="str">
        <f t="shared" si="10"/>
        <v>lt826_esg_sbsctresg_sbsctr</v>
      </c>
      <c r="B499" s="52" t="s">
        <v>23</v>
      </c>
      <c r="C499" s="49" t="s">
        <v>23</v>
      </c>
      <c r="D499" s="45" t="s">
        <v>36</v>
      </c>
      <c r="E499" s="48" t="s">
        <v>379</v>
      </c>
      <c r="F499" s="48" t="s">
        <v>347</v>
      </c>
      <c r="G499" s="47" t="s">
        <v>470</v>
      </c>
      <c r="H499" s="47" t="s">
        <v>532</v>
      </c>
      <c r="I499" s="54"/>
      <c r="J499" s="64" t="s">
        <v>549</v>
      </c>
      <c r="K499" s="64" t="s">
        <v>549</v>
      </c>
      <c r="L499" s="64" t="s">
        <v>549</v>
      </c>
      <c r="M499" s="64"/>
    </row>
    <row r="500" spans="1:13" ht="16.2" x14ac:dyDescent="0.4">
      <c r="A500" s="3" t="str">
        <f t="shared" si="10"/>
        <v>lt826_esg_sbsctrdescrição</v>
      </c>
      <c r="B500" s="52" t="s">
        <v>23</v>
      </c>
      <c r="C500" s="49" t="s">
        <v>23</v>
      </c>
      <c r="D500" s="45" t="s">
        <v>36</v>
      </c>
      <c r="E500" s="48" t="s">
        <v>379</v>
      </c>
      <c r="F500" s="48" t="s">
        <v>384</v>
      </c>
      <c r="G500" s="47" t="s">
        <v>470</v>
      </c>
      <c r="H500" s="47" t="s">
        <v>532</v>
      </c>
      <c r="I500" s="54"/>
      <c r="J500" s="64" t="s">
        <v>549</v>
      </c>
      <c r="K500" s="64" t="s">
        <v>549</v>
      </c>
      <c r="L500" s="64" t="s">
        <v>549</v>
      </c>
      <c r="M500" s="64"/>
    </row>
    <row r="501" spans="1:13" ht="16.2" x14ac:dyDescent="0.4">
      <c r="A501" s="3" t="str">
        <f t="shared" si="10"/>
        <v>lt002_instrumentdt_rfrnc</v>
      </c>
      <c r="B501" s="52" t="s">
        <v>23</v>
      </c>
      <c r="C501" s="49" t="s">
        <v>23</v>
      </c>
      <c r="D501" s="45" t="s">
        <v>36</v>
      </c>
      <c r="E501" s="48" t="s">
        <v>366</v>
      </c>
      <c r="F501" s="48" t="s">
        <v>385</v>
      </c>
      <c r="G501" s="47" t="s">
        <v>470</v>
      </c>
      <c r="H501" s="47" t="s">
        <v>470</v>
      </c>
      <c r="I501" s="54" t="s">
        <v>521</v>
      </c>
      <c r="J501" s="64" t="s">
        <v>549</v>
      </c>
      <c r="K501" s="64" t="s">
        <v>549</v>
      </c>
      <c r="L501" s="64" t="s">
        <v>549</v>
      </c>
      <c r="M501" s="64"/>
    </row>
    <row r="502" spans="1:13" ht="16.2" x14ac:dyDescent="0.4">
      <c r="A502" s="3" t="str">
        <f t="shared" si="10"/>
        <v>lt002_instrumentinstrmnt_id</v>
      </c>
      <c r="B502" s="52" t="s">
        <v>23</v>
      </c>
      <c r="C502" s="49" t="s">
        <v>23</v>
      </c>
      <c r="D502" s="45" t="s">
        <v>36</v>
      </c>
      <c r="E502" s="48" t="s">
        <v>366</v>
      </c>
      <c r="F502" s="48" t="s">
        <v>386</v>
      </c>
      <c r="G502" s="47" t="s">
        <v>470</v>
      </c>
      <c r="H502" s="47" t="s">
        <v>470</v>
      </c>
      <c r="I502" s="54" t="s">
        <v>521</v>
      </c>
      <c r="J502" s="64" t="s">
        <v>549</v>
      </c>
      <c r="K502" s="64" t="s">
        <v>549</v>
      </c>
      <c r="L502" s="64" t="s">
        <v>549</v>
      </c>
      <c r="M502" s="64"/>
    </row>
    <row r="503" spans="1:13" ht="16.2" x14ac:dyDescent="0.4">
      <c r="A503" s="3" t="str">
        <f t="shared" si="10"/>
        <v>lt002_instrumentdt_incptn</v>
      </c>
      <c r="B503" s="52" t="s">
        <v>23</v>
      </c>
      <c r="C503" s="49" t="s">
        <v>23</v>
      </c>
      <c r="D503" s="45" t="s">
        <v>36</v>
      </c>
      <c r="E503" s="48" t="s">
        <v>366</v>
      </c>
      <c r="F503" s="48" t="s">
        <v>387</v>
      </c>
      <c r="G503" s="47" t="s">
        <v>470</v>
      </c>
      <c r="H503" s="47" t="s">
        <v>470</v>
      </c>
      <c r="I503" s="54" t="s">
        <v>521</v>
      </c>
      <c r="J503" s="64" t="s">
        <v>549</v>
      </c>
      <c r="K503" s="64" t="s">
        <v>549</v>
      </c>
      <c r="L503" s="64" t="s">
        <v>549</v>
      </c>
      <c r="M503" s="64"/>
    </row>
    <row r="504" spans="1:13" ht="16.2" x14ac:dyDescent="0.4">
      <c r="A504" s="3" t="str">
        <f t="shared" si="10"/>
        <v>lt002_instrumentdflt_stts_instrmnt</v>
      </c>
      <c r="B504" s="52" t="s">
        <v>23</v>
      </c>
      <c r="C504" s="49" t="s">
        <v>23</v>
      </c>
      <c r="D504" s="45" t="s">
        <v>36</v>
      </c>
      <c r="E504" s="48" t="s">
        <v>366</v>
      </c>
      <c r="F504" s="48" t="s">
        <v>388</v>
      </c>
      <c r="G504" s="47" t="s">
        <v>470</v>
      </c>
      <c r="H504" s="47" t="s">
        <v>470</v>
      </c>
      <c r="I504" s="54" t="s">
        <v>521</v>
      </c>
      <c r="J504" s="64" t="s">
        <v>549</v>
      </c>
      <c r="K504" s="64" t="s">
        <v>549</v>
      </c>
      <c r="L504" s="64" t="s">
        <v>549</v>
      </c>
      <c r="M504" s="64"/>
    </row>
    <row r="505" spans="1:13" ht="16.2" x14ac:dyDescent="0.4">
      <c r="A505" s="3" t="str">
        <f t="shared" si="10"/>
        <v>lt002_instrumentimprmnt_stts</v>
      </c>
      <c r="B505" s="52" t="s">
        <v>23</v>
      </c>
      <c r="C505" s="49" t="s">
        <v>23</v>
      </c>
      <c r="D505" s="45" t="s">
        <v>36</v>
      </c>
      <c r="E505" s="48" t="s">
        <v>366</v>
      </c>
      <c r="F505" s="48" t="s">
        <v>389</v>
      </c>
      <c r="G505" s="47" t="s">
        <v>470</v>
      </c>
      <c r="H505" s="47" t="s">
        <v>470</v>
      </c>
      <c r="I505" s="54" t="s">
        <v>521</v>
      </c>
      <c r="J505" s="64" t="s">
        <v>549</v>
      </c>
      <c r="K505" s="64" t="s">
        <v>549</v>
      </c>
      <c r="L505" s="64" t="s">
        <v>549</v>
      </c>
      <c r="M505" s="64"/>
    </row>
    <row r="506" spans="1:13" ht="16.2" x14ac:dyDescent="0.4">
      <c r="A506" s="3" t="str">
        <f t="shared" si="10"/>
        <v>lt002_instrumentprfrmng_stts</v>
      </c>
      <c r="B506" s="52" t="s">
        <v>23</v>
      </c>
      <c r="C506" s="49" t="s">
        <v>23</v>
      </c>
      <c r="D506" s="45" t="s">
        <v>36</v>
      </c>
      <c r="E506" s="48" t="s">
        <v>366</v>
      </c>
      <c r="F506" s="48" t="s">
        <v>390</v>
      </c>
      <c r="G506" s="47" t="s">
        <v>470</v>
      </c>
      <c r="H506" s="47" t="s">
        <v>470</v>
      </c>
      <c r="I506" s="54" t="s">
        <v>521</v>
      </c>
      <c r="J506" s="64" t="s">
        <v>549</v>
      </c>
      <c r="K506" s="64" t="s">
        <v>549</v>
      </c>
      <c r="L506" s="64" t="s">
        <v>549</v>
      </c>
      <c r="M506" s="64"/>
    </row>
    <row r="507" spans="1:13" ht="16.2" x14ac:dyDescent="0.4">
      <c r="A507" s="3" t="str">
        <f t="shared" si="10"/>
        <v>lt002_instrumentprjct_fnnc_ln</v>
      </c>
      <c r="B507" s="52" t="s">
        <v>23</v>
      </c>
      <c r="C507" s="49" t="s">
        <v>23</v>
      </c>
      <c r="D507" s="45" t="s">
        <v>36</v>
      </c>
      <c r="E507" s="48" t="s">
        <v>366</v>
      </c>
      <c r="F507" s="48" t="s">
        <v>391</v>
      </c>
      <c r="G507" s="47" t="s">
        <v>470</v>
      </c>
      <c r="H507" s="47" t="s">
        <v>470</v>
      </c>
      <c r="I507" s="54" t="s">
        <v>521</v>
      </c>
      <c r="J507" s="64" t="s">
        <v>549</v>
      </c>
      <c r="K507" s="64" t="s">
        <v>549</v>
      </c>
      <c r="L507" s="64" t="s">
        <v>549</v>
      </c>
      <c r="M507" s="64"/>
    </row>
    <row r="508" spans="1:13" ht="16.2" x14ac:dyDescent="0.4">
      <c r="A508" s="3" t="str">
        <f t="shared" si="10"/>
        <v>lt002_instrumenttyp_instrmnt</v>
      </c>
      <c r="B508" s="52" t="s">
        <v>23</v>
      </c>
      <c r="C508" s="49" t="s">
        <v>23</v>
      </c>
      <c r="D508" s="45" t="s">
        <v>36</v>
      </c>
      <c r="E508" s="48" t="s">
        <v>366</v>
      </c>
      <c r="F508" s="48" t="s">
        <v>392</v>
      </c>
      <c r="G508" s="47" t="s">
        <v>470</v>
      </c>
      <c r="H508" s="47" t="s">
        <v>470</v>
      </c>
      <c r="I508" s="54" t="s">
        <v>521</v>
      </c>
      <c r="J508" s="64" t="s">
        <v>549</v>
      </c>
      <c r="K508" s="64" t="s">
        <v>549</v>
      </c>
      <c r="L508" s="64" t="s">
        <v>549</v>
      </c>
      <c r="M508" s="64"/>
    </row>
    <row r="509" spans="1:13" ht="16.2" x14ac:dyDescent="0.4">
      <c r="A509" s="3" t="str">
        <f t="shared" si="10"/>
        <v>lt002_instrumentgrss_crryng_amnt_instrmnt</v>
      </c>
      <c r="B509" s="52" t="s">
        <v>23</v>
      </c>
      <c r="C509" s="49" t="s">
        <v>23</v>
      </c>
      <c r="D509" s="45" t="s">
        <v>36</v>
      </c>
      <c r="E509" s="48" t="s">
        <v>366</v>
      </c>
      <c r="F509" s="48" t="s">
        <v>393</v>
      </c>
      <c r="G509" s="47" t="s">
        <v>470</v>
      </c>
      <c r="H509" s="47" t="s">
        <v>470</v>
      </c>
      <c r="I509" s="54" t="s">
        <v>521</v>
      </c>
      <c r="J509" s="64" t="s">
        <v>549</v>
      </c>
      <c r="K509" s="64" t="s">
        <v>549</v>
      </c>
      <c r="L509" s="64" t="s">
        <v>549</v>
      </c>
      <c r="M509" s="64"/>
    </row>
    <row r="510" spans="1:13" ht="16.2" x14ac:dyDescent="0.4">
      <c r="A510" s="3" t="str">
        <f t="shared" si="10"/>
        <v>lt002_instrumentaccmltd_chngs_fv_cr_instrmnt</v>
      </c>
      <c r="B510" s="52" t="s">
        <v>23</v>
      </c>
      <c r="C510" s="49" t="s">
        <v>23</v>
      </c>
      <c r="D510" s="45" t="s">
        <v>36</v>
      </c>
      <c r="E510" s="48" t="s">
        <v>366</v>
      </c>
      <c r="F510" s="48" t="s">
        <v>394</v>
      </c>
      <c r="G510" s="47" t="s">
        <v>470</v>
      </c>
      <c r="H510" s="47" t="s">
        <v>470</v>
      </c>
      <c r="I510" s="54" t="s">
        <v>521</v>
      </c>
      <c r="J510" s="64" t="s">
        <v>549</v>
      </c>
      <c r="K510" s="64" t="s">
        <v>549</v>
      </c>
      <c r="L510" s="64" t="s">
        <v>549</v>
      </c>
      <c r="M510" s="64"/>
    </row>
    <row r="511" spans="1:13" ht="16.2" x14ac:dyDescent="0.4">
      <c r="A511" s="3" t="str">
        <f t="shared" si="10"/>
        <v>lt002_instrumentaccntng_clssfctn</v>
      </c>
      <c r="B511" s="52" t="s">
        <v>23</v>
      </c>
      <c r="C511" s="49" t="s">
        <v>23</v>
      </c>
      <c r="D511" s="45" t="s">
        <v>36</v>
      </c>
      <c r="E511" s="48" t="s">
        <v>366</v>
      </c>
      <c r="F511" s="48" t="s">
        <v>395</v>
      </c>
      <c r="G511" s="47" t="s">
        <v>470</v>
      </c>
      <c r="H511" s="47" t="s">
        <v>470</v>
      </c>
      <c r="I511" s="54" t="s">
        <v>521</v>
      </c>
      <c r="J511" s="64" t="s">
        <v>549</v>
      </c>
      <c r="K511" s="64" t="s">
        <v>549</v>
      </c>
      <c r="L511" s="64" t="s">
        <v>549</v>
      </c>
      <c r="M511" s="64"/>
    </row>
    <row r="512" spans="1:13" ht="16.2" x14ac:dyDescent="0.4">
      <c r="A512" s="3" t="str">
        <f t="shared" si="10"/>
        <v>lt002_instrumentdt_lgl_fnl_mtrty</v>
      </c>
      <c r="B512" s="52" t="s">
        <v>23</v>
      </c>
      <c r="C512" s="49" t="s">
        <v>23</v>
      </c>
      <c r="D512" s="45" t="s">
        <v>36</v>
      </c>
      <c r="E512" s="48" t="s">
        <v>366</v>
      </c>
      <c r="F512" s="48" t="s">
        <v>396</v>
      </c>
      <c r="G512" s="47" t="s">
        <v>470</v>
      </c>
      <c r="H512" s="47" t="s">
        <v>470</v>
      </c>
      <c r="I512" s="54" t="s">
        <v>521</v>
      </c>
      <c r="J512" s="64" t="s">
        <v>549</v>
      </c>
      <c r="K512" s="64" t="s">
        <v>549</v>
      </c>
      <c r="L512" s="64" t="s">
        <v>549</v>
      </c>
      <c r="M512" s="64"/>
    </row>
    <row r="513" spans="1:13" ht="16.2" x14ac:dyDescent="0.4">
      <c r="A513" s="3" t="str">
        <f t="shared" si="10"/>
        <v>lt002_instrumentaccmltd_imprmnt_instrmnt</v>
      </c>
      <c r="B513" s="52" t="s">
        <v>23</v>
      </c>
      <c r="C513" s="49" t="s">
        <v>23</v>
      </c>
      <c r="D513" s="45" t="s">
        <v>36</v>
      </c>
      <c r="E513" s="48" t="s">
        <v>366</v>
      </c>
      <c r="F513" s="48" t="s">
        <v>397</v>
      </c>
      <c r="G513" s="47" t="s">
        <v>470</v>
      </c>
      <c r="H513" s="47" t="s">
        <v>470</v>
      </c>
      <c r="I513" s="54" t="s">
        <v>521</v>
      </c>
      <c r="J513" s="64" t="s">
        <v>549</v>
      </c>
      <c r="K513" s="64" t="s">
        <v>549</v>
      </c>
      <c r="L513" s="64" t="s">
        <v>549</v>
      </c>
      <c r="M513" s="64"/>
    </row>
    <row r="514" spans="1:13" ht="16.2" x14ac:dyDescent="0.4">
      <c r="A514" s="3" t="str">
        <f t="shared" si="10"/>
        <v>lt002_instrumentissr_cntry</v>
      </c>
      <c r="B514" s="52" t="s">
        <v>23</v>
      </c>
      <c r="C514" s="49" t="s">
        <v>23</v>
      </c>
      <c r="D514" s="45" t="s">
        <v>36</v>
      </c>
      <c r="E514" s="48" t="s">
        <v>366</v>
      </c>
      <c r="F514" s="48" t="s">
        <v>398</v>
      </c>
      <c r="G514" s="47" t="s">
        <v>470</v>
      </c>
      <c r="H514" s="47" t="s">
        <v>470</v>
      </c>
      <c r="I514" s="54" t="s">
        <v>521</v>
      </c>
      <c r="J514" s="64" t="s">
        <v>549</v>
      </c>
      <c r="K514" s="64" t="s">
        <v>549</v>
      </c>
      <c r="L514" s="64" t="s">
        <v>549</v>
      </c>
      <c r="M514" s="64"/>
    </row>
    <row r="515" spans="1:13" ht="16.2" x14ac:dyDescent="0.4">
      <c r="A515" s="3" t="str">
        <f t="shared" si="10"/>
        <v>lt002_instrumentissr_nace_sctr</v>
      </c>
      <c r="B515" s="52" t="s">
        <v>23</v>
      </c>
      <c r="C515" s="49" t="s">
        <v>23</v>
      </c>
      <c r="D515" s="45" t="s">
        <v>36</v>
      </c>
      <c r="E515" s="48" t="s">
        <v>366</v>
      </c>
      <c r="F515" s="48" t="s">
        <v>399</v>
      </c>
      <c r="G515" s="47" t="s">
        <v>470</v>
      </c>
      <c r="H515" s="47" t="s">
        <v>470</v>
      </c>
      <c r="I515" s="54" t="s">
        <v>521</v>
      </c>
      <c r="J515" s="64" t="s">
        <v>549</v>
      </c>
      <c r="K515" s="64" t="s">
        <v>549</v>
      </c>
      <c r="L515" s="64" t="s">
        <v>549</v>
      </c>
      <c r="M515" s="64"/>
    </row>
    <row r="516" spans="1:13" ht="16.2" x14ac:dyDescent="0.4">
      <c r="A516" s="3" t="str">
        <f t="shared" si="10"/>
        <v>lt002_instrumentprmry_asst_clssf</v>
      </c>
      <c r="B516" s="52" t="s">
        <v>23</v>
      </c>
      <c r="C516" s="49" t="s">
        <v>23</v>
      </c>
      <c r="D516" s="45" t="s">
        <v>36</v>
      </c>
      <c r="E516" s="48" t="s">
        <v>366</v>
      </c>
      <c r="F516" s="48" t="s">
        <v>400</v>
      </c>
      <c r="G516" s="47" t="s">
        <v>470</v>
      </c>
      <c r="H516" s="47" t="s">
        <v>470</v>
      </c>
      <c r="I516" s="54" t="s">
        <v>521</v>
      </c>
      <c r="J516" s="64" t="s">
        <v>549</v>
      </c>
      <c r="K516" s="64" t="s">
        <v>549</v>
      </c>
      <c r="L516" s="64" t="s">
        <v>549</v>
      </c>
      <c r="M516" s="64"/>
    </row>
    <row r="517" spans="1:13" ht="16.2" x14ac:dyDescent="0.4">
      <c r="A517" s="3" t="str">
        <f t="shared" si="10"/>
        <v>lt002_instrumentsubportfolio_id</v>
      </c>
      <c r="B517" s="52" t="s">
        <v>23</v>
      </c>
      <c r="C517" s="49" t="s">
        <v>23</v>
      </c>
      <c r="D517" s="45" t="s">
        <v>36</v>
      </c>
      <c r="E517" s="48" t="s">
        <v>366</v>
      </c>
      <c r="F517" s="48" t="s">
        <v>401</v>
      </c>
      <c r="G517" s="47" t="s">
        <v>470</v>
      </c>
      <c r="H517" s="47" t="s">
        <v>470</v>
      </c>
      <c r="I517" s="54" t="s">
        <v>521</v>
      </c>
      <c r="J517" s="64" t="s">
        <v>549</v>
      </c>
      <c r="K517" s="64" t="s">
        <v>549</v>
      </c>
      <c r="L517" s="64" t="s">
        <v>549</v>
      </c>
      <c r="M517" s="64"/>
    </row>
    <row r="518" spans="1:13" ht="16.2" x14ac:dyDescent="0.4">
      <c r="A518" s="3" t="str">
        <f t="shared" si="10"/>
        <v>lt002_instrumentcod_soc</v>
      </c>
      <c r="B518" s="52" t="s">
        <v>23</v>
      </c>
      <c r="C518" s="49" t="s">
        <v>23</v>
      </c>
      <c r="D518" s="45" t="s">
        <v>36</v>
      </c>
      <c r="E518" s="48" t="s">
        <v>366</v>
      </c>
      <c r="F518" s="48" t="s">
        <v>402</v>
      </c>
      <c r="G518" s="47" t="s">
        <v>470</v>
      </c>
      <c r="H518" s="47" t="s">
        <v>470</v>
      </c>
      <c r="I518" s="54" t="s">
        <v>521</v>
      </c>
      <c r="J518" s="64" t="s">
        <v>549</v>
      </c>
      <c r="K518" s="64" t="s">
        <v>549</v>
      </c>
      <c r="L518" s="64" t="s">
        <v>549</v>
      </c>
      <c r="M518" s="64"/>
    </row>
    <row r="519" spans="1:13" ht="16.2" x14ac:dyDescent="0.4">
      <c r="A519" s="3" t="str">
        <f t="shared" si="10"/>
        <v>lt002_instrumentlcl_instmrnt_id</v>
      </c>
      <c r="B519" s="52" t="s">
        <v>23</v>
      </c>
      <c r="C519" s="49" t="s">
        <v>23</v>
      </c>
      <c r="D519" s="45" t="s">
        <v>36</v>
      </c>
      <c r="E519" s="48" t="s">
        <v>366</v>
      </c>
      <c r="F519" s="48" t="s">
        <v>403</v>
      </c>
      <c r="G519" s="47" t="s">
        <v>470</v>
      </c>
      <c r="H519" s="47" t="s">
        <v>470</v>
      </c>
      <c r="I519" s="54" t="s">
        <v>521</v>
      </c>
      <c r="J519" s="64" t="s">
        <v>549</v>
      </c>
      <c r="K519" s="64" t="s">
        <v>549</v>
      </c>
      <c r="L519" s="64" t="s">
        <v>549</v>
      </c>
      <c r="M519" s="64"/>
    </row>
    <row r="520" spans="1:13" ht="16.2" x14ac:dyDescent="0.4">
      <c r="A520" s="3" t="str">
        <f t="shared" si="10"/>
        <v>lt002_instrumentsstnbl_indctr</v>
      </c>
      <c r="B520" s="52" t="s">
        <v>23</v>
      </c>
      <c r="C520" s="49" t="s">
        <v>23</v>
      </c>
      <c r="D520" s="45" t="s">
        <v>36</v>
      </c>
      <c r="E520" s="48" t="s">
        <v>366</v>
      </c>
      <c r="F520" s="48" t="s">
        <v>404</v>
      </c>
      <c r="G520" s="47" t="s">
        <v>472</v>
      </c>
      <c r="H520" s="47" t="s">
        <v>472</v>
      </c>
      <c r="I520" s="54" t="s">
        <v>540</v>
      </c>
      <c r="J520" s="64" t="s">
        <v>549</v>
      </c>
      <c r="K520" s="64" t="s">
        <v>549</v>
      </c>
      <c r="L520" s="64" t="s">
        <v>549</v>
      </c>
      <c r="M520" s="64"/>
    </row>
    <row r="521" spans="1:13" ht="16.2" x14ac:dyDescent="0.4">
      <c r="A521" s="3" t="str">
        <f t="shared" si="10"/>
        <v>lt002_instrumentsstnbl_ctgry</v>
      </c>
      <c r="B521" s="52" t="s">
        <v>23</v>
      </c>
      <c r="C521" s="49" t="s">
        <v>23</v>
      </c>
      <c r="D521" s="45" t="s">
        <v>36</v>
      </c>
      <c r="E521" s="48" t="s">
        <v>366</v>
      </c>
      <c r="F521" s="48" t="s">
        <v>405</v>
      </c>
      <c r="G521" s="47" t="s">
        <v>472</v>
      </c>
      <c r="H521" s="47" t="s">
        <v>472</v>
      </c>
      <c r="I521" s="54" t="s">
        <v>541</v>
      </c>
      <c r="J521" s="64" t="s">
        <v>549</v>
      </c>
      <c r="K521" s="64" t="s">
        <v>549</v>
      </c>
      <c r="L521" s="64" t="s">
        <v>549</v>
      </c>
      <c r="M521" s="64"/>
    </row>
    <row r="522" spans="1:13" ht="16.2" x14ac:dyDescent="0.4">
      <c r="A522" s="3" t="str">
        <f t="shared" si="10"/>
        <v>lt002_instrumentgrss_intrst_incm</v>
      </c>
      <c r="B522" s="52" t="s">
        <v>23</v>
      </c>
      <c r="C522" s="49" t="s">
        <v>23</v>
      </c>
      <c r="D522" s="45" t="s">
        <v>36</v>
      </c>
      <c r="E522" s="48" t="s">
        <v>366</v>
      </c>
      <c r="F522" s="48" t="s">
        <v>406</v>
      </c>
      <c r="G522" s="47" t="s">
        <v>25</v>
      </c>
      <c r="H522" s="47" t="s">
        <v>25</v>
      </c>
      <c r="I522" s="54" t="s">
        <v>521</v>
      </c>
      <c r="J522" s="64" t="s">
        <v>549</v>
      </c>
      <c r="K522" s="64" t="s">
        <v>549</v>
      </c>
      <c r="L522" s="64" t="s">
        <v>549</v>
      </c>
      <c r="M522" s="64"/>
    </row>
    <row r="523" spans="1:13" ht="16.2" x14ac:dyDescent="0.4">
      <c r="A523" s="3" t="str">
        <f t="shared" si="10"/>
        <v>lt002_instrumentgrss_cmmssn_incm</v>
      </c>
      <c r="B523" s="52" t="s">
        <v>23</v>
      </c>
      <c r="C523" s="49" t="s">
        <v>23</v>
      </c>
      <c r="D523" s="45" t="s">
        <v>36</v>
      </c>
      <c r="E523" s="48" t="s">
        <v>366</v>
      </c>
      <c r="F523" s="48" t="s">
        <v>407</v>
      </c>
      <c r="G523" s="47" t="s">
        <v>25</v>
      </c>
      <c r="H523" s="47" t="s">
        <v>25</v>
      </c>
      <c r="I523" s="54" t="s">
        <v>521</v>
      </c>
      <c r="J523" s="64" t="s">
        <v>549</v>
      </c>
      <c r="K523" s="64" t="s">
        <v>549</v>
      </c>
      <c r="L523" s="64" t="s">
        <v>549</v>
      </c>
      <c r="M523" s="64"/>
    </row>
    <row r="524" spans="1:13" ht="16.2" x14ac:dyDescent="0.4">
      <c r="A524" s="3" t="str">
        <f t="shared" si="10"/>
        <v>lt002_instrumentgrss_cmmssn_incm_off_blnc</v>
      </c>
      <c r="B524" s="52" t="s">
        <v>23</v>
      </c>
      <c r="C524" s="49" t="s">
        <v>23</v>
      </c>
      <c r="D524" s="45" t="s">
        <v>36</v>
      </c>
      <c r="E524" s="48" t="s">
        <v>366</v>
      </c>
      <c r="F524" s="48" t="s">
        <v>408</v>
      </c>
      <c r="G524" s="47" t="s">
        <v>25</v>
      </c>
      <c r="H524" s="47" t="s">
        <v>25</v>
      </c>
      <c r="I524" s="54" t="s">
        <v>521</v>
      </c>
      <c r="J524" s="64" t="s">
        <v>549</v>
      </c>
      <c r="K524" s="64" t="s">
        <v>549</v>
      </c>
      <c r="L524" s="64" t="s">
        <v>549</v>
      </c>
      <c r="M524" s="64"/>
    </row>
    <row r="525" spans="1:13" ht="16.2" x14ac:dyDescent="0.4">
      <c r="A525" s="3" t="str">
        <f t="shared" si="10"/>
        <v>lt002_instrumentidcmb</v>
      </c>
      <c r="B525" s="52" t="s">
        <v>23</v>
      </c>
      <c r="C525" s="49" t="s">
        <v>23</v>
      </c>
      <c r="D525" s="45" t="s">
        <v>36</v>
      </c>
      <c r="E525" s="48" t="s">
        <v>366</v>
      </c>
      <c r="F525" s="48" t="s">
        <v>409</v>
      </c>
      <c r="G525" s="47" t="s">
        <v>470</v>
      </c>
      <c r="H525" s="47" t="s">
        <v>470</v>
      </c>
      <c r="I525" s="54" t="s">
        <v>521</v>
      </c>
      <c r="J525" s="64" t="s">
        <v>549</v>
      </c>
      <c r="K525" s="64" t="s">
        <v>549</v>
      </c>
      <c r="L525" s="64" t="s">
        <v>549</v>
      </c>
      <c r="M525" s="64"/>
    </row>
    <row r="526" spans="1:13" ht="16.2" x14ac:dyDescent="0.4">
      <c r="A526" s="3" t="str">
        <f t="shared" si="10"/>
        <v>lt003_entitycntry</v>
      </c>
      <c r="B526" s="52" t="s">
        <v>23</v>
      </c>
      <c r="C526" s="49" t="s">
        <v>23</v>
      </c>
      <c r="D526" s="45" t="s">
        <v>36</v>
      </c>
      <c r="E526" s="48" t="s">
        <v>323</v>
      </c>
      <c r="F526" s="48" t="s">
        <v>410</v>
      </c>
      <c r="G526" s="47" t="s">
        <v>470</v>
      </c>
      <c r="H526" s="47" t="s">
        <v>470</v>
      </c>
      <c r="I526" s="54" t="s">
        <v>521</v>
      </c>
      <c r="J526" s="64" t="s">
        <v>549</v>
      </c>
      <c r="K526" s="64" t="s">
        <v>549</v>
      </c>
      <c r="L526" s="64" t="s">
        <v>549</v>
      </c>
      <c r="M526" s="64"/>
    </row>
    <row r="527" spans="1:13" ht="16.2" x14ac:dyDescent="0.4">
      <c r="A527" s="3" t="str">
        <f t="shared" si="10"/>
        <v>lt003_entitydt_rfrnc</v>
      </c>
      <c r="B527" s="52" t="s">
        <v>23</v>
      </c>
      <c r="C527" s="49" t="s">
        <v>23</v>
      </c>
      <c r="D527" s="45" t="s">
        <v>36</v>
      </c>
      <c r="E527" s="48" t="s">
        <v>323</v>
      </c>
      <c r="F527" s="48" t="s">
        <v>385</v>
      </c>
      <c r="G527" s="47" t="s">
        <v>470</v>
      </c>
      <c r="H527" s="47" t="s">
        <v>470</v>
      </c>
      <c r="I527" s="54" t="s">
        <v>521</v>
      </c>
      <c r="J527" s="64" t="s">
        <v>549</v>
      </c>
      <c r="K527" s="64" t="s">
        <v>549</v>
      </c>
      <c r="L527" s="64" t="s">
        <v>549</v>
      </c>
      <c r="M527" s="64"/>
    </row>
    <row r="528" spans="1:13" ht="16.2" x14ac:dyDescent="0.4">
      <c r="A528" s="3" t="str">
        <f t="shared" si="10"/>
        <v>lt003_entityentty_id</v>
      </c>
      <c r="B528" s="52" t="s">
        <v>23</v>
      </c>
      <c r="C528" s="49" t="s">
        <v>23</v>
      </c>
      <c r="D528" s="45" t="s">
        <v>36</v>
      </c>
      <c r="E528" s="48" t="s">
        <v>323</v>
      </c>
      <c r="F528" s="48" t="s">
        <v>411</v>
      </c>
      <c r="G528" s="47" t="s">
        <v>470</v>
      </c>
      <c r="H528" s="47" t="s">
        <v>470</v>
      </c>
      <c r="I528" s="54" t="s">
        <v>521</v>
      </c>
      <c r="J528" s="64" t="s">
        <v>549</v>
      </c>
      <c r="K528" s="64" t="s">
        <v>549</v>
      </c>
      <c r="L528" s="64" t="s">
        <v>549</v>
      </c>
      <c r="M528" s="64"/>
    </row>
    <row r="529" spans="1:13" ht="16.2" x14ac:dyDescent="0.4">
      <c r="A529" s="3" t="str">
        <f t="shared" si="10"/>
        <v>lt003_entitylei</v>
      </c>
      <c r="B529" s="52" t="s">
        <v>23</v>
      </c>
      <c r="C529" s="49" t="s">
        <v>23</v>
      </c>
      <c r="D529" s="45" t="s">
        <v>36</v>
      </c>
      <c r="E529" s="48" t="s">
        <v>323</v>
      </c>
      <c r="F529" s="48" t="s">
        <v>412</v>
      </c>
      <c r="G529" s="47" t="s">
        <v>470</v>
      </c>
      <c r="H529" s="47" t="s">
        <v>470</v>
      </c>
      <c r="I529" s="54" t="s">
        <v>521</v>
      </c>
      <c r="J529" s="64" t="s">
        <v>549</v>
      </c>
      <c r="K529" s="64" t="s">
        <v>549</v>
      </c>
      <c r="L529" s="64" t="s">
        <v>549</v>
      </c>
      <c r="M529" s="64"/>
    </row>
    <row r="530" spans="1:13" ht="16.2" x14ac:dyDescent="0.4">
      <c r="A530" s="3" t="str">
        <f t="shared" ref="A530:A593" si="11">E530&amp;F530</f>
        <v>lt003_entityecnmc_actvty</v>
      </c>
      <c r="B530" s="52" t="s">
        <v>23</v>
      </c>
      <c r="C530" s="49" t="s">
        <v>23</v>
      </c>
      <c r="D530" s="45" t="s">
        <v>36</v>
      </c>
      <c r="E530" s="48" t="s">
        <v>323</v>
      </c>
      <c r="F530" s="48" t="s">
        <v>413</v>
      </c>
      <c r="G530" s="47" t="s">
        <v>470</v>
      </c>
      <c r="H530" s="47" t="s">
        <v>470</v>
      </c>
      <c r="I530" s="54" t="s">
        <v>521</v>
      </c>
      <c r="J530" s="64" t="s">
        <v>549</v>
      </c>
      <c r="K530" s="64" t="s">
        <v>549</v>
      </c>
      <c r="L530" s="64" t="s">
        <v>549</v>
      </c>
      <c r="M530" s="64"/>
    </row>
    <row r="531" spans="1:13" ht="16.2" x14ac:dyDescent="0.4">
      <c r="A531" s="3" t="str">
        <f t="shared" si="11"/>
        <v>lt003_entitygrp_eqty</v>
      </c>
      <c r="B531" s="52" t="s">
        <v>23</v>
      </c>
      <c r="C531" s="49" t="s">
        <v>23</v>
      </c>
      <c r="D531" s="45" t="s">
        <v>36</v>
      </c>
      <c r="E531" s="48" t="s">
        <v>323</v>
      </c>
      <c r="F531" s="48" t="s">
        <v>414</v>
      </c>
      <c r="G531" s="47" t="s">
        <v>470</v>
      </c>
      <c r="H531" s="47" t="s">
        <v>470</v>
      </c>
      <c r="I531" s="54" t="s">
        <v>521</v>
      </c>
      <c r="J531" s="64" t="s">
        <v>549</v>
      </c>
      <c r="K531" s="64" t="s">
        <v>549</v>
      </c>
      <c r="L531" s="64" t="s">
        <v>549</v>
      </c>
      <c r="M531" s="64"/>
    </row>
    <row r="532" spans="1:13" ht="16.2" x14ac:dyDescent="0.4">
      <c r="A532" s="3" t="str">
        <f t="shared" si="11"/>
        <v>lt003_entityannl_trnvr_le</v>
      </c>
      <c r="B532" s="52" t="s">
        <v>23</v>
      </c>
      <c r="C532" s="49" t="s">
        <v>23</v>
      </c>
      <c r="D532" s="45" t="s">
        <v>36</v>
      </c>
      <c r="E532" s="48" t="s">
        <v>323</v>
      </c>
      <c r="F532" s="48" t="s">
        <v>415</v>
      </c>
      <c r="G532" s="47" t="s">
        <v>470</v>
      </c>
      <c r="H532" s="47" t="s">
        <v>470</v>
      </c>
      <c r="I532" s="54" t="s">
        <v>521</v>
      </c>
      <c r="J532" s="64" t="s">
        <v>549</v>
      </c>
      <c r="K532" s="64" t="s">
        <v>549</v>
      </c>
      <c r="L532" s="64" t="s">
        <v>549</v>
      </c>
      <c r="M532" s="64"/>
    </row>
    <row r="533" spans="1:13" ht="16.2" x14ac:dyDescent="0.4">
      <c r="A533" s="3" t="str">
        <f t="shared" si="11"/>
        <v>lt003_entityeqty</v>
      </c>
      <c r="B533" s="52" t="s">
        <v>23</v>
      </c>
      <c r="C533" s="49" t="s">
        <v>23</v>
      </c>
      <c r="D533" s="45" t="s">
        <v>36</v>
      </c>
      <c r="E533" s="48" t="s">
        <v>323</v>
      </c>
      <c r="F533" s="48" t="s">
        <v>416</v>
      </c>
      <c r="G533" s="47" t="s">
        <v>470</v>
      </c>
      <c r="H533" s="47" t="s">
        <v>470</v>
      </c>
      <c r="I533" s="54" t="s">
        <v>521</v>
      </c>
      <c r="J533" s="64" t="s">
        <v>549</v>
      </c>
      <c r="K533" s="64" t="s">
        <v>549</v>
      </c>
      <c r="L533" s="64" t="s">
        <v>549</v>
      </c>
      <c r="M533" s="64"/>
    </row>
    <row r="534" spans="1:13" ht="16.2" x14ac:dyDescent="0.4">
      <c r="A534" s="3" t="str">
        <f t="shared" si="11"/>
        <v>lt003_entitygrp_ttl_dbt</v>
      </c>
      <c r="B534" s="52" t="s">
        <v>23</v>
      </c>
      <c r="C534" s="49" t="s">
        <v>23</v>
      </c>
      <c r="D534" s="45" t="s">
        <v>36</v>
      </c>
      <c r="E534" s="48" t="s">
        <v>323</v>
      </c>
      <c r="F534" s="48" t="s">
        <v>417</v>
      </c>
      <c r="G534" s="47" t="s">
        <v>470</v>
      </c>
      <c r="H534" s="47" t="s">
        <v>470</v>
      </c>
      <c r="I534" s="54" t="s">
        <v>521</v>
      </c>
      <c r="J534" s="64" t="s">
        <v>549</v>
      </c>
      <c r="K534" s="64" t="s">
        <v>549</v>
      </c>
      <c r="L534" s="64" t="s">
        <v>549</v>
      </c>
      <c r="M534" s="64"/>
    </row>
    <row r="535" spans="1:13" ht="16.2" x14ac:dyDescent="0.4">
      <c r="A535" s="3" t="str">
        <f t="shared" si="11"/>
        <v>lt003_entityttl_dbt</v>
      </c>
      <c r="B535" s="52" t="s">
        <v>23</v>
      </c>
      <c r="C535" s="49" t="s">
        <v>23</v>
      </c>
      <c r="D535" s="45" t="s">
        <v>36</v>
      </c>
      <c r="E535" s="48" t="s">
        <v>323</v>
      </c>
      <c r="F535" s="48" t="s">
        <v>418</v>
      </c>
      <c r="G535" s="47" t="s">
        <v>470</v>
      </c>
      <c r="H535" s="47" t="s">
        <v>470</v>
      </c>
      <c r="I535" s="54" t="s">
        <v>521</v>
      </c>
      <c r="J535" s="64" t="s">
        <v>549</v>
      </c>
      <c r="K535" s="64" t="s">
        <v>549</v>
      </c>
      <c r="L535" s="64" t="s">
        <v>549</v>
      </c>
      <c r="M535" s="64"/>
    </row>
    <row r="536" spans="1:13" ht="16.2" x14ac:dyDescent="0.4">
      <c r="A536" s="3" t="str">
        <f t="shared" si="11"/>
        <v>lt003_entitycod_soc</v>
      </c>
      <c r="B536" s="52" t="s">
        <v>23</v>
      </c>
      <c r="C536" s="49" t="s">
        <v>23</v>
      </c>
      <c r="D536" s="45" t="s">
        <v>36</v>
      </c>
      <c r="E536" s="48" t="s">
        <v>323</v>
      </c>
      <c r="F536" s="48" t="s">
        <v>402</v>
      </c>
      <c r="G536" s="47" t="s">
        <v>470</v>
      </c>
      <c r="H536" s="47" t="s">
        <v>470</v>
      </c>
      <c r="I536" s="54" t="s">
        <v>521</v>
      </c>
      <c r="J536" s="64" t="s">
        <v>549</v>
      </c>
      <c r="K536" s="64" t="s">
        <v>549</v>
      </c>
      <c r="L536" s="64" t="s">
        <v>549</v>
      </c>
      <c r="M536" s="64"/>
    </row>
    <row r="537" spans="1:13" ht="16.2" x14ac:dyDescent="0.4">
      <c r="A537" s="3" t="str">
        <f t="shared" si="11"/>
        <v>lt004_protectiondt_rfrnc</v>
      </c>
      <c r="B537" s="52" t="s">
        <v>23</v>
      </c>
      <c r="C537" s="49" t="s">
        <v>23</v>
      </c>
      <c r="D537" s="45" t="s">
        <v>36</v>
      </c>
      <c r="E537" s="48" t="s">
        <v>355</v>
      </c>
      <c r="F537" s="48" t="s">
        <v>385</v>
      </c>
      <c r="G537" s="47" t="s">
        <v>470</v>
      </c>
      <c r="H537" s="47" t="s">
        <v>470</v>
      </c>
      <c r="I537" s="54" t="s">
        <v>521</v>
      </c>
      <c r="J537" s="64" t="s">
        <v>549</v>
      </c>
      <c r="K537" s="64" t="s">
        <v>549</v>
      </c>
      <c r="L537" s="64" t="s">
        <v>549</v>
      </c>
      <c r="M537" s="64"/>
    </row>
    <row r="538" spans="1:13" ht="16.2" x14ac:dyDescent="0.4">
      <c r="A538" s="3" t="str">
        <f t="shared" si="11"/>
        <v>lt004_protectionprtctn_id</v>
      </c>
      <c r="B538" s="52" t="s">
        <v>23</v>
      </c>
      <c r="C538" s="49" t="s">
        <v>23</v>
      </c>
      <c r="D538" s="45" t="s">
        <v>36</v>
      </c>
      <c r="E538" s="48" t="s">
        <v>355</v>
      </c>
      <c r="F538" s="48" t="s">
        <v>419</v>
      </c>
      <c r="G538" s="47" t="s">
        <v>533</v>
      </c>
      <c r="H538" s="47" t="s">
        <v>472</v>
      </c>
      <c r="I538" s="54" t="s">
        <v>521</v>
      </c>
      <c r="J538" s="64" t="s">
        <v>549</v>
      </c>
      <c r="K538" s="64" t="s">
        <v>549</v>
      </c>
      <c r="L538" s="64" t="s">
        <v>549</v>
      </c>
      <c r="M538" s="64"/>
    </row>
    <row r="539" spans="1:13" ht="16.2" x14ac:dyDescent="0.4">
      <c r="A539" s="3" t="str">
        <f t="shared" si="11"/>
        <v>lt004_protectionrl_estt_clltrl_lctn</v>
      </c>
      <c r="B539" s="52" t="s">
        <v>23</v>
      </c>
      <c r="C539" s="49" t="s">
        <v>23</v>
      </c>
      <c r="D539" s="45" t="s">
        <v>36</v>
      </c>
      <c r="E539" s="48" t="s">
        <v>355</v>
      </c>
      <c r="F539" s="48" t="s">
        <v>420</v>
      </c>
      <c r="G539" s="47" t="s">
        <v>533</v>
      </c>
      <c r="H539" s="47" t="s">
        <v>472</v>
      </c>
      <c r="I539" s="54" t="s">
        <v>521</v>
      </c>
      <c r="J539" s="64" t="s">
        <v>549</v>
      </c>
      <c r="K539" s="64" t="s">
        <v>549</v>
      </c>
      <c r="L539" s="64" t="s">
        <v>549</v>
      </c>
      <c r="M539" s="64"/>
    </row>
    <row r="540" spans="1:13" ht="16.2" x14ac:dyDescent="0.4">
      <c r="A540" s="3" t="str">
        <f t="shared" si="11"/>
        <v>lt004_protectionrl_estt_pst_cd</v>
      </c>
      <c r="B540" s="52" t="s">
        <v>23</v>
      </c>
      <c r="C540" s="49" t="s">
        <v>23</v>
      </c>
      <c r="D540" s="45" t="s">
        <v>36</v>
      </c>
      <c r="E540" s="48" t="s">
        <v>355</v>
      </c>
      <c r="F540" s="48" t="s">
        <v>421</v>
      </c>
      <c r="G540" s="47" t="s">
        <v>533</v>
      </c>
      <c r="H540" s="47" t="s">
        <v>472</v>
      </c>
      <c r="I540" s="54" t="s">
        <v>521</v>
      </c>
      <c r="J540" s="64" t="s">
        <v>549</v>
      </c>
      <c r="K540" s="64" t="s">
        <v>549</v>
      </c>
      <c r="L540" s="64" t="s">
        <v>549</v>
      </c>
      <c r="M540" s="64"/>
    </row>
    <row r="541" spans="1:13" ht="16.2" x14ac:dyDescent="0.4">
      <c r="A541" s="3" t="str">
        <f t="shared" si="11"/>
        <v>lt004_protectiontyp_prtctn</v>
      </c>
      <c r="B541" s="52" t="s">
        <v>23</v>
      </c>
      <c r="C541" s="49" t="s">
        <v>23</v>
      </c>
      <c r="D541" s="45" t="s">
        <v>36</v>
      </c>
      <c r="E541" s="48" t="s">
        <v>355</v>
      </c>
      <c r="F541" s="48" t="s">
        <v>422</v>
      </c>
      <c r="G541" s="47" t="s">
        <v>533</v>
      </c>
      <c r="H541" s="47" t="s">
        <v>472</v>
      </c>
      <c r="I541" s="54" t="s">
        <v>521</v>
      </c>
      <c r="J541" s="64" t="s">
        <v>549</v>
      </c>
      <c r="K541" s="64" t="s">
        <v>549</v>
      </c>
      <c r="L541" s="64" t="s">
        <v>549</v>
      </c>
      <c r="M541" s="64"/>
    </row>
    <row r="542" spans="1:13" ht="16.2" x14ac:dyDescent="0.4">
      <c r="A542" s="3" t="str">
        <f t="shared" si="11"/>
        <v>lt004_protectionorgnl_prtctn_vl</v>
      </c>
      <c r="B542" s="52" t="s">
        <v>23</v>
      </c>
      <c r="C542" s="49" t="s">
        <v>23</v>
      </c>
      <c r="D542" s="45" t="s">
        <v>36</v>
      </c>
      <c r="E542" s="48" t="s">
        <v>355</v>
      </c>
      <c r="F542" s="48" t="s">
        <v>423</v>
      </c>
      <c r="G542" s="47" t="s">
        <v>533</v>
      </c>
      <c r="H542" s="47" t="s">
        <v>472</v>
      </c>
      <c r="I542" s="54" t="s">
        <v>521</v>
      </c>
      <c r="J542" s="64" t="s">
        <v>549</v>
      </c>
      <c r="K542" s="64" t="s">
        <v>549</v>
      </c>
      <c r="L542" s="64" t="s">
        <v>549</v>
      </c>
      <c r="M542" s="64"/>
    </row>
    <row r="543" spans="1:13" ht="16.2" x14ac:dyDescent="0.4">
      <c r="A543" s="3" t="str">
        <f t="shared" si="11"/>
        <v>lt004_protectionprtctn_vl</v>
      </c>
      <c r="B543" s="52" t="s">
        <v>23</v>
      </c>
      <c r="C543" s="49" t="s">
        <v>23</v>
      </c>
      <c r="D543" s="45" t="s">
        <v>36</v>
      </c>
      <c r="E543" s="48" t="s">
        <v>355</v>
      </c>
      <c r="F543" s="48" t="s">
        <v>424</v>
      </c>
      <c r="G543" s="47" t="s">
        <v>533</v>
      </c>
      <c r="H543" s="47" t="s">
        <v>472</v>
      </c>
      <c r="I543" s="54" t="s">
        <v>521</v>
      </c>
      <c r="J543" s="64" t="s">
        <v>549</v>
      </c>
      <c r="K543" s="64" t="s">
        <v>549</v>
      </c>
      <c r="L543" s="64" t="s">
        <v>549</v>
      </c>
      <c r="M543" s="64"/>
    </row>
    <row r="544" spans="1:13" ht="16.2" x14ac:dyDescent="0.4">
      <c r="A544" s="3" t="str">
        <f t="shared" si="11"/>
        <v>lt004_protectioncod_soc</v>
      </c>
      <c r="B544" s="52" t="s">
        <v>23</v>
      </c>
      <c r="C544" s="49" t="s">
        <v>23</v>
      </c>
      <c r="D544" s="45" t="s">
        <v>36</v>
      </c>
      <c r="E544" s="48" t="s">
        <v>355</v>
      </c>
      <c r="F544" s="48" t="s">
        <v>402</v>
      </c>
      <c r="G544" s="47" t="s">
        <v>532</v>
      </c>
      <c r="H544" s="47" t="s">
        <v>532</v>
      </c>
      <c r="I544" s="54" t="s">
        <v>521</v>
      </c>
      <c r="J544" s="64" t="s">
        <v>549</v>
      </c>
      <c r="K544" s="64" t="s">
        <v>549</v>
      </c>
      <c r="L544" s="64" t="s">
        <v>549</v>
      </c>
      <c r="M544" s="64"/>
    </row>
    <row r="545" spans="1:13" ht="16.2" x14ac:dyDescent="0.4">
      <c r="A545" s="3" t="str">
        <f t="shared" si="11"/>
        <v>lt005_instr_entdt_rfrnc</v>
      </c>
      <c r="B545" s="52" t="s">
        <v>23</v>
      </c>
      <c r="C545" s="49" t="s">
        <v>23</v>
      </c>
      <c r="D545" s="45" t="s">
        <v>36</v>
      </c>
      <c r="E545" s="48" t="s">
        <v>425</v>
      </c>
      <c r="F545" s="48" t="s">
        <v>385</v>
      </c>
      <c r="G545" s="47" t="s">
        <v>470</v>
      </c>
      <c r="H545" s="47" t="s">
        <v>470</v>
      </c>
      <c r="I545" s="54" t="s">
        <v>521</v>
      </c>
      <c r="J545" s="64" t="s">
        <v>549</v>
      </c>
      <c r="K545" s="64" t="s">
        <v>549</v>
      </c>
      <c r="L545" s="64" t="s">
        <v>549</v>
      </c>
      <c r="M545" s="64"/>
    </row>
    <row r="546" spans="1:13" ht="16.2" x14ac:dyDescent="0.4">
      <c r="A546" s="3" t="str">
        <f t="shared" si="11"/>
        <v>lt005_instr_ententty_id</v>
      </c>
      <c r="B546" s="52" t="s">
        <v>23</v>
      </c>
      <c r="C546" s="49" t="s">
        <v>23</v>
      </c>
      <c r="D546" s="45" t="s">
        <v>36</v>
      </c>
      <c r="E546" s="48" t="s">
        <v>425</v>
      </c>
      <c r="F546" s="48" t="s">
        <v>411</v>
      </c>
      <c r="G546" s="47" t="s">
        <v>470</v>
      </c>
      <c r="H546" s="47" t="s">
        <v>470</v>
      </c>
      <c r="I546" s="54" t="s">
        <v>521</v>
      </c>
      <c r="J546" s="64" t="s">
        <v>549</v>
      </c>
      <c r="K546" s="64" t="s">
        <v>549</v>
      </c>
      <c r="L546" s="64" t="s">
        <v>549</v>
      </c>
      <c r="M546" s="64"/>
    </row>
    <row r="547" spans="1:13" ht="16.2" x14ac:dyDescent="0.4">
      <c r="A547" s="3" t="str">
        <f t="shared" si="11"/>
        <v>lt005_instr_entinstrmnt_id</v>
      </c>
      <c r="B547" s="52" t="s">
        <v>23</v>
      </c>
      <c r="C547" s="49" t="s">
        <v>23</v>
      </c>
      <c r="D547" s="45" t="s">
        <v>36</v>
      </c>
      <c r="E547" s="48" t="s">
        <v>425</v>
      </c>
      <c r="F547" s="48" t="s">
        <v>386</v>
      </c>
      <c r="G547" s="47" t="s">
        <v>470</v>
      </c>
      <c r="H547" s="47" t="s">
        <v>470</v>
      </c>
      <c r="I547" s="54" t="s">
        <v>521</v>
      </c>
      <c r="J547" s="64" t="s">
        <v>549</v>
      </c>
      <c r="K547" s="64" t="s">
        <v>549</v>
      </c>
      <c r="L547" s="64" t="s">
        <v>549</v>
      </c>
      <c r="M547" s="64"/>
    </row>
    <row r="548" spans="1:13" ht="16.2" x14ac:dyDescent="0.4">
      <c r="A548" s="3" t="str">
        <f t="shared" si="11"/>
        <v>lt005_instr_entcod_soc</v>
      </c>
      <c r="B548" s="52" t="s">
        <v>23</v>
      </c>
      <c r="C548" s="49" t="s">
        <v>23</v>
      </c>
      <c r="D548" s="45" t="s">
        <v>36</v>
      </c>
      <c r="E548" s="48" t="s">
        <v>425</v>
      </c>
      <c r="F548" s="48" t="s">
        <v>402</v>
      </c>
      <c r="G548" s="47" t="s">
        <v>470</v>
      </c>
      <c r="H548" s="47" t="s">
        <v>470</v>
      </c>
      <c r="I548" s="54" t="s">
        <v>521</v>
      </c>
      <c r="J548" s="64" t="s">
        <v>549</v>
      </c>
      <c r="K548" s="64" t="s">
        <v>549</v>
      </c>
      <c r="L548" s="64" t="s">
        <v>549</v>
      </c>
      <c r="M548" s="64"/>
    </row>
    <row r="549" spans="1:13" ht="16.2" x14ac:dyDescent="0.4">
      <c r="A549" s="3" t="str">
        <f t="shared" si="11"/>
        <v>lt005_instr_entmn_entty_id</v>
      </c>
      <c r="B549" s="52" t="s">
        <v>23</v>
      </c>
      <c r="C549" s="49" t="s">
        <v>23</v>
      </c>
      <c r="D549" s="45" t="s">
        <v>36</v>
      </c>
      <c r="E549" s="48" t="s">
        <v>425</v>
      </c>
      <c r="F549" s="48" t="s">
        <v>426</v>
      </c>
      <c r="G549" s="47" t="s">
        <v>470</v>
      </c>
      <c r="H549" s="47" t="s">
        <v>470</v>
      </c>
      <c r="I549" s="54" t="s">
        <v>521</v>
      </c>
      <c r="J549" s="64" t="s">
        <v>549</v>
      </c>
      <c r="K549" s="64" t="s">
        <v>549</v>
      </c>
      <c r="L549" s="64" t="s">
        <v>549</v>
      </c>
      <c r="M549" s="64"/>
    </row>
    <row r="550" spans="1:13" ht="16.2" x14ac:dyDescent="0.4">
      <c r="A550" s="3" t="str">
        <f t="shared" si="11"/>
        <v>lt006_instr_protdt_rfrnc</v>
      </c>
      <c r="B550" s="52" t="s">
        <v>23</v>
      </c>
      <c r="C550" s="49" t="s">
        <v>23</v>
      </c>
      <c r="D550" s="45" t="s">
        <v>36</v>
      </c>
      <c r="E550" s="48" t="s">
        <v>427</v>
      </c>
      <c r="F550" s="48" t="s">
        <v>385</v>
      </c>
      <c r="G550" s="47" t="s">
        <v>470</v>
      </c>
      <c r="H550" s="47" t="s">
        <v>470</v>
      </c>
      <c r="I550" s="54" t="s">
        <v>521</v>
      </c>
      <c r="J550" s="64" t="s">
        <v>549</v>
      </c>
      <c r="K550" s="64" t="s">
        <v>549</v>
      </c>
      <c r="L550" s="64" t="s">
        <v>549</v>
      </c>
      <c r="M550" s="64"/>
    </row>
    <row r="551" spans="1:13" ht="16.2" x14ac:dyDescent="0.4">
      <c r="A551" s="3" t="str">
        <f t="shared" si="11"/>
        <v>lt006_instr_protinstrmnt_id</v>
      </c>
      <c r="B551" s="52" t="s">
        <v>23</v>
      </c>
      <c r="C551" s="49" t="s">
        <v>23</v>
      </c>
      <c r="D551" s="45" t="s">
        <v>36</v>
      </c>
      <c r="E551" s="48" t="s">
        <v>427</v>
      </c>
      <c r="F551" s="48" t="s">
        <v>386</v>
      </c>
      <c r="G551" s="47" t="s">
        <v>470</v>
      </c>
      <c r="H551" s="47" t="s">
        <v>470</v>
      </c>
      <c r="I551" s="54" t="s">
        <v>521</v>
      </c>
      <c r="J551" s="64" t="s">
        <v>549</v>
      </c>
      <c r="K551" s="64" t="s">
        <v>549</v>
      </c>
      <c r="L551" s="64" t="s">
        <v>549</v>
      </c>
      <c r="M551" s="64"/>
    </row>
    <row r="552" spans="1:13" ht="16.2" x14ac:dyDescent="0.4">
      <c r="A552" s="3" t="str">
        <f t="shared" si="11"/>
        <v>lt006_instr_protprtctn_id</v>
      </c>
      <c r="B552" s="52" t="s">
        <v>23</v>
      </c>
      <c r="C552" s="49" t="s">
        <v>23</v>
      </c>
      <c r="D552" s="45" t="s">
        <v>36</v>
      </c>
      <c r="E552" s="48" t="s">
        <v>427</v>
      </c>
      <c r="F552" s="48" t="s">
        <v>419</v>
      </c>
      <c r="G552" s="47" t="s">
        <v>470</v>
      </c>
      <c r="H552" s="47" t="s">
        <v>470</v>
      </c>
      <c r="I552" s="54" t="s">
        <v>521</v>
      </c>
      <c r="J552" s="64" t="s">
        <v>549</v>
      </c>
      <c r="K552" s="64" t="s">
        <v>549</v>
      </c>
      <c r="L552" s="64" t="s">
        <v>549</v>
      </c>
      <c r="M552" s="64"/>
    </row>
    <row r="553" spans="1:13" ht="16.2" x14ac:dyDescent="0.4">
      <c r="A553" s="3" t="str">
        <f t="shared" si="11"/>
        <v>lt006_instr_protprtctn_allctd_vl</v>
      </c>
      <c r="B553" s="52" t="s">
        <v>23</v>
      </c>
      <c r="C553" s="49" t="s">
        <v>23</v>
      </c>
      <c r="D553" s="45" t="s">
        <v>36</v>
      </c>
      <c r="E553" s="48" t="s">
        <v>427</v>
      </c>
      <c r="F553" s="48" t="s">
        <v>428</v>
      </c>
      <c r="G553" s="47" t="s">
        <v>470</v>
      </c>
      <c r="H553" s="47" t="s">
        <v>470</v>
      </c>
      <c r="I553" s="54" t="s">
        <v>521</v>
      </c>
      <c r="J553" s="64" t="s">
        <v>549</v>
      </c>
      <c r="K553" s="64" t="s">
        <v>549</v>
      </c>
      <c r="L553" s="64" t="s">
        <v>549</v>
      </c>
      <c r="M553" s="64"/>
    </row>
    <row r="554" spans="1:13" ht="16.2" x14ac:dyDescent="0.4">
      <c r="A554" s="3" t="str">
        <f t="shared" si="11"/>
        <v>lt006_instr_protcod_soc</v>
      </c>
      <c r="B554" s="52" t="s">
        <v>23</v>
      </c>
      <c r="C554" s="49" t="s">
        <v>23</v>
      </c>
      <c r="D554" s="45" t="s">
        <v>36</v>
      </c>
      <c r="E554" s="48" t="s">
        <v>427</v>
      </c>
      <c r="F554" s="48" t="s">
        <v>402</v>
      </c>
      <c r="G554" s="47" t="s">
        <v>470</v>
      </c>
      <c r="H554" s="47" t="s">
        <v>470</v>
      </c>
      <c r="I554" s="54" t="s">
        <v>521</v>
      </c>
      <c r="J554" s="64" t="s">
        <v>549</v>
      </c>
      <c r="K554" s="64" t="s">
        <v>549</v>
      </c>
      <c r="L554" s="64" t="s">
        <v>549</v>
      </c>
      <c r="M554" s="64"/>
    </row>
    <row r="555" spans="1:13" ht="16.2" x14ac:dyDescent="0.4">
      <c r="A555" s="3" t="str">
        <f t="shared" si="11"/>
        <v>lt002_insrmntn.a.</v>
      </c>
      <c r="B555" s="52" t="s">
        <v>28</v>
      </c>
      <c r="C555" s="49" t="s">
        <v>28</v>
      </c>
      <c r="D555" s="45" t="s">
        <v>33</v>
      </c>
      <c r="E555" s="48" t="s">
        <v>431</v>
      </c>
      <c r="F555" s="48" t="s">
        <v>35</v>
      </c>
      <c r="G555" s="47" t="s">
        <v>532</v>
      </c>
      <c r="H555" s="47" t="s">
        <v>532</v>
      </c>
      <c r="I555" s="54"/>
      <c r="J555" s="64" t="s">
        <v>549</v>
      </c>
      <c r="K555" s="64" t="s">
        <v>549</v>
      </c>
      <c r="L555" s="64" t="s">
        <v>549</v>
      </c>
      <c r="M555" s="64"/>
    </row>
    <row r="556" spans="1:13" ht="16.2" x14ac:dyDescent="0.4">
      <c r="A556" s="3" t="str">
        <f t="shared" si="11"/>
        <v>lt002_insrmntsstnbl_ctgry</v>
      </c>
      <c r="B556" s="52" t="s">
        <v>28</v>
      </c>
      <c r="C556" s="49" t="s">
        <v>28</v>
      </c>
      <c r="D556" s="45" t="s">
        <v>36</v>
      </c>
      <c r="E556" s="48" t="s">
        <v>431</v>
      </c>
      <c r="F556" s="48" t="s">
        <v>405</v>
      </c>
      <c r="G556" s="47" t="s">
        <v>471</v>
      </c>
      <c r="H556" s="47" t="s">
        <v>471</v>
      </c>
      <c r="I556" s="54"/>
      <c r="J556" s="64" t="s">
        <v>549</v>
      </c>
      <c r="K556" s="64" t="s">
        <v>549</v>
      </c>
      <c r="L556" s="64" t="s">
        <v>549</v>
      </c>
      <c r="M556" s="64"/>
    </row>
    <row r="557" spans="1:13" ht="16.2" x14ac:dyDescent="0.4">
      <c r="A557" s="3" t="str">
        <f t="shared" si="11"/>
        <v>lt002_insrmntdflt_stts_instrmnt</v>
      </c>
      <c r="B557" s="52" t="s">
        <v>28</v>
      </c>
      <c r="C557" s="49" t="s">
        <v>28</v>
      </c>
      <c r="D557" s="45" t="s">
        <v>36</v>
      </c>
      <c r="E557" s="48" t="s">
        <v>431</v>
      </c>
      <c r="F557" s="48" t="s">
        <v>388</v>
      </c>
      <c r="G557" s="47" t="s">
        <v>470</v>
      </c>
      <c r="H557" s="47" t="s">
        <v>470</v>
      </c>
      <c r="I557" s="65"/>
      <c r="J557" s="64" t="s">
        <v>549</v>
      </c>
      <c r="K557" s="64" t="s">
        <v>549</v>
      </c>
      <c r="L557" s="64" t="s">
        <v>549</v>
      </c>
      <c r="M557" s="64"/>
    </row>
    <row r="558" spans="1:13" ht="16.2" x14ac:dyDescent="0.4">
      <c r="A558" s="3" t="str">
        <f t="shared" si="11"/>
        <v>lt002_insrmntaccmltd_chngs_fv_cr_instrmnt</v>
      </c>
      <c r="B558" s="52" t="s">
        <v>28</v>
      </c>
      <c r="C558" s="49" t="s">
        <v>28</v>
      </c>
      <c r="D558" s="45" t="s">
        <v>36</v>
      </c>
      <c r="E558" s="48" t="s">
        <v>431</v>
      </c>
      <c r="F558" s="48" t="s">
        <v>394</v>
      </c>
      <c r="G558" s="47" t="s">
        <v>470</v>
      </c>
      <c r="H558" s="47" t="s">
        <v>470</v>
      </c>
      <c r="I558" s="65"/>
      <c r="J558" s="64" t="s">
        <v>549</v>
      </c>
      <c r="K558" s="64" t="s">
        <v>549</v>
      </c>
      <c r="L558" s="64" t="s">
        <v>549</v>
      </c>
      <c r="M558" s="64"/>
    </row>
    <row r="559" spans="1:13" ht="16.2" x14ac:dyDescent="0.4">
      <c r="A559" s="3" t="str">
        <f t="shared" si="11"/>
        <v>lt002_insrmntaccmltd_imprmnt_instrmnt</v>
      </c>
      <c r="B559" s="52" t="s">
        <v>28</v>
      </c>
      <c r="C559" s="49" t="s">
        <v>28</v>
      </c>
      <c r="D559" s="45" t="s">
        <v>36</v>
      </c>
      <c r="E559" s="48" t="s">
        <v>431</v>
      </c>
      <c r="F559" s="48" t="s">
        <v>397</v>
      </c>
      <c r="G559" s="47" t="s">
        <v>470</v>
      </c>
      <c r="H559" s="47" t="s">
        <v>470</v>
      </c>
      <c r="I559" s="65"/>
      <c r="J559" s="64" t="s">
        <v>549</v>
      </c>
      <c r="K559" s="64" t="s">
        <v>549</v>
      </c>
      <c r="L559" s="64" t="s">
        <v>549</v>
      </c>
      <c r="M559" s="64"/>
    </row>
    <row r="560" spans="1:13" ht="16.2" x14ac:dyDescent="0.4">
      <c r="A560" s="3" t="str">
        <f t="shared" si="11"/>
        <v>lt002_insrmntaccntng_clssfctn</v>
      </c>
      <c r="B560" s="52" t="s">
        <v>28</v>
      </c>
      <c r="C560" s="49" t="s">
        <v>28</v>
      </c>
      <c r="D560" s="45" t="s">
        <v>36</v>
      </c>
      <c r="E560" s="48" t="s">
        <v>431</v>
      </c>
      <c r="F560" s="48" t="s">
        <v>395</v>
      </c>
      <c r="G560" s="47" t="s">
        <v>470</v>
      </c>
      <c r="H560" s="47" t="s">
        <v>470</v>
      </c>
      <c r="I560" s="65"/>
      <c r="J560" s="64" t="s">
        <v>549</v>
      </c>
      <c r="K560" s="64" t="s">
        <v>549</v>
      </c>
      <c r="L560" s="64" t="s">
        <v>549</v>
      </c>
      <c r="M560" s="64"/>
    </row>
    <row r="561" spans="1:13" ht="16.2" x14ac:dyDescent="0.4">
      <c r="A561" s="3" t="str">
        <f t="shared" si="11"/>
        <v>lt002_insrmntcod_soc</v>
      </c>
      <c r="B561" s="52" t="s">
        <v>28</v>
      </c>
      <c r="C561" s="49" t="s">
        <v>28</v>
      </c>
      <c r="D561" s="45" t="s">
        <v>36</v>
      </c>
      <c r="E561" s="48" t="s">
        <v>431</v>
      </c>
      <c r="F561" s="48" t="s">
        <v>402</v>
      </c>
      <c r="G561" s="47" t="s">
        <v>470</v>
      </c>
      <c r="H561" s="47" t="s">
        <v>470</v>
      </c>
      <c r="I561" s="65"/>
      <c r="J561" s="64" t="s">
        <v>549</v>
      </c>
      <c r="K561" s="64" t="s">
        <v>549</v>
      </c>
      <c r="L561" s="64" t="s">
        <v>549</v>
      </c>
      <c r="M561" s="64"/>
    </row>
    <row r="562" spans="1:13" ht="16.2" x14ac:dyDescent="0.4">
      <c r="A562" s="3" t="str">
        <f t="shared" si="11"/>
        <v>lt002_insrmntdt_rfrnc</v>
      </c>
      <c r="B562" s="52" t="s">
        <v>28</v>
      </c>
      <c r="C562" s="49" t="s">
        <v>28</v>
      </c>
      <c r="D562" s="45" t="s">
        <v>36</v>
      </c>
      <c r="E562" s="48" t="s">
        <v>431</v>
      </c>
      <c r="F562" s="48" t="s">
        <v>385</v>
      </c>
      <c r="G562" s="47" t="s">
        <v>470</v>
      </c>
      <c r="H562" s="47" t="s">
        <v>470</v>
      </c>
      <c r="I562" s="65"/>
      <c r="J562" s="64" t="s">
        <v>549</v>
      </c>
      <c r="K562" s="64" t="s">
        <v>549</v>
      </c>
      <c r="L562" s="64" t="s">
        <v>549</v>
      </c>
      <c r="M562" s="64"/>
    </row>
    <row r="563" spans="1:13" ht="16.2" x14ac:dyDescent="0.4">
      <c r="A563" s="3" t="str">
        <f t="shared" si="11"/>
        <v>lt002_insrmntgrss_crryng_amnt_instrmnt</v>
      </c>
      <c r="B563" s="52" t="s">
        <v>28</v>
      </c>
      <c r="C563" s="49" t="s">
        <v>28</v>
      </c>
      <c r="D563" s="45" t="s">
        <v>36</v>
      </c>
      <c r="E563" s="48" t="s">
        <v>431</v>
      </c>
      <c r="F563" s="48" t="s">
        <v>393</v>
      </c>
      <c r="G563" s="47" t="s">
        <v>470</v>
      </c>
      <c r="H563" s="47" t="s">
        <v>470</v>
      </c>
      <c r="I563" s="65"/>
      <c r="J563" s="64" t="s">
        <v>549</v>
      </c>
      <c r="K563" s="64" t="s">
        <v>549</v>
      </c>
      <c r="L563" s="64" t="s">
        <v>549</v>
      </c>
      <c r="M563" s="64"/>
    </row>
    <row r="564" spans="1:13" ht="16.2" x14ac:dyDescent="0.4">
      <c r="A564" s="3" t="str">
        <f t="shared" si="11"/>
        <v>lt002_insrmntidcmb</v>
      </c>
      <c r="B564" s="52" t="s">
        <v>28</v>
      </c>
      <c r="C564" s="49" t="s">
        <v>28</v>
      </c>
      <c r="D564" s="45" t="s">
        <v>36</v>
      </c>
      <c r="E564" s="48" t="s">
        <v>431</v>
      </c>
      <c r="F564" s="48" t="s">
        <v>409</v>
      </c>
      <c r="G564" s="47" t="s">
        <v>470</v>
      </c>
      <c r="H564" s="47" t="s">
        <v>470</v>
      </c>
      <c r="I564" s="65"/>
      <c r="J564" s="64" t="s">
        <v>549</v>
      </c>
      <c r="K564" s="64" t="s">
        <v>549</v>
      </c>
      <c r="L564" s="64" t="s">
        <v>549</v>
      </c>
      <c r="M564" s="64"/>
    </row>
    <row r="565" spans="1:13" ht="16.2" x14ac:dyDescent="0.4">
      <c r="A565" s="3" t="str">
        <f t="shared" si="11"/>
        <v>lt002_insrmntimprmnt_stts</v>
      </c>
      <c r="B565" s="52" t="s">
        <v>28</v>
      </c>
      <c r="C565" s="49" t="s">
        <v>28</v>
      </c>
      <c r="D565" s="45" t="s">
        <v>36</v>
      </c>
      <c r="E565" s="48" t="s">
        <v>431</v>
      </c>
      <c r="F565" s="48" t="s">
        <v>389</v>
      </c>
      <c r="G565" s="47" t="s">
        <v>470</v>
      </c>
      <c r="H565" s="47" t="s">
        <v>470</v>
      </c>
      <c r="I565" s="65"/>
      <c r="J565" s="64" t="s">
        <v>549</v>
      </c>
      <c r="K565" s="64" t="s">
        <v>549</v>
      </c>
      <c r="L565" s="64" t="s">
        <v>549</v>
      </c>
      <c r="M565" s="64"/>
    </row>
    <row r="566" spans="1:13" ht="16.2" x14ac:dyDescent="0.4">
      <c r="A566" s="3" t="str">
        <f t="shared" si="11"/>
        <v>lt002_insrmntinstrmnt_id</v>
      </c>
      <c r="B566" s="52" t="s">
        <v>28</v>
      </c>
      <c r="C566" s="49" t="s">
        <v>28</v>
      </c>
      <c r="D566" s="45" t="s">
        <v>36</v>
      </c>
      <c r="E566" s="48" t="s">
        <v>431</v>
      </c>
      <c r="F566" s="48" t="s">
        <v>386</v>
      </c>
      <c r="G566" s="47" t="s">
        <v>532</v>
      </c>
      <c r="H566" s="47" t="s">
        <v>532</v>
      </c>
      <c r="I566" s="54"/>
      <c r="J566" s="64" t="s">
        <v>549</v>
      </c>
      <c r="K566" s="64" t="s">
        <v>549</v>
      </c>
      <c r="L566" s="64" t="s">
        <v>549</v>
      </c>
      <c r="M566" s="64"/>
    </row>
    <row r="567" spans="1:13" ht="16.2" x14ac:dyDescent="0.4">
      <c r="A567" s="3" t="str">
        <f t="shared" si="11"/>
        <v>lt002_insrmntlcl_instmrnt_id</v>
      </c>
      <c r="B567" s="52" t="s">
        <v>28</v>
      </c>
      <c r="C567" s="49" t="s">
        <v>28</v>
      </c>
      <c r="D567" s="45" t="s">
        <v>36</v>
      </c>
      <c r="E567" s="48" t="s">
        <v>431</v>
      </c>
      <c r="F567" s="48" t="s">
        <v>403</v>
      </c>
      <c r="G567" s="47" t="s">
        <v>470</v>
      </c>
      <c r="H567" s="47" t="s">
        <v>470</v>
      </c>
      <c r="I567" s="65"/>
      <c r="J567" s="64" t="s">
        <v>549</v>
      </c>
      <c r="K567" s="64" t="s">
        <v>549</v>
      </c>
      <c r="L567" s="64" t="s">
        <v>549</v>
      </c>
      <c r="M567" s="64"/>
    </row>
    <row r="568" spans="1:13" ht="16.2" x14ac:dyDescent="0.4">
      <c r="A568" s="3" t="str">
        <f t="shared" si="11"/>
        <v>lt002_insrmntoff_blnc_sht_amnt_instrmnt</v>
      </c>
      <c r="B568" s="52" t="s">
        <v>28</v>
      </c>
      <c r="C568" s="49" t="s">
        <v>28</v>
      </c>
      <c r="D568" s="45" t="s">
        <v>36</v>
      </c>
      <c r="E568" s="48" t="s">
        <v>431</v>
      </c>
      <c r="F568" s="48" t="s">
        <v>432</v>
      </c>
      <c r="G568" s="47" t="s">
        <v>470</v>
      </c>
      <c r="H568" s="47" t="s">
        <v>470</v>
      </c>
      <c r="I568" s="65"/>
      <c r="J568" s="64" t="s">
        <v>549</v>
      </c>
      <c r="K568" s="64" t="s">
        <v>549</v>
      </c>
      <c r="L568" s="64" t="s">
        <v>549</v>
      </c>
      <c r="M568" s="64"/>
    </row>
    <row r="569" spans="1:13" ht="16.2" x14ac:dyDescent="0.4">
      <c r="A569" s="3" t="str">
        <f t="shared" si="11"/>
        <v>lt002_insrmntprfrmng_stts</v>
      </c>
      <c r="B569" s="52" t="s">
        <v>28</v>
      </c>
      <c r="C569" s="49" t="s">
        <v>28</v>
      </c>
      <c r="D569" s="45" t="s">
        <v>36</v>
      </c>
      <c r="E569" s="48" t="s">
        <v>431</v>
      </c>
      <c r="F569" s="48" t="s">
        <v>390</v>
      </c>
      <c r="G569" s="47" t="s">
        <v>470</v>
      </c>
      <c r="H569" s="47" t="s">
        <v>470</v>
      </c>
      <c r="I569" s="65"/>
      <c r="J569" s="64" t="s">
        <v>549</v>
      </c>
      <c r="K569" s="64" t="s">
        <v>549</v>
      </c>
      <c r="L569" s="64" t="s">
        <v>549</v>
      </c>
      <c r="M569" s="64"/>
    </row>
    <row r="570" spans="1:13" ht="16.2" x14ac:dyDescent="0.4">
      <c r="A570" s="3" t="str">
        <f t="shared" si="11"/>
        <v>lt002_insrmntprvsns_off_blnc_sht</v>
      </c>
      <c r="B570" s="52" t="s">
        <v>28</v>
      </c>
      <c r="C570" s="49" t="s">
        <v>28</v>
      </c>
      <c r="D570" s="45" t="s">
        <v>36</v>
      </c>
      <c r="E570" s="48" t="s">
        <v>431</v>
      </c>
      <c r="F570" s="48" t="s">
        <v>433</v>
      </c>
      <c r="G570" s="47" t="s">
        <v>470</v>
      </c>
      <c r="H570" s="47" t="s">
        <v>470</v>
      </c>
      <c r="I570" s="65"/>
      <c r="J570" s="64" t="s">
        <v>549</v>
      </c>
      <c r="K570" s="64" t="s">
        <v>549</v>
      </c>
      <c r="L570" s="64" t="s">
        <v>549</v>
      </c>
      <c r="M570" s="64"/>
    </row>
    <row r="571" spans="1:13" ht="16.2" x14ac:dyDescent="0.4">
      <c r="A571" s="3" t="str">
        <f t="shared" si="11"/>
        <v>lt002_insrmntsubportfolio_id</v>
      </c>
      <c r="B571" s="52" t="s">
        <v>28</v>
      </c>
      <c r="C571" s="49" t="s">
        <v>28</v>
      </c>
      <c r="D571" s="45" t="s">
        <v>36</v>
      </c>
      <c r="E571" s="48" t="s">
        <v>431</v>
      </c>
      <c r="F571" s="48" t="s">
        <v>401</v>
      </c>
      <c r="G571" s="47" t="s">
        <v>470</v>
      </c>
      <c r="H571" s="47" t="s">
        <v>470</v>
      </c>
      <c r="I571" s="65"/>
      <c r="J571" s="64" t="s">
        <v>549</v>
      </c>
      <c r="K571" s="64" t="s">
        <v>549</v>
      </c>
      <c r="L571" s="64" t="s">
        <v>549</v>
      </c>
      <c r="M571" s="64"/>
    </row>
    <row r="572" spans="1:13" ht="16.2" x14ac:dyDescent="0.4">
      <c r="A572" s="3" t="str">
        <f t="shared" si="11"/>
        <v>lt002_insrmnttyp_instrmnt</v>
      </c>
      <c r="B572" s="52" t="s">
        <v>28</v>
      </c>
      <c r="C572" s="49" t="s">
        <v>28</v>
      </c>
      <c r="D572" s="45" t="s">
        <v>36</v>
      </c>
      <c r="E572" s="48" t="s">
        <v>431</v>
      </c>
      <c r="F572" s="48" t="s">
        <v>392</v>
      </c>
      <c r="G572" s="47" t="s">
        <v>470</v>
      </c>
      <c r="H572" s="47" t="s">
        <v>470</v>
      </c>
      <c r="I572" s="65"/>
      <c r="J572" s="64" t="s">
        <v>549</v>
      </c>
      <c r="K572" s="64" t="s">
        <v>549</v>
      </c>
      <c r="L572" s="64" t="s">
        <v>549</v>
      </c>
      <c r="M572" s="64"/>
    </row>
    <row r="573" spans="1:13" ht="16.2" x14ac:dyDescent="0.4">
      <c r="A573" s="3" t="str">
        <f t="shared" si="11"/>
        <v>lt002_insrmntrwa</v>
      </c>
      <c r="B573" s="52" t="s">
        <v>28</v>
      </c>
      <c r="C573" s="49" t="s">
        <v>28</v>
      </c>
      <c r="D573" s="45" t="s">
        <v>36</v>
      </c>
      <c r="E573" s="48" t="s">
        <v>431</v>
      </c>
      <c r="F573" s="48" t="s">
        <v>434</v>
      </c>
      <c r="G573" s="47" t="s">
        <v>470</v>
      </c>
      <c r="H573" s="47" t="s">
        <v>470</v>
      </c>
      <c r="I573" s="65"/>
      <c r="J573" s="64" t="s">
        <v>549</v>
      </c>
      <c r="K573" s="64" t="s">
        <v>549</v>
      </c>
      <c r="L573" s="64" t="s">
        <v>549</v>
      </c>
      <c r="M573" s="64"/>
    </row>
    <row r="574" spans="1:13" ht="16.2" x14ac:dyDescent="0.4">
      <c r="A574" s="3" t="str">
        <f t="shared" si="11"/>
        <v>lt002_insrmntcod_soc_intrgrp</v>
      </c>
      <c r="B574" s="52" t="s">
        <v>28</v>
      </c>
      <c r="C574" s="49" t="s">
        <v>28</v>
      </c>
      <c r="D574" s="45" t="s">
        <v>36</v>
      </c>
      <c r="E574" s="48" t="s">
        <v>431</v>
      </c>
      <c r="F574" s="48" t="s">
        <v>435</v>
      </c>
      <c r="G574" s="47" t="s">
        <v>470</v>
      </c>
      <c r="H574" s="47" t="s">
        <v>470</v>
      </c>
      <c r="I574" s="65"/>
      <c r="J574" s="64" t="s">
        <v>549</v>
      </c>
      <c r="K574" s="64" t="s">
        <v>549</v>
      </c>
      <c r="L574" s="64" t="s">
        <v>549</v>
      </c>
      <c r="M574" s="64"/>
    </row>
    <row r="575" spans="1:13" ht="16.2" x14ac:dyDescent="0.4">
      <c r="A575" s="3" t="str">
        <f t="shared" si="11"/>
        <v>lt002_insrmntbsnss_area_dstntn</v>
      </c>
      <c r="B575" s="52" t="s">
        <v>28</v>
      </c>
      <c r="C575" s="49" t="s">
        <v>28</v>
      </c>
      <c r="D575" s="45" t="s">
        <v>36</v>
      </c>
      <c r="E575" s="48" t="s">
        <v>431</v>
      </c>
      <c r="F575" s="48" t="s">
        <v>436</v>
      </c>
      <c r="G575" s="47" t="s">
        <v>470</v>
      </c>
      <c r="H575" s="47" t="s">
        <v>470</v>
      </c>
      <c r="I575" s="65"/>
      <c r="J575" s="64" t="s">
        <v>549</v>
      </c>
      <c r="K575" s="64" t="s">
        <v>549</v>
      </c>
      <c r="L575" s="64" t="s">
        <v>549</v>
      </c>
      <c r="M575" s="64"/>
    </row>
    <row r="576" spans="1:13" ht="16.2" x14ac:dyDescent="0.4">
      <c r="A576" s="3" t="str">
        <f t="shared" si="11"/>
        <v>lt002_insrmntflg_intrbsnss</v>
      </c>
      <c r="B576" s="52" t="s">
        <v>28</v>
      </c>
      <c r="C576" s="49" t="s">
        <v>28</v>
      </c>
      <c r="D576" s="45" t="s">
        <v>36</v>
      </c>
      <c r="E576" s="48" t="s">
        <v>431</v>
      </c>
      <c r="F576" s="48" t="s">
        <v>437</v>
      </c>
      <c r="G576" s="47" t="s">
        <v>470</v>
      </c>
      <c r="H576" s="47" t="s">
        <v>470</v>
      </c>
      <c r="I576" s="65"/>
      <c r="J576" s="64" t="s">
        <v>549</v>
      </c>
      <c r="K576" s="64" t="s">
        <v>549</v>
      </c>
      <c r="L576" s="64" t="s">
        <v>549</v>
      </c>
      <c r="M576" s="64"/>
    </row>
    <row r="577" spans="1:13" ht="16.2" x14ac:dyDescent="0.4">
      <c r="A577" s="3" t="str">
        <f t="shared" si="11"/>
        <v>lt002_insrmntintrbsnss_adj_cod</v>
      </c>
      <c r="B577" s="52" t="s">
        <v>28</v>
      </c>
      <c r="C577" s="49" t="s">
        <v>28</v>
      </c>
      <c r="D577" s="45" t="s">
        <v>36</v>
      </c>
      <c r="E577" s="48" t="s">
        <v>431</v>
      </c>
      <c r="F577" s="48" t="s">
        <v>438</v>
      </c>
      <c r="G577" s="47" t="s">
        <v>470</v>
      </c>
      <c r="H577" s="47" t="s">
        <v>470</v>
      </c>
      <c r="I577" s="65"/>
      <c r="J577" s="64" t="s">
        <v>549</v>
      </c>
      <c r="K577" s="64" t="s">
        <v>549</v>
      </c>
      <c r="L577" s="64" t="s">
        <v>549</v>
      </c>
      <c r="M577" s="64"/>
    </row>
    <row r="578" spans="1:13" ht="16.2" x14ac:dyDescent="0.4">
      <c r="A578" s="3" t="str">
        <f t="shared" si="11"/>
        <v>lt002_insrmntcod_soc_dstntn</v>
      </c>
      <c r="B578" s="52" t="s">
        <v>28</v>
      </c>
      <c r="C578" s="49" t="s">
        <v>28</v>
      </c>
      <c r="D578" s="45" t="s">
        <v>36</v>
      </c>
      <c r="E578" s="48" t="s">
        <v>431</v>
      </c>
      <c r="F578" s="48" t="s">
        <v>439</v>
      </c>
      <c r="G578" s="47" t="s">
        <v>470</v>
      </c>
      <c r="H578" s="47" t="s">
        <v>470</v>
      </c>
      <c r="I578" s="65"/>
      <c r="J578" s="64" t="s">
        <v>549</v>
      </c>
      <c r="K578" s="64" t="s">
        <v>549</v>
      </c>
      <c r="L578" s="64" t="s">
        <v>549</v>
      </c>
      <c r="M578" s="64"/>
    </row>
    <row r="579" spans="1:13" ht="16.2" x14ac:dyDescent="0.4">
      <c r="A579" s="3" t="str">
        <f t="shared" si="11"/>
        <v>lt002_insrmntrwa_off_blnc</v>
      </c>
      <c r="B579" s="52" t="s">
        <v>28</v>
      </c>
      <c r="C579" s="49" t="s">
        <v>28</v>
      </c>
      <c r="D579" s="45" t="s">
        <v>36</v>
      </c>
      <c r="E579" s="48" t="s">
        <v>431</v>
      </c>
      <c r="F579" s="48" t="s">
        <v>440</v>
      </c>
      <c r="G579" s="47" t="s">
        <v>470</v>
      </c>
      <c r="H579" s="47" t="s">
        <v>470</v>
      </c>
      <c r="I579" s="65"/>
      <c r="J579" s="64" t="s">
        <v>549</v>
      </c>
      <c r="K579" s="64" t="s">
        <v>549</v>
      </c>
      <c r="L579" s="64" t="s">
        <v>549</v>
      </c>
      <c r="M579" s="64"/>
    </row>
    <row r="580" spans="1:13" ht="16.2" x14ac:dyDescent="0.4">
      <c r="A580" s="3" t="str">
        <f t="shared" si="11"/>
        <v>lt002_insrmntintrnl_trnsfr_rt_off_blnc</v>
      </c>
      <c r="B580" s="52" t="s">
        <v>28</v>
      </c>
      <c r="C580" s="49" t="s">
        <v>28</v>
      </c>
      <c r="D580" s="45" t="s">
        <v>36</v>
      </c>
      <c r="E580" s="48" t="s">
        <v>431</v>
      </c>
      <c r="F580" s="48" t="s">
        <v>441</v>
      </c>
      <c r="G580" s="47" t="s">
        <v>470</v>
      </c>
      <c r="H580" s="47" t="s">
        <v>470</v>
      </c>
      <c r="I580" s="65"/>
      <c r="J580" s="64" t="s">
        <v>549</v>
      </c>
      <c r="K580" s="64" t="s">
        <v>549</v>
      </c>
      <c r="L580" s="64" t="s">
        <v>549</v>
      </c>
      <c r="M580" s="64"/>
    </row>
    <row r="581" spans="1:13" ht="16.2" x14ac:dyDescent="0.4">
      <c r="A581" s="3" t="str">
        <f t="shared" si="11"/>
        <v>lt002_insrmntbsnss_area</v>
      </c>
      <c r="B581" s="52" t="s">
        <v>28</v>
      </c>
      <c r="C581" s="49" t="s">
        <v>28</v>
      </c>
      <c r="D581" s="45" t="s">
        <v>36</v>
      </c>
      <c r="E581" s="48" t="s">
        <v>431</v>
      </c>
      <c r="F581" s="48" t="s">
        <v>442</v>
      </c>
      <c r="G581" s="47" t="s">
        <v>532</v>
      </c>
      <c r="H581" s="47" t="s">
        <v>532</v>
      </c>
      <c r="I581" s="54"/>
      <c r="J581" s="64" t="s">
        <v>549</v>
      </c>
      <c r="K581" s="64" t="s">
        <v>549</v>
      </c>
      <c r="L581" s="64" t="s">
        <v>549</v>
      </c>
      <c r="M581" s="64"/>
    </row>
    <row r="582" spans="1:13" ht="16.2" x14ac:dyDescent="0.4">
      <c r="A582" s="3" t="str">
        <f t="shared" si="11"/>
        <v>lt002_insrmntavrg_blnc</v>
      </c>
      <c r="B582" s="52" t="s">
        <v>28</v>
      </c>
      <c r="C582" s="49" t="s">
        <v>28</v>
      </c>
      <c r="D582" s="45" t="s">
        <v>36</v>
      </c>
      <c r="E582" s="48" t="s">
        <v>431</v>
      </c>
      <c r="F582" s="48" t="s">
        <v>443</v>
      </c>
      <c r="G582" s="47" t="s">
        <v>532</v>
      </c>
      <c r="H582" s="47" t="s">
        <v>532</v>
      </c>
      <c r="I582" s="54"/>
      <c r="J582" s="64" t="s">
        <v>549</v>
      </c>
      <c r="K582" s="64" t="s">
        <v>549</v>
      </c>
      <c r="L582" s="64" t="s">
        <v>549</v>
      </c>
      <c r="M582" s="64"/>
    </row>
    <row r="583" spans="1:13" ht="16.2" x14ac:dyDescent="0.4">
      <c r="A583" s="3" t="str">
        <f t="shared" si="11"/>
        <v>lt002_insrmntnt_ln_lss_prvsn</v>
      </c>
      <c r="B583" s="52" t="s">
        <v>28</v>
      </c>
      <c r="C583" s="49" t="s">
        <v>28</v>
      </c>
      <c r="D583" s="45" t="s">
        <v>36</v>
      </c>
      <c r="E583" s="48" t="s">
        <v>431</v>
      </c>
      <c r="F583" s="48" t="s">
        <v>444</v>
      </c>
      <c r="G583" s="47" t="s">
        <v>532</v>
      </c>
      <c r="H583" s="47" t="s">
        <v>532</v>
      </c>
      <c r="I583" s="54"/>
      <c r="J583" s="64" t="s">
        <v>549</v>
      </c>
      <c r="K583" s="64" t="s">
        <v>549</v>
      </c>
      <c r="L583" s="64" t="s">
        <v>549</v>
      </c>
      <c r="M583" s="64"/>
    </row>
    <row r="584" spans="1:13" ht="16.2" x14ac:dyDescent="0.4">
      <c r="A584" s="3" t="str">
        <f t="shared" si="11"/>
        <v>lt002_insrmntmngmnt_prdct</v>
      </c>
      <c r="B584" s="52" t="s">
        <v>28</v>
      </c>
      <c r="C584" s="49" t="s">
        <v>28</v>
      </c>
      <c r="D584" s="45" t="s">
        <v>36</v>
      </c>
      <c r="E584" s="48" t="s">
        <v>431</v>
      </c>
      <c r="F584" s="48" t="s">
        <v>445</v>
      </c>
      <c r="G584" s="47" t="s">
        <v>532</v>
      </c>
      <c r="H584" s="47" t="s">
        <v>532</v>
      </c>
      <c r="I584" s="54"/>
      <c r="J584" s="64" t="s">
        <v>549</v>
      </c>
      <c r="K584" s="64" t="s">
        <v>549</v>
      </c>
      <c r="L584" s="64" t="s">
        <v>549</v>
      </c>
      <c r="M584" s="64"/>
    </row>
    <row r="585" spans="1:13" ht="16.2" x14ac:dyDescent="0.4">
      <c r="A585" s="3" t="str">
        <f t="shared" si="11"/>
        <v>lt002_insrmntnw_bsnss</v>
      </c>
      <c r="B585" s="52" t="s">
        <v>28</v>
      </c>
      <c r="C585" s="49" t="s">
        <v>28</v>
      </c>
      <c r="D585" s="45" t="s">
        <v>36</v>
      </c>
      <c r="E585" s="48" t="s">
        <v>431</v>
      </c>
      <c r="F585" s="48" t="s">
        <v>446</v>
      </c>
      <c r="G585" s="47" t="s">
        <v>532</v>
      </c>
      <c r="H585" s="47" t="s">
        <v>532</v>
      </c>
      <c r="I585" s="54"/>
      <c r="J585" s="64" t="s">
        <v>549</v>
      </c>
      <c r="K585" s="64" t="s">
        <v>549</v>
      </c>
      <c r="L585" s="64" t="s">
        <v>549</v>
      </c>
      <c r="M585" s="64"/>
    </row>
    <row r="586" spans="1:13" ht="16.2" x14ac:dyDescent="0.4">
      <c r="A586" s="3" t="str">
        <f t="shared" si="11"/>
        <v>lt002_insrmntgrss_intrst_incm_ccrr</v>
      </c>
      <c r="B586" s="52" t="s">
        <v>28</v>
      </c>
      <c r="C586" s="49" t="s">
        <v>28</v>
      </c>
      <c r="D586" s="45" t="s">
        <v>36</v>
      </c>
      <c r="E586" s="48" t="s">
        <v>431</v>
      </c>
      <c r="F586" s="48" t="s">
        <v>447</v>
      </c>
      <c r="G586" s="47" t="s">
        <v>532</v>
      </c>
      <c r="H586" s="47" t="s">
        <v>532</v>
      </c>
      <c r="I586" s="54"/>
      <c r="J586" s="64" t="s">
        <v>549</v>
      </c>
      <c r="K586" s="64" t="s">
        <v>549</v>
      </c>
      <c r="L586" s="64" t="s">
        <v>549</v>
      </c>
      <c r="M586" s="64"/>
    </row>
    <row r="587" spans="1:13" ht="16.2" x14ac:dyDescent="0.4">
      <c r="A587" s="3" t="str">
        <f t="shared" si="11"/>
        <v>lt002_insrmntnt_ln_lss_prvsn_off_blnc</v>
      </c>
      <c r="B587" s="52" t="s">
        <v>28</v>
      </c>
      <c r="C587" s="49" t="s">
        <v>28</v>
      </c>
      <c r="D587" s="45" t="s">
        <v>36</v>
      </c>
      <c r="E587" s="48" t="s">
        <v>431</v>
      </c>
      <c r="F587" s="48" t="s">
        <v>448</v>
      </c>
      <c r="G587" s="47" t="s">
        <v>532</v>
      </c>
      <c r="H587" s="47" t="s">
        <v>532</v>
      </c>
      <c r="I587" s="54"/>
      <c r="J587" s="64" t="s">
        <v>549</v>
      </c>
      <c r="K587" s="64" t="s">
        <v>549</v>
      </c>
      <c r="L587" s="64" t="s">
        <v>549</v>
      </c>
      <c r="M587" s="64"/>
    </row>
    <row r="588" spans="1:13" ht="16.2" x14ac:dyDescent="0.4">
      <c r="A588" s="3" t="str">
        <f t="shared" si="11"/>
        <v>lt002_insrmntavrg_blnc_off_blnc</v>
      </c>
      <c r="B588" s="52" t="s">
        <v>28</v>
      </c>
      <c r="C588" s="49" t="s">
        <v>28</v>
      </c>
      <c r="D588" s="45" t="s">
        <v>36</v>
      </c>
      <c r="E588" s="48" t="s">
        <v>431</v>
      </c>
      <c r="F588" s="48" t="s">
        <v>449</v>
      </c>
      <c r="G588" s="47" t="s">
        <v>532</v>
      </c>
      <c r="H588" s="47" t="s">
        <v>532</v>
      </c>
      <c r="I588" s="54"/>
      <c r="J588" s="64" t="s">
        <v>549</v>
      </c>
      <c r="K588" s="64" t="s">
        <v>549</v>
      </c>
      <c r="L588" s="64" t="s">
        <v>549</v>
      </c>
      <c r="M588" s="64"/>
    </row>
    <row r="589" spans="1:13" ht="16.2" x14ac:dyDescent="0.4">
      <c r="A589" s="3" t="str">
        <f t="shared" si="11"/>
        <v>lt002_insrmntbsnss_area_ccrr</v>
      </c>
      <c r="B589" s="52" t="s">
        <v>28</v>
      </c>
      <c r="C589" s="49" t="s">
        <v>28</v>
      </c>
      <c r="D589" s="45" t="s">
        <v>36</v>
      </c>
      <c r="E589" s="48" t="s">
        <v>431</v>
      </c>
      <c r="F589" s="48" t="s">
        <v>450</v>
      </c>
      <c r="G589" s="47" t="s">
        <v>532</v>
      </c>
      <c r="H589" s="47" t="s">
        <v>532</v>
      </c>
      <c r="I589" s="54"/>
      <c r="J589" s="64" t="s">
        <v>549</v>
      </c>
      <c r="K589" s="64" t="s">
        <v>549</v>
      </c>
      <c r="L589" s="64" t="s">
        <v>549</v>
      </c>
      <c r="M589" s="64"/>
    </row>
    <row r="590" spans="1:13" ht="16.2" x14ac:dyDescent="0.4">
      <c r="A590" s="3" t="str">
        <f t="shared" si="11"/>
        <v>lt002_insrmntgrss_cmmssn_incm_off_blnc</v>
      </c>
      <c r="B590" s="52" t="s">
        <v>28</v>
      </c>
      <c r="C590" s="49" t="s">
        <v>28</v>
      </c>
      <c r="D590" s="45" t="s">
        <v>36</v>
      </c>
      <c r="E590" s="48" t="s">
        <v>431</v>
      </c>
      <c r="F590" s="48" t="s">
        <v>408</v>
      </c>
      <c r="G590" s="47" t="s">
        <v>532</v>
      </c>
      <c r="H590" s="47" t="s">
        <v>532</v>
      </c>
      <c r="I590" s="54"/>
      <c r="J590" s="64" t="s">
        <v>549</v>
      </c>
      <c r="K590" s="64" t="s">
        <v>549</v>
      </c>
      <c r="L590" s="64" t="s">
        <v>549</v>
      </c>
      <c r="M590" s="64"/>
    </row>
    <row r="591" spans="1:13" ht="16.2" x14ac:dyDescent="0.4">
      <c r="A591" s="3" t="str">
        <f t="shared" si="11"/>
        <v>lt002_insrmntgrss_cmmssn_expns_off_blnc_ccrr</v>
      </c>
      <c r="B591" s="52" t="s">
        <v>28</v>
      </c>
      <c r="C591" s="49" t="s">
        <v>28</v>
      </c>
      <c r="D591" s="45" t="s">
        <v>36</v>
      </c>
      <c r="E591" s="48" t="s">
        <v>431</v>
      </c>
      <c r="F591" s="48" t="s">
        <v>451</v>
      </c>
      <c r="G591" s="47" t="s">
        <v>532</v>
      </c>
      <c r="H591" s="47" t="s">
        <v>532</v>
      </c>
      <c r="I591" s="54"/>
      <c r="J591" s="64" t="s">
        <v>549</v>
      </c>
      <c r="K591" s="64" t="s">
        <v>549</v>
      </c>
      <c r="L591" s="64" t="s">
        <v>549</v>
      </c>
      <c r="M591" s="64"/>
    </row>
    <row r="592" spans="1:13" ht="16.2" x14ac:dyDescent="0.4">
      <c r="A592" s="3" t="str">
        <f t="shared" si="11"/>
        <v>lt002_insrmntgrss_cmmssn_expns_off_blnc</v>
      </c>
      <c r="B592" s="52" t="s">
        <v>28</v>
      </c>
      <c r="C592" s="49" t="s">
        <v>28</v>
      </c>
      <c r="D592" s="45" t="s">
        <v>36</v>
      </c>
      <c r="E592" s="48" t="s">
        <v>431</v>
      </c>
      <c r="F592" s="48" t="s">
        <v>452</v>
      </c>
      <c r="G592" s="47" t="s">
        <v>532</v>
      </c>
      <c r="H592" s="47" t="s">
        <v>532</v>
      </c>
      <c r="I592" s="54"/>
      <c r="J592" s="64" t="s">
        <v>549</v>
      </c>
      <c r="K592" s="64" t="s">
        <v>549</v>
      </c>
      <c r="L592" s="64" t="s">
        <v>549</v>
      </c>
      <c r="M592" s="64"/>
    </row>
    <row r="593" spans="1:14" ht="16.2" x14ac:dyDescent="0.4">
      <c r="A593" s="3" t="str">
        <f t="shared" si="11"/>
        <v>lt002_insrmntgrss_cmmssn_incm_off_blnc_ccrr</v>
      </c>
      <c r="B593" s="52" t="s">
        <v>28</v>
      </c>
      <c r="C593" s="49" t="s">
        <v>28</v>
      </c>
      <c r="D593" s="45" t="s">
        <v>36</v>
      </c>
      <c r="E593" s="48" t="s">
        <v>431</v>
      </c>
      <c r="F593" s="48" t="s">
        <v>453</v>
      </c>
      <c r="G593" s="47" t="s">
        <v>532</v>
      </c>
      <c r="H593" s="47" t="s">
        <v>532</v>
      </c>
      <c r="I593" s="54"/>
      <c r="J593" s="64" t="s">
        <v>549</v>
      </c>
      <c r="K593" s="64" t="s">
        <v>549</v>
      </c>
      <c r="L593" s="64" t="s">
        <v>549</v>
      </c>
      <c r="M593" s="64"/>
    </row>
    <row r="594" spans="1:14" ht="16.2" x14ac:dyDescent="0.4">
      <c r="A594" s="3" t="str">
        <f t="shared" ref="A594:A615" si="12">E594&amp;F594</f>
        <v>lt002_insrmntgrss_intrst_incm</v>
      </c>
      <c r="B594" s="52" t="s">
        <v>28</v>
      </c>
      <c r="C594" s="49" t="s">
        <v>28</v>
      </c>
      <c r="D594" s="45" t="s">
        <v>36</v>
      </c>
      <c r="E594" s="48" t="s">
        <v>431</v>
      </c>
      <c r="F594" s="48" t="s">
        <v>406</v>
      </c>
      <c r="G594" s="47" t="s">
        <v>532</v>
      </c>
      <c r="H594" s="47" t="s">
        <v>532</v>
      </c>
      <c r="I594" s="54"/>
      <c r="J594" s="64" t="s">
        <v>549</v>
      </c>
      <c r="K594" s="64" t="s">
        <v>549</v>
      </c>
      <c r="L594" s="64" t="s">
        <v>549</v>
      </c>
      <c r="M594" s="64"/>
    </row>
    <row r="595" spans="1:14" ht="16.2" x14ac:dyDescent="0.4">
      <c r="A595" s="3" t="str">
        <f t="shared" si="12"/>
        <v>lt002_insrmntgrss_cmmssn_incm</v>
      </c>
      <c r="B595" s="52" t="s">
        <v>28</v>
      </c>
      <c r="C595" s="49" t="s">
        <v>28</v>
      </c>
      <c r="D595" s="45" t="s">
        <v>36</v>
      </c>
      <c r="E595" s="48" t="s">
        <v>431</v>
      </c>
      <c r="F595" s="48" t="s">
        <v>407</v>
      </c>
      <c r="G595" s="47" t="s">
        <v>532</v>
      </c>
      <c r="H595" s="47" t="s">
        <v>532</v>
      </c>
      <c r="I595" s="54"/>
      <c r="J595" s="64" t="s">
        <v>549</v>
      </c>
      <c r="K595" s="64" t="s">
        <v>549</v>
      </c>
      <c r="L595" s="64" t="s">
        <v>549</v>
      </c>
      <c r="M595" s="64"/>
    </row>
    <row r="596" spans="1:14" ht="16.2" x14ac:dyDescent="0.4">
      <c r="A596" s="3" t="str">
        <f t="shared" si="12"/>
        <v>lt002_insrmntgrss_cmmssn_incm_ccrr</v>
      </c>
      <c r="B596" s="52" t="s">
        <v>28</v>
      </c>
      <c r="C596" s="49" t="s">
        <v>28</v>
      </c>
      <c r="D596" s="45" t="s">
        <v>36</v>
      </c>
      <c r="E596" s="48" t="s">
        <v>431</v>
      </c>
      <c r="F596" s="48" t="s">
        <v>454</v>
      </c>
      <c r="G596" s="47" t="s">
        <v>532</v>
      </c>
      <c r="H596" s="47" t="s">
        <v>532</v>
      </c>
      <c r="I596" s="54"/>
      <c r="J596" s="64" t="s">
        <v>549</v>
      </c>
      <c r="K596" s="64" t="s">
        <v>549</v>
      </c>
      <c r="L596" s="64" t="s">
        <v>549</v>
      </c>
      <c r="M596" s="64"/>
    </row>
    <row r="597" spans="1:14" ht="16.2" x14ac:dyDescent="0.4">
      <c r="A597" s="3" t="str">
        <f t="shared" si="12"/>
        <v>lt002_insrmntintrnl_trnsfr_rt</v>
      </c>
      <c r="B597" s="52" t="s">
        <v>28</v>
      </c>
      <c r="C597" s="49" t="s">
        <v>28</v>
      </c>
      <c r="D597" s="45" t="s">
        <v>36</v>
      </c>
      <c r="E597" s="48" t="s">
        <v>431</v>
      </c>
      <c r="F597" s="48" t="s">
        <v>455</v>
      </c>
      <c r="G597" s="47" t="s">
        <v>532</v>
      </c>
      <c r="H597" s="47" t="s">
        <v>532</v>
      </c>
      <c r="I597" s="54"/>
      <c r="J597" s="64" t="s">
        <v>549</v>
      </c>
      <c r="K597" s="64" t="s">
        <v>549</v>
      </c>
      <c r="L597" s="64" t="s">
        <v>549</v>
      </c>
      <c r="M597" s="64"/>
    </row>
    <row r="598" spans="1:14" ht="16.2" x14ac:dyDescent="0.4">
      <c r="A598" s="3" t="str">
        <f t="shared" si="12"/>
        <v>lt002_insrmntgrss_cmmssn_expns</v>
      </c>
      <c r="B598" s="52" t="s">
        <v>28</v>
      </c>
      <c r="C598" s="49" t="s">
        <v>28</v>
      </c>
      <c r="D598" s="45" t="s">
        <v>36</v>
      </c>
      <c r="E598" s="48" t="s">
        <v>431</v>
      </c>
      <c r="F598" s="48" t="s">
        <v>456</v>
      </c>
      <c r="G598" s="47" t="s">
        <v>532</v>
      </c>
      <c r="H598" s="47" t="s">
        <v>532</v>
      </c>
      <c r="I598" s="54"/>
      <c r="J598" s="64" t="s">
        <v>549</v>
      </c>
      <c r="K598" s="64" t="s">
        <v>549</v>
      </c>
      <c r="L598" s="64" t="s">
        <v>549</v>
      </c>
      <c r="M598" s="64"/>
    </row>
    <row r="599" spans="1:14" ht="16.2" x14ac:dyDescent="0.4">
      <c r="A599" s="3" t="str">
        <f t="shared" si="12"/>
        <v>lt002_insrmntgrss_cmmssn_expns_ccrr</v>
      </c>
      <c r="B599" s="52" t="s">
        <v>28</v>
      </c>
      <c r="C599" s="49" t="s">
        <v>28</v>
      </c>
      <c r="D599" s="45" t="s">
        <v>36</v>
      </c>
      <c r="E599" s="48" t="s">
        <v>431</v>
      </c>
      <c r="F599" s="48" t="s">
        <v>457</v>
      </c>
      <c r="G599" s="47" t="s">
        <v>532</v>
      </c>
      <c r="H599" s="47" t="s">
        <v>532</v>
      </c>
      <c r="I599" s="54"/>
      <c r="J599" s="64" t="s">
        <v>549</v>
      </c>
      <c r="K599" s="64" t="s">
        <v>549</v>
      </c>
      <c r="L599" s="64" t="s">
        <v>549</v>
      </c>
      <c r="M599" s="64"/>
    </row>
    <row r="600" spans="1:14" ht="16.2" x14ac:dyDescent="0.4">
      <c r="A600" s="3" t="str">
        <f t="shared" si="12"/>
        <v>lt002_insrmntgrss_intrst_expns</v>
      </c>
      <c r="B600" s="52" t="s">
        <v>28</v>
      </c>
      <c r="C600" s="49" t="s">
        <v>28</v>
      </c>
      <c r="D600" s="45" t="s">
        <v>36</v>
      </c>
      <c r="E600" s="48" t="s">
        <v>431</v>
      </c>
      <c r="F600" s="48" t="s">
        <v>458</v>
      </c>
      <c r="G600" s="47" t="s">
        <v>532</v>
      </c>
      <c r="H600" s="47" t="s">
        <v>532</v>
      </c>
      <c r="I600" s="54"/>
      <c r="J600" s="64" t="s">
        <v>549</v>
      </c>
      <c r="K600" s="64" t="s">
        <v>549</v>
      </c>
      <c r="L600" s="64" t="s">
        <v>549</v>
      </c>
      <c r="M600" s="64"/>
    </row>
    <row r="601" spans="1:14" ht="16.2" x14ac:dyDescent="0.4">
      <c r="A601" s="3" t="str">
        <f t="shared" si="12"/>
        <v>lt002_insrmntgrss_intrst_expns_ccrr</v>
      </c>
      <c r="B601" s="52" t="s">
        <v>28</v>
      </c>
      <c r="C601" s="49" t="s">
        <v>28</v>
      </c>
      <c r="D601" s="45" t="s">
        <v>36</v>
      </c>
      <c r="E601" s="48" t="s">
        <v>431</v>
      </c>
      <c r="F601" s="48" t="s">
        <v>459</v>
      </c>
      <c r="G601" s="47" t="s">
        <v>532</v>
      </c>
      <c r="H601" s="47" t="s">
        <v>532</v>
      </c>
      <c r="I601" s="54"/>
      <c r="J601" s="64" t="s">
        <v>549</v>
      </c>
      <c r="K601" s="64" t="s">
        <v>549</v>
      </c>
      <c r="L601" s="64" t="s">
        <v>549</v>
      </c>
      <c r="M601" s="64"/>
    </row>
    <row r="602" spans="1:14" ht="16.2" x14ac:dyDescent="0.4">
      <c r="A602" s="3" t="str">
        <f t="shared" si="12"/>
        <v>lt002_insrmntgns_fnncl_trnsctn_exchng_dffrncs</v>
      </c>
      <c r="B602" s="52" t="s">
        <v>28</v>
      </c>
      <c r="C602" s="49" t="s">
        <v>28</v>
      </c>
      <c r="D602" s="45" t="s">
        <v>36</v>
      </c>
      <c r="E602" s="48" t="s">
        <v>431</v>
      </c>
      <c r="F602" s="48" t="s">
        <v>460</v>
      </c>
      <c r="G602" s="47" t="s">
        <v>532</v>
      </c>
      <c r="H602" s="47" t="s">
        <v>532</v>
      </c>
      <c r="I602" s="54"/>
      <c r="J602" s="64" t="s">
        <v>549</v>
      </c>
      <c r="K602" s="64" t="s">
        <v>549</v>
      </c>
      <c r="L602" s="64" t="s">
        <v>549</v>
      </c>
      <c r="M602" s="64"/>
    </row>
    <row r="603" spans="1:14" ht="16.2" x14ac:dyDescent="0.4">
      <c r="A603" s="3" t="str">
        <f t="shared" si="12"/>
        <v>lt002_insrmntgns_fnncl_trnsctn_exchng_ccrr</v>
      </c>
      <c r="B603" s="52" t="s">
        <v>28</v>
      </c>
      <c r="C603" s="49" t="s">
        <v>28</v>
      </c>
      <c r="D603" s="45" t="s">
        <v>36</v>
      </c>
      <c r="E603" s="48" t="s">
        <v>431</v>
      </c>
      <c r="F603" s="48" t="s">
        <v>461</v>
      </c>
      <c r="G603" s="47" t="s">
        <v>532</v>
      </c>
      <c r="H603" s="47" t="s">
        <v>532</v>
      </c>
      <c r="I603" s="54"/>
      <c r="J603" s="64" t="s">
        <v>549</v>
      </c>
      <c r="K603" s="64" t="s">
        <v>549</v>
      </c>
      <c r="L603" s="64" t="s">
        <v>549</v>
      </c>
      <c r="M603" s="64"/>
    </row>
    <row r="604" spans="1:14" ht="16.2" x14ac:dyDescent="0.4">
      <c r="A604" s="3" t="str">
        <f t="shared" si="12"/>
        <v>lt002_insrmntcnclld_instrmnt_stts</v>
      </c>
      <c r="B604" s="52" t="s">
        <v>28</v>
      </c>
      <c r="C604" s="49" t="s">
        <v>28</v>
      </c>
      <c r="D604" s="45" t="s">
        <v>36</v>
      </c>
      <c r="E604" s="48" t="s">
        <v>431</v>
      </c>
      <c r="F604" s="48" t="s">
        <v>462</v>
      </c>
      <c r="G604" s="47" t="s">
        <v>532</v>
      </c>
      <c r="H604" s="47" t="s">
        <v>532</v>
      </c>
      <c r="I604" s="54" t="s">
        <v>522</v>
      </c>
      <c r="J604" s="64">
        <v>45471</v>
      </c>
      <c r="K604" s="64">
        <v>45481</v>
      </c>
      <c r="L604" s="64">
        <v>45481</v>
      </c>
      <c r="M604" s="64"/>
    </row>
    <row r="605" spans="1:14" ht="16.2" x14ac:dyDescent="0.4">
      <c r="A605" s="3" t="str">
        <f t="shared" si="12"/>
        <v>lt002_insrmntsstnbl_indctr</v>
      </c>
      <c r="B605" s="52" t="s">
        <v>28</v>
      </c>
      <c r="C605" s="49" t="s">
        <v>28</v>
      </c>
      <c r="D605" s="45" t="s">
        <v>36</v>
      </c>
      <c r="E605" s="48" t="s">
        <v>431</v>
      </c>
      <c r="F605" s="48" t="s">
        <v>404</v>
      </c>
      <c r="G605" s="47" t="s">
        <v>532</v>
      </c>
      <c r="H605" s="47" t="s">
        <v>532</v>
      </c>
      <c r="I605" s="54" t="s">
        <v>522</v>
      </c>
      <c r="J605" s="64">
        <v>45471</v>
      </c>
      <c r="K605" s="64">
        <v>45481</v>
      </c>
      <c r="L605" s="64">
        <v>45481</v>
      </c>
      <c r="M605" s="64"/>
    </row>
    <row r="606" spans="1:14" ht="16.2" x14ac:dyDescent="0.4">
      <c r="A606" s="3" t="str">
        <f t="shared" si="12"/>
        <v>modesg_inp_emss_nacenome_regiao</v>
      </c>
      <c r="B606" s="52" t="s">
        <v>23</v>
      </c>
      <c r="C606" s="49" t="s">
        <v>172</v>
      </c>
      <c r="D606" s="45" t="s">
        <v>36</v>
      </c>
      <c r="E606" s="46" t="s">
        <v>211</v>
      </c>
      <c r="F606" s="45" t="s">
        <v>213</v>
      </c>
      <c r="G606" s="47" t="s">
        <v>469</v>
      </c>
      <c r="H606" s="47" t="s">
        <v>469</v>
      </c>
      <c r="I606" s="54"/>
      <c r="J606" s="64" t="s">
        <v>549</v>
      </c>
      <c r="K606" s="64" t="s">
        <v>549</v>
      </c>
      <c r="L606" s="64" t="s">
        <v>549</v>
      </c>
      <c r="M606" s="64"/>
      <c r="N606" s="3"/>
    </row>
    <row r="607" spans="1:14" ht="16.2" x14ac:dyDescent="0.4">
      <c r="A607" s="3" t="str">
        <f t="shared" si="12"/>
        <v>modesg_inp_emss_nacearea_atividade</v>
      </c>
      <c r="B607" s="52" t="s">
        <v>23</v>
      </c>
      <c r="C607" s="49" t="s">
        <v>172</v>
      </c>
      <c r="D607" s="45" t="s">
        <v>36</v>
      </c>
      <c r="E607" s="46" t="s">
        <v>211</v>
      </c>
      <c r="F607" s="45" t="s">
        <v>523</v>
      </c>
      <c r="G607" s="47" t="s">
        <v>469</v>
      </c>
      <c r="H607" s="47" t="s">
        <v>469</v>
      </c>
      <c r="I607" s="54"/>
      <c r="J607" s="64" t="s">
        <v>549</v>
      </c>
      <c r="K607" s="64" t="s">
        <v>549</v>
      </c>
      <c r="L607" s="64" t="s">
        <v>549</v>
      </c>
      <c r="M607" s="64"/>
      <c r="N607" s="3"/>
    </row>
    <row r="608" spans="1:14" ht="16.2" x14ac:dyDescent="0.4">
      <c r="A608" s="3" t="str">
        <f t="shared" si="12"/>
        <v>modesg_inp_emss_nacetipo_atividade</v>
      </c>
      <c r="B608" s="52" t="s">
        <v>23</v>
      </c>
      <c r="C608" s="49" t="s">
        <v>172</v>
      </c>
      <c r="D608" s="45" t="s">
        <v>36</v>
      </c>
      <c r="E608" s="46" t="s">
        <v>211</v>
      </c>
      <c r="F608" s="45" t="s">
        <v>524</v>
      </c>
      <c r="G608" s="47" t="s">
        <v>469</v>
      </c>
      <c r="H608" s="47" t="s">
        <v>469</v>
      </c>
      <c r="I608" s="54"/>
      <c r="J608" s="64" t="s">
        <v>549</v>
      </c>
      <c r="K608" s="64" t="s">
        <v>549</v>
      </c>
      <c r="L608" s="64" t="s">
        <v>549</v>
      </c>
      <c r="M608" s="64"/>
      <c r="N608" s="3"/>
    </row>
    <row r="609" spans="1:14" ht="16.2" x14ac:dyDescent="0.4">
      <c r="A609" s="3" t="str">
        <f t="shared" si="12"/>
        <v>modesg_inp_emss_nacesub_tipo_atividade_1</v>
      </c>
      <c r="B609" s="52" t="s">
        <v>23</v>
      </c>
      <c r="C609" s="49" t="s">
        <v>172</v>
      </c>
      <c r="D609" s="45" t="s">
        <v>36</v>
      </c>
      <c r="E609" s="46" t="s">
        <v>211</v>
      </c>
      <c r="F609" s="45" t="s">
        <v>525</v>
      </c>
      <c r="G609" s="47" t="s">
        <v>469</v>
      </c>
      <c r="H609" s="47" t="s">
        <v>469</v>
      </c>
      <c r="I609" s="54"/>
      <c r="J609" s="64" t="s">
        <v>549</v>
      </c>
      <c r="K609" s="64" t="s">
        <v>549</v>
      </c>
      <c r="L609" s="64" t="s">
        <v>549</v>
      </c>
      <c r="M609" s="64"/>
      <c r="N609" s="3"/>
    </row>
    <row r="610" spans="1:14" ht="16.2" x14ac:dyDescent="0.4">
      <c r="A610" s="3" t="str">
        <f t="shared" si="12"/>
        <v>modesg_inp_emss_nacesub_tipo_atividade_2</v>
      </c>
      <c r="B610" s="52" t="s">
        <v>23</v>
      </c>
      <c r="C610" s="49" t="s">
        <v>172</v>
      </c>
      <c r="D610" s="45" t="s">
        <v>36</v>
      </c>
      <c r="E610" s="46" t="s">
        <v>211</v>
      </c>
      <c r="F610" s="45" t="s">
        <v>526</v>
      </c>
      <c r="G610" s="47" t="s">
        <v>469</v>
      </c>
      <c r="H610" s="47" t="s">
        <v>469</v>
      </c>
      <c r="I610" s="54"/>
      <c r="J610" s="64" t="s">
        <v>549</v>
      </c>
      <c r="K610" s="64" t="s">
        <v>549</v>
      </c>
      <c r="L610" s="64" t="s">
        <v>549</v>
      </c>
      <c r="M610" s="64"/>
      <c r="N610" s="3"/>
    </row>
    <row r="611" spans="1:14" ht="16.2" x14ac:dyDescent="0.4">
      <c r="A611" s="3" t="str">
        <f t="shared" si="12"/>
        <v>modesg_inp_emss_naceunidades_unidade_funcional</v>
      </c>
      <c r="B611" s="52" t="s">
        <v>23</v>
      </c>
      <c r="C611" s="49" t="s">
        <v>172</v>
      </c>
      <c r="D611" s="45" t="s">
        <v>36</v>
      </c>
      <c r="E611" s="46" t="s">
        <v>211</v>
      </c>
      <c r="F611" s="45" t="s">
        <v>527</v>
      </c>
      <c r="G611" s="47" t="s">
        <v>469</v>
      </c>
      <c r="H611" s="47" t="s">
        <v>469</v>
      </c>
      <c r="I611" s="54"/>
      <c r="J611" s="64" t="s">
        <v>549</v>
      </c>
      <c r="K611" s="64" t="s">
        <v>549</v>
      </c>
      <c r="L611" s="64" t="s">
        <v>549</v>
      </c>
      <c r="M611" s="64"/>
      <c r="N611" s="3"/>
    </row>
    <row r="612" spans="1:14" ht="16.2" x14ac:dyDescent="0.4">
      <c r="A612" s="3" t="str">
        <f t="shared" si="12"/>
        <v>modesg_inp_emss_nacefator_emissao</v>
      </c>
      <c r="B612" s="52" t="s">
        <v>23</v>
      </c>
      <c r="C612" s="49" t="s">
        <v>172</v>
      </c>
      <c r="D612" s="45" t="s">
        <v>36</v>
      </c>
      <c r="E612" s="46" t="s">
        <v>211</v>
      </c>
      <c r="F612" s="45" t="s">
        <v>528</v>
      </c>
      <c r="G612" s="47" t="s">
        <v>469</v>
      </c>
      <c r="H612" s="47" t="s">
        <v>469</v>
      </c>
      <c r="I612" s="54"/>
      <c r="J612" s="64" t="s">
        <v>549</v>
      </c>
      <c r="K612" s="64" t="s">
        <v>549</v>
      </c>
      <c r="L612" s="64" t="s">
        <v>549</v>
      </c>
      <c r="M612" s="64"/>
      <c r="N612" s="3"/>
    </row>
    <row r="613" spans="1:14" ht="16.2" x14ac:dyDescent="0.4">
      <c r="A613" s="3" t="str">
        <f t="shared" si="12"/>
        <v>modesg_inp_km_medios_emss_vclsmedia_scp1_emss</v>
      </c>
      <c r="B613" s="52" t="s">
        <v>23</v>
      </c>
      <c r="C613" s="49" t="s">
        <v>172</v>
      </c>
      <c r="D613" s="45" t="s">
        <v>36</v>
      </c>
      <c r="E613" s="46" t="s">
        <v>206</v>
      </c>
      <c r="F613" s="45" t="s">
        <v>529</v>
      </c>
      <c r="G613" s="47" t="s">
        <v>469</v>
      </c>
      <c r="H613" s="47" t="s">
        <v>469</v>
      </c>
      <c r="I613" s="54"/>
      <c r="J613" s="64" t="s">
        <v>549</v>
      </c>
      <c r="K613" s="64" t="s">
        <v>549</v>
      </c>
      <c r="L613" s="64" t="s">
        <v>549</v>
      </c>
      <c r="M613" s="64"/>
      <c r="N613" s="3"/>
    </row>
    <row r="614" spans="1:14" ht="16.2" x14ac:dyDescent="0.4">
      <c r="A614" s="3" t="str">
        <f t="shared" si="12"/>
        <v>modesg_inp_km_medios_emss_vclsmedia_scp2_emss</v>
      </c>
      <c r="B614" s="52" t="s">
        <v>23</v>
      </c>
      <c r="C614" s="49" t="s">
        <v>172</v>
      </c>
      <c r="D614" s="45" t="s">
        <v>36</v>
      </c>
      <c r="E614" s="46" t="s">
        <v>206</v>
      </c>
      <c r="F614" s="45" t="s">
        <v>530</v>
      </c>
      <c r="G614" s="47" t="s">
        <v>469</v>
      </c>
      <c r="H614" s="47" t="s">
        <v>469</v>
      </c>
      <c r="I614" s="54"/>
      <c r="J614" s="64" t="s">
        <v>549</v>
      </c>
      <c r="K614" s="64" t="s">
        <v>549</v>
      </c>
      <c r="L614" s="64" t="s">
        <v>549</v>
      </c>
      <c r="M614" s="64"/>
      <c r="N614" s="3"/>
    </row>
    <row r="615" spans="1:14" ht="16.2" x14ac:dyDescent="0.4">
      <c r="A615" s="3" t="str">
        <f t="shared" si="12"/>
        <v>modesg_inp_km_medios_emss_vclsmedia_scp3_emss</v>
      </c>
      <c r="B615" s="57" t="s">
        <v>23</v>
      </c>
      <c r="C615" s="58" t="s">
        <v>172</v>
      </c>
      <c r="D615" s="59" t="s">
        <v>36</v>
      </c>
      <c r="E615" s="60" t="s">
        <v>206</v>
      </c>
      <c r="F615" s="59" t="s">
        <v>531</v>
      </c>
      <c r="G615" s="61" t="s">
        <v>469</v>
      </c>
      <c r="H615" s="61" t="s">
        <v>469</v>
      </c>
      <c r="I615" s="62"/>
      <c r="J615" s="64" t="s">
        <v>549</v>
      </c>
      <c r="K615" s="64" t="s">
        <v>549</v>
      </c>
      <c r="L615" s="64" t="s">
        <v>549</v>
      </c>
      <c r="M615" s="64"/>
      <c r="N615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586"/>
  <sheetViews>
    <sheetView showGridLines="0" zoomScale="70" zoomScaleNormal="70" workbookViewId="0">
      <pane xSplit="16" ySplit="8" topLeftCell="CE9" activePane="bottomRight" state="frozen"/>
      <selection pane="topRight" activeCell="D136" sqref="D136"/>
      <selection pane="bottomLeft" activeCell="D136" sqref="D136"/>
      <selection pane="bottomRight" activeCell="CP28" sqref="CP28"/>
    </sheetView>
  </sheetViews>
  <sheetFormatPr defaultColWidth="0" defaultRowHeight="17.399999999999999" zeroHeight="1" x14ac:dyDescent="0.45"/>
  <cols>
    <col min="1" max="1" width="3.69921875" customWidth="1"/>
    <col min="2" max="2" width="8.69921875" bestFit="1" customWidth="1"/>
    <col min="3" max="3" width="19.69921875" bestFit="1" customWidth="1"/>
    <col min="4" max="4" width="14.59765625" hidden="1" customWidth="1"/>
    <col min="5" max="5" width="35.59765625" hidden="1" customWidth="1"/>
    <col min="6" max="6" width="33.69921875" hidden="1" customWidth="1"/>
    <col min="7" max="8" width="14.59765625" hidden="1" customWidth="1"/>
    <col min="9" max="9" width="16.69921875" style="2" hidden="1" customWidth="1"/>
    <col min="10" max="10" width="11" style="2" hidden="1" customWidth="1"/>
    <col min="11" max="11" width="15.69921875" style="2" hidden="1" customWidth="1"/>
    <col min="12" max="12" width="14.296875" style="2" hidden="1" customWidth="1"/>
    <col min="13" max="13" width="17.19921875" style="28" bestFit="1" customWidth="1"/>
    <col min="14" max="14" width="13.19921875" style="28" bestFit="1" customWidth="1"/>
    <col min="15" max="15" width="13.19921875" style="28" customWidth="1"/>
    <col min="16" max="16" width="53.796875" customWidth="1"/>
    <col min="17" max="17" width="4.5" customWidth="1"/>
    <col min="18" max="148" width="5.69921875" customWidth="1"/>
    <col min="149" max="149" width="8.69921875" customWidth="1"/>
    <col min="150" max="175" width="0" hidden="1" customWidth="1"/>
    <col min="176" max="16384" width="8.69921875" hidden="1"/>
  </cols>
  <sheetData>
    <row r="1" spans="1:149" s="2" customFormat="1" x14ac:dyDescent="0.45">
      <c r="AJ1" s="28"/>
    </row>
    <row r="2" spans="1:149" s="2" customFormat="1" x14ac:dyDescent="0.45"/>
    <row r="3" spans="1:149" s="2" customFormat="1" x14ac:dyDescent="0.45"/>
    <row r="4" spans="1:149" s="2" customFormat="1" ht="4.95" customHeight="1" x14ac:dyDescent="0.4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</row>
    <row r="5" spans="1:149" x14ac:dyDescent="0.45">
      <c r="M5" s="2"/>
      <c r="N5" s="2"/>
      <c r="O5" s="2"/>
      <c r="Q5" s="17"/>
    </row>
    <row r="6" spans="1:149" x14ac:dyDescent="0.45">
      <c r="M6" s="2"/>
      <c r="N6" s="2"/>
      <c r="O6" s="2"/>
      <c r="Q6" s="7" t="s">
        <v>0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 t="s">
        <v>1</v>
      </c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 t="s">
        <v>2</v>
      </c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 t="s">
        <v>3</v>
      </c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 t="s">
        <v>4</v>
      </c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 t="s">
        <v>5</v>
      </c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</row>
    <row r="7" spans="1:149" x14ac:dyDescent="0.45">
      <c r="M7" s="2"/>
      <c r="N7" s="2"/>
      <c r="O7" s="2"/>
      <c r="Q7" s="8">
        <f t="shared" ref="Q7:CB7" si="0">Q8</f>
        <v>45474</v>
      </c>
      <c r="R7" s="8">
        <f t="shared" si="0"/>
        <v>45475</v>
      </c>
      <c r="S7" s="8">
        <f t="shared" si="0"/>
        <v>45476</v>
      </c>
      <c r="T7" s="8">
        <f t="shared" si="0"/>
        <v>45477</v>
      </c>
      <c r="U7" s="8">
        <f t="shared" si="0"/>
        <v>45478</v>
      </c>
      <c r="V7" s="8">
        <f t="shared" si="0"/>
        <v>45481</v>
      </c>
      <c r="W7" s="8">
        <f t="shared" si="0"/>
        <v>45482</v>
      </c>
      <c r="X7" s="8">
        <f t="shared" si="0"/>
        <v>45483</v>
      </c>
      <c r="Y7" s="8">
        <f t="shared" si="0"/>
        <v>45484</v>
      </c>
      <c r="Z7" s="8">
        <f t="shared" si="0"/>
        <v>45485</v>
      </c>
      <c r="AA7" s="8">
        <f t="shared" si="0"/>
        <v>45488</v>
      </c>
      <c r="AB7" s="8">
        <f t="shared" si="0"/>
        <v>45489</v>
      </c>
      <c r="AC7" s="8">
        <f t="shared" si="0"/>
        <v>45490</v>
      </c>
      <c r="AD7" s="8">
        <f t="shared" si="0"/>
        <v>45491</v>
      </c>
      <c r="AE7" s="8">
        <f t="shared" si="0"/>
        <v>45492</v>
      </c>
      <c r="AF7" s="8">
        <f t="shared" si="0"/>
        <v>45495</v>
      </c>
      <c r="AG7" s="8">
        <f t="shared" si="0"/>
        <v>45496</v>
      </c>
      <c r="AH7" s="8">
        <f t="shared" si="0"/>
        <v>45497</v>
      </c>
      <c r="AI7" s="8">
        <f t="shared" si="0"/>
        <v>45498</v>
      </c>
      <c r="AJ7" s="8">
        <f t="shared" si="0"/>
        <v>45499</v>
      </c>
      <c r="AK7" s="8">
        <f t="shared" si="0"/>
        <v>45502</v>
      </c>
      <c r="AL7" s="8">
        <f t="shared" si="0"/>
        <v>45503</v>
      </c>
      <c r="AM7" s="8">
        <f t="shared" si="0"/>
        <v>45504</v>
      </c>
      <c r="AN7" s="8">
        <f t="shared" si="0"/>
        <v>45505</v>
      </c>
      <c r="AO7" s="8">
        <f t="shared" si="0"/>
        <v>45506</v>
      </c>
      <c r="AP7" s="8">
        <f t="shared" si="0"/>
        <v>45509</v>
      </c>
      <c r="AQ7" s="8">
        <f t="shared" si="0"/>
        <v>45510</v>
      </c>
      <c r="AR7" s="8">
        <f t="shared" si="0"/>
        <v>45511</v>
      </c>
      <c r="AS7" s="8">
        <f t="shared" si="0"/>
        <v>45512</v>
      </c>
      <c r="AT7" s="8">
        <f t="shared" si="0"/>
        <v>45513</v>
      </c>
      <c r="AU7" s="8">
        <f t="shared" si="0"/>
        <v>45516</v>
      </c>
      <c r="AV7" s="8">
        <f t="shared" si="0"/>
        <v>45517</v>
      </c>
      <c r="AW7" s="8">
        <f t="shared" si="0"/>
        <v>45518</v>
      </c>
      <c r="AX7" s="8">
        <f t="shared" si="0"/>
        <v>45519</v>
      </c>
      <c r="AY7" s="8">
        <f t="shared" si="0"/>
        <v>45520</v>
      </c>
      <c r="AZ7" s="8">
        <f t="shared" si="0"/>
        <v>45523</v>
      </c>
      <c r="BA7" s="8">
        <f t="shared" si="0"/>
        <v>45524</v>
      </c>
      <c r="BB7" s="8">
        <f t="shared" si="0"/>
        <v>45525</v>
      </c>
      <c r="BC7" s="8">
        <f t="shared" si="0"/>
        <v>45526</v>
      </c>
      <c r="BD7" s="8">
        <f t="shared" si="0"/>
        <v>45527</v>
      </c>
      <c r="BE7" s="8">
        <f t="shared" si="0"/>
        <v>45530</v>
      </c>
      <c r="BF7" s="8">
        <f t="shared" si="0"/>
        <v>45531</v>
      </c>
      <c r="BG7" s="8">
        <f t="shared" si="0"/>
        <v>45532</v>
      </c>
      <c r="BH7" s="8">
        <f t="shared" si="0"/>
        <v>45533</v>
      </c>
      <c r="BI7" s="8">
        <f t="shared" si="0"/>
        <v>45534</v>
      </c>
      <c r="BJ7" s="8">
        <f t="shared" si="0"/>
        <v>45537</v>
      </c>
      <c r="BK7" s="8">
        <f t="shared" si="0"/>
        <v>45538</v>
      </c>
      <c r="BL7" s="8">
        <f t="shared" si="0"/>
        <v>45539</v>
      </c>
      <c r="BM7" s="8">
        <f t="shared" si="0"/>
        <v>45540</v>
      </c>
      <c r="BN7" s="8">
        <f t="shared" si="0"/>
        <v>45541</v>
      </c>
      <c r="BO7" s="8">
        <f t="shared" si="0"/>
        <v>45544</v>
      </c>
      <c r="BP7" s="8">
        <f t="shared" si="0"/>
        <v>45545</v>
      </c>
      <c r="BQ7" s="8">
        <f t="shared" si="0"/>
        <v>45546</v>
      </c>
      <c r="BR7" s="8">
        <f t="shared" si="0"/>
        <v>45547</v>
      </c>
      <c r="BS7" s="8">
        <f t="shared" si="0"/>
        <v>45548</v>
      </c>
      <c r="BT7" s="8">
        <f t="shared" si="0"/>
        <v>45551</v>
      </c>
      <c r="BU7" s="8">
        <f t="shared" si="0"/>
        <v>45552</v>
      </c>
      <c r="BV7" s="8">
        <f t="shared" si="0"/>
        <v>45553</v>
      </c>
      <c r="BW7" s="8">
        <f t="shared" si="0"/>
        <v>45554</v>
      </c>
      <c r="BX7" s="8">
        <f t="shared" si="0"/>
        <v>45555</v>
      </c>
      <c r="BY7" s="8">
        <f t="shared" si="0"/>
        <v>45558</v>
      </c>
      <c r="BZ7" s="8">
        <f t="shared" si="0"/>
        <v>45559</v>
      </c>
      <c r="CA7" s="8">
        <f t="shared" si="0"/>
        <v>45560</v>
      </c>
      <c r="CB7" s="8">
        <f t="shared" si="0"/>
        <v>45561</v>
      </c>
      <c r="CC7" s="8">
        <f t="shared" ref="CC7:EN7" si="1">CC8</f>
        <v>45562</v>
      </c>
      <c r="CD7" s="8">
        <f t="shared" si="1"/>
        <v>45565</v>
      </c>
      <c r="CE7" s="8">
        <f t="shared" si="1"/>
        <v>45566</v>
      </c>
      <c r="CF7" s="8">
        <f t="shared" si="1"/>
        <v>45567</v>
      </c>
      <c r="CG7" s="8">
        <f t="shared" si="1"/>
        <v>45568</v>
      </c>
      <c r="CH7" s="8">
        <f t="shared" si="1"/>
        <v>45569</v>
      </c>
      <c r="CI7" s="8">
        <f t="shared" si="1"/>
        <v>45572</v>
      </c>
      <c r="CJ7" s="8">
        <f t="shared" si="1"/>
        <v>45573</v>
      </c>
      <c r="CK7" s="8">
        <f t="shared" si="1"/>
        <v>45574</v>
      </c>
      <c r="CL7" s="8">
        <f t="shared" si="1"/>
        <v>45575</v>
      </c>
      <c r="CM7" s="8">
        <f t="shared" si="1"/>
        <v>45576</v>
      </c>
      <c r="CN7" s="8">
        <f t="shared" si="1"/>
        <v>45579</v>
      </c>
      <c r="CO7" s="8">
        <f t="shared" si="1"/>
        <v>45580</v>
      </c>
      <c r="CP7" s="8">
        <f t="shared" si="1"/>
        <v>45581</v>
      </c>
      <c r="CQ7" s="8">
        <f t="shared" si="1"/>
        <v>45582</v>
      </c>
      <c r="CR7" s="8">
        <f t="shared" si="1"/>
        <v>45583</v>
      </c>
      <c r="CS7" s="8">
        <f t="shared" si="1"/>
        <v>45586</v>
      </c>
      <c r="CT7" s="8">
        <f t="shared" si="1"/>
        <v>45587</v>
      </c>
      <c r="CU7" s="8">
        <f t="shared" si="1"/>
        <v>45588</v>
      </c>
      <c r="CV7" s="8">
        <f t="shared" si="1"/>
        <v>45589</v>
      </c>
      <c r="CW7" s="8">
        <f t="shared" si="1"/>
        <v>45590</v>
      </c>
      <c r="CX7" s="8">
        <f t="shared" si="1"/>
        <v>45593</v>
      </c>
      <c r="CY7" s="8">
        <f t="shared" si="1"/>
        <v>45594</v>
      </c>
      <c r="CZ7" s="8">
        <f t="shared" si="1"/>
        <v>45595</v>
      </c>
      <c r="DA7" s="8">
        <f t="shared" si="1"/>
        <v>45596</v>
      </c>
      <c r="DB7" s="8">
        <f t="shared" si="1"/>
        <v>45597</v>
      </c>
      <c r="DC7" s="8">
        <f t="shared" si="1"/>
        <v>45600</v>
      </c>
      <c r="DD7" s="8">
        <f t="shared" si="1"/>
        <v>45601</v>
      </c>
      <c r="DE7" s="8">
        <f t="shared" si="1"/>
        <v>45602</v>
      </c>
      <c r="DF7" s="8">
        <f t="shared" si="1"/>
        <v>45603</v>
      </c>
      <c r="DG7" s="8">
        <f t="shared" si="1"/>
        <v>45604</v>
      </c>
      <c r="DH7" s="8">
        <f t="shared" si="1"/>
        <v>45607</v>
      </c>
      <c r="DI7" s="8">
        <f t="shared" si="1"/>
        <v>45608</v>
      </c>
      <c r="DJ7" s="8">
        <f t="shared" si="1"/>
        <v>45609</v>
      </c>
      <c r="DK7" s="8">
        <f t="shared" si="1"/>
        <v>45610</v>
      </c>
      <c r="DL7" s="8">
        <f t="shared" si="1"/>
        <v>45611</v>
      </c>
      <c r="DM7" s="8">
        <f t="shared" si="1"/>
        <v>45614</v>
      </c>
      <c r="DN7" s="8">
        <f t="shared" si="1"/>
        <v>45615</v>
      </c>
      <c r="DO7" s="8">
        <f t="shared" si="1"/>
        <v>45616</v>
      </c>
      <c r="DP7" s="8">
        <f t="shared" si="1"/>
        <v>45617</v>
      </c>
      <c r="DQ7" s="8">
        <f t="shared" si="1"/>
        <v>45618</v>
      </c>
      <c r="DR7" s="8">
        <f t="shared" si="1"/>
        <v>45621</v>
      </c>
      <c r="DS7" s="8">
        <f t="shared" si="1"/>
        <v>45622</v>
      </c>
      <c r="DT7" s="8">
        <f t="shared" si="1"/>
        <v>45623</v>
      </c>
      <c r="DU7" s="8">
        <f t="shared" si="1"/>
        <v>45624</v>
      </c>
      <c r="DV7" s="8">
        <f t="shared" si="1"/>
        <v>45625</v>
      </c>
      <c r="DW7" s="8">
        <f t="shared" si="1"/>
        <v>45628</v>
      </c>
      <c r="DX7" s="8">
        <f t="shared" si="1"/>
        <v>45629</v>
      </c>
      <c r="DY7" s="8">
        <f t="shared" si="1"/>
        <v>45630</v>
      </c>
      <c r="DZ7" s="8">
        <f t="shared" si="1"/>
        <v>45631</v>
      </c>
      <c r="EA7" s="8">
        <f t="shared" si="1"/>
        <v>45632</v>
      </c>
      <c r="EB7" s="8">
        <f t="shared" si="1"/>
        <v>45635</v>
      </c>
      <c r="EC7" s="8">
        <f t="shared" si="1"/>
        <v>45636</v>
      </c>
      <c r="ED7" s="8">
        <f t="shared" si="1"/>
        <v>45637</v>
      </c>
      <c r="EE7" s="8">
        <f t="shared" si="1"/>
        <v>45638</v>
      </c>
      <c r="EF7" s="8">
        <f t="shared" si="1"/>
        <v>45639</v>
      </c>
      <c r="EG7" s="8">
        <f t="shared" si="1"/>
        <v>45642</v>
      </c>
      <c r="EH7" s="8">
        <f t="shared" si="1"/>
        <v>45643</v>
      </c>
      <c r="EI7" s="8">
        <f t="shared" si="1"/>
        <v>45644</v>
      </c>
      <c r="EJ7" s="8">
        <f t="shared" si="1"/>
        <v>45645</v>
      </c>
      <c r="EK7" s="8">
        <f t="shared" si="1"/>
        <v>45646</v>
      </c>
      <c r="EL7" s="8">
        <f t="shared" si="1"/>
        <v>45649</v>
      </c>
      <c r="EM7" s="8">
        <f t="shared" si="1"/>
        <v>45650</v>
      </c>
      <c r="EN7" s="8">
        <f t="shared" si="1"/>
        <v>45651</v>
      </c>
      <c r="EO7" s="8">
        <f>EO8</f>
        <v>45652</v>
      </c>
      <c r="EP7" s="8">
        <f>EP8</f>
        <v>45653</v>
      </c>
      <c r="EQ7" s="8">
        <f>EQ8</f>
        <v>45656</v>
      </c>
      <c r="ER7" s="8">
        <f>ER8</f>
        <v>45657</v>
      </c>
    </row>
    <row r="8" spans="1:149" x14ac:dyDescent="0.25">
      <c r="B8" s="96" t="s">
        <v>6</v>
      </c>
      <c r="C8" s="85" t="s">
        <v>7</v>
      </c>
      <c r="D8" s="85" t="s">
        <v>8</v>
      </c>
      <c r="E8" s="85" t="s">
        <v>9</v>
      </c>
      <c r="F8" s="85" t="s">
        <v>10</v>
      </c>
      <c r="G8" s="85" t="s">
        <v>11</v>
      </c>
      <c r="H8" s="85" t="s">
        <v>12</v>
      </c>
      <c r="I8" s="85" t="s">
        <v>13</v>
      </c>
      <c r="J8" s="85" t="s">
        <v>14</v>
      </c>
      <c r="K8" s="85" t="s">
        <v>15</v>
      </c>
      <c r="L8" s="85" t="s">
        <v>16</v>
      </c>
      <c r="M8" s="85" t="s">
        <v>17</v>
      </c>
      <c r="N8" s="85" t="s">
        <v>18</v>
      </c>
      <c r="O8" s="85" t="s">
        <v>19</v>
      </c>
      <c r="P8" s="97" t="s">
        <v>20</v>
      </c>
      <c r="Q8" s="9">
        <v>45474</v>
      </c>
      <c r="R8" s="9">
        <f t="shared" ref="R8:CC8" si="2">WORKDAY(Q8,1)</f>
        <v>45475</v>
      </c>
      <c r="S8" s="9">
        <f t="shared" si="2"/>
        <v>45476</v>
      </c>
      <c r="T8" s="9">
        <f t="shared" si="2"/>
        <v>45477</v>
      </c>
      <c r="U8" s="9">
        <f t="shared" si="2"/>
        <v>45478</v>
      </c>
      <c r="V8" s="9">
        <f t="shared" si="2"/>
        <v>45481</v>
      </c>
      <c r="W8" s="9">
        <f t="shared" si="2"/>
        <v>45482</v>
      </c>
      <c r="X8" s="9">
        <f t="shared" si="2"/>
        <v>45483</v>
      </c>
      <c r="Y8" s="9">
        <f t="shared" si="2"/>
        <v>45484</v>
      </c>
      <c r="Z8" s="9">
        <f t="shared" si="2"/>
        <v>45485</v>
      </c>
      <c r="AA8" s="9">
        <f t="shared" si="2"/>
        <v>45488</v>
      </c>
      <c r="AB8" s="9">
        <f t="shared" si="2"/>
        <v>45489</v>
      </c>
      <c r="AC8" s="9">
        <f t="shared" si="2"/>
        <v>45490</v>
      </c>
      <c r="AD8" s="9">
        <f t="shared" si="2"/>
        <v>45491</v>
      </c>
      <c r="AE8" s="9">
        <f t="shared" si="2"/>
        <v>45492</v>
      </c>
      <c r="AF8" s="9">
        <f t="shared" si="2"/>
        <v>45495</v>
      </c>
      <c r="AG8" s="9">
        <f t="shared" si="2"/>
        <v>45496</v>
      </c>
      <c r="AH8" s="9">
        <f t="shared" si="2"/>
        <v>45497</v>
      </c>
      <c r="AI8" s="9">
        <f t="shared" si="2"/>
        <v>45498</v>
      </c>
      <c r="AJ8" s="9">
        <f t="shared" si="2"/>
        <v>45499</v>
      </c>
      <c r="AK8" s="9">
        <f t="shared" si="2"/>
        <v>45502</v>
      </c>
      <c r="AL8" s="9">
        <f t="shared" si="2"/>
        <v>45503</v>
      </c>
      <c r="AM8" s="9">
        <f t="shared" si="2"/>
        <v>45504</v>
      </c>
      <c r="AN8" s="9">
        <f t="shared" si="2"/>
        <v>45505</v>
      </c>
      <c r="AO8" s="9">
        <f t="shared" si="2"/>
        <v>45506</v>
      </c>
      <c r="AP8" s="9">
        <f t="shared" si="2"/>
        <v>45509</v>
      </c>
      <c r="AQ8" s="9">
        <f t="shared" si="2"/>
        <v>45510</v>
      </c>
      <c r="AR8" s="9">
        <f t="shared" si="2"/>
        <v>45511</v>
      </c>
      <c r="AS8" s="9">
        <f t="shared" si="2"/>
        <v>45512</v>
      </c>
      <c r="AT8" s="9">
        <f t="shared" si="2"/>
        <v>45513</v>
      </c>
      <c r="AU8" s="9">
        <f t="shared" si="2"/>
        <v>45516</v>
      </c>
      <c r="AV8" s="9">
        <f t="shared" si="2"/>
        <v>45517</v>
      </c>
      <c r="AW8" s="9">
        <f t="shared" si="2"/>
        <v>45518</v>
      </c>
      <c r="AX8" s="9">
        <f t="shared" si="2"/>
        <v>45519</v>
      </c>
      <c r="AY8" s="9">
        <f t="shared" si="2"/>
        <v>45520</v>
      </c>
      <c r="AZ8" s="9">
        <f t="shared" si="2"/>
        <v>45523</v>
      </c>
      <c r="BA8" s="9">
        <f t="shared" si="2"/>
        <v>45524</v>
      </c>
      <c r="BB8" s="9">
        <f t="shared" si="2"/>
        <v>45525</v>
      </c>
      <c r="BC8" s="9">
        <f t="shared" si="2"/>
        <v>45526</v>
      </c>
      <c r="BD8" s="9">
        <f t="shared" si="2"/>
        <v>45527</v>
      </c>
      <c r="BE8" s="9">
        <f t="shared" si="2"/>
        <v>45530</v>
      </c>
      <c r="BF8" s="9">
        <f t="shared" si="2"/>
        <v>45531</v>
      </c>
      <c r="BG8" s="9">
        <f t="shared" si="2"/>
        <v>45532</v>
      </c>
      <c r="BH8" s="9">
        <f t="shared" si="2"/>
        <v>45533</v>
      </c>
      <c r="BI8" s="9">
        <f t="shared" si="2"/>
        <v>45534</v>
      </c>
      <c r="BJ8" s="9">
        <f t="shared" si="2"/>
        <v>45537</v>
      </c>
      <c r="BK8" s="9">
        <f t="shared" si="2"/>
        <v>45538</v>
      </c>
      <c r="BL8" s="9">
        <f t="shared" si="2"/>
        <v>45539</v>
      </c>
      <c r="BM8" s="9">
        <f t="shared" si="2"/>
        <v>45540</v>
      </c>
      <c r="BN8" s="9">
        <f t="shared" si="2"/>
        <v>45541</v>
      </c>
      <c r="BO8" s="9">
        <f t="shared" si="2"/>
        <v>45544</v>
      </c>
      <c r="BP8" s="9">
        <f t="shared" si="2"/>
        <v>45545</v>
      </c>
      <c r="BQ8" s="9">
        <f t="shared" si="2"/>
        <v>45546</v>
      </c>
      <c r="BR8" s="9">
        <f t="shared" si="2"/>
        <v>45547</v>
      </c>
      <c r="BS8" s="9">
        <f t="shared" si="2"/>
        <v>45548</v>
      </c>
      <c r="BT8" s="9">
        <f t="shared" si="2"/>
        <v>45551</v>
      </c>
      <c r="BU8" s="9">
        <f t="shared" si="2"/>
        <v>45552</v>
      </c>
      <c r="BV8" s="9">
        <f t="shared" si="2"/>
        <v>45553</v>
      </c>
      <c r="BW8" s="9">
        <f t="shared" si="2"/>
        <v>45554</v>
      </c>
      <c r="BX8" s="9">
        <f t="shared" si="2"/>
        <v>45555</v>
      </c>
      <c r="BY8" s="9">
        <f t="shared" si="2"/>
        <v>45558</v>
      </c>
      <c r="BZ8" s="9">
        <f t="shared" si="2"/>
        <v>45559</v>
      </c>
      <c r="CA8" s="9">
        <f t="shared" si="2"/>
        <v>45560</v>
      </c>
      <c r="CB8" s="9">
        <f t="shared" si="2"/>
        <v>45561</v>
      </c>
      <c r="CC8" s="9">
        <f t="shared" si="2"/>
        <v>45562</v>
      </c>
      <c r="CD8" s="9">
        <f t="shared" ref="CD8:EO8" si="3">WORKDAY(CC8,1)</f>
        <v>45565</v>
      </c>
      <c r="CE8" s="9">
        <f t="shared" si="3"/>
        <v>45566</v>
      </c>
      <c r="CF8" s="9">
        <f t="shared" si="3"/>
        <v>45567</v>
      </c>
      <c r="CG8" s="9">
        <f t="shared" si="3"/>
        <v>45568</v>
      </c>
      <c r="CH8" s="9">
        <f t="shared" si="3"/>
        <v>45569</v>
      </c>
      <c r="CI8" s="9">
        <f t="shared" si="3"/>
        <v>45572</v>
      </c>
      <c r="CJ8" s="9">
        <f t="shared" si="3"/>
        <v>45573</v>
      </c>
      <c r="CK8" s="9">
        <f t="shared" si="3"/>
        <v>45574</v>
      </c>
      <c r="CL8" s="9">
        <f t="shared" si="3"/>
        <v>45575</v>
      </c>
      <c r="CM8" s="9">
        <f t="shared" si="3"/>
        <v>45576</v>
      </c>
      <c r="CN8" s="9">
        <f t="shared" si="3"/>
        <v>45579</v>
      </c>
      <c r="CO8" s="9">
        <f t="shared" si="3"/>
        <v>45580</v>
      </c>
      <c r="CP8" s="9">
        <f t="shared" si="3"/>
        <v>45581</v>
      </c>
      <c r="CQ8" s="9">
        <f t="shared" si="3"/>
        <v>45582</v>
      </c>
      <c r="CR8" s="9">
        <f t="shared" si="3"/>
        <v>45583</v>
      </c>
      <c r="CS8" s="9">
        <f t="shared" si="3"/>
        <v>45586</v>
      </c>
      <c r="CT8" s="9">
        <f t="shared" si="3"/>
        <v>45587</v>
      </c>
      <c r="CU8" s="9">
        <f t="shared" si="3"/>
        <v>45588</v>
      </c>
      <c r="CV8" s="9">
        <f t="shared" si="3"/>
        <v>45589</v>
      </c>
      <c r="CW8" s="9">
        <f t="shared" si="3"/>
        <v>45590</v>
      </c>
      <c r="CX8" s="9">
        <f t="shared" si="3"/>
        <v>45593</v>
      </c>
      <c r="CY8" s="9">
        <f t="shared" si="3"/>
        <v>45594</v>
      </c>
      <c r="CZ8" s="9">
        <f t="shared" si="3"/>
        <v>45595</v>
      </c>
      <c r="DA8" s="9">
        <f t="shared" si="3"/>
        <v>45596</v>
      </c>
      <c r="DB8" s="9">
        <f t="shared" si="3"/>
        <v>45597</v>
      </c>
      <c r="DC8" s="9">
        <f t="shared" si="3"/>
        <v>45600</v>
      </c>
      <c r="DD8" s="9">
        <f t="shared" si="3"/>
        <v>45601</v>
      </c>
      <c r="DE8" s="9">
        <f t="shared" si="3"/>
        <v>45602</v>
      </c>
      <c r="DF8" s="9">
        <f t="shared" si="3"/>
        <v>45603</v>
      </c>
      <c r="DG8" s="9">
        <f t="shared" si="3"/>
        <v>45604</v>
      </c>
      <c r="DH8" s="9">
        <f t="shared" si="3"/>
        <v>45607</v>
      </c>
      <c r="DI8" s="9">
        <f t="shared" si="3"/>
        <v>45608</v>
      </c>
      <c r="DJ8" s="9">
        <f t="shared" si="3"/>
        <v>45609</v>
      </c>
      <c r="DK8" s="9">
        <f t="shared" si="3"/>
        <v>45610</v>
      </c>
      <c r="DL8" s="9">
        <f t="shared" si="3"/>
        <v>45611</v>
      </c>
      <c r="DM8" s="9">
        <f t="shared" si="3"/>
        <v>45614</v>
      </c>
      <c r="DN8" s="9">
        <f t="shared" si="3"/>
        <v>45615</v>
      </c>
      <c r="DO8" s="9">
        <f t="shared" si="3"/>
        <v>45616</v>
      </c>
      <c r="DP8" s="9">
        <f t="shared" si="3"/>
        <v>45617</v>
      </c>
      <c r="DQ8" s="9">
        <f t="shared" si="3"/>
        <v>45618</v>
      </c>
      <c r="DR8" s="9">
        <f t="shared" si="3"/>
        <v>45621</v>
      </c>
      <c r="DS8" s="9">
        <f t="shared" si="3"/>
        <v>45622</v>
      </c>
      <c r="DT8" s="9">
        <f t="shared" si="3"/>
        <v>45623</v>
      </c>
      <c r="DU8" s="9">
        <f t="shared" si="3"/>
        <v>45624</v>
      </c>
      <c r="DV8" s="9">
        <f t="shared" si="3"/>
        <v>45625</v>
      </c>
      <c r="DW8" s="9">
        <f t="shared" si="3"/>
        <v>45628</v>
      </c>
      <c r="DX8" s="9">
        <f t="shared" si="3"/>
        <v>45629</v>
      </c>
      <c r="DY8" s="9">
        <f t="shared" si="3"/>
        <v>45630</v>
      </c>
      <c r="DZ8" s="9">
        <f t="shared" si="3"/>
        <v>45631</v>
      </c>
      <c r="EA8" s="9">
        <f t="shared" si="3"/>
        <v>45632</v>
      </c>
      <c r="EB8" s="9">
        <f t="shared" si="3"/>
        <v>45635</v>
      </c>
      <c r="EC8" s="9">
        <f t="shared" si="3"/>
        <v>45636</v>
      </c>
      <c r="ED8" s="9">
        <f t="shared" si="3"/>
        <v>45637</v>
      </c>
      <c r="EE8" s="9">
        <f t="shared" si="3"/>
        <v>45638</v>
      </c>
      <c r="EF8" s="9">
        <f t="shared" si="3"/>
        <v>45639</v>
      </c>
      <c r="EG8" s="9">
        <f t="shared" si="3"/>
        <v>45642</v>
      </c>
      <c r="EH8" s="9">
        <f t="shared" si="3"/>
        <v>45643</v>
      </c>
      <c r="EI8" s="9">
        <f t="shared" si="3"/>
        <v>45644</v>
      </c>
      <c r="EJ8" s="9">
        <f t="shared" si="3"/>
        <v>45645</v>
      </c>
      <c r="EK8" s="9">
        <f t="shared" si="3"/>
        <v>45646</v>
      </c>
      <c r="EL8" s="9">
        <f t="shared" si="3"/>
        <v>45649</v>
      </c>
      <c r="EM8" s="9">
        <f t="shared" si="3"/>
        <v>45650</v>
      </c>
      <c r="EN8" s="9">
        <f t="shared" si="3"/>
        <v>45651</v>
      </c>
      <c r="EO8" s="9">
        <f t="shared" si="3"/>
        <v>45652</v>
      </c>
      <c r="EP8" s="9">
        <f>WORKDAY(EO8,1)</f>
        <v>45653</v>
      </c>
      <c r="EQ8" s="9">
        <f>WORKDAY(EP8,1)</f>
        <v>45656</v>
      </c>
      <c r="ER8" s="9">
        <f>WORKDAY(EQ8,1)</f>
        <v>45657</v>
      </c>
    </row>
    <row r="9" spans="1:149" ht="17.7" customHeight="1" x14ac:dyDescent="0.25">
      <c r="B9" s="13" t="s">
        <v>21</v>
      </c>
      <c r="C9" s="14"/>
      <c r="D9" s="14"/>
      <c r="E9" s="14"/>
      <c r="F9" s="14"/>
      <c r="G9" s="14"/>
      <c r="H9" s="14"/>
      <c r="I9" s="82">
        <v>160</v>
      </c>
      <c r="J9" s="82">
        <v>20</v>
      </c>
      <c r="K9" s="82">
        <v>160</v>
      </c>
      <c r="L9" s="82">
        <v>20</v>
      </c>
      <c r="M9" s="83">
        <v>1</v>
      </c>
      <c r="N9" s="83">
        <v>1</v>
      </c>
      <c r="O9" s="83">
        <v>0</v>
      </c>
      <c r="P9" s="84" t="s">
        <v>22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8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8"/>
      <c r="EN9" s="18"/>
      <c r="EO9" s="18"/>
      <c r="EP9" s="18"/>
      <c r="EQ9" s="18"/>
      <c r="ER9" s="18"/>
    </row>
    <row r="10" spans="1:149" x14ac:dyDescent="0.25">
      <c r="B10" s="5" t="s">
        <v>23</v>
      </c>
      <c r="C10" s="21" t="s">
        <v>24</v>
      </c>
      <c r="D10" s="21"/>
      <c r="E10" s="21"/>
      <c r="F10" s="21"/>
      <c r="G10" s="21" t="s">
        <v>25</v>
      </c>
      <c r="H10" s="21"/>
      <c r="I10" s="87">
        <v>40</v>
      </c>
      <c r="J10" s="87">
        <v>5</v>
      </c>
      <c r="K10" s="87"/>
      <c r="L10" s="87"/>
      <c r="M10" s="90">
        <v>1</v>
      </c>
      <c r="N10" s="90">
        <v>1</v>
      </c>
      <c r="O10" s="90">
        <v>0</v>
      </c>
      <c r="P10" s="91" t="s">
        <v>22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>
        <v>1</v>
      </c>
      <c r="AB10" s="10">
        <v>1</v>
      </c>
      <c r="AC10" s="10">
        <v>1</v>
      </c>
      <c r="AD10" s="10">
        <v>1</v>
      </c>
      <c r="AE10" s="10">
        <v>1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8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8"/>
      <c r="EN10" s="18"/>
      <c r="EO10" s="18"/>
      <c r="EP10" s="18"/>
      <c r="EQ10" s="18"/>
      <c r="ER10" s="18"/>
    </row>
    <row r="11" spans="1:149" x14ac:dyDescent="0.25">
      <c r="B11" s="5" t="s">
        <v>23</v>
      </c>
      <c r="C11" s="21" t="s">
        <v>26</v>
      </c>
      <c r="D11" s="21"/>
      <c r="E11" s="24"/>
      <c r="F11" s="21"/>
      <c r="G11" s="21" t="s">
        <v>25</v>
      </c>
      <c r="H11" s="21"/>
      <c r="I11" s="87">
        <v>80</v>
      </c>
      <c r="J11" s="87">
        <v>10</v>
      </c>
      <c r="K11" s="87"/>
      <c r="L11" s="87"/>
      <c r="M11" s="90">
        <v>1</v>
      </c>
      <c r="N11" s="90">
        <v>1</v>
      </c>
      <c r="O11" s="90">
        <v>0</v>
      </c>
      <c r="P11" s="91" t="s">
        <v>22</v>
      </c>
      <c r="Q11" s="10"/>
      <c r="R11" s="10"/>
      <c r="S11" s="10"/>
      <c r="T11" s="10"/>
      <c r="U11" s="10"/>
      <c r="V11" s="10">
        <v>2</v>
      </c>
      <c r="W11" s="10">
        <v>2</v>
      </c>
      <c r="X11" s="10">
        <v>2</v>
      </c>
      <c r="Y11" s="10">
        <v>2</v>
      </c>
      <c r="Z11" s="10">
        <v>2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8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8"/>
      <c r="EN11" s="18"/>
      <c r="EO11" s="18"/>
      <c r="EP11" s="18"/>
      <c r="EQ11" s="18"/>
      <c r="ER11" s="18"/>
    </row>
    <row r="12" spans="1:149" x14ac:dyDescent="0.25">
      <c r="B12" s="5" t="s">
        <v>23</v>
      </c>
      <c r="C12" s="23" t="s">
        <v>27</v>
      </c>
      <c r="D12" s="21"/>
      <c r="E12" s="21"/>
      <c r="F12" s="21"/>
      <c r="G12" s="21" t="s">
        <v>25</v>
      </c>
      <c r="H12" s="21"/>
      <c r="I12" s="87">
        <v>40</v>
      </c>
      <c r="J12" s="87">
        <v>5</v>
      </c>
      <c r="K12" s="87"/>
      <c r="L12" s="87"/>
      <c r="M12" s="90">
        <v>1</v>
      </c>
      <c r="N12" s="90">
        <v>1</v>
      </c>
      <c r="O12" s="90">
        <v>0</v>
      </c>
      <c r="P12" s="91" t="s">
        <v>22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1</v>
      </c>
      <c r="AG12" s="10">
        <v>1</v>
      </c>
      <c r="AH12" s="10">
        <v>1</v>
      </c>
      <c r="AI12" s="10">
        <v>1</v>
      </c>
      <c r="AJ12" s="10">
        <v>0.5</v>
      </c>
      <c r="AK12" s="10">
        <v>0.5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8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8"/>
      <c r="EN12" s="18"/>
      <c r="EO12" s="18"/>
      <c r="EP12" s="18"/>
      <c r="EQ12" s="18"/>
      <c r="ER12" s="18"/>
    </row>
    <row r="13" spans="1:149" ht="10.199999999999999" customHeight="1" x14ac:dyDescent="0.45">
      <c r="B13" s="6"/>
      <c r="C13" s="6"/>
      <c r="D13" s="6"/>
      <c r="E13" s="6"/>
      <c r="F13" s="6"/>
      <c r="G13" s="6"/>
      <c r="H13" s="6"/>
      <c r="I13" s="15"/>
      <c r="J13" s="15"/>
      <c r="K13" s="15"/>
      <c r="L13" s="15"/>
      <c r="M13" s="15"/>
      <c r="N13" s="15"/>
      <c r="O13"/>
      <c r="P13" s="16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9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9"/>
      <c r="EN13" s="19"/>
      <c r="EO13" s="19"/>
      <c r="EP13" s="19"/>
      <c r="EQ13" s="19"/>
      <c r="ER13" s="19"/>
    </row>
    <row r="14" spans="1:149" x14ac:dyDescent="0.25">
      <c r="B14" s="13" t="s">
        <v>29</v>
      </c>
      <c r="C14" s="14"/>
      <c r="D14" s="14"/>
      <c r="E14" s="14"/>
      <c r="F14" s="14"/>
      <c r="G14" s="14"/>
      <c r="H14" s="14"/>
      <c r="I14" s="82">
        <v>120</v>
      </c>
      <c r="J14" s="82">
        <v>15</v>
      </c>
      <c r="K14" s="86">
        <v>105.6</v>
      </c>
      <c r="L14" s="86">
        <v>13.2</v>
      </c>
      <c r="M14" s="83">
        <v>0.8666666666666667</v>
      </c>
      <c r="N14" s="83">
        <v>0.88</v>
      </c>
      <c r="O14" s="83">
        <v>1.3333333333333308E-2</v>
      </c>
      <c r="P14" s="84" t="s">
        <v>22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51"/>
      <c r="AB14" s="12"/>
      <c r="AC14" s="12"/>
      <c r="AD14" s="12"/>
      <c r="AE14" s="12"/>
      <c r="AF14" s="51"/>
      <c r="AG14" s="12"/>
      <c r="AH14" s="12"/>
      <c r="AI14" s="12"/>
      <c r="AJ14" s="12"/>
      <c r="AK14" s="51"/>
      <c r="AL14" s="12"/>
      <c r="AM14" s="12"/>
      <c r="AN14" s="12"/>
      <c r="AO14" s="12"/>
      <c r="AP14" s="51"/>
      <c r="AQ14" s="12"/>
      <c r="AR14" s="12"/>
      <c r="AS14" s="12"/>
      <c r="AT14" s="12"/>
      <c r="AU14" s="51"/>
      <c r="AV14" s="12"/>
      <c r="AW14" s="12"/>
      <c r="AX14" s="20"/>
      <c r="AY14" s="12"/>
      <c r="AZ14" s="51"/>
      <c r="BA14" s="12"/>
      <c r="BB14" s="12"/>
      <c r="BC14" s="12"/>
      <c r="BD14" s="12"/>
      <c r="BE14" s="51"/>
      <c r="BF14" s="12"/>
      <c r="BG14" s="12"/>
      <c r="BH14" s="12"/>
      <c r="BI14" s="12"/>
      <c r="BJ14" s="51"/>
      <c r="BK14" s="12"/>
      <c r="BL14" s="12"/>
      <c r="BM14" s="12"/>
      <c r="BN14" s="12"/>
      <c r="BO14" s="51"/>
      <c r="BP14" s="12"/>
      <c r="BQ14" s="12"/>
      <c r="BR14" s="12"/>
      <c r="BS14" s="12"/>
      <c r="BT14" s="51"/>
      <c r="BU14" s="12"/>
      <c r="BV14" s="12"/>
      <c r="BW14" s="12"/>
      <c r="BX14" s="12"/>
      <c r="BY14" s="51"/>
      <c r="BZ14" s="12"/>
      <c r="CA14" s="12"/>
      <c r="CB14" s="12"/>
      <c r="CC14" s="12"/>
      <c r="CD14" s="51"/>
      <c r="CE14" s="12"/>
      <c r="CF14" s="12"/>
      <c r="CG14" s="12"/>
      <c r="CH14" s="12"/>
      <c r="CI14" s="51"/>
      <c r="CJ14" s="12"/>
      <c r="CK14" s="12"/>
      <c r="CL14" s="12"/>
      <c r="CM14" s="12"/>
      <c r="CN14" s="51"/>
      <c r="CO14" s="12"/>
      <c r="CP14" s="12"/>
      <c r="CQ14" s="12"/>
      <c r="CR14" s="12"/>
      <c r="CS14" s="51"/>
      <c r="CT14" s="12"/>
      <c r="CU14" s="12"/>
      <c r="CV14" s="12"/>
      <c r="CW14" s="12"/>
      <c r="CX14" s="51"/>
      <c r="CY14" s="12"/>
      <c r="CZ14" s="12"/>
      <c r="DA14" s="12"/>
      <c r="DB14" s="12"/>
      <c r="DC14" s="51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20"/>
      <c r="EN14" s="20"/>
      <c r="EO14" s="20"/>
      <c r="EP14" s="20"/>
      <c r="EQ14" s="20"/>
      <c r="ER14" s="20"/>
    </row>
    <row r="15" spans="1:149" x14ac:dyDescent="0.25">
      <c r="B15" s="5" t="s">
        <v>23</v>
      </c>
      <c r="C15" s="21" t="s">
        <v>24</v>
      </c>
      <c r="D15" s="21"/>
      <c r="E15" s="21"/>
      <c r="F15" s="21"/>
      <c r="G15" s="21" t="s">
        <v>25</v>
      </c>
      <c r="H15" s="21"/>
      <c r="I15" s="87">
        <v>40</v>
      </c>
      <c r="J15" s="87">
        <v>5</v>
      </c>
      <c r="K15" s="87"/>
      <c r="L15" s="87"/>
      <c r="M15" s="90">
        <v>1</v>
      </c>
      <c r="N15" s="90">
        <v>1</v>
      </c>
      <c r="O15" s="90">
        <v>0</v>
      </c>
      <c r="P15" s="91" t="s">
        <v>22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>
        <v>0.5</v>
      </c>
      <c r="AB15" s="10"/>
      <c r="AC15" s="10"/>
      <c r="AD15" s="10"/>
      <c r="AE15" s="10"/>
      <c r="AF15" s="10">
        <v>0.5</v>
      </c>
      <c r="AG15" s="10"/>
      <c r="AH15" s="10"/>
      <c r="AI15" s="10"/>
      <c r="AJ15" s="10"/>
      <c r="AK15" s="10">
        <v>0.5</v>
      </c>
      <c r="AL15" s="10"/>
      <c r="AM15" s="10"/>
      <c r="AN15" s="10"/>
      <c r="AO15" s="10"/>
      <c r="AP15" s="10">
        <v>0.5</v>
      </c>
      <c r="AQ15" s="10"/>
      <c r="AR15" s="10"/>
      <c r="AS15" s="10"/>
      <c r="AT15" s="10"/>
      <c r="AU15" s="10">
        <v>0.5</v>
      </c>
      <c r="AV15" s="10"/>
      <c r="AW15" s="10"/>
      <c r="AX15" s="18"/>
      <c r="AY15" s="10"/>
      <c r="AZ15" s="10">
        <v>0.5</v>
      </c>
      <c r="BA15" s="10"/>
      <c r="BB15" s="10"/>
      <c r="BC15" s="10"/>
      <c r="BD15" s="10"/>
      <c r="BE15" s="10">
        <v>0.5</v>
      </c>
      <c r="BF15" s="10"/>
      <c r="BG15" s="10"/>
      <c r="BH15" s="10"/>
      <c r="BI15" s="10"/>
      <c r="BJ15" s="10">
        <v>0.5</v>
      </c>
      <c r="BK15" s="10"/>
      <c r="BL15" s="10"/>
      <c r="BM15" s="10"/>
      <c r="BN15" s="10"/>
      <c r="BO15" s="10">
        <v>0.5</v>
      </c>
      <c r="BP15" s="10"/>
      <c r="BQ15" s="10"/>
      <c r="BR15" s="10"/>
      <c r="BS15" s="10"/>
      <c r="BT15" s="10">
        <v>0.5</v>
      </c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8"/>
      <c r="EN15" s="18"/>
      <c r="EO15" s="18"/>
      <c r="EP15" s="18"/>
      <c r="EQ15" s="18"/>
      <c r="ER15" s="18"/>
    </row>
    <row r="16" spans="1:149" x14ac:dyDescent="0.25">
      <c r="B16" s="5" t="s">
        <v>23</v>
      </c>
      <c r="C16" s="21" t="s">
        <v>26</v>
      </c>
      <c r="D16" s="21"/>
      <c r="E16" s="21"/>
      <c r="F16" s="21"/>
      <c r="G16" s="21" t="s">
        <v>25</v>
      </c>
      <c r="H16" s="21"/>
      <c r="I16" s="87">
        <v>40</v>
      </c>
      <c r="J16" s="87">
        <v>5</v>
      </c>
      <c r="K16" s="87"/>
      <c r="L16" s="87"/>
      <c r="M16" s="90">
        <v>1</v>
      </c>
      <c r="N16" s="90">
        <v>0.95</v>
      </c>
      <c r="O16" s="90">
        <v>-5.0000000000000044E-2</v>
      </c>
      <c r="P16" s="92" t="s">
        <v>543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0.5</v>
      </c>
      <c r="AB16" s="10"/>
      <c r="AC16" s="10"/>
      <c r="AD16" s="10"/>
      <c r="AE16" s="10"/>
      <c r="AF16" s="10">
        <v>0.5</v>
      </c>
      <c r="AG16" s="10"/>
      <c r="AH16" s="10"/>
      <c r="AI16" s="10"/>
      <c r="AJ16" s="10"/>
      <c r="AK16" s="10">
        <v>0.5</v>
      </c>
      <c r="AL16" s="10"/>
      <c r="AM16" s="10"/>
      <c r="AN16" s="10"/>
      <c r="AO16" s="10"/>
      <c r="AP16" s="10">
        <v>0.5</v>
      </c>
      <c r="AQ16" s="10"/>
      <c r="AR16" s="10"/>
      <c r="AS16" s="10"/>
      <c r="AT16" s="10"/>
      <c r="AU16" s="10">
        <v>0.5</v>
      </c>
      <c r="AV16" s="10"/>
      <c r="AW16" s="10"/>
      <c r="AX16" s="18"/>
      <c r="AY16" s="10"/>
      <c r="AZ16" s="10">
        <v>0.5</v>
      </c>
      <c r="BA16" s="10"/>
      <c r="BB16" s="10"/>
      <c r="BC16" s="10"/>
      <c r="BD16" s="10"/>
      <c r="BE16" s="10">
        <v>0.5</v>
      </c>
      <c r="BF16" s="10"/>
      <c r="BG16" s="10"/>
      <c r="BH16" s="10"/>
      <c r="BI16" s="10"/>
      <c r="BJ16" s="10">
        <v>0.5</v>
      </c>
      <c r="BK16" s="10"/>
      <c r="BL16" s="10"/>
      <c r="BM16" s="10"/>
      <c r="BN16" s="10"/>
      <c r="BO16" s="10">
        <v>0.5</v>
      </c>
      <c r="BP16" s="10"/>
      <c r="BQ16" s="10"/>
      <c r="BR16" s="10"/>
      <c r="BS16" s="10"/>
      <c r="BT16" s="10">
        <v>0.5</v>
      </c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8"/>
      <c r="EN16" s="18"/>
      <c r="EO16" s="18"/>
      <c r="EP16" s="18"/>
      <c r="EQ16" s="18"/>
      <c r="ER16" s="18"/>
    </row>
    <row r="17" spans="1:148" x14ac:dyDescent="0.25">
      <c r="B17" s="5" t="s">
        <v>23</v>
      </c>
      <c r="C17" s="23" t="s">
        <v>27</v>
      </c>
      <c r="D17" s="21"/>
      <c r="E17" s="21"/>
      <c r="F17" s="21"/>
      <c r="G17" s="21" t="s">
        <v>25</v>
      </c>
      <c r="H17" s="21"/>
      <c r="I17" s="87">
        <v>40</v>
      </c>
      <c r="J17" s="87">
        <v>5</v>
      </c>
      <c r="K17" s="87"/>
      <c r="L17" s="87"/>
      <c r="M17" s="90">
        <v>0.6</v>
      </c>
      <c r="N17" s="90">
        <v>0.69</v>
      </c>
      <c r="O17" s="90">
        <v>8.9999999999999969E-2</v>
      </c>
      <c r="P17" s="93" t="s">
        <v>544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8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>
        <v>0.5</v>
      </c>
      <c r="BP17" s="10"/>
      <c r="BQ17" s="10"/>
      <c r="BR17" s="10"/>
      <c r="BS17" s="10"/>
      <c r="BT17" s="10">
        <v>0.5</v>
      </c>
      <c r="BU17" s="10"/>
      <c r="BV17" s="10"/>
      <c r="BW17" s="10"/>
      <c r="BX17" s="10"/>
      <c r="BY17" s="10">
        <v>0.5</v>
      </c>
      <c r="BZ17" s="10"/>
      <c r="CA17" s="10"/>
      <c r="CB17" s="10"/>
      <c r="CC17" s="10"/>
      <c r="CD17" s="10">
        <v>0.5</v>
      </c>
      <c r="CE17" s="10"/>
      <c r="CF17" s="10"/>
      <c r="CG17" s="10"/>
      <c r="CH17" s="10"/>
      <c r="CI17" s="10">
        <v>0.5</v>
      </c>
      <c r="CJ17" s="10"/>
      <c r="CK17" s="10"/>
      <c r="CL17" s="10"/>
      <c r="CM17" s="10"/>
      <c r="CN17" s="10">
        <v>0.5</v>
      </c>
      <c r="CO17" s="10"/>
      <c r="CP17" s="10"/>
      <c r="CQ17" s="10"/>
      <c r="CR17" s="10"/>
      <c r="CS17" s="10">
        <v>0.5</v>
      </c>
      <c r="CT17" s="10"/>
      <c r="CU17" s="10"/>
      <c r="CV17" s="10"/>
      <c r="CW17" s="10"/>
      <c r="CX17" s="10">
        <v>0.5</v>
      </c>
      <c r="CY17" s="10"/>
      <c r="CZ17" s="10"/>
      <c r="DA17" s="10"/>
      <c r="DB17" s="10"/>
      <c r="DC17" s="10">
        <v>0.5</v>
      </c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8"/>
      <c r="EN17" s="18"/>
      <c r="EO17" s="18"/>
      <c r="EP17" s="18"/>
      <c r="EQ17" s="18"/>
      <c r="ER17" s="18"/>
    </row>
    <row r="18" spans="1:148" ht="10.199999999999999" customHeight="1" x14ac:dyDescent="0.45">
      <c r="B18" s="6"/>
      <c r="C18" s="6"/>
      <c r="D18" s="6"/>
      <c r="E18" s="6"/>
      <c r="F18" s="6"/>
      <c r="G18" s="6"/>
      <c r="H18" s="6"/>
      <c r="I18" s="15"/>
      <c r="J18" s="15"/>
      <c r="K18" s="15"/>
      <c r="L18" s="15"/>
      <c r="M18" s="15"/>
      <c r="N18" s="15"/>
      <c r="O18"/>
      <c r="P18" s="16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9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9"/>
      <c r="EN18" s="19"/>
      <c r="EO18" s="19"/>
      <c r="EP18" s="19"/>
      <c r="EQ18" s="19"/>
      <c r="ER18" s="19"/>
    </row>
    <row r="19" spans="1:148" x14ac:dyDescent="0.25">
      <c r="B19" s="13" t="s">
        <v>30</v>
      </c>
      <c r="C19" s="14"/>
      <c r="D19" s="14"/>
      <c r="E19" s="14"/>
      <c r="F19" s="14"/>
      <c r="G19" s="14"/>
      <c r="H19" s="14"/>
      <c r="I19" s="86" t="e">
        <v>#REF!</v>
      </c>
      <c r="J19" s="86" t="e">
        <v>#REF!</v>
      </c>
      <c r="K19" s="86" t="e">
        <v>#REF!</v>
      </c>
      <c r="L19" s="86" t="e">
        <v>#REF!</v>
      </c>
      <c r="M19" s="83">
        <v>0.5</v>
      </c>
      <c r="N19" s="83">
        <v>0.57999999999999996</v>
      </c>
      <c r="O19" s="83">
        <v>0.09</v>
      </c>
      <c r="P19" s="84" t="s">
        <v>22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20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20"/>
      <c r="EN19" s="20"/>
      <c r="EO19" s="20"/>
      <c r="EP19" s="20"/>
      <c r="EQ19" s="20"/>
      <c r="ER19" s="20"/>
    </row>
    <row r="20" spans="1:148" x14ac:dyDescent="0.4">
      <c r="B20" s="5" t="s">
        <v>23</v>
      </c>
      <c r="C20" s="21" t="s">
        <v>31</v>
      </c>
      <c r="D20" s="6"/>
      <c r="E20" s="6"/>
      <c r="F20" s="6"/>
      <c r="G20" s="6"/>
      <c r="H20" s="6"/>
      <c r="I20" s="89" t="e">
        <v>#REF!</v>
      </c>
      <c r="J20" s="89" t="e">
        <v>#REF!</v>
      </c>
      <c r="K20" s="89" t="e">
        <v>#REF!</v>
      </c>
      <c r="L20" s="89" t="e">
        <v>#REF!</v>
      </c>
      <c r="M20" s="88">
        <v>1</v>
      </c>
      <c r="N20" s="88">
        <v>0.33</v>
      </c>
      <c r="O20" s="88">
        <v>-0.67</v>
      </c>
      <c r="P20" s="94" t="s">
        <v>32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v>0.5</v>
      </c>
      <c r="AC20" s="10">
        <v>0.5</v>
      </c>
      <c r="AD20" s="98"/>
      <c r="AE20" s="98"/>
      <c r="AF20" s="98"/>
      <c r="AG20" s="98">
        <v>0.5</v>
      </c>
      <c r="AH20" s="98"/>
      <c r="AI20" s="98"/>
      <c r="AJ20" s="98"/>
      <c r="AK20" s="98"/>
      <c r="AL20" s="98"/>
      <c r="AM20" s="98"/>
      <c r="AN20" s="98">
        <v>0.5</v>
      </c>
      <c r="AO20" s="98">
        <v>0.5</v>
      </c>
      <c r="AP20" s="98">
        <v>0.5</v>
      </c>
      <c r="AQ20" s="10"/>
      <c r="AR20" s="10"/>
      <c r="AS20" s="10"/>
      <c r="AT20" s="10"/>
      <c r="AU20" s="10"/>
      <c r="AV20" s="10"/>
      <c r="AW20" s="10"/>
      <c r="AX20" s="18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8"/>
      <c r="EN20" s="18"/>
      <c r="EO20" s="18"/>
      <c r="EP20" s="18"/>
      <c r="EQ20" s="18"/>
      <c r="ER20" s="18"/>
    </row>
    <row r="21" spans="1:148" ht="32.4" x14ac:dyDescent="0.25">
      <c r="A21" s="3" t="str">
        <f t="shared" ref="A21" si="4">E21&amp;F21</f>
        <v/>
      </c>
      <c r="B21" s="5" t="s">
        <v>23</v>
      </c>
      <c r="C21" s="21" t="s">
        <v>49</v>
      </c>
      <c r="D21" s="21"/>
      <c r="E21" s="24"/>
      <c r="F21" s="21"/>
      <c r="G21" s="21"/>
      <c r="H21" s="21"/>
      <c r="I21" s="89" t="e">
        <v>#REF!</v>
      </c>
      <c r="J21" s="89" t="e">
        <v>#REF!</v>
      </c>
      <c r="K21" s="89" t="e">
        <v>#REF!</v>
      </c>
      <c r="L21" s="89" t="e">
        <v>#REF!</v>
      </c>
      <c r="M21" s="88">
        <v>0.85</v>
      </c>
      <c r="N21" s="88">
        <v>0.71</v>
      </c>
      <c r="O21" s="88">
        <v>-0.14000000000000001</v>
      </c>
      <c r="P21" s="104" t="s">
        <v>545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>
        <v>1</v>
      </c>
      <c r="AL21" s="10">
        <v>1</v>
      </c>
      <c r="AM21" s="10">
        <v>1</v>
      </c>
      <c r="AN21" s="10">
        <v>1</v>
      </c>
      <c r="AO21" s="98"/>
      <c r="AP21" s="98"/>
      <c r="AQ21" s="10">
        <v>1</v>
      </c>
      <c r="AR21" s="10">
        <v>1</v>
      </c>
      <c r="AS21" s="10">
        <v>1</v>
      </c>
      <c r="AT21" s="10">
        <v>1</v>
      </c>
      <c r="AU21" s="98"/>
      <c r="AV21" s="10">
        <v>1</v>
      </c>
      <c r="AW21" s="10">
        <v>2</v>
      </c>
      <c r="AX21" s="18"/>
      <c r="AY21" s="10">
        <v>1</v>
      </c>
      <c r="AZ21" s="98"/>
      <c r="BA21" s="98"/>
      <c r="BB21" s="10">
        <v>1</v>
      </c>
      <c r="BC21" s="10">
        <v>1</v>
      </c>
      <c r="BD21" s="10">
        <v>1</v>
      </c>
      <c r="BE21" s="10">
        <v>1</v>
      </c>
      <c r="BF21" s="10">
        <v>2</v>
      </c>
      <c r="BG21" s="10">
        <v>2</v>
      </c>
      <c r="BH21" s="10">
        <v>2</v>
      </c>
      <c r="BI21" s="10">
        <v>2</v>
      </c>
      <c r="BJ21" s="10">
        <v>0.5</v>
      </c>
      <c r="BK21" s="10">
        <v>2</v>
      </c>
      <c r="BL21" s="10">
        <v>2</v>
      </c>
      <c r="BM21" s="10">
        <v>2</v>
      </c>
      <c r="BN21" s="10">
        <v>2</v>
      </c>
      <c r="BO21" s="10">
        <v>0.5</v>
      </c>
      <c r="BP21" s="10">
        <v>2</v>
      </c>
      <c r="BQ21" s="10">
        <v>2</v>
      </c>
      <c r="BR21" s="10">
        <v>2</v>
      </c>
      <c r="BS21" s="10">
        <v>2</v>
      </c>
      <c r="BT21" s="10">
        <v>1.5</v>
      </c>
      <c r="BU21" s="10">
        <v>2</v>
      </c>
      <c r="BV21" s="10">
        <v>2</v>
      </c>
      <c r="BW21" s="10">
        <v>2</v>
      </c>
      <c r="BX21" s="10">
        <v>2</v>
      </c>
      <c r="BY21" s="10">
        <v>2</v>
      </c>
      <c r="BZ21" s="10">
        <v>2</v>
      </c>
      <c r="CA21" s="10">
        <v>2</v>
      </c>
      <c r="CB21" s="10">
        <v>2</v>
      </c>
      <c r="CC21" s="10">
        <v>2</v>
      </c>
      <c r="CD21" s="10">
        <v>2</v>
      </c>
      <c r="CE21" s="10">
        <v>2</v>
      </c>
      <c r="CF21" s="10">
        <v>2</v>
      </c>
      <c r="CG21" s="10">
        <v>2</v>
      </c>
      <c r="CH21" s="10">
        <v>2</v>
      </c>
      <c r="CI21" s="10">
        <v>2</v>
      </c>
      <c r="CJ21" s="10">
        <v>2</v>
      </c>
      <c r="CK21" s="10">
        <v>2</v>
      </c>
      <c r="CL21" s="10">
        <v>2</v>
      </c>
      <c r="CM21" s="10">
        <v>2</v>
      </c>
      <c r="CN21" s="10">
        <v>2</v>
      </c>
      <c r="CO21" s="10">
        <v>2</v>
      </c>
      <c r="CP21" s="10">
        <v>2</v>
      </c>
      <c r="CQ21" s="10">
        <v>2</v>
      </c>
      <c r="CR21" s="10">
        <v>2</v>
      </c>
      <c r="CS21" s="10">
        <v>2</v>
      </c>
      <c r="CT21" s="10">
        <v>2</v>
      </c>
      <c r="CU21" s="10">
        <v>2</v>
      </c>
      <c r="CV21" s="10">
        <v>2</v>
      </c>
      <c r="CW21" s="10">
        <v>1.5</v>
      </c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8"/>
      <c r="EN21" s="18"/>
      <c r="EO21" s="18"/>
      <c r="EP21" s="18"/>
      <c r="EQ21" s="18"/>
      <c r="ER21" s="18"/>
    </row>
    <row r="22" spans="1:148" ht="81" x14ac:dyDescent="0.4">
      <c r="A22" s="3" t="str">
        <f t="shared" ref="A22" si="5">E22&amp;F22</f>
        <v/>
      </c>
      <c r="B22" s="5" t="s">
        <v>23</v>
      </c>
      <c r="C22" s="21" t="s">
        <v>172</v>
      </c>
      <c r="D22" s="21"/>
      <c r="E22" s="24"/>
      <c r="F22" s="21"/>
      <c r="G22" s="21"/>
      <c r="H22" s="21"/>
      <c r="I22" s="89" t="e">
        <v>#REF!</v>
      </c>
      <c r="J22" s="89" t="e">
        <v>#REF!</v>
      </c>
      <c r="K22" s="89" t="e">
        <v>#REF!</v>
      </c>
      <c r="L22" s="89" t="e">
        <v>#REF!</v>
      </c>
      <c r="M22" s="88">
        <v>1</v>
      </c>
      <c r="N22" s="88">
        <v>0.83</v>
      </c>
      <c r="O22" s="88">
        <v>-0.17</v>
      </c>
      <c r="P22" s="94" t="s">
        <v>173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0.5</v>
      </c>
      <c r="AC22" s="10">
        <v>0.5</v>
      </c>
      <c r="AD22" s="10">
        <v>1</v>
      </c>
      <c r="AE22" s="10">
        <v>1</v>
      </c>
      <c r="AF22" s="98"/>
      <c r="AG22" s="10">
        <v>0.5</v>
      </c>
      <c r="AH22" s="98"/>
      <c r="AI22" s="98"/>
      <c r="AJ22" s="10">
        <v>0.5</v>
      </c>
      <c r="AK22" s="10">
        <v>0.5</v>
      </c>
      <c r="AL22" s="10">
        <v>2</v>
      </c>
      <c r="AM22" s="10">
        <v>2</v>
      </c>
      <c r="AN22" s="10">
        <v>1.5</v>
      </c>
      <c r="AO22" s="10">
        <v>1.5</v>
      </c>
      <c r="AP22" s="10">
        <v>1.5</v>
      </c>
      <c r="AQ22" s="10">
        <v>2</v>
      </c>
      <c r="AR22" s="10">
        <v>2</v>
      </c>
      <c r="AS22" s="10">
        <v>2</v>
      </c>
      <c r="AT22" s="10">
        <v>2</v>
      </c>
      <c r="AU22" s="10">
        <v>1</v>
      </c>
      <c r="AV22" s="10">
        <v>1</v>
      </c>
      <c r="AW22" s="10"/>
      <c r="AX22" s="18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8"/>
      <c r="EN22" s="18"/>
      <c r="EO22" s="18"/>
      <c r="EP22" s="18"/>
      <c r="EQ22" s="18"/>
      <c r="ER22" s="18"/>
    </row>
    <row r="23" spans="1:148" x14ac:dyDescent="0.4">
      <c r="A23" s="25" t="str">
        <f t="shared" ref="A23" si="6">E23&amp;F23</f>
        <v/>
      </c>
      <c r="B23" s="5" t="s">
        <v>23</v>
      </c>
      <c r="C23" s="21" t="s">
        <v>302</v>
      </c>
      <c r="D23" s="21"/>
      <c r="E23" s="24"/>
      <c r="F23" s="21"/>
      <c r="G23" s="21"/>
      <c r="H23" s="21"/>
      <c r="I23" s="89" t="e">
        <v>#REF!</v>
      </c>
      <c r="J23" s="89" t="e">
        <v>#REF!</v>
      </c>
      <c r="K23" s="89" t="e">
        <v>#REF!</v>
      </c>
      <c r="L23" s="89" t="e">
        <v>#REF!</v>
      </c>
      <c r="M23" s="88">
        <v>0.21</v>
      </c>
      <c r="N23" s="88">
        <v>0.19</v>
      </c>
      <c r="O23" s="88">
        <v>-0.02</v>
      </c>
      <c r="P23" s="94" t="s">
        <v>546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8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>
        <v>1</v>
      </c>
      <c r="BV23" s="10">
        <v>1</v>
      </c>
      <c r="BW23" s="10">
        <v>1</v>
      </c>
      <c r="BX23" s="10">
        <v>1</v>
      </c>
      <c r="BY23" s="10">
        <v>0.5</v>
      </c>
      <c r="BZ23" s="10">
        <v>1</v>
      </c>
      <c r="CA23" s="10">
        <v>1</v>
      </c>
      <c r="CB23" s="10">
        <v>1</v>
      </c>
      <c r="CC23" s="10">
        <v>1</v>
      </c>
      <c r="CD23" s="10">
        <v>0.5</v>
      </c>
      <c r="CE23" s="10">
        <v>1</v>
      </c>
      <c r="CF23" s="10">
        <v>1</v>
      </c>
      <c r="CG23" s="10">
        <v>1</v>
      </c>
      <c r="CH23" s="10">
        <v>1</v>
      </c>
      <c r="CI23" s="10">
        <v>0.5</v>
      </c>
      <c r="CJ23" s="10">
        <v>1</v>
      </c>
      <c r="CK23" s="10">
        <v>1</v>
      </c>
      <c r="CL23" s="10">
        <v>1</v>
      </c>
      <c r="CM23" s="10">
        <v>1</v>
      </c>
      <c r="CN23" s="10">
        <v>0.5</v>
      </c>
      <c r="CO23" s="10">
        <v>1</v>
      </c>
      <c r="CP23" s="10">
        <v>1</v>
      </c>
      <c r="CQ23" s="10">
        <v>1</v>
      </c>
      <c r="CR23" s="10">
        <v>1</v>
      </c>
      <c r="CS23" s="10">
        <v>0.5</v>
      </c>
      <c r="CT23" s="10">
        <v>1</v>
      </c>
      <c r="CU23" s="10">
        <v>1</v>
      </c>
      <c r="CV23" s="10">
        <v>1</v>
      </c>
      <c r="CW23" s="10">
        <v>1</v>
      </c>
      <c r="CX23" s="10">
        <v>2</v>
      </c>
      <c r="CY23" s="10">
        <v>2</v>
      </c>
      <c r="CZ23" s="10">
        <v>2</v>
      </c>
      <c r="DA23" s="10">
        <v>2</v>
      </c>
      <c r="DB23" s="10">
        <v>2</v>
      </c>
      <c r="DC23" s="10">
        <v>2</v>
      </c>
      <c r="DD23" s="10">
        <v>2</v>
      </c>
      <c r="DE23" s="10">
        <v>2</v>
      </c>
      <c r="DF23" s="10">
        <v>2</v>
      </c>
      <c r="DG23" s="10">
        <v>2</v>
      </c>
      <c r="DH23" s="10">
        <v>2</v>
      </c>
      <c r="DI23" s="10">
        <v>2</v>
      </c>
      <c r="DJ23" s="10">
        <v>2</v>
      </c>
      <c r="DK23" s="10">
        <v>2</v>
      </c>
      <c r="DL23" s="10">
        <v>2</v>
      </c>
      <c r="DM23" s="10">
        <v>2</v>
      </c>
      <c r="DN23" s="10">
        <v>2</v>
      </c>
      <c r="DO23" s="10">
        <v>2</v>
      </c>
      <c r="DP23" s="10">
        <v>2</v>
      </c>
      <c r="DQ23" s="10">
        <v>2</v>
      </c>
      <c r="DR23" s="10">
        <v>2</v>
      </c>
      <c r="DS23" s="10">
        <v>2</v>
      </c>
      <c r="DT23" s="10">
        <v>2</v>
      </c>
      <c r="DU23" s="10">
        <v>2</v>
      </c>
      <c r="DV23" s="10">
        <v>2</v>
      </c>
      <c r="DW23" s="10">
        <v>2</v>
      </c>
      <c r="DX23" s="10">
        <v>2</v>
      </c>
      <c r="DY23" s="10">
        <v>2</v>
      </c>
      <c r="DZ23" s="10">
        <v>2</v>
      </c>
      <c r="EA23" s="10">
        <v>2</v>
      </c>
      <c r="EB23" s="10">
        <v>2</v>
      </c>
      <c r="EC23" s="10">
        <v>2</v>
      </c>
      <c r="ED23" s="10">
        <v>2</v>
      </c>
      <c r="EE23" s="10">
        <v>2</v>
      </c>
      <c r="EF23" s="10">
        <v>2</v>
      </c>
      <c r="EG23" s="10">
        <v>2</v>
      </c>
      <c r="EH23" s="10">
        <v>1.5</v>
      </c>
      <c r="EI23" s="10"/>
      <c r="EJ23" s="10"/>
      <c r="EK23" s="10"/>
      <c r="EL23" s="10"/>
      <c r="EM23" s="18"/>
      <c r="EN23" s="18"/>
      <c r="EO23" s="18"/>
      <c r="EP23" s="18"/>
      <c r="EQ23" s="18"/>
      <c r="ER23" s="18"/>
    </row>
    <row r="24" spans="1:148" x14ac:dyDescent="0.4">
      <c r="A24" s="3" t="str">
        <f t="shared" ref="A24" si="7">E24&amp;F24</f>
        <v/>
      </c>
      <c r="B24" s="22" t="s">
        <v>23</v>
      </c>
      <c r="C24" s="23" t="s">
        <v>27</v>
      </c>
      <c r="D24" s="21"/>
      <c r="E24" s="24"/>
      <c r="F24" s="21"/>
      <c r="G24" s="21"/>
      <c r="H24" s="21"/>
      <c r="I24" s="89" t="e">
        <v>#REF!</v>
      </c>
      <c r="J24" s="89" t="e">
        <v>#REF!</v>
      </c>
      <c r="K24" s="89" t="e">
        <v>#REF!</v>
      </c>
      <c r="L24" s="89" t="e">
        <v>#REF!</v>
      </c>
      <c r="M24" s="88">
        <v>0</v>
      </c>
      <c r="N24" s="88">
        <v>0.37</v>
      </c>
      <c r="O24" s="88">
        <v>0.37</v>
      </c>
      <c r="P24" s="95" t="s">
        <v>547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8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>
        <v>0.5</v>
      </c>
      <c r="CX24" s="10">
        <v>0.5</v>
      </c>
      <c r="CY24" s="10">
        <v>1</v>
      </c>
      <c r="CZ24" s="10">
        <v>1</v>
      </c>
      <c r="DA24" s="10">
        <v>1</v>
      </c>
      <c r="DB24" s="10">
        <v>1</v>
      </c>
      <c r="DC24" s="10">
        <v>0.5</v>
      </c>
      <c r="DD24" s="10">
        <v>1</v>
      </c>
      <c r="DE24" s="10">
        <v>1</v>
      </c>
      <c r="DF24" s="10">
        <v>1</v>
      </c>
      <c r="DG24" s="10">
        <v>1</v>
      </c>
      <c r="DH24" s="10">
        <v>1</v>
      </c>
      <c r="DI24" s="10">
        <v>1</v>
      </c>
      <c r="DJ24" s="10">
        <v>1</v>
      </c>
      <c r="DK24" s="10">
        <v>1</v>
      </c>
      <c r="DL24" s="10">
        <v>1</v>
      </c>
      <c r="DM24" s="10">
        <v>1</v>
      </c>
      <c r="DN24" s="10">
        <v>1</v>
      </c>
      <c r="DO24" s="10">
        <v>1</v>
      </c>
      <c r="DP24" s="10">
        <v>1</v>
      </c>
      <c r="DQ24" s="10">
        <v>1</v>
      </c>
      <c r="DR24" s="98"/>
      <c r="DS24" s="10">
        <v>1</v>
      </c>
      <c r="DT24" s="10">
        <v>1</v>
      </c>
      <c r="DU24" s="10">
        <v>1</v>
      </c>
      <c r="DV24" s="10">
        <v>1</v>
      </c>
      <c r="DW24" s="10">
        <v>1</v>
      </c>
      <c r="DX24" s="10">
        <v>1</v>
      </c>
      <c r="DY24" s="10">
        <v>1</v>
      </c>
      <c r="DZ24" s="10">
        <v>1</v>
      </c>
      <c r="EA24" s="10">
        <v>1</v>
      </c>
      <c r="EB24" s="10">
        <v>1</v>
      </c>
      <c r="EC24" s="10">
        <v>1</v>
      </c>
      <c r="ED24" s="10">
        <v>1</v>
      </c>
      <c r="EE24" s="10">
        <v>1</v>
      </c>
      <c r="EF24" s="10">
        <v>1</v>
      </c>
      <c r="EG24" s="10">
        <v>1</v>
      </c>
      <c r="EH24" s="10">
        <v>1.5</v>
      </c>
      <c r="EI24" s="10">
        <v>3</v>
      </c>
      <c r="EJ24" s="10">
        <v>3</v>
      </c>
      <c r="EK24" s="10">
        <v>3</v>
      </c>
      <c r="EL24" s="10">
        <v>3</v>
      </c>
      <c r="EM24" s="18"/>
      <c r="EN24" s="18"/>
      <c r="EO24" s="18"/>
      <c r="EP24" s="18"/>
      <c r="EQ24" s="18"/>
      <c r="ER24" s="18"/>
    </row>
    <row r="25" spans="1:148" ht="4.95" customHeight="1" x14ac:dyDescent="0.45">
      <c r="D25" s="1"/>
      <c r="O25"/>
      <c r="AX25" t="s">
        <v>429</v>
      </c>
    </row>
    <row r="26" spans="1:148" x14ac:dyDescent="0.25">
      <c r="B26" s="13" t="s">
        <v>430</v>
      </c>
      <c r="C26" s="14"/>
      <c r="D26" s="14"/>
      <c r="E26" s="14"/>
      <c r="F26" s="14"/>
      <c r="G26" s="14"/>
      <c r="H26" s="14"/>
      <c r="I26" s="86"/>
      <c r="J26" s="86" t="e">
        <v>#REF!</v>
      </c>
      <c r="K26" s="86"/>
      <c r="L26" s="86" t="e">
        <v>#REF!</v>
      </c>
      <c r="M26" s="83">
        <v>0.55000000000000004</v>
      </c>
      <c r="N26" s="83">
        <v>0.64</v>
      </c>
      <c r="O26" s="83">
        <v>0.1</v>
      </c>
      <c r="P26" s="84" t="s">
        <v>22</v>
      </c>
    </row>
    <row r="27" spans="1:148" x14ac:dyDescent="0.45">
      <c r="O27"/>
    </row>
    <row r="28" spans="1:148" x14ac:dyDescent="0.45"/>
    <row r="29" spans="1:148" x14ac:dyDescent="0.45"/>
    <row r="30" spans="1:148" x14ac:dyDescent="0.45"/>
    <row r="31" spans="1:148" x14ac:dyDescent="0.45"/>
    <row r="32" spans="1:148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  <row r="42" x14ac:dyDescent="0.45"/>
    <row r="43" x14ac:dyDescent="0.45"/>
    <row r="44" x14ac:dyDescent="0.45"/>
    <row r="45" x14ac:dyDescent="0.45"/>
    <row r="46" x14ac:dyDescent="0.45"/>
    <row r="47" x14ac:dyDescent="0.45"/>
    <row r="48" x14ac:dyDescent="0.45"/>
    <row r="49" x14ac:dyDescent="0.45"/>
    <row r="50" x14ac:dyDescent="0.45"/>
    <row r="51" x14ac:dyDescent="0.45"/>
    <row r="52" x14ac:dyDescent="0.45"/>
    <row r="53" x14ac:dyDescent="0.45"/>
    <row r="54" x14ac:dyDescent="0.45"/>
    <row r="55" x14ac:dyDescent="0.45"/>
    <row r="56" x14ac:dyDescent="0.45"/>
    <row r="57" x14ac:dyDescent="0.45"/>
    <row r="58" x14ac:dyDescent="0.45"/>
    <row r="59" x14ac:dyDescent="0.45"/>
    <row r="60" x14ac:dyDescent="0.45"/>
    <row r="61" x14ac:dyDescent="0.45"/>
    <row r="62" x14ac:dyDescent="0.45"/>
    <row r="63" x14ac:dyDescent="0.45"/>
    <row r="64" x14ac:dyDescent="0.45"/>
    <row r="65" x14ac:dyDescent="0.45"/>
    <row r="66" x14ac:dyDescent="0.45"/>
    <row r="67" x14ac:dyDescent="0.45"/>
    <row r="68" x14ac:dyDescent="0.45"/>
    <row r="69" x14ac:dyDescent="0.45"/>
    <row r="70" x14ac:dyDescent="0.45"/>
    <row r="71" x14ac:dyDescent="0.45"/>
    <row r="72" x14ac:dyDescent="0.45"/>
    <row r="73" x14ac:dyDescent="0.45"/>
    <row r="74" x14ac:dyDescent="0.45"/>
    <row r="75" x14ac:dyDescent="0.45"/>
    <row r="76" x14ac:dyDescent="0.45"/>
    <row r="77" x14ac:dyDescent="0.45"/>
    <row r="78" x14ac:dyDescent="0.45"/>
    <row r="79" x14ac:dyDescent="0.45"/>
    <row r="80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2" x14ac:dyDescent="0.45"/>
    <row r="93" x14ac:dyDescent="0.45"/>
    <row r="94" x14ac:dyDescent="0.45"/>
    <row r="95" x14ac:dyDescent="0.45"/>
    <row r="9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  <row r="201" x14ac:dyDescent="0.45"/>
    <row r="202" x14ac:dyDescent="0.45"/>
    <row r="203" x14ac:dyDescent="0.45"/>
    <row r="204" x14ac:dyDescent="0.45"/>
    <row r="205" x14ac:dyDescent="0.45"/>
    <row r="206" x14ac:dyDescent="0.45"/>
    <row r="207" x14ac:dyDescent="0.45"/>
    <row r="208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</sheetData>
  <conditionalFormatting sqref="G9:G24">
    <cfRule type="cellIs" dxfId="12" priority="17" operator="equal">
      <formula>#REF!</formula>
    </cfRule>
  </conditionalFormatting>
  <conditionalFormatting sqref="G26">
    <cfRule type="cellIs" dxfId="5" priority="9" operator="equal">
      <formula>#REF!</formula>
    </cfRule>
  </conditionalFormatting>
  <conditionalFormatting sqref="O9:O12 O14:O17 O19:O24 O26">
    <cfRule type="cellIs" dxfId="4" priority="1" operator="lessThan">
      <formula>0</formula>
    </cfRule>
    <cfRule type="cellIs" dxfId="3" priority="2" operator="greaterThanOrEqual">
      <formula>0</formula>
    </cfRule>
  </conditionalFormatting>
  <conditionalFormatting sqref="Q5">
    <cfRule type="cellIs" dxfId="2" priority="29" operator="notEqual">
      <formula>0</formula>
    </cfRule>
  </conditionalFormatting>
  <conditionalFormatting sqref="Q10:ER12 Q15:ER17">
    <cfRule type="cellIs" dxfId="1" priority="27" operator="greaterThan">
      <formula>0</formula>
    </cfRule>
  </conditionalFormatting>
  <conditionalFormatting sqref="Q20:ER24">
    <cfRule type="cellIs" dxfId="0" priority="22" operator="greaterThan">
      <formula>0</formula>
    </cfRule>
  </conditionalFormatting>
  <dataValidations count="1">
    <dataValidation type="list" allowBlank="1" showInputMessage="1" showErrorMessage="1" sqref="G10:G12 G15:G17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0958BCE1-06BD-427F-A35C-FF873BA8B827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2" operator="containsText" id="{A1852F95-7847-46ED-AD72-F0E315B6A6F9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3" operator="containsText" id="{68021FC5-77F1-482D-8522-B1CD04CF63CC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4" operator="containsText" id="{B08A2841-F5C1-4826-8CBB-DC6718BD9326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5" operator="containsText" id="{B5460830-6AED-4820-AC75-D66E5ED8A849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6" operator="containsText" id="{B8F860E3-F781-4492-B175-5BE9C80FE403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G9:G24</xm:sqref>
        </x14:conditionalFormatting>
        <x14:conditionalFormatting xmlns:xm="http://schemas.microsoft.com/office/excel/2006/main">
          <x14:cfRule type="containsText" priority="3" operator="containsText" id="{AED6586C-F5C5-4BFE-8FE3-DBEA2E1C7F8C}">
            <xm:f>NOT(ISERROR(SEARCH(#REF!,G26)))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" operator="containsText" id="{911C5BFC-3AB2-4A1A-8EFC-D755A0FB9B6D}">
            <xm:f>NOT(ISERROR(SEARCH(#REF!,G26)))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E119DD1E-0166-411C-81B5-5C225D99BD7A}">
            <xm:f>NOT(ISERROR(SEARCH(#REF!,G26)))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" operator="containsText" id="{ECE4ED07-3C2A-4C21-A2E5-6B46A92012C8}">
            <xm:f>NOT(ISERROR(SEARCH(#REF!,G26)))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" operator="containsText" id="{6C035143-902A-48D0-BBAA-EA328AD739A2}">
            <xm:f>NOT(ISERROR(SEARCH(#REF!,G26)))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" operator="containsText" id="{AD342067-7E44-432A-B7BE-BC89346B05DE}">
            <xm:f>NOT(ISERROR(SEARCH(#REF!,G26)))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G26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6ea7b29d-57ec-408d-9ea9-cf73b04f66d5"/>
    <ds:schemaRef ds:uri="http://schemas.microsoft.com/office/infopath/2007/PartnerControls"/>
    <ds:schemaRef ds:uri="0683c779-04fc-4b63-89c9-6c25ffa1c0a4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C159AE6-DEAC-42AF-957D-2C583D78FF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Plano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Nádia Genebra Ahmad</cp:lastModifiedBy>
  <cp:revision/>
  <dcterms:created xsi:type="dcterms:W3CDTF">2024-07-02T08:46:04Z</dcterms:created>
  <dcterms:modified xsi:type="dcterms:W3CDTF">2024-10-18T14:05:41Z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