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https://santandernet.sharepoint.com/sites/TestesGDPilar3ESG/Shared Documents/General/02. Green Dashboard/2. Testes/01. Testes Dados/PdS - Indicadores/"/>
    </mc:Choice>
  </mc:AlternateContent>
  <bookViews>
    <workbookView xWindow="0" yWindow="0" windowWidth="28800" windowHeight="12300" activeTab="3"/>
  </bookViews>
  <sheets>
    <sheet name="Indicadores" sheetId="1" r:id="rId1"/>
    <sheet name="Sheet2" sheetId="3" state="hidden" r:id="rId2"/>
    <sheet name="N Cruza" sheetId="2" state="hidden" r:id="rId3"/>
    <sheet name="Por campo" sheetId="5" r:id="rId4"/>
    <sheet name="Sheet7" sheetId="8" state="hidden" r:id="rId5"/>
    <sheet name="Dashboard" sheetId="7" r:id="rId6"/>
    <sheet name="aux" sheetId="6" r:id="rId7"/>
  </sheets>
  <definedNames>
    <definedName name="_xlnm._FilterDatabase" localSheetId="6" hidden="1">aux!$A$1:$J$52</definedName>
    <definedName name="_xlnm._FilterDatabase" localSheetId="2" hidden="1">'N Cruza'!$A$1:$C$3666</definedName>
    <definedName name="_xlnm._FilterDatabase" localSheetId="3" hidden="1">'Por campo'!$B$3:$AH$54</definedName>
  </definedNames>
  <calcPr calcId="162913"/>
  <pivotCaches>
    <pivotCache cacheId="8" r:id="rId8"/>
    <pivotCache cacheId="45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5" l="1"/>
  <c r="C37" i="5"/>
  <c r="C4" i="5"/>
  <c r="I37" i="5" l="1"/>
  <c r="K37" i="5" s="1"/>
  <c r="G30" i="5" l="1"/>
  <c r="G26" i="5"/>
  <c r="I7" i="5"/>
  <c r="C7" i="5"/>
  <c r="K7" i="5" s="1"/>
  <c r="C128" i="5"/>
  <c r="I26" i="5"/>
  <c r="I30" i="5"/>
  <c r="C5" i="5" l="1"/>
  <c r="H30" i="5" l="1"/>
  <c r="G14" i="5" l="1"/>
  <c r="C9" i="5" l="1"/>
  <c r="I9" i="5"/>
  <c r="C8" i="5"/>
  <c r="K8" i="5" s="1"/>
  <c r="C28" i="5"/>
  <c r="K28" i="5" s="1"/>
  <c r="I32" i="5"/>
  <c r="C32" i="5"/>
  <c r="K32" i="5" s="1"/>
  <c r="C30" i="5"/>
  <c r="K30" i="5" s="1"/>
  <c r="I28" i="5"/>
  <c r="C26" i="5"/>
  <c r="K26" i="5" s="1"/>
  <c r="I8" i="5"/>
  <c r="H39" i="5"/>
  <c r="K45" i="5" l="1"/>
  <c r="G38" i="5"/>
  <c r="G36" i="5"/>
  <c r="G33" i="5"/>
  <c r="G31" i="5"/>
  <c r="G29" i="5"/>
  <c r="G27" i="5"/>
  <c r="G24" i="5"/>
  <c r="G15" i="5"/>
  <c r="AF15" i="5"/>
  <c r="K9" i="5"/>
  <c r="I5" i="5" l="1"/>
  <c r="K5" i="5" s="1"/>
  <c r="C35" i="5" l="1"/>
  <c r="K35" i="5" s="1"/>
  <c r="C25" i="5"/>
  <c r="K25" i="5" s="1"/>
  <c r="I35" i="5"/>
  <c r="I25" i="5"/>
  <c r="F96" i="5" l="1"/>
  <c r="I10" i="5" l="1"/>
  <c r="E68" i="5"/>
  <c r="G2" i="6" l="1"/>
  <c r="J54" i="5"/>
  <c r="J53" i="5"/>
  <c r="J52" i="5"/>
  <c r="J51" i="5"/>
  <c r="J50" i="5"/>
  <c r="J49" i="5"/>
  <c r="J48" i="5"/>
  <c r="J47" i="5"/>
  <c r="J46" i="5"/>
  <c r="J45" i="5"/>
  <c r="J10" i="5"/>
  <c r="J9" i="5"/>
  <c r="J8" i="5"/>
  <c r="J44" i="5"/>
  <c r="J43" i="5"/>
  <c r="J7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6" i="5"/>
  <c r="J20" i="5"/>
  <c r="J19" i="5"/>
  <c r="J18" i="5"/>
  <c r="J17" i="5"/>
  <c r="J16" i="5"/>
  <c r="J15" i="5"/>
  <c r="J14" i="5"/>
  <c r="J5" i="5"/>
  <c r="J4" i="5"/>
  <c r="J13" i="5"/>
  <c r="J12" i="5"/>
  <c r="J11" i="5"/>
  <c r="C66" i="5"/>
  <c r="F66" i="5" s="1"/>
  <c r="C10" i="5"/>
  <c r="K10" i="5" s="1"/>
  <c r="E28" i="7" l="1"/>
  <c r="E29" i="7" s="1"/>
  <c r="I8" i="1"/>
  <c r="I7" i="1"/>
  <c r="I6" i="1"/>
  <c r="I5" i="1"/>
  <c r="AF5" i="5" l="1"/>
  <c r="AF54" i="5"/>
  <c r="AF53" i="5"/>
  <c r="AF52" i="5"/>
  <c r="AF51" i="5"/>
  <c r="AF50" i="5"/>
  <c r="AF49" i="5"/>
  <c r="AF48" i="5"/>
  <c r="AF47" i="5"/>
  <c r="AF46" i="5"/>
  <c r="AF45" i="5"/>
  <c r="AF10" i="5"/>
  <c r="AF9" i="5"/>
  <c r="AF8" i="5"/>
  <c r="AF44" i="5"/>
  <c r="AF43" i="5"/>
  <c r="AF7" i="5"/>
  <c r="AF42" i="5"/>
  <c r="AF41" i="5"/>
  <c r="AF40" i="5"/>
  <c r="AF39" i="5"/>
  <c r="AF38" i="5"/>
  <c r="AF36" i="5"/>
  <c r="AF34" i="5"/>
  <c r="AF33" i="5"/>
  <c r="AF32" i="5"/>
  <c r="AF31" i="5"/>
  <c r="AF30" i="5"/>
  <c r="AF29" i="5"/>
  <c r="AF28" i="5"/>
  <c r="AF27" i="5"/>
  <c r="AF26" i="5"/>
  <c r="AF25" i="5"/>
  <c r="AF24" i="5"/>
  <c r="AF23" i="5"/>
  <c r="AF21" i="5"/>
  <c r="AF6" i="5"/>
  <c r="AF20" i="5"/>
  <c r="AF19" i="5"/>
  <c r="AF18" i="5"/>
  <c r="AF17" i="5"/>
  <c r="AF16" i="5"/>
  <c r="AF14" i="5"/>
  <c r="AF4" i="5"/>
  <c r="AF13" i="5"/>
  <c r="AF12" i="5"/>
  <c r="AF11" i="5"/>
  <c r="E3" i="6" l="1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9" i="6"/>
  <c r="E41" i="6"/>
  <c r="E42" i="6"/>
  <c r="E43" i="6"/>
  <c r="E44" i="6"/>
  <c r="E45" i="6"/>
  <c r="E46" i="6"/>
  <c r="E47" i="6"/>
  <c r="E48" i="6"/>
  <c r="E49" i="6"/>
  <c r="E50" i="6"/>
  <c r="E51" i="6"/>
  <c r="E52" i="6"/>
  <c r="E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2" i="6"/>
  <c r="G3" i="6"/>
  <c r="J3" i="6" s="1"/>
  <c r="G4" i="6"/>
  <c r="J4" i="6" s="1"/>
  <c r="G5" i="6"/>
  <c r="J5" i="6" s="1"/>
  <c r="G6" i="6"/>
  <c r="J6" i="6" s="1"/>
  <c r="G7" i="6"/>
  <c r="J7" i="6" s="1"/>
  <c r="G8" i="6"/>
  <c r="I8" i="6" s="1"/>
  <c r="G9" i="6"/>
  <c r="I9" i="6" s="1"/>
  <c r="G10" i="6"/>
  <c r="I10" i="6" s="1"/>
  <c r="G11" i="6"/>
  <c r="J11" i="6" s="1"/>
  <c r="G12" i="6"/>
  <c r="J12" i="6" s="1"/>
  <c r="G13" i="6"/>
  <c r="J13" i="6" s="1"/>
  <c r="G14" i="6"/>
  <c r="J14" i="6" s="1"/>
  <c r="G15" i="6"/>
  <c r="I15" i="6" s="1"/>
  <c r="G16" i="6"/>
  <c r="I16" i="6" s="1"/>
  <c r="G17" i="6"/>
  <c r="I17" i="6" s="1"/>
  <c r="G18" i="6"/>
  <c r="I18" i="6" s="1"/>
  <c r="G19" i="6"/>
  <c r="J19" i="6" s="1"/>
  <c r="G20" i="6"/>
  <c r="J20" i="6" s="1"/>
  <c r="G21" i="6"/>
  <c r="J21" i="6" s="1"/>
  <c r="G22" i="6"/>
  <c r="J22" i="6" s="1"/>
  <c r="G23" i="6"/>
  <c r="J23" i="6" s="1"/>
  <c r="G24" i="6"/>
  <c r="I24" i="6" s="1"/>
  <c r="G25" i="6"/>
  <c r="I25" i="6" s="1"/>
  <c r="G26" i="6"/>
  <c r="I26" i="6" s="1"/>
  <c r="G27" i="6"/>
  <c r="J27" i="6" s="1"/>
  <c r="G28" i="6"/>
  <c r="J28" i="6" s="1"/>
  <c r="G29" i="6"/>
  <c r="J29" i="6" s="1"/>
  <c r="G30" i="6"/>
  <c r="J30" i="6" s="1"/>
  <c r="G31" i="6"/>
  <c r="J31" i="6" s="1"/>
  <c r="G32" i="6"/>
  <c r="I32" i="6" s="1"/>
  <c r="G33" i="6"/>
  <c r="I33" i="6" s="1"/>
  <c r="G34" i="6"/>
  <c r="I34" i="6" s="1"/>
  <c r="G35" i="6"/>
  <c r="J35" i="6" s="1"/>
  <c r="G36" i="6"/>
  <c r="J36" i="6" s="1"/>
  <c r="G37" i="6"/>
  <c r="J37" i="6" s="1"/>
  <c r="G38" i="6"/>
  <c r="J38" i="6" s="1"/>
  <c r="G39" i="6"/>
  <c r="I39" i="6" s="1"/>
  <c r="G40" i="6"/>
  <c r="I40" i="6" s="1"/>
  <c r="G41" i="6"/>
  <c r="I41" i="6" s="1"/>
  <c r="G42" i="6"/>
  <c r="I42" i="6" s="1"/>
  <c r="G43" i="6"/>
  <c r="J43" i="6" s="1"/>
  <c r="G44" i="6"/>
  <c r="J44" i="6" s="1"/>
  <c r="G45" i="6"/>
  <c r="J45" i="6" s="1"/>
  <c r="G46" i="6"/>
  <c r="J46" i="6" s="1"/>
  <c r="G47" i="6"/>
  <c r="J47" i="6" s="1"/>
  <c r="G48" i="6"/>
  <c r="I48" i="6" s="1"/>
  <c r="G49" i="6"/>
  <c r="I49" i="6" s="1"/>
  <c r="G50" i="6"/>
  <c r="I50" i="6" s="1"/>
  <c r="G51" i="6"/>
  <c r="J51" i="6" s="1"/>
  <c r="G52" i="6"/>
  <c r="J52" i="6" s="1"/>
  <c r="J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2" i="6"/>
  <c r="I47" i="6" l="1"/>
  <c r="I31" i="6"/>
  <c r="I23" i="6"/>
  <c r="I7" i="6"/>
  <c r="I46" i="6"/>
  <c r="I38" i="6"/>
  <c r="I30" i="6"/>
  <c r="I22" i="6"/>
  <c r="I14" i="6"/>
  <c r="I6" i="6"/>
  <c r="I2" i="6"/>
  <c r="I45" i="6"/>
  <c r="I37" i="6"/>
  <c r="I29" i="6"/>
  <c r="I21" i="6"/>
  <c r="I13" i="6"/>
  <c r="I5" i="6"/>
  <c r="I52" i="6"/>
  <c r="I44" i="6"/>
  <c r="I36" i="6"/>
  <c r="I28" i="6"/>
  <c r="I20" i="6"/>
  <c r="I12" i="6"/>
  <c r="I4" i="6"/>
  <c r="I51" i="6"/>
  <c r="I43" i="6"/>
  <c r="I35" i="6"/>
  <c r="I27" i="6"/>
  <c r="I19" i="6"/>
  <c r="I11" i="6"/>
  <c r="I3" i="6"/>
  <c r="J33" i="6"/>
  <c r="J32" i="6"/>
  <c r="J25" i="6"/>
  <c r="J24" i="6"/>
  <c r="J49" i="6"/>
  <c r="J17" i="6"/>
  <c r="J48" i="6"/>
  <c r="J16" i="6"/>
  <c r="J41" i="6"/>
  <c r="J9" i="6"/>
  <c r="J40" i="6"/>
  <c r="J8" i="6"/>
  <c r="J39" i="6"/>
  <c r="J15" i="6"/>
  <c r="J50" i="6"/>
  <c r="J42" i="6"/>
  <c r="J34" i="6"/>
  <c r="J26" i="6"/>
  <c r="J18" i="6"/>
  <c r="J10" i="6"/>
  <c r="C75" i="5" l="1"/>
  <c r="H22" i="5" l="1"/>
  <c r="F22" i="5"/>
  <c r="B3" i="6"/>
  <c r="C3" i="6"/>
  <c r="D3" i="6"/>
  <c r="B4" i="6"/>
  <c r="C4" i="6"/>
  <c r="D4" i="6"/>
  <c r="B5" i="6"/>
  <c r="C5" i="6"/>
  <c r="D5" i="6"/>
  <c r="B6" i="6"/>
  <c r="C6" i="6"/>
  <c r="D6" i="6"/>
  <c r="B7" i="6"/>
  <c r="C7" i="6"/>
  <c r="D7" i="6"/>
  <c r="B8" i="6"/>
  <c r="C8" i="6"/>
  <c r="D8" i="6"/>
  <c r="B9" i="6"/>
  <c r="C9" i="6"/>
  <c r="D9" i="6"/>
  <c r="B10" i="6"/>
  <c r="C10" i="6"/>
  <c r="D10" i="6"/>
  <c r="B11" i="6"/>
  <c r="C11" i="6"/>
  <c r="D11" i="6"/>
  <c r="B12" i="6"/>
  <c r="C12" i="6"/>
  <c r="D12" i="6"/>
  <c r="B13" i="6"/>
  <c r="C13" i="6"/>
  <c r="D13" i="6"/>
  <c r="B14" i="6"/>
  <c r="C14" i="6"/>
  <c r="B15" i="6"/>
  <c r="C15" i="6"/>
  <c r="B16" i="6"/>
  <c r="C16" i="6"/>
  <c r="D16" i="6"/>
  <c r="B17" i="6"/>
  <c r="C17" i="6"/>
  <c r="B18" i="6"/>
  <c r="C18" i="6"/>
  <c r="D18" i="6"/>
  <c r="B19" i="6"/>
  <c r="C19" i="6"/>
  <c r="D19" i="6"/>
  <c r="B20" i="6"/>
  <c r="C20" i="6"/>
  <c r="D20" i="6"/>
  <c r="B21" i="6"/>
  <c r="C21" i="6"/>
  <c r="D21" i="6"/>
  <c r="B22" i="6"/>
  <c r="C22" i="6"/>
  <c r="D22" i="6"/>
  <c r="B23" i="6"/>
  <c r="C23" i="6"/>
  <c r="D23" i="6"/>
  <c r="B24" i="6"/>
  <c r="C24" i="6"/>
  <c r="D24" i="6"/>
  <c r="B25" i="6"/>
  <c r="C25" i="6"/>
  <c r="D25" i="6"/>
  <c r="B26" i="6"/>
  <c r="C26" i="6"/>
  <c r="D26" i="6"/>
  <c r="B27" i="6"/>
  <c r="C27" i="6"/>
  <c r="D27" i="6"/>
  <c r="B28" i="6"/>
  <c r="C28" i="6"/>
  <c r="D28" i="6"/>
  <c r="B29" i="6"/>
  <c r="C29" i="6"/>
  <c r="D29" i="6"/>
  <c r="B30" i="6"/>
  <c r="C30" i="6"/>
  <c r="D30" i="6"/>
  <c r="B31" i="6"/>
  <c r="C31" i="6"/>
  <c r="D31" i="6"/>
  <c r="B32" i="6"/>
  <c r="C32" i="6"/>
  <c r="D32" i="6"/>
  <c r="B33" i="6"/>
  <c r="C33" i="6"/>
  <c r="D33" i="6"/>
  <c r="B34" i="6"/>
  <c r="C34" i="6"/>
  <c r="D34" i="6"/>
  <c r="B35" i="6"/>
  <c r="C35" i="6"/>
  <c r="D35" i="6"/>
  <c r="B36" i="6"/>
  <c r="C36" i="6"/>
  <c r="D36" i="6"/>
  <c r="B37" i="6"/>
  <c r="C37" i="6"/>
  <c r="D37" i="6"/>
  <c r="B38" i="6"/>
  <c r="C38" i="6"/>
  <c r="B39" i="6"/>
  <c r="C39" i="6"/>
  <c r="D39" i="6"/>
  <c r="B40" i="6"/>
  <c r="C40" i="6"/>
  <c r="B41" i="6"/>
  <c r="C41" i="6"/>
  <c r="D41" i="6"/>
  <c r="B42" i="6"/>
  <c r="C42" i="6"/>
  <c r="D42" i="6"/>
  <c r="B43" i="6"/>
  <c r="C43" i="6"/>
  <c r="D43" i="6"/>
  <c r="B44" i="6"/>
  <c r="C44" i="6"/>
  <c r="D44" i="6"/>
  <c r="B45" i="6"/>
  <c r="C45" i="6"/>
  <c r="D45" i="6"/>
  <c r="B46" i="6"/>
  <c r="C46" i="6"/>
  <c r="D46" i="6"/>
  <c r="B47" i="6"/>
  <c r="C47" i="6"/>
  <c r="D47" i="6"/>
  <c r="B48" i="6"/>
  <c r="C48" i="6"/>
  <c r="D48" i="6"/>
  <c r="B49" i="6"/>
  <c r="C49" i="6"/>
  <c r="D49" i="6"/>
  <c r="B50" i="6"/>
  <c r="C50" i="6"/>
  <c r="D50" i="6"/>
  <c r="B51" i="6"/>
  <c r="C51" i="6"/>
  <c r="D51" i="6"/>
  <c r="B52" i="6"/>
  <c r="C52" i="6"/>
  <c r="D52" i="6"/>
  <c r="D2" i="6"/>
  <c r="C2" i="6"/>
  <c r="B2" i="6"/>
  <c r="AG22" i="5" l="1"/>
  <c r="AF22" i="5"/>
  <c r="D22" i="5"/>
  <c r="N22" i="5"/>
  <c r="L22" i="5"/>
  <c r="E38" i="6" l="1"/>
  <c r="AF35" i="5"/>
  <c r="D38" i="6"/>
  <c r="D6" i="5"/>
  <c r="AC37" i="5"/>
  <c r="AC35" i="5"/>
  <c r="E40" i="6" l="1"/>
  <c r="AF37" i="5"/>
  <c r="AC7" i="5"/>
  <c r="AG7" i="5" s="1"/>
  <c r="AG45" i="5"/>
  <c r="AG37" i="5"/>
  <c r="AG30" i="5"/>
  <c r="AG9" i="5"/>
  <c r="AG14" i="5"/>
  <c r="AG8" i="5"/>
  <c r="AG26" i="5"/>
  <c r="AG25" i="5"/>
  <c r="AG23" i="5"/>
  <c r="AG42" i="5"/>
  <c r="AG19" i="5"/>
  <c r="AG16" i="5"/>
  <c r="AG5" i="5"/>
  <c r="AG43" i="5"/>
  <c r="AG32" i="5"/>
  <c r="AG28" i="5"/>
  <c r="AG50" i="5"/>
  <c r="AG35" i="5"/>
  <c r="AG10" i="5"/>
  <c r="AG38" i="5"/>
  <c r="AG36" i="5"/>
  <c r="AG31" i="5"/>
  <c r="AG27" i="5"/>
  <c r="AG24" i="5"/>
  <c r="AG15" i="5"/>
  <c r="AG33" i="5"/>
  <c r="AG29" i="5"/>
  <c r="AG17" i="5"/>
  <c r="AG39" i="5"/>
  <c r="AG18" i="5"/>
  <c r="AG53" i="5"/>
  <c r="AG21" i="5"/>
  <c r="AG41" i="5"/>
  <c r="AG6" i="5"/>
  <c r="AG40" i="5"/>
  <c r="AG47" i="5"/>
  <c r="AG54" i="5"/>
  <c r="AG34" i="5"/>
  <c r="AG11" i="5"/>
  <c r="AG13" i="5"/>
  <c r="AG46" i="5"/>
  <c r="AG48" i="5"/>
  <c r="AG49" i="5"/>
  <c r="AG12" i="5"/>
  <c r="AG20" i="5"/>
  <c r="AG44" i="5"/>
  <c r="AG52" i="5"/>
  <c r="AG51" i="5"/>
  <c r="AG4" i="5"/>
  <c r="N37" i="5"/>
  <c r="N30" i="5"/>
  <c r="N7" i="5"/>
  <c r="N9" i="5"/>
  <c r="N14" i="5"/>
  <c r="N8" i="5"/>
  <c r="N26" i="5"/>
  <c r="N25" i="5"/>
  <c r="N23" i="5"/>
  <c r="N42" i="5"/>
  <c r="N19" i="5"/>
  <c r="N16" i="5"/>
  <c r="N5" i="5"/>
  <c r="N43" i="5"/>
  <c r="N32" i="5"/>
  <c r="N28" i="5"/>
  <c r="N50" i="5"/>
  <c r="N35" i="5"/>
  <c r="N10" i="5"/>
  <c r="N38" i="5"/>
  <c r="N36" i="5"/>
  <c r="N31" i="5"/>
  <c r="N27" i="5"/>
  <c r="N24" i="5"/>
  <c r="N15" i="5"/>
  <c r="N33" i="5"/>
  <c r="N29" i="5"/>
  <c r="N17" i="5"/>
  <c r="N39" i="5"/>
  <c r="L52" i="5"/>
  <c r="L51" i="5"/>
  <c r="L45" i="5"/>
  <c r="L30" i="5"/>
  <c r="L7" i="5"/>
  <c r="L14" i="5"/>
  <c r="L8" i="5"/>
  <c r="L26" i="5"/>
  <c r="L25" i="5"/>
  <c r="L23" i="5"/>
  <c r="L42" i="5"/>
  <c r="L19" i="5"/>
  <c r="L16" i="5"/>
  <c r="L5" i="5"/>
  <c r="L43" i="5"/>
  <c r="L32" i="5"/>
  <c r="L28" i="5"/>
  <c r="L50" i="5"/>
  <c r="L35" i="5"/>
  <c r="L38" i="5"/>
  <c r="L36" i="5"/>
  <c r="L31" i="5"/>
  <c r="L27" i="5"/>
  <c r="L24" i="5"/>
  <c r="L15" i="5"/>
  <c r="L33" i="5"/>
  <c r="L29" i="5"/>
  <c r="L17" i="5"/>
  <c r="L39" i="5"/>
  <c r="H37" i="5"/>
  <c r="H7" i="5"/>
  <c r="H9" i="5"/>
  <c r="H14" i="5"/>
  <c r="H8" i="5"/>
  <c r="H26" i="5"/>
  <c r="H25" i="5"/>
  <c r="H23" i="5"/>
  <c r="H42" i="5"/>
  <c r="H19" i="5"/>
  <c r="H16" i="5"/>
  <c r="H5" i="5"/>
  <c r="H43" i="5"/>
  <c r="H32" i="5"/>
  <c r="H28" i="5"/>
  <c r="H50" i="5"/>
  <c r="H35" i="5"/>
  <c r="H10" i="5"/>
  <c r="H38" i="5"/>
  <c r="H36" i="5"/>
  <c r="H31" i="5"/>
  <c r="H27" i="5"/>
  <c r="H24" i="5"/>
  <c r="H15" i="5"/>
  <c r="H33" i="5"/>
  <c r="H29" i="5"/>
  <c r="H17" i="5"/>
  <c r="F37" i="5"/>
  <c r="F30" i="5"/>
  <c r="F7" i="5"/>
  <c r="F9" i="5"/>
  <c r="F14" i="5"/>
  <c r="F8" i="5"/>
  <c r="F26" i="5"/>
  <c r="F25" i="5"/>
  <c r="F23" i="5"/>
  <c r="F42" i="5"/>
  <c r="F19" i="5"/>
  <c r="F16" i="5"/>
  <c r="F5" i="5"/>
  <c r="F43" i="5"/>
  <c r="F32" i="5"/>
  <c r="F28" i="5"/>
  <c r="F50" i="5"/>
  <c r="F35" i="5"/>
  <c r="F10" i="5"/>
  <c r="F38" i="5"/>
  <c r="F36" i="5"/>
  <c r="F31" i="5"/>
  <c r="F27" i="5"/>
  <c r="F24" i="5"/>
  <c r="F15" i="5"/>
  <c r="F33" i="5"/>
  <c r="F29" i="5"/>
  <c r="F17" i="5"/>
  <c r="F39" i="5"/>
  <c r="D37" i="5"/>
  <c r="D30" i="5"/>
  <c r="D7" i="5"/>
  <c r="D9" i="5"/>
  <c r="D14" i="5"/>
  <c r="D8" i="5"/>
  <c r="D26" i="5"/>
  <c r="D25" i="5"/>
  <c r="D23" i="5"/>
  <c r="D42" i="5"/>
  <c r="D19" i="5"/>
  <c r="D16" i="5"/>
  <c r="D5" i="5"/>
  <c r="D43" i="5"/>
  <c r="D32" i="5"/>
  <c r="D28" i="5"/>
  <c r="D50" i="5"/>
  <c r="D35" i="5"/>
  <c r="D10" i="5"/>
  <c r="D38" i="5"/>
  <c r="D36" i="5"/>
  <c r="D31" i="5"/>
  <c r="D27" i="5"/>
  <c r="D24" i="5"/>
  <c r="D15" i="5"/>
  <c r="D33" i="5"/>
  <c r="D29" i="5"/>
  <c r="D17" i="5"/>
  <c r="D39" i="5"/>
  <c r="N18" i="5"/>
  <c r="N53" i="5"/>
  <c r="N21" i="5"/>
  <c r="N41" i="5"/>
  <c r="N6" i="5"/>
  <c r="N40" i="5"/>
  <c r="N47" i="5"/>
  <c r="N54" i="5"/>
  <c r="N34" i="5"/>
  <c r="N11" i="5"/>
  <c r="N13" i="5"/>
  <c r="L18" i="5"/>
  <c r="L53" i="5"/>
  <c r="L21" i="5"/>
  <c r="L41" i="5"/>
  <c r="L6" i="5"/>
  <c r="L40" i="5"/>
  <c r="L47" i="5"/>
  <c r="L54" i="5"/>
  <c r="L34" i="5"/>
  <c r="L11" i="5"/>
  <c r="L13" i="5"/>
  <c r="H18" i="5"/>
  <c r="H53" i="5"/>
  <c r="H21" i="5"/>
  <c r="H41" i="5"/>
  <c r="H6" i="5"/>
  <c r="H40" i="5"/>
  <c r="H47" i="5"/>
  <c r="H54" i="5"/>
  <c r="H34" i="5"/>
  <c r="H11" i="5"/>
  <c r="H13" i="5"/>
  <c r="F18" i="5"/>
  <c r="F53" i="5"/>
  <c r="F21" i="5"/>
  <c r="F41" i="5"/>
  <c r="F6" i="5"/>
  <c r="F40" i="5"/>
  <c r="F47" i="5"/>
  <c r="F54" i="5"/>
  <c r="F34" i="5"/>
  <c r="F11" i="5"/>
  <c r="F13" i="5"/>
  <c r="F46" i="5"/>
  <c r="D18" i="5"/>
  <c r="D53" i="5"/>
  <c r="D21" i="5"/>
  <c r="D41" i="5"/>
  <c r="D40" i="5"/>
  <c r="D47" i="5"/>
  <c r="D54" i="5"/>
  <c r="D34" i="5"/>
  <c r="D11" i="5"/>
  <c r="D13" i="5"/>
  <c r="N4" i="5"/>
  <c r="H4" i="5"/>
  <c r="F4" i="5"/>
  <c r="D4" i="5"/>
  <c r="N45" i="5"/>
  <c r="H45" i="5"/>
  <c r="F45" i="5"/>
  <c r="D45" i="5"/>
  <c r="N51" i="5"/>
  <c r="H51" i="5"/>
  <c r="F51" i="5"/>
  <c r="D51" i="5"/>
  <c r="N52" i="5"/>
  <c r="H52" i="5"/>
  <c r="F52" i="5"/>
  <c r="D52" i="5"/>
  <c r="N44" i="5"/>
  <c r="L44" i="5"/>
  <c r="H44" i="5"/>
  <c r="F44" i="5"/>
  <c r="D44" i="5"/>
  <c r="N20" i="5"/>
  <c r="L20" i="5"/>
  <c r="H20" i="5"/>
  <c r="F20" i="5"/>
  <c r="D20" i="5"/>
  <c r="N12" i="5"/>
  <c r="L12" i="5"/>
  <c r="H12" i="5"/>
  <c r="F12" i="5"/>
  <c r="D12" i="5"/>
  <c r="N49" i="5"/>
  <c r="L49" i="5"/>
  <c r="H49" i="5"/>
  <c r="F49" i="5"/>
  <c r="D49" i="5"/>
  <c r="N48" i="5"/>
  <c r="L48" i="5"/>
  <c r="H48" i="5"/>
  <c r="F48" i="5"/>
  <c r="D48" i="5"/>
  <c r="N46" i="5"/>
  <c r="L46" i="5"/>
  <c r="H46" i="5"/>
  <c r="D46" i="5"/>
  <c r="C28" i="7" l="1"/>
  <c r="C29" i="7" s="1"/>
  <c r="G28" i="7"/>
  <c r="G29" i="7" s="1"/>
  <c r="D28" i="7"/>
  <c r="D29" i="7" s="1"/>
  <c r="X9" i="7"/>
  <c r="D15" i="6"/>
  <c r="D17" i="6"/>
  <c r="D14" i="6"/>
  <c r="L10" i="5"/>
  <c r="L9" i="5"/>
  <c r="L4" i="5"/>
  <c r="D40" i="6" l="1"/>
  <c r="L37" i="5"/>
  <c r="F28" i="7" s="1"/>
  <c r="F29" i="7" s="1"/>
  <c r="W9" i="7" l="1"/>
</calcChain>
</file>

<file path=xl/sharedStrings.xml><?xml version="1.0" encoding="utf-8"?>
<sst xmlns="http://schemas.openxmlformats.org/spreadsheetml/2006/main" count="11882" uniqueCount="3962">
  <si>
    <t>Base da lt002_instrument</t>
  </si>
  <si>
    <t>All</t>
  </si>
  <si>
    <t>CMAH</t>
  </si>
  <si>
    <t>SNCN</t>
  </si>
  <si>
    <t>Tradutor FR + MIS</t>
  </si>
  <si>
    <t>Distinct FR</t>
  </si>
  <si>
    <t>Distinct MIS</t>
  </si>
  <si>
    <t>All Cruza</t>
  </si>
  <si>
    <t>All N Cruza</t>
  </si>
  <si>
    <t>instrmnt_id</t>
  </si>
  <si>
    <t>chave_fr</t>
  </si>
  <si>
    <t>SNCN00000811</t>
  </si>
  <si>
    <t>NULL</t>
  </si>
  <si>
    <t>SNCN00000132</t>
  </si>
  <si>
    <t>SNCN00000449</t>
  </si>
  <si>
    <t>80CMAH000000WP455000000000086388</t>
  </si>
  <si>
    <t>31000310419104090069674560100000</t>
  </si>
  <si>
    <t>31000310171753091069673570100000</t>
  </si>
  <si>
    <t>31000310172199091069674210100000</t>
  </si>
  <si>
    <t>31CMAH0000000000R262304820019730</t>
  </si>
  <si>
    <t>31CMAH0000000000R362304820963130</t>
  </si>
  <si>
    <t>31CMAH0000000000RAPL384459860000</t>
  </si>
  <si>
    <t>82000000000021154000450000404079</t>
  </si>
  <si>
    <t>82000000007002745000200000645171</t>
  </si>
  <si>
    <t>82000000007007660000200000654205</t>
  </si>
  <si>
    <t>82000000007008136000200000656216</t>
  </si>
  <si>
    <t>82000000007009031000200000661116</t>
  </si>
  <si>
    <t>82000000007011204000200000681045</t>
  </si>
  <si>
    <t>82000000007013337000200000690590</t>
  </si>
  <si>
    <t>82000000007017412000200000680116</t>
  </si>
  <si>
    <t>82000000007017955000200000753985</t>
  </si>
  <si>
    <t>89CMAH2022000041R001520220603343</t>
  </si>
  <si>
    <t>89CMAH2022000041R001520230085361</t>
  </si>
  <si>
    <t>89CMAH2022000041R001520230085476</t>
  </si>
  <si>
    <t>89CMAH2022000041R001520230144551</t>
  </si>
  <si>
    <t>89CMAH2022000041R001520230144867</t>
  </si>
  <si>
    <t>89CMAH2022000041R001520230177979</t>
  </si>
  <si>
    <t>89CMAH2022000041R001520230178096</t>
  </si>
  <si>
    <t>89CMAH2022000041R001520230178563</t>
  </si>
  <si>
    <t>89CMAH2022000041R001520230234131</t>
  </si>
  <si>
    <t>89CMAH2022000041R001520230234147</t>
  </si>
  <si>
    <t>89CMAH2022000041R001520230234336</t>
  </si>
  <si>
    <t>89CMAH2022000041R001520230234448</t>
  </si>
  <si>
    <t>89CMAH2022000041R001520230234603</t>
  </si>
  <si>
    <t>89CMAH2022000041R001520230234665</t>
  </si>
  <si>
    <t>89CMAH2022000041R001520230289492</t>
  </si>
  <si>
    <t>89CMAH2022000041R001520230289493</t>
  </si>
  <si>
    <t>89CMAH2022000041R001520230289505</t>
  </si>
  <si>
    <t>89CMAH2022000041R001520230289509</t>
  </si>
  <si>
    <t>89CMAH2022000041R001520230289537</t>
  </si>
  <si>
    <t>89CMAH2022000041R001520230289548</t>
  </si>
  <si>
    <t>89CMAH2022000041R001520230289616</t>
  </si>
  <si>
    <t>89CMAH2022000041R001520230289662</t>
  </si>
  <si>
    <t>89CMAH2022000041R001520230289954</t>
  </si>
  <si>
    <t>89CMAH2022000041R001520230290013</t>
  </si>
  <si>
    <t>89CMAH2022000041R001520230290112</t>
  </si>
  <si>
    <t>89CMAH2022000041R001520230290153</t>
  </si>
  <si>
    <t>89CMAH2022000041R001520230290158</t>
  </si>
  <si>
    <t>89CMAH2022000041R001520230290437</t>
  </si>
  <si>
    <t>89CMAH2022000041R001520230290460</t>
  </si>
  <si>
    <t>89CMAH2022000041R001520230290467</t>
  </si>
  <si>
    <t>89CMAH2022000041R001520230290482</t>
  </si>
  <si>
    <t>89CMAH2022000041R001520230290495</t>
  </si>
  <si>
    <t>89CMAH2022000041R001520230290570</t>
  </si>
  <si>
    <t>89CMAH2022000041R001520230290576</t>
  </si>
  <si>
    <t>89CMAH2022000041R001520230290647</t>
  </si>
  <si>
    <t>89CMAH2022000041R001520230290893</t>
  </si>
  <si>
    <t>89CMAH2022000041R001520230290929</t>
  </si>
  <si>
    <t>SNCN00000107</t>
  </si>
  <si>
    <t>SNCN00000211</t>
  </si>
  <si>
    <t>SNCN00000501</t>
  </si>
  <si>
    <t>SNCN00000613</t>
  </si>
  <si>
    <t>SNCN00000662</t>
  </si>
  <si>
    <t>SNCN00000747</t>
  </si>
  <si>
    <t>SNCN00000771</t>
  </si>
  <si>
    <t>31CMAH0000000000R962304820306090</t>
  </si>
  <si>
    <t>31CMAH0000000000R962304820307850</t>
  </si>
  <si>
    <t>31CMAH0000000000R962304870356900</t>
  </si>
  <si>
    <t>31CMAHenergyS1xS2OVER2ENFSMERT0G</t>
  </si>
  <si>
    <t>82000000000119708000450000423452</t>
  </si>
  <si>
    <t>82000000005045211000510000512979</t>
  </si>
  <si>
    <t>82000000007002734000200000542150</t>
  </si>
  <si>
    <t>82000000007003285000200000830802</t>
  </si>
  <si>
    <t>82000000007009118000200000662058</t>
  </si>
  <si>
    <t>82000000007009811000200000654207</t>
  </si>
  <si>
    <t>82000000007011272000200000680260</t>
  </si>
  <si>
    <t>82000000007015909000200000647104</t>
  </si>
  <si>
    <t>89CMAH2022000041R001520220603380</t>
  </si>
  <si>
    <t>89CMAH2022000041R001520230039451</t>
  </si>
  <si>
    <t>89CMAH2022000041R001520230040009</t>
  </si>
  <si>
    <t>89CMAH2022000041R001520230086028</t>
  </si>
  <si>
    <t>89CMAH2022000041R001520230086133</t>
  </si>
  <si>
    <t>89CMAH2022000041R001520230144759</t>
  </si>
  <si>
    <t>89CMAH2022000041R001520230144815</t>
  </si>
  <si>
    <t>89CMAH2022000041R001520230177926</t>
  </si>
  <si>
    <t>89CMAH2022000041R001520230178069</t>
  </si>
  <si>
    <t>89CMAH2022000041R001520230233967</t>
  </si>
  <si>
    <t>89CMAH2022000041R001520230233981</t>
  </si>
  <si>
    <t>89CMAH2022000041R001520230234023</t>
  </si>
  <si>
    <t>89CMAH2022000041R001520230234105</t>
  </si>
  <si>
    <t>89CMAH2022000041R001520230234247</t>
  </si>
  <si>
    <t>89CMAH2022000041R001520230234296</t>
  </si>
  <si>
    <t>89CMAH2022000041R001520230234353</t>
  </si>
  <si>
    <t>89CMAH2022000041R001520230234394</t>
  </si>
  <si>
    <t>89CMAH2022000041R001520230234542</t>
  </si>
  <si>
    <t>89CMAH2022000041R001520230234691</t>
  </si>
  <si>
    <t>89CMAH2022000041R001520230289289</t>
  </si>
  <si>
    <t>89CMAH2022000041R001520230289553</t>
  </si>
  <si>
    <t>89CMAH2022000041R001520230289651</t>
  </si>
  <si>
    <t>89CMAH2022000041R001520230289656</t>
  </si>
  <si>
    <t>89CMAH2022000041R001520230289773</t>
  </si>
  <si>
    <t>89CMAH2022000041R001520230289834</t>
  </si>
  <si>
    <t>89CMAH2022000041R001520230289865</t>
  </si>
  <si>
    <t>89CMAH2022000041R001520230289882</t>
  </si>
  <si>
    <t>89CMAH2022000041R001520230289888</t>
  </si>
  <si>
    <t>89CMAH2022000041R001520230289898</t>
  </si>
  <si>
    <t>89CMAH2022000041R001520230289926</t>
  </si>
  <si>
    <t>89CMAH2022000041R001520230289975</t>
  </si>
  <si>
    <t>89CMAH2022000041R001520230290004</t>
  </si>
  <si>
    <t>89CMAH2022000041R001520230290050</t>
  </si>
  <si>
    <t>89CMAH2022000041R001520230290051</t>
  </si>
  <si>
    <t>89CMAH2022000041R001520230290232</t>
  </si>
  <si>
    <t>89CMAH2022000041R001520230290269</t>
  </si>
  <si>
    <t>89CMAH2022000041R001520230290291</t>
  </si>
  <si>
    <t>89CMAH2022000041R001520230290350</t>
  </si>
  <si>
    <t>89CMAH2022000041R001520230290435</t>
  </si>
  <si>
    <t>89CMAH2022000041R001520230290440</t>
  </si>
  <si>
    <t>89CMAH2022000041R001520230290448</t>
  </si>
  <si>
    <t>89CMAH2022000041R001520230290464</t>
  </si>
  <si>
    <t>89CMAH2022000041R001520230290468</t>
  </si>
  <si>
    <t>89CMAH2022000041R001520230290473</t>
  </si>
  <si>
    <t>89CMAH2022000041R001520230290676</t>
  </si>
  <si>
    <t>89CMAH2022000041R001520230290711</t>
  </si>
  <si>
    <t>89CMAH2022000041R001520230290777</t>
  </si>
  <si>
    <t>89CMAH2022000041R001520230290838</t>
  </si>
  <si>
    <t>89CMAH2022000041R001520230290849</t>
  </si>
  <si>
    <t>89CMAH2022000041R001520230290898</t>
  </si>
  <si>
    <t>89CMAH2022000041R001520230290903</t>
  </si>
  <si>
    <t>SNCN00000106</t>
  </si>
  <si>
    <t>SNCN00000143</t>
  </si>
  <si>
    <t>SNCN00000243</t>
  </si>
  <si>
    <t>SNCN00000295</t>
  </si>
  <si>
    <t>SNCN00000302</t>
  </si>
  <si>
    <t>SNCN00000343</t>
  </si>
  <si>
    <t>SNCN00000599</t>
  </si>
  <si>
    <t>SNCN00000601</t>
  </si>
  <si>
    <t>SNCN00000887</t>
  </si>
  <si>
    <t>31CMAH0000000000R362304820777020</t>
  </si>
  <si>
    <t>31CMAH0000000000R962304820311230</t>
  </si>
  <si>
    <t>31CMAH0000000000R962304820340420</t>
  </si>
  <si>
    <t>31CMAH0000000000R962304820402580</t>
  </si>
  <si>
    <t>31CMAH0000000000R962304870364230</t>
  </si>
  <si>
    <t>31CMAH0000000000R262304820023840</t>
  </si>
  <si>
    <t>31CMAH0000000000R262304840022960</t>
  </si>
  <si>
    <t>31CMAH0000000000R962304820272570</t>
  </si>
  <si>
    <t>31CMAH0000000000R962304880000820</t>
  </si>
  <si>
    <t>31CMAH0000000000RAPL376419330000</t>
  </si>
  <si>
    <t>31CMAH0034217800R000000000000000</t>
  </si>
  <si>
    <t>82000000000136140000450000506204</t>
  </si>
  <si>
    <t>82000000005034180000510000504892</t>
  </si>
  <si>
    <t>82000000007001568000200000643817</t>
  </si>
  <si>
    <t>82000000007004369000200000647094</t>
  </si>
  <si>
    <t>82000000007008534000200000515469</t>
  </si>
  <si>
    <t>82000000007011752000200000679815</t>
  </si>
  <si>
    <t>31CMAH0000000000R162304880071770</t>
  </si>
  <si>
    <t>31CMAH0000000000R599904815306920</t>
  </si>
  <si>
    <t>31CMAH0000000000R962304820132350</t>
  </si>
  <si>
    <t>31CMAH0000000000R962304820139030</t>
  </si>
  <si>
    <t>31CMAH0000000000R962304820345610</t>
  </si>
  <si>
    <t>31CMAH0000000000R962304820395570</t>
  </si>
  <si>
    <t>31CMAH0000000000R262304820027080</t>
  </si>
  <si>
    <t>31CMAH0000000000R362304820798420</t>
  </si>
  <si>
    <t>31CMAH0000000000R962304820179730</t>
  </si>
  <si>
    <t>31CMAH0000000000R962304820340130</t>
  </si>
  <si>
    <t>31CMAH0000000000R962304830371210</t>
  </si>
  <si>
    <t>31CMAH0000000000R962304870352020</t>
  </si>
  <si>
    <t>31CMAH0000580004RPTGMMBOM0001000</t>
  </si>
  <si>
    <t>82000000007000024000200000642158</t>
  </si>
  <si>
    <t>82000000007001261000200000643641</t>
  </si>
  <si>
    <t>82000000007004323000200000647139</t>
  </si>
  <si>
    <t>82000000007004797000200000647783</t>
  </si>
  <si>
    <t>82000000007001734000200000643976</t>
  </si>
  <si>
    <t>82000000007003918000200000646649</t>
  </si>
  <si>
    <t>82000000007004246000200000647123</t>
  </si>
  <si>
    <t>82000000007004793000200000647759</t>
  </si>
  <si>
    <t>82000000007006401000200000647515</t>
  </si>
  <si>
    <t>82000000007014269000200000701397</t>
  </si>
  <si>
    <t>82000000007000986000200000643410</t>
  </si>
  <si>
    <t>82000000007004115000200000646757</t>
  </si>
  <si>
    <t>82000000007004184000200000647068</t>
  </si>
  <si>
    <t>82000000007012769000200000685084</t>
  </si>
  <si>
    <t>89CMAH2022000041R001520230085846</t>
  </si>
  <si>
    <t>89CMAH2022000041R001520230144823</t>
  </si>
  <si>
    <t>89CMAH2022000041R001520230144925</t>
  </si>
  <si>
    <t>89CMAH2022000041R001520230177916</t>
  </si>
  <si>
    <t>89CMAH2022000041R001520230177924</t>
  </si>
  <si>
    <t>89CMAH2022000041R001520230178337</t>
  </si>
  <si>
    <t>89CMAH2022000041R001520230234029</t>
  </si>
  <si>
    <t>89CMAH2022000041R001520230234070</t>
  </si>
  <si>
    <t>89CMAH2022000041R001520230234090</t>
  </si>
  <si>
    <t>89CMAH2022000041R001520230234316</t>
  </si>
  <si>
    <t>89CMAH2022000041R001520230234375</t>
  </si>
  <si>
    <t>89CMAH2022000041R001520230234383</t>
  </si>
  <si>
    <t>89CMAH2022000041R001520230234518</t>
  </si>
  <si>
    <t>89CMAH2022000041R001520230234529</t>
  </si>
  <si>
    <t>89CMAH2022000041R001520230234654</t>
  </si>
  <si>
    <t>89CMAH2022000041R001520230234715</t>
  </si>
  <si>
    <t>89CMAH2022000041R001520230289349</t>
  </si>
  <si>
    <t>89CMAH2022000041R001520230289356</t>
  </si>
  <si>
    <t>89CMAH2022000041R001520230289364</t>
  </si>
  <si>
    <t>89CMAH2022000041R001520230289449</t>
  </si>
  <si>
    <t>89CMAH2022000041R001520230289465</t>
  </si>
  <si>
    <t>89CMAH2022000041R001520230289487</t>
  </si>
  <si>
    <t>89CMAH2022000041R001520230289518</t>
  </si>
  <si>
    <t>89CMAH2022000041R001520230289547</t>
  </si>
  <si>
    <t>89CMAH2022000041R001520230289596</t>
  </si>
  <si>
    <t>89CMAH2022000041R001520230289610</t>
  </si>
  <si>
    <t>89CMAH2022000041R001520230289626</t>
  </si>
  <si>
    <t>89CMAH2022000041R001520230289678</t>
  </si>
  <si>
    <t>89CMAH2022000041R001520230289700</t>
  </si>
  <si>
    <t>89CMAH2022000041R001520230289710</t>
  </si>
  <si>
    <t>89CMAH2022000041R001520230289748</t>
  </si>
  <si>
    <t>89CMAH2022000041R001520230289797</t>
  </si>
  <si>
    <t>89CMAH2022000041R001520230289890</t>
  </si>
  <si>
    <t>89CMAH2022000041R001520230290092</t>
  </si>
  <si>
    <t>89CMAH2022000041R001520230290178</t>
  </si>
  <si>
    <t>89CMAH2022000041R001520230290204</t>
  </si>
  <si>
    <t>89CMAH2022000041R001520230290242</t>
  </si>
  <si>
    <t>89CMAH2022000041R001520230290355</t>
  </si>
  <si>
    <t>89CMAH2022000041R001520230290457</t>
  </si>
  <si>
    <t>89CMAH2022000041R001520230290484</t>
  </si>
  <si>
    <t>89CMAH2022000041R001520230290502</t>
  </si>
  <si>
    <t>89CMAH2022000041R001520230290515</t>
  </si>
  <si>
    <t>89CMAH2022000041R001520230290535</t>
  </si>
  <si>
    <t>89CMAH2022000041R001520230290550</t>
  </si>
  <si>
    <t>89CMAH2022000041R001520230290609</t>
  </si>
  <si>
    <t>89CMAH2022000041R001520230290638</t>
  </si>
  <si>
    <t>89CMAH2022000041R001520230290741</t>
  </si>
  <si>
    <t>89CMAH2022000041R001520230290789</t>
  </si>
  <si>
    <t>89CMAH2022000041R001520230290832</t>
  </si>
  <si>
    <t>89CMAH2022000041R001520230290874</t>
  </si>
  <si>
    <t>89CMAH2022000041R001520230290889</t>
  </si>
  <si>
    <t>SNCN00000178</t>
  </si>
  <si>
    <t>SNCN00000233</t>
  </si>
  <si>
    <t>SNCN00000275</t>
  </si>
  <si>
    <t>SNCN00000376</t>
  </si>
  <si>
    <t>SNCN00000524</t>
  </si>
  <si>
    <t>SNCN00000529</t>
  </si>
  <si>
    <t>SNCN00000849</t>
  </si>
  <si>
    <t>SNCN00000889</t>
  </si>
  <si>
    <t>SNCN00000971</t>
  </si>
  <si>
    <t>89CMAH2022000041R001520220602691</t>
  </si>
  <si>
    <t>89CMAH2022000041R001520230085500</t>
  </si>
  <si>
    <t>89CMAH2022000041R001520230085686</t>
  </si>
  <si>
    <t>89CMAH2022000041R001520230144742</t>
  </si>
  <si>
    <t>89CMAH2022000041R001520230144851</t>
  </si>
  <si>
    <t>89CMAH2022000041R001520230144898</t>
  </si>
  <si>
    <t>89CMAH2022000041R001520230177965</t>
  </si>
  <si>
    <t>89CMAH2022000041R001520230178041</t>
  </si>
  <si>
    <t>89CMAH2022000041R001520230178115</t>
  </si>
  <si>
    <t>89CMAH2022000041R001520230178118</t>
  </si>
  <si>
    <t>89CMAH2022000041R001520230178134</t>
  </si>
  <si>
    <t>89CMAH2022000041R001520230234286</t>
  </si>
  <si>
    <t>89CMAH2022000041R001520230234330</t>
  </si>
  <si>
    <t>89CMAH2022000041R001520230234456</t>
  </si>
  <si>
    <t>89CMAH2022000041R001520230234476</t>
  </si>
  <si>
    <t>89CMAH2022000041R001520230234733</t>
  </si>
  <si>
    <t>89CMAH2022000041R001520230234742</t>
  </si>
  <si>
    <t>89CMAH2022000041R001520230289275</t>
  </si>
  <si>
    <t>89CMAH2022000041R001520230289398</t>
  </si>
  <si>
    <t>89CMAH2022000041R001520230289423</t>
  </si>
  <si>
    <t>89CMAH2022000041R001520230289501</t>
  </si>
  <si>
    <t>89CMAH2022000041R001520230289581</t>
  </si>
  <si>
    <t>89CMAH2022000041R001520230289715</t>
  </si>
  <si>
    <t>89CMAH2022000041R001520230289740</t>
  </si>
  <si>
    <t>89CMAH2022000041R001520230289798</t>
  </si>
  <si>
    <t>89CMAH2022000041R001520230289811</t>
  </si>
  <si>
    <t>89CMAH2022000041R001520230289909</t>
  </si>
  <si>
    <t>89CMAH2022000041R001520230289930</t>
  </si>
  <si>
    <t>89CMAH2022000041R001520230289973</t>
  </si>
  <si>
    <t>89CMAH2022000041R001520230289996</t>
  </si>
  <si>
    <t>89CMAH2022000041R001520230290047</t>
  </si>
  <si>
    <t>89CMAH2022000041R001520230290080</t>
  </si>
  <si>
    <t>89CMAH2022000041R001520230290172</t>
  </si>
  <si>
    <t>89CMAH2022000041R001520230290186</t>
  </si>
  <si>
    <t>89CMAH2022000041R001520230290254</t>
  </si>
  <si>
    <t>89CMAH2022000041R001520230290323</t>
  </si>
  <si>
    <t>89CMAH2022000041R001520230290330</t>
  </si>
  <si>
    <t>89CMAH2022000041R001520230290338</t>
  </si>
  <si>
    <t>89CMAH2022000041R001520230290349</t>
  </si>
  <si>
    <t>89CMAH2022000041R001520230290367</t>
  </si>
  <si>
    <t>89CMAH2022000041R001520230290405</t>
  </si>
  <si>
    <t>89CMAH2022000041R001520230290445</t>
  </si>
  <si>
    <t>89CMAH2022000041R001520230290534</t>
  </si>
  <si>
    <t>89CMAH2022000041R001520230290670</t>
  </si>
  <si>
    <t>89CMAH2022000041R001520230290684</t>
  </si>
  <si>
    <t>89CMAH2022000041R001520230290696</t>
  </si>
  <si>
    <t>89CMAH2022000041R001520230290757</t>
  </si>
  <si>
    <t>89CMAH2022000041R001520230290792</t>
  </si>
  <si>
    <t>89CMAH2022000041R001520230290822</t>
  </si>
  <si>
    <t>89CMAH2022000041R001520230290847</t>
  </si>
  <si>
    <t>SNCN00000052</t>
  </si>
  <si>
    <t>SNCN00000059</t>
  </si>
  <si>
    <t>SNCN00000174</t>
  </si>
  <si>
    <t>SNCN00000352</t>
  </si>
  <si>
    <t>SNCN00000414</t>
  </si>
  <si>
    <t>SNCN00000614</t>
  </si>
  <si>
    <t>SNCN00000927</t>
  </si>
  <si>
    <t>89CMAH2022000041R001520230085463</t>
  </si>
  <si>
    <t>89CMAH2022000041R001520230085867</t>
  </si>
  <si>
    <t>89CMAH2022000041R001520230085896</t>
  </si>
  <si>
    <t>89CMAH2022000041R001520230086007</t>
  </si>
  <si>
    <t>89CMAH2022000041R001520230144562</t>
  </si>
  <si>
    <t>89CMAH2022000041R001520230145025</t>
  </si>
  <si>
    <t>89CMAH2022000041R001520230177967</t>
  </si>
  <si>
    <t>89CMAH2022000041R001520230178005</t>
  </si>
  <si>
    <t>89CMAH2022000041R001520230178181</t>
  </si>
  <si>
    <t>89CMAH2022000041R001520230178592</t>
  </si>
  <si>
    <t>89CMAH2022000041R001520230234091</t>
  </si>
  <si>
    <t>89CMAH2022000041R001520230234099</t>
  </si>
  <si>
    <t>89CMAH2022000041R001520230234201</t>
  </si>
  <si>
    <t>89CMAH2022000041R001520230234380</t>
  </si>
  <si>
    <t>89CMAH2022000041R001520230234460</t>
  </si>
  <si>
    <t>89CMAH2022000041R001520230234539</t>
  </si>
  <si>
    <t>89CMAH2022000041R001520230289352</t>
  </si>
  <si>
    <t>89CMAH2022000041R001520230289362</t>
  </si>
  <si>
    <t>89CMAH2022000041R001520230289488</t>
  </si>
  <si>
    <t>89CMAH2022000041R001520230289514</t>
  </si>
  <si>
    <t>89CMAH2022000041R001520230289573</t>
  </si>
  <si>
    <t>89CMAH2022000041R001520230289579</t>
  </si>
  <si>
    <t>89CMAH2022000041R001520230289594</t>
  </si>
  <si>
    <t>89CMAH2022000041R001520230289611</t>
  </si>
  <si>
    <t>89CMAH2022000041R001520230289612</t>
  </si>
  <si>
    <t>89CMAH2022000041R001520230289630</t>
  </si>
  <si>
    <t>89CMAH2022000041R001520230289640</t>
  </si>
  <si>
    <t>89CMAH2022000041R001520230289729</t>
  </si>
  <si>
    <t>89CMAH2022000041R001520230289792</t>
  </si>
  <si>
    <t>89CMAH2022000041R001520230289793</t>
  </si>
  <si>
    <t>89CMAH2022000041R001520230289813</t>
  </si>
  <si>
    <t>89CMAH2022000041R001520230289878</t>
  </si>
  <si>
    <t>89CMAH2022000041R001520230289945</t>
  </si>
  <si>
    <t>89CMAH2022000041R001520230289947</t>
  </si>
  <si>
    <t>89CMAH2022000041R001520230289962</t>
  </si>
  <si>
    <t>89CMAH2022000041R001520230289972</t>
  </si>
  <si>
    <t>89CMAH2022000041R001520230290020</t>
  </si>
  <si>
    <t>89CMAH2022000041R001520230290082</t>
  </si>
  <si>
    <t>89CMAH2022000041R001520230290109</t>
  </si>
  <si>
    <t>89CMAH2022000041R001520230290159</t>
  </si>
  <si>
    <t>89CMAH2022000041R001520230290173</t>
  </si>
  <si>
    <t>89CMAH2022000041R001520230290206</t>
  </si>
  <si>
    <t>89CMAH2022000041R001520230290220</t>
  </si>
  <si>
    <t>89CMAH2022000041R001520230290274</t>
  </si>
  <si>
    <t>89CMAH2022000041R001520230290278</t>
  </si>
  <si>
    <t>89CMAH2022000041R001520230290292</t>
  </si>
  <si>
    <t>89CMAH2022000041R001520230290309</t>
  </si>
  <si>
    <t>89CMAH2022000041R001520230290427</t>
  </si>
  <si>
    <t>89CMAH2022000041R001520230290439</t>
  </si>
  <si>
    <t>89CMAH2022000041R001520230290499</t>
  </si>
  <si>
    <t>89CMAH2022000041R001520230290572</t>
  </si>
  <si>
    <t>89CMAH2022000041R001520230290643</t>
  </si>
  <si>
    <t>89CMAH2022000041R001520230290758</t>
  </si>
  <si>
    <t>89CMAH2022000041R001520230290917</t>
  </si>
  <si>
    <t>SNCN00000092</t>
  </si>
  <si>
    <t>SNCN00000240</t>
  </si>
  <si>
    <t>SNCN00000392</t>
  </si>
  <si>
    <t>SNCN00000620</t>
  </si>
  <si>
    <t>SNCN00000626</t>
  </si>
  <si>
    <t>SNCN00000877</t>
  </si>
  <si>
    <t>SNCN00000885</t>
  </si>
  <si>
    <t>SNCN00000955</t>
  </si>
  <si>
    <t>SNCN00000958</t>
  </si>
  <si>
    <t>89CMAH2022000041R001520230085786</t>
  </si>
  <si>
    <t>89CMAH2022000041R001520230085947</t>
  </si>
  <si>
    <t>89CMAH2022000041R001520230086173</t>
  </si>
  <si>
    <t>89CMAH2022000041R001520230144909</t>
  </si>
  <si>
    <t>89CMAH2022000041R001520230145037</t>
  </si>
  <si>
    <t>89CMAH2022000041R001520230177951</t>
  </si>
  <si>
    <t>89CMAH2022000041R001520230178003</t>
  </si>
  <si>
    <t>89CMAH2022000041R001520230178092</t>
  </si>
  <si>
    <t>89CMAH2022000041R001520230178246</t>
  </si>
  <si>
    <t>89CMAH2022000041R001520230178296</t>
  </si>
  <si>
    <t>89CMAH2022000041R001520230178641</t>
  </si>
  <si>
    <t>89CMAH2022000041R001520230233985</t>
  </si>
  <si>
    <t>89CMAH2022000041R001520230234139</t>
  </si>
  <si>
    <t>89CMAH2022000041R001520230234153</t>
  </si>
  <si>
    <t>89CMAH2022000041R001520230234246</t>
  </si>
  <si>
    <t>89CMAH2022000041R001520230234275</t>
  </si>
  <si>
    <t>89CMAH2022000041R001520230234357</t>
  </si>
  <si>
    <t>89CMAH2022000041R001520230234368</t>
  </si>
  <si>
    <t>89CMAH2022000041R001520230234458</t>
  </si>
  <si>
    <t>89CMAH2022000041R001520230234634</t>
  </si>
  <si>
    <t>89CMAH2022000041R001520230234731</t>
  </si>
  <si>
    <t>89CMAH2022000041R001520230289277</t>
  </si>
  <si>
    <t>89CMAH2022000041R001520230289295</t>
  </si>
  <si>
    <t>89CMAH2022000041R001520230289402</t>
  </si>
  <si>
    <t>89CMAH2022000041R001520230289412</t>
  </si>
  <si>
    <t>89CMAH2022000041R001520230289422</t>
  </si>
  <si>
    <t>89CMAH2022000041R001520230289446</t>
  </si>
  <si>
    <t>89CMAH2022000041R001520230289477</t>
  </si>
  <si>
    <t>89CMAH2022000041R001520230289540</t>
  </si>
  <si>
    <t>89CMAH2022000041R001520230289578</t>
  </si>
  <si>
    <t>89CMAH2022000041R001520230289720</t>
  </si>
  <si>
    <t>89CMAH2022000041R001520230289912</t>
  </si>
  <si>
    <t>89CMAH2022000041R001520230289933</t>
  </si>
  <si>
    <t>89CMAH2022000041R001520230289983</t>
  </si>
  <si>
    <t>89CMAH2022000041R001520230290035</t>
  </si>
  <si>
    <t>89CMAH2022000041R001520230290106</t>
  </si>
  <si>
    <t>89CMAH2022000041R001520230290115</t>
  </si>
  <si>
    <t>89CMAH2022000041R001520230290150</t>
  </si>
  <si>
    <t>89CMAH2022000041R001520230290215</t>
  </si>
  <si>
    <t>89CMAH2022000041R001520230290272</t>
  </si>
  <si>
    <t>89CMAH2022000041R001520230290357</t>
  </si>
  <si>
    <t>89CMAH2022000041R001520230290374</t>
  </si>
  <si>
    <t>89CMAH2022000041R001520230290553</t>
  </si>
  <si>
    <t>89CMAH2022000041R001520230290592</t>
  </si>
  <si>
    <t>89CMAH2022000041R001520230290645</t>
  </si>
  <si>
    <t>89CMAH2022000041R001520230290658</t>
  </si>
  <si>
    <t>89CMAH2022000041R001520230290733</t>
  </si>
  <si>
    <t>89CMAH2022000041R001520230290878</t>
  </si>
  <si>
    <t>89CMAH2022000041R001520230290894</t>
  </si>
  <si>
    <t>SNCN00000185</t>
  </si>
  <si>
    <t>SNCN00000278</t>
  </si>
  <si>
    <t>SNCN00000327</t>
  </si>
  <si>
    <t>SNCN00000435</t>
  </si>
  <si>
    <t>SNCN00000727</t>
  </si>
  <si>
    <t>SNCN00000209</t>
  </si>
  <si>
    <t>SNCN00000428</t>
  </si>
  <si>
    <t>SNCN00000668</t>
  </si>
  <si>
    <t>SNCN00000629</t>
  </si>
  <si>
    <t>SNCN00000520</t>
  </si>
  <si>
    <t>31000010884341149000000000000000</t>
  </si>
  <si>
    <t>31000310568959090069674420100000</t>
  </si>
  <si>
    <t>31000310473499090069673790100000</t>
  </si>
  <si>
    <t>31000310454895090069674350100000</t>
  </si>
  <si>
    <t>31CMAH0000000000R262304820011790</t>
  </si>
  <si>
    <t>31CMAH0000000000R262304880020300</t>
  </si>
  <si>
    <t>31CMAH0000000000R962304820211210</t>
  </si>
  <si>
    <t>31CMAH0000000000R962304820311040</t>
  </si>
  <si>
    <t>31CMAH0000000000R962304830389610</t>
  </si>
  <si>
    <t>31CMAH0000000000R962304880395500</t>
  </si>
  <si>
    <t>31CMAHenergyS1xS2OVER2ENFGDRST0A</t>
  </si>
  <si>
    <t>82000000000121090000450000416648</t>
  </si>
  <si>
    <t>82000000000121529000420000424412</t>
  </si>
  <si>
    <t>82000000000136141000450000506204</t>
  </si>
  <si>
    <t>31CMAH0000000000R362304820801370</t>
  </si>
  <si>
    <t>31CMAH0000000000R362304820812140</t>
  </si>
  <si>
    <t>31CMAH0000000000R962304820131600</t>
  </si>
  <si>
    <t>31CMAH0000000000R962304820246870</t>
  </si>
  <si>
    <t>31CMAH4758980902R000000000000000</t>
  </si>
  <si>
    <t>31CMAHenergyS1xS2OVER2ENFSMERT0F</t>
  </si>
  <si>
    <t>31CMAHenergyS1xS2OVER2ENFSMERT0H</t>
  </si>
  <si>
    <t>82000000000135441000420000424268</t>
  </si>
  <si>
    <t>82000000007001518000200000643769</t>
  </si>
  <si>
    <t>82000000007010505000200000677308</t>
  </si>
  <si>
    <t>82000000007012392000200000680556</t>
  </si>
  <si>
    <t>82000000007018455000200000636451</t>
  </si>
  <si>
    <t>82000000007003955000200000646814</t>
  </si>
  <si>
    <t>82000000007013273000200000690046</t>
  </si>
  <si>
    <t>89CMAH2022000041R001520230039969</t>
  </si>
  <si>
    <t>89CMAH2022000041R001520230144544</t>
  </si>
  <si>
    <t>89CMAH2022000041R001520230144638</t>
  </si>
  <si>
    <t>89CMAH2022000041R001520230144705</t>
  </si>
  <si>
    <t>89CMAH2022000041R001520230144915</t>
  </si>
  <si>
    <t>89CMAH2022000041R001520230177909</t>
  </si>
  <si>
    <t>89CMAH2022000041R001520230178582</t>
  </si>
  <si>
    <t>89CMAH2022000041R001520230234019</t>
  </si>
  <si>
    <t>89CMAH2022000041R001520230234127</t>
  </si>
  <si>
    <t>89CMAH2022000041R001520230234143</t>
  </si>
  <si>
    <t>89CMAH2022000041R001520230234241</t>
  </si>
  <si>
    <t>89CMAH2022000041R001520230234320</t>
  </si>
  <si>
    <t>89CMAH2022000041R001520230234344</t>
  </si>
  <si>
    <t>89CMAH2022000041R001520230234363</t>
  </si>
  <si>
    <t>89CMAH2022000041R001520230234369</t>
  </si>
  <si>
    <t>89CMAH2022000041R001520230234516</t>
  </si>
  <si>
    <t>89CMAH2022000041R001520230289276</t>
  </si>
  <si>
    <t>89CMAH2022000041R001520230289397</t>
  </si>
  <si>
    <t>89CMAH2022000041R001520230289457</t>
  </si>
  <si>
    <t>89CMAH2022000041R001520230289458</t>
  </si>
  <si>
    <t>89CMAH2022000041R001520230289472</t>
  </si>
  <si>
    <t>89CMAH2022000041R001520230289491</t>
  </si>
  <si>
    <t>89CMAH2022000041R001520230289536</t>
  </si>
  <si>
    <t>89CMAH2022000041R001520230289550</t>
  </si>
  <si>
    <t>89CMAH2022000041R001520230289691</t>
  </si>
  <si>
    <t>89CMAH2022000041R001520230289732</t>
  </si>
  <si>
    <t>89CMAH2022000041R001520230289751</t>
  </si>
  <si>
    <t>89CMAH2022000041R001520230289782</t>
  </si>
  <si>
    <t>89CMAH2022000041R001520230289785</t>
  </si>
  <si>
    <t>89CMAH2022000041R001520230289918</t>
  </si>
  <si>
    <t>89CMAH2022000041R001520230289937</t>
  </si>
  <si>
    <t>89CMAH2022000041R001520230289951</t>
  </si>
  <si>
    <t>89CMAH2022000041R001520230289966</t>
  </si>
  <si>
    <t>89CMAH2022000041R001520230289984</t>
  </si>
  <si>
    <t>89CMAH2022000041R001520230290024</t>
  </si>
  <si>
    <t>89CMAH2022000041R001520230290259</t>
  </si>
  <si>
    <t>89CMAH2022000041R001520230290281</t>
  </si>
  <si>
    <t>89CMAH2022000041R001520230290327</t>
  </si>
  <si>
    <t>89CMAH2022000041R001520230290342</t>
  </si>
  <si>
    <t>89CMAH2022000041R001520230290368</t>
  </si>
  <si>
    <t>89CMAH2022000041R001520230290376</t>
  </si>
  <si>
    <t>89CMAH2022000041R001520230290386</t>
  </si>
  <si>
    <t>89CMAH2022000041R001520230290412</t>
  </si>
  <si>
    <t>89CMAH2022000041R001520230290422</t>
  </si>
  <si>
    <t>89CMAH2022000041R001520230290510</t>
  </si>
  <si>
    <t>89CMAH2022000041R001520230290523</t>
  </si>
  <si>
    <t>89CMAH2022000041R001520230290597</t>
  </si>
  <si>
    <t>89CMAH2022000041R001520230290606</t>
  </si>
  <si>
    <t>89CMAH2022000041R001520230290640</t>
  </si>
  <si>
    <t>89CMAH2022000041R001520230290642</t>
  </si>
  <si>
    <t>89CMAH2022000041R001520230290659</t>
  </si>
  <si>
    <t>89CMAH2022000041R001520230290749</t>
  </si>
  <si>
    <t>89CMAH2022000041R001520230290877</t>
  </si>
  <si>
    <t>89CMAH2022000041R001520230290885</t>
  </si>
  <si>
    <t>SNCN00000026</t>
  </si>
  <si>
    <t>SNCN00000110</t>
  </si>
  <si>
    <t>SNCN00000198</t>
  </si>
  <si>
    <t>SNCN00000274</t>
  </si>
  <si>
    <t>SNCN00000304</t>
  </si>
  <si>
    <t>SNCN00000493</t>
  </si>
  <si>
    <t>SNCN00000525</t>
  </si>
  <si>
    <t>SNCN00000550</t>
  </si>
  <si>
    <t>SNCN00000593</t>
  </si>
  <si>
    <t>82000020230000046001520230268987</t>
  </si>
  <si>
    <t>89CMAH2022000041R001520230177925</t>
  </si>
  <si>
    <t>89CMAH2022000041R001520230177984</t>
  </si>
  <si>
    <t>89CMAH2022000041R001520230178062</t>
  </si>
  <si>
    <t>89CMAH2022000041R001520230178105</t>
  </si>
  <si>
    <t>89CMAH2022000041R001520230178353</t>
  </si>
  <si>
    <t>89CMAH2022000041R001520230234037</t>
  </si>
  <si>
    <t>89CMAH2022000041R001520230234053</t>
  </si>
  <si>
    <t>89CMAH2022000041R001520230234065</t>
  </si>
  <si>
    <t>89CMAH2022000041R001520230234165</t>
  </si>
  <si>
    <t>89CMAH2022000041R001520230234173</t>
  </si>
  <si>
    <t>89CMAH2022000041R001520230234256</t>
  </si>
  <si>
    <t>89CMAH2022000041R001520230234263</t>
  </si>
  <si>
    <t>89CMAH2022000041R001520230234284</t>
  </si>
  <si>
    <t>89CMAH2022000041R001520230234294</t>
  </si>
  <si>
    <t>89CMAH2022000041R001520230234391</t>
  </si>
  <si>
    <t>89CMAH2022000041R001520230234596</t>
  </si>
  <si>
    <t>89CMAH2022000041R001520230234661</t>
  </si>
  <si>
    <t>89CMAH2022000041R001520230289296</t>
  </si>
  <si>
    <t>89CMAH2022000041R001520230289331</t>
  </si>
  <si>
    <t>89CMAH2022000041R001520230289338</t>
  </si>
  <si>
    <t>89CMAH2022000041R001520230289443</t>
  </si>
  <si>
    <t>89CMAH2022000041R001520230289511</t>
  </si>
  <si>
    <t>89CMAH2022000041R001520230289599</t>
  </si>
  <si>
    <t>89CMAH2022000041R001520230289606</t>
  </si>
  <si>
    <t>89CMAH2022000041R001520230289683</t>
  </si>
  <si>
    <t>89CMAH2022000041R001520230289717</t>
  </si>
  <si>
    <t>89CMAH2022000041R001520230289775</t>
  </si>
  <si>
    <t>89CMAH2022000041R001520230289858</t>
  </si>
  <si>
    <t>89CMAH2022000041R001520230289859</t>
  </si>
  <si>
    <t>89CMAH2022000041R001520230290123</t>
  </si>
  <si>
    <t>89CMAH2022000041R001520230290256</t>
  </si>
  <si>
    <t>89CMAH2022000041R001520230290275</t>
  </si>
  <si>
    <t>89CMAH2022000041R001520230290312</t>
  </si>
  <si>
    <t>89CMAH2022000041R001520230290331</t>
  </si>
  <si>
    <t>89CMAH2022000041R001520230290475</t>
  </si>
  <si>
    <t>89CMAH2022000041R001520230290490</t>
  </si>
  <si>
    <t>89CMAH2022000041R001520230290503</t>
  </si>
  <si>
    <t>89CMAH2022000041R001520230290512</t>
  </si>
  <si>
    <t>89CMAH2022000041R001520230290517</t>
  </si>
  <si>
    <t>89CMAH2022000041R001520230290571</t>
  </si>
  <si>
    <t>89CMAH2022000041R001520230290678</t>
  </si>
  <si>
    <t>89CMAH2022000041R001520230290760</t>
  </si>
  <si>
    <t>89CMAH2022000041R001520230290770</t>
  </si>
  <si>
    <t>89CMAH2022000041R001520230290817</t>
  </si>
  <si>
    <t>89CMAH2022000041R001520230290823</t>
  </si>
  <si>
    <t>89CMAH2022000041R001520230290861</t>
  </si>
  <si>
    <t>89CMAH2022000041R001520230290863</t>
  </si>
  <si>
    <t>SNCN00000072</t>
  </si>
  <si>
    <t>SNCN00000074</t>
  </si>
  <si>
    <t>SNCN00000128</t>
  </si>
  <si>
    <t>SNCN00000279</t>
  </si>
  <si>
    <t>SNCN00000316</t>
  </si>
  <si>
    <t>SNCN00000349</t>
  </si>
  <si>
    <t>SNCN00000390</t>
  </si>
  <si>
    <t>SNCN00000445</t>
  </si>
  <si>
    <t>SNCN00000482</t>
  </si>
  <si>
    <t>SNCN00000498</t>
  </si>
  <si>
    <t>SNCN00000541</t>
  </si>
  <si>
    <t>SNCN00000932</t>
  </si>
  <si>
    <t>SNCN00000959</t>
  </si>
  <si>
    <t>SNCN00000974</t>
  </si>
  <si>
    <t>31CMAH0000000000R162304820739370</t>
  </si>
  <si>
    <t>31CMAH0000000000R262304820008010</t>
  </si>
  <si>
    <t>31CMAH0000000000R599904815307640</t>
  </si>
  <si>
    <t>31CMAH0000000000R599904836417420</t>
  </si>
  <si>
    <t>31CMAH0000000000R962304820028010</t>
  </si>
  <si>
    <t>31CMAH0000000000R962304820382310</t>
  </si>
  <si>
    <t>31CMAHprovecono03PROV3ENFSMERT0G</t>
  </si>
  <si>
    <t>82000000005036118000510000724633</t>
  </si>
  <si>
    <t>82000000007001012000200000643436</t>
  </si>
  <si>
    <t>82000000007003410000200000646064</t>
  </si>
  <si>
    <t>82000000007007288000200000652705</t>
  </si>
  <si>
    <t>82000000007009679000200000668903</t>
  </si>
  <si>
    <t>82000000007018457000200000636451</t>
  </si>
  <si>
    <t>89CMAH2022000041R001520230086078</t>
  </si>
  <si>
    <t>89CMAH2022000041R001520230178059</t>
  </si>
  <si>
    <t>89CMAH2022000041R001520230178075</t>
  </si>
  <si>
    <t>89CMAH2022000041R001520230178130</t>
  </si>
  <si>
    <t>89CMAH2022000041R001520230178247</t>
  </si>
  <si>
    <t>89CMAH2022000041R001520230178264</t>
  </si>
  <si>
    <t>89CMAH2022000041R001520230178289</t>
  </si>
  <si>
    <t>89CMAH2022000041R001520230178617</t>
  </si>
  <si>
    <t>89CMAH2022000041R001520230178633</t>
  </si>
  <si>
    <t>89CMAH2022000041R001520230233971</t>
  </si>
  <si>
    <t>89CMAH2022000041R001520230234020</t>
  </si>
  <si>
    <t>89CMAH2022000041R001520230234179</t>
  </si>
  <si>
    <t>89CMAH2022000041R001520230234202</t>
  </si>
  <si>
    <t>89CMAH2022000041R001520230234287</t>
  </si>
  <si>
    <t>89CMAH2022000041R001520230234428</t>
  </si>
  <si>
    <t>89CMAH2022000041R001520230234461</t>
  </si>
  <si>
    <t>89CMAH2022000041R001520230234499</t>
  </si>
  <si>
    <t>89CMAH2022000041R001520230234624</t>
  </si>
  <si>
    <t>89CMAH2022000041R001520230234694</t>
  </si>
  <si>
    <t>89CMAH2022000041R001520230234747</t>
  </si>
  <si>
    <t>89CMAH2022000041R001520230289359</t>
  </si>
  <si>
    <t>89CMAH2022000041R001520230289450</t>
  </si>
  <si>
    <t>89CMAH2022000041R001520230289462</t>
  </si>
  <si>
    <t>89CMAH2022000041R001520230289529</t>
  </si>
  <si>
    <t>89CMAH2022000041R001520230289589</t>
  </si>
  <si>
    <t>89CMAH2022000041R001520230289650</t>
  </si>
  <si>
    <t>89CMAH2022000041R001520230289698</t>
  </si>
  <si>
    <t>89CMAH2022000041R001520230289725</t>
  </si>
  <si>
    <t>89CMAH2022000041R001520230289745</t>
  </si>
  <si>
    <t>89CMAH2022000041R001520230289765</t>
  </si>
  <si>
    <t>89CMAH2022000041R001520230289934</t>
  </si>
  <si>
    <t>89CMAH2022000041R001520230290182</t>
  </si>
  <si>
    <t>89CMAH2022000041R001520230290212</t>
  </si>
  <si>
    <t>89CMAH2022000041R001520230290233</t>
  </si>
  <si>
    <t>89CMAH2022000041R001520230290241</t>
  </si>
  <si>
    <t>89CMAH2022000041R001520230290247</t>
  </si>
  <si>
    <t>89CMAH2022000041R001520230290270</t>
  </si>
  <si>
    <t>89CMAH2022000041R001520230290580</t>
  </si>
  <si>
    <t>89CMAH2022000041R001520230290586</t>
  </si>
  <si>
    <t>89CMAH2022000041R001520230290660</t>
  </si>
  <si>
    <t>89CMAH2022000041R001520230290672</t>
  </si>
  <si>
    <t>89CMAH2022000041R001520230290738</t>
  </si>
  <si>
    <t>89CMAH2022000041R001520230290778</t>
  </si>
  <si>
    <t>89CMAH2022000041R001520230290884</t>
  </si>
  <si>
    <t>SNCN00000048</t>
  </si>
  <si>
    <t>SNCN00000133</t>
  </si>
  <si>
    <t>SNCN00000286</t>
  </si>
  <si>
    <t>SNCN00000476</t>
  </si>
  <si>
    <t>SNCN00000496</t>
  </si>
  <si>
    <t>SNCN00000398</t>
  </si>
  <si>
    <t>31000050265187029000000000000000</t>
  </si>
  <si>
    <t>31000302263324096000000000000000</t>
  </si>
  <si>
    <t>31000304183512096000000000000000</t>
  </si>
  <si>
    <t>31000310520059090069674240100000</t>
  </si>
  <si>
    <t>31000310560774090069674360100000</t>
  </si>
  <si>
    <t>31000310359953090069674190100000</t>
  </si>
  <si>
    <t>31000310563836090069673190100000</t>
  </si>
  <si>
    <t>31000010600501149000000000000000</t>
  </si>
  <si>
    <t>31000310542046090069674390100000</t>
  </si>
  <si>
    <t>31000311650281029116502810290000</t>
  </si>
  <si>
    <t>31CMAH0000000000R362304820864440</t>
  </si>
  <si>
    <t>31CMAH0000000000R362304820908010</t>
  </si>
  <si>
    <t>31CMAH0000000000R962304820229380</t>
  </si>
  <si>
    <t>31CMAH0000000000R962304820280090</t>
  </si>
  <si>
    <t>31CMAH0000000000R962304820309020</t>
  </si>
  <si>
    <t>31CMAH0000000000R962304820340060</t>
  </si>
  <si>
    <t>31CMAH0000000000R962304820341340</t>
  </si>
  <si>
    <t>31CMAH0000000000R962304820373330</t>
  </si>
  <si>
    <t>31CMAHbckstop2023BACK3ENFSMERT0N</t>
  </si>
  <si>
    <t>82000000000137315000450000508004</t>
  </si>
  <si>
    <t>82000000007013472000200000670097</t>
  </si>
  <si>
    <t>82000000007017951000200000761231</t>
  </si>
  <si>
    <t>890000201300031371000500C53958I0</t>
  </si>
  <si>
    <t>89CMAH2022000041R001520230085467</t>
  </si>
  <si>
    <t>89CMAH2022000041R001520230085654</t>
  </si>
  <si>
    <t>89CMAH2022000041R001520230144871</t>
  </si>
  <si>
    <t>89CMAH2022000041R001520230178540</t>
  </si>
  <si>
    <t>89CMAH2022000041R001520230178624</t>
  </si>
  <si>
    <t>89CMAH2022000041R001520230234133</t>
  </si>
  <si>
    <t>89CMAH2022000041R001520230234158</t>
  </si>
  <si>
    <t>89CMAH2022000041R001520230234267</t>
  </si>
  <si>
    <t>89CMAH2022000041R001520230234340</t>
  </si>
  <si>
    <t>89CMAH2022000041R001520230234341</t>
  </si>
  <si>
    <t>89CMAH2022000041R001520230234389</t>
  </si>
  <si>
    <t>89CMAH2022000041R001520230234407</t>
  </si>
  <si>
    <t>89CMAH2022000041R001520230234414</t>
  </si>
  <si>
    <t>89CMAH2022000041R001520230234463</t>
  </si>
  <si>
    <t>89CMAH2022000041R001520230234470</t>
  </si>
  <si>
    <t>89CMAH2022000041R001520230234472</t>
  </si>
  <si>
    <t>89CMAH2022000041R001520230234503</t>
  </si>
  <si>
    <t>89CMAH2022000041R001520230234538</t>
  </si>
  <si>
    <t>89CMAH2022000041R001520230234588</t>
  </si>
  <si>
    <t>89CMAH2022000041R001520230234637</t>
  </si>
  <si>
    <t>89CMAH2022000041R001520230234702</t>
  </si>
  <si>
    <t>89CMAH2022000041R001520230289393</t>
  </si>
  <si>
    <t>89CMAH2022000041R001520230289410</t>
  </si>
  <si>
    <t>89CMAH2022000041R001520230289571</t>
  </si>
  <si>
    <t>89CMAH2022000041R001520230289628</t>
  </si>
  <si>
    <t>89CMAH2022000041R001520230289648</t>
  </si>
  <si>
    <t>89CMAH2022000041R001520230289721</t>
  </si>
  <si>
    <t>89CMAH2022000041R001520230289791</t>
  </si>
  <si>
    <t>89CMAH2022000041R001520230289825</t>
  </si>
  <si>
    <t>89CMAH2022000041R001520230289833</t>
  </si>
  <si>
    <t>89CMAH2022000041R001520230289835</t>
  </si>
  <si>
    <t>89CMAH2022000041R001520230289901</t>
  </si>
  <si>
    <t>89CMAH2022000041R001520230289940</t>
  </si>
  <si>
    <t>89CMAH2022000041R001520230290016</t>
  </si>
  <si>
    <t>89CMAH2022000041R001520230290042</t>
  </si>
  <si>
    <t>89CMAH2022000041R001520230290043</t>
  </si>
  <si>
    <t>89CMAH2022000041R001520230290132</t>
  </si>
  <si>
    <t>89CMAH2022000041R001520230290169</t>
  </si>
  <si>
    <t>89CMAH2022000041R001520230290194</t>
  </si>
  <si>
    <t>89CMAH2022000041R001520230290200</t>
  </si>
  <si>
    <t>89CMAH2022000041R001520230290211</t>
  </si>
  <si>
    <t>89CMAH2022000041R001520230290287</t>
  </si>
  <si>
    <t>89CMAH2022000041R001520230290296</t>
  </si>
  <si>
    <t>89CMAH2022000041R001520230290301</t>
  </si>
  <si>
    <t>89CMAH2022000041R001520230290442</t>
  </si>
  <si>
    <t>89CMAH2022000041R001520230290472</t>
  </si>
  <si>
    <t>89CMAH2022000041R001520230290529</t>
  </si>
  <si>
    <t>89CMAH2022000041R001520230290546</t>
  </si>
  <si>
    <t>89CMAH2022000041R001520230290562</t>
  </si>
  <si>
    <t>89CMAH2022000041R001520230290698</t>
  </si>
  <si>
    <t>89CMAH2022000041R001520230290716</t>
  </si>
  <si>
    <t>89CMAH2022000041R001520230290756</t>
  </si>
  <si>
    <t>89CMAH2022000041R001520230290791</t>
  </si>
  <si>
    <t>89CMAH2022000041R001520230290793</t>
  </si>
  <si>
    <t>89CMAH2022000041R001520230290800</t>
  </si>
  <si>
    <t>SNCN00000218</t>
  </si>
  <si>
    <t>31663600350105164363603501051640</t>
  </si>
  <si>
    <t>31CMAH0000000000R262304880023930</t>
  </si>
  <si>
    <t>31CMAH0000000000R962304820321330</t>
  </si>
  <si>
    <t>31CMAHenergyS1xS2OVER1ENFGDRST0H</t>
  </si>
  <si>
    <t>31CMAHenergyS1xS2OVER2ENFGDRST0G</t>
  </si>
  <si>
    <t>82000000007001702000200000643934</t>
  </si>
  <si>
    <t>82000000007003330000200000645972</t>
  </si>
  <si>
    <t>82000000007004010000200000646658</t>
  </si>
  <si>
    <t>82000000007006411000200000647514</t>
  </si>
  <si>
    <t>82000000007007415000200000653335</t>
  </si>
  <si>
    <t>82000000007011929000200000680200</t>
  </si>
  <si>
    <t>82000000007012763000200000684983</t>
  </si>
  <si>
    <t>82000000007012985000200000687578</t>
  </si>
  <si>
    <t>82000000007015727000200000730325</t>
  </si>
  <si>
    <t>82000000007018235000200000762229</t>
  </si>
  <si>
    <t>31CMAH0000000000R262304820005540</t>
  </si>
  <si>
    <t>31CMAH0000000000R262304820022850</t>
  </si>
  <si>
    <t>31CMAH0000000000R262304820024790</t>
  </si>
  <si>
    <t>31CMAH0000000000R962304820242890</t>
  </si>
  <si>
    <t>31CMAH0000000000R962304820276890</t>
  </si>
  <si>
    <t>31CMAH0000000000R962304820340110</t>
  </si>
  <si>
    <t>31CMAHenergyS1xS2OVER2ENFGDRST0C</t>
  </si>
  <si>
    <t>82000000007000267000200000642320</t>
  </si>
  <si>
    <t>82000000007001270000200000643648</t>
  </si>
  <si>
    <t>82000000007003341000200000562298</t>
  </si>
  <si>
    <t>82000000007004207000200000647188</t>
  </si>
  <si>
    <t>82000000007007244000200000652676</t>
  </si>
  <si>
    <t>82000000007007718000200000512271</t>
  </si>
  <si>
    <t>82000000007010390000200000524296</t>
  </si>
  <si>
    <t>89CMAH2022000041R001520230039606</t>
  </si>
  <si>
    <t>89CMAH2022000041R001520230085407</t>
  </si>
  <si>
    <t>89CMAH2022000041R001520230085708</t>
  </si>
  <si>
    <t>89CMAH2022000041R001520230086176</t>
  </si>
  <si>
    <t>89CMAH2022000041R001520230144602</t>
  </si>
  <si>
    <t>89CMAH2022000041R001520230177881</t>
  </si>
  <si>
    <t>89CMAH2022000041R001520230177893</t>
  </si>
  <si>
    <t>89CMAH2022000041R001520230178002</t>
  </si>
  <si>
    <t>89CMAH2022000041R001520230178322</t>
  </si>
  <si>
    <t>89CMAH2022000041R001520230178591</t>
  </si>
  <si>
    <t>89CMAH2022000041R001520230234030</t>
  </si>
  <si>
    <t>89CMAH2022000041R001520230234302</t>
  </si>
  <si>
    <t>89CMAH2022000041R001520230234376</t>
  </si>
  <si>
    <t>89CMAH2022000041R001520230234536</t>
  </si>
  <si>
    <t>89CMAH2022000041R001520230289308</t>
  </si>
  <si>
    <t>89CMAH2022000041R001520230289329</t>
  </si>
  <si>
    <t>89CMAH2022000041R001520230289335</t>
  </si>
  <si>
    <t>89CMAH2022000041R001520230289350</t>
  </si>
  <si>
    <t>89CMAH2022000041R001520230289433</t>
  </si>
  <si>
    <t>89CMAH2022000041R001520230289460</t>
  </si>
  <si>
    <t>89CMAH2022000041R001520230289586</t>
  </si>
  <si>
    <t>89CMAH2022000041R001520230289593</t>
  </si>
  <si>
    <t>89CMAH2022000041R001520230289646</t>
  </si>
  <si>
    <t>89CMAH2022000041R001520230289690</t>
  </si>
  <si>
    <t>89CMAH2022000041R001520230289767</t>
  </si>
  <si>
    <t>89CMAH2022000041R001520230289768</t>
  </si>
  <si>
    <t>89CMAH2022000041R001520230289790</t>
  </si>
  <si>
    <t>89CMAH2022000041R001520230289805</t>
  </si>
  <si>
    <t>89CMAH2022000041R001520230290015</t>
  </si>
  <si>
    <t>89CMAH2022000041R001520230290055</t>
  </si>
  <si>
    <t>89CMAH2022000041R001520230290096</t>
  </si>
  <si>
    <t>89CMAH2022000041R001520230290101</t>
  </si>
  <si>
    <t>89CMAH2022000041R001520230290120</t>
  </si>
  <si>
    <t>89CMAH2022000041R001520230290144</t>
  </si>
  <si>
    <t>89CMAH2022000041R001520230290189</t>
  </si>
  <si>
    <t>89CMAH2022000041R001520230290196</t>
  </si>
  <si>
    <t>89CMAH2022000041R001520230290209</t>
  </si>
  <si>
    <t>89CMAH2022000041R001520230290216</t>
  </si>
  <si>
    <t>89CMAH2022000041R001520230290325</t>
  </si>
  <si>
    <t>89CMAH2022000041R001520230290344</t>
  </si>
  <si>
    <t>89CMAH2022000041R001520230290424</t>
  </si>
  <si>
    <t>89CMAH2022000041R001520230290524</t>
  </si>
  <si>
    <t>89CMAH2022000041R001520230290614</t>
  </si>
  <si>
    <t>89CMAH2022000041R001520230290622</t>
  </si>
  <si>
    <t>89CMAH2022000041R001520230290677</t>
  </si>
  <si>
    <t>89CMAH2022000041R001520230290689</t>
  </si>
  <si>
    <t>89CMAH2022000041R001520230290734</t>
  </si>
  <si>
    <t>89CMAH2022000041R001520230290742</t>
  </si>
  <si>
    <t>89CMAH2022000041R001520230290774</t>
  </si>
  <si>
    <t>89CMAH2022000041R001520230290794</t>
  </si>
  <si>
    <t>SNCN00000079</t>
  </si>
  <si>
    <t>SNCN00000207</t>
  </si>
  <si>
    <t>SNCN00000228</t>
  </si>
  <si>
    <t>SNCN00000269</t>
  </si>
  <si>
    <t>SNCN00000616</t>
  </si>
  <si>
    <t>SNCN00000689</t>
  </si>
  <si>
    <t>SNCN00000976</t>
  </si>
  <si>
    <t>89CMAH2022000041R001520230040146</t>
  </si>
  <si>
    <t>89CMAH2022000041R001520230085460</t>
  </si>
  <si>
    <t>89CMAH2022000041R001520230086070</t>
  </si>
  <si>
    <t>89CMAH2022000041R001520230086104</t>
  </si>
  <si>
    <t>89CMAH2022000041R001520230144533</t>
  </si>
  <si>
    <t>89CMAH2022000041R001520230144869</t>
  </si>
  <si>
    <t>89CMAH2022000041R001520230145204</t>
  </si>
  <si>
    <t>89CMAH2022000041R001520230177973</t>
  </si>
  <si>
    <t>89CMAH2022000041R001520230177982</t>
  </si>
  <si>
    <t>89CMAH2022000041R001520230178361</t>
  </si>
  <si>
    <t>89CMAH2022000041R001520230234063</t>
  </si>
  <si>
    <t>89CMAH2022000041R001520230234102</t>
  </si>
  <si>
    <t>89CMAH2022000041R001520230234108</t>
  </si>
  <si>
    <t>89CMAH2022000041R001520230234109</t>
  </si>
  <si>
    <t>89CMAH2022000041R001520230234122</t>
  </si>
  <si>
    <t>89CMAH2022000041R001520230234185</t>
  </si>
  <si>
    <t>89CMAH2022000041R001520230234293</t>
  </si>
  <si>
    <t>89CMAH2022000041R001520230234421</t>
  </si>
  <si>
    <t>89CMAH2022000041R001520230234473</t>
  </si>
  <si>
    <t>89CMAH2022000041R001520230234483</t>
  </si>
  <si>
    <t>89CMAH2022000041R001520230234579</t>
  </si>
  <si>
    <t>89CMAH2022000041R001520230234638</t>
  </si>
  <si>
    <t>89CMAH2022000041R001520230234729</t>
  </si>
  <si>
    <t>89CMAH2022000041R001520230289358</t>
  </si>
  <si>
    <t>89CMAH2022000041R001520230289404</t>
  </si>
  <si>
    <t>89CMAH2022000041R001520230289441</t>
  </si>
  <si>
    <t>89CMAH2022000041R001520230289461</t>
  </si>
  <si>
    <t>89CMAH2022000041R001520230289538</t>
  </si>
  <si>
    <t>89CMAH2022000041R001520230289643</t>
  </si>
  <si>
    <t>89CMAH2022000041R001520230289772</t>
  </si>
  <si>
    <t>89CMAH2022000041R001520230289778</t>
  </si>
  <si>
    <t>89CMAH2022000041R001520230289922</t>
  </si>
  <si>
    <t>89CMAH2022000041R001520230289949</t>
  </si>
  <si>
    <t>89CMAH2022000041R001520230290017</t>
  </si>
  <si>
    <t>89CMAH2022000041R001520230290181</t>
  </si>
  <si>
    <t>89CMAH2022000041R001520230290388</t>
  </si>
  <si>
    <t>89CMAH2022000041R001520230290390</t>
  </si>
  <si>
    <t>89CMAH2022000041R001520230290400</t>
  </si>
  <si>
    <t>89CMAH2022000041R001520230290459</t>
  </si>
  <si>
    <t>89CMAH2022000041R001520230290481</t>
  </si>
  <si>
    <t>89CMAH2022000041R001520230290485</t>
  </si>
  <si>
    <t>89CMAH2022000041R001520230290497</t>
  </si>
  <si>
    <t>89CMAH2022000041R001520230290551</t>
  </si>
  <si>
    <t>89CMAH2022000041R001520230290593</t>
  </si>
  <si>
    <t>89CMAH2022000041R001520230290639</t>
  </si>
  <si>
    <t>89CMAH2022000041R001520230290649</t>
  </si>
  <si>
    <t>89CMAH2022000041R001520230290928</t>
  </si>
  <si>
    <t>SNCN00000056</t>
  </si>
  <si>
    <t>SNCN00000239</t>
  </si>
  <si>
    <t>SNCN00000265</t>
  </si>
  <si>
    <t>SNCN00000621</t>
  </si>
  <si>
    <t>31CMAH0000000000R162304888017770</t>
  </si>
  <si>
    <t>31CMAH0000000000R262304820027220</t>
  </si>
  <si>
    <t>31CMAH0000000000R262304840018240</t>
  </si>
  <si>
    <t>31CMAH0000000000R262304840019020</t>
  </si>
  <si>
    <t>31CMAH0000000000R262304840019410</t>
  </si>
  <si>
    <t>31CMAH0000000000R962304820260590</t>
  </si>
  <si>
    <t>31CMAH0000000000R962304820272510</t>
  </si>
  <si>
    <t>31CMAH0000000000R962304820368340</t>
  </si>
  <si>
    <t>31CMAH0020003058R000000000000000</t>
  </si>
  <si>
    <t>31CMAH4075601001R100266700000001</t>
  </si>
  <si>
    <t>82000000000119190000450000105698</t>
  </si>
  <si>
    <t>82000000000140978000450000327186</t>
  </si>
  <si>
    <t>31CMAH0000000000R262304840018860</t>
  </si>
  <si>
    <t>31CMAH0000000000R962304820268980</t>
  </si>
  <si>
    <t>31CMAH0000000000R962304820307340</t>
  </si>
  <si>
    <t>31CMAH0000000000R262304820023910</t>
  </si>
  <si>
    <t>31CMAH0000000000R262304840018430</t>
  </si>
  <si>
    <t>31CMAH0000000000R962304820043570</t>
  </si>
  <si>
    <t>31CMAH0000000000R962304820393140</t>
  </si>
  <si>
    <t>31CMAH0000000000R962304870327990</t>
  </si>
  <si>
    <t>31CMAH0000000000R962304870355340</t>
  </si>
  <si>
    <t>31CMAH0000000000R962304870370420</t>
  </si>
  <si>
    <t>31CMAHenergyS1xS2OVER1ENFSMERT0F</t>
  </si>
  <si>
    <t>82000000007001027000200000643456</t>
  </si>
  <si>
    <t>82000000007001037000200000643473</t>
  </si>
  <si>
    <t>82000000007001096000200000643452</t>
  </si>
  <si>
    <t>82000000007002721000200000645148</t>
  </si>
  <si>
    <t>82000000007007943000200000655437</t>
  </si>
  <si>
    <t>82000000007011126000200000680269</t>
  </si>
  <si>
    <t>82000000007014071000200000699349</t>
  </si>
  <si>
    <t>82000000007017014000200000748323</t>
  </si>
  <si>
    <t>82000000007002752000200000580106</t>
  </si>
  <si>
    <t>82000000007005906000200000649016</t>
  </si>
  <si>
    <t>82000000007006359000200000645655</t>
  </si>
  <si>
    <t>82000000007007234000200000652671</t>
  </si>
  <si>
    <t>82000000007008203000200000656481</t>
  </si>
  <si>
    <t>82000000007011991000200000680794</t>
  </si>
  <si>
    <t>82000000007014215000200000718967</t>
  </si>
  <si>
    <t>82000000007001078000200000503255</t>
  </si>
  <si>
    <t>82000000007001092000200000643459</t>
  </si>
  <si>
    <t>82000000007001365000200000643746</t>
  </si>
  <si>
    <t>82000000007004080000200000646721</t>
  </si>
  <si>
    <t>82000000007008186000200000656461</t>
  </si>
  <si>
    <t>82000000007009103000200000535741</t>
  </si>
  <si>
    <t>82000000007015859000200000732396</t>
  </si>
  <si>
    <t>890000200900044051000500C39109I0</t>
  </si>
  <si>
    <t>89CMAH2022000041R001520230039501</t>
  </si>
  <si>
    <t>89CMAH2022000041R001520230085950</t>
  </si>
  <si>
    <t>89CMAH2022000041R001520230144591</t>
  </si>
  <si>
    <t>89CMAH2022000041R001520230144643</t>
  </si>
  <si>
    <t>89CMAH2022000041R001520230178072</t>
  </si>
  <si>
    <t>89CMAH2022000041R001520230178104</t>
  </si>
  <si>
    <t>89CMAH2022000041R001520230178122</t>
  </si>
  <si>
    <t>89CMAH2022000041R001520230233986</t>
  </si>
  <si>
    <t>89CMAH2022000041R001520230234085</t>
  </si>
  <si>
    <t>89CMAH2022000041R001520230234103</t>
  </si>
  <si>
    <t>89CMAH2022000041R001520230234171</t>
  </si>
  <si>
    <t>89CMAH2022000041R001520230234181</t>
  </si>
  <si>
    <t>89CMAH2022000041R001520230234326</t>
  </si>
  <si>
    <t>89CMAH2022000041R001520230234371</t>
  </si>
  <si>
    <t>89CMAH2022000041R001520230234488</t>
  </si>
  <si>
    <t>89CMAH2022000041R001520230234746</t>
  </si>
  <si>
    <t>89CMAH2022000041R001520230289313</t>
  </si>
  <si>
    <t>89CMAH2022000041R001520230289327</t>
  </si>
  <si>
    <t>89CMAH2022000041R001520230289408</t>
  </si>
  <si>
    <t>89CMAH2022000041R001520230289413</t>
  </si>
  <si>
    <t>89CMAH2022000041R001520230289430</t>
  </si>
  <si>
    <t>89CMAH2022000041R001520230289439</t>
  </si>
  <si>
    <t>89CMAH2022000041R001520230289542</t>
  </si>
  <si>
    <t>89CMAH2022000041R001520230289552</t>
  </si>
  <si>
    <t>89CMAH2022000041R001520230289619</t>
  </si>
  <si>
    <t>89CMAH2022000041R001520230289707</t>
  </si>
  <si>
    <t>89CMAH2022000041R001520230289738</t>
  </si>
  <si>
    <t>89CMAH2022000041R001520230289781</t>
  </si>
  <si>
    <t>89CMAH2022000041R001520230289814</t>
  </si>
  <si>
    <t>89CMAH2022000041R001520230289844</t>
  </si>
  <si>
    <t>89CMAH2022000041R001520230289961</t>
  </si>
  <si>
    <t>89CMAH2022000041R001520230289986</t>
  </si>
  <si>
    <t>89CMAH2022000041R001520230290011</t>
  </si>
  <si>
    <t>89CMAH2022000041R001520230290105</t>
  </si>
  <si>
    <t>89CMAH2022000041R001520230290107</t>
  </si>
  <si>
    <t>89CMAH2022000041R001520230290119</t>
  </si>
  <si>
    <t>89CMAH2022000041R001520230290130</t>
  </si>
  <si>
    <t>89CMAH2022000041R001520230290260</t>
  </si>
  <si>
    <t>89CMAH2022000041R001520230290300</t>
  </si>
  <si>
    <t>89CMAH2022000041R001520230290360</t>
  </si>
  <si>
    <t>89CMAH2022000041R001520230290458</t>
  </si>
  <si>
    <t>89CMAH2022000041R001520230290511</t>
  </si>
  <si>
    <t>89CMAH2022000041R001520230290617</t>
  </si>
  <si>
    <t>89CMAH2022000041R001520230290644</t>
  </si>
  <si>
    <t>89CMAH2022000041R001520230290669</t>
  </si>
  <si>
    <t>89CMAH2022000041R001520230290706</t>
  </si>
  <si>
    <t>89CMAH2022000041R001520230290715</t>
  </si>
  <si>
    <t>89CMAH2022000041R001520230290737</t>
  </si>
  <si>
    <t>89CMAH2022000041R001520230290814</t>
  </si>
  <si>
    <t>89CMAH2022000041R001520230290850</t>
  </si>
  <si>
    <t>89CMAH2022000041R001520230290909</t>
  </si>
  <si>
    <t>89CMAH2022000041R001520230290925</t>
  </si>
  <si>
    <t>SNCN00000071</t>
  </si>
  <si>
    <t>SNCN00000085</t>
  </si>
  <si>
    <t>SNCN00000416</t>
  </si>
  <si>
    <t>SNCN00000537</t>
  </si>
  <si>
    <t>SNCN00000762</t>
  </si>
  <si>
    <t>SNCN00000773</t>
  </si>
  <si>
    <t>SNCN00000931</t>
  </si>
  <si>
    <t>SNCN00000960</t>
  </si>
  <si>
    <t>SNCN00000970</t>
  </si>
  <si>
    <t>89CMAH2022000041R001520230085494</t>
  </si>
  <si>
    <t>89CMAH2022000041R001520230085706</t>
  </si>
  <si>
    <t>89CMAH2022000041R001520230144555</t>
  </si>
  <si>
    <t>89CMAH2022000041R001520230177917</t>
  </si>
  <si>
    <t>89CMAH2022000041R001520230177996</t>
  </si>
  <si>
    <t>89CMAH2022000041R001520230178589</t>
  </si>
  <si>
    <t>89CMAH2022000041R001520230178609</t>
  </si>
  <si>
    <t>89CMAH2022000041R001520230233987</t>
  </si>
  <si>
    <t>89CMAH2022000041R001520230233997</t>
  </si>
  <si>
    <t>89CMAH2022000041R001520230234032</t>
  </si>
  <si>
    <t>89CMAH2022000041R001520230234089</t>
  </si>
  <si>
    <t>89CMAH2022000041R001520230234210</t>
  </si>
  <si>
    <t>89CMAH2022000041R001520230234314</t>
  </si>
  <si>
    <t>89CMAH2022000041R001520230234322</t>
  </si>
  <si>
    <t>89CMAH2022000041R001520230234524</t>
  </si>
  <si>
    <t>89CMAH2022000041R001520230234587</t>
  </si>
  <si>
    <t>89CMAH2022000041R001520230234595</t>
  </si>
  <si>
    <t>89CMAH2022000041R001520230234651</t>
  </si>
  <si>
    <t>89CMAH2022000041R001520230289297</t>
  </si>
  <si>
    <t>89CMAH2022000041R001520230289301</t>
  </si>
  <si>
    <t>89CMAH2022000041R001520230289355</t>
  </si>
  <si>
    <t>89CMAH2022000041R001520230289399</t>
  </si>
  <si>
    <t>89CMAH2022000041R001520230289416</t>
  </si>
  <si>
    <t>89CMAH2022000041R001520230289676</t>
  </si>
  <si>
    <t>89CMAH2022000041R001520230289869</t>
  </si>
  <si>
    <t>89CMAH2022000041R001520230289957</t>
  </si>
  <si>
    <t>89CMAH2022000041R001520230290021</t>
  </si>
  <si>
    <t>89CMAH2022000041R001520230290028</t>
  </si>
  <si>
    <t>89CMAH2022000041R001520230290038</t>
  </si>
  <si>
    <t>89CMAH2022000041R001520230290098</t>
  </si>
  <si>
    <t>89CMAH2022000041R001520230290147</t>
  </si>
  <si>
    <t>89CMAH2022000041R001520230290163</t>
  </si>
  <si>
    <t>89CMAH2022000041R001520230290177</t>
  </si>
  <si>
    <t>89CMAH2022000041R001520230290190</t>
  </si>
  <si>
    <t>89CMAH2022000041R001520230290214</t>
  </si>
  <si>
    <t>89CMAH2022000041R001520230290218</t>
  </si>
  <si>
    <t>89CMAH2022000041R001520230290321</t>
  </si>
  <si>
    <t>89CMAH2022000041R001520230290430</t>
  </si>
  <si>
    <t>89CMAH2022000041R001520230290447</t>
  </si>
  <si>
    <t>89CMAH2022000041R001520230290470</t>
  </si>
  <si>
    <t>89CMAH2022000041R001520230290474</t>
  </si>
  <si>
    <t>89CMAH2022000041R001520230290486</t>
  </si>
  <si>
    <t>89CMAH2022000041R001520230290509</t>
  </si>
  <si>
    <t>89CMAH2022000041R001520230290541</t>
  </si>
  <si>
    <t>89CMAH2022000041R001520230290627</t>
  </si>
  <si>
    <t>89CMAH2022000041R001520230290632</t>
  </si>
  <si>
    <t>89CMAH2022000041R001520230290651</t>
  </si>
  <si>
    <t>89CMAH2022000041R001520230290662</t>
  </si>
  <si>
    <t>89CMAH2022000041R001520230290743</t>
  </si>
  <si>
    <t>89CMAH2022000041R001520230290750</t>
  </si>
  <si>
    <t>89CMAH2022000041R001520230290752</t>
  </si>
  <si>
    <t>89CMAH2022000041R001520230290765</t>
  </si>
  <si>
    <t>89CMAH2022000041R001520230290771</t>
  </si>
  <si>
    <t>89CMAH2022000041R001520230290795</t>
  </si>
  <si>
    <t>89CMAH2022000041R001520230290802</t>
  </si>
  <si>
    <t>89CMAH2022000041R001520230290813</t>
  </si>
  <si>
    <t>89CMAH2022000041R001520230290818</t>
  </si>
  <si>
    <t>89CMAH2022000041R001520230290833</t>
  </si>
  <si>
    <t>SNCN00000029</t>
  </si>
  <si>
    <t>SNCN00000200</t>
  </si>
  <si>
    <t>SNCN00000375</t>
  </si>
  <si>
    <t>SNCN00000399</t>
  </si>
  <si>
    <t>SNCN00000458</t>
  </si>
  <si>
    <t>SNCN00000516</t>
  </si>
  <si>
    <t>SNCN00000534</t>
  </si>
  <si>
    <t>SNCN00000572</t>
  </si>
  <si>
    <t>89CMAH2022000041R001520230039900</t>
  </si>
  <si>
    <t>89CMAH2022000041R001520230086092</t>
  </si>
  <si>
    <t>89CMAH2022000041R001520230086159</t>
  </si>
  <si>
    <t>89CMAH2022000041R001520230144666</t>
  </si>
  <si>
    <t>89CMAH2022000041R001520230177918</t>
  </si>
  <si>
    <t>89CMAH2022000041R001520230178028</t>
  </si>
  <si>
    <t>89CMAH2022000041R001520230178080</t>
  </si>
  <si>
    <t>89CMAH2022000041R001520230178253</t>
  </si>
  <si>
    <t>89CMAH2022000041R001520230178256</t>
  </si>
  <si>
    <t>89CMAH2022000041R001520230178323</t>
  </si>
  <si>
    <t>89CMAH2022000041R001520230178519</t>
  </si>
  <si>
    <t>89CMAH2022000041R001520230178590</t>
  </si>
  <si>
    <t>89CMAH2022000041R001520230234040</t>
  </si>
  <si>
    <t>89CMAH2022000041R001520230234148</t>
  </si>
  <si>
    <t>89CMAH2022000041R001520230234203</t>
  </si>
  <si>
    <t>89CMAH2022000041R001520230234207</t>
  </si>
  <si>
    <t>89CMAH2022000041R001520230234333</t>
  </si>
  <si>
    <t>89CMAH2022000041R001520230234386</t>
  </si>
  <si>
    <t>89CMAH2022000041R001520230234392</t>
  </si>
  <si>
    <t>89CMAH2022000041R001520230234551</t>
  </si>
  <si>
    <t>89CMAH2022000041R001520230234748</t>
  </si>
  <si>
    <t>89CMAH2022000041R001520230289288</t>
  </si>
  <si>
    <t>89CMAH2022000041R001520230289330</t>
  </si>
  <si>
    <t>89CMAH2022000041R001520230289351</t>
  </si>
  <si>
    <t>89CMAH2022000041R001520230289403</t>
  </si>
  <si>
    <t>89CMAH2022000041R001520230289421</t>
  </si>
  <si>
    <t>89CMAH2022000041R001520230289497</t>
  </si>
  <si>
    <t>89CMAH2022000041R001520230289532</t>
  </si>
  <si>
    <t>89CMAH2022000041R001520230289539</t>
  </si>
  <si>
    <t>89CMAH2022000041R001520230289572</t>
  </si>
  <si>
    <t>89CMAH2022000041R001520230289575</t>
  </si>
  <si>
    <t>89CMAH2022000041R001520230289576</t>
  </si>
  <si>
    <t>89CMAH2022000041R001520230289613</t>
  </si>
  <si>
    <t>89CMAH2022000041R001520230289615</t>
  </si>
  <si>
    <t>89CMAH2022000041R001520230289645</t>
  </si>
  <si>
    <t>89CMAH2022000041R001520230289664</t>
  </si>
  <si>
    <t>89CMAH2022000041R001520230289668</t>
  </si>
  <si>
    <t>89CMAH2022000041R001520230289777</t>
  </si>
  <si>
    <t>89CMAH2022000041R001520230289848</t>
  </si>
  <si>
    <t>89CMAH2022000041R001520230289852</t>
  </si>
  <si>
    <t>89CMAH2022000041R001520230289877</t>
  </si>
  <si>
    <t>89CMAH2022000041R001520230289900</t>
  </si>
  <si>
    <t>89CMAH2022000041R001520230289948</t>
  </si>
  <si>
    <t>89CMAH2022000041R001520230289991</t>
  </si>
  <si>
    <t>89CMAH2022000041R001520230289993</t>
  </si>
  <si>
    <t>89CMAH2022000041R001520230290065</t>
  </si>
  <si>
    <t>89CMAH2022000041R001520230290099</t>
  </si>
  <si>
    <t>89CMAH2022000041R001520230290174</t>
  </si>
  <si>
    <t>89CMAH2022000041R001520230290266</t>
  </si>
  <si>
    <t>89CMAH2022000041R001520230290313</t>
  </si>
  <si>
    <t>89CMAH2022000041R001520230290379</t>
  </si>
  <si>
    <t>89CMAH2022000041R001520230290433</t>
  </si>
  <si>
    <t>89CMAH2022000041R001520230290493</t>
  </si>
  <si>
    <t>89CMAH2022000041R001520230290563</t>
  </si>
  <si>
    <t>89CMAH2022000041R001520230290574</t>
  </si>
  <si>
    <t>89CMAH2022000041R001520230290702</t>
  </si>
  <si>
    <t>89CMAH2022000041R001520230290704</t>
  </si>
  <si>
    <t>89CMAH2022000041R001520230290705</t>
  </si>
  <si>
    <t>89CMAH2022000041R001520230290804</t>
  </si>
  <si>
    <t>89CMAH2022000041R001520230290846</t>
  </si>
  <si>
    <t>89CMAH2022000041R001520230290871</t>
  </si>
  <si>
    <t>89CMAH2022000041R001520230290875</t>
  </si>
  <si>
    <t>89CMAH2022000041R001520230290902</t>
  </si>
  <si>
    <t>89CMAH2022000041R001520230290924</t>
  </si>
  <si>
    <t>SNCN00000226</t>
  </si>
  <si>
    <t>SNCN00000360</t>
  </si>
  <si>
    <t>SNCN00000401</t>
  </si>
  <si>
    <t>SNCN00000446</t>
  </si>
  <si>
    <t>SNCN00000612</t>
  </si>
  <si>
    <t>SNCN00000963</t>
  </si>
  <si>
    <t>SNCN00000453</t>
  </si>
  <si>
    <t>31000010577641149000000000000000</t>
  </si>
  <si>
    <t>31000010751421149000000000000000</t>
  </si>
  <si>
    <t>31000310172256091069674290100000</t>
  </si>
  <si>
    <t>31000310021693091069673590100000</t>
  </si>
  <si>
    <t>31000310568918090069674260100000</t>
  </si>
  <si>
    <t>31000310563570090069671410100000</t>
  </si>
  <si>
    <t>31000310175671091069674400100000</t>
  </si>
  <si>
    <t>31000310390396090069674660100000</t>
  </si>
  <si>
    <t>31000310535586090069673910100000</t>
  </si>
  <si>
    <t>31000310568884090069674160100000</t>
  </si>
  <si>
    <t>31000316145160096000000000000000</t>
  </si>
  <si>
    <t>31000310133787091069674430100000</t>
  </si>
  <si>
    <t>31000310194557091069674640100000</t>
  </si>
  <si>
    <t>31000310407612090069674710100000</t>
  </si>
  <si>
    <t>31000311671824029116718240290000</t>
  </si>
  <si>
    <t>31000313012300043000000000000000</t>
  </si>
  <si>
    <t>31516200000359091069674320100000</t>
  </si>
  <si>
    <t>31CMAH0000000000R962304820374160</t>
  </si>
  <si>
    <t>82000000007001408000200000507110</t>
  </si>
  <si>
    <t>82000000007006396000200000647498</t>
  </si>
  <si>
    <t>82000000007010507000200000677173</t>
  </si>
  <si>
    <t>82000000007011403000200000679766</t>
  </si>
  <si>
    <t>82000000007018590000200000648443</t>
  </si>
  <si>
    <t>89CMAH2022000041R001520220603524</t>
  </si>
  <si>
    <t>89CMAH2022000041R001520230086100</t>
  </si>
  <si>
    <t>89CMAH2022000041R001520230144538</t>
  </si>
  <si>
    <t>89CMAH2022000041R001520230144659</t>
  </si>
  <si>
    <t>89CMAH2022000041R001520230177908</t>
  </si>
  <si>
    <t>89CMAH2022000041R001520230178078</t>
  </si>
  <si>
    <t>89CMAH2022000041R001520230178097</t>
  </si>
  <si>
    <t>89CMAH2022000041R001520230178490</t>
  </si>
  <si>
    <t>89CMAH2022000041R001520230178530</t>
  </si>
  <si>
    <t>89CMAH2022000041R001520230178565</t>
  </si>
  <si>
    <t>89CMAH2022000041R001520230178610</t>
  </si>
  <si>
    <t>89CMAH2022000041R001520230234115</t>
  </si>
  <si>
    <t>89CMAH2022000041R001520230234124</t>
  </si>
  <si>
    <t>89CMAH2022000041R001520230234164</t>
  </si>
  <si>
    <t>89CMAH2022000041R001520230234178</t>
  </si>
  <si>
    <t>89CMAH2022000041R001520230234276</t>
  </si>
  <si>
    <t>89CMAH2022000041R001520230234291</t>
  </si>
  <si>
    <t>89CMAH2022000041R001520230234325</t>
  </si>
  <si>
    <t>89CMAH2022000041R001520230234385</t>
  </si>
  <si>
    <t>89CMAH2022000041R001520230234714</t>
  </si>
  <si>
    <t>89CMAH2022000041R001520230289299</t>
  </si>
  <si>
    <t>89CMAH2022000041R001520230289318</t>
  </si>
  <si>
    <t>89CMAH2022000041R001520230289370</t>
  </si>
  <si>
    <t>89CMAH2022000041R001520230289371</t>
  </si>
  <si>
    <t>89CMAH2022000041R001520230289400</t>
  </si>
  <si>
    <t>89CMAH2022000041R001520230289455</t>
  </si>
  <si>
    <t>89CMAH2022000041R001520230289554</t>
  </si>
  <si>
    <t>89CMAH2022000041R001520230289585</t>
  </si>
  <si>
    <t>89CMAH2022000041R001520230289605</t>
  </si>
  <si>
    <t>89CMAH2022000041R001520230289659</t>
  </si>
  <si>
    <t>89CMAH2022000041R001520230289673</t>
  </si>
  <si>
    <t>89CMAH2022000041R001520230289726</t>
  </si>
  <si>
    <t>89CMAH2022000041R001520230289728</t>
  </si>
  <si>
    <t>89CMAH2022000041R001520230289750</t>
  </si>
  <si>
    <t>89CMAH2022000041R001520230289845</t>
  </si>
  <si>
    <t>89CMAH2022000041R001520230289866</t>
  </si>
  <si>
    <t>89CMAH2022000041R001520230289881</t>
  </si>
  <si>
    <t>89CMAH2022000041R001520230289910</t>
  </si>
  <si>
    <t>89CMAH2022000041R001520230289913</t>
  </si>
  <si>
    <t>89CMAH2022000041R001520230289915</t>
  </si>
  <si>
    <t>89CMAH2022000041R001520230290000</t>
  </si>
  <si>
    <t>89CMAH2022000041R001520230290023</t>
  </si>
  <si>
    <t>89CMAH2022000041R001520230290116</t>
  </si>
  <si>
    <t>89CMAH2022000041R001520230290146</t>
  </si>
  <si>
    <t>89CMAH2022000041R001520230290161</t>
  </si>
  <si>
    <t>89CMAH2022000041R001520230290328</t>
  </si>
  <si>
    <t>89CMAH2022000041R001520230290373</t>
  </si>
  <si>
    <t>89CMAH2022000041R001520230290431</t>
  </si>
  <si>
    <t>89CMAH2022000041R001520230290465</t>
  </si>
  <si>
    <t>89CMAH2022000041R001520230290514</t>
  </si>
  <si>
    <t>89CMAH2022000041R001520230290584</t>
  </si>
  <si>
    <t>89CMAH2022000041R001520230290591</t>
  </si>
  <si>
    <t>89CMAH2022000041R001520230290655</t>
  </si>
  <si>
    <t>89CMAH2022000041R001520230290727</t>
  </si>
  <si>
    <t>89CMAH2022000041R001520230290767</t>
  </si>
  <si>
    <t>89CMAH2022000041R001520230290857</t>
  </si>
  <si>
    <t>89CMAH2022000041R001520230290892</t>
  </si>
  <si>
    <t>89CMAH2022000041R001520230290907</t>
  </si>
  <si>
    <t>SNCN00000139</t>
  </si>
  <si>
    <t>SNCN00000145</t>
  </si>
  <si>
    <t>SNCN00000221</t>
  </si>
  <si>
    <t>SNCN00000225</t>
  </si>
  <si>
    <t>SNCN00000305</t>
  </si>
  <si>
    <t>SNCN00000523</t>
  </si>
  <si>
    <t>SNCN00000558</t>
  </si>
  <si>
    <t>SNCN00000623</t>
  </si>
  <si>
    <t>SNCN00000945</t>
  </si>
  <si>
    <t>SNCN00000952</t>
  </si>
  <si>
    <t>31CMAH0000000000R962304820273560</t>
  </si>
  <si>
    <t>31CMAH0000000000R962304820336330</t>
  </si>
  <si>
    <t>82000000007000534000200000642894</t>
  </si>
  <si>
    <t>31CMAH0000000000R962304820153890</t>
  </si>
  <si>
    <t>31CMAH0000000000R962304820295750</t>
  </si>
  <si>
    <t>31CMAH0000000000R962304820302710</t>
  </si>
  <si>
    <t>31CMAH0000000000R962304820317020</t>
  </si>
  <si>
    <t>31CMAH0000000000R962304820390930</t>
  </si>
  <si>
    <t>31CMAH0000000000R962304830362520</t>
  </si>
  <si>
    <t>82000000000019732000420000416255</t>
  </si>
  <si>
    <t>82000000007003722000200000646413</t>
  </si>
  <si>
    <t>82000000007004064000200000646779</t>
  </si>
  <si>
    <t>82000000007004335000200000647158</t>
  </si>
  <si>
    <t>82000000007004397000200000647082</t>
  </si>
  <si>
    <t>89CMAH2022000041R001520230039473</t>
  </si>
  <si>
    <t>89CMAH2022000041R001520230039795</t>
  </si>
  <si>
    <t>89CMAH2022000041R001520230086183</t>
  </si>
  <si>
    <t>89CMAH2022000041R001520230144609</t>
  </si>
  <si>
    <t>89CMAH2022000041R001520230144636</t>
  </si>
  <si>
    <t>89CMAH2022000041R001520230144717</t>
  </si>
  <si>
    <t>89CMAH2022000041R001520230144895</t>
  </si>
  <si>
    <t>89CMAH2022000041R001520230178560</t>
  </si>
  <si>
    <t>89CMAH2022000041R001520230178608</t>
  </si>
  <si>
    <t>89CMAH2022000041R001520230234142</t>
  </si>
  <si>
    <t>89CMAH2022000041R001520230234166</t>
  </si>
  <si>
    <t>89CMAH2022000041R001520230234323</t>
  </si>
  <si>
    <t>89CMAH2022000041R001520230234429</t>
  </si>
  <si>
    <t>89CMAH2022000041R001520230234468</t>
  </si>
  <si>
    <t>89CMAH2022000041R001520230234626</t>
  </si>
  <si>
    <t>89CMAH2022000041R001520230234645</t>
  </si>
  <si>
    <t>89CMAH2022000041R001520230234703</t>
  </si>
  <si>
    <t>89CMAH2022000041R001520230289286</t>
  </si>
  <si>
    <t>89CMAH2022000041R001520230289312</t>
  </si>
  <si>
    <t>89CMAH2022000041R001520230289504</t>
  </si>
  <si>
    <t>89CMAH2022000041R001520230289525</t>
  </si>
  <si>
    <t>89CMAH2022000041R001520230289533</t>
  </si>
  <si>
    <t>89CMAH2022000041R001520230289551</t>
  </si>
  <si>
    <t>89CMAH2022000041R001520230289592</t>
  </si>
  <si>
    <t>89CMAH2022000041R001520230289597</t>
  </si>
  <si>
    <t>89CMAH2022000041R001520230289735</t>
  </si>
  <si>
    <t>89CMAH2022000041R001520230289763</t>
  </si>
  <si>
    <t>89CMAH2022000041R001520230289784</t>
  </si>
  <si>
    <t>89CMAH2022000041R001520230289819</t>
  </si>
  <si>
    <t>89CMAH2022000041R001520230289886</t>
  </si>
  <si>
    <t>89CMAH2022000041R001520230289905</t>
  </si>
  <si>
    <t>89CMAH2022000041R001520230289953</t>
  </si>
  <si>
    <t>89CMAH2022000041R001520230289988</t>
  </si>
  <si>
    <t>89CMAH2022000041R001520230289989</t>
  </si>
  <si>
    <t>89CMAH2022000041R001520230290069</t>
  </si>
  <si>
    <t>89CMAH2022000041R001520230290077</t>
  </si>
  <si>
    <t>89CMAH2022000041R001520230290097</t>
  </si>
  <si>
    <t>89CMAH2022000041R001520230290118</t>
  </si>
  <si>
    <t>89CMAH2022000041R001520230290135</t>
  </si>
  <si>
    <t>89CMAH2022000041R001520230290160</t>
  </si>
  <si>
    <t>89CMAH2022000041R001520230290195</t>
  </si>
  <si>
    <t>89CMAH2022000041R001520230290299</t>
  </si>
  <si>
    <t>89CMAH2022000041R001520230290329</t>
  </si>
  <si>
    <t>89CMAH2022000041R001520230290333</t>
  </si>
  <si>
    <t>89CMAH2022000041R001520230290372</t>
  </si>
  <si>
    <t>89CMAH2022000041R001520230290394</t>
  </si>
  <si>
    <t>89CMAH2022000041R001520230290432</t>
  </si>
  <si>
    <t>89CMAH2022000041R001520230290441</t>
  </si>
  <si>
    <t>89CMAH2022000041R001520230290491</t>
  </si>
  <si>
    <t>89CMAH2022000041R001520230290542</t>
  </si>
  <si>
    <t>89CMAH2022000041R001520230290567</t>
  </si>
  <si>
    <t>89CMAH2022000041R001520230290581</t>
  </si>
  <si>
    <t>89CMAH2022000041R001520230290607</t>
  </si>
  <si>
    <t>89CMAH2022000041R001520230290628</t>
  </si>
  <si>
    <t>89CMAH2022000041R001520230290633</t>
  </si>
  <si>
    <t>89CMAH2022000041R001520230290657</t>
  </si>
  <si>
    <t>89CMAH2022000041R001520230290729</t>
  </si>
  <si>
    <t>89CMAH2022000041R001520230290815</t>
  </si>
  <si>
    <t>89CMAH2022000041R001520230290820</t>
  </si>
  <si>
    <t>89CMAH2022000041R001520230290830</t>
  </si>
  <si>
    <t>89CMAH2022000041R001520230290891</t>
  </si>
  <si>
    <t>89CMAH2022000041R001520230290900</t>
  </si>
  <si>
    <t>89CMAH2022000041R001520230290910</t>
  </si>
  <si>
    <t>89CMAH2022000041R001520230290920</t>
  </si>
  <si>
    <t>SNCN00000078</t>
  </si>
  <si>
    <t>SNCN00000094</t>
  </si>
  <si>
    <t>SNCN00000159</t>
  </si>
  <si>
    <t>SNCN00000289</t>
  </si>
  <si>
    <t>SNCN00000397</t>
  </si>
  <si>
    <t>SNCN00000454</t>
  </si>
  <si>
    <t>89CMAH2022000041R001520230039798</t>
  </si>
  <si>
    <t>89CMAH2022000041R001520230085863</t>
  </si>
  <si>
    <t>89CMAH2022000041R001520230085941</t>
  </si>
  <si>
    <t>89CMAH2022000041R001520230086026</t>
  </si>
  <si>
    <t>89CMAH2022000041R001520230144648</t>
  </si>
  <si>
    <t>89CMAH2022000041R001520230145146</t>
  </si>
  <si>
    <t>89CMAH2022000041R001520230177871</t>
  </si>
  <si>
    <t>89CMAH2022000041R001520230178077</t>
  </si>
  <si>
    <t>89CMAH2022000041R001520230178457</t>
  </si>
  <si>
    <t>89CMAH2022000041R001520230234039</t>
  </si>
  <si>
    <t>89CMAH2022000041R001520230234050</t>
  </si>
  <si>
    <t>89CMAH2022000041R001520230234061</t>
  </si>
  <si>
    <t>89CMAH2022000041R001520230234224</t>
  </si>
  <si>
    <t>89CMAH2022000041R001520230234264</t>
  </si>
  <si>
    <t>89CMAH2022000041R001520230234496</t>
  </si>
  <si>
    <t>89CMAH2022000041R001520230234548</t>
  </si>
  <si>
    <t>89CMAH2022000041R001520230234646</t>
  </si>
  <si>
    <t>89CMAH2022000041R001520230289283</t>
  </si>
  <si>
    <t>89CMAH2022000041R001520230289290</t>
  </si>
  <si>
    <t>89CMAH2022000041R001520230289323</t>
  </si>
  <si>
    <t>89CMAH2022000041R001520230289401</t>
  </si>
  <si>
    <t>89CMAH2022000041R001520230289495</t>
  </si>
  <si>
    <t>89CMAH2022000041R001520230289583</t>
  </si>
  <si>
    <t>89CMAH2022000041R001520230289666</t>
  </si>
  <si>
    <t>89CMAH2022000041R001520230289724</t>
  </si>
  <si>
    <t>89CMAH2022000041R001520230289746</t>
  </si>
  <si>
    <t>89CMAH2022000041R001520230289809</t>
  </si>
  <si>
    <t>89CMAH2022000041R001520230289832</t>
  </si>
  <si>
    <t>89CMAH2022000041R001520230289854</t>
  </si>
  <si>
    <t>89CMAH2022000041R001520230290007</t>
  </si>
  <si>
    <t>89CMAH2022000041R001520230290019</t>
  </si>
  <si>
    <t>89CMAH2022000041R001520230290094</t>
  </si>
  <si>
    <t>89CMAH2022000041R001520230290129</t>
  </si>
  <si>
    <t>89CMAH2022000041R001520230290141</t>
  </si>
  <si>
    <t>89CMAH2022000041R001520230290151</t>
  </si>
  <si>
    <t>89CMAH2022000041R001520230290166</t>
  </si>
  <si>
    <t>89CMAH2022000041R001520230290168</t>
  </si>
  <si>
    <t>89CMAH2022000041R001520230290179</t>
  </si>
  <si>
    <t>89CMAH2022000041R001520230290185</t>
  </si>
  <si>
    <t>89CMAH2022000041R001520230290197</t>
  </si>
  <si>
    <t>89CMAH2022000041R001520230290238</t>
  </si>
  <si>
    <t>89CMAH2022000041R001520230290253</t>
  </si>
  <si>
    <t>89CMAH2022000041R001520230290298</t>
  </si>
  <si>
    <t>89CMAH2022000041R001520230290318</t>
  </si>
  <si>
    <t>89CMAH2022000041R001520230290340</t>
  </si>
  <si>
    <t>89CMAH2022000041R001520230290528</t>
  </si>
  <si>
    <t>89CMAH2022000041R001520230290590</t>
  </si>
  <si>
    <t>89CMAH2022000041R001520230290624</t>
  </si>
  <si>
    <t>89CMAH2022000041R001520230290641</t>
  </si>
  <si>
    <t>89CMAH2022000041R001520230290695</t>
  </si>
  <si>
    <t>89CMAH2022000041R001520230290700</t>
  </si>
  <si>
    <t>89CMAH2022000041R001520230290714</t>
  </si>
  <si>
    <t>89CMAH2022000041R001520230290759</t>
  </si>
  <si>
    <t>89CMAH2022000041R001520230290930</t>
  </si>
  <si>
    <t>SNCN00000045</t>
  </si>
  <si>
    <t>SNCN00000084</t>
  </si>
  <si>
    <t>SNCN00000103</t>
  </si>
  <si>
    <t>SNCN00000118</t>
  </si>
  <si>
    <t>SNCN00000163</t>
  </si>
  <si>
    <t>SNCN00000164</t>
  </si>
  <si>
    <t>SNCN00000172</t>
  </si>
  <si>
    <t>SNCN00000293</t>
  </si>
  <si>
    <t>SNCN00000577</t>
  </si>
  <si>
    <t>SNCN00000806</t>
  </si>
  <si>
    <t>SNCN00000922</t>
  </si>
  <si>
    <t>31CMAH0000000000R162304888017860</t>
  </si>
  <si>
    <t>31CMAH0000000000R262304840021200</t>
  </si>
  <si>
    <t>31CMAH0000000000R962304820250610</t>
  </si>
  <si>
    <t>31CMAH0000000000R962304820272600</t>
  </si>
  <si>
    <t>31CMAH0000000000R962304820309840</t>
  </si>
  <si>
    <t>31CMAH0000000000R962304820386370</t>
  </si>
  <si>
    <t>31CMAH0000000000R962304880000810</t>
  </si>
  <si>
    <t>82000000000118828000450000105698</t>
  </si>
  <si>
    <t>82000000000135765000420000415359</t>
  </si>
  <si>
    <t>82000000001100418000430000500149</t>
  </si>
  <si>
    <t>82000000007015740000200000730548</t>
  </si>
  <si>
    <t>31CMAH0000000000R962304820291450</t>
  </si>
  <si>
    <t>31CMAH0000000000R962304820340120</t>
  </si>
  <si>
    <t>31CMAH0000000000R962304820373340</t>
  </si>
  <si>
    <t>31CMAH0000000000R962304820412760</t>
  </si>
  <si>
    <t>31CMAHenergyS1xS2OVER1ENFGDRST0F</t>
  </si>
  <si>
    <t>82000000007008005000200000655768</t>
  </si>
  <si>
    <t>82000000007009159000200000663070</t>
  </si>
  <si>
    <t>82000000007011533000200000680996</t>
  </si>
  <si>
    <t>82000000007015763000200000651722</t>
  </si>
  <si>
    <t>31CMAH0000000000R162304840046380</t>
  </si>
  <si>
    <t>31CMAH0000000000R262304820022820</t>
  </si>
  <si>
    <t>31CMAH0000000000R962304820150970</t>
  </si>
  <si>
    <t>31CMAH0000000000R962304820292740</t>
  </si>
  <si>
    <t>31CMAH0000000000R962304820334350</t>
  </si>
  <si>
    <t>31CMAH0000000000R962304820340140</t>
  </si>
  <si>
    <t>82000000000113155000420000421367</t>
  </si>
  <si>
    <t>82000000007003349000200000645976</t>
  </si>
  <si>
    <t>82000000007007643000200000654185</t>
  </si>
  <si>
    <t>82000000007009090000200000606888</t>
  </si>
  <si>
    <t>82000000007010483000200000677144</t>
  </si>
  <si>
    <t>82000000007011470000200000681193</t>
  </si>
  <si>
    <t>82000000007016492000200000741578</t>
  </si>
  <si>
    <t>82000000007018043000200000761505</t>
  </si>
  <si>
    <t>89CMAH2022000041R001520230085367</t>
  </si>
  <si>
    <t>89CMAH2022000041R001520230144563</t>
  </si>
  <si>
    <t>89CMAH2022000041R001520230178015</t>
  </si>
  <si>
    <t>89CMAH2022000041R001520230178189</t>
  </si>
  <si>
    <t>89CMAH2022000041R001520230178321</t>
  </si>
  <si>
    <t>89CMAH2022000041R001520230178464</t>
  </si>
  <si>
    <t>89CMAH2022000041R001520230234058</t>
  </si>
  <si>
    <t>89CMAH2022000041R001520230234112</t>
  </si>
  <si>
    <t>89CMAH2022000041R001520230234251</t>
  </si>
  <si>
    <t>89CMAH2022000041R001520230234352</t>
  </si>
  <si>
    <t>89CMAH2022000041R001520230234485</t>
  </si>
  <si>
    <t>89CMAH2022000041R001520230234550</t>
  </si>
  <si>
    <t>89CMAH2022000041R001520230289274</t>
  </si>
  <si>
    <t>89CMAH2022000041R001520230289292</t>
  </si>
  <si>
    <t>89CMAH2022000041R001520230289307</t>
  </si>
  <si>
    <t>89CMAH2022000041R001520230289322</t>
  </si>
  <si>
    <t>89CMAH2022000041R001520230289545</t>
  </si>
  <si>
    <t>89CMAH2022000041R001520230289644</t>
  </si>
  <si>
    <t>89CMAH2022000041R001520230289689</t>
  </si>
  <si>
    <t>89CMAH2022000041R001520230289712</t>
  </si>
  <si>
    <t>89CMAH2022000041R001520230289875</t>
  </si>
  <si>
    <t>89CMAH2022000041R001520230289985</t>
  </si>
  <si>
    <t>89CMAH2022000041R001520230290087</t>
  </si>
  <si>
    <t>89CMAH2022000041R001520230290128</t>
  </si>
  <si>
    <t>89CMAH2022000041R001520230290155</t>
  </si>
  <si>
    <t>89CMAH2022000041R001520230290176</t>
  </si>
  <si>
    <t>89CMAH2022000041R001520230290199</t>
  </si>
  <si>
    <t>89CMAH2022000041R001520230290239</t>
  </si>
  <si>
    <t>89CMAH2022000041R001520230290262</t>
  </si>
  <si>
    <t>89CMAH2022000041R001520230290347</t>
  </si>
  <si>
    <t>89CMAH2022000041R001520230290413</t>
  </si>
  <si>
    <t>89CMAH2022000041R001520230290685</t>
  </si>
  <si>
    <t>89CMAH2022000041R001520230290754</t>
  </si>
  <si>
    <t>89CMAH2022000041R001520230290811</t>
  </si>
  <si>
    <t>89CMAH2022000041R001520230290835</t>
  </si>
  <si>
    <t>89CMAH2022000041R001520230290872</t>
  </si>
  <si>
    <t>89CMAH2022000041R001520230290890</t>
  </si>
  <si>
    <t>SNCN00000041</t>
  </si>
  <si>
    <t>SNCN00000386</t>
  </si>
  <si>
    <t>SNCN00000448</t>
  </si>
  <si>
    <t>SNCN00000514</t>
  </si>
  <si>
    <t>SNCN00000692</t>
  </si>
  <si>
    <t>89CMAH2022000041R001520220603539</t>
  </si>
  <si>
    <t>89CMAH2022000041R001520230085910</t>
  </si>
  <si>
    <t>89CMAH2022000041R001520230086090</t>
  </si>
  <si>
    <t>89CMAH2022000041R001520230086128</t>
  </si>
  <si>
    <t>89CMAH2022000041R001520230086288</t>
  </si>
  <si>
    <t>89CMAH2022000041R001520230178502</t>
  </si>
  <si>
    <t>89CMAH2022000041R001520230234010</t>
  </si>
  <si>
    <t>89CMAH2022000041R001520230234229</t>
  </si>
  <si>
    <t>89CMAH2022000041R001520230234240</t>
  </si>
  <si>
    <t>89CMAH2022000041R001520230234243</t>
  </si>
  <si>
    <t>89CMAH2022000041R001520230234272</t>
  </si>
  <si>
    <t>89CMAH2022000041R001520230234346</t>
  </si>
  <si>
    <t>89CMAH2022000041R001520230234453</t>
  </si>
  <si>
    <t>89CMAH2022000041R001520230234723</t>
  </si>
  <si>
    <t>89CMAH2022000041R001520230234736</t>
  </si>
  <si>
    <t>89CMAH2022000041R001520230289311</t>
  </si>
  <si>
    <t>89CMAH2022000041R001520230289339</t>
  </si>
  <si>
    <t>89CMAH2022000041R001520230289418</t>
  </si>
  <si>
    <t>89CMAH2022000041R001520230289503</t>
  </si>
  <si>
    <t>89CMAH2022000041R001520230289693</t>
  </si>
  <si>
    <t>89CMAH2022000041R001520230289704</t>
  </si>
  <si>
    <t>89CMAH2022000041R001520230289718</t>
  </si>
  <si>
    <t>89CMAH2022000041R001520230289742</t>
  </si>
  <si>
    <t>89CMAH2022000041R001520230289760</t>
  </si>
  <si>
    <t>89CMAH2022000041R001520230289887</t>
  </si>
  <si>
    <t>89CMAH2022000041R001520230289939</t>
  </si>
  <si>
    <t>89CMAH2022000041R001520230290138</t>
  </si>
  <si>
    <t>89CMAH2022000041R001520230290193</t>
  </si>
  <si>
    <t>89CMAH2022000041R001520230290224</t>
  </si>
  <si>
    <t>89CMAH2022000041R001520230290226</t>
  </si>
  <si>
    <t>89CMAH2022000041R001520230290231</t>
  </si>
  <si>
    <t>89CMAH2022000041R001520230290252</t>
  </si>
  <si>
    <t>89CMAH2022000041R001520230290351</t>
  </si>
  <si>
    <t>89CMAH2022000041R001520230290363</t>
  </si>
  <si>
    <t>89CMAH2022000041R001520230290378</t>
  </si>
  <si>
    <t>89CMAH2022000041R001520230290387</t>
  </si>
  <si>
    <t>89CMAH2022000041R001520230290454</t>
  </si>
  <si>
    <t>89CMAH2022000041R001520230290525</t>
  </si>
  <si>
    <t>89CMAH2022000041R001520230290538</t>
  </si>
  <si>
    <t>89CMAH2022000041R001520230290559</t>
  </si>
  <si>
    <t>89CMAH2022000041R001520230290631</t>
  </si>
  <si>
    <t>89CMAH2022000041R001520230290683</t>
  </si>
  <si>
    <t>89CMAH2022000041R001520230290843</t>
  </si>
  <si>
    <t>SNCN00000082</t>
  </si>
  <si>
    <t>SNCN00000091</t>
  </si>
  <si>
    <t>SNCN00000331</t>
  </si>
  <si>
    <t>SNCN00000351</t>
  </si>
  <si>
    <t>SNCN00000370</t>
  </si>
  <si>
    <t>SNCN00000560</t>
  </si>
  <si>
    <t>SNCN00000566</t>
  </si>
  <si>
    <t>SNCN00000665</t>
  </si>
  <si>
    <t>89CMAH2022000041R001520220603884</t>
  </si>
  <si>
    <t>89CMAH2022000041R001520230085933</t>
  </si>
  <si>
    <t>89CMAH2022000041R001520230086009</t>
  </si>
  <si>
    <t>89CMAH2022000041R001520230178068</t>
  </si>
  <si>
    <t>89CMAH2022000041R001520230234000</t>
  </si>
  <si>
    <t>89CMAH2022000041R001520230234193</t>
  </si>
  <si>
    <t>89CMAH2022000041R001520230234222</t>
  </si>
  <si>
    <t>89CMAH2022000041R001520230234249</t>
  </si>
  <si>
    <t>89CMAH2022000041R001520230234253</t>
  </si>
  <si>
    <t>89CMAH2022000041R001520230234413</t>
  </si>
  <si>
    <t>89CMAH2022000041R001520230234513</t>
  </si>
  <si>
    <t>89CMAH2022000041R001520230234668</t>
  </si>
  <si>
    <t>89CMAH2022000041R001520230234739</t>
  </si>
  <si>
    <t>89CMAH2022000041R001520230289415</t>
  </si>
  <si>
    <t>89CMAH2022000041R001520230289454</t>
  </si>
  <si>
    <t>89CMAH2022000041R001520230289499</t>
  </si>
  <si>
    <t>89CMAH2022000041R001520230289530</t>
  </si>
  <si>
    <t>89CMAH2022000041R001520230289569</t>
  </si>
  <si>
    <t>89CMAH2022000041R001520230289574</t>
  </si>
  <si>
    <t>89CMAH2022000041R001520230289752</t>
  </si>
  <si>
    <t>89CMAH2022000041R001520230289766</t>
  </si>
  <si>
    <t>89CMAH2022000041R001520230289783</t>
  </si>
  <si>
    <t>89CMAH2022000041R001520230289853</t>
  </si>
  <si>
    <t>89CMAH2022000041R001520230289919</t>
  </si>
  <si>
    <t>89CMAH2022000041R001520230289935</t>
  </si>
  <si>
    <t>89CMAH2022000041R001520230289968</t>
  </si>
  <si>
    <t>89CMAH2022000041R001520230289999</t>
  </si>
  <si>
    <t>89CMAH2022000041R001520230290006</t>
  </si>
  <si>
    <t>89CMAH2022000041R001520230290081</t>
  </si>
  <si>
    <t>89CMAH2022000041R001520230290188</t>
  </si>
  <si>
    <t>89CMAH2022000041R001520230290251</t>
  </si>
  <si>
    <t>89CMAH2022000041R001520230290280</t>
  </si>
  <si>
    <t>89CMAH2022000041R001520230290289</t>
  </si>
  <si>
    <t>89CMAH2022000041R001520230290311</t>
  </si>
  <si>
    <t>89CMAH2022000041R001520230290429</t>
  </si>
  <si>
    <t>89CMAH2022000041R001520230290552</t>
  </si>
  <si>
    <t>89CMAH2022000041R001520230290604</t>
  </si>
  <si>
    <t>89CMAH2022000041R001520230290620</t>
  </si>
  <si>
    <t>89CMAH2022000041R001520230290650</t>
  </si>
  <si>
    <t>89CMAH2022000041R001520230290654</t>
  </si>
  <si>
    <t>89CMAH2022000041R001520230290745</t>
  </si>
  <si>
    <t>89CMAH2022000041R001520230290855</t>
  </si>
  <si>
    <t>89CMAH2022000041R001520230290870</t>
  </si>
  <si>
    <t>89CMAH2022000041R001520230290886</t>
  </si>
  <si>
    <t>89CMAH2022000041R001520230290915</t>
  </si>
  <si>
    <t>SNCN00000013</t>
  </si>
  <si>
    <t>SNCN00000101</t>
  </si>
  <si>
    <t>SNCN00000201</t>
  </si>
  <si>
    <t>SNCN00000219</t>
  </si>
  <si>
    <t>SNCN00000292</t>
  </si>
  <si>
    <t>SNCN00000345</t>
  </si>
  <si>
    <t>SNCN00000396</t>
  </si>
  <si>
    <t>SNCN00000507</t>
  </si>
  <si>
    <t>SNCN00000604</t>
  </si>
  <si>
    <t>SNCN00000843</t>
  </si>
  <si>
    <t>SNCN00000122</t>
  </si>
  <si>
    <t>SNCN00000863</t>
  </si>
  <si>
    <t>SNCN00000556</t>
  </si>
  <si>
    <t>SNCN00000965</t>
  </si>
  <si>
    <t>SNCN00000728</t>
  </si>
  <si>
    <t>80CMAHFINERGETRAB000000000000001</t>
  </si>
  <si>
    <t>SNCN00000721</t>
  </si>
  <si>
    <t>SNCN00000471</t>
  </si>
  <si>
    <t>SNCN00000753</t>
  </si>
  <si>
    <t>SNCN00000716</t>
  </si>
  <si>
    <t>SNCN00000814</t>
  </si>
  <si>
    <t>SNCN00000967</t>
  </si>
  <si>
    <t>SNCN00000500</t>
  </si>
  <si>
    <t>SNCN00000769</t>
  </si>
  <si>
    <t>31000310480999090069674380100000</t>
  </si>
  <si>
    <t>SNCN00000578</t>
  </si>
  <si>
    <t>SNCN00000542</t>
  </si>
  <si>
    <t>80CMAHFINERGECAPF000000000000001</t>
  </si>
  <si>
    <t>31000010632561149000000000000000</t>
  </si>
  <si>
    <t>SNCN00000815</t>
  </si>
  <si>
    <t>31000309803023096000000000000000</t>
  </si>
  <si>
    <t>31000310178469091069674220100000</t>
  </si>
  <si>
    <t>31CMAH0000000000R962304820250510</t>
  </si>
  <si>
    <t>31CMAH0000000000R962304820252950</t>
  </si>
  <si>
    <t>31CMAH0000000000R962304820295900</t>
  </si>
  <si>
    <t>31CMAH0000000000R962304820319600</t>
  </si>
  <si>
    <t>31CMAH0000000000R962304820359300</t>
  </si>
  <si>
    <t>31CMAH0000000000R962304820383640</t>
  </si>
  <si>
    <t>31CMAH0000000000R962304830386740</t>
  </si>
  <si>
    <t>31CMAHenergyS1xS2OVER2ENFSMERT0C</t>
  </si>
  <si>
    <t>82000000007011999000200000680818</t>
  </si>
  <si>
    <t>89CMAH2022000041R001520220603902</t>
  </si>
  <si>
    <t>89CMAH2022000041R001520230039721</t>
  </si>
  <si>
    <t>89CMAH2022000041R001520230085936</t>
  </si>
  <si>
    <t>89CMAH2022000041R001520230085973</t>
  </si>
  <si>
    <t>89CMAH2022000041R001520230086025</t>
  </si>
  <si>
    <t>89CMAH2022000041R001520230144736</t>
  </si>
  <si>
    <t>89CMAH2022000041R001520230144796</t>
  </si>
  <si>
    <t>89CMAH2022000041R001520230177873</t>
  </si>
  <si>
    <t>89CMAH2022000041R001520230178000</t>
  </si>
  <si>
    <t>89CMAH2022000041R001520230178352</t>
  </si>
  <si>
    <t>89CMAH2022000041R001520230233973</t>
  </si>
  <si>
    <t>89CMAH2022000041R001520230234128</t>
  </si>
  <si>
    <t>89CMAH2022000041R001520230234135</t>
  </si>
  <si>
    <t>89CMAH2022000041R001520230234157</t>
  </si>
  <si>
    <t>89CMAH2022000041R001520230234226</t>
  </si>
  <si>
    <t>89CMAH2022000041R001520230234282</t>
  </si>
  <si>
    <t>89CMAH2022000041R001520230234343</t>
  </si>
  <si>
    <t>89CMAH2022000041R001520230234361</t>
  </si>
  <si>
    <t>89CMAH2022000041R001520230234382</t>
  </si>
  <si>
    <t>89CMAH2022000041R001520230234455</t>
  </si>
  <si>
    <t>89CMAH2022000041R001520230234679</t>
  </si>
  <si>
    <t>89CMAH2022000041R001520230234688</t>
  </si>
  <si>
    <t>89CMAH2022000041R001520230289340</t>
  </si>
  <si>
    <t>89CMAH2022000041R001520230289360</t>
  </si>
  <si>
    <t>89CMAH2022000041R001520230289427</t>
  </si>
  <si>
    <t>89CMAH2022000041R001520230289665</t>
  </si>
  <si>
    <t>89CMAH2022000041R001520230289677</t>
  </si>
  <si>
    <t>89CMAH2022000041R001520230289827</t>
  </si>
  <si>
    <t>89CMAH2022000041R001520230289836</t>
  </si>
  <si>
    <t>89CMAH2022000041R001520230289883</t>
  </si>
  <si>
    <t>89CMAH2022000041R001520230289896</t>
  </si>
  <si>
    <t>89CMAH2022000041R001520230289980</t>
  </si>
  <si>
    <t>89CMAH2022000041R001520230290074</t>
  </si>
  <si>
    <t>89CMAH2022000041R001520230290085</t>
  </si>
  <si>
    <t>89CMAH2022000041R001520230290148</t>
  </si>
  <si>
    <t>89CMAH2022000041R001520230290305</t>
  </si>
  <si>
    <t>89CMAH2022000041R001520230290384</t>
  </si>
  <si>
    <t>89CMAH2022000041R001520230290596</t>
  </si>
  <si>
    <t>89CMAH2022000041R001520230290648</t>
  </si>
  <si>
    <t>89CMAH2022000041R001520230290656</t>
  </si>
  <si>
    <t>89CMAH2022000041R001520230290666</t>
  </si>
  <si>
    <t>89CMAH2022000041R001520230290690</t>
  </si>
  <si>
    <t>89CMAH2022000041R001520230290694</t>
  </si>
  <si>
    <t>89CMAH2022000041R001520230290718</t>
  </si>
  <si>
    <t>89CMAH2022000041R001520230290724</t>
  </si>
  <si>
    <t>89CMAH2022000041R001520230290785</t>
  </si>
  <si>
    <t>89CMAH2022000041R001520230290865</t>
  </si>
  <si>
    <t>89CMAH2022000041R001520230290867</t>
  </si>
  <si>
    <t>SNCN00000031</t>
  </si>
  <si>
    <t>SNCN00000070</t>
  </si>
  <si>
    <t>SNCN00000080</t>
  </si>
  <si>
    <t>SNCN00000096</t>
  </si>
  <si>
    <t>SNCN00000192</t>
  </si>
  <si>
    <t>SNCN00000199</t>
  </si>
  <si>
    <t>SNCN00000245</t>
  </si>
  <si>
    <t>SNCN00000365</t>
  </si>
  <si>
    <t>SNCN00000447</t>
  </si>
  <si>
    <t>SNCN00000494</t>
  </si>
  <si>
    <t>SNCN00000925</t>
  </si>
  <si>
    <t>SNCN00000936</t>
  </si>
  <si>
    <t>SNCN00000985</t>
  </si>
  <si>
    <t>31CMAH0000000000R599904815307790</t>
  </si>
  <si>
    <t>31CMAH0000000000R962304830386760</t>
  </si>
  <si>
    <t>31CMAH0000000000R962304830398060</t>
  </si>
  <si>
    <t>82000000000054268000450000404379</t>
  </si>
  <si>
    <t>82000000000102342000420000415032</t>
  </si>
  <si>
    <t>82000000000137313000450000508004</t>
  </si>
  <si>
    <t>82000000007000460000200000642784</t>
  </si>
  <si>
    <t>82000000007000984000200000643418</t>
  </si>
  <si>
    <t>82000000007003461000200000646094</t>
  </si>
  <si>
    <t>82000000007008610000200000658707</t>
  </si>
  <si>
    <t>82000000007011267000200000680169</t>
  </si>
  <si>
    <t>89CMAH2022000041R001520230039289</t>
  </si>
  <si>
    <t>89CMAH2022000041R001520230177921</t>
  </si>
  <si>
    <t>89CMAH2022000041R001520230177981</t>
  </si>
  <si>
    <t>89CMAH2022000041R001520230178200</t>
  </si>
  <si>
    <t>89CMAH2022000041R001520230178293</t>
  </si>
  <si>
    <t>89CMAH2022000041R001520230234117</t>
  </si>
  <si>
    <t>89CMAH2022000041R001520230234216</t>
  </si>
  <si>
    <t>89CMAH2022000041R001520230234260</t>
  </si>
  <si>
    <t>89CMAH2022000041R001520230234273</t>
  </si>
  <si>
    <t>89CMAH2022000041R001520230234372</t>
  </si>
  <si>
    <t>89CMAH2022000041R001520230234427</t>
  </si>
  <si>
    <t>89CMAH2022000041R001520230234612</t>
  </si>
  <si>
    <t>89CMAH2022000041R001520230234697</t>
  </si>
  <si>
    <t>89CMAH2022000041R001520230289291</t>
  </si>
  <si>
    <t>89CMAH2022000041R001520230289519</t>
  </si>
  <si>
    <t>89CMAH2022000041R001520230289527</t>
  </si>
  <si>
    <t>89CMAH2022000041R001520230289723</t>
  </si>
  <si>
    <t>89CMAH2022000041R001520230289769</t>
  </si>
  <si>
    <t>89CMAH2022000041R001520230289851</t>
  </si>
  <si>
    <t>89CMAH2022000041R001520230289902</t>
  </si>
  <si>
    <t>89CMAH2022000041R001520230289921</t>
  </si>
  <si>
    <t>89CMAH2022000041R001520230289958</t>
  </si>
  <si>
    <t>89CMAH2022000041R001520230289974</t>
  </si>
  <si>
    <t>89CMAH2022000041R001520230289992</t>
  </si>
  <si>
    <t>89CMAH2022000041R001520230290005</t>
  </si>
  <si>
    <t>89CMAH2022000041R001520230290054</t>
  </si>
  <si>
    <t>89CMAH2022000041R001520230290090</t>
  </si>
  <si>
    <t>89CMAH2022000041R001520230290100</t>
  </si>
  <si>
    <t>89CMAH2022000041R001520230290131</t>
  </si>
  <si>
    <t>89CMAH2022000041R001520230290149</t>
  </si>
  <si>
    <t>89CMAH2022000041R001520230290249</t>
  </si>
  <si>
    <t>89CMAH2022000041R001520230290265</t>
  </si>
  <si>
    <t>89CMAH2022000041R001520230290324</t>
  </si>
  <si>
    <t>89CMAH2022000041R001520230290348</t>
  </si>
  <si>
    <t>89CMAH2022000041R001520230290354</t>
  </si>
  <si>
    <t>89CMAH2022000041R001520230290356</t>
  </si>
  <si>
    <t>89CMAH2022000041R001520230290377</t>
  </si>
  <si>
    <t>89CMAH2022000041R001520230290456</t>
  </si>
  <si>
    <t>89CMAH2022000041R001520230290461</t>
  </si>
  <si>
    <t>89CMAH2022000041R001520230290652</t>
  </si>
  <si>
    <t>89CMAH2022000041R001520230290708</t>
  </si>
  <si>
    <t>89CMAH2022000041R001520230290769</t>
  </si>
  <si>
    <t>89CMAH2022000041R001520230290856</t>
  </si>
  <si>
    <t>SNCN00000025</t>
  </si>
  <si>
    <t>SNCN00000057</t>
  </si>
  <si>
    <t>SNCN00000156</t>
  </si>
  <si>
    <t>SNCN00000179</t>
  </si>
  <si>
    <t>SNCN00000290</t>
  </si>
  <si>
    <t>SNCN00000367</t>
  </si>
  <si>
    <t>SNCN00000382</t>
  </si>
  <si>
    <t>SNCN00000610</t>
  </si>
  <si>
    <t>SNCN00000944</t>
  </si>
  <si>
    <t>31CMAH0000000000R262304820019220</t>
  </si>
  <si>
    <t>31CMAH0000000000R262304820025410</t>
  </si>
  <si>
    <t>31CMAH0000000000R962304820174780</t>
  </si>
  <si>
    <t>31CMAH0000000000R962304820288710</t>
  </si>
  <si>
    <t>31CMAH0000000000R962304820345590</t>
  </si>
  <si>
    <t>31CMAHenergyS1xS2OVER1ENFGDRST0A</t>
  </si>
  <si>
    <t>82000000007001990000200000644112</t>
  </si>
  <si>
    <t>82000000007002087000200000644288</t>
  </si>
  <si>
    <t>82000000007005586000200000648511</t>
  </si>
  <si>
    <t>82000000007006339000200000646281</t>
  </si>
  <si>
    <t>82000000007006385000200000424720</t>
  </si>
  <si>
    <t>82000000007007710000200000685684</t>
  </si>
  <si>
    <t>82000000007011483000200000680391</t>
  </si>
  <si>
    <t>82000000007017957000200000761244</t>
  </si>
  <si>
    <t>82000000007018038000200000658797</t>
  </si>
  <si>
    <t>82000000007018695000200000560285</t>
  </si>
  <si>
    <t>82000000008007606000530000886360</t>
  </si>
  <si>
    <t>89CMAH2022000041R001520230085720</t>
  </si>
  <si>
    <t>89CMAH2022000041R001520230144907</t>
  </si>
  <si>
    <t>89CMAH2022000041R001520230177997</t>
  </si>
  <si>
    <t>89CMAH2022000041R001520230178011</t>
  </si>
  <si>
    <t>89CMAH2022000041R001520230178037</t>
  </si>
  <si>
    <t>89CMAH2022000041R001520230178467</t>
  </si>
  <si>
    <t>89CMAH2022000041R001520230178630</t>
  </si>
  <si>
    <t>89CMAH2022000041R001520230234262</t>
  </si>
  <si>
    <t>89CMAH2022000041R001520230234277</t>
  </si>
  <si>
    <t>89CMAH2022000041R001520230234288</t>
  </si>
  <si>
    <t>89CMAH2022000041R001520230234355</t>
  </si>
  <si>
    <t>89CMAH2022000041R001520230234522</t>
  </si>
  <si>
    <t>89CMAH2022000041R001520230234683</t>
  </si>
  <si>
    <t>89CMAH2022000041R001520230234699</t>
  </si>
  <si>
    <t>89CMAH2022000041R001520230234717</t>
  </si>
  <si>
    <t>89CMAH2022000041R001520230289432</t>
  </si>
  <si>
    <t>89CMAH2022000041R001520230289478</t>
  </si>
  <si>
    <t>89CMAH2022000041R001520230289481</t>
  </si>
  <si>
    <t>89CMAH2022000041R001520230289623</t>
  </si>
  <si>
    <t>89CMAH2022000041R001520230289639</t>
  </si>
  <si>
    <t>89CMAH2022000041R001520230289672</t>
  </si>
  <si>
    <t>89CMAH2022000041R001520230289701</t>
  </si>
  <si>
    <t>89CMAH2022000041R001520230289731</t>
  </si>
  <si>
    <t>89CMAH2022000041R001520230289801</t>
  </si>
  <si>
    <t>89CMAH2022000041R001520230289802</t>
  </si>
  <si>
    <t>89CMAH2022000041R001520230289824</t>
  </si>
  <si>
    <t>89CMAH2022000041R001520230289943</t>
  </si>
  <si>
    <t>89CMAH2022000041R001520230290201</t>
  </si>
  <si>
    <t>89CMAH2022000041R001520230290297</t>
  </si>
  <si>
    <t>89CMAH2022000041R001520230290446</t>
  </si>
  <si>
    <t>89CMAH2022000041R001520230290471</t>
  </si>
  <si>
    <t>89CMAH2022000041R001520230290488</t>
  </si>
  <si>
    <t>89CMAH2022000041R001520230290667</t>
  </si>
  <si>
    <t>89CMAH2022000041R001520230290775</t>
  </si>
  <si>
    <t>89CMAH2022000041R001520230290888</t>
  </si>
  <si>
    <t>89CMAH2022000041R001520230290912</t>
  </si>
  <si>
    <t>SNCN00000203</t>
  </si>
  <si>
    <t>SNCN00000984</t>
  </si>
  <si>
    <t>31000310193815091069674130100000</t>
  </si>
  <si>
    <t>31CMAH0000000000R262304840020780</t>
  </si>
  <si>
    <t>31CMAH0000000000R362304841024400</t>
  </si>
  <si>
    <t>31CMAH0000000000R962304820228590</t>
  </si>
  <si>
    <t>31CMAH0000000000R962304820338160</t>
  </si>
  <si>
    <t>31CMAH0000000000R962304820340170</t>
  </si>
  <si>
    <t>31CMAH0000000000R962304820358740</t>
  </si>
  <si>
    <t>31CMAHenergyS1xS2OVER1ENFSMERT0G</t>
  </si>
  <si>
    <t>82000000007001001000200000643427</t>
  </si>
  <si>
    <t>82000000007003889000200000646623</t>
  </si>
  <si>
    <t>82000000007010090000200000672579</t>
  </si>
  <si>
    <t>82000000007010352000200000548039</t>
  </si>
  <si>
    <t>82000000007011532000200000680996</t>
  </si>
  <si>
    <t>82000000008007126000530000504892</t>
  </si>
  <si>
    <t>890000201300031351000500C43636I0</t>
  </si>
  <si>
    <t>89CMAH2022000041R001520220603846</t>
  </si>
  <si>
    <t>89CMAH2022000041R001520230039454</t>
  </si>
  <si>
    <t>89CMAH2022000041R001520230085841</t>
  </si>
  <si>
    <t>89CMAH2022000041R001520230086181</t>
  </si>
  <si>
    <t>89CMAH2022000041R001520230177906</t>
  </si>
  <si>
    <t>89CMAH2022000041R001520230178027</t>
  </si>
  <si>
    <t>89CMAH2022000041R001520230178149</t>
  </si>
  <si>
    <t>89CMAH2022000041R001520230178177</t>
  </si>
  <si>
    <t>89CMAH2022000041R001520230234119</t>
  </si>
  <si>
    <t>89CMAH2022000041R001520230234140</t>
  </si>
  <si>
    <t>89CMAH2022000041R001520230234217</t>
  </si>
  <si>
    <t>89CMAH2022000041R001520230234393</t>
  </si>
  <si>
    <t>89CMAH2022000041R001520230234462</t>
  </si>
  <si>
    <t>89CMAH2022000041R001520230234678</t>
  </si>
  <si>
    <t>89CMAH2022000041R001520230234716</t>
  </si>
  <si>
    <t>89CMAH2022000041R001520230289320</t>
  </si>
  <si>
    <t>89CMAH2022000041R001520230289406</t>
  </si>
  <si>
    <t>89CMAH2022000041R001520230289564</t>
  </si>
  <si>
    <t>89CMAH2022000041R001520230289652</t>
  </si>
  <si>
    <t>89CMAH2022000041R001520230289697</t>
  </si>
  <si>
    <t>89CMAH2022000041R001520230289716</t>
  </si>
  <si>
    <t>89CMAH2022000041R001520230289733</t>
  </si>
  <si>
    <t>89CMAH2022000041R001520230289761</t>
  </si>
  <si>
    <t>89CMAH2022000041R001520230289787</t>
  </si>
  <si>
    <t>89CMAH2022000041R001520230289796</t>
  </si>
  <si>
    <t>89CMAH2022000041R001520230289815</t>
  </si>
  <si>
    <t>89CMAH2022000041R001520230289861</t>
  </si>
  <si>
    <t>89CMAH2022000041R001520230290040</t>
  </si>
  <si>
    <t>89CMAH2022000041R001520230290070</t>
  </si>
  <si>
    <t>89CMAH2022000041R001520230290187</t>
  </si>
  <si>
    <t>89CMAH2022000041R001520230290290</t>
  </si>
  <si>
    <t>89CMAH2022000041R001520230290401</t>
  </si>
  <si>
    <t>89CMAH2022000041R001520230290566</t>
  </si>
  <si>
    <t>89CMAH2022000041R001520230290569</t>
  </si>
  <si>
    <t>89CMAH2022000041R001520230290646</t>
  </si>
  <si>
    <t>89CMAH2022000041R001520230290744</t>
  </si>
  <si>
    <t>89CMAH2022000041R001520230290824</t>
  </si>
  <si>
    <t>89CMAH2022000041R001520230290828</t>
  </si>
  <si>
    <t>89CMAH2022000041R001520230290895</t>
  </si>
  <si>
    <t>SNCN00000151</t>
  </si>
  <si>
    <t>SNCN00000322</t>
  </si>
  <si>
    <t>SNCN00000377</t>
  </si>
  <si>
    <t>SNCN00000485</t>
  </si>
  <si>
    <t>SNCN00000746</t>
  </si>
  <si>
    <t>SNCN00000977</t>
  </si>
  <si>
    <t>SNCN00000979</t>
  </si>
  <si>
    <t>SNCN00000981</t>
  </si>
  <si>
    <t>31000310190837091069674630100000</t>
  </si>
  <si>
    <t>31000310568892090069674230100000</t>
  </si>
  <si>
    <t>31000050010765029000000000000000</t>
  </si>
  <si>
    <t>31663600350114722363603501147220</t>
  </si>
  <si>
    <t>31CMAH0000000000R262304820022810</t>
  </si>
  <si>
    <t>31CMAH0000000000R262304840019840</t>
  </si>
  <si>
    <t>31CMAH0000000000R599904815307260</t>
  </si>
  <si>
    <t>31CMAH0000000000R962304820273750</t>
  </si>
  <si>
    <t>31CMAH0000000000R962304820345600</t>
  </si>
  <si>
    <t>31CMAH0000000000R962304820381260</t>
  </si>
  <si>
    <t>31CMAH0000580004RXS0292898912000</t>
  </si>
  <si>
    <t>82000000007004342000200000647209</t>
  </si>
  <si>
    <t>82000000007004346000200000647206</t>
  </si>
  <si>
    <t>82000000007004366000200000647130</t>
  </si>
  <si>
    <t>82000000007006029000200000648810</t>
  </si>
  <si>
    <t>82000000007006387000200000647511</t>
  </si>
  <si>
    <t>82000000007008459000200000657382</t>
  </si>
  <si>
    <t>82000000007011336000200000680755</t>
  </si>
  <si>
    <t>89CMAH2022000041R001520230040011</t>
  </si>
  <si>
    <t>89CMAH2022000041R001520230085855</t>
  </si>
  <si>
    <t>89CMAH2022000041R001520230086085</t>
  </si>
  <si>
    <t>89CMAH2022000041R001520230086160</t>
  </si>
  <si>
    <t>89CMAH2022000041R001520230177878</t>
  </si>
  <si>
    <t>89CMAH2022000041R001520230177930</t>
  </si>
  <si>
    <t>89CMAH2022000041R001520230178032</t>
  </si>
  <si>
    <t>89CMAH2022000041R001520230178053</t>
  </si>
  <si>
    <t>89CMAH2022000041R001520230178190</t>
  </si>
  <si>
    <t>89CMAH2022000041R001520230178544</t>
  </si>
  <si>
    <t>89CMAH2022000041R001520230234036</t>
  </si>
  <si>
    <t>89CMAH2022000041R001520230234132</t>
  </si>
  <si>
    <t>89CMAH2022000041R001520230234292</t>
  </si>
  <si>
    <t>89CMAH2022000041R001520230234332</t>
  </si>
  <si>
    <t>89CMAH2022000041R001520230234438</t>
  </si>
  <si>
    <t>89CMAH2022000041R001520230234469</t>
  </si>
  <si>
    <t>89CMAH2022000041R001520230234500</t>
  </si>
  <si>
    <t>89CMAH2022000041R001520230234507</t>
  </si>
  <si>
    <t>89CMAH2022000041R001520230234684</t>
  </si>
  <si>
    <t>89CMAH2022000041R001520230289293</t>
  </si>
  <si>
    <t>89CMAH2022000041R001520230289344</t>
  </si>
  <si>
    <t>89CMAH2022000041R001520230289367</t>
  </si>
  <si>
    <t>89CMAH2022000041R001520230289394</t>
  </si>
  <si>
    <t>89CMAH2022000041R001520230289440</t>
  </si>
  <si>
    <t>89CMAH2022000041R001520230289466</t>
  </si>
  <si>
    <t>89CMAH2022000041R001520230289522</t>
  </si>
  <si>
    <t>89CMAH2022000041R001520230289591</t>
  </si>
  <si>
    <t>89CMAH2022000041R001520230289663</t>
  </si>
  <si>
    <t>89CMAH2022000041R001520230289713</t>
  </si>
  <si>
    <t>89CMAH2022000041R001520230289823</t>
  </si>
  <si>
    <t>89CMAH2022000041R001520230289838</t>
  </si>
  <si>
    <t>89CMAH2022000041R001520230289916</t>
  </si>
  <si>
    <t>89CMAH2022000041R001520230289928</t>
  </si>
  <si>
    <t>89CMAH2022000041R001520230290008</t>
  </si>
  <si>
    <t>89CMAH2022000041R001520230290083</t>
  </si>
  <si>
    <t>89CMAH2022000041R001520230290093</t>
  </si>
  <si>
    <t>89CMAH2022000041R001520230290154</t>
  </si>
  <si>
    <t>89CMAH2022000041R001520230290294</t>
  </si>
  <si>
    <t>89CMAH2022000041R001520230290370</t>
  </si>
  <si>
    <t>89CMAH2022000041R001520230290416</t>
  </si>
  <si>
    <t>89CMAH2022000041R001520230290476</t>
  </si>
  <si>
    <t>89CMAH2022000041R001520230290519</t>
  </si>
  <si>
    <t>89CMAH2022000041R001520230290544</t>
  </si>
  <si>
    <t>89CMAH2022000041R001520230290561</t>
  </si>
  <si>
    <t>89CMAH2022000041R001520230290635</t>
  </si>
  <si>
    <t>89CMAH2022000041R001520230290680</t>
  </si>
  <si>
    <t>89CMAH2022000041R001520230290681</t>
  </si>
  <si>
    <t>89CMAH2022000041R001520230290725</t>
  </si>
  <si>
    <t>89CMAH2022000041R001520230290784</t>
  </si>
  <si>
    <t>89CMAH2022000041R001520230290845</t>
  </si>
  <si>
    <t>89CMAH2022000041R001520230290868</t>
  </si>
  <si>
    <t>89CMAH2022000041R001520230290882</t>
  </si>
  <si>
    <t>89CMAH2022000041R001520230290905</t>
  </si>
  <si>
    <t>89CMAH2022000041R001520230290906</t>
  </si>
  <si>
    <t>SNCN00000216</t>
  </si>
  <si>
    <t>SNCN00000334</t>
  </si>
  <si>
    <t>SNCN00000420</t>
  </si>
  <si>
    <t>SNCN00000491</t>
  </si>
  <si>
    <t>SNCN00000766</t>
  </si>
  <si>
    <t>SNCN00000804</t>
  </si>
  <si>
    <t>SNCN00000879</t>
  </si>
  <si>
    <t>SNCN00000890</t>
  </si>
  <si>
    <t>31000800538759096000000000000000</t>
  </si>
  <si>
    <t>31000310568934090069674340100000</t>
  </si>
  <si>
    <t>31CMAH0000000000R162304848005620</t>
  </si>
  <si>
    <t>31CMAH0000000000R962304820379000</t>
  </si>
  <si>
    <t>31CMAH0000000000R962304820389300</t>
  </si>
  <si>
    <t>31CMAH0000000000R962304820399850</t>
  </si>
  <si>
    <t>31CMAH0000000000R962304830364570</t>
  </si>
  <si>
    <t>31CMAHEUROSISTEMA000000000000000</t>
  </si>
  <si>
    <t>82000000007001546000200000643806</t>
  </si>
  <si>
    <t>82000000007001560000200000643810</t>
  </si>
  <si>
    <t>82000000007002331000200000644573</t>
  </si>
  <si>
    <t>82000000007003870000200000646612</t>
  </si>
  <si>
    <t>82000000007004801000200000647752</t>
  </si>
  <si>
    <t>82000000007004819000200000647743</t>
  </si>
  <si>
    <t>82000000007008132000200000656212</t>
  </si>
  <si>
    <t>89CMAH2022000041R001520230085408</t>
  </si>
  <si>
    <t>89CMAH2022000041R001520230086049</t>
  </si>
  <si>
    <t>89CMAH2022000041R001520230177989</t>
  </si>
  <si>
    <t>89CMAH2022000041R001520230178144</t>
  </si>
  <si>
    <t>89CMAH2022000041R001520230178496</t>
  </si>
  <si>
    <t>89CMAH2022000041R001520230178557</t>
  </si>
  <si>
    <t>89CMAH2022000041R001520230234082</t>
  </si>
  <si>
    <t>89CMAH2022000041R001520230234252</t>
  </si>
  <si>
    <t>89CMAH2022000041R001520230234317</t>
  </si>
  <si>
    <t>89CMAH2022000041R001520230234399</t>
  </si>
  <si>
    <t>89CMAH2022000041R001520230234408</t>
  </si>
  <si>
    <t>89CMAH2022000041R001520230234422</t>
  </si>
  <si>
    <t>89CMAH2022000041R001520230234457</t>
  </si>
  <si>
    <t>89CMAH2022000041R001520230234489</t>
  </si>
  <si>
    <t>89CMAH2022000041R001520230234640</t>
  </si>
  <si>
    <t>89CMAH2022000041R001520230234671</t>
  </si>
  <si>
    <t>89CMAH2022000041R001520230234690</t>
  </si>
  <si>
    <t>89CMAH2022000041R001520230234695</t>
  </si>
  <si>
    <t>89CMAH2022000041R001520230234709</t>
  </si>
  <si>
    <t>89CMAH2022000041R001520230234728</t>
  </si>
  <si>
    <t>89CMAH2022000041R001520230289332</t>
  </si>
  <si>
    <t>89CMAH2022000041R001520230289333</t>
  </si>
  <si>
    <t>89CMAH2022000041R001520230289435</t>
  </si>
  <si>
    <t>89CMAH2022000041R001520230289467</t>
  </si>
  <si>
    <t>89CMAH2022000041R001520230289516</t>
  </si>
  <si>
    <t>89CMAH2022000041R001520230289558</t>
  </si>
  <si>
    <t>89CMAH2022000041R001520230289636</t>
  </si>
  <si>
    <t>89CMAH2022000041R001520230289739</t>
  </si>
  <si>
    <t>89CMAH2022000041R001520230289757</t>
  </si>
  <si>
    <t>89CMAH2022000041R001520230289771</t>
  </si>
  <si>
    <t>89CMAH2022000041R001520230289812</t>
  </si>
  <si>
    <t>89CMAH2022000041R001520230289967</t>
  </si>
  <si>
    <t>89CMAH2022000041R001520230289997</t>
  </si>
  <si>
    <t>89CMAH2022000041R001520230290032</t>
  </si>
  <si>
    <t>89CMAH2022000041R001520230290089</t>
  </si>
  <si>
    <t>89CMAH2022000041R001520230290136</t>
  </si>
  <si>
    <t>89CMAH2022000041R001520230290191</t>
  </si>
  <si>
    <t>89CMAH2022000041R001520230290210</t>
  </si>
  <si>
    <t>89CMAH2022000041R001520230290250</t>
  </si>
  <si>
    <t>89CMAH2022000041R001520230290326</t>
  </si>
  <si>
    <t>89CMAH2022000041R001520230290359</t>
  </si>
  <si>
    <t>89CMAH2022000041R001520230290410</t>
  </si>
  <si>
    <t>89CMAH2022000041R001520230290421</t>
  </si>
  <si>
    <t>89CMAH2022000041R001520230290449</t>
  </si>
  <si>
    <t>89CMAH2022000041R001520230290453</t>
  </si>
  <si>
    <t>89CMAH2022000041R001520230290505</t>
  </si>
  <si>
    <t>89CMAH2022000041R001520230290554</t>
  </si>
  <si>
    <t>89CMAH2022000041R001520230290668</t>
  </si>
  <si>
    <t>89CMAH2022000041R001520230290735</t>
  </si>
  <si>
    <t>89CMAH2022000041R001520230290848</t>
  </si>
  <si>
    <t>89CMAH2022000041R001520230290887</t>
  </si>
  <si>
    <t>SNCN00000095</t>
  </si>
  <si>
    <t>SNCN00000248</t>
  </si>
  <si>
    <t>SNCN00000402</t>
  </si>
  <si>
    <t>SNCN00000405</t>
  </si>
  <si>
    <t>SNCN00000463</t>
  </si>
  <si>
    <t>SNCN00000597</t>
  </si>
  <si>
    <t>31CMAH0000000000R262304820022630</t>
  </si>
  <si>
    <t>31CMAH0000000000R262304840022010</t>
  </si>
  <si>
    <t>31CMAH0000000000R962304820357170</t>
  </si>
  <si>
    <t>31CMAH0000000000R962304820384930</t>
  </si>
  <si>
    <t>31CMAH0000000000R962304820410130</t>
  </si>
  <si>
    <t>31CMAH0000000000R962304840141090</t>
  </si>
  <si>
    <t>82000000007006336000200000647123</t>
  </si>
  <si>
    <t>82000000007006585000200000650362</t>
  </si>
  <si>
    <t>82000000007008188000200000656462</t>
  </si>
  <si>
    <t>82000000007017545000200000754949</t>
  </si>
  <si>
    <t>316416SUPRIMENTOSPTTAE0AN0006000</t>
  </si>
  <si>
    <t>31CMAH0000000000R262304820025720</t>
  </si>
  <si>
    <t>31CMAH0000000000R262304840018380</t>
  </si>
  <si>
    <t>31CMAH0000000000R262304840020050</t>
  </si>
  <si>
    <t>31CMAH0000000000R962304820402570</t>
  </si>
  <si>
    <t>31CMAHenergyS1xS2OVER1ENFSMERT0H</t>
  </si>
  <si>
    <t>89CMAH2022000041R001520230040002</t>
  </si>
  <si>
    <t>89CMAH2022000041R001520230144801</t>
  </si>
  <si>
    <t>89CMAH2022000041R001520230144826</t>
  </si>
  <si>
    <t>89CMAH2022000041R001520230145020</t>
  </si>
  <si>
    <t>89CMAH2022000041R001520230177872</t>
  </si>
  <si>
    <t>89CMAH2022000041R001520230177879</t>
  </si>
  <si>
    <t>89CMAH2022000041R001520230177939</t>
  </si>
  <si>
    <t>89CMAH2022000041R001520230178129</t>
  </si>
  <si>
    <t>89CMAH2022000041R001520230178476</t>
  </si>
  <si>
    <t>89CMAH2022000041R001520230178521</t>
  </si>
  <si>
    <t>89CMAH2022000041R001520230178601</t>
  </si>
  <si>
    <t>89CMAH2022000041R001520230233994</t>
  </si>
  <si>
    <t>89CMAH2022000041R001520230234006</t>
  </si>
  <si>
    <t>89CMAH2022000041R001520230234092</t>
  </si>
  <si>
    <t>89CMAH2022000041R001520230234170</t>
  </si>
  <si>
    <t>89CMAH2022000041R001520230234212</t>
  </si>
  <si>
    <t>89CMAH2022000041R001520230234223</t>
  </si>
  <si>
    <t>89CMAH2022000041R001520230234358</t>
  </si>
  <si>
    <t>89CMAH2022000041R001520230234359</t>
  </si>
  <si>
    <t>89CMAH2022000041R001520230234423</t>
  </si>
  <si>
    <t>89CMAH2022000041R001520230234424</t>
  </si>
  <si>
    <t>89CMAH2022000041R001520230234515</t>
  </si>
  <si>
    <t>89CMAH2022000041R001520230234521</t>
  </si>
  <si>
    <t>89CMAH2022000041R001520230234564</t>
  </si>
  <si>
    <t>89CMAH2022000041R001520230234631</t>
  </si>
  <si>
    <t>89CMAH2022000041R001520230234656</t>
  </si>
  <si>
    <t>89CMAH2022000041R001520230234680</t>
  </si>
  <si>
    <t>89CMAH2022000041R001520230289298</t>
  </si>
  <si>
    <t>89CMAH2022000041R001520230289305</t>
  </si>
  <si>
    <t>89CMAH2022000041R001520230289347</t>
  </si>
  <si>
    <t>89CMAH2022000041R001520230289588</t>
  </si>
  <si>
    <t>89CMAH2022000041R001520230289600</t>
  </si>
  <si>
    <t>89CMAH2022000041R001520230289603</t>
  </si>
  <si>
    <t>89CMAH2022000041R001520230289641</t>
  </si>
  <si>
    <t>89CMAH2022000041R001520230289658</t>
  </si>
  <si>
    <t>89CMAH2022000041R001520230289759</t>
  </si>
  <si>
    <t>89CMAH2022000041R001520230289810</t>
  </si>
  <si>
    <t>89CMAH2022000041R001520230289931</t>
  </si>
  <si>
    <t>89CMAH2022000041R001520230289941</t>
  </si>
  <si>
    <t>89CMAH2022000041R001520230290079</t>
  </si>
  <si>
    <t>89CMAH2022000041R001520230290091</t>
  </si>
  <si>
    <t>89CMAH2022000041R001520230290263</t>
  </si>
  <si>
    <t>89CMAH2022000041R001520230290283</t>
  </si>
  <si>
    <t>89CMAH2022000041R001520230290381</t>
  </si>
  <si>
    <t>89CMAH2022000041R001520230290385</t>
  </si>
  <si>
    <t>89CMAH2022000041R001520230290409</t>
  </si>
  <si>
    <t>89CMAH2022000041R001520230290419</t>
  </si>
  <si>
    <t>89CMAH2022000041R001520230290452</t>
  </si>
  <si>
    <t>89CMAH2022000041R001520230290469</t>
  </si>
  <si>
    <t>89CMAH2022000041R001520230290508</t>
  </si>
  <si>
    <t>89CMAH2022000041R001520230290636</t>
  </si>
  <si>
    <t>89CMAH2022000041R001520230290692</t>
  </si>
  <si>
    <t>89CMAH2022000041R001520230290841</t>
  </si>
  <si>
    <t>89CMAH2022000041R001520230290899</t>
  </si>
  <si>
    <t>SNCN00000047</t>
  </si>
  <si>
    <t>SNCN00000364</t>
  </si>
  <si>
    <t>SNCN00000473</t>
  </si>
  <si>
    <t>SNCN00000761</t>
  </si>
  <si>
    <t>82000000007000526000200000530351</t>
  </si>
  <si>
    <t>82000000007002443000200000644681</t>
  </si>
  <si>
    <t>82000000007003302000200000645957</t>
  </si>
  <si>
    <t>82000000007009175000200000663119</t>
  </si>
  <si>
    <t>82000000007011502000200000681067</t>
  </si>
  <si>
    <t>82000000007012034000200000680295</t>
  </si>
  <si>
    <t>82000000007012750000200000684862</t>
  </si>
  <si>
    <t>82000000007015046000200000672366</t>
  </si>
  <si>
    <t>82000000007017946000200000761228</t>
  </si>
  <si>
    <t>89CMAH2022000041R001520230085809</t>
  </si>
  <si>
    <t>89CMAH2022000041R001520230145092</t>
  </si>
  <si>
    <t>89CMAH2022000041R001520230177895</t>
  </si>
  <si>
    <t>89CMAH2022000041R001520230177902</t>
  </si>
  <si>
    <t>89CMAH2022000041R001520230177911</t>
  </si>
  <si>
    <t>89CMAH2022000041R001520230178004</t>
  </si>
  <si>
    <t>89CMAH2022000041R001520230178018</t>
  </si>
  <si>
    <t>89CMAH2022000041R001520230178070</t>
  </si>
  <si>
    <t>89CMAH2022000041R001520230178132</t>
  </si>
  <si>
    <t>89CMAH2022000041R001520230233990</t>
  </si>
  <si>
    <t>89CMAH2022000041R001520230234051</t>
  </si>
  <si>
    <t>89CMAH2022000041R001520230234219</t>
  </si>
  <si>
    <t>89CMAH2022000041R001520230234327</t>
  </si>
  <si>
    <t>89CMAH2022000041R001520230234349</t>
  </si>
  <si>
    <t>89CMAH2022000041R001520230234490</t>
  </si>
  <si>
    <t>89CMAH2022000041R001520230234520</t>
  </si>
  <si>
    <t>89CMAH2022000041R001520230234676</t>
  </si>
  <si>
    <t>89CMAH2022000041R001520230289324</t>
  </si>
  <si>
    <t>89CMAH2022000041R001520230289361</t>
  </si>
  <si>
    <t>89CMAH2022000041R001520230289434</t>
  </si>
  <si>
    <t>89CMAH2022000041R001520230289486</t>
  </si>
  <si>
    <t>89CMAH2022000041R001520230289498</t>
  </si>
  <si>
    <t>89CMAH2022000041R001520230289580</t>
  </si>
  <si>
    <t>89CMAH2022000041R001520230289582</t>
  </si>
  <si>
    <t>89CMAH2022000041R001520230289598</t>
  </si>
  <si>
    <t>89CMAH2022000041R001520230289708</t>
  </si>
  <si>
    <t>89CMAH2022000041R001520230289799</t>
  </si>
  <si>
    <t>89CMAH2022000041R001520230289807</t>
  </si>
  <si>
    <t>89CMAH2022000041R001520230289830</t>
  </si>
  <si>
    <t>89CMAH2022000041R001520230289842</t>
  </si>
  <si>
    <t>89CMAH2022000041R001520230289942</t>
  </si>
  <si>
    <t>89CMAH2022000041R001520230290033</t>
  </si>
  <si>
    <t>89CMAH2022000041R001520230290104</t>
  </si>
  <si>
    <t>89CMAH2022000041R001520230290127</t>
  </si>
  <si>
    <t>89CMAH2022000041R001520230290365</t>
  </si>
  <si>
    <t>89CMAH2022000041R001520230290366</t>
  </si>
  <si>
    <t>89CMAH2022000041R001520230290558</t>
  </si>
  <si>
    <t>89CMAH2022000041R001520230290598</t>
  </si>
  <si>
    <t>89CMAH2022000041R001520230290630</t>
  </si>
  <si>
    <t>89CMAH2022000041R001520230290674</t>
  </si>
  <si>
    <t>89CMAH2022000041R001520230290686</t>
  </si>
  <si>
    <t>89CMAH2022000041R001520230290762</t>
  </si>
  <si>
    <t>89CMAH2022000041R001520230290807</t>
  </si>
  <si>
    <t>89CMAH2022000041R001520230290816</t>
  </si>
  <si>
    <t>89CMAH2022000041R001520230290858</t>
  </si>
  <si>
    <t>89CMAH2022000041R001520230290908</t>
  </si>
  <si>
    <t>SNCN00000034</t>
  </si>
  <si>
    <t>SNCN00000035</t>
  </si>
  <si>
    <t>SNCN00000123</t>
  </si>
  <si>
    <t>SNCN00000147</t>
  </si>
  <si>
    <t>SNCN00000235</t>
  </si>
  <si>
    <t>SNCN00000264</t>
  </si>
  <si>
    <t>SNCN00000443</t>
  </si>
  <si>
    <t>SNCN00000459</t>
  </si>
  <si>
    <t>SNCN00000557</t>
  </si>
  <si>
    <t>SNCN00000757</t>
  </si>
  <si>
    <t>SNCN00000785</t>
  </si>
  <si>
    <t>SNCN00000845</t>
  </si>
  <si>
    <t>SNCN00000858</t>
  </si>
  <si>
    <t>SNCN00000928</t>
  </si>
  <si>
    <t>31000310568975090069674650100000</t>
  </si>
  <si>
    <t>31000310171753091069673560100000</t>
  </si>
  <si>
    <t>31000310568876090069674150100000</t>
  </si>
  <si>
    <t>31CMAH0000000000R262304820020190</t>
  </si>
  <si>
    <t>31CMAH0000000000R262304820023080</t>
  </si>
  <si>
    <t>31CMAH0000000000R962304820241980</t>
  </si>
  <si>
    <t>31CMAH0000000000R962304820345580</t>
  </si>
  <si>
    <t>31CMAH0000000000R962304820409870</t>
  </si>
  <si>
    <t>82000000007001158000200000643552</t>
  </si>
  <si>
    <t>82000000007001747000200000644001</t>
  </si>
  <si>
    <t>82000000007002272000200000644376</t>
  </si>
  <si>
    <t>82000000007004295000200000647161</t>
  </si>
  <si>
    <t>82000000007004367000200000647073</t>
  </si>
  <si>
    <t>82000000007007261000200000652713</t>
  </si>
  <si>
    <t>82000000007018692000200000643150</t>
  </si>
  <si>
    <t>31CMAH0000000000R262304820019340</t>
  </si>
  <si>
    <t>31CMAH0000000000R962304820336320</t>
  </si>
  <si>
    <t>31CMAH0000000000R962304820373350</t>
  </si>
  <si>
    <t>31CMAH0000000000R962304820412140</t>
  </si>
  <si>
    <t>31CMAHbckstop2023BACK3ENFSMERT0I</t>
  </si>
  <si>
    <t>82000000007004812000200000647771</t>
  </si>
  <si>
    <t>82000000007004843000200000647754</t>
  </si>
  <si>
    <t>82000000007007048000200000651897</t>
  </si>
  <si>
    <t>82000000007007251000200000652692</t>
  </si>
  <si>
    <t>82000000007008176000200000656457</t>
  </si>
  <si>
    <t>89CMAH2022000041R001520220603126</t>
  </si>
  <si>
    <t>89CMAH2022000041R001520230086170</t>
  </si>
  <si>
    <t>89CMAH2022000041R001520230144677</t>
  </si>
  <si>
    <t>89CMAH2022000041R001520230178076</t>
  </si>
  <si>
    <t>89CMAH2022000041R001520230178135</t>
  </si>
  <si>
    <t>89CMAH2022000041R001520230178215</t>
  </si>
  <si>
    <t>89CMAH2022000041R001520230178290</t>
  </si>
  <si>
    <t>89CMAH2022000041R001520230178355</t>
  </si>
  <si>
    <t>89CMAH2022000041R001520230233991</t>
  </si>
  <si>
    <t>89CMAH2022000041R001520230234060</t>
  </si>
  <si>
    <t>89CMAH2022000041R001520230234177</t>
  </si>
  <si>
    <t>89CMAH2022000041R001520230234196</t>
  </si>
  <si>
    <t>89CMAH2022000041R001520230234200</t>
  </si>
  <si>
    <t>89CMAH2022000041R001520230234227</t>
  </si>
  <si>
    <t>89CMAH2022000041R001520230234321</t>
  </si>
  <si>
    <t>89CMAH2022000041R001520230234390</t>
  </si>
  <si>
    <t>89CMAH2022000041R001520230234512</t>
  </si>
  <si>
    <t>89CMAH2022000041R001520230234585</t>
  </si>
  <si>
    <t>89CMAH2022000041R001520230289366</t>
  </si>
  <si>
    <t>89CMAH2022000041R001520230289452</t>
  </si>
  <si>
    <t>89CMAH2022000041R001520230289480</t>
  </si>
  <si>
    <t>89CMAH2022000041R001520230289506</t>
  </si>
  <si>
    <t>89CMAH2022000041R001520230289524</t>
  </si>
  <si>
    <t>89CMAH2022000041R001520230289607</t>
  </si>
  <si>
    <t>89CMAH2022000041R001520230289634</t>
  </si>
  <si>
    <t>89CMAH2022000041R001520230289737</t>
  </si>
  <si>
    <t>89CMAH2022000041R001520230289753</t>
  </si>
  <si>
    <t>89CMAH2022000041R001520230289755</t>
  </si>
  <si>
    <t>89CMAH2022000041R001520230289789</t>
  </si>
  <si>
    <t>89CMAH2022000041R001520230289821</t>
  </si>
  <si>
    <t>89CMAH2022000041R001520230289956</t>
  </si>
  <si>
    <t>89CMAH2022000041R001520230289959</t>
  </si>
  <si>
    <t>89CMAH2022000041R001520230289977</t>
  </si>
  <si>
    <t>89CMAH2022000041R001520230290058</t>
  </si>
  <si>
    <t>89CMAH2022000041R001520230290114</t>
  </si>
  <si>
    <t>89CMAH2022000041R001520230290237</t>
  </si>
  <si>
    <t>89CMAH2022000041R001520230290358</t>
  </si>
  <si>
    <t>89CMAH2022000041R001520230290369</t>
  </si>
  <si>
    <t>89CMAH2022000041R001520230290397</t>
  </si>
  <si>
    <t>89CMAH2022000041R001520230290404</t>
  </si>
  <si>
    <t>89CMAH2022000041R001520230290434</t>
  </si>
  <si>
    <t>89CMAH2022000041R001520230290451</t>
  </si>
  <si>
    <t>89CMAH2022000041R001520230290611</t>
  </si>
  <si>
    <t>89CMAH2022000041R001520230290712</t>
  </si>
  <si>
    <t>89CMAH2022000041R001520230290739</t>
  </si>
  <si>
    <t>89CMAH2022000041R001520230290844</t>
  </si>
  <si>
    <t>89CMAH2022000041R001520230290876</t>
  </si>
  <si>
    <t>89CMAH2022000041R001520230290916</t>
  </si>
  <si>
    <t>89CMAH2022000041R001520230290927</t>
  </si>
  <si>
    <t>SNCN00000100</t>
  </si>
  <si>
    <t>SNCN00000181</t>
  </si>
  <si>
    <t>SNCN00000186</t>
  </si>
  <si>
    <t>SNCN00000189</t>
  </si>
  <si>
    <t>SNCN00000213</t>
  </si>
  <si>
    <t>SNCN00000258</t>
  </si>
  <si>
    <t>SNCN00000273</t>
  </si>
  <si>
    <t>SNCN00000326</t>
  </si>
  <si>
    <t>SNCN00000373</t>
  </si>
  <si>
    <t>SNCN00000549</t>
  </si>
  <si>
    <t>SNCN00000639</t>
  </si>
  <si>
    <t>SNCN00000734</t>
  </si>
  <si>
    <t>SNCN00000942</t>
  </si>
  <si>
    <t>89CMAH2022000041R001520220603537</t>
  </si>
  <si>
    <t>89CMAH2022000041R001520230144802</t>
  </si>
  <si>
    <t>89CMAH2022000041R001520230177901</t>
  </si>
  <si>
    <t>89CMAH2022000041R001520230177923</t>
  </si>
  <si>
    <t>89CMAH2022000041R001520230178471</t>
  </si>
  <si>
    <t>89CMAH2022000041R001520230234324</t>
  </si>
  <si>
    <t>89CMAH2022000041R001520230234328</t>
  </si>
  <si>
    <t>89CMAH2022000041R001520230234449</t>
  </si>
  <si>
    <t>89CMAH2022000041R001520230234484</t>
  </si>
  <si>
    <t>89CMAH2022000041R001520230234495</t>
  </si>
  <si>
    <t>89CMAH2022000041R001520230234718</t>
  </si>
  <si>
    <t>89CMAH2022000041R001520230289279</t>
  </si>
  <si>
    <t>89CMAH2022000041R001520230289284</t>
  </si>
  <si>
    <t>89CMAH2022000041R001520230289316</t>
  </si>
  <si>
    <t>89CMAH2022000041R001520230289363</t>
  </si>
  <si>
    <t>89CMAH2022000041R001520230289500</t>
  </si>
  <si>
    <t>89CMAH2022000041R001520230289557</t>
  </si>
  <si>
    <t>89CMAH2022000041R001520230289570</t>
  </si>
  <si>
    <t>89CMAH2022000041R001520230289590</t>
  </si>
  <si>
    <t>89CMAH2022000041R001520230289625</t>
  </si>
  <si>
    <t>89CMAH2022000041R001520230289695</t>
  </si>
  <si>
    <t>89CMAH2022000041R001520230289770</t>
  </si>
  <si>
    <t>89CMAH2022000041R001520230289804</t>
  </si>
  <si>
    <t>89CMAH2022000041R001520230289868</t>
  </si>
  <si>
    <t>89CMAH2022000041R001520230289870</t>
  </si>
  <si>
    <t>89CMAH2022000041R001520230290002</t>
  </si>
  <si>
    <t>89CMAH2022000041R001520230290018</t>
  </si>
  <si>
    <t>89CMAH2022000041R001520230290041</t>
  </si>
  <si>
    <t>89CMAH2022000041R001520230290205</t>
  </si>
  <si>
    <t>89CMAH2022000041R001520230290229</t>
  </si>
  <si>
    <t>89CMAH2022000041R001520230290308</t>
  </si>
  <si>
    <t>89CMAH2022000041R001520230290334</t>
  </si>
  <si>
    <t>89CMAH2022000041R001520230290346</t>
  </si>
  <si>
    <t>89CMAH2022000041R001520230290389</t>
  </si>
  <si>
    <t>89CMAH2022000041R001520230290403</t>
  </si>
  <si>
    <t>89CMAH2022000041R001520230290407</t>
  </si>
  <si>
    <t>89CMAH2022000041R001520230290425</t>
  </si>
  <si>
    <t>89CMAH2022000041R001520230290428</t>
  </si>
  <si>
    <t>89CMAH2022000041R001520230290450</t>
  </si>
  <si>
    <t>89CMAH2022000041R001520230290483</t>
  </si>
  <si>
    <t>89CMAH2022000041R001520230290520</t>
  </si>
  <si>
    <t>89CMAH2022000041R001520230290533</t>
  </si>
  <si>
    <t>89CMAH2022000041R001520230290603</t>
  </si>
  <si>
    <t>89CMAH2022000041R001520230290615</t>
  </si>
  <si>
    <t>89CMAH2022000041R001520230290732</t>
  </si>
  <si>
    <t>89CMAH2022000041R001520230290740</t>
  </si>
  <si>
    <t>89CMAH2022000041R001520230290788</t>
  </si>
  <si>
    <t>89CMAH2022000041R001520230290821</t>
  </si>
  <si>
    <t>89CMAH2022000041R001520230290827</t>
  </si>
  <si>
    <t>89CMAH2022000041R001520230290901</t>
  </si>
  <si>
    <t>89CMAH2022000041R001520230290926</t>
  </si>
  <si>
    <t>SNCN00000196</t>
  </si>
  <si>
    <t>SNCN00000638</t>
  </si>
  <si>
    <t>SNCN00000745</t>
  </si>
  <si>
    <t>SNCN00000882</t>
  </si>
  <si>
    <t>SNCN00000947</t>
  </si>
  <si>
    <t>31CMAH0000000000R262304840019830</t>
  </si>
  <si>
    <t>31CMAH0000000000R262304840022330</t>
  </si>
  <si>
    <t>31CMAH0000000000R962304820311050</t>
  </si>
  <si>
    <t>31CMAH0000000000R962304820380160</t>
  </si>
  <si>
    <t>31CMAH0000000000R962304820381270</t>
  </si>
  <si>
    <t>31CMAH0000000000R962304820395580</t>
  </si>
  <si>
    <t>31CMAH0000000000R962304820406830</t>
  </si>
  <si>
    <t>82000000000116136000420000106336</t>
  </si>
  <si>
    <t>82000000007002198000200000644518</t>
  </si>
  <si>
    <t>82000000007004032000200000646698</t>
  </si>
  <si>
    <t>82000000007004385000200000647178</t>
  </si>
  <si>
    <t>82000000007012699000200000677718</t>
  </si>
  <si>
    <t>89CMAH2022000041R001520230086292</t>
  </si>
  <si>
    <t>89CMAH2022000041R001520230144657</t>
  </si>
  <si>
    <t>89CMAH2022000041R001520230144866</t>
  </si>
  <si>
    <t>89CMAH2022000041R001520230145010</t>
  </si>
  <si>
    <t>89CMAH2022000041R001520230145195</t>
  </si>
  <si>
    <t>89CMAH2022000041R001520230178107</t>
  </si>
  <si>
    <t>89CMAH2022000041R001520230178291</t>
  </si>
  <si>
    <t>89CMAH2022000041R001520230178572</t>
  </si>
  <si>
    <t>89CMAH2022000041R001520230178632</t>
  </si>
  <si>
    <t>89CMAH2022000041R001520230233996</t>
  </si>
  <si>
    <t>89CMAH2022000041R001520230234106</t>
  </si>
  <si>
    <t>89CMAH2022000041R001520230234137</t>
  </si>
  <si>
    <t>89CMAH2022000041R001520230234265</t>
  </si>
  <si>
    <t>89CMAH2022000041R001520230234290</t>
  </si>
  <si>
    <t>89CMAH2022000041R001520230234444</t>
  </si>
  <si>
    <t>89CMAH2022000041R001520230234734</t>
  </si>
  <si>
    <t>89CMAH2022000041R001520230234735</t>
  </si>
  <si>
    <t>89CMAH2022000041R001520230289523</t>
  </si>
  <si>
    <t>89CMAH2022000041R001520230289627</t>
  </si>
  <si>
    <t>89CMAH2022000041R001520230289794</t>
  </si>
  <si>
    <t>89CMAH2022000041R001520230289840</t>
  </si>
  <si>
    <t>89CMAH2022000041R001520230289849</t>
  </si>
  <si>
    <t>89CMAH2022000041R001520230289920</t>
  </si>
  <si>
    <t>89CMAH2022000041R001520230289970</t>
  </si>
  <si>
    <t>89CMAH2022000041R001520230290022</t>
  </si>
  <si>
    <t>89CMAH2022000041R001520230290025</t>
  </si>
  <si>
    <t>89CMAH2022000041R001520230290029</t>
  </si>
  <si>
    <t>89CMAH2022000041R001520230290034</t>
  </si>
  <si>
    <t>89CMAH2022000041R001520230290045</t>
  </si>
  <si>
    <t>89CMAH2022000041R001520230290048</t>
  </si>
  <si>
    <t>89CMAH2022000041R001520230290068</t>
  </si>
  <si>
    <t>89CMAH2022000041R001520230290071</t>
  </si>
  <si>
    <t>89CMAH2022000041R001520230290078</t>
  </si>
  <si>
    <t>89CMAH2022000041R001520230290234</t>
  </si>
  <si>
    <t>89CMAH2022000041R001520230290337</t>
  </si>
  <si>
    <t>89CMAH2022000041R001520230290371</t>
  </si>
  <si>
    <t>89CMAH2022000041R001520230290402</t>
  </si>
  <si>
    <t>89CMAH2022000041R001520230290423</t>
  </si>
  <si>
    <t>89CMAH2022000041R001520230290478</t>
  </si>
  <si>
    <t>89CMAH2022000041R001520230290498</t>
  </si>
  <si>
    <t>89CMAH2022000041R001520230290506</t>
  </si>
  <si>
    <t>89CMAH2022000041R001520230290518</t>
  </si>
  <si>
    <t>89CMAH2022000041R001520230290547</t>
  </si>
  <si>
    <t>89CMAH2022000041R001520230290575</t>
  </si>
  <si>
    <t>89CMAH2022000041R001520230290605</t>
  </si>
  <si>
    <t>89CMAH2022000041R001520230290726</t>
  </si>
  <si>
    <t>89CMAH2022000041R001520230290781</t>
  </si>
  <si>
    <t>89CMAH2022000041R001520230290799</t>
  </si>
  <si>
    <t>89CMAH2022000041R001520230290808</t>
  </si>
  <si>
    <t>SNCN00000073</t>
  </si>
  <si>
    <t>SNCN00000125</t>
  </si>
  <si>
    <t>SNCN00000576</t>
  </si>
  <si>
    <t>SNCN00000948</t>
  </si>
  <si>
    <t>31000010699891149000000000000000</t>
  </si>
  <si>
    <t>31000300063544096000000000000000</t>
  </si>
  <si>
    <t>31000010680591149000000000000000</t>
  </si>
  <si>
    <t>31000303542734096000000000000000</t>
  </si>
  <si>
    <t>31000310545486090069674280100000</t>
  </si>
  <si>
    <t>31000050101080149000000000000000</t>
  </si>
  <si>
    <t>31000310559875090069674310100000</t>
  </si>
  <si>
    <t>31000311930032043000000000000000</t>
  </si>
  <si>
    <t>31000310402829090069674720100000</t>
  </si>
  <si>
    <t>31CMAH0000000000R162304840071020</t>
  </si>
  <si>
    <t>31CMAH0000000000R162304880044030</t>
  </si>
  <si>
    <t>31CMAH0000000000R262304840020020</t>
  </si>
  <si>
    <t>31CMAH0000000000R599904815306540</t>
  </si>
  <si>
    <t>31CMAH0000000000R962304820163410</t>
  </si>
  <si>
    <t>31CMAH0000000000R962304820254330</t>
  </si>
  <si>
    <t>31CMAH0000000000R962304820340440</t>
  </si>
  <si>
    <t>31CMAH0000000000R962304820373100</t>
  </si>
  <si>
    <t>31CMAH0000000000R962304820394290</t>
  </si>
  <si>
    <t>82000000000153940000450000532666</t>
  </si>
  <si>
    <t>82000000007000136000200000642311</t>
  </si>
  <si>
    <t>82000000007000988000200000643411</t>
  </si>
  <si>
    <t>82000000007003902000200000646635</t>
  </si>
  <si>
    <t>82000000007011501000200000681068</t>
  </si>
  <si>
    <t>89CMAH2022000041R001520220603045</t>
  </si>
  <si>
    <t>89CMAH2022000041R001520230085844</t>
  </si>
  <si>
    <t>89CMAH2022000041R001520230086268</t>
  </si>
  <si>
    <t>89CMAH2022000041R001520230145030</t>
  </si>
  <si>
    <t>89CMAH2022000041R001520230177937</t>
  </si>
  <si>
    <t>89CMAH2022000041R001520230177958</t>
  </si>
  <si>
    <t>89CMAH2022000041R001520230178063</t>
  </si>
  <si>
    <t>89CMAH2022000041R001520230178580</t>
  </si>
  <si>
    <t>89CMAH2022000041R001520230178613</t>
  </si>
  <si>
    <t>89CMAH2022000041R001520230234100</t>
  </si>
  <si>
    <t>89CMAH2022000041R001520230234174</t>
  </si>
  <si>
    <t>89CMAH2022000041R001520230234215</t>
  </si>
  <si>
    <t>89CMAH2022000041R001520230234348</t>
  </si>
  <si>
    <t>89CMAH2022000041R001520230234404</t>
  </si>
  <si>
    <t>89CMAH2022000041R001520230234465</t>
  </si>
  <si>
    <t>89CMAH2022000041R001520230234477</t>
  </si>
  <si>
    <t>89CMAH2022000041R001520230234502</t>
  </si>
  <si>
    <t>89CMAH2022000041R001520230234530</t>
  </si>
  <si>
    <t>89CMAH2022000041R001520230234711</t>
  </si>
  <si>
    <t>89CMAH2022000041R001520230289282</t>
  </si>
  <si>
    <t>89CMAH2022000041R001520230289285</t>
  </si>
  <si>
    <t>89CMAH2022000041R001520230289453</t>
  </si>
  <si>
    <t>89CMAH2022000041R001520230289528</t>
  </si>
  <si>
    <t>89CMAH2022000041R001520230289555</t>
  </si>
  <si>
    <t>89CMAH2022000041R001520230289568</t>
  </si>
  <si>
    <t>89CMAH2022000041R001520230289618</t>
  </si>
  <si>
    <t>89CMAH2022000041R001520230289635</t>
  </si>
  <si>
    <t>89CMAH2022000041R001520230289779</t>
  </si>
  <si>
    <t>89CMAH2022000041R001520230289795</t>
  </si>
  <si>
    <t>89CMAH2022000041R001520230289879</t>
  </si>
  <si>
    <t>89CMAH2022000041R001520230289894</t>
  </si>
  <si>
    <t>89CMAH2022000041R001520230289932</t>
  </si>
  <si>
    <t>89CMAH2022000041R001520230290010</t>
  </si>
  <si>
    <t>89CMAH2022000041R001520230290102</t>
  </si>
  <si>
    <t>89CMAH2022000041R001520230290108</t>
  </si>
  <si>
    <t>89CMAH2022000041R001520230290156</t>
  </si>
  <si>
    <t>89CMAH2022000041R001520230290236</t>
  </si>
  <si>
    <t>89CMAH2022000041R001520230290336</t>
  </si>
  <si>
    <t>89CMAH2022000041R001520230290396</t>
  </si>
  <si>
    <t>89CMAH2022000041R001520230290399</t>
  </si>
  <si>
    <t>89CMAH2022000041R001520230290585</t>
  </si>
  <si>
    <t>89CMAH2022000041R001520230290594</t>
  </si>
  <si>
    <t>89CMAH2022000041R001520230290601</t>
  </si>
  <si>
    <t>89CMAH2022000041R001520230290731</t>
  </si>
  <si>
    <t>89CMAH2022000041R001520230290755</t>
  </si>
  <si>
    <t>89CMAH2022000041R001520230290764</t>
  </si>
  <si>
    <t>89CMAH2022000041R001520230290805</t>
  </si>
  <si>
    <t>89CMAH2022000041R001520230290806</t>
  </si>
  <si>
    <t>89CMAH2022000041R001520230290809</t>
  </si>
  <si>
    <t>89CMAH2022000041R001520230290864</t>
  </si>
  <si>
    <t>SNCN00000112</t>
  </si>
  <si>
    <t>SNCN00000121</t>
  </si>
  <si>
    <t>SNCN00000148</t>
  </si>
  <si>
    <t>SNCN00000220</t>
  </si>
  <si>
    <t>SNCN00000236</t>
  </si>
  <si>
    <t>SNCN00000311</t>
  </si>
  <si>
    <t>SNCN00000336</t>
  </si>
  <si>
    <t>SNCN00000423</t>
  </si>
  <si>
    <t>SNCN00000861</t>
  </si>
  <si>
    <t>SNCN00000866</t>
  </si>
  <si>
    <t>SNCN00000926</t>
  </si>
  <si>
    <t>SNCN00000954</t>
  </si>
  <si>
    <t>31CMAH0000000000R262304840019270</t>
  </si>
  <si>
    <t>31CMAH0000000000R262304840019610</t>
  </si>
  <si>
    <t>31CMAH0000000000R262304840021030</t>
  </si>
  <si>
    <t>31CMAH0000000000R962304820177650</t>
  </si>
  <si>
    <t>31CMAH0000000000R962304820405670</t>
  </si>
  <si>
    <t>31CMAH0000000000R962304870356080</t>
  </si>
  <si>
    <t>31CMAH22222996020000000000000000</t>
  </si>
  <si>
    <t>31CMAHenergyS1xS2OVER1ENFGDRST0G</t>
  </si>
  <si>
    <t>82000000000126917000450000426454</t>
  </si>
  <si>
    <t>31CMAH0000000000R162304880071650</t>
  </si>
  <si>
    <t>31CMAH0000000000R262304840017920</t>
  </si>
  <si>
    <t>31CMAH0000000000R262304840019810</t>
  </si>
  <si>
    <t>31CMAH0000000000R962304820154140</t>
  </si>
  <si>
    <t>31CMAH0000000000R962304820252720</t>
  </si>
  <si>
    <t>31CMAH0000000000R962304820306080</t>
  </si>
  <si>
    <t>31CMAH0000000000R962304820370880</t>
  </si>
  <si>
    <t>31CMAH0000000000R962304880360060</t>
  </si>
  <si>
    <t>82000000000110505000420000416255</t>
  </si>
  <si>
    <t>31CMAH0000000000R262304820024990</t>
  </si>
  <si>
    <t>31CMAH0000000000R962304820275080</t>
  </si>
  <si>
    <t>31CMAH0000000000R962304820341100</t>
  </si>
  <si>
    <t>31CMAH0000000000R962304820376940</t>
  </si>
  <si>
    <t>31CMAH0000000000R962304820378990</t>
  </si>
  <si>
    <t>31CMAH0000000000R962304820399860</t>
  </si>
  <si>
    <t>31CMAH0000000000R962304820409450</t>
  </si>
  <si>
    <t>31CMAH0000000000R262304820009380</t>
  </si>
  <si>
    <t>31CMAH0000000000R262304820026620</t>
  </si>
  <si>
    <t>31CMAH0000000000R262304840026320</t>
  </si>
  <si>
    <t>31CMAH0000000000R362304820959710</t>
  </si>
  <si>
    <t>31CMAH0000000000R962304820267450</t>
  </si>
  <si>
    <t>31CMAH0000000000R962304820287070</t>
  </si>
  <si>
    <t>31CMAH0000000000R962304820340160</t>
  </si>
  <si>
    <t>31CMAH0000000000R962304820400490</t>
  </si>
  <si>
    <t>31CMAH0000000000R962304820409480</t>
  </si>
  <si>
    <t>82000000005051764000510000539884</t>
  </si>
  <si>
    <t>82000000007001809000200000644022</t>
  </si>
  <si>
    <t>82000000007003917000200000646647</t>
  </si>
  <si>
    <t>82000000007011054000200000679688</t>
  </si>
  <si>
    <t>82000000007014082000200000699415</t>
  </si>
  <si>
    <t>82000000007017945000200000761225</t>
  </si>
  <si>
    <t>82000000007000278000200000642324</t>
  </si>
  <si>
    <t>82000000007000366000200000642347</t>
  </si>
  <si>
    <t>82000000007001724000200000643953</t>
  </si>
  <si>
    <t>82000000007004499000200000646460</t>
  </si>
  <si>
    <t>82000000007007259000200000652691</t>
  </si>
  <si>
    <t>82000000007008452000200000504772</t>
  </si>
  <si>
    <t>82000000001101741000430000500573</t>
  </si>
  <si>
    <t>82000000007001033000200000643474</t>
  </si>
  <si>
    <t>82000000007001754000200000644039</t>
  </si>
  <si>
    <t>82000000007002558000200000504441</t>
  </si>
  <si>
    <t>82000000007004029000200000646697</t>
  </si>
  <si>
    <t>82000000007011475000200000680485</t>
  </si>
  <si>
    <t>82000000007012882000200000686599</t>
  </si>
  <si>
    <t>82000000007014057000200000647586</t>
  </si>
  <si>
    <t>8200000000701446500Y200000482336</t>
  </si>
  <si>
    <t>82000000000980843000420000323920</t>
  </si>
  <si>
    <t>82000000007000343000200000642336</t>
  </si>
  <si>
    <t>82000000007000621000200000642974</t>
  </si>
  <si>
    <t>82000000007001349000200000885934</t>
  </si>
  <si>
    <t>82000000007001421000200000515327</t>
  </si>
  <si>
    <t>82000000007001486000200000539668</t>
  </si>
  <si>
    <t>82000000007002457000200000644695</t>
  </si>
  <si>
    <t>82000000007005772000200000648727</t>
  </si>
  <si>
    <t>82000000007010570000200000677718</t>
  </si>
  <si>
    <t>82000000007011531000200000681021</t>
  </si>
  <si>
    <t>82000000007011922000200000680257</t>
  </si>
  <si>
    <t>82000000007012164000200000680448</t>
  </si>
  <si>
    <t>89CMAH2022000041R001520230177993</t>
  </si>
  <si>
    <t>89CMAH2022000041R001520230177998</t>
  </si>
  <si>
    <t>89CMAH2022000041R001520230178020</t>
  </si>
  <si>
    <t>89CMAH2022000041R001520230178095</t>
  </si>
  <si>
    <t>89CMAH2022000041R001520230178454</t>
  </si>
  <si>
    <t>89CMAH2022000041R001520230178466</t>
  </si>
  <si>
    <t>89CMAH2022000041R001520230178628</t>
  </si>
  <si>
    <t>89CMAH2022000041R001520230233976</t>
  </si>
  <si>
    <t>89CMAH2022000041R001520230234235</t>
  </si>
  <si>
    <t>89CMAH2022000041R001520230234244</t>
  </si>
  <si>
    <t>89CMAH2022000041R001520230234250</t>
  </si>
  <si>
    <t>89CMAH2022000041R001520230234479</t>
  </si>
  <si>
    <t>89CMAH2022000041R001520230234546</t>
  </si>
  <si>
    <t>89CMAH2022000041R001520230234704</t>
  </si>
  <si>
    <t>89CMAH2022000041R001520230289309</t>
  </si>
  <si>
    <t>89CMAH2022000041R001520230289319</t>
  </si>
  <si>
    <t>89CMAH2022000041R001520230289346</t>
  </si>
  <si>
    <t>89CMAH2022000041R001520230289425</t>
  </si>
  <si>
    <t>89CMAH2022000041R001520230289473</t>
  </si>
  <si>
    <t>89CMAH2022000041R001520230289485</t>
  </si>
  <si>
    <t>89CMAH2022000041R001520230289534</t>
  </si>
  <si>
    <t>89CMAH2022000041R001520230289587</t>
  </si>
  <si>
    <t>89CMAH2022000041R001520230289621</t>
  </si>
  <si>
    <t>89CMAH2022000041R001520230289624</t>
  </si>
  <si>
    <t>89CMAH2022000041R001520230289654</t>
  </si>
  <si>
    <t>89CMAH2022000041R001520230289699</t>
  </si>
  <si>
    <t>89CMAH2022000041R001520230289822</t>
  </si>
  <si>
    <t>89CMAH2022000041R001520230289839</t>
  </si>
  <si>
    <t>89CMAH2022000041R001520230289857</t>
  </si>
  <si>
    <t>89CMAH2022000041R001520230289880</t>
  </si>
  <si>
    <t>89CMAH2022000041R001520230290026</t>
  </si>
  <si>
    <t>89CMAH2022000041R001520230290066</t>
  </si>
  <si>
    <t>89CMAH2022000041R001520230290110</t>
  </si>
  <si>
    <t>89CMAH2022000041R001520230290124</t>
  </si>
  <si>
    <t>89CMAH2022000041R001520230290139</t>
  </si>
  <si>
    <t>89CMAH2022000041R001520230290198</t>
  </si>
  <si>
    <t>89CMAH2022000041R001520230290364</t>
  </si>
  <si>
    <t>89CMAH2022000041R001520230290395</t>
  </si>
  <si>
    <t>89CMAH2022000041R001520230290583</t>
  </si>
  <si>
    <t>89CMAH2022000041R001520230290612</t>
  </si>
  <si>
    <t>89CMAH2022000041R001520230290834</t>
  </si>
  <si>
    <t>89CMAH2022000041R001520230290897</t>
  </si>
  <si>
    <t>89CMAH2022000041R001520230290904</t>
  </si>
  <si>
    <t>SNCN00000050</t>
  </si>
  <si>
    <t>SNCN00000062</t>
  </si>
  <si>
    <t>SNCN00000223</t>
  </si>
  <si>
    <t>SNCN00000253</t>
  </si>
  <si>
    <t>SNCN00000417</t>
  </si>
  <si>
    <t>SNCN00000891</t>
  </si>
  <si>
    <t>SNCN00000929</t>
  </si>
  <si>
    <t>89CMAH2022000041R001520220603892</t>
  </si>
  <si>
    <t>89CMAH2022000041R001520230039285</t>
  </si>
  <si>
    <t>89CMAH2022000041R001520230086161</t>
  </si>
  <si>
    <t>89CMAH2022000041R001520230144899</t>
  </si>
  <si>
    <t>89CMAH2022000041R001520230145033</t>
  </si>
  <si>
    <t>89CMAH2022000041R001520230178123</t>
  </si>
  <si>
    <t>89CMAH2022000041R001520230178131</t>
  </si>
  <si>
    <t>89CMAH2022000041R001520230178271</t>
  </si>
  <si>
    <t>89CMAH2022000041R001520230178397</t>
  </si>
  <si>
    <t>89CMAH2022000041R001520230178561</t>
  </si>
  <si>
    <t>89CMAH2022000041R001520230178603</t>
  </si>
  <si>
    <t>89CMAH2022000041R001520230178643</t>
  </si>
  <si>
    <t>89CMAH2022000041R001520230233980</t>
  </si>
  <si>
    <t>89CMAH2022000041R001520230234118</t>
  </si>
  <si>
    <t>89CMAH2022000041R001520230234289</t>
  </si>
  <si>
    <t>89CMAH2022000041R001520230234415</t>
  </si>
  <si>
    <t>89CMAH2022000041R001520230234425</t>
  </si>
  <si>
    <t>89CMAH2022000041R001520230234486</t>
  </si>
  <si>
    <t>89CMAH2022000041R001520230234519</t>
  </si>
  <si>
    <t>89CMAH2022000041R001520230234537</t>
  </si>
  <si>
    <t>89CMAH2022000041R001520230234667</t>
  </si>
  <si>
    <t>89CMAH2022000041R001520230289304</t>
  </si>
  <si>
    <t>89CMAH2022000041R001520230289365</t>
  </si>
  <si>
    <t>89CMAH2022000041R001520230289407</t>
  </si>
  <si>
    <t>89CMAH2022000041R001520230289444</t>
  </si>
  <si>
    <t>89CMAH2022000041R001520230289474</t>
  </si>
  <si>
    <t>89CMAH2022000041R001520230289476</t>
  </si>
  <si>
    <t>89CMAH2022000041R001520230289541</t>
  </si>
  <si>
    <t>89CMAH2022000041R001520230289756</t>
  </si>
  <si>
    <t>89CMAH2022000041R001520230289806</t>
  </si>
  <si>
    <t>89CMAH2022000041R001520230289829</t>
  </si>
  <si>
    <t>89CMAH2022000041R001520230289843</t>
  </si>
  <si>
    <t>89CMAH2022000041R001520230289876</t>
  </si>
  <si>
    <t>89CMAH2022000041R001520230290030</t>
  </si>
  <si>
    <t>89CMAH2022000041R001520230290037</t>
  </si>
  <si>
    <t>89CMAH2022000041R001520230290053</t>
  </si>
  <si>
    <t>89CMAH2022000041R001520230290095</t>
  </si>
  <si>
    <t>89CMAH2022000041R001520230290134</t>
  </si>
  <si>
    <t>89CMAH2022000041R001520230290235</t>
  </si>
  <si>
    <t>89CMAH2022000041R001520230290302</t>
  </si>
  <si>
    <t>89CMAH2022000041R001520230290304</t>
  </si>
  <si>
    <t>89CMAH2022000041R001520230290322</t>
  </si>
  <si>
    <t>89CMAH2022000041R001520230290343</t>
  </si>
  <si>
    <t>89CMAH2022000041R001520230290406</t>
  </si>
  <si>
    <t>89CMAH2022000041R001520230290417</t>
  </si>
  <si>
    <t>89CMAH2022000041R001520230290436</t>
  </si>
  <si>
    <t>89CMAH2022000041R001520230290466</t>
  </si>
  <si>
    <t>89CMAH2022000041R001520230290531</t>
  </si>
  <si>
    <t>89CMAH2022000041R001520230290539</t>
  </si>
  <si>
    <t>89CMAH2022000041R001520230290555</t>
  </si>
  <si>
    <t>89CMAH2022000041R001520230290600</t>
  </si>
  <si>
    <t>89CMAH2022000041R001520230290707</t>
  </si>
  <si>
    <t>89CMAH2022000041R001520230290720</t>
  </si>
  <si>
    <t>89CMAH2022000041R001520230290773</t>
  </si>
  <si>
    <t>89CMAH2022000041R001520230290780</t>
  </si>
  <si>
    <t>89CMAH2022000041R001520230290883</t>
  </si>
  <si>
    <t>SNCN00000117</t>
  </si>
  <si>
    <t>SNCN00000438</t>
  </si>
  <si>
    <t>SNCN00000627</t>
  </si>
  <si>
    <t>SNCN00000920</t>
  </si>
  <si>
    <t>31CMAH0000000000R599904815306350</t>
  </si>
  <si>
    <t>31CMAH0000000000R962304820251290</t>
  </si>
  <si>
    <t>31CMAH0000000000R962304820272590</t>
  </si>
  <si>
    <t>31CMAH0000000000R962304820307860</t>
  </si>
  <si>
    <t>31CMAH0000000000R962304820365800</t>
  </si>
  <si>
    <t>31CMAH0000000000R962304820385020</t>
  </si>
  <si>
    <t>31CMAH0000000000R962304870323050</t>
  </si>
  <si>
    <t>31CMAHFDRESOLUCAO000000000000000</t>
  </si>
  <si>
    <t>31CMAHFGDEPOSITOS000000000000000</t>
  </si>
  <si>
    <t>82000000000116807000450000105698</t>
  </si>
  <si>
    <t>89CMAH2022000041R001520230039414</t>
  </si>
  <si>
    <t>89CMAH2022000041R001520230040123</t>
  </si>
  <si>
    <t>89CMAH2022000041R001520230085528</t>
  </si>
  <si>
    <t>89CMAH2022000041R001520230085777</t>
  </si>
  <si>
    <t>89CMAH2022000041R001520230085860</t>
  </si>
  <si>
    <t>89CMAH2022000041R001520230086051</t>
  </si>
  <si>
    <t>89CMAH2022000041R001520230144812</t>
  </si>
  <si>
    <t>89CMAH2022000041R001520230144893</t>
  </si>
  <si>
    <t>89CMAH2022000041R001520230145032</t>
  </si>
  <si>
    <t>89CMAH2022000041R001520230178054</t>
  </si>
  <si>
    <t>89CMAH2022000041R001520230178114</t>
  </si>
  <si>
    <t>89CMAH2022000041R001520230178165</t>
  </si>
  <si>
    <t>89CMAH2022000041R001520230178263</t>
  </si>
  <si>
    <t>89CMAH2022000041R001520230178286</t>
  </si>
  <si>
    <t>89CMAH2022000041R001520230178612</t>
  </si>
  <si>
    <t>89CMAH2022000041R001520230233998</t>
  </si>
  <si>
    <t>89CMAH2022000041R001520230234009</t>
  </si>
  <si>
    <t>89CMAH2022000041R001520230234031</t>
  </si>
  <si>
    <t>89CMAH2022000041R001520230234114</t>
  </si>
  <si>
    <t>89CMAH2022000041R001520230234211</t>
  </si>
  <si>
    <t>89CMAH2022000041R001520230234337</t>
  </si>
  <si>
    <t>89CMAH2022000041R001520230234367</t>
  </si>
  <si>
    <t>89CMAH2022000041R001520230234578</t>
  </si>
  <si>
    <t>89CMAH2022000041R001520230234602</t>
  </si>
  <si>
    <t>89CMAH2022000041R001520230289280</t>
  </si>
  <si>
    <t>89CMAH2022000041R001520230289348</t>
  </si>
  <si>
    <t>89CMAH2022000041R001520230289354</t>
  </si>
  <si>
    <t>89CMAH2022000041R001520230289438</t>
  </si>
  <si>
    <t>89CMAH2022000041R001520230289489</t>
  </si>
  <si>
    <t>89CMAH2022000041R001520230289560</t>
  </si>
  <si>
    <t>89CMAH2022000041R001520230289604</t>
  </si>
  <si>
    <t>89CMAH2022000041R001520230289667</t>
  </si>
  <si>
    <t>89CMAH2022000041R001520230289671</t>
  </si>
  <si>
    <t>89CMAH2022000041R001520230289679</t>
  </si>
  <si>
    <t>89CMAH2022000041R001520230289696</t>
  </si>
  <si>
    <t>89CMAH2022000041R001520230289705</t>
  </si>
  <si>
    <t>89CMAH2022000041R001520230289736</t>
  </si>
  <si>
    <t>89CMAH2022000041R001520230289776</t>
  </si>
  <si>
    <t>89CMAH2022000041R001520230289780</t>
  </si>
  <si>
    <t>89CMAH2022000041R001520230289831</t>
  </si>
  <si>
    <t>89CMAH2022000041R001520230289855</t>
  </si>
  <si>
    <t>89CMAH2022000041R001520230289873</t>
  </si>
  <si>
    <t>89CMAH2022000041R001520230289874</t>
  </si>
  <si>
    <t>89CMAH2022000041R001520230289924</t>
  </si>
  <si>
    <t>89CMAH2022000041R001520230289927</t>
  </si>
  <si>
    <t>89CMAH2022000041R001520230289963</t>
  </si>
  <si>
    <t>89CMAH2022000041R001520230289981</t>
  </si>
  <si>
    <t>89CMAH2022000041R001520230290014</t>
  </si>
  <si>
    <t>89CMAH2022000041R001520230290027</t>
  </si>
  <si>
    <t>89CMAH2022000041R001520230290073</t>
  </si>
  <si>
    <t>89CMAH2022000041R001520230290076</t>
  </si>
  <si>
    <t>89CMAH2022000041R001520230290117</t>
  </si>
  <si>
    <t>89CMAH2022000041R001520230290165</t>
  </si>
  <si>
    <t>89CMAH2022000041R001520230290183</t>
  </si>
  <si>
    <t>89CMAH2022000041R001520230290192</t>
  </si>
  <si>
    <t>89CMAH2022000041R001520230290207</t>
  </si>
  <si>
    <t>89CMAH2022000041R001520230290273</t>
  </si>
  <si>
    <t>89CMAH2022000041R001520230290279</t>
  </si>
  <si>
    <t>89CMAH2022000041R001520230290314</t>
  </si>
  <si>
    <t>89CMAH2022000041R001520230290341</t>
  </si>
  <si>
    <t>89CMAH2022000041R001520230290477</t>
  </si>
  <si>
    <t>89CMAH2022000041R001520230290623</t>
  </si>
  <si>
    <t>89CMAH2022000041R001520230290626</t>
  </si>
  <si>
    <t>89CMAH2022000041R001520230290687</t>
  </si>
  <si>
    <t>89CMAH2022000041R001520230290761</t>
  </si>
  <si>
    <t>89CMAH2022000041R001520230290763</t>
  </si>
  <si>
    <t>89CMAH2022000041R001520230290798</t>
  </si>
  <si>
    <t>SNCN00000173</t>
  </si>
  <si>
    <t>SNCN00000261</t>
  </si>
  <si>
    <t>SNCN00000300</t>
  </si>
  <si>
    <t>SNCN00000477</t>
  </si>
  <si>
    <t>SNCN00000480</t>
  </si>
  <si>
    <t>SNCN00000619</t>
  </si>
  <si>
    <t>SNCN00000624</t>
  </si>
  <si>
    <t>SNCN00000682</t>
  </si>
  <si>
    <t>SNCN00000724</t>
  </si>
  <si>
    <t>SNCN00000969</t>
  </si>
  <si>
    <t>SNCN00000983</t>
  </si>
  <si>
    <t>89CMAH2022000041R001520220603915</t>
  </si>
  <si>
    <t>89CMAH2022000041R001520230039420</t>
  </si>
  <si>
    <t>89CMAH2022000041R001520230085760</t>
  </si>
  <si>
    <t>89CMAH2022000041R001520230144850</t>
  </si>
  <si>
    <t>89CMAH2022000041R001520230145008</t>
  </si>
  <si>
    <t>89CMAH2022000041R001520230177882</t>
  </si>
  <si>
    <t>89CMAH2022000041R001520230177975</t>
  </si>
  <si>
    <t>89CMAH2022000041R001520230178455</t>
  </si>
  <si>
    <t>89CMAH2022000041R001520230178456</t>
  </si>
  <si>
    <t>89CMAH2022000041R001520230178463</t>
  </si>
  <si>
    <t>89CMAH2022000041R001520230233968</t>
  </si>
  <si>
    <t>89CMAH2022000041R001520230233995</t>
  </si>
  <si>
    <t>89CMAH2022000041R001520230234001</t>
  </si>
  <si>
    <t>89CMAH2022000041R001520230234144</t>
  </si>
  <si>
    <t>89CMAH2022000041R001520230234231</t>
  </si>
  <si>
    <t>89CMAH2022000041R001520230234471</t>
  </si>
  <si>
    <t>89CMAH2022000041R001520230234487</t>
  </si>
  <si>
    <t>89CMAH2022000041R001520230234600</t>
  </si>
  <si>
    <t>89CMAH2022000041R001520230234720</t>
  </si>
  <si>
    <t>89CMAH2022000041R001520230234737</t>
  </si>
  <si>
    <t>89CMAH2022000041R001520230289419</t>
  </si>
  <si>
    <t>89CMAH2022000041R001520230289420</t>
  </si>
  <si>
    <t>89CMAH2022000041R001520230289464</t>
  </si>
  <si>
    <t>89CMAH2022000041R001520230289475</t>
  </si>
  <si>
    <t>89CMAH2022000041R001520230289484</t>
  </si>
  <si>
    <t>89CMAH2022000041R001520230289507</t>
  </si>
  <si>
    <t>89CMAH2022000041R001520230289559</t>
  </si>
  <si>
    <t>89CMAH2022000041R001520230289565</t>
  </si>
  <si>
    <t>89CMAH2022000041R001520230289649</t>
  </si>
  <si>
    <t>89CMAH2022000041R001520230289686</t>
  </si>
  <si>
    <t>89CMAH2022000041R001520230289722</t>
  </si>
  <si>
    <t>89CMAH2022000041R001520230289734</t>
  </si>
  <si>
    <t>89CMAH2022000041R001520230289788</t>
  </si>
  <si>
    <t>89CMAH2022000041R001520230289803</t>
  </si>
  <si>
    <t>89CMAH2022000041R001520230289995</t>
  </si>
  <si>
    <t>89CMAH2022000041R001520230290060</t>
  </si>
  <si>
    <t>89CMAH2022000041R001520230290121</t>
  </si>
  <si>
    <t>89CMAH2022000041R001520230290157</t>
  </si>
  <si>
    <t>89CMAH2022000041R001520230290164</t>
  </si>
  <si>
    <t>89CMAH2022000041R001520230290208</t>
  </si>
  <si>
    <t>89CMAH2022000041R001520230290217</t>
  </si>
  <si>
    <t>89CMAH2022000041R001520230290285</t>
  </si>
  <si>
    <t>89CMAH2022000041R001520230290316</t>
  </si>
  <si>
    <t>89CMAH2022000041R001520230290362</t>
  </si>
  <si>
    <t>89CMAH2022000041R001520230290408</t>
  </si>
  <si>
    <t>89CMAH2022000041R001520230290411</t>
  </si>
  <si>
    <t>89CMAH2022000041R001520230290443</t>
  </si>
  <si>
    <t>89CMAH2022000041R001520230290504</t>
  </si>
  <si>
    <t>89CMAH2022000041R001520230290537</t>
  </si>
  <si>
    <t>89CMAH2022000041R001520230290693</t>
  </si>
  <si>
    <t>89CMAH2022000041R001520230290701</t>
  </si>
  <si>
    <t>89CMAH2022000041R001520230290747</t>
  </si>
  <si>
    <t>89CMAH2022000041R001520230290839</t>
  </si>
  <si>
    <t>89CMAH2022000041R001520230290851</t>
  </si>
  <si>
    <t>89CMAH2022000041R001520230290911</t>
  </si>
  <si>
    <t>SNCN00000002</t>
  </si>
  <si>
    <t>SNCN00000018</t>
  </si>
  <si>
    <t>SNCN00000061</t>
  </si>
  <si>
    <t>SNCN00000358</t>
  </si>
  <si>
    <t>SNCN00000487</t>
  </si>
  <si>
    <t>SNCN00000741</t>
  </si>
  <si>
    <t>SNCN00000923</t>
  </si>
  <si>
    <t>82000000007003993000200000646848</t>
  </si>
  <si>
    <t>82000000007004294000200000647159</t>
  </si>
  <si>
    <t>82000000007006406000200000553993</t>
  </si>
  <si>
    <t>82000000007012346000200000680664</t>
  </si>
  <si>
    <t>82000000007012598000200000683286</t>
  </si>
  <si>
    <t>89CMAH2022000041R001520230145179</t>
  </si>
  <si>
    <t>89CMAH2022000041R001520230178161</t>
  </si>
  <si>
    <t>89CMAH2022000041R001520230178163</t>
  </si>
  <si>
    <t>89CMAH2022000041R001520230178602</t>
  </si>
  <si>
    <t>89CMAH2022000041R001520230233974</t>
  </si>
  <si>
    <t>89CMAH2022000041R001520230234049</t>
  </si>
  <si>
    <t>89CMAH2022000041R001520230234095</t>
  </si>
  <si>
    <t>89CMAH2022000041R001520230234130</t>
  </si>
  <si>
    <t>89CMAH2022000041R001520230234150</t>
  </si>
  <si>
    <t>89CMAH2022000041R001520230234156</t>
  </si>
  <si>
    <t>89CMAH2022000041R001520230234195</t>
  </si>
  <si>
    <t>89CMAH2022000041R001520230234459</t>
  </si>
  <si>
    <t>89CMAH2022000041R001520230234481</t>
  </si>
  <si>
    <t>89CMAH2022000041R001520230234630</t>
  </si>
  <si>
    <t>89CMAH2022000041R001520230234721</t>
  </si>
  <si>
    <t>89CMAH2022000041R001520230234741</t>
  </si>
  <si>
    <t>89CMAH2022000041R001520230289287</t>
  </si>
  <si>
    <t>89CMAH2022000041R001520230289321</t>
  </si>
  <si>
    <t>89CMAH2022000041R001520230289342</t>
  </si>
  <si>
    <t>89CMAH2022000041R001520230289345</t>
  </si>
  <si>
    <t>89CMAH2022000041R001520230289417</t>
  </si>
  <si>
    <t>89CMAH2022000041R001520230289502</t>
  </si>
  <si>
    <t>89CMAH2022000041R001520230289531</t>
  </si>
  <si>
    <t>89CMAH2022000041R001520230289762</t>
  </si>
  <si>
    <t>89CMAH2022000041R001520230289774</t>
  </si>
  <si>
    <t>89CMAH2022000041R001520230289808</t>
  </si>
  <si>
    <t>89CMAH2022000041R001520230289817</t>
  </si>
  <si>
    <t>89CMAH2022000041R001520230289841</t>
  </si>
  <si>
    <t>89CMAH2022000041R001520230289938</t>
  </si>
  <si>
    <t>89CMAH2022000041R001520230289969</t>
  </si>
  <si>
    <t>89CMAH2022000041R001520230290049</t>
  </si>
  <si>
    <t>89CMAH2022000041R001520230290122</t>
  </si>
  <si>
    <t>89CMAH2022000041R001520230290133</t>
  </si>
  <si>
    <t>89CMAH2022000041R001520230290142</t>
  </si>
  <si>
    <t>89CMAH2022000041R001520230290261</t>
  </si>
  <si>
    <t>89CMAH2022000041R001520230290315</t>
  </si>
  <si>
    <t>89CMAH2022000041R001520230290335</t>
  </si>
  <si>
    <t>89CMAH2022000041R001520230290382</t>
  </si>
  <si>
    <t>89CMAH2022000041R001520230290383</t>
  </si>
  <si>
    <t>89CMAH2022000041R001520230290455</t>
  </si>
  <si>
    <t>89CMAH2022000041R001520230290463</t>
  </si>
  <si>
    <t>89CMAH2022000041R001520230290489</t>
  </si>
  <si>
    <t>89CMAH2022000041R001520230290608</t>
  </si>
  <si>
    <t>89CMAH2022000041R001520230290610</t>
  </si>
  <si>
    <t>89CMAH2022000041R001520230290618</t>
  </si>
  <si>
    <t>89CMAH2022000041R001520230290675</t>
  </si>
  <si>
    <t>89CMAH2022000041R001520230290713</t>
  </si>
  <si>
    <t>89CMAH2022000041R001520230290829</t>
  </si>
  <si>
    <t>SNCN00000254</t>
  </si>
  <si>
    <t>SNCN00000598</t>
  </si>
  <si>
    <t>31CMAH0000000000R362304880766500</t>
  </si>
  <si>
    <t>31CMAH0000000000R962304820255470</t>
  </si>
  <si>
    <t>31CMAH0000000000R962304820295820</t>
  </si>
  <si>
    <t>31CMAH0000000000R962304820354640</t>
  </si>
  <si>
    <t>31CMAH0000000000R962304870343130</t>
  </si>
  <si>
    <t>31CMAHSINDEINVEST000000000000000</t>
  </si>
  <si>
    <t>82000000007000344000200000642343</t>
  </si>
  <si>
    <t>82000000007000464000200000607251</t>
  </si>
  <si>
    <t>82000000007000646000200000643101</t>
  </si>
  <si>
    <t>82000000007001030000200000643484</t>
  </si>
  <si>
    <t>82000000007001701000200000643934</t>
  </si>
  <si>
    <t>82000000007002425000200000644665</t>
  </si>
  <si>
    <t>82000000007002570000200000504441</t>
  </si>
  <si>
    <t>82000000007002797000200000645240</t>
  </si>
  <si>
    <t>82000000007004283000200000647205</t>
  </si>
  <si>
    <t>82000000007009536000200000644017</t>
  </si>
  <si>
    <t>82000000007010061000200000672335</t>
  </si>
  <si>
    <t>82000000007010200000200000673734</t>
  </si>
  <si>
    <t>82000000007011193000200000680956</t>
  </si>
  <si>
    <t>82000000007014362000200000655141</t>
  </si>
  <si>
    <t>89CMAH2022000041R001520230085466</t>
  </si>
  <si>
    <t>89CMAH2022000041R001520230086270</t>
  </si>
  <si>
    <t>89CMAH2022000041R001520230144733</t>
  </si>
  <si>
    <t>89CMAH2022000041R001520230144855</t>
  </si>
  <si>
    <t>89CMAH2022000041R001520230177960</t>
  </si>
  <si>
    <t>89CMAH2022000041R001520230178025</t>
  </si>
  <si>
    <t>89CMAH2022000041R001520230178611</t>
  </si>
  <si>
    <t>89CMAH2022000041R001520230178640</t>
  </si>
  <si>
    <t>89CMAH2022000041R001520230234041</t>
  </si>
  <si>
    <t>89CMAH2022000041R001520230234299</t>
  </si>
  <si>
    <t>89CMAH2022000041R001520230234409</t>
  </si>
  <si>
    <t>89CMAH2022000041R001520230234430</t>
  </si>
  <si>
    <t>89CMAH2022000041R001520230234452</t>
  </si>
  <si>
    <t>89CMAH2022000041R001520230234565</t>
  </si>
  <si>
    <t>89CMAH2022000041R001520230234727</t>
  </si>
  <si>
    <t>89CMAH2022000041R001520230234740</t>
  </si>
  <si>
    <t>89CMAH2022000041R001520230289429</t>
  </si>
  <si>
    <t>89CMAH2022000041R001520230289543</t>
  </si>
  <si>
    <t>89CMAH2022000041R001520230289566</t>
  </si>
  <si>
    <t>89CMAH2022000041R001520230289577</t>
  </si>
  <si>
    <t>89CMAH2022000041R001520230289647</t>
  </si>
  <si>
    <t>89CMAH2022000041R001520230289653</t>
  </si>
  <si>
    <t>89CMAH2022000041R001520230289655</t>
  </si>
  <si>
    <t>89CMAH2022000041R001520230289687</t>
  </si>
  <si>
    <t>89CMAH2022000041R001520230289730</t>
  </si>
  <si>
    <t>89CMAH2022000041R001520230289828</t>
  </si>
  <si>
    <t>89CMAH2022000041R001520230289837</t>
  </si>
  <si>
    <t>89CMAH2022000041R001520230289863</t>
  </si>
  <si>
    <t>89CMAH2022000041R001520230289891</t>
  </si>
  <si>
    <t>89CMAH2022000041R001520230289906</t>
  </si>
  <si>
    <t>89CMAH2022000041R001520230289936</t>
  </si>
  <si>
    <t>89CMAH2022000041R001520230289944</t>
  </si>
  <si>
    <t>89CMAH2022000041R001520230289946</t>
  </si>
  <si>
    <t>89CMAH2022000041R001520230289950</t>
  </si>
  <si>
    <t>89CMAH2022000041R001520230289964</t>
  </si>
  <si>
    <t>89CMAH2022000041R001520230289982</t>
  </si>
  <si>
    <t>89CMAH2022000041R001520230290203</t>
  </si>
  <si>
    <t>89CMAH2022000041R001520230290213</t>
  </si>
  <si>
    <t>89CMAH2022000041R001520230290271</t>
  </si>
  <si>
    <t>89CMAH2022000041R001520230290276</t>
  </si>
  <si>
    <t>89CMAH2022000041R001520230290282</t>
  </si>
  <si>
    <t>89CMAH2022000041R001520230290286</t>
  </si>
  <si>
    <t>89CMAH2022000041R001520230290307</t>
  </si>
  <si>
    <t>89CMAH2022000041R001520230290319</t>
  </si>
  <si>
    <t>89CMAH2022000041R001520230290361</t>
  </si>
  <si>
    <t>89CMAH2022000041R001520230290420</t>
  </si>
  <si>
    <t>89CMAH2022000041R001520230290527</t>
  </si>
  <si>
    <t>89CMAH2022000041R001520230290543</t>
  </si>
  <si>
    <t>89CMAH2022000041R001520230290565</t>
  </si>
  <si>
    <t>89CMAH2022000041R001520230290577</t>
  </si>
  <si>
    <t>89CMAH2022000041R001520230290665</t>
  </si>
  <si>
    <t>89CMAH2022000041R001520230290719</t>
  </si>
  <si>
    <t>89CMAH2022000041R001520230290782</t>
  </si>
  <si>
    <t>89CMAH2022000041R001520230290826</t>
  </si>
  <si>
    <t>89CMAH2022000041R001520230290880</t>
  </si>
  <si>
    <t>89CMAH2022000041R001520230290914</t>
  </si>
  <si>
    <t>89CMAH2022000041R001520230290918</t>
  </si>
  <si>
    <t>SNCN00000011</t>
  </si>
  <si>
    <t>SNCN00000065</t>
  </si>
  <si>
    <t>SNCN00000093</t>
  </si>
  <si>
    <t>SNCN00000162</t>
  </si>
  <si>
    <t>SNCN00000294</t>
  </si>
  <si>
    <t>SNCN00000503</t>
  </si>
  <si>
    <t>SNCN00000553</t>
  </si>
  <si>
    <t>SNCN00000678</t>
  </si>
  <si>
    <t>SNCN00000853</t>
  </si>
  <si>
    <t>SNCN00000982</t>
  </si>
  <si>
    <t>80CMAHFINERGEDSFR000000000000001</t>
  </si>
  <si>
    <t>SNCN00000418</t>
  </si>
  <si>
    <t>80CMAHFINERGEWCF0000000000000003</t>
  </si>
  <si>
    <t>SNCN00000966</t>
  </si>
  <si>
    <t>31000010813071149000000000000000</t>
  </si>
  <si>
    <t>SNCN00000532</t>
  </si>
  <si>
    <t>SNCN00000517</t>
  </si>
  <si>
    <t>SNCN00000554</t>
  </si>
  <si>
    <t>31000310568850090069674040100000</t>
  </si>
  <si>
    <t>31000310172009091069674670100000</t>
  </si>
  <si>
    <t>31CMAH0000000000R262304820026980</t>
  </si>
  <si>
    <t>31CMAH0000000000R262304840025960</t>
  </si>
  <si>
    <t>31CMAH0000000000R962304820242730</t>
  </si>
  <si>
    <t>31CMAH0000000000R962304820376620</t>
  </si>
  <si>
    <t>31CMAH0000000000R962304820380720</t>
  </si>
  <si>
    <t>31CMAH0000000000R962304820381280</t>
  </si>
  <si>
    <t>31CMAH0000000000R962304820393220</t>
  </si>
  <si>
    <t>31CMAH00380018977363603800189779</t>
  </si>
  <si>
    <t>31CMAHenergyS1xS2OVER1ENFSMERT0A</t>
  </si>
  <si>
    <t>31CMAHrxohabS1xS2PMAPARREST00001</t>
  </si>
  <si>
    <t>31000310526585090069674440100000</t>
  </si>
  <si>
    <t>82000000007000206000200000642323</t>
  </si>
  <si>
    <t>82000000007000547000200000642925</t>
  </si>
  <si>
    <t>82000000007001278000200000643651</t>
  </si>
  <si>
    <t>82000000007002004000200000644307</t>
  </si>
  <si>
    <t>82000000007002476000200000644715</t>
  </si>
  <si>
    <t>82000000007003455000200000646082</t>
  </si>
  <si>
    <t>82000000007004026000200000646678</t>
  </si>
  <si>
    <t>82000000007007661000200000654192</t>
  </si>
  <si>
    <t>82000000007013662000200000661116</t>
  </si>
  <si>
    <t>SNCN00000531</t>
  </si>
  <si>
    <t>89CMAH2022000041R001520230085474</t>
  </si>
  <si>
    <t>89CMAH2022000041R001520230144821</t>
  </si>
  <si>
    <t>89CMAH2022000041R001520230145075</t>
  </si>
  <si>
    <t>89CMAH2022000041R001520230177936</t>
  </si>
  <si>
    <t>89CMAH2022000041R001520230177999</t>
  </si>
  <si>
    <t>89CMAH2022000041R001520230178275</t>
  </si>
  <si>
    <t>89CMAH2022000041R001520230178568</t>
  </si>
  <si>
    <t>89CMAH2022000041R001520230178629</t>
  </si>
  <si>
    <t>89CMAH2022000041R001520230234242</t>
  </si>
  <si>
    <t>89CMAH2022000041R001520230234431</t>
  </si>
  <si>
    <t>89CMAH2022000041R001520230234464</t>
  </si>
  <si>
    <t>89CMAH2022000041R001520230234478</t>
  </si>
  <si>
    <t>89CMAH2022000041R001520230234506</t>
  </si>
  <si>
    <t>89CMAH2022000041R001520230234525</t>
  </si>
  <si>
    <t>89CMAH2022000041R001520230234627</t>
  </si>
  <si>
    <t>89CMAH2022000041R001520230234712</t>
  </si>
  <si>
    <t>89CMAH2022000041R001520230289437</t>
  </si>
  <si>
    <t>89CMAH2022000041R001520230289447</t>
  </si>
  <si>
    <t>89CMAH2022000041R001520230289469</t>
  </si>
  <si>
    <t>89CMAH2022000041R001520230289549</t>
  </si>
  <si>
    <t>89CMAH2022000041R001520230289556</t>
  </si>
  <si>
    <t>89CMAH2022000041R001520230289567</t>
  </si>
  <si>
    <t>89CMAH2022000041R001520230289820</t>
  </si>
  <si>
    <t>89CMAH2022000041R001520230289893</t>
  </si>
  <si>
    <t>89CMAH2022000041R001520230289895</t>
  </si>
  <si>
    <t>89CMAH2022000041R001520230289908</t>
  </si>
  <si>
    <t>89CMAH2022000041R001520230290057</t>
  </si>
  <si>
    <t>89CMAH2022000041R001520230290061</t>
  </si>
  <si>
    <t>89CMAH2022000041R001520230290111</t>
  </si>
  <si>
    <t>89CMAH2022000041R001520230290202</t>
  </si>
  <si>
    <t>89CMAH2022000041R001520230290345</t>
  </si>
  <si>
    <t>89CMAH2022000041R001520230290352</t>
  </si>
  <si>
    <t>89CMAH2022000041R001520230290375</t>
  </si>
  <si>
    <t>89CMAH2022000041R001520230290393</t>
  </si>
  <si>
    <t>89CMAH2022000041R001520230290415</t>
  </si>
  <si>
    <t>89CMAH2022000041R001520230290532</t>
  </si>
  <si>
    <t>89CMAH2022000041R001520230290621</t>
  </si>
  <si>
    <t>89CMAH2022000041R001520230290629</t>
  </si>
  <si>
    <t>89CMAH2022000041R001520230290637</t>
  </si>
  <si>
    <t>89CMAH2022000041R001520230290679</t>
  </si>
  <si>
    <t>89CMAH2022000041R001520230290709</t>
  </si>
  <si>
    <t>89CMAH2022000041R001520230290736</t>
  </si>
  <si>
    <t>89CMAH2022000041R001520230290786</t>
  </si>
  <si>
    <t>89CMAH2022000041R001520230290812</t>
  </si>
  <si>
    <t>89CMAH2022000041R001520230290840</t>
  </si>
  <si>
    <t>89CMAH2022000041R001520230290852</t>
  </si>
  <si>
    <t>89CMAH2022000041R001520230290859</t>
  </si>
  <si>
    <t>89CMAH2022000041R001520230290923</t>
  </si>
  <si>
    <t>SNCN00000140</t>
  </si>
  <si>
    <t>SNCN00000204</t>
  </si>
  <si>
    <t>SNCN00000217</t>
  </si>
  <si>
    <t>SNCN00000329</t>
  </si>
  <si>
    <t>SNCN00000589</t>
  </si>
  <si>
    <t>SNCN00000869</t>
  </si>
  <si>
    <t>SNCN00000975</t>
  </si>
  <si>
    <t>31023300900008282069674780100000</t>
  </si>
  <si>
    <t>31CMAH0000000000R262304820009390</t>
  </si>
  <si>
    <t>31CMAH0000000000R262304840018800</t>
  </si>
  <si>
    <t>31CMAH0000000000R962304820072940</t>
  </si>
  <si>
    <t>31CMAH0000000000R962304820383100</t>
  </si>
  <si>
    <t>31CMAH5723667001R100399800000001</t>
  </si>
  <si>
    <t>31CMAHenergyS1xS2OVER1ENFGDRST0C</t>
  </si>
  <si>
    <t>82000000000144384000450000514295</t>
  </si>
  <si>
    <t>82000000007000842000200000643290</t>
  </si>
  <si>
    <t>82000000007001409000200000523062</t>
  </si>
  <si>
    <t>82000000007001874000200000644183</t>
  </si>
  <si>
    <t>82000000007004626000200000647487</t>
  </si>
  <si>
    <t>82000000007007982000200000655745</t>
  </si>
  <si>
    <t>82000000007008359000200000657067</t>
  </si>
  <si>
    <t>82000000007008582000200000658454</t>
  </si>
  <si>
    <t>82000000007011558000200000680359</t>
  </si>
  <si>
    <t>82000000007017954000200000761236</t>
  </si>
  <si>
    <t>82000000007017962000200000761242</t>
  </si>
  <si>
    <t>890000201300031361000500C21737I0</t>
  </si>
  <si>
    <t>890000201400015461000500C55286I0</t>
  </si>
  <si>
    <t>89CMAH2022000041R001520230039468</t>
  </si>
  <si>
    <t>89CMAH2022000041R001520230039793</t>
  </si>
  <si>
    <t>89CMAH2022000041R001520230086301</t>
  </si>
  <si>
    <t>89CMAH2022000041R001520230178103</t>
  </si>
  <si>
    <t>89CMAH2022000041R001520230234035</t>
  </si>
  <si>
    <t>89CMAH2022000041R001520230234096</t>
  </si>
  <si>
    <t>89CMAH2022000041R001520230234160</t>
  </si>
  <si>
    <t>89CMAH2022000041R001520230234186</t>
  </si>
  <si>
    <t>89CMAH2022000041R001520230234234</t>
  </si>
  <si>
    <t>89CMAH2022000041R001520230234238</t>
  </si>
  <si>
    <t>89CMAH2022000041R001520230234347</t>
  </si>
  <si>
    <t>89CMAH2022000041R001520230234412</t>
  </si>
  <si>
    <t>89CMAH2022000041R001520230234466</t>
  </si>
  <si>
    <t>89CMAH2022000041R001520230234491</t>
  </si>
  <si>
    <t>89CMAH2022000041R001520230234508</t>
  </si>
  <si>
    <t>89CMAH2022000041R001520230234510</t>
  </si>
  <si>
    <t>89CMAH2022000041R001520230234635</t>
  </si>
  <si>
    <t>89CMAH2022000041R001520230234662</t>
  </si>
  <si>
    <t>89CMAH2022000041R001520230289368</t>
  </si>
  <si>
    <t>89CMAH2022000041R001520230289369</t>
  </si>
  <si>
    <t>89CMAH2022000041R001520230289451</t>
  </si>
  <si>
    <t>89CMAH2022000041R001520230289479</t>
  </si>
  <si>
    <t>89CMAH2022000041R001520230289482</t>
  </si>
  <si>
    <t>89CMAH2022000041R001520230289544</t>
  </si>
  <si>
    <t>89CMAH2022000041R001520230289584</t>
  </si>
  <si>
    <t>89CMAH2022000041R001520230289633</t>
  </si>
  <si>
    <t>89CMAH2022000041R001520230289637</t>
  </si>
  <si>
    <t>89CMAH2022000041R001520230289661</t>
  </si>
  <si>
    <t>89CMAH2022000041R001520230289680</t>
  </si>
  <si>
    <t>89CMAH2022000041R001520230289684</t>
  </si>
  <si>
    <t>89CMAH2022000041R001520230289754</t>
  </si>
  <si>
    <t>89CMAH2022000041R001520230289871</t>
  </si>
  <si>
    <t>89CMAH2022000041R001520230289976</t>
  </si>
  <si>
    <t>89CMAH2022000041R001520230290009</t>
  </si>
  <si>
    <t>89CMAH2022000041R001520230290103</t>
  </si>
  <si>
    <t>89CMAH2022000041R001520230290171</t>
  </si>
  <si>
    <t>89CMAH2022000041R001520230290175</t>
  </si>
  <si>
    <t>89CMAH2022000041R001520230290244</t>
  </si>
  <si>
    <t>89CMAH2022000041R001520230290426</t>
  </si>
  <si>
    <t>89CMAH2022000041R001520230290438</t>
  </si>
  <si>
    <t>89CMAH2022000041R001520230290480</t>
  </si>
  <si>
    <t>89CMAH2022000041R001520230290568</t>
  </si>
  <si>
    <t>89CMAH2022000041R001520230290625</t>
  </si>
  <si>
    <t>89CMAH2022000041R001520230290653</t>
  </si>
  <si>
    <t>89CMAH2022000041R001520230290772</t>
  </si>
  <si>
    <t>89CMAH2022000041R001520230290779</t>
  </si>
  <si>
    <t>89CMAH2022000041R001520230290819</t>
  </si>
  <si>
    <t>SNCN00000064</t>
  </si>
  <si>
    <t>SNCN00000187</t>
  </si>
  <si>
    <t>SNCN00000287</t>
  </si>
  <si>
    <t>SNCN00000341</t>
  </si>
  <si>
    <t>SNCN00000363</t>
  </si>
  <si>
    <t>SNCN00000725</t>
  </si>
  <si>
    <t>SNCN00000938</t>
  </si>
  <si>
    <t>31CMAH0000000000R962304820151190</t>
  </si>
  <si>
    <t>31CMAH0000000000R962304820309480</t>
  </si>
  <si>
    <t>31CMAH0000000000R962304820406080</t>
  </si>
  <si>
    <t>31CMAH0000000000R962304820406090</t>
  </si>
  <si>
    <t>31CMAH4668178902R000000000000000</t>
  </si>
  <si>
    <t>82000000007007238000200000652671</t>
  </si>
  <si>
    <t>82000000007008130000200000656210</t>
  </si>
  <si>
    <t>82000000007017477000200000754446</t>
  </si>
  <si>
    <t>82000000007018709000200000647497</t>
  </si>
  <si>
    <t>31CMAH0000000000R962304820200900</t>
  </si>
  <si>
    <t>31CMAH0000000000R962304820216980</t>
  </si>
  <si>
    <t>31CMAH0000000000R962304820334150</t>
  </si>
  <si>
    <t>31CMAH0000000000R962304820341720</t>
  </si>
  <si>
    <t>31CMAH0000000000R962304820381290</t>
  </si>
  <si>
    <t>31CMAH0000000000R962304820399740</t>
  </si>
  <si>
    <t>31CMAH0000580004RXS0237370605000</t>
  </si>
  <si>
    <t>31CMAHenergyS1xS2OVER1ENFSMERT0C</t>
  </si>
  <si>
    <t>82000000007000870000200000643310</t>
  </si>
  <si>
    <t>82000000007001252000200000643633</t>
  </si>
  <si>
    <t>82000000007003950000200000646822</t>
  </si>
  <si>
    <t>82000000007005725000200000648599</t>
  </si>
  <si>
    <t>82000000007013026000200000688021</t>
  </si>
  <si>
    <t>890000201300031341000500C39109I0</t>
  </si>
  <si>
    <t>89CMAH2022000041R001520230085843</t>
  </si>
  <si>
    <t>89CMAH2022000041R001520230085988</t>
  </si>
  <si>
    <t>89CMAH2022000041R001520230086029</t>
  </si>
  <si>
    <t>89CMAH2022000041R001520230144644</t>
  </si>
  <si>
    <t>89CMAH2022000041R001520230144718</t>
  </si>
  <si>
    <t>89CMAH2022000041R001520230144779</t>
  </si>
  <si>
    <t>89CMAH2022000041R001520230178067</t>
  </si>
  <si>
    <t>89CMAH2022000041R001520230178106</t>
  </si>
  <si>
    <t>89CMAH2022000041R001520230178183</t>
  </si>
  <si>
    <t>89CMAH2022000041R001520230178258</t>
  </si>
  <si>
    <t>89CMAH2022000041R001520230178292</t>
  </si>
  <si>
    <t>89CMAH2022000041R001520230178294</t>
  </si>
  <si>
    <t>89CMAH2022000041R001520230178319</t>
  </si>
  <si>
    <t>89CMAH2022000041R001520230178503</t>
  </si>
  <si>
    <t>89CMAH2022000041R001520230178504</t>
  </si>
  <si>
    <t>89CMAH2022000041R001520230234071</t>
  </si>
  <si>
    <t>89CMAH2022000041R001520230234257</t>
  </si>
  <si>
    <t>89CMAH2022000041R001520230234356</t>
  </si>
  <si>
    <t>89CMAH2022000041R001520230234370</t>
  </si>
  <si>
    <t>89CMAH2022000041R001520230234379</t>
  </si>
  <si>
    <t>89CMAH2022000041R001520230234387</t>
  </si>
  <si>
    <t>89CMAH2022000041R001520230234447</t>
  </si>
  <si>
    <t>89CMAH2022000041R001520230234532</t>
  </si>
  <si>
    <t>89CMAH2022000041R001520230234540</t>
  </si>
  <si>
    <t>89CMAH2022000041R001520230234552</t>
  </si>
  <si>
    <t>89CMAH2022000041R001520230234633</t>
  </si>
  <si>
    <t>89CMAH2022000041R001520230234669</t>
  </si>
  <si>
    <t>89CMAH2022000041R001520230234672</t>
  </si>
  <si>
    <t>89CMAH2022000041R001520230234738</t>
  </si>
  <si>
    <t>89CMAH2022000041R001520230289303</t>
  </si>
  <si>
    <t>89CMAH2022000041R001520230289306</t>
  </si>
  <si>
    <t>89CMAH2022000041R001520230289353</t>
  </si>
  <si>
    <t>89CMAH2022000041R001520230289428</t>
  </si>
  <si>
    <t>89CMAH2022000041R001520230289436</t>
  </si>
  <si>
    <t>89CMAH2022000041R001520230289445</t>
  </si>
  <si>
    <t>89CMAH2022000041R001520230289468</t>
  </si>
  <si>
    <t>89CMAH2022000041R001520230289512</t>
  </si>
  <si>
    <t>89CMAH2022000041R001520230289546</t>
  </si>
  <si>
    <t>89CMAH2022000041R001520230289670</t>
  </si>
  <si>
    <t>89CMAH2022000041R001520230289674</t>
  </si>
  <si>
    <t>89CMAH2022000041R001520230289688</t>
  </si>
  <si>
    <t>89CMAH2022000041R001520230289703</t>
  </si>
  <si>
    <t>89CMAH2022000041R001520230289711</t>
  </si>
  <si>
    <t>89CMAH2022000041R001520230289741</t>
  </si>
  <si>
    <t>89CMAH2022000041R001520230289786</t>
  </si>
  <si>
    <t>89CMAH2022000041R001520230289846</t>
  </si>
  <si>
    <t>89CMAH2022000041R001520230289864</t>
  </si>
  <si>
    <t>89CMAH2022000041R001520230289904</t>
  </si>
  <si>
    <t>89CMAH2022000041R001520230289907</t>
  </si>
  <si>
    <t>89CMAH2022000041R001520230289952</t>
  </si>
  <si>
    <t>89CMAH2022000041R001520230289965</t>
  </si>
  <si>
    <t>89CMAH2022000041R001520230289971</t>
  </si>
  <si>
    <t>89CMAH2022000041R001520230289979</t>
  </si>
  <si>
    <t>89CMAH2022000041R001520230289987</t>
  </si>
  <si>
    <t>89CMAH2022000041R001520230290126</t>
  </si>
  <si>
    <t>89CMAH2022000041R001520230290180</t>
  </si>
  <si>
    <t>89CMAH2022000041R001520230290225</t>
  </si>
  <si>
    <t>89CMAH2022000041R001520230290243</t>
  </si>
  <si>
    <t>89CMAH2022000041R001520230290257</t>
  </si>
  <si>
    <t>89CMAH2022000041R001520230290444</t>
  </si>
  <si>
    <t>89CMAH2022000041R001520230290492</t>
  </si>
  <si>
    <t>89CMAH2022000041R001520230290522</t>
  </si>
  <si>
    <t>89CMAH2022000041R001520230290556</t>
  </si>
  <si>
    <t>89CMAH2022000041R001520230290557</t>
  </si>
  <si>
    <t>89CMAH2022000041R001520230290616</t>
  </si>
  <si>
    <t>89CMAH2022000041R001520230290691</t>
  </si>
  <si>
    <t>89CMAH2022000041R001520230290787</t>
  </si>
  <si>
    <t>89CMAH2022000041R001520230290837</t>
  </si>
  <si>
    <t>89CMAH2022000041R001520230290860</t>
  </si>
  <si>
    <t>89CMAH2022000041R001520230290866</t>
  </si>
  <si>
    <t>SNCN00000004</t>
  </si>
  <si>
    <t>SNCN00000008</t>
  </si>
  <si>
    <t>SNCN00000067</t>
  </si>
  <si>
    <t>SNCN00000208</t>
  </si>
  <si>
    <t>SNCN00000222</t>
  </si>
  <si>
    <t>SNCN00000232</t>
  </si>
  <si>
    <t>SNCN00000354</t>
  </si>
  <si>
    <t>SNCN00000933</t>
  </si>
  <si>
    <t>SNCN00000937</t>
  </si>
  <si>
    <t>89CMAH2022000041R001520230085692</t>
  </si>
  <si>
    <t>89CMAH2022000041R001520230178052</t>
  </si>
  <si>
    <t>89CMAH2022000041R001520230178133</t>
  </si>
  <si>
    <t>89CMAH2022000041R001520230234016</t>
  </si>
  <si>
    <t>89CMAH2022000041R001520230234033</t>
  </si>
  <si>
    <t>89CMAH2022000041R001520230234086</t>
  </si>
  <si>
    <t>89CMAH2022000041R001520230234319</t>
  </si>
  <si>
    <t>89CMAH2022000041R001520230234377</t>
  </si>
  <si>
    <t>89CMAH2022000041R001520230234397</t>
  </si>
  <si>
    <t>89CMAH2022000041R001520230234492</t>
  </si>
  <si>
    <t>89CMAH2022000041R001520230234533</t>
  </si>
  <si>
    <t>89CMAH2022000041R001520230234636</t>
  </si>
  <si>
    <t>89CMAH2022000041R001520230234722</t>
  </si>
  <si>
    <t>89CMAH2022000041R001520230289310</t>
  </si>
  <si>
    <t>89CMAH2022000041R001520230289343</t>
  </si>
  <si>
    <t>89CMAH2022000041R001520230289405</t>
  </si>
  <si>
    <t>89CMAH2022000041R001520230289424</t>
  </si>
  <si>
    <t>89CMAH2022000041R001520230289520</t>
  </si>
  <si>
    <t>89CMAH2022000041R001520230289535</t>
  </si>
  <si>
    <t>89CMAH2022000041R001520230289595</t>
  </si>
  <si>
    <t>89CMAH2022000041R001520230289620</t>
  </si>
  <si>
    <t>89CMAH2022000041R001520230289631</t>
  </si>
  <si>
    <t>89CMAH2022000041R001520230289694</t>
  </si>
  <si>
    <t>89CMAH2022000041R001520230289719</t>
  </si>
  <si>
    <t>89CMAH2022000041R001520230289749</t>
  </si>
  <si>
    <t>89CMAH2022000041R001520230289764</t>
  </si>
  <si>
    <t>89CMAH2022000041R001520230289850</t>
  </si>
  <si>
    <t>89CMAH2022000041R001520230289867</t>
  </si>
  <si>
    <t>89CMAH2022000041R001520230289917</t>
  </si>
  <si>
    <t>89CMAH2022000041R001520230289925</t>
  </si>
  <si>
    <t>89CMAH2022000041R001520230289929</t>
  </si>
  <si>
    <t>89CMAH2022000041R001520230289990</t>
  </si>
  <si>
    <t>89CMAH2022000041R001520230290031</t>
  </si>
  <si>
    <t>89CMAH2022000041R001520230290036</t>
  </si>
  <si>
    <t>89CMAH2022000041R001520230290039</t>
  </si>
  <si>
    <t>89CMAH2022000041R001520230290062</t>
  </si>
  <si>
    <t>89CMAH2022000041R001520230290072</t>
  </si>
  <si>
    <t>89CMAH2022000041R001520230290113</t>
  </si>
  <si>
    <t>89CMAH2022000041R001520230290143</t>
  </si>
  <si>
    <t>89CMAH2022000041R001520230290219</t>
  </si>
  <si>
    <t>89CMAH2022000041R001520230290221</t>
  </si>
  <si>
    <t>89CMAH2022000041R001520230290230</t>
  </si>
  <si>
    <t>89CMAH2022000041R001520230290248</t>
  </si>
  <si>
    <t>89CMAH2022000041R001520230290258</t>
  </si>
  <si>
    <t>89CMAH2022000041R001520230290398</t>
  </si>
  <si>
    <t>89CMAH2022000041R001520230290516</t>
  </si>
  <si>
    <t>89CMAH2022000041R001520230290526</t>
  </si>
  <si>
    <t>89CMAH2022000041R001520230290530</t>
  </si>
  <si>
    <t>89CMAH2022000041R001520230290582</t>
  </si>
  <si>
    <t>89CMAH2022000041R001520230290588</t>
  </si>
  <si>
    <t>89CMAH2022000041R001520230290613</t>
  </si>
  <si>
    <t>89CMAH2022000041R001520230290663</t>
  </si>
  <si>
    <t>89CMAH2022000041R001520230290703</t>
  </si>
  <si>
    <t>89CMAH2022000041R001520230290722</t>
  </si>
  <si>
    <t>89CMAH2022000041R001520230290728</t>
  </si>
  <si>
    <t>89CMAH2022000041R001520230290751</t>
  </si>
  <si>
    <t>89CMAH2022000041R001520230290797</t>
  </si>
  <si>
    <t>89CMAH2022000041R001520230290825</t>
  </si>
  <si>
    <t>89CMAH2022000041R001520230290836</t>
  </si>
  <si>
    <t>89CMAH2022000041R001520230290862</t>
  </si>
  <si>
    <t>89CMAH2022000041R001520230290869</t>
  </si>
  <si>
    <t>89CMAH2022000041R001520230290913</t>
  </si>
  <si>
    <t>89CMAH2022000041R001520230290922</t>
  </si>
  <si>
    <t>SNCN00000077</t>
  </si>
  <si>
    <t>SNCN00000161</t>
  </si>
  <si>
    <t>SNCN00000241</t>
  </si>
  <si>
    <t>SNCN00000257</t>
  </si>
  <si>
    <t>SNCN00000315</t>
  </si>
  <si>
    <t>SNCN00000855</t>
  </si>
  <si>
    <t>SNCN00000878</t>
  </si>
  <si>
    <t>31CMAH0000000000R162304840738540</t>
  </si>
  <si>
    <t>31CMAH0000000000R262304840018720</t>
  </si>
  <si>
    <t>31CMAH0000000000R362304841016010</t>
  </si>
  <si>
    <t>31CMAH0000000000R962304820309270</t>
  </si>
  <si>
    <t>31CMAH0000000000R962304870326550</t>
  </si>
  <si>
    <t>31CMAHhipotcS1xS2OVERPARREST0001</t>
  </si>
  <si>
    <t>82000000007000589000200000642960</t>
  </si>
  <si>
    <t>82000000007016717000200000674463</t>
  </si>
  <si>
    <t>82000000007017961000200000761249</t>
  </si>
  <si>
    <t>89CMAH2022000041R001520230040045</t>
  </si>
  <si>
    <t>89CMAH2022000041R001520230085925</t>
  </si>
  <si>
    <t>89CMAH2022000041R001520230086091</t>
  </si>
  <si>
    <t>89CMAH2022000041R001520230145178</t>
  </si>
  <si>
    <t>89CMAH2022000041R001520230178112</t>
  </si>
  <si>
    <t>89CMAH2022000041R001520230178282</t>
  </si>
  <si>
    <t>89CMAH2022000041R001520230233969</t>
  </si>
  <si>
    <t>89CMAH2022000041R001520230234003</t>
  </si>
  <si>
    <t>89CMAH2022000041R001520230234034</t>
  </si>
  <si>
    <t>89CMAH2022000041R001520230234116</t>
  </si>
  <si>
    <t>89CMAH2022000041R001520230234126</t>
  </si>
  <si>
    <t>89CMAH2022000041R001520230234365</t>
  </si>
  <si>
    <t>89CMAH2022000041R001520230234374</t>
  </si>
  <si>
    <t>89CMAH2022000041R001520230234417</t>
  </si>
  <si>
    <t>89CMAH2022000041R001520230234610</t>
  </si>
  <si>
    <t>89CMAH2022000041R001520230289426</t>
  </si>
  <si>
    <t>89CMAH2022000041R001520230289463</t>
  </si>
  <si>
    <t>89CMAH2022000041R001520230289471</t>
  </si>
  <si>
    <t>89CMAH2022000041R001520230289510</t>
  </si>
  <si>
    <t>89CMAH2022000041R001520230289513</t>
  </si>
  <si>
    <t>89CMAH2022000041R001520230289609</t>
  </si>
  <si>
    <t>89CMAH2022000041R001520230289669</t>
  </si>
  <si>
    <t>89CMAH2022000041R001520230289675</t>
  </si>
  <si>
    <t>89CMAH2022000041R001520230289685</t>
  </si>
  <si>
    <t>89CMAH2022000041R001520230289692</t>
  </si>
  <si>
    <t>89CMAH2022000041R001520230289727</t>
  </si>
  <si>
    <t>89CMAH2022000041R001520230289818</t>
  </si>
  <si>
    <t>89CMAH2022000041R001520230289955</t>
  </si>
  <si>
    <t>89CMAH2022000041R001520230289960</t>
  </si>
  <si>
    <t>89CMAH2022000041R001520230290063</t>
  </si>
  <si>
    <t>89CMAH2022000041R001520230290075</t>
  </si>
  <si>
    <t>89CMAH2022000041R001520230290184</t>
  </si>
  <si>
    <t>89CMAH2022000041R001520230290223</t>
  </si>
  <si>
    <t>89CMAH2022000041R001520230290264</t>
  </si>
  <si>
    <t>89CMAH2022000041R001520230290267</t>
  </si>
  <si>
    <t>89CMAH2022000041R001520230290310</t>
  </si>
  <si>
    <t>89CMAH2022000041R001520230290320</t>
  </si>
  <si>
    <t>89CMAH2022000041R001520230290414</t>
  </si>
  <si>
    <t>89CMAH2022000041R001520230290521</t>
  </si>
  <si>
    <t>89CMAH2022000041R001520230290560</t>
  </si>
  <si>
    <t>89CMAH2022000041R001520230290573</t>
  </si>
  <si>
    <t>89CMAH2022000041R001520230290578</t>
  </si>
  <si>
    <t>89CMAH2022000041R001520230290589</t>
  </si>
  <si>
    <t>89CMAH2022000041R001520230290673</t>
  </si>
  <si>
    <t>89CMAH2022000041R001520230290919</t>
  </si>
  <si>
    <t>SNCN00000043</t>
  </si>
  <si>
    <t>SNCN00000087</t>
  </si>
  <si>
    <t>SNCN00000307</t>
  </si>
  <si>
    <t>SNCN00000469</t>
  </si>
  <si>
    <t>SNCN00000481</t>
  </si>
  <si>
    <t>SNCN00000511</t>
  </si>
  <si>
    <t>SNCN00000536</t>
  </si>
  <si>
    <t>SNCN00000951</t>
  </si>
  <si>
    <t>SNCN00000980</t>
  </si>
  <si>
    <t>SNCN00000633</t>
  </si>
  <si>
    <t>SNCN00000964</t>
  </si>
  <si>
    <t>80CMAHTOTTI000000339379260000000</t>
  </si>
  <si>
    <t>31000310192007091069674140100000</t>
  </si>
  <si>
    <t>31000310195026091069674620100000</t>
  </si>
  <si>
    <t>31000310531031090069674200100000</t>
  </si>
  <si>
    <t>31CMAH0000000000R262304840018520</t>
  </si>
  <si>
    <t>31CMAH0000000000R399904875248090</t>
  </si>
  <si>
    <t>31CMAH0000000000R962304820340090</t>
  </si>
  <si>
    <t>82000000000102341000420000415032</t>
  </si>
  <si>
    <t>82000000000105981000450000410339</t>
  </si>
  <si>
    <t>82000000007001741000200000643990</t>
  </si>
  <si>
    <t>82000000007002183000200000644499</t>
  </si>
  <si>
    <t>82000000007003209000200000645845</t>
  </si>
  <si>
    <t>82000000007003329000200000720351</t>
  </si>
  <si>
    <t>82000000007005804000200000648751</t>
  </si>
  <si>
    <t>82000000007011487000200000680311</t>
  </si>
  <si>
    <t>82000000007011520000200000679792</t>
  </si>
  <si>
    <t>82000000007011547000200000679802</t>
  </si>
  <si>
    <t>82000000007011563000200000680132</t>
  </si>
  <si>
    <t>82000000007016719000200000540675</t>
  </si>
  <si>
    <t>89CMAH2022000041R001520220603678</t>
  </si>
  <si>
    <t>89CMAH2022000041R001520230040099</t>
  </si>
  <si>
    <t>89CMAH2022000041R001520230085558</t>
  </si>
  <si>
    <t>89CMAH2022000041R001520230086034</t>
  </si>
  <si>
    <t>89CMAH2022000041R001520230086302</t>
  </si>
  <si>
    <t>89CMAH2022000041R001520230145048</t>
  </si>
  <si>
    <t>89CMAH2022000041R001520230178119</t>
  </si>
  <si>
    <t>89CMAH2022000041R001520230178203</t>
  </si>
  <si>
    <t>89CMAH2022000041R001520230233975</t>
  </si>
  <si>
    <t>89CMAH2022000041R001520230233977</t>
  </si>
  <si>
    <t>89CMAH2022000041R001520230234004</t>
  </si>
  <si>
    <t>89CMAH2022000041R001520230234079</t>
  </si>
  <si>
    <t>89CMAH2022000041R001520230234162</t>
  </si>
  <si>
    <t>89CMAH2022000041R001520230234180</t>
  </si>
  <si>
    <t>89CMAH2022000041R001520230234270</t>
  </si>
  <si>
    <t>89CMAH2022000041R001520230234305</t>
  </si>
  <si>
    <t>89CMAH2022000041R001520230234315</t>
  </si>
  <si>
    <t>89CMAH2022000041R001520230234339</t>
  </si>
  <si>
    <t>89CMAH2022000041R001520230234501</t>
  </si>
  <si>
    <t>89CMAH2022000041R001520230234523</t>
  </si>
  <si>
    <t>89CMAH2022000041R001520230289300</t>
  </si>
  <si>
    <t>89CMAH2022000041R001520230289357</t>
  </si>
  <si>
    <t>89CMAH2022000041R001520230289409</t>
  </si>
  <si>
    <t>89CMAH2022000041R001520230289431</t>
  </si>
  <si>
    <t>89CMAH2022000041R001520230289496</t>
  </si>
  <si>
    <t>89CMAH2022000041R001520230289521</t>
  </si>
  <si>
    <t>89CMAH2022000041R001520230289622</t>
  </si>
  <si>
    <t>89CMAH2022000041R001520230289629</t>
  </si>
  <si>
    <t>89CMAH2022000041R001520230289743</t>
  </si>
  <si>
    <t>89CMAH2022000041R001520230289800</t>
  </si>
  <si>
    <t>89CMAH2022000041R001520230289885</t>
  </si>
  <si>
    <t>89CMAH2022000041R001520230289889</t>
  </si>
  <si>
    <t>89CMAH2022000041R001520230289914</t>
  </si>
  <si>
    <t>89CMAH2022000041R001520230289923</t>
  </si>
  <si>
    <t>89CMAH2022000041R001520230289994</t>
  </si>
  <si>
    <t>89CMAH2022000041R001520230290001</t>
  </si>
  <si>
    <t>89CMAH2022000041R001520230290044</t>
  </si>
  <si>
    <t>89CMAH2022000041R001520230290052</t>
  </si>
  <si>
    <t>89CMAH2022000041R001520230290086</t>
  </si>
  <si>
    <t>89CMAH2022000041R001520230290162</t>
  </si>
  <si>
    <t>89CMAH2022000041R001520230290167</t>
  </si>
  <si>
    <t>89CMAH2022000041R001520230290245</t>
  </si>
  <si>
    <t>89CMAH2022000041R001520230290293</t>
  </si>
  <si>
    <t>89CMAH2022000041R001520230290303</t>
  </si>
  <si>
    <t>89CMAH2022000041R001520230290332</t>
  </si>
  <si>
    <t>89CMAH2022000041R001520230290494</t>
  </si>
  <si>
    <t>89CMAH2022000041R001520230290507</t>
  </si>
  <si>
    <t>89CMAH2022000041R001520230290619</t>
  </si>
  <si>
    <t>89CMAH2022000041R001520230290671</t>
  </si>
  <si>
    <t>89CMAH2022000041R001520230290710</t>
  </si>
  <si>
    <t>89CMAH2022000041R001520230290721</t>
  </si>
  <si>
    <t>89CMAH2022000041R001520230290730</t>
  </si>
  <si>
    <t>89CMAH2022000041R001520230290776</t>
  </si>
  <si>
    <t>89CMAH2022000041R001520230290790</t>
  </si>
  <si>
    <t>89CMAH2022000041R001520230290810</t>
  </si>
  <si>
    <t>89CMAH2022000041R001520230290854</t>
  </si>
  <si>
    <t>89CMAH2022000041R001520230290879</t>
  </si>
  <si>
    <t>89CMAH2022000041R001520230290896</t>
  </si>
  <si>
    <t>89CMAH2022000041R001520230290921</t>
  </si>
  <si>
    <t>SNCN00000083</t>
  </si>
  <si>
    <t>SNCN00000374</t>
  </si>
  <si>
    <t>SNCN00000581</t>
  </si>
  <si>
    <t>SNCN00000675</t>
  </si>
  <si>
    <t>SNCN00000934</t>
  </si>
  <si>
    <t>31CMAH0000000000R262304840019910</t>
  </si>
  <si>
    <t>31CMAH0000000000R962304820340410</t>
  </si>
  <si>
    <t>31CMAH0000000000R962304820358120</t>
  </si>
  <si>
    <t>31CMAH0000000000R962304820369590</t>
  </si>
  <si>
    <t>31CMAH0000000000R962304820383110</t>
  </si>
  <si>
    <t>31CMAH0000000000R962304820384080</t>
  </si>
  <si>
    <t>31CMAHenergyS1xS2OVER2ENFSMERT0A</t>
  </si>
  <si>
    <t>31CMAHrxohabS1xS2PMAPARREST00002</t>
  </si>
  <si>
    <t>82000000000070017000450000105698</t>
  </si>
  <si>
    <t>82000000007002083000200000644283</t>
  </si>
  <si>
    <t>82000000007002362000200000644602</t>
  </si>
  <si>
    <t>82000000007003023000200000409193</t>
  </si>
  <si>
    <t>82000000007003311000200000645952</t>
  </si>
  <si>
    <t>82000000007003694000200000646244</t>
  </si>
  <si>
    <t>82000000007008815000200000658942</t>
  </si>
  <si>
    <t>82000000007011507000200000679781</t>
  </si>
  <si>
    <t>82000000007017948000200000761227</t>
  </si>
  <si>
    <t>89CMAH2022000041R001520220603311</t>
  </si>
  <si>
    <t>89CMAH2022000041R001520230039925</t>
  </si>
  <si>
    <t>89CMAH2022000041R001520230085648</t>
  </si>
  <si>
    <t>89CMAH2022000041R001520230085687</t>
  </si>
  <si>
    <t>89CMAH2022000041R001520230085710</t>
  </si>
  <si>
    <t>89CMAH2022000041R001520230086093</t>
  </si>
  <si>
    <t>89CMAH2022000041R001520230144910</t>
  </si>
  <si>
    <t>89CMAH2022000041R001520230177986</t>
  </si>
  <si>
    <t>89CMAH2022000041R001520230178071</t>
  </si>
  <si>
    <t>89CMAH2022000041R001520230178086</t>
  </si>
  <si>
    <t>89CMAH2022000041R001520230234057</t>
  </si>
  <si>
    <t>89CMAH2022000041R001520230234239</t>
  </si>
  <si>
    <t>89CMAH2022000041R001520230234297</t>
  </si>
  <si>
    <t>89CMAH2022000041R001520230234378</t>
  </si>
  <si>
    <t>89CMAH2022000041R001520230234388</t>
  </si>
  <si>
    <t>89CMAH2022000041R001520230234553</t>
  </si>
  <si>
    <t>89CMAH2022000041R001520230234632</t>
  </si>
  <si>
    <t>89CMAH2022000041R001520230234653</t>
  </si>
  <si>
    <t>89CMAH2022000041R001520230234685</t>
  </si>
  <si>
    <t>89CMAH2022000041R001520230234701</t>
  </si>
  <si>
    <t>89CMAH2022000041R001520230289294</t>
  </si>
  <si>
    <t>89CMAH2022000041R001520230289302</t>
  </si>
  <si>
    <t>89CMAH2022000041R001520230289317</t>
  </si>
  <si>
    <t>89CMAH2022000041R001520230289448</t>
  </si>
  <si>
    <t>89CMAH2022000041R001520230289456</t>
  </si>
  <si>
    <t>89CMAH2022000041R001520230289483</t>
  </si>
  <si>
    <t>89CMAH2022000041R001520230289562</t>
  </si>
  <si>
    <t>89CMAH2022000041R001520230289608</t>
  </si>
  <si>
    <t>89CMAH2022000041R001520230289642</t>
  </si>
  <si>
    <t>89CMAH2022000041R001520230289714</t>
  </si>
  <si>
    <t>89CMAH2022000041R001520230289744</t>
  </si>
  <si>
    <t>89CMAH2022000041R001520230289758</t>
  </si>
  <si>
    <t>89CMAH2022000041R001520230289978</t>
  </si>
  <si>
    <t>89CMAH2022000041R001520230290056</t>
  </si>
  <si>
    <t>89CMAH2022000041R001520230290084</t>
  </si>
  <si>
    <t>89CMAH2022000041R001520230290145</t>
  </si>
  <si>
    <t>89CMAH2022000041R001520230290246</t>
  </si>
  <si>
    <t>89CMAH2022000041R001520230290306</t>
  </si>
  <si>
    <t>89CMAH2022000041R001520230290536</t>
  </si>
  <si>
    <t>89CMAH2022000041R001520230290548</t>
  </si>
  <si>
    <t>89CMAH2022000041R001520230290579</t>
  </si>
  <si>
    <t>89CMAH2022000041R001520230290602</t>
  </si>
  <si>
    <t>89CMAH2022000041R001520230290717</t>
  </si>
  <si>
    <t>89CMAH2022000041R001520230290746</t>
  </si>
  <si>
    <t>89CMAH2022000041R001520230290766</t>
  </si>
  <si>
    <t>89CMAH2022000041R001520230290801</t>
  </si>
  <si>
    <t>SNCN00000188</t>
  </si>
  <si>
    <t>SNCN00000210</t>
  </si>
  <si>
    <t>SNCN00000247</t>
  </si>
  <si>
    <t>SNCN00000256</t>
  </si>
  <si>
    <t>SNCN00000266</t>
  </si>
  <si>
    <t>SNCN00000277</t>
  </si>
  <si>
    <t>SNCN00000353</t>
  </si>
  <si>
    <t>SNCN00000547</t>
  </si>
  <si>
    <t>SNCN00000548</t>
  </si>
  <si>
    <t>SNCN00000567</t>
  </si>
  <si>
    <t>SNCN00000640</t>
  </si>
  <si>
    <t>31CMAH0000000000R262304820022860</t>
  </si>
  <si>
    <t>31CMAH0000000000R262304820025250</t>
  </si>
  <si>
    <t>31CMAH0000000000R599904833903700</t>
  </si>
  <si>
    <t>31CMAH0000000000R962304820143820</t>
  </si>
  <si>
    <t>31CMAH0000000000R962304820379540</t>
  </si>
  <si>
    <t>31CMAH0000000000R962304830379180</t>
  </si>
  <si>
    <t>31CMAH0000580004RXS0395875999000</t>
  </si>
  <si>
    <t>82000000000120873000450000423976</t>
  </si>
  <si>
    <t>82000000007009434000200000666453</t>
  </si>
  <si>
    <t>82000000007015402000200000718470</t>
  </si>
  <si>
    <t>82000000007017536000200000753926</t>
  </si>
  <si>
    <t>31CMAH0000000000R962304820340080</t>
  </si>
  <si>
    <t>31CMAH0000000000R962304820393090</t>
  </si>
  <si>
    <t>31CMAH0000000000R962304820409440</t>
  </si>
  <si>
    <t>31CMAHenergyS1xS2OVER2ENFGDRST0F</t>
  </si>
  <si>
    <t>82000000000123267000450000416648</t>
  </si>
  <si>
    <t>82000000007001276000200000643656</t>
  </si>
  <si>
    <t>82000000007006028000200000648810</t>
  </si>
  <si>
    <t>89CMAH2022000041R001520230085788</t>
  </si>
  <si>
    <t>89CMAH2022000041R001520230144894</t>
  </si>
  <si>
    <t>89CMAH2022000041R001520230145019</t>
  </si>
  <si>
    <t>89CMAH2022000041R001520230145180</t>
  </si>
  <si>
    <t>89CMAH2022000041R001520230177877</t>
  </si>
  <si>
    <t>89CMAH2022000041R001520230178102</t>
  </si>
  <si>
    <t>89CMAH2022000041R001520230178356</t>
  </si>
  <si>
    <t>89CMAH2022000041R001520230233970</t>
  </si>
  <si>
    <t>89CMAH2022000041R001520230233989</t>
  </si>
  <si>
    <t>89CMAH2022000041R001520230234111</t>
  </si>
  <si>
    <t>89CMAH2022000041R001520230234283</t>
  </si>
  <si>
    <t>89CMAH2022000041R001520230234405</t>
  </si>
  <si>
    <t>89CMAH2022000041R001520230234517</t>
  </si>
  <si>
    <t>89CMAH2022000041R001520230234657</t>
  </si>
  <si>
    <t>89CMAH2022000041R001520230234692</t>
  </si>
  <si>
    <t>89CMAH2022000041R001520230234743</t>
  </si>
  <si>
    <t>89CMAH2022000041R001520230289314</t>
  </si>
  <si>
    <t>89CMAH2022000041R001520230289325</t>
  </si>
  <si>
    <t>89CMAH2022000041R001520230289341</t>
  </si>
  <si>
    <t>89CMAH2022000041R001520230289411</t>
  </si>
  <si>
    <t>89CMAH2022000041R001520230289494</t>
  </si>
  <si>
    <t>89CMAH2022000041R001520230289515</t>
  </si>
  <si>
    <t>89CMAH2022000041R001520230289617</t>
  </si>
  <si>
    <t>89CMAH2022000041R001520230289638</t>
  </si>
  <si>
    <t>89CMAH2022000041R001520230289682</t>
  </si>
  <si>
    <t>89CMAH2022000041R001520230289816</t>
  </si>
  <si>
    <t>89CMAH2022000041R001520230289862</t>
  </si>
  <si>
    <t>89CMAH2022000041R001520230289884</t>
  </si>
  <si>
    <t>89CMAH2022000041R001520230289892</t>
  </si>
  <si>
    <t>89CMAH2022000041R001520230289899</t>
  </si>
  <si>
    <t>89CMAH2022000041R001520230289998</t>
  </si>
  <si>
    <t>89CMAH2022000041R001520230290003</t>
  </si>
  <si>
    <t>89CMAH2022000041R001520230290067</t>
  </si>
  <si>
    <t>89CMAH2022000041R001520230290125</t>
  </si>
  <si>
    <t>89CMAH2022000041R001520230290268</t>
  </si>
  <si>
    <t>89CMAH2022000041R001520230290288</t>
  </si>
  <si>
    <t>89CMAH2022000041R001520230290295</t>
  </si>
  <si>
    <t>89CMAH2022000041R001520230290317</t>
  </si>
  <si>
    <t>89CMAH2022000041R001520230290353</t>
  </si>
  <si>
    <t>89CMAH2022000041R001520230290391</t>
  </si>
  <si>
    <t>89CMAH2022000041R001520230290392</t>
  </si>
  <si>
    <t>89CMAH2022000041R001520230290418</t>
  </si>
  <si>
    <t>89CMAH2022000041R001520230290487</t>
  </si>
  <si>
    <t>89CMAH2022000041R001520230290496</t>
  </si>
  <si>
    <t>89CMAH2022000041R001520230290501</t>
  </si>
  <si>
    <t>89CMAH2022000041R001520230290513</t>
  </si>
  <si>
    <t>89CMAH2022000041R001520230290545</t>
  </si>
  <si>
    <t>89CMAH2022000041R001520230290599</t>
  </si>
  <si>
    <t>89CMAH2022000041R001520230290664</t>
  </si>
  <si>
    <t>89CMAH2022000041R001520230290682</t>
  </si>
  <si>
    <t>89CMAH2022000041R001520230290688</t>
  </si>
  <si>
    <t>89CMAH2022000041R001520230290723</t>
  </si>
  <si>
    <t>89CMAH2022000041R001520230290831</t>
  </si>
  <si>
    <t>89CMAH2022000041R001520230290842</t>
  </si>
  <si>
    <t>SNCN00000022</t>
  </si>
  <si>
    <t>SNCN00000033</t>
  </si>
  <si>
    <t>SNCN00000040</t>
  </si>
  <si>
    <t>SNCN00000875</t>
  </si>
  <si>
    <t>SNCN00000972</t>
  </si>
  <si>
    <t>SNCN00000978</t>
  </si>
  <si>
    <t>89CMAH2022000041R001520220603932</t>
  </si>
  <si>
    <t>89CMAH2022000041R001520230039733</t>
  </si>
  <si>
    <t>89CMAH2022000041R001520230085475</t>
  </si>
  <si>
    <t>89CMAH2022000041R001520230177919</t>
  </si>
  <si>
    <t>89CMAH2022000041R001520230178001</t>
  </si>
  <si>
    <t>89CMAH2022000041R001520230178128</t>
  </si>
  <si>
    <t>89CMAH2022000041R001520230178173</t>
  </si>
  <si>
    <t>89CMAH2022000041R001520230178316</t>
  </si>
  <si>
    <t>89CMAH2022000041R001520230178583</t>
  </si>
  <si>
    <t>89CMAH2022000041R001520230234022</t>
  </si>
  <si>
    <t>89CMAH2022000041R001520230234129</t>
  </si>
  <si>
    <t>89CMAH2022000041R001520230234301</t>
  </si>
  <si>
    <t>89CMAH2022000041R001520230234338</t>
  </si>
  <si>
    <t>89CMAH2022000041R001520230234426</t>
  </si>
  <si>
    <t>89CMAH2022000041R001520230234480</t>
  </si>
  <si>
    <t>89CMAH2022000041R001520230234618</t>
  </si>
  <si>
    <t>89CMAH2022000041R001520230234670</t>
  </si>
  <si>
    <t>89CMAH2022000041R001520230234673</t>
  </si>
  <si>
    <t>89CMAH2022000041R001520230234726</t>
  </si>
  <si>
    <t>89CMAH2022000041R001520230289337</t>
  </si>
  <si>
    <t>89CMAH2022000041R001520230289470</t>
  </si>
  <si>
    <t>89CMAH2022000041R001520230289490</t>
  </si>
  <si>
    <t>89CMAH2022000041R001520230289526</t>
  </si>
  <si>
    <t>89CMAH2022000041R001520230289601</t>
  </si>
  <si>
    <t>89CMAH2022000041R001520230289614</t>
  </si>
  <si>
    <t>89CMAH2022000041R001520230289660</t>
  </si>
  <si>
    <t>89CMAH2022000041R001520230289706</t>
  </si>
  <si>
    <t>89CMAH2022000041R001520230289856</t>
  </si>
  <si>
    <t>89CMAH2022000041R001520230289860</t>
  </si>
  <si>
    <t>89CMAH2022000041R001520230289872</t>
  </si>
  <si>
    <t>89CMAH2022000041R001520230289897</t>
  </si>
  <si>
    <t>89CMAH2022000041R001520230290046</t>
  </si>
  <si>
    <t>89CMAH2022000041R001520230290059</t>
  </si>
  <si>
    <t>89CMAH2022000041R001520230290140</t>
  </si>
  <si>
    <t>89CMAH2022000041R001520230290228</t>
  </si>
  <si>
    <t>89CMAH2022000041R001520230290500</t>
  </si>
  <si>
    <t>89CMAH2022000041R001520230290697</t>
  </si>
  <si>
    <t>89CMAH2022000041R001520230290699</t>
  </si>
  <si>
    <t>89CMAH2022000041R001520230290796</t>
  </si>
  <si>
    <t>89CMAH2022000041R001520230290803</t>
  </si>
  <si>
    <t>89CMAH2022000041R001520230290881</t>
  </si>
  <si>
    <t>SNCN00000126</t>
  </si>
  <si>
    <t>SNCN00000135</t>
  </si>
  <si>
    <t>SNCN00000306</t>
  </si>
  <si>
    <t>SNCN00000340</t>
  </si>
  <si>
    <t>SNCN00000371</t>
  </si>
  <si>
    <t>SNCN00000429</t>
  </si>
  <si>
    <t>SNCN00000484</t>
  </si>
  <si>
    <t>SNCN00000596</t>
  </si>
  <si>
    <t>SNCN00000650</t>
  </si>
  <si>
    <t>31CMAH0000000000R262304840020120</t>
  </si>
  <si>
    <t>31CMAH0000000000R962304820111240</t>
  </si>
  <si>
    <t>31CMAH0000000000R962304820150010</t>
  </si>
  <si>
    <t>31CMAH0000000000R962304820205570</t>
  </si>
  <si>
    <t>31CMAH0000000000R962304820225180</t>
  </si>
  <si>
    <t>31CMAH0000000000R962304820309470</t>
  </si>
  <si>
    <t>31CMAH0000000000R962304820320590</t>
  </si>
  <si>
    <t>31CMAH0000000000R962304820325080</t>
  </si>
  <si>
    <t>31CMAH0000000000R962304820340070</t>
  </si>
  <si>
    <t>31CMAH0000000000R962304820346880</t>
  </si>
  <si>
    <t>31CMAH0000000000R962304820372510</t>
  </si>
  <si>
    <t>31CMAH0000000000R962304880186890</t>
  </si>
  <si>
    <t>31CMAH00380016879363603800168799</t>
  </si>
  <si>
    <t>31CMAHenergyS1xS2OVER2ENFGDRST0H</t>
  </si>
  <si>
    <t>82000000005034180000510000723244</t>
  </si>
  <si>
    <t>82000000007000312000200000560596</t>
  </si>
  <si>
    <t>82000000007006382000200000647500</t>
  </si>
  <si>
    <t>82000000007007770000200000654459</t>
  </si>
  <si>
    <t>82000000007011203000200000681045</t>
  </si>
  <si>
    <t>82000000007017949000200000761230</t>
  </si>
  <si>
    <t>82000000008007126000530000885059</t>
  </si>
  <si>
    <t>89CMAH2022000041R001520220602738</t>
  </si>
  <si>
    <t>89CMAH2022000041R001520230039639</t>
  </si>
  <si>
    <t>89CMAH2022000041R001520230085849</t>
  </si>
  <si>
    <t>89CMAH2022000041R001520230085881</t>
  </si>
  <si>
    <t>89CMAH2022000041R001520230144715</t>
  </si>
  <si>
    <t>89CMAH2022000041R001520230144721</t>
  </si>
  <si>
    <t>89CMAH2022000041R001520230177962</t>
  </si>
  <si>
    <t>89CMAH2022000041R001520230178618</t>
  </si>
  <si>
    <t>89CMAH2022000041R001520230234084</t>
  </si>
  <si>
    <t>89CMAH2022000041R001520230234281</t>
  </si>
  <si>
    <t>89CMAH2022000041R001520230234285</t>
  </si>
  <si>
    <t>89CMAH2022000041R001520230234303</t>
  </si>
  <si>
    <t>89CMAH2022000041R001520230234345</t>
  </si>
  <si>
    <t>89CMAH2022000041R001520230234454</t>
  </si>
  <si>
    <t>89CMAH2022000041R001520230234534</t>
  </si>
  <si>
    <t>89CMAH2022000041R001520230234562</t>
  </si>
  <si>
    <t>89CMAH2022000041R001520230289278</t>
  </si>
  <si>
    <t>89CMAH2022000041R001520230289281</t>
  </si>
  <si>
    <t>89CMAH2022000041R001520230289326</t>
  </si>
  <si>
    <t>89CMAH2022000041R001520230289328</t>
  </si>
  <si>
    <t>89CMAH2022000041R001520230289336</t>
  </si>
  <si>
    <t>89CMAH2022000041R001520230289414</t>
  </si>
  <si>
    <t>89CMAH2022000041R001520230289459</t>
  </si>
  <si>
    <t>89CMAH2022000041R001520230289508</t>
  </si>
  <si>
    <t>89CMAH2022000041R001520230289517</t>
  </si>
  <si>
    <t>89CMAH2022000041R001520230289632</t>
  </si>
  <si>
    <t>89CMAH2022000041R001520230289681</t>
  </si>
  <si>
    <t>89CMAH2022000041R001520230289747</t>
  </si>
  <si>
    <t>89CMAH2022000041R001520230289826</t>
  </si>
  <si>
    <t>89CMAH2022000041R001520230289903</t>
  </si>
  <si>
    <t>89CMAH2022000041R001520230290012</t>
  </si>
  <si>
    <t>89CMAH2022000041R001520230290064</t>
  </si>
  <si>
    <t>89CMAH2022000041R001520230290088</t>
  </si>
  <si>
    <t>89CMAH2022000041R001520230290137</t>
  </si>
  <si>
    <t>89CMAH2022000041R001520230290152</t>
  </si>
  <si>
    <t>89CMAH2022000041R001520230290222</t>
  </si>
  <si>
    <t>89CMAH2022000041R001520230290227</t>
  </si>
  <si>
    <t>89CMAH2022000041R001520230290240</t>
  </si>
  <si>
    <t>89CMAH2022000041R001520230290284</t>
  </si>
  <si>
    <t>89CMAH2022000041R001520230290339</t>
  </si>
  <si>
    <t>89CMAH2022000041R001520230290380</t>
  </si>
  <si>
    <t>89CMAH2022000041R001520230290462</t>
  </si>
  <si>
    <t>89CMAH2022000041R001520230290479</t>
  </si>
  <si>
    <t>89CMAH2022000041R001520230290587</t>
  </si>
  <si>
    <t>89CMAH2022000041R001520230290595</t>
  </si>
  <si>
    <t>89CMAH2022000041R001520230290634</t>
  </si>
  <si>
    <t>89CMAH2022000041R001520230290661</t>
  </si>
  <si>
    <t>89CMAH2022000041R001520230290748</t>
  </si>
  <si>
    <t>89CMAH2022000041R001520230290753</t>
  </si>
  <si>
    <t>SNCN00000030</t>
  </si>
  <si>
    <t>SNCN00000144</t>
  </si>
  <si>
    <t>SNCN00000215</t>
  </si>
  <si>
    <t>SNCN00000246</t>
  </si>
  <si>
    <t>SNCN00000309</t>
  </si>
  <si>
    <t>SNCN00000350</t>
  </si>
  <si>
    <t>SNCN00000522</t>
  </si>
  <si>
    <t>SNCN00000708</t>
  </si>
  <si>
    <t>SNCN00000921</t>
  </si>
  <si>
    <t>31CMAH0000000000R162304880023020</t>
  </si>
  <si>
    <t>31CMAH0000000000R262304820022840</t>
  </si>
  <si>
    <t>31CMAH3884865000R000000000000000</t>
  </si>
  <si>
    <t>31CMAHhipotcS1xS2OVERPARREST0002</t>
  </si>
  <si>
    <t>82000000000113621000450000421091</t>
  </si>
  <si>
    <t>82000000007002772000200000645216</t>
  </si>
  <si>
    <t>82000000007004389000200000647221</t>
  </si>
  <si>
    <t>82000000007006089000200000617450</t>
  </si>
  <si>
    <t>82000000007008372000200000657142</t>
  </si>
  <si>
    <t>82000000007008800000200000660403</t>
  </si>
  <si>
    <t>82000000007010020000200000672052</t>
  </si>
  <si>
    <t>82000000007011454000200000680873</t>
  </si>
  <si>
    <t>82001120230000046000007401715685</t>
  </si>
  <si>
    <t>89CMAH2022000041R001520230039452</t>
  </si>
  <si>
    <t>89CMAH2022000041R001520230039736</t>
  </si>
  <si>
    <t>89CMAH2022000041R001520230039763</t>
  </si>
  <si>
    <t>89CMAH2022000041R001520230085742</t>
  </si>
  <si>
    <t>89CMAH2022000041R001520230086016</t>
  </si>
  <si>
    <t>89CMAH2022000041R001520230178124</t>
  </si>
  <si>
    <t>89CMAH2022000041R001520230178269</t>
  </si>
  <si>
    <t>89CMAH2022000041R001520230178350</t>
  </si>
  <si>
    <t>89CMAH2022000041R001520230178408</t>
  </si>
  <si>
    <t>89CMAH2022000041R001520230178584</t>
  </si>
  <si>
    <t>89CMAH2022000041R001520230178614</t>
  </si>
  <si>
    <t>89CMAH2022000041R001520230234245</t>
  </si>
  <si>
    <t>89CMAH2022000041R001520230234354</t>
  </si>
  <si>
    <t>89CMAH2022000041R001520230234366</t>
  </si>
  <si>
    <t>89CMAH2022000041R001520230234511</t>
  </si>
  <si>
    <t>89CMAH2022000041R001520230234655</t>
  </si>
  <si>
    <t>89CMAH2022000041R001520230234659</t>
  </si>
  <si>
    <t>89CMAH2022000041R001520230234713</t>
  </si>
  <si>
    <t>89CMAH2022000041R001520230289315</t>
  </si>
  <si>
    <t>89CMAH2022000041R001520230289334</t>
  </si>
  <si>
    <t>89CMAH2022000041R001520230289395</t>
  </si>
  <si>
    <t>89CMAH2022000041R001520230289442</t>
  </si>
  <si>
    <t>89CMAH2022000041R001520230289561</t>
  </si>
  <si>
    <t>89CMAH2022000041R001520230289563</t>
  </si>
  <si>
    <t>89CMAH2022000041R001520230289602</t>
  </si>
  <si>
    <t>89CMAH2022000041R001520230289657</t>
  </si>
  <si>
    <t>89CMAH2022000041R001520230289702</t>
  </si>
  <si>
    <t>89CMAH2022000041R001520230289709</t>
  </si>
  <si>
    <t>89CMAH2022000041R001520230289847</t>
  </si>
  <si>
    <t>89CMAH2022000041R001520230289911</t>
  </si>
  <si>
    <t>89CMAH2022000041R001520230290170</t>
  </si>
  <si>
    <t>89CMAH2022000041R001520230290255</t>
  </si>
  <si>
    <t>89CMAH2022000041R001520230290277</t>
  </si>
  <si>
    <t>89CMAH2022000041R001520230290540</t>
  </si>
  <si>
    <t>89CMAH2022000041R001520230290549</t>
  </si>
  <si>
    <t>89CMAH2022000041R001520230290564</t>
  </si>
  <si>
    <t>89CMAH2022000041R001520230290768</t>
  </si>
  <si>
    <t>89CMAH2022000041R001520230290783</t>
  </si>
  <si>
    <t>89CMAH2022000041R001520230290853</t>
  </si>
  <si>
    <t>89CMAH2022000041R001520230290873</t>
  </si>
  <si>
    <t>SNCN00000044</t>
  </si>
  <si>
    <t>SNCN00000086</t>
  </si>
  <si>
    <t>SNCN00000407</t>
  </si>
  <si>
    <t>SNCN00000415</t>
  </si>
  <si>
    <t>SNCN00000551</t>
  </si>
  <si>
    <t>SNCN00000973</t>
  </si>
  <si>
    <t>tipo</t>
  </si>
  <si>
    <t>Emp 82</t>
  </si>
  <si>
    <t>SUPRIMENTOSPTTA</t>
  </si>
  <si>
    <t>C pelo meio</t>
  </si>
  <si>
    <t>Row Labels</t>
  </si>
  <si>
    <t>(blank)</t>
  </si>
  <si>
    <t>Grand Total</t>
  </si>
  <si>
    <t>Count of instrmnt_id</t>
  </si>
  <si>
    <t>Satélite</t>
  </si>
  <si>
    <t>Data</t>
  </si>
  <si>
    <t>Satélite 79</t>
  </si>
  <si>
    <t>Satélite 80</t>
  </si>
  <si>
    <t>Satélite 83</t>
  </si>
  <si>
    <t>Satélite 84</t>
  </si>
  <si>
    <t>Satélite 93</t>
  </si>
  <si>
    <t>Satélite 109</t>
  </si>
  <si>
    <t>X</t>
  </si>
  <si>
    <t>x</t>
  </si>
  <si>
    <t>Q</t>
  </si>
  <si>
    <t>A</t>
  </si>
  <si>
    <t>conta</t>
  </si>
  <si>
    <t>ESG</t>
  </si>
  <si>
    <t>B</t>
  </si>
  <si>
    <t>XXX</t>
  </si>
  <si>
    <t>Alerta: Saldo negativo de 1000 €  no satelite 84</t>
  </si>
  <si>
    <t>Ajuste -1000 no id_comb xx no 84</t>
  </si>
  <si>
    <t>Ajuste -1000 no id_comb xx no 83</t>
  </si>
  <si>
    <t>y</t>
  </si>
  <si>
    <t>AVRG_BLNC</t>
  </si>
  <si>
    <t>OK</t>
  </si>
  <si>
    <t>NOK</t>
  </si>
  <si>
    <t>AVRG_BLNC_OFF_BLNC</t>
  </si>
  <si>
    <t>NT_LN_LSS_PRVSN</t>
  </si>
  <si>
    <t>NT_LN_LSS_PRVSN_OFF_BLNC</t>
  </si>
  <si>
    <t>INTRNL_TRNSFR_RT</t>
  </si>
  <si>
    <t>WIP</t>
  </si>
  <si>
    <t>NA</t>
  </si>
  <si>
    <t>%</t>
  </si>
  <si>
    <t>Campo</t>
  </si>
  <si>
    <t>Status</t>
  </si>
  <si>
    <t>all</t>
  </si>
  <si>
    <t>controlo</t>
  </si>
  <si>
    <t># Instrumentos</t>
  </si>
  <si>
    <t>GRSS_FEE_CMMSSN_INCM</t>
  </si>
  <si>
    <t>GRSS_FEE_CMMSSN_INCM_OFF_BLNC</t>
  </si>
  <si>
    <t>BSNSS_AREA</t>
  </si>
  <si>
    <t>BSNSS_AREA_CCRR</t>
  </si>
  <si>
    <t>GRSS_INTRST_INCM</t>
  </si>
  <si>
    <t>GRSS_INTRST_INCM_CCRR</t>
  </si>
  <si>
    <t>GNS_FNNCL_TRNSCTN_EXCHNG_DFFRNCS</t>
  </si>
  <si>
    <t>GNS_FNNCL_TRNSCTN_EXCHNG_CCRR</t>
  </si>
  <si>
    <t>GRSS_INTRST_EXPNS</t>
  </si>
  <si>
    <t>GRSS_INTRST_EXPNS_CCRR</t>
  </si>
  <si>
    <t>OK (MISS/ NA)</t>
  </si>
  <si>
    <t>COD_SOC</t>
  </si>
  <si>
    <t>SUBPORTFOLIO_ID</t>
  </si>
  <si>
    <t>DT_RFRNC</t>
  </si>
  <si>
    <t>INSTRMNT_ID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</si>
  <si>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</si>
  <si>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</si>
  <si>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</si>
  <si>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</si>
  <si>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</si>
  <si>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</si>
  <si>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</si>
  <si>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</si>
  <si>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</si>
  <si>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</si>
  <si>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</si>
  <si>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</si>
  <si>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LCL_INSTMRNT_ID</t>
  </si>
  <si>
    <t>SSTNBL_INDCTR</t>
  </si>
  <si>
    <t>SSTNBL_CTGRY</t>
  </si>
  <si>
    <t>NW_BSNSS</t>
  </si>
  <si>
    <t>GRSS_CMMSSN_INCM</t>
  </si>
  <si>
    <t>MNGMNT_PRDCT</t>
  </si>
  <si>
    <t>GRSS_CMMSSN_EXPNS</t>
  </si>
  <si>
    <t>FLG_INTRBSNSS</t>
  </si>
  <si>
    <t>INTRBSNSS_ADJ_COD</t>
  </si>
  <si>
    <t>COD_SOC_DSTNTN</t>
  </si>
  <si>
    <t>BSNSS_AREA_DSTNTN</t>
  </si>
  <si>
    <t>INTRNL_TRNSFR_RT_OFF_BLNC</t>
  </si>
  <si>
    <t>GRSS_CMMSSN_INCM_OFF_BLNC</t>
  </si>
  <si>
    <t>GRSS_CMMSSN_EXPNS_OFF_BLNC</t>
  </si>
  <si>
    <t>RWA_OFF_BLNC</t>
  </si>
  <si>
    <t>GRSS_CMMSSN_INCM_CCRR</t>
  </si>
  <si>
    <t>GRSS_CMMSSN_EXPNS_CCRR</t>
  </si>
  <si>
    <t>GRSS_CMMSSN_INCM_OFF_BLNC_CCRR</t>
  </si>
  <si>
    <t>GRSS_CMMSSN_EXPNS_OFF_BLNC_CCRR</t>
  </si>
  <si>
    <t>CNCLLD_INSTRMNT_STTS</t>
  </si>
  <si>
    <t>IDCMB</t>
  </si>
  <si>
    <t xml:space="preserve"># Instrumentos </t>
  </si>
  <si>
    <t xml:space="preserve">% </t>
  </si>
  <si>
    <t xml:space="preserve"># Instrumentos  </t>
  </si>
  <si>
    <t xml:space="preserve">%  </t>
  </si>
  <si>
    <t xml:space="preserve"># Instrumentos   </t>
  </si>
  <si>
    <t xml:space="preserve">%   </t>
  </si>
  <si>
    <t xml:space="preserve"># Instrumentos    </t>
  </si>
  <si>
    <t xml:space="preserve">%    </t>
  </si>
  <si>
    <t>Notas</t>
  </si>
  <si>
    <t>Por implementar</t>
  </si>
  <si>
    <t>NOK (MISS/ NA)</t>
  </si>
  <si>
    <t>WIP (MISS/ NA)</t>
  </si>
  <si>
    <t>controlo_2</t>
  </si>
  <si>
    <t>WIP Erro</t>
  </si>
  <si>
    <t>WIP N/N</t>
  </si>
  <si>
    <t>Em implementação</t>
  </si>
  <si>
    <t>Em teste</t>
  </si>
  <si>
    <t>Todos os valores estão iguais ao GRSS_INTRST_INCM</t>
  </si>
  <si>
    <t>Em correção</t>
  </si>
  <si>
    <t>Tudo a 11111111111.00</t>
  </si>
  <si>
    <t>Igual ao instrument ID</t>
  </si>
  <si>
    <t>Concluído</t>
  </si>
  <si>
    <t>Tudo a 11111111111</t>
  </si>
  <si>
    <t>Valores apurados são diferentes</t>
  </si>
  <si>
    <t>Status dos testes</t>
  </si>
  <si>
    <t>Status do campo</t>
  </si>
  <si>
    <t>Alterações Corp</t>
  </si>
  <si>
    <t>Removido 22/12/2023</t>
  </si>
  <si>
    <t>Adicionado 22/12/2023</t>
  </si>
  <si>
    <t>Em Implementação</t>
  </si>
  <si>
    <t>Alterado 22/12/2023</t>
  </si>
  <si>
    <t>FLG_INSTRMNT_CNCLLD</t>
  </si>
  <si>
    <t>Sem alterações</t>
  </si>
  <si>
    <t>Count of Alterações Corp</t>
  </si>
  <si>
    <t>1. Campos a testar</t>
  </si>
  <si>
    <t>Atualmente a corporação prevê que o GD reporte 50 campos</t>
  </si>
  <si>
    <t>Origem</t>
  </si>
  <si>
    <t>LT ESTR</t>
  </si>
  <si>
    <t>Modelo Verde</t>
  </si>
  <si>
    <t>CT209</t>
  </si>
  <si>
    <t>CT211</t>
  </si>
  <si>
    <t>CT207</t>
  </si>
  <si>
    <t>Corporativo</t>
  </si>
  <si>
    <t>Calculado</t>
  </si>
  <si>
    <t>EQUAL</t>
  </si>
  <si>
    <t>w/o null</t>
  </si>
  <si>
    <t>only mant null</t>
  </si>
  <si>
    <t>both null</t>
  </si>
  <si>
    <t>only mat null</t>
  </si>
  <si>
    <t>DIFFERENT</t>
  </si>
  <si>
    <t>Not Started</t>
  </si>
  <si>
    <t>Data Status</t>
  </si>
  <si>
    <t>209+209 ant</t>
  </si>
  <si>
    <t>1-1</t>
  </si>
  <si>
    <t>n-n</t>
  </si>
  <si>
    <t>n cruza</t>
  </si>
  <si>
    <r>
      <t xml:space="preserve">2. # Campos por </t>
    </r>
    <r>
      <rPr>
        <b/>
        <i/>
        <sz val="11"/>
        <color theme="1"/>
        <rFont val="Arial"/>
        <family val="2"/>
      </rPr>
      <t>Status</t>
    </r>
  </si>
  <si>
    <r>
      <t xml:space="preserve">3. </t>
    </r>
    <r>
      <rPr>
        <b/>
        <i/>
        <sz val="11"/>
        <color theme="1"/>
        <rFont val="Arial"/>
        <family val="2"/>
      </rPr>
      <t xml:space="preserve">Status </t>
    </r>
    <r>
      <rPr>
        <b/>
        <sz val="11"/>
        <color theme="1"/>
        <rFont val="Arial"/>
        <family val="2"/>
      </rPr>
      <t>dos testes por universo LT002</t>
    </r>
  </si>
  <si>
    <t>Status base</t>
  </si>
  <si>
    <t>Disponibilizado para teste</t>
  </si>
  <si>
    <t>Count of Status base</t>
  </si>
  <si>
    <t>(Multiple Items)</t>
  </si>
  <si>
    <t>Status teste</t>
  </si>
  <si>
    <t>Count of Status teste</t>
  </si>
  <si>
    <t>Em análise de requisitos</t>
  </si>
  <si>
    <r>
      <t xml:space="preserve">3. # </t>
    </r>
    <r>
      <rPr>
        <b/>
        <i/>
        <sz val="11"/>
        <color theme="1"/>
        <rFont val="Arial"/>
        <family val="2"/>
      </rPr>
      <t xml:space="preserve">Status </t>
    </r>
    <r>
      <rPr>
        <b/>
        <sz val="11"/>
        <color theme="1"/>
        <rFont val="Arial"/>
        <family val="2"/>
      </rPr>
      <t>dos testes por campo</t>
    </r>
  </si>
  <si>
    <r>
      <rPr>
        <sz val="14"/>
        <color theme="1"/>
        <rFont val="Calibri"/>
        <family val="2"/>
      </rPr>
      <t>Δ</t>
    </r>
    <r>
      <rPr>
        <sz val="11"/>
        <color theme="1"/>
        <rFont val="Calibri"/>
        <family val="2"/>
      </rPr>
      <t xml:space="preserve"> </t>
    </r>
    <r>
      <rPr>
        <sz val="10"/>
        <color theme="1"/>
        <rFont val="Arial"/>
        <family val="2"/>
      </rPr>
      <t>último PdS</t>
    </r>
  </si>
  <si>
    <t>Voltar a correr o processo</t>
  </si>
  <si>
    <t>Email enviado à corporação a validar se é para colocar a MISS ou NA</t>
  </si>
  <si>
    <t>Email enviado à corporação a validar se é para fazer localmente</t>
  </si>
  <si>
    <t xml:space="preserve">1 MIS para 1 FR </t>
  </si>
  <si>
    <t xml:space="preserve">N MIS para 1 FR </t>
  </si>
  <si>
    <t xml:space="preserve">1 MIS para N FR </t>
  </si>
  <si>
    <t xml:space="preserve">N MIS para N FR </t>
  </si>
  <si>
    <t>Total (1:N)</t>
  </si>
  <si>
    <t>COUNTS</t>
  </si>
  <si>
    <t>Nota</t>
  </si>
  <si>
    <t>22 NOK fazem parte dos 999999 (432)</t>
  </si>
  <si>
    <t>-</t>
  </si>
  <si>
    <t>NT_LN_LSS_PRVSN_new is null</t>
  </si>
  <si>
    <t>INTRNL_TRNSFR_RT = INTRNL_TRNSFR_RT_new and INTRNL_TRNSFR_RT &lt;&gt; 0.00 = 7613</t>
  </si>
  <si>
    <t>NS</t>
  </si>
  <si>
    <t xml:space="preserve">*NS - Not Started inclui campos "Em implementação" e "Em análise de requisitos" </t>
  </si>
  <si>
    <t>Count(*)</t>
  </si>
  <si>
    <t>Validados</t>
  </si>
  <si>
    <t>and m009 is null</t>
  </si>
  <si>
    <t>and m009 is null  and NT_LN_LSS_PRVSN = 0.00</t>
  </si>
  <si>
    <t>Tudo a 99999999.00</t>
  </si>
  <si>
    <t>Outter query altera os Counts com o case when: case when (c007+c134) - (c007_ant+c134_ant) &gt; 0 then 'Y' Else 'N' end as NW_BSNSS_new</t>
  </si>
  <si>
    <t>where 1=1 and (coalesce(c458,0) + coalesce(c459,0)) - (coalesce(c458_ant,0) + coalesce(c459_ant,0))  &lt;&gt; GRSS_FEE_CMMSSN_EXPNS</t>
  </si>
  <si>
    <t xml:space="preserve">Tem incluido os NA ? </t>
  </si>
  <si>
    <t>SIM</t>
  </si>
  <si>
    <t xml:space="preserve"> </t>
  </si>
  <si>
    <t>where 1=1 and CDG.COD_SOC &lt;&gt; PM.COD_SOC</t>
  </si>
  <si>
    <t>where 1=1 and CDG.DFLT_STTS_INSTRMNT &lt;&gt; PM.DFLT_STTS_INSTRMNT and CDG.DFLT_STTS_INSTRMNT &lt;&gt; '11111111111'
Campo do lado do CDG aprovisionado com NA = '1111111111'; COUNT (*) c/CDG.DFLT_STTS_INSTRMNT = '11111111111' = 2020445</t>
  </si>
  <si>
    <t xml:space="preserve">where 1=1 and CDG.GRSS_CRRYNG_AMNT_INSTRMNT &lt;&gt;    PM.GRSS_CRRYNG_AMNT_INSTRMNT </t>
  </si>
  <si>
    <t xml:space="preserve">where 1=1 and CDG.OFF_BLNC_SHT_AMNT_INSTRMNT &lt;&gt; PM.OFF_BLNC_SHT_AMNT_INSTRMNT </t>
  </si>
  <si>
    <t>where 1=1 and CDG.PRVSNS_OFF_BLNC_SHT &lt;&gt; PM.PRVSNS_OFF_BLNC_SHT</t>
  </si>
  <si>
    <t>where 1=1 and CDG.SUBPORTFOLIO_ID &lt;&gt; PM.SUBPORTFOLIO_ID</t>
  </si>
  <si>
    <t xml:space="preserve">where 1=1 and CDG.TYP_INSTRMNT = PM.TYP_INSTRMNT </t>
  </si>
  <si>
    <t>where 1=1 and CDG.ACCMLTD_IMPRMNT_INSTRMNT = PM.ACCMLTD_IMPRMNT_INSTRMNT</t>
  </si>
  <si>
    <t>where 1=1
and CDG.IDCMB &lt;&gt; PM.IDCMB OR CDG.IDCMB = PM.IDCMB</t>
  </si>
  <si>
    <t>????????</t>
  </si>
  <si>
    <t>1225427 (Todos &lt;&gt; 99999999.00)</t>
  </si>
  <si>
    <t>904 (432 = 99999999.00)</t>
  </si>
  <si>
    <t>MNGM_PRDCT</t>
  </si>
  <si>
    <t>Novo Processo (02/02/2024)</t>
  </si>
  <si>
    <t>Count (*)</t>
  </si>
  <si>
    <t>PdS 06/06/2024</t>
  </si>
  <si>
    <t>chave_mis</t>
  </si>
  <si>
    <t>c007_ant</t>
  </si>
  <si>
    <t>c134_ant</t>
  </si>
  <si>
    <t>c224_ant</t>
  </si>
  <si>
    <t>c298_ant</t>
  </si>
  <si>
    <t>c299_ant</t>
  </si>
  <si>
    <t>c300_ant</t>
  </si>
  <si>
    <t>c310_ant</t>
  </si>
  <si>
    <t>32.7900</t>
  </si>
  <si>
    <t>0.0000</t>
  </si>
  <si>
    <t>0.2500</t>
  </si>
  <si>
    <t>0.1800</t>
  </si>
  <si>
    <t>31000300000015007100076952960001'</t>
  </si>
  <si>
    <t>c298</t>
  </si>
  <si>
    <t>grss_intrst_incm_new</t>
  </si>
  <si>
    <t>grss_intrst_incm</t>
  </si>
  <si>
    <t>grss_intrst_expns</t>
  </si>
  <si>
    <t>0.3500</t>
  </si>
  <si>
    <t>0.10</t>
  </si>
  <si>
    <t>0.00</t>
  </si>
  <si>
    <t>31000300000015007100076952960000'</t>
  </si>
  <si>
    <t>c007</t>
  </si>
  <si>
    <t>c134</t>
  </si>
  <si>
    <t>c224</t>
  </si>
  <si>
    <t>c299</t>
  </si>
  <si>
    <t>c300</t>
  </si>
  <si>
    <t>c310</t>
  </si>
  <si>
    <t>0.2600</t>
  </si>
  <si>
    <t>Status (Atualizado)</t>
  </si>
  <si>
    <t>NOK ( Ver email Monica)</t>
  </si>
  <si>
    <t>NOK ( Ver email Coorporação</t>
  </si>
  <si>
    <t>NOK (email Coorporação)</t>
  </si>
  <si>
    <t>Validar</t>
  </si>
  <si>
    <t>NOK (CCRR - Alterar para Em correção quando enviado email a especificar como devem ser aprovisionados este tipos de campos  ?)</t>
  </si>
  <si>
    <t xml:space="preserve">Pending quando os 30 casos estiverem ok </t>
  </si>
  <si>
    <t xml:space="preserve">Counts </t>
  </si>
  <si>
    <t>Total (1 BSNSS_AREA)</t>
  </si>
  <si>
    <t>1 FR - 1 MIS</t>
  </si>
  <si>
    <t>1 FR - N MIS</t>
  </si>
  <si>
    <t>N FR - N MIS</t>
  </si>
  <si>
    <t xml:space="preserve">Testes Universos </t>
  </si>
  <si>
    <t>Universo 1:1</t>
  </si>
  <si>
    <t>ct 211</t>
  </si>
  <si>
    <t>Universo 1:N</t>
  </si>
  <si>
    <t xml:space="preserve">Universo 1:N </t>
  </si>
  <si>
    <t>ct209</t>
  </si>
  <si>
    <t>Validado</t>
  </si>
  <si>
    <t>N</t>
  </si>
  <si>
    <t>NOK where = 99999999999.00</t>
  </si>
  <si>
    <t>Foram definidos novos requisitos pelas àres de negócio</t>
  </si>
  <si>
    <t>Y</t>
  </si>
  <si>
    <t>Tema</t>
  </si>
  <si>
    <t>Duplicados ?</t>
  </si>
  <si>
    <t>QUERY</t>
  </si>
  <si>
    <t xml:space="preserve"> 
Select count(*) from
(
Select 
lt002.instrmnt_id,
-- chave.CHAVE_MIS,
-- c458, 
-- c458_ant, 
-- c459, 
-- c459_ant,
GRSS_fee_CMMSSN_EXPNS_OFF_BLNC,
sum(coalesce(c458,0)+coalesce(c459,0)  - (coalesce(c458_ant,0)+coalesce(c459_ant,0))) as GRSS_fee_CMMSSN_EXPNS_OFF_BLNC_new
from
-------- Base e a LT -------------
(SELECT instrmnt_id, AVRG_BLNC_OFF_BLNC, AVRG_BLNC, INTRNL_TRNSFR_RT, GRSS_fee_CMMSSN_EXPNS_OFF_BLNC
FROM cd_loan_tapes_bce.lt002_instrument WHERE ref_date = '${date}'AND segmento = 'ESTR' AND nome_perimetro = 'Individual Corporativo' AND ambito = 'CDG'
-- and instrmnt_id in (
-- '31000311174033096000000000000000',
-- '31000310914025096000000000000000',
-- '31000312996558096000000000000000',
-- '31000311250619096000000000000000',
-- '31000309476606096000000000000000',
-- '31000312809892096000000000000000'
-- )
) lt002
-------- Para campos primos dos CCRR - usar apenas contratos com uma business area -------------
-- INNER JOIN
-- (SELECT chave_fr ,ccrr from bu_esg_work.GD_INSTRUMENT_CCRR where ccrr = 'N') CCRR
-- on ccrr.chave_fr=lt002.instrmnt_id
-------- tradutores do mes atual -------------
INNER JOIN
(select distinct kt_finrep.CHAVE_fr, kt_mis.CHAVE_MIS from (
select distinct CONCAT(cempresa_fr, cbalcao_fr, cnumecta_fr, zdeposit_fr) AS CHAVE_fr, CONCAT(cempresa, cbalcao, cnumecta, zdeposit) AS CHAVE_MASTER from cd_captools.kt_chaves_finrep where ref_date = '${date}') kt_finrep
INNER JOIN
(select  distinct CONCAT(cempcta, ckbalcao, cknumcta, zdeposit_mis) AS CHAVE_MIS, CONCAT(cempresa, cbalcao, cnumecta, zdeposit) AS CHAVE_MASTER from cd_captools.kt_chaves_mis where ref_date = '${date}') KT_mis
on kt_finrep.CHAVE_MASTER = KT_mis.CHAVE_MASTER
) chave
on chave.chave_fr = lt002.instrmnt_id
-------- tradutores do mes anterior -------------
Left JOIN
(select distinct kt_finrep.CHAVE_fr, kt_mis.CHAVE_MIS from (
select distinct CONCAT(cempresa_fr, cbalcao_fr, cnumecta_fr, zdeposit_fr) AS CHAVE_fr, CONCAT(cempresa, cbalcao, cnumecta, zdeposit) AS CHAVE_MASTER from cd_captools.kt_chaves_finrep where ref_date = '${date_ant}') kt_finrep
INNER JOIN
(select  distinct CONCAT(cempcta, ckbalcao, cknumcta, zdeposit_mis) AS CHAVE_MIS, CONCAT(cempresa, cbalcao, cnumecta, zdeposit) AS CHAVE_MASTER from cd_captools.kt_chaves_mis where ref_date = '${date_ant}') KT_mis
on kt_finrep.CHAVE_MASTER = KT_mis.CHAVE_MASTER
) chave_ant
on chave_ant.chave_fr = lt002.instrmnt_id
-------- Filtro para segmentar os nossos testes: 1 contrato FR para 1 contrato MIS&gt;&gt; mes atual -------------
INNER JOIN
(Select CHAVE_fr from bu_esg_work.GD_CHAVES_DUPLICADAS_TESTE where ref_date = '${date}'AND mis = 'N' and fr = 'N') duplicados
on lt002.instrmnt_id = duplicados.chave_fr
-------- Filtro para segmentar os nossos testes: 1 contrato FR para 1 contrato MIS&gt;&gt; mes anterior -------------
Left JOIN
(Select CHAVE_fr from bu_esg_work.GD_CHAVES_DUPLICADAS_TESTE where ref_date = '${date_ant}'AND mis = 'N' and fr = 'N') duplicados_ant
on lt002.instrmnt_id = duplicados_ant.chave_fr
Left JOIN
------------------------ Mes atual &gt;&gt; MIS  -------------------------------
(
Select chave_mis,--ckmetamis ,cmetacom,a
sum(c458) as c458 , sum(c459) as c459  from
(
------- apenas comissao  -------------------------
Select ct211.chave_mis as chave_mis, ct211.cmetacom as cmetacom, 
ct211.c458, ct211.c459, 'produto' as origem from
(select concat(cempcta, ckbalcao, cknumcta, zdeposit) as chave_mis,cmetacom, c458, c459 from cd_captools.ct211_rent_kpmco where ref_date = '${date}' ) ct211
inner join
(Select DISTINCT metacomissao
from cd_captools.ct831_class_meta where ref_date = '${date}' AND ambito = 'CDG' and metaproduto = '' -- and metacomissao = '' 
and tipo_conta_local in ( 
-- 'ATIVO PATRIMONIAL',
-- 'ATIVO'
'ATIVO EXPATRIMONIAL LINHAS DE CREDITO',
 'ATIVO EXTRAPATRIMONIAL CREDITO ASSINATURA' 
)  
) CT831
on   CT831.metacomissao=ct211.cmetacom
) xx
group by 1
) Atual
on chave.chave_mis = Atual.chave_mis
Left JOIN
------------------------ Mes anterior  &gt;&gt; MIS-------------------------------
(
Select chave_mis,--ckmetamis ,cmetacom,
sum (c458) as c458_ant, sum(c459) as c459_ant from
(
----------------------- apenas produto  -------------------------
Select ct211.chave_mis as chave_mis, ct211.cmetacom as cmetacom, ct211.c458, ct211.c459, 'produto' as origem from
(select concat(cempcta, ckbalcao, cknumcta, zdeposit) as chave_mis,cmetacom, c458, c459 from cd_captools.ct211_rent_kpmco where ref_date = '${date_ant}') ct211
inner join
(Select DISTINCT  metacomissao from cd_captools.ct831_class_meta where ref_date = '${date}' AND ambito = 'CDG' and metaproduto = '' -- and metacomissao = '' 
and tipo_conta_local in ( 
-- 'ATIVO PATRIMONIAL',
-- 'ATIVO'
'ATIVO EXPATRIMONIAL LINHAS DE CREDITO',
 'ATIVO EXTRAPATRIMONIAL CREDITO ASSINATURA'  
)  
) CT831
on   CT831.metacomissao=ct211.cmetacom
) xx
group by 1
) ant
on chave_ant.chave_mis = ant.chave_mis
group by 1,2
) yyy
where 1=1
and GRSS_fee_CMMSSN_EXPNS_OFF_BLNC  &lt;&gt; GRSS_fee_CMMSSN_EXPNS_OFF_BLNC_new
--and grss_fee_cmmssn_expns_OFF_BLNC &lt;&gt; 99999999999.00
--and instrmnt_id = '31000000058774021000000000000000'</t>
  </si>
  <si>
    <t xml:space="preserve">NOK where grss_fee_cmmssn_expns_NEW = 0 </t>
  </si>
  <si>
    <t>ok</t>
  </si>
  <si>
    <t>302034 =&gt; Quase tudo metacomissao q não estamos a considerar; Ex: 31005122067650011000000000000000, comissao=CC1430 / CC1410 ;</t>
  </si>
  <si>
    <t>CC1111</t>
  </si>
  <si>
    <t>=WIP</t>
  </si>
  <si>
    <t xml:space="preserve">Falta correr um teste - Processo de GD não terminado </t>
  </si>
  <si>
    <t>Alterações</t>
  </si>
  <si>
    <t>Coumts OK (sem duplicados)</t>
  </si>
  <si>
    <t>Select count(*) from
(
Select 
 lt002.instrmnt_id,
--  chave.CHAVE_MIS,
-- c457, 
-- c457_ant, 
-- c460, 
-- c460_ant,
GRSS_FEE_CMMSSN_INCM_OFF_BLNC,
sum((coalesce(c457,0) + coalesce(c460,0)) - (coalesce(c457_ant,0) + coalesce(c460_ant,0))) as GRSS_FEE_CMMSSN_INCM_OFF_BLNC_new
from
-------- Base e a LT -------------
(SELECT instrmnt_id, AVRG_BLNC_OFF_BLNC, AVRG_BLNC, INTRNL_TRNSFR_RT, grss_fee_cmmssn_incm_off_blnc
FROM cd_loan_tapes_bce.lt002_instrument WHERE ref_date = '${date}'AND segmento = 'ESTR' AND nome_perimetro = 'Individual Corporativo' AND ambito = 'CDG'
-- and instrmnt_id in (
-- '31000311174033096000000000000000',
-- '31000310914025096000000000000000',
-- '31000312996558096000000000000000',
-- '31000311250619096000000000000000',
-- '31000309476606096000000000000000',
-- '31000312809892096000000000000000'
-- )
) lt002
-------- Para campos primos dos CCRR - usar apenas contratos com uma business area -------------
-- INNER JOIN
-- (SELECT chave_fr ,ccrr from bu_esg_work.GD_INSTRUMENT_CCRR where ccrr = 'N') CCRR
-- on ccrr.chave_fr=lt002.instrmnt_id
-------- tradutores do mes atual -------------
INNER JOIN
(select distinct kt_finrep.CHAVE_fr, kt_mis.CHAVE_MIS from (
select distinct CONCAT(cempresa_fr, cbalcao_fr, cnumecta_fr, zdeposit_fr) AS CHAVE_fr, CONCAT(cempresa, cbalcao, cnumecta, zdeposit) AS CHAVE_MASTER from cd_captools.kt_chaves_finrep where ref_date = '${date}') kt_finrep
INNER JOIN
(select  distinct CONCAT(cempcta, ckbalcao, cknumcta, zdeposit_mis) AS CHAVE_MIS, CONCAT(cempresa, cbalcao, cnumecta, zdeposit) AS CHAVE_MASTER from cd_captools.kt_chaves_mis where ref_date = '${date}') KT_mis
on kt_finrep.CHAVE_MASTER = KT_mis.CHAVE_MASTER
) chave
on chave.chave_fr = lt002.instrmnt_id
-------- tradutores do mes anterior -------------
Left JOIN
(select distinct kt_finrep.CHAVE_fr, kt_mis.CHAVE_MIS from (
select distinct CONCAT(cempresa_fr, cbalcao_fr, cnumecta_fr, zdeposit_fr) AS CHAVE_fr, CONCAT(cempresa, cbalcao, cnumecta, zdeposit) AS CHAVE_MASTER from cd_captools.kt_chaves_finrep where ref_date = '${date_ant}') kt_finrep
INNER JOIN
(select  distinct CONCAT(cempcta, ckbalcao, cknumcta, zdeposit_mis) AS CHAVE_MIS, CONCAT(cempresa, cbalcao, cnumecta, zdeposit) AS CHAVE_MASTER from cd_captools.kt_chaves_mis where ref_date = '${date_ant}') KT_mis
on kt_finrep.CHAVE_MASTER = KT_mis.CHAVE_MASTER
) chave_ant
on chave_ant.chave_fr = lt002.instrmnt_id
-------- Filtro para segmentar os nossos testes: 1 contrato FR para 1 contrato MIS&gt;&gt; mes atual -------------
INNER JOIN
(Select CHAVE_fr from bu_esg_work.GD_CHAVES_DUPLICADAS_TESTE where ref_date = '${date}'AND mis = 'N' and fr = 'N') duplicados
on lt002.instrmnt_id = duplicados.chave_fr
-------- Filtro para segmentar os nossos testes: 1 contrato FR para 1 contrato MIS&gt;&gt; mes anterior -------------
Left JOIN
(Select CHAVE_fr from bu_esg_work.GD_CHAVES_DUPLICADAS_TESTE where ref_date = '${date_ant}'AND mis = 'N' and fr = 'N') duplicados_ant
on lt002.instrmnt_id = duplicados_ant.chave_fr
Left JOIN
------------------------ Mes atual &gt;&gt; MIS  -------------------------------
(
Select chave_mis,--ckmetamis ,cmetacom,a
sum(c457) as c457 , sum(c460) as c460 
from
(
------- apenas comissao  -------------------------
Select ct211.chave_mis as chave_mis, ct211.cmetacom as cmetacom, 
ct211.c457, ct211.c460, 'produto' as origem from
(select concat(cempcta, ckbalcao, cknumcta, zdeposit) as chave_mis,cmetacom, c457, c460 from cd_captools.ct211_rent_kpmco where ref_date = '${date}' ) ct211
inner join
(Select DISTINCT metacomissao
from cd_captools.ct831_class_meta where ref_date = '${date}' AND ambito = 'CDG' and metaproduto = '' -- and metacomissao = '' 
and tipo_conta_local in ( 
-- 'ATIVO PATRIMONIAL',
-- 'ATIVO'
'ATIVO EXPATRIMONIAL LINHAS DE CREDITO',
 'ATIVO EXTRAPATRIMONIAL CREDITO ASSINATURA' 
)  
) CT831
on   CT831.metacomissao=ct211.cmetacom
) xx
group by 1
) Atual
on chave.chave_mis = Atual.chave_mis
Left JOIN
------------------------ Mes anterior  &gt;&gt; MIS-------------------------------
(
Select chave_mis,--ckmetamis ,cmetacom,
sum (c457) as c457_ant, sum(c460) as c460_ant from
(
----------------------- apenas produto  -------------------------
Select ct211.chave_mis as chave_mis, ct211.cmetacom as cmetacom, ct211.c457, ct211.c460, 'produto' as origem from
(select concat(cempcta, ckbalcao, cknumcta, zdeposit) as chave_mis,cmetacom, c457, c460 from cd_captools.ct211_rent_kpmco where ref_date = '${date_ant}') ct211
inner join
(Select DISTINCT  metacomissao from cd_captools.ct831_class_meta where ref_date = '${date}' AND ambito = 'CDG' and metaproduto = '' -- and metacomissao = '' 
and tipo_conta_local in ( 
-- 'ATIVO PATRIMONIAL',
-- 'ATIVO'
'ATIVO EXPATRIMONIAL LINHAS DE CREDITO',
 'ATIVO EXTRAPATRIMONIAL CREDITO ASSINATURA'  
)  
) CT831
on   CT831.metacomissao=ct211.cmetacom
) xx
group by 1
) ant
on chave_ant.chave_mis = ant.chave_mis
group by 1,2
) yyy
where 1=1
 and GRSS_FEE_CMMSSN_INCM_OFF_BLNC  &lt;&gt; GRSS_FEE_CMMSSN_INCM_OFF_BLNC_new
and GRSS_FEE_CMMSSN_INCM_OFF_BLNC = 99999999999.00
--and instrmnt_id = '31000000058774021000000000000000'</t>
  </si>
  <si>
    <t xml:space="preserve"> 
Select count(*) from
(
Select 
 lt002.instrmnt_id,
--  chave.CHAVE_MIS,
-- c457, 
-- c457_ant, 
-- c460, 
-- c460_ant,
GRSS_FEE_CMMSSN_INCM,   
SUM((coalesce(c457,0) + coalesce(c460,0)) - (coalesce(c457_ant,0) + coalesce(c460_ant,0))) as GRSS_FEE_CMMSSN_INCM_new
from
-------- Base e a LT -------------
(SELECT instrmnt_id, AVRG_BLNC_OFF_BLNC, AVRG_BLNC, INTRNL_TRNSFR_RT, GRSS_FEE_CMMSSN_INCM
FROM cd_loan_tapes_bce.lt002_instrument WHERE ref_date = '${date}'AND segmento = 'ESTR' AND nome_perimetro = 'Individual Corporativo' AND ambito = 'CDG'
-- )
) lt002
-------- Para campos primos dos CCRR - usar apenas contratos com uma business area -------------
-- INNER JOIN
-- (SELECT chave_fr ,ccrr from bu_esg_work.GD_INSTRUMENT_CCRR where ccrr = 'N') CCRR
-- on ccrr.chave_fr=lt002.instrmnt_id
-------- tradutores do mes atual -------------
INNER JOIN
(select distinct kt_finrep.CHAVE_fr, kt_mis.CHAVE_MIS from (
select distinct CONCAT(cempresa_fr, cbalcao_fr, cnumecta_fr, zdeposit_fr) AS CHAVE_fr, CONCAT(cempresa, cbalcao, cnumecta, zdeposit) AS CHAVE_MASTER from cd_captools.kt_chaves_finrep where ref_date = '${date}') kt_finrep
INNER JOIN
(select  distinct CONCAT(cempcta, ckbalcao, cknumcta, zdeposit_mis) AS CHAVE_MIS, CONCAT(cempresa, cbalcao, cnumecta, zdeposit) AS CHAVE_MASTER from cd_captools.kt_chaves_mis where ref_date = '${date}') KT_mis
on kt_finrep.CHAVE_MASTER = KT_mis.CHAVE_MASTER
) chave
on chave.chave_fr = lt002.instrmnt_id
-------- tradutores do mes anterior -------------
Left JOIN
(select distinct kt_finrep.CHAVE_fr, kt_mis.CHAVE_MIS from (
select distinct CONCAT(cempresa_fr, cbalcao_fr, cnumecta_fr, zdeposit_fr) AS CHAVE_fr, CONCAT(cempresa, cbalcao, cnumecta, zdeposit) AS CHAVE_MASTER from cd_captools.kt_chaves_finrep where ref_date = '${date_ant}') kt_finrep
INNER JOIN
(select  distinct CONCAT(cempcta, ckbalcao, cknumcta, zdeposit_mis) AS CHAVE_MIS, CONCAT(cempresa, cbalcao, cnumecta, zdeposit) AS CHAVE_MASTER from cd_captools.kt_chaves_mis where ref_date = '${date_ant}') KT_mis
on kt_finrep.CHAVE_MASTER = KT_mis.CHAVE_MASTER
) chave_ant
on chave_ant.chave_fr = lt002.instrmnt_id
-------- Filtro para segmentar os nossos testes: 1 contrato FR para 1 contrato MIS&gt;&gt; mes atual -------------
INNER JOIN
(Select CHAVE_fr from bu_esg_work.GD_CHAVES_DUPLICADAS_TESTE where ref_date = '${date}'AND mis = 'N' and fr = 'N') duplicados
on lt002.instrmnt_id = duplicados.chave_fr
-------- Filtro para segmentar os nossos testes: 1 contrato FR para 1 contrato MIS&gt;&gt; mes anterior -------------
Left JOIN
(Select CHAVE_fr from bu_esg_work.GD_CHAVES_DUPLICADAS_TESTE where ref_date = '${date_ant}'AND mis = 'N' and fr = 'N') duplicados_ant
on lt002.instrmnt_id = duplicados_ant.chave_fr
Left JOIN
------------------------ Mes atual &gt;&gt; MIS  -------------------------------
(
Select chave_mis,--ckmetamis ,cmetacom,a
sum(c457) as c457 , sum(c460) as c460 
from
(
------- apenas comissao  -------------------------
Select ct211.chave_mis as chave_mis, ct211.cmetacom as cmetacom, 
ct211.c457, ct211.c460, 'produto' as origem from
(select concat(cempcta, ckbalcao, cknumcta, zdeposit) as chave_mis,cmetacom, c457, c460 from cd_captools.ct211_rent_kpmco where ref_date = '${date}' ) ct211
inner join
(Select DISTINCT metacomissao
from cd_captools.ct831_class_meta where ref_date = '${date}' AND ambito = 'CDG' and metaproduto = '' -- and metacomissao = '' 
and tipo_conta_local in ( 
'ATIVO PATRIMONIAL',
'ATIVO'
-- 'ATIVO EXPATRIMONIAL LINHAS DE CREDITO',
--  'ATIVO EXTRAPATRIMONIAL CREDITO ASSINATURA' 
)  
) CT831
on   CT831.metacomissao=ct211.cmetacom
) xx
group by 1
) Atual
on chave.chave_mis = Atual.chave_mis
Left JOIN
------------------------ Mes anterior  &gt;&gt; MIS-------------------------------
(
Select chave_mis,--ckmetamis ,cmetacom,
sum (c457) as c457_ant, sum(c460) as c460_ant from
(
----------------------- apenas produto  -------------------------
Select ct211.chave_mis as chave_mis, ct211.cmetacom as cmetacom, ct211.c457, ct211.c460, 'produto' as origem from
(select concat(cempcta, ckbalcao, cknumcta, zdeposit) as chave_mis,cmetacom, c457, c460 from cd_captools.ct211_rent_kpmco where ref_date = '${date_ant}') ct211
inner join
(Select DISTINCT  metacomissao from cd_captools.ct831_class_meta where ref_date = '${date}' AND ambito = 'CDG' and metaproduto = '' -- and metacomissao = '' 
and tipo_conta_local in ( 
'ATIVO PATRIMONIAL',
'ATIVO'
-- 'ATIVO EXPATRIMONIAL LINHAS DE CREDITO',
--  'ATIVO EXTRAPATRIMONIAL CREDITO ASSINATURA'  
)  
) CT831
on   CT831.metacomissao=ct211.cmetacom
) xx
group by 1
) ant
on chave_ant.chave_mis = ant.chave_mis
group by 1,2
) yyy
where 1=1
and grss_fee_cmmssn_incm  &lt;&gt; GRSS_FEE_CMMSSN_incm_new
and grss_fee_cmmssn_incm &lt;&gt; 99999999999.00
--and instrmnt_id = '31000000058774021000000000000000' </t>
  </si>
  <si>
    <t>Select count(*) from
(
Select 
 lt002.instrmnt_id,
--  chave.CHAVE_MIS,
-- c457, 
-- c457_ant, 
-- c460, 
-- c460_ant,
GRSS_FEE_CMMSSN_INCM_off_blnc,
sum(coalesce(c457,0)+coalesce(c460,0)  - (coalesce(c460_ant,0)+coalesce(c457_ant,0))) as GRSS_FEE_CMMSSN_INCM_off_blnc_new
from
-------- Base e a LT -------------
(SELECT instrmnt_id, AVRG_BLNC_OFF_BLNC, AVRG_BLNC, INTRNL_TRNSFR_RT, GRSS_FEE_CMMSSN_INCM_off_blnc
FROM cd_loan_tapes_bce.lt002_instrument WHERE ref_date = '${date}'AND segmento = 'ESTR' AND nome_perimetro = 'Individual Corporativo' AND ambito = 'CDG'
-- and instrmnt_id in (
-- '31000311174033096000000000000000',
-- '31000310914025096000000000000000',
-- '31000312996558096000000000000000',
-- '31000311250619096000000000000000',
-- '31000309476606096000000000000000',
-- '31000312809892096000000000000000'
-- )
) lt002
------ Para campos primos dos CCRR - usar apenas contratos com uma business area -------------
INNER JOIN
(SELECT chave_fr ,ccrr from bu_esg_work.GD_INSTRUMENT_CCRR where ccrr = 'N') CCRR
on ccrr.chave_fr=lt002.instrmnt_id
-------- tradutores do mes atual -------------
INNER JOIN
(select distinct kt_finrep.CHAVE_fr, kt_mis.CHAVE_MIS from (
select distinct CONCAT(cempresa_fr, cbalcao_fr, cnumecta_fr, zdeposit_fr) AS CHAVE_fr, CONCAT(cempresa, cbalcao, cnumecta, zdeposit) AS CHAVE_MASTER from cd_captools.kt_chaves_finrep where ref_date = '${date}') kt_finrep
INNER JOIN
(select  distinct CONCAT(cempcta, ckbalcao, cknumcta, zdeposit_mis) AS CHAVE_MIS, CONCAT(cempresa, cbalcao, cnumecta, zdeposit) AS CHAVE_MASTER from cd_captools.kt_chaves_mis where ref_date = '${date}') KT_mis
on kt_finrep.CHAVE_MASTER = KT_mis.CHAVE_MASTER
) chave
on chave.chave_fr = lt002.instrmnt_id
-------- tradutores do mes anterior -------------
Left JOIN
(select distinct kt_finrep.CHAVE_fr, kt_mis.CHAVE_MIS from (
select distinct CONCAT(cempresa_fr, cbalcao_fr, cnumecta_fr, zdeposit_fr) AS CHAVE_fr, CONCAT(cempresa, cbalcao, cnumecta, zdeposit) AS CHAVE_MASTER from cd_captools.kt_chaves_finrep where ref_date = '${date_ant}') kt_finrep
INNER JOIN
(select  distinct CONCAT(cempcta, ckbalcao, cknumcta, zdeposit_mis) AS CHAVE_MIS, CONCAT(cempresa, cbalcao, cnumecta, zdeposit) AS CHAVE_MASTER from cd_captools.kt_chaves_mis where ref_date = '${date_ant}') KT_mis
on kt_finrep.CHAVE_MASTER = KT_mis.CHAVE_MASTER
) chave_ant
on chave_ant.chave_fr = lt002.instrmnt_id
-------- Filtro para segmentar os nossos testes: 1 contrato FR para 1 contrato MIS&gt;&gt; mes atual -------------
INNER JOIN
(Select CHAVE_fr from bu_esg_work.GD_CHAVES_DUPLICADAS_TESTE where ref_date = '${date}'AND mis = 'N' and fr = 'Y') duplicados
on lt002.instrmnt_id = duplicados.chave_fr
-------- Filtro para segmentar os nossos testes: 1 contrato FR para 1 contrato MIS&gt;&gt; mes anterior -------------
Left JOIN
(Select CHAVE_fr from bu_esg_work.GD_CHAVES_DUPLICADAS_TESTE where ref_date = '${date_ant}'AND mis = 'N' and fr = 'Y') duplicados_ant
on lt002.instrmnt_id = duplicados_ant.chave_fr
Left JOIN
------------------------ Mes atual &gt;&gt; MIS  -------------------------------
(
Select chave_mis,--ckmetamis ,cmetacom,a
sum(c457) as c457 , sum(c460) as c460 
from
(
------- apenas comissao  -------------------------
Select ct211.chave_mis as chave_mis, ct211.cmetacom as cmetacom, 
ct211.c457, ct211.c460, 'produto' as origem from
(select concat(cempcta, ckbalcao, cknumcta, zdeposit) as chave_mis,cmetacom, c457, c460 from cd_captools.ct211_rent_kpmco where ref_date = '${date}' ) ct211
inner join
(Select DISTINCT metacomissao
from cd_captools.ct831_class_meta where ref_date = '${date}' AND ambito = 'CDG' and metaproduto = '' -- and metacomissao = '' 
and tipo_conta_local in ( 
'ATIVO PATRIMONIAL',
'ATIVO'
-- 'ATIVO EXPATRIMONIAL LINHAS DE CREDITO',
--  'ATIVO EXTRAPATRIMONIAL CREDITO ASSINATURA' 
)  
) CT831
on   CT831.metacomissao=ct211.cmetacom
) xx
group by 1
) Atual
on chave.chave_mis = Atual.chave_mis
Left JOIN
------------------------ Mes anterior  &gt;&gt; MIS-------------------------------
(
Select chave_mis,--ckmetamis ,cmetacom,
sum (c457) as c457_ant, sum(c460) as c460_ant from
(
----------------------- apenas produto  -------------------------
Select ct211.chave_mis as chave_mis, ct211.cmetacom as cmetacom, ct211.c457, ct211.c460, 'produto' as origem from
(select concat(cempcta, ckbalcao, cknumcta, zdeposit) as chave_mis,cmetacom, c457, c460 from cd_captools.ct211_rent_kpmco where ref_date = '${date_ant}') ct211
inner join
(Select DISTINCT  metacomissao from cd_captools.ct831_class_meta where ref_date = '${date}' AND ambito = 'CDG' and metaproduto = '' -- and metacomissao = '' 
and tipo_conta_local in ( 
'ATIVO PATRIMONIAL',
'ATIVO'
-- 'ATIVO EXPATRIMONIAL LINHAS DE CREDITO',
--  'ATIVO EXTRAPATRIMONIAL CREDITO ASSINATURA'  
)  
) CT831
on   CT831.metacomissao=ct211.cmetacom
) xx
group by 1
) ant
on chave_ant.chave_mis = ant.chave_mis
group by 1,2
) yyy
where 1=1
and GRSS_FEE_CMMSSN_INCM_off_blnc  = GRSS_FEE_CMMSSN_INCM_off_blnc_new
-- and GRSS_FEE_CMMSSN_INCM &lt;&gt; 99999999999.00
--and instrmnt_id = '31000000058774021000000000000000'</t>
  </si>
  <si>
    <t>Select count(*) from
(
Select 
 lt002.instrmnt_id,
--  chave.CHAVE_MIS,
-- c457, 
-- c457_ant, 
-- c460, 
-- c460_ant,
GRSS_FEE_CMMSSN_INCM,
sum(coalesce(c457,0)+coalesce(c460,0)  - (coalesce(c460_ant,0)+coalesce(c457_ant,0))) as GRSS_FEE_CMMSSN_INCM_new
from
-------- Base e a LT -------------
(SELECT instrmnt_id, AVRG_BLNC_OFF_BLNC, AVRG_BLNC, INTRNL_TRNSFR_RT, GRSS_FEE_CMMSSN_INCM
FROM cd_loan_tapes_bce.lt002_instrument WHERE ref_date = '${date}'AND segmento = 'ESTR' AND nome_perimetro = 'Individual Corporativo' AND ambito = 'CDG'
-- and instrmnt_id in (
-- '31000311174033096000000000000000',
-- '31000310914025096000000000000000',
-- '31000312996558096000000000000000',
-- '31000311250619096000000000000000',
-- '31000309476606096000000000000000',
-- '31000312809892096000000000000000'
-- )
) lt002
------ Para campos primos dos CCRR - usar apenas contratos com uma business area -------------
INNER JOIN
(SELECT chave_fr ,ccrr from bu_esg_work.GD_INSTRUMENT_CCRR where ccrr = 'N') CCRR
on ccrr.chave_fr=lt002.instrmnt_id
-------- tradutores do mes atual -------------
INNER JOIN
(select distinct kt_finrep.CHAVE_fr, kt_mis.CHAVE_MIS from (
select distinct CONCAT(cempresa_fr, cbalcao_fr, cnumecta_fr, zdeposit_fr) AS CHAVE_fr, CONCAT(cempresa, cbalcao, cnumecta, zdeposit) AS CHAVE_MASTER from cd_captools.kt_chaves_finrep where ref_date = '${date}') kt_finrep
INNER JOIN
(select  distinct CONCAT(cempcta, ckbalcao, cknumcta, zdeposit_mis) AS CHAVE_MIS, CONCAT(cempresa, cbalcao, cnumecta, zdeposit) AS CHAVE_MASTER from cd_captools.kt_chaves_mis where ref_date = '${date}') KT_mis
on kt_finrep.CHAVE_MASTER = KT_mis.CHAVE_MASTER
) chave
on chave.chave_fr = lt002.instrmnt_id
-------- tradutores do mes anterior -------------
Left JOIN
(select distinct kt_finrep.CHAVE_fr, kt_mis.CHAVE_MIS from (
select distinct CONCAT(cempresa_fr, cbalcao_fr, cnumecta_fr, zdeposit_fr) AS CHAVE_fr, CONCAT(cempresa, cbalcao, cnumecta, zdeposit) AS CHAVE_MASTER from cd_captools.kt_chaves_finrep where ref_date = '${date_ant}') kt_finrep
INNER JOIN
(select  distinct CONCAT(cempcta, ckbalcao, cknumcta, zdeposit_mis) AS CHAVE_MIS, CONCAT(cempresa, cbalcao, cnumecta, zdeposit) AS CHAVE_MASTER from cd_captools.kt_chaves_mis where ref_date = '${date_ant}') KT_mis
on kt_finrep.CHAVE_MASTER = KT_mis.CHAVE_MASTER
) chave_ant
on chave_ant.chave_fr = lt002.instrmnt_id
-------- Filtro para segmentar os nossos testes: 1 contrato FR para 1 contrato MIS&gt;&gt; mes atual -------------
INNER JOIN
(Select CHAVE_fr from bu_esg_work.GD_CHAVES_DUPLICADAS_TESTE where ref_date = '${date}'AND mis = 'N' and fr = 'Y') duplicados
on lt002.instrmnt_id = duplicados.chave_fr
-------- Filtro para segmentar os nossos testes: 1 contrato FR para 1 contrato MIS&gt;&gt; mes anterior -------------
Left JOIN
(Select CHAVE_fr from bu_esg_work.GD_CHAVES_DUPLICADAS_TESTE where ref_date = '${date_ant}'AND mis = 'N' and fr = 'Y') duplicados_ant
on lt002.instrmnt_id = duplicados_ant.chave_fr
Left JOIN
------------------------ Mes atual &gt;&gt; MIS  -------------------------------
(
Select chave_mis,--ckmetamis ,cmetacom,a
sum(c457) as c457 , sum(c460) as c460 
from
(
------- apenas comissao  -------------------------
Select ct211.chave_mis as chave_mis, ct211.cmetacom as cmetacom, 
ct211.c457, ct211.c460, 'produto' as origem from
(select concat(cempcta, ckbalcao, cknumcta, zdeposit) as chave_mis,cmetacom, c457, c460 from cd_captools.ct211_rent_kpmco where ref_date = '${date}' ) ct211
inner join
(Select DISTINCT metacomissao
from cd_captools.ct831_class_meta where ref_date = '${date}' AND ambito = 'CDG' and metaproduto = '' -- and metacomissao = '' 
and tipo_conta_local in ( 
'ATIVO PATRIMONIAL',
'ATIVO'
-- 'ATIVO EXPATRIMONIAL LINHAS DE CREDITO',
--  'ATIVO EXTRAPATRIMONIAL CREDITO ASSINATURA' 
)  
) CT831
on   CT831.metacomissao=ct211.cmetacom
) xx
group by 1
) Atual
on chave.chave_mis = Atual.chave_mis
Left JOIN
------------------------ Mes anterior  &gt;&gt; MIS-------------------------------
(
Select chave_mis,--ckmetamis ,cmetacom,
sum (c457) as c457_ant, sum(c460) as c460_ant from
(
----------------------- apenas produto  -------------------------
Select ct211.chave_mis as chave_mis, ct211.cmetacom as cmetacom, ct211.c457, ct211.c460, 'produto' as origem from
(select concat(cempcta, ckbalcao, cknumcta, zdeposit) as chave_mis,cmetacom, c457, c460 from cd_captools.ct211_rent_kpmco where ref_date = '${date_ant}') ct211
inner join
(Select DISTINCT  metacomissao from cd_captools.ct831_class_meta where ref_date = '${date}' AND ambito = 'CDG' and metaproduto = '' -- and metacomissao = '' 
and tipo_conta_local in ( 
'ATIVO PATRIMONIAL',
'ATIVO'
-- 'ATIVO EXPATRIMONIAL LINHAS DE CREDITO',
--  'ATIVO EXTRAPATRIMONIAL CREDITO ASSINATURA'  
)  
) CT831
on   CT831.metacomissao=ct211.cmetacom
) xx
group by 1
) ant
on chave_ant.chave_mis = ant.chave_mis
group by 1,2
) yyy
where 1=1
and GRSS_FEE_CMMSSN_INCM  &lt;&gt; GRSS_FEE_CMMSSN_INCM_new
-- and GRSS_FEE_CMMSSN_INCM &lt;&gt; 99999999999.00
--and instrmnt_id = '31000000058774021000000000000000'</t>
  </si>
  <si>
    <t>Metacomissões</t>
  </si>
  <si>
    <t>Status incidencias</t>
  </si>
  <si>
    <t>Em re teste - erro de query</t>
  </si>
  <si>
    <t>MNGMT_PRDCT</t>
  </si>
  <si>
    <t xml:space="preserve">Joana Bentinho </t>
  </si>
  <si>
    <t>Owner Validações</t>
  </si>
  <si>
    <t>Henrique Correia</t>
  </si>
  <si>
    <t>OK?</t>
  </si>
  <si>
    <t>2 Casos NOK</t>
  </si>
  <si>
    <t>1 Caso NOK - tema CCC</t>
  </si>
  <si>
    <t>Em Correção</t>
  </si>
  <si>
    <t>JB</t>
  </si>
  <si>
    <t>Universo 1:N (1BSNSS AREA)</t>
  </si>
  <si>
    <t xml:space="preserve">HC- Amostragem ? </t>
  </si>
  <si>
    <t xml:space="preserve">HC - Finalizar Amostragem ? </t>
  </si>
  <si>
    <t xml:space="preserve">HC - Amostragem 1-1 ? </t>
  </si>
  <si>
    <t xml:space="preserve">JB - Msg Mariana 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</si>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</sst>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3" x14ac:knownFonts="1">
    <font>
      <sz val="11"/>
      <color theme="1"/>
      <name val="Calibri"/>
      <family val="2"/>
      <scheme val="minor"/>
    </font>
    <font>
      <sz val="10"/>
      <color rgb="FF424242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9"/>
      <color rgb="FF424242"/>
      <name val="Arial"/>
      <family val="2"/>
    </font>
    <font>
      <b/>
      <sz val="9"/>
      <color theme="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i/>
      <sz val="11"/>
      <color theme="0"/>
      <name val="Calibri"/>
      <family val="2"/>
      <scheme val="minor"/>
    </font>
    <font>
      <b/>
      <i/>
      <sz val="9"/>
      <name val="Arial"/>
      <family val="2"/>
    </font>
    <font>
      <sz val="9"/>
      <color rgb="FFFFC000"/>
      <name val="Arial"/>
      <family val="2"/>
    </font>
    <font>
      <sz val="9"/>
      <color rgb="FF92D050"/>
      <name val="Arial"/>
      <family val="2"/>
    </font>
    <font>
      <sz val="9"/>
      <color rgb="FF00B050"/>
      <name val="Arial"/>
      <family val="2"/>
    </font>
    <font>
      <sz val="9"/>
      <color rgb="FFFF0000"/>
      <name val="Arial"/>
      <family val="2"/>
    </font>
    <font>
      <sz val="8"/>
      <color theme="1"/>
      <name val="Arial"/>
      <family val="2"/>
    </font>
    <font>
      <b/>
      <i/>
      <sz val="12"/>
      <color theme="0"/>
      <name val="Arial"/>
      <family val="2"/>
    </font>
    <font>
      <sz val="9"/>
      <color rgb="FFC00000"/>
      <name val="Arial"/>
      <family val="2"/>
    </font>
    <font>
      <b/>
      <i/>
      <sz val="9"/>
      <color theme="0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i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0"/>
      <name val="Arial"/>
      <family val="2"/>
    </font>
    <font>
      <b/>
      <u/>
      <sz val="10"/>
      <color rgb="FF00B050"/>
      <name val="Arial"/>
      <family val="2"/>
    </font>
    <font>
      <b/>
      <sz val="11"/>
      <color theme="0"/>
      <name val="Calibri"/>
      <family val="2"/>
      <scheme val="minor"/>
    </font>
    <font>
      <sz val="8"/>
      <color rgb="FF424242"/>
      <name val="Arial"/>
      <family val="2"/>
    </font>
    <font>
      <b/>
      <sz val="9"/>
      <color theme="1"/>
      <name val="Arial"/>
      <family val="2"/>
    </font>
    <font>
      <b/>
      <sz val="9"/>
      <color rgb="FF92D050"/>
      <name val="Arial"/>
      <family val="2"/>
    </font>
    <font>
      <b/>
      <sz val="10"/>
      <color theme="0"/>
      <name val="Arial"/>
      <family val="2"/>
    </font>
    <font>
      <b/>
      <sz val="8"/>
      <color rgb="FF787878"/>
      <name val="Arial"/>
      <family val="2"/>
    </font>
    <font>
      <sz val="9"/>
      <color theme="9"/>
      <name val="Arial"/>
      <family val="2"/>
    </font>
    <font>
      <sz val="11"/>
      <color rgb="FF92D050"/>
      <name val="Calibri"/>
      <family val="2"/>
      <scheme val="minor"/>
    </font>
    <font>
      <sz val="10"/>
      <color rgb="FF000000"/>
      <name val="Times New Roman"/>
      <family val="1"/>
    </font>
  </fonts>
  <fills count="2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499984740745262"/>
        <bgColor indexed="64"/>
      </patternFill>
    </fill>
  </fills>
  <borders count="17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thin">
        <color theme="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indexed="64"/>
      </right>
      <top style="thin">
        <color theme="2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5">
    <xf numFmtId="0" fontId="0" fillId="0" borderId="0" xfId="0"/>
    <xf numFmtId="4" fontId="0" fillId="0" borderId="0" xfId="0" applyNumberFormat="1"/>
    <xf numFmtId="3" fontId="0" fillId="0" borderId="0" xfId="0" applyNumberFormat="1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4" fillId="0" borderId="0" xfId="0" applyFont="1"/>
    <xf numFmtId="0" fontId="0" fillId="2" borderId="0" xfId="0" applyFill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vertical="center" wrapText="1"/>
    </xf>
    <xf numFmtId="16" fontId="0" fillId="0" borderId="0" xfId="0" applyNumberFormat="1"/>
    <xf numFmtId="16" fontId="0" fillId="0" borderId="0" xfId="0" applyNumberFormat="1" applyAlignment="1">
      <alignment vertical="center" wrapText="1"/>
    </xf>
    <xf numFmtId="16" fontId="0" fillId="5" borderId="0" xfId="0" applyNumberFormat="1" applyFill="1"/>
    <xf numFmtId="0" fontId="0" fillId="5" borderId="0" xfId="0" applyFill="1"/>
    <xf numFmtId="0" fontId="0" fillId="6" borderId="0" xfId="0" applyFill="1"/>
    <xf numFmtId="0" fontId="5" fillId="0" borderId="0" xfId="0" applyFont="1"/>
    <xf numFmtId="0" fontId="5" fillId="6" borderId="0" xfId="0" applyFont="1" applyFill="1"/>
    <xf numFmtId="0" fontId="3" fillId="0" borderId="0" xfId="0" applyFont="1"/>
    <xf numFmtId="0" fontId="3" fillId="6" borderId="0" xfId="0" applyFont="1" applyFill="1"/>
    <xf numFmtId="0" fontId="6" fillId="0" borderId="0" xfId="0" applyFont="1"/>
    <xf numFmtId="3" fontId="7" fillId="0" borderId="0" xfId="0" applyNumberFormat="1" applyFont="1"/>
    <xf numFmtId="3" fontId="14" fillId="0" borderId="0" xfId="0" applyNumberFormat="1" applyFont="1" applyFill="1"/>
    <xf numFmtId="0" fontId="8" fillId="0" borderId="1" xfId="0" applyFont="1" applyBorder="1"/>
    <xf numFmtId="0" fontId="14" fillId="0" borderId="1" xfId="0" applyFont="1" applyFill="1" applyBorder="1" applyAlignment="1">
      <alignment vertical="center"/>
    </xf>
    <xf numFmtId="3" fontId="11" fillId="0" borderId="1" xfId="0" applyNumberFormat="1" applyFont="1" applyBorder="1"/>
    <xf numFmtId="0" fontId="0" fillId="0" borderId="1" xfId="0" applyBorder="1"/>
    <xf numFmtId="0" fontId="13" fillId="5" borderId="1" xfId="0" applyFont="1" applyFill="1" applyBorder="1" applyAlignment="1">
      <alignment horizontal="center" vertical="center"/>
    </xf>
    <xf numFmtId="10" fontId="11" fillId="0" borderId="1" xfId="1" applyNumberFormat="1" applyFont="1" applyBorder="1"/>
    <xf numFmtId="0" fontId="13" fillId="5" borderId="3" xfId="0" applyFont="1" applyFill="1" applyBorder="1" applyAlignment="1">
      <alignment horizontal="center" vertical="center"/>
    </xf>
    <xf numFmtId="3" fontId="11" fillId="0" borderId="0" xfId="0" applyNumberFormat="1" applyFont="1" applyBorder="1"/>
    <xf numFmtId="0" fontId="12" fillId="4" borderId="2" xfId="0" applyFont="1" applyFill="1" applyBorder="1" applyAlignment="1"/>
    <xf numFmtId="0" fontId="1" fillId="0" borderId="1" xfId="0" applyFont="1" applyBorder="1"/>
    <xf numFmtId="0" fontId="18" fillId="0" borderId="1" xfId="0" applyFont="1" applyFill="1" applyBorder="1" applyAlignment="1">
      <alignment vertical="center"/>
    </xf>
    <xf numFmtId="0" fontId="15" fillId="3" borderId="0" xfId="0" applyFont="1" applyFill="1" applyAlignment="1">
      <alignment horizontal="left" indent="1"/>
    </xf>
    <xf numFmtId="10" fontId="11" fillId="0" borderId="1" xfId="1" applyNumberFormat="1" applyFont="1" applyBorder="1" applyAlignment="1">
      <alignment horizontal="left" indent="1"/>
    </xf>
    <xf numFmtId="10" fontId="19" fillId="0" borderId="1" xfId="1" applyNumberFormat="1" applyFont="1" applyBorder="1" applyAlignment="1">
      <alignment horizontal="left" indent="1"/>
    </xf>
    <xf numFmtId="0" fontId="0" fillId="0" borderId="0" xfId="0" applyAlignment="1">
      <alignment horizontal="left" indent="1"/>
    </xf>
    <xf numFmtId="10" fontId="14" fillId="0" borderId="1" xfId="1" applyNumberFormat="1" applyFont="1" applyBorder="1" applyAlignment="1">
      <alignment horizontal="left" indent="1"/>
    </xf>
    <xf numFmtId="10" fontId="17" fillId="0" borderId="1" xfId="1" applyNumberFormat="1" applyFont="1" applyBorder="1" applyAlignment="1">
      <alignment horizontal="left" indent="1"/>
    </xf>
    <xf numFmtId="10" fontId="20" fillId="0" borderId="1" xfId="1" applyNumberFormat="1" applyFont="1" applyBorder="1" applyAlignment="1">
      <alignment horizontal="left" indent="1"/>
    </xf>
    <xf numFmtId="0" fontId="16" fillId="5" borderId="3" xfId="0" applyFont="1" applyFill="1" applyBorder="1" applyAlignment="1">
      <alignment horizontal="left" vertical="center"/>
    </xf>
    <xf numFmtId="0" fontId="13" fillId="5" borderId="3" xfId="0" applyFont="1" applyFill="1" applyBorder="1" applyAlignment="1">
      <alignment horizontal="left" vertical="center"/>
    </xf>
    <xf numFmtId="10" fontId="14" fillId="0" borderId="0" xfId="1" applyNumberFormat="1" applyFont="1" applyBorder="1" applyAlignment="1">
      <alignment horizontal="left" indent="1"/>
    </xf>
    <xf numFmtId="0" fontId="4" fillId="0" borderId="0" xfId="0" applyFont="1" applyAlignment="1">
      <alignment vertical="center" wrapText="1"/>
    </xf>
    <xf numFmtId="0" fontId="21" fillId="0" borderId="0" xfId="0" applyFont="1" applyFill="1"/>
    <xf numFmtId="0" fontId="9" fillId="0" borderId="4" xfId="0" applyFont="1" applyFill="1" applyBorder="1"/>
    <xf numFmtId="0" fontId="9" fillId="0" borderId="0" xfId="0" applyFont="1" applyFill="1"/>
    <xf numFmtId="3" fontId="0" fillId="0" borderId="0" xfId="0" applyNumberFormat="1" applyAlignment="1">
      <alignment horizontal="left"/>
    </xf>
    <xf numFmtId="3" fontId="0" fillId="0" borderId="0" xfId="0" applyNumberFormat="1" applyAlignment="1">
      <alignment horizontal="left" indent="2"/>
    </xf>
    <xf numFmtId="3" fontId="0" fillId="0" borderId="0" xfId="0" applyNumberFormat="1" applyAlignment="1">
      <alignment horizontal="left" indent="3"/>
    </xf>
    <xf numFmtId="0" fontId="22" fillId="4" borderId="2" xfId="0" applyFont="1" applyFill="1" applyBorder="1" applyAlignment="1">
      <alignment horizontal="center"/>
    </xf>
    <xf numFmtId="4" fontId="0" fillId="0" borderId="0" xfId="0" applyNumberFormat="1" applyAlignment="1">
      <alignment vertical="center" wrapText="1"/>
    </xf>
    <xf numFmtId="10" fontId="23" fillId="0" borderId="1" xfId="1" applyNumberFormat="1" applyFont="1" applyBorder="1" applyAlignment="1">
      <alignment horizontal="left" indent="1"/>
    </xf>
    <xf numFmtId="14" fontId="11" fillId="0" borderId="1" xfId="1" applyNumberFormat="1" applyFont="1" applyBorder="1" applyAlignment="1">
      <alignment horizontal="left" indent="1"/>
    </xf>
    <xf numFmtId="0" fontId="0" fillId="0" borderId="0" xfId="0" applyAlignment="1">
      <alignment horizontal="right"/>
    </xf>
    <xf numFmtId="16" fontId="0" fillId="0" borderId="0" xfId="0" quotePrefix="1" applyNumberFormat="1" applyAlignment="1">
      <alignment horizontal="center" vertical="center"/>
    </xf>
    <xf numFmtId="0" fontId="0" fillId="0" borderId="0" xfId="0" quotePrefix="1"/>
    <xf numFmtId="0" fontId="11" fillId="0" borderId="1" xfId="0" applyFont="1" applyFill="1" applyBorder="1" applyAlignment="1">
      <alignment vertical="center"/>
    </xf>
    <xf numFmtId="0" fontId="26" fillId="0" borderId="0" xfId="0" applyFont="1" applyFill="1"/>
    <xf numFmtId="0" fontId="26" fillId="0" borderId="0" xfId="0" applyFont="1"/>
    <xf numFmtId="0" fontId="28" fillId="0" borderId="0" xfId="0" applyFont="1"/>
    <xf numFmtId="164" fontId="29" fillId="5" borderId="0" xfId="1" applyNumberFormat="1" applyFont="1" applyFill="1"/>
    <xf numFmtId="0" fontId="25" fillId="0" borderId="0" xfId="0" applyFont="1"/>
    <xf numFmtId="0" fontId="13" fillId="5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vertical="center"/>
    </xf>
    <xf numFmtId="0" fontId="30" fillId="0" borderId="0" xfId="0" applyFont="1"/>
    <xf numFmtId="10" fontId="23" fillId="0" borderId="1" xfId="1" applyNumberFormat="1" applyFont="1" applyFill="1" applyBorder="1" applyAlignment="1">
      <alignment horizontal="left" indent="1"/>
    </xf>
    <xf numFmtId="10" fontId="19" fillId="0" borderId="1" xfId="1" applyNumberFormat="1" applyFont="1" applyFill="1" applyBorder="1" applyAlignment="1">
      <alignment horizontal="left" indent="1"/>
    </xf>
    <xf numFmtId="9" fontId="0" fillId="0" borderId="0" xfId="1" applyFont="1"/>
    <xf numFmtId="0" fontId="19" fillId="0" borderId="1" xfId="0" applyFont="1" applyFill="1" applyBorder="1" applyAlignment="1">
      <alignment vertical="center"/>
    </xf>
    <xf numFmtId="0" fontId="35" fillId="0" borderId="0" xfId="0" applyFont="1"/>
    <xf numFmtId="0" fontId="25" fillId="0" borderId="1" xfId="0" applyFont="1" applyFill="1" applyBorder="1" applyAlignment="1">
      <alignment vertical="center"/>
    </xf>
    <xf numFmtId="0" fontId="25" fillId="7" borderId="1" xfId="0" applyFont="1" applyFill="1" applyBorder="1" applyAlignment="1">
      <alignment vertical="center"/>
    </xf>
    <xf numFmtId="4" fontId="26" fillId="0" borderId="0" xfId="0" applyNumberFormat="1" applyFont="1" applyBorder="1"/>
    <xf numFmtId="0" fontId="36" fillId="0" borderId="1" xfId="0" applyFont="1" applyFill="1" applyBorder="1" applyAlignment="1">
      <alignment vertical="center"/>
    </xf>
    <xf numFmtId="0" fontId="37" fillId="0" borderId="1" xfId="0" applyFont="1" applyFill="1" applyBorder="1" applyAlignment="1">
      <alignment vertical="center"/>
    </xf>
    <xf numFmtId="0" fontId="25" fillId="8" borderId="1" xfId="0" applyFont="1" applyFill="1" applyBorder="1" applyAlignment="1">
      <alignment vertical="center"/>
    </xf>
    <xf numFmtId="0" fontId="37" fillId="11" borderId="1" xfId="0" applyFont="1" applyFill="1" applyBorder="1" applyAlignment="1">
      <alignment vertical="center"/>
    </xf>
    <xf numFmtId="0" fontId="25" fillId="11" borderId="1" xfId="0" applyFont="1" applyFill="1" applyBorder="1" applyAlignment="1">
      <alignment vertical="center"/>
    </xf>
    <xf numFmtId="0" fontId="37" fillId="9" borderId="1" xfId="0" applyFont="1" applyFill="1" applyBorder="1" applyAlignment="1">
      <alignment vertical="center"/>
    </xf>
    <xf numFmtId="0" fontId="25" fillId="9" borderId="1" xfId="0" applyFont="1" applyFill="1" applyBorder="1" applyAlignment="1">
      <alignment vertical="center"/>
    </xf>
    <xf numFmtId="0" fontId="24" fillId="10" borderId="2" xfId="0" applyFont="1" applyFill="1" applyBorder="1" applyAlignment="1"/>
    <xf numFmtId="164" fontId="33" fillId="0" borderId="0" xfId="0" applyNumberFormat="1" applyFont="1" applyAlignment="1">
      <alignment horizontal="center"/>
    </xf>
    <xf numFmtId="164" fontId="29" fillId="5" borderId="0" xfId="1" applyNumberFormat="1" applyFont="1" applyFill="1" applyAlignment="1">
      <alignment horizontal="center"/>
    </xf>
    <xf numFmtId="9" fontId="32" fillId="0" borderId="0" xfId="1" applyFont="1" applyFill="1"/>
    <xf numFmtId="3" fontId="11" fillId="0" borderId="1" xfId="0" applyNumberFormat="1" applyFont="1" applyFill="1" applyBorder="1"/>
    <xf numFmtId="10" fontId="11" fillId="0" borderId="1" xfId="1" applyNumberFormat="1" applyFont="1" applyFill="1" applyBorder="1"/>
    <xf numFmtId="0" fontId="0" fillId="0" borderId="0" xfId="0" applyAlignment="1"/>
    <xf numFmtId="0" fontId="20" fillId="0" borderId="1" xfId="0" applyFont="1" applyFill="1" applyBorder="1" applyAlignment="1">
      <alignment vertical="center"/>
    </xf>
    <xf numFmtId="4" fontId="38" fillId="13" borderId="0" xfId="0" applyNumberFormat="1" applyFont="1" applyFill="1"/>
    <xf numFmtId="4" fontId="10" fillId="0" borderId="0" xfId="0" applyNumberFormat="1" applyFont="1" applyFill="1"/>
    <xf numFmtId="4" fontId="0" fillId="0" borderId="0" xfId="0" applyNumberFormat="1" applyFont="1" applyFill="1"/>
    <xf numFmtId="4" fontId="35" fillId="14" borderId="0" xfId="0" applyNumberFormat="1" applyFont="1" applyFill="1"/>
    <xf numFmtId="4" fontId="0" fillId="7" borderId="0" xfId="0" applyNumberFormat="1" applyFill="1"/>
    <xf numFmtId="0" fontId="0" fillId="7" borderId="0" xfId="0" applyFill="1" applyAlignment="1">
      <alignment vertical="center" wrapText="1"/>
    </xf>
    <xf numFmtId="4" fontId="0" fillId="11" borderId="0" xfId="0" applyNumberFormat="1" applyFill="1"/>
    <xf numFmtId="0" fontId="4" fillId="11" borderId="0" xfId="0" applyFont="1" applyFill="1" applyAlignment="1">
      <alignment vertical="center" wrapText="1"/>
    </xf>
    <xf numFmtId="4" fontId="4" fillId="0" borderId="0" xfId="0" applyNumberFormat="1" applyFont="1" applyAlignment="1">
      <alignment vertical="center" wrapText="1"/>
    </xf>
    <xf numFmtId="0" fontId="38" fillId="13" borderId="0" xfId="0" applyFont="1" applyFill="1"/>
    <xf numFmtId="0" fontId="0" fillId="0" borderId="0" xfId="0" applyFont="1" applyFill="1"/>
    <xf numFmtId="0" fontId="19" fillId="0" borderId="5" xfId="0" applyFont="1" applyFill="1" applyBorder="1" applyAlignment="1">
      <alignment vertical="center"/>
    </xf>
    <xf numFmtId="4" fontId="38" fillId="13" borderId="5" xfId="0" applyNumberFormat="1" applyFont="1" applyFill="1" applyBorder="1"/>
    <xf numFmtId="0" fontId="34" fillId="15" borderId="0" xfId="0" applyFont="1" applyFill="1"/>
    <xf numFmtId="4" fontId="38" fillId="16" borderId="5" xfId="0" applyNumberFormat="1" applyFont="1" applyFill="1" applyBorder="1"/>
    <xf numFmtId="0" fontId="39" fillId="17" borderId="0" xfId="0" applyFont="1" applyFill="1" applyAlignment="1">
      <alignment horizontal="left" indent="1"/>
    </xf>
    <xf numFmtId="0" fontId="38" fillId="16" borderId="0" xfId="0" applyFont="1" applyFill="1" applyAlignment="1">
      <alignment horizontal="center" vertical="center"/>
    </xf>
    <xf numFmtId="0" fontId="25" fillId="16" borderId="1" xfId="0" applyFont="1" applyFill="1" applyBorder="1" applyAlignment="1">
      <alignment vertical="center"/>
    </xf>
    <xf numFmtId="0" fontId="25" fillId="14" borderId="1" xfId="0" applyFont="1" applyFill="1" applyBorder="1" applyAlignment="1">
      <alignment vertical="center"/>
    </xf>
    <xf numFmtId="0" fontId="12" fillId="12" borderId="1" xfId="0" applyFont="1" applyFill="1" applyBorder="1" applyAlignment="1">
      <alignment vertical="center"/>
    </xf>
    <xf numFmtId="0" fontId="12" fillId="4" borderId="1" xfId="0" applyFont="1" applyFill="1" applyBorder="1" applyAlignment="1">
      <alignment vertical="center"/>
    </xf>
    <xf numFmtId="0" fontId="25" fillId="0" borderId="0" xfId="0" applyFont="1" applyFill="1" applyBorder="1" applyAlignment="1">
      <alignment vertical="center"/>
    </xf>
    <xf numFmtId="0" fontId="25" fillId="18" borderId="1" xfId="0" applyFont="1" applyFill="1" applyBorder="1" applyAlignment="1">
      <alignment vertical="center"/>
    </xf>
    <xf numFmtId="0" fontId="11" fillId="18" borderId="1" xfId="0" applyFont="1" applyFill="1" applyBorder="1" applyAlignment="1">
      <alignment vertical="center"/>
    </xf>
    <xf numFmtId="0" fontId="12" fillId="4" borderId="3" xfId="0" applyFont="1" applyFill="1" applyBorder="1" applyAlignment="1">
      <alignment vertical="center"/>
    </xf>
    <xf numFmtId="0" fontId="0" fillId="20" borderId="0" xfId="0" applyFill="1"/>
    <xf numFmtId="0" fontId="0" fillId="11" borderId="0" xfId="0" applyFill="1"/>
    <xf numFmtId="10" fontId="25" fillId="0" borderId="1" xfId="1" applyNumberFormat="1" applyFont="1" applyBorder="1" applyAlignment="1">
      <alignment horizontal="left" indent="1"/>
    </xf>
    <xf numFmtId="3" fontId="11" fillId="18" borderId="1" xfId="0" applyNumberFormat="1" applyFont="1" applyFill="1" applyBorder="1"/>
    <xf numFmtId="3" fontId="11" fillId="9" borderId="1" xfId="0" applyNumberFormat="1" applyFont="1" applyFill="1" applyBorder="1"/>
    <xf numFmtId="3" fontId="11" fillId="9" borderId="1" xfId="0" applyNumberFormat="1" applyFont="1" applyFill="1" applyBorder="1" applyAlignment="1">
      <alignment wrapText="1"/>
    </xf>
    <xf numFmtId="0" fontId="0" fillId="0" borderId="0" xfId="0" applyFill="1" applyBorder="1" applyAlignment="1"/>
    <xf numFmtId="0" fontId="41" fillId="21" borderId="0" xfId="0" applyFont="1" applyFill="1" applyAlignment="1"/>
    <xf numFmtId="0" fontId="25" fillId="9" borderId="0" xfId="0" applyFont="1" applyFill="1" applyBorder="1" applyAlignment="1">
      <alignment vertical="center"/>
    </xf>
    <xf numFmtId="0" fontId="0" fillId="14" borderId="0" xfId="0" applyFill="1"/>
    <xf numFmtId="0" fontId="0" fillId="14" borderId="0" xfId="0" applyFill="1" applyBorder="1" applyAlignment="1"/>
    <xf numFmtId="0" fontId="0" fillId="19" borderId="0" xfId="0" applyFill="1" applyBorder="1" applyAlignment="1"/>
    <xf numFmtId="0" fontId="41" fillId="19" borderId="0" xfId="0" applyFont="1" applyFill="1" applyAlignment="1"/>
    <xf numFmtId="0" fontId="0" fillId="19" borderId="0" xfId="0" applyFill="1"/>
    <xf numFmtId="0" fontId="34" fillId="22" borderId="0" xfId="0" applyFont="1" applyFill="1" applyAlignment="1">
      <alignment horizontal="left" indent="1"/>
    </xf>
    <xf numFmtId="3" fontId="0" fillId="18" borderId="0" xfId="0" applyNumberFormat="1" applyFill="1"/>
    <xf numFmtId="0" fontId="0" fillId="0" borderId="0" xfId="0" applyFill="1"/>
    <xf numFmtId="14" fontId="11" fillId="0" borderId="1" xfId="1" applyNumberFormat="1" applyFont="1" applyFill="1" applyBorder="1" applyAlignment="1">
      <alignment horizontal="left" indent="1"/>
    </xf>
    <xf numFmtId="10" fontId="11" fillId="0" borderId="1" xfId="1" applyNumberFormat="1" applyFont="1" applyFill="1" applyBorder="1" applyAlignment="1">
      <alignment horizontal="left" indent="1"/>
    </xf>
    <xf numFmtId="10" fontId="14" fillId="0" borderId="1" xfId="1" applyNumberFormat="1" applyFont="1" applyFill="1" applyBorder="1" applyAlignment="1">
      <alignment horizontal="left" indent="1"/>
    </xf>
    <xf numFmtId="3" fontId="0" fillId="0" borderId="0" xfId="0" applyNumberFormat="1" applyFill="1"/>
    <xf numFmtId="0" fontId="20" fillId="20" borderId="1" xfId="0" applyFont="1" applyFill="1" applyBorder="1" applyAlignment="1">
      <alignment vertical="center"/>
    </xf>
    <xf numFmtId="10" fontId="20" fillId="0" borderId="1" xfId="1" applyNumberFormat="1" applyFont="1" applyFill="1" applyBorder="1" applyAlignment="1">
      <alignment horizontal="left" indent="1"/>
    </xf>
    <xf numFmtId="3" fontId="11" fillId="7" borderId="1" xfId="0" applyNumberFormat="1" applyFont="1" applyFill="1" applyBorder="1"/>
    <xf numFmtId="10" fontId="11" fillId="7" borderId="1" xfId="1" applyNumberFormat="1" applyFont="1" applyFill="1" applyBorder="1"/>
    <xf numFmtId="14" fontId="11" fillId="7" borderId="1" xfId="1" applyNumberFormat="1" applyFont="1" applyFill="1" applyBorder="1" applyAlignment="1">
      <alignment horizontal="left" indent="1"/>
    </xf>
    <xf numFmtId="10" fontId="17" fillId="7" borderId="1" xfId="1" applyNumberFormat="1" applyFont="1" applyFill="1" applyBorder="1" applyAlignment="1">
      <alignment horizontal="left" indent="1"/>
    </xf>
    <xf numFmtId="10" fontId="11" fillId="7" borderId="1" xfId="1" applyNumberFormat="1" applyFont="1" applyFill="1" applyBorder="1" applyAlignment="1">
      <alignment horizontal="left" indent="1"/>
    </xf>
    <xf numFmtId="10" fontId="32" fillId="0" borderId="0" xfId="0" applyNumberFormat="1" applyFont="1" applyFill="1"/>
    <xf numFmtId="0" fontId="40" fillId="7" borderId="1" xfId="0" applyFont="1" applyFill="1" applyBorder="1" applyAlignment="1">
      <alignment vertical="center"/>
    </xf>
    <xf numFmtId="0" fontId="11" fillId="11" borderId="1" xfId="0" applyFont="1" applyFill="1" applyBorder="1" applyAlignment="1">
      <alignment vertical="center"/>
    </xf>
    <xf numFmtId="3" fontId="11" fillId="11" borderId="1" xfId="0" applyNumberFormat="1" applyFont="1" applyFill="1" applyBorder="1"/>
    <xf numFmtId="10" fontId="11" fillId="11" borderId="1" xfId="1" applyNumberFormat="1" applyFont="1" applyFill="1" applyBorder="1"/>
    <xf numFmtId="14" fontId="11" fillId="11" borderId="1" xfId="1" applyNumberFormat="1" applyFont="1" applyFill="1" applyBorder="1" applyAlignment="1">
      <alignment horizontal="left" indent="1"/>
    </xf>
    <xf numFmtId="10" fontId="11" fillId="11" borderId="1" xfId="1" applyNumberFormat="1" applyFont="1" applyFill="1" applyBorder="1" applyAlignment="1">
      <alignment horizontal="left" indent="1"/>
    </xf>
    <xf numFmtId="10" fontId="11" fillId="9" borderId="1" xfId="1" applyNumberFormat="1" applyFont="1" applyFill="1" applyBorder="1"/>
    <xf numFmtId="10" fontId="17" fillId="9" borderId="1" xfId="1" applyNumberFormat="1" applyFont="1" applyFill="1" applyBorder="1" applyAlignment="1">
      <alignment horizontal="left" indent="1"/>
    </xf>
    <xf numFmtId="14" fontId="11" fillId="9" borderId="1" xfId="1" applyNumberFormat="1" applyFont="1" applyFill="1" applyBorder="1" applyAlignment="1">
      <alignment horizontal="left" indent="1"/>
    </xf>
    <xf numFmtId="10" fontId="11" fillId="9" borderId="1" xfId="1" applyNumberFormat="1" applyFont="1" applyFill="1" applyBorder="1" applyAlignment="1">
      <alignment horizontal="left" indent="1"/>
    </xf>
    <xf numFmtId="0" fontId="40" fillId="9" borderId="1" xfId="0" applyFont="1" applyFill="1" applyBorder="1" applyAlignment="1">
      <alignment vertical="center"/>
    </xf>
    <xf numFmtId="0" fontId="24" fillId="10" borderId="6" xfId="0" applyFont="1" applyFill="1" applyBorder="1" applyAlignment="1">
      <alignment horizontal="center"/>
    </xf>
    <xf numFmtId="0" fontId="24" fillId="10" borderId="7" xfId="0" applyFont="1" applyFill="1" applyBorder="1" applyAlignment="1">
      <alignment horizontal="center"/>
    </xf>
    <xf numFmtId="0" fontId="24" fillId="10" borderId="8" xfId="0" applyFont="1" applyFill="1" applyBorder="1" applyAlignment="1">
      <alignment horizontal="center"/>
    </xf>
    <xf numFmtId="0" fontId="15" fillId="3" borderId="0" xfId="0" applyFont="1" applyFill="1" applyAlignment="1">
      <alignment horizontal="center"/>
    </xf>
    <xf numFmtId="0" fontId="24" fillId="4" borderId="2" xfId="0" applyFont="1" applyFill="1" applyBorder="1" applyAlignment="1">
      <alignment horizontal="center"/>
    </xf>
    <xf numFmtId="0" fontId="4" fillId="0" borderId="0" xfId="0" applyFont="1" applyAlignment="1">
      <alignment vertical="center" wrapText="1"/>
    </xf>
    <xf numFmtId="4" fontId="0" fillId="0" borderId="0" xfId="0" applyNumberFormat="1" applyAlignment="1">
      <alignment vertical="center" wrapText="1"/>
    </xf>
    <xf numFmtId="0" fontId="42" fillId="17" borderId="9" xfId="0" applyFont="1" applyFill="1" applyBorder="1" applyAlignment="1">
      <alignment horizontal="center" vertical="center" wrapText="1" readingOrder="1"/>
    </xf>
    <xf numFmtId="0" fontId="12" fillId="4" borderId="10" xfId="0" applyFont="1" applyFill="1" applyBorder="1" applyAlignment="1">
      <alignment vertical="center"/>
    </xf>
    <xf numFmtId="0" fontId="12" fillId="4" borderId="11" xfId="0" applyFont="1" applyFill="1" applyBorder="1" applyAlignment="1">
      <alignment vertical="center"/>
    </xf>
    <xf numFmtId="0" fontId="12" fillId="4" borderId="12" xfId="0" applyFont="1" applyFill="1" applyBorder="1" applyAlignment="1">
      <alignment vertical="center"/>
    </xf>
    <xf numFmtId="0" fontId="0" fillId="0" borderId="13" xfId="0" applyBorder="1"/>
    <xf numFmtId="4" fontId="38" fillId="13" borderId="14" xfId="0" applyNumberFormat="1" applyFont="1" applyFill="1" applyBorder="1"/>
    <xf numFmtId="0" fontId="25" fillId="9" borderId="15" xfId="0" applyFont="1" applyFill="1" applyBorder="1" applyAlignment="1">
      <alignment vertical="center"/>
    </xf>
    <xf numFmtId="0" fontId="25" fillId="9" borderId="16" xfId="0" applyFont="1" applyFill="1" applyBorder="1" applyAlignment="1">
      <alignment vertical="center"/>
    </xf>
    <xf numFmtId="0" fontId="0" fillId="7" borderId="0" xfId="0" applyFill="1" applyAlignment="1">
      <alignment horizontal="center"/>
    </xf>
    <xf numFmtId="0" fontId="0" fillId="7" borderId="0" xfId="0" applyFill="1"/>
    <xf numFmtId="3" fontId="1" fillId="7" borderId="0" xfId="0" applyNumberFormat="1" applyFont="1" applyFill="1"/>
  </cellXfs>
  <cellStyles count="2">
    <cellStyle name="Normal" xfId="0" builtinId="0"/>
    <cellStyle name="Percent" xfId="1" builtinId="5"/>
  </cellStyles>
  <dxfs count="5">
    <dxf>
      <fill>
        <patternFill patternType="solid">
          <fgColor rgb="FF70AD47"/>
          <bgColor rgb="FFFFFFFF"/>
        </patternFill>
      </fill>
    </dxf>
    <dxf>
      <fill>
        <patternFill patternType="solid">
          <fgColor rgb="FF70AD47"/>
          <bgColor rgb="FFFFFFFF"/>
        </patternFill>
      </fill>
    </dxf>
    <dxf>
      <numFmt numFmtId="3" formatCode="#,##0"/>
    </dxf>
    <dxf>
      <numFmt numFmtId="165" formatCode="#,##0.0"/>
    </dxf>
    <dxf>
      <numFmt numFmtId="4" formatCode="#,##0.00"/>
    </dxf>
  </dxfs>
  <tableStyles count="0" defaultTableStyle="TableStyleMedium2" defaultPivotStyle="PivotStyleLight16"/>
  <colors>
    <mruColors>
      <color rgb="FFFFD937"/>
      <color rgb="FF424242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ustomXml" Target="../customXml/item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[Indicadores_23022024.xlsx]aux!PivotTable2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marker>
          <c:symbol val="none"/>
        </c:marker>
      </c:pivotFmt>
      <c:pivotFmt>
        <c:idx val="47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bg1">
              <a:lumMod val="95000"/>
            </a:schemeClr>
          </a:solidFill>
        </c:spPr>
      </c:pivotFmt>
      <c:pivotFmt>
        <c:idx val="49"/>
        <c:spPr>
          <a:solidFill>
            <a:schemeClr val="tx1">
              <a:lumMod val="75000"/>
              <a:lumOff val="25000"/>
            </a:schemeClr>
          </a:solidFill>
        </c:spPr>
      </c:pivotFmt>
      <c:pivotFmt>
        <c:idx val="50"/>
        <c:spPr>
          <a:solidFill>
            <a:srgbClr val="FF0000"/>
          </a:solidFill>
        </c:spPr>
      </c:pivotFmt>
      <c:pivotFmt>
        <c:idx val="51"/>
        <c:spPr>
          <a:solidFill>
            <a:srgbClr val="C00000"/>
          </a:solidFill>
        </c:spPr>
      </c:pivotFmt>
      <c:pivotFmt>
        <c:idx val="52"/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3"/>
        <c:spPr>
          <a:solidFill>
            <a:schemeClr val="bg1">
              <a:lumMod val="85000"/>
            </a:schemeClr>
          </a:solidFill>
        </c:spPr>
      </c:pivotFmt>
      <c:pivotFmt>
        <c:idx val="54"/>
        <c:spPr>
          <a:solidFill>
            <a:schemeClr val="tx1"/>
          </a:solidFill>
        </c:spPr>
      </c:pivotFmt>
      <c:pivotFmt>
        <c:idx val="55"/>
        <c:spPr>
          <a:solidFill>
            <a:srgbClr val="FF0000"/>
          </a:solidFill>
        </c:spPr>
      </c:pivotFmt>
      <c:pivotFmt>
        <c:idx val="56"/>
        <c:spPr>
          <a:solidFill>
            <a:srgbClr val="C00000"/>
          </a:solidFill>
        </c:spPr>
      </c:pivotFmt>
    </c:pivotFmts>
    <c:plotArea>
      <c:layout/>
      <c:pieChart>
        <c:varyColors val="1"/>
        <c:ser>
          <c:idx val="0"/>
          <c:order val="0"/>
          <c:tx>
            <c:strRef>
              <c:f>aux!$P$1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5-EA2D-4476-9C4E-18D0BB50D56A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7-EA2D-4476-9C4E-18D0BB50D56A}"/>
              </c:ext>
            </c:extLst>
          </c:dPt>
          <c:dPt>
            <c:idx val="2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9-EA2D-4476-9C4E-18D0BB50D56A}"/>
              </c:ext>
            </c:extLst>
          </c:dPt>
          <c:dPt>
            <c:idx val="3"/>
            <c:bubble3D val="0"/>
            <c:spPr>
              <a:solidFill>
                <a:schemeClr val="bg1">
                  <a:lumMod val="8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B-EA2D-4476-9C4E-18D0BB50D5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aux!$O$2:$O$6</c:f>
              <c:strCache>
                <c:ptCount val="4"/>
                <c:pt idx="0">
                  <c:v>Adicionado 22/12/2023</c:v>
                </c:pt>
                <c:pt idx="1">
                  <c:v>Alterado 22/12/2023</c:v>
                </c:pt>
                <c:pt idx="2">
                  <c:v>Removido 22/12/2023</c:v>
                </c:pt>
                <c:pt idx="3">
                  <c:v>Sem alterações</c:v>
                </c:pt>
              </c:strCache>
            </c:strRef>
          </c:cat>
          <c:val>
            <c:numRef>
              <c:f>aux!$P$2:$P$6</c:f>
              <c:numCache>
                <c:formatCode>General</c:formatCode>
                <c:ptCount val="4"/>
                <c:pt idx="0">
                  <c:v>4</c:v>
                </c:pt>
                <c:pt idx="1">
                  <c:v>8</c:v>
                </c:pt>
                <c:pt idx="2">
                  <c:v>1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A2D-4476-9C4E-18D0BB50D56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legend>
    <c:plotVisOnly val="1"/>
    <c:dispBlanksAs val="gap"/>
    <c:showDLblsOverMax val="0"/>
  </c:chart>
  <c:spPr>
    <a:ln>
      <a:solidFill>
        <a:schemeClr val="bg1">
          <a:lumMod val="95000"/>
        </a:schemeClr>
      </a:solidFill>
    </a:ln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[Indicadores_23022024.xlsx]aux!PivotTable6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>
              <a:lumMod val="9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bg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0783055555555557"/>
          <c:y val="0.2200787401574803"/>
          <c:w val="0.33847435897435896"/>
          <c:h val="0.62994512049630158"/>
        </c:manualLayout>
      </c:layout>
      <c:pieChart>
        <c:varyColors val="1"/>
        <c:ser>
          <c:idx val="0"/>
          <c:order val="0"/>
          <c:tx>
            <c:strRef>
              <c:f>aux!$P$24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0A5-4C2F-A219-9DE9CDEA310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A0A5-4C2F-A219-9DE9CDEA3107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0A5-4C2F-A219-9DE9CDEA310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aux!$O$25:$O$28</c:f>
              <c:strCache>
                <c:ptCount val="3"/>
                <c:pt idx="0">
                  <c:v>Disponibilizado para teste</c:v>
                </c:pt>
                <c:pt idx="1">
                  <c:v>Em implementação</c:v>
                </c:pt>
                <c:pt idx="2">
                  <c:v>Em análise de requisitos</c:v>
                </c:pt>
              </c:strCache>
            </c:strRef>
          </c:cat>
          <c:val>
            <c:numRef>
              <c:f>aux!$P$25:$P$28</c:f>
              <c:numCache>
                <c:formatCode>General</c:formatCode>
                <c:ptCount val="3"/>
                <c:pt idx="0">
                  <c:v>35</c:v>
                </c:pt>
                <c:pt idx="1">
                  <c:v>13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5-4C2F-A219-9DE9CDEA310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[Indicadores_23022024.xlsx]aux!PivotTable4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FFD937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5472856517935261"/>
          <c:y val="0.20532589676290464"/>
          <c:w val="0.42244094488188971"/>
          <c:h val="0.70406824146981617"/>
        </c:manualLayout>
      </c:layout>
      <c:pieChart>
        <c:varyColors val="1"/>
        <c:ser>
          <c:idx val="0"/>
          <c:order val="0"/>
          <c:tx>
            <c:strRef>
              <c:f>aux!$P$33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745C-4437-8C0D-3F1A56A9DFD3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45C-4437-8C0D-3F1A56A9DFD3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45C-4437-8C0D-3F1A56A9DF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aux!$O$34:$O$37</c:f>
              <c:strCache>
                <c:ptCount val="3"/>
                <c:pt idx="0">
                  <c:v>Em teste</c:v>
                </c:pt>
                <c:pt idx="1">
                  <c:v>NOK</c:v>
                </c:pt>
                <c:pt idx="2">
                  <c:v>OK</c:v>
                </c:pt>
              </c:strCache>
            </c:strRef>
          </c:cat>
          <c:val>
            <c:numRef>
              <c:f>aux!$P$34:$P$37</c:f>
              <c:numCache>
                <c:formatCode>General</c:formatCode>
                <c:ptCount val="3"/>
                <c:pt idx="0">
                  <c:v>10</c:v>
                </c:pt>
                <c:pt idx="1">
                  <c:v>6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5C-4437-8C0D-3F1A56A9D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123825</xdr:rowOff>
    </xdr:from>
    <xdr:to>
      <xdr:col>10</xdr:col>
      <xdr:colOff>212775</xdr:colOff>
      <xdr:row>20</xdr:row>
      <xdr:rowOff>9525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333375</xdr:colOff>
      <xdr:row>1</xdr:row>
      <xdr:rowOff>8283</xdr:rowOff>
    </xdr:from>
    <xdr:to>
      <xdr:col>2</xdr:col>
      <xdr:colOff>548368</xdr:colOff>
      <xdr:row>1</xdr:row>
      <xdr:rowOff>162349</xdr:rowOff>
    </xdr:to>
    <xdr:pic>
      <xdr:nvPicPr>
        <xdr:cNvPr id="4" name="Gráfico 1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xmlns="" r:embed="rId3"/>
            </a:ext>
          </a:extLst>
        </a:blip>
        <a:stretch>
          <a:fillRect/>
        </a:stretch>
      </xdr:blipFill>
      <xdr:spPr>
        <a:xfrm>
          <a:off x="609600" y="190500"/>
          <a:ext cx="824593" cy="154066"/>
        </a:xfrm>
        <a:prstGeom prst="rect">
          <a:avLst/>
        </a:prstGeom>
      </xdr:spPr>
    </xdr:pic>
    <xdr:clientData/>
  </xdr:twoCellAnchor>
  <xdr:twoCellAnchor>
    <xdr:from>
      <xdr:col>11</xdr:col>
      <xdr:colOff>54769</xdr:colOff>
      <xdr:row>5</xdr:row>
      <xdr:rowOff>123825</xdr:rowOff>
    </xdr:from>
    <xdr:to>
      <xdr:col>20</xdr:col>
      <xdr:colOff>134194</xdr:colOff>
      <xdr:row>20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24932</xdr:colOff>
      <xdr:row>5</xdr:row>
      <xdr:rowOff>114860</xdr:rowOff>
    </xdr:from>
    <xdr:to>
      <xdr:col>30</xdr:col>
      <xdr:colOff>275807</xdr:colOff>
      <xdr:row>20</xdr:row>
      <xdr:rowOff>560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19743</xdr:colOff>
      <xdr:row>5</xdr:row>
      <xdr:rowOff>19050</xdr:rowOff>
    </xdr:from>
    <xdr:to>
      <xdr:col>9</xdr:col>
      <xdr:colOff>8831</xdr:colOff>
      <xdr:row>5</xdr:row>
      <xdr:rowOff>19050</xdr:rowOff>
    </xdr:to>
    <xdr:cxnSp macro="">
      <xdr:nvCxnSpPr>
        <xdr:cNvPr id="11" name="Straight Connector 10"/>
        <xdr:cNvCxnSpPr/>
      </xdr:nvCxnSpPr>
      <xdr:spPr>
        <a:xfrm>
          <a:off x="295968" y="962025"/>
          <a:ext cx="414198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48318</xdr:colOff>
      <xdr:row>5</xdr:row>
      <xdr:rowOff>19050</xdr:rowOff>
    </xdr:from>
    <xdr:to>
      <xdr:col>18</xdr:col>
      <xdr:colOff>246956</xdr:colOff>
      <xdr:row>5</xdr:row>
      <xdr:rowOff>19050</xdr:rowOff>
    </xdr:to>
    <xdr:cxnSp macro="">
      <xdr:nvCxnSpPr>
        <xdr:cNvPr id="12" name="Straight Connector 11"/>
        <xdr:cNvCxnSpPr/>
      </xdr:nvCxnSpPr>
      <xdr:spPr>
        <a:xfrm>
          <a:off x="5401368" y="962025"/>
          <a:ext cx="414198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38793</xdr:colOff>
      <xdr:row>5</xdr:row>
      <xdr:rowOff>19050</xdr:rowOff>
    </xdr:from>
    <xdr:to>
      <xdr:col>29</xdr:col>
      <xdr:colOff>361256</xdr:colOff>
      <xdr:row>5</xdr:row>
      <xdr:rowOff>19050</xdr:rowOff>
    </xdr:to>
    <xdr:cxnSp macro="">
      <xdr:nvCxnSpPr>
        <xdr:cNvPr id="13" name="Straight Connector 12"/>
        <xdr:cNvCxnSpPr/>
      </xdr:nvCxnSpPr>
      <xdr:spPr>
        <a:xfrm>
          <a:off x="10763943" y="962025"/>
          <a:ext cx="414198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19743</xdr:colOff>
      <xdr:row>25</xdr:row>
      <xdr:rowOff>19050</xdr:rowOff>
    </xdr:from>
    <xdr:to>
      <xdr:col>9</xdr:col>
      <xdr:colOff>8831</xdr:colOff>
      <xdr:row>25</xdr:row>
      <xdr:rowOff>19050</xdr:rowOff>
    </xdr:to>
    <xdr:cxnSp macro="">
      <xdr:nvCxnSpPr>
        <xdr:cNvPr id="14" name="Straight Connector 13"/>
        <xdr:cNvCxnSpPr/>
      </xdr:nvCxnSpPr>
      <xdr:spPr>
        <a:xfrm>
          <a:off x="295968" y="4200525"/>
          <a:ext cx="414198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804061\Santander%20Office%20365\Testes%20GD%20&amp;%20Pilar%203%20ESG%20-%20General\02.%20Green%20Dashboard\2.%20Testes\01.%20Testes%20Dados\Indicadores_02022024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ugo Alexandre Redondo Reia" refreshedDate="45322.52231122685" createdVersion="6" refreshedVersion="6" minRefreshableVersion="3" recordCount="3665">
  <cacheSource type="worksheet">
    <worksheetSource ref="A1:C3666" sheet="N Cruza" r:id="rId2"/>
  </cacheSource>
  <cacheFields count="3">
    <cacheField name="instrmnt_id" numFmtId="49">
      <sharedItems/>
    </cacheField>
    <cacheField name="chave_fr" numFmtId="49">
      <sharedItems/>
    </cacheField>
    <cacheField name="tipo" numFmtId="0">
      <sharedItems containsBlank="1" count="6">
        <s v="SNCN"/>
        <s v="CMAH"/>
        <m/>
        <s v="Emp 82"/>
        <s v="C pelo meio"/>
        <s v="SUPRIMENTOSPTT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enrique Crespo Rodrigues Antunes Correia" refreshedDate="45345.511797916668" createdVersion="6" refreshedVersion="6" minRefreshableVersion="3" recordCount="51">
  <cacheSource type="worksheet">
    <worksheetSource ref="A1:J52" sheet="aux"/>
  </cacheSource>
  <cacheFields count="10">
    <cacheField name="Campo" numFmtId="0">
      <sharedItems/>
    </cacheField>
    <cacheField name="OK" numFmtId="3">
      <sharedItems containsSemiMixedTypes="0" containsString="0" containsNumber="1" containsInteger="1" minValue="0" maxValue="2020862"/>
    </cacheField>
    <cacheField name="NOK" numFmtId="3">
      <sharedItems containsSemiMixedTypes="0" containsString="0" containsNumber="1" containsInteger="1" minValue="0" maxValue="2020862"/>
    </cacheField>
    <cacheField name="WIP" numFmtId="3">
      <sharedItems containsSemiMixedTypes="0" containsString="0" containsNumber="1" containsInteger="1" minValue="0" maxValue="123139"/>
    </cacheField>
    <cacheField name="Not Started" numFmtId="3">
      <sharedItems containsSemiMixedTypes="0" containsString="0" containsNumber="1" containsInteger="1" minValue="0" maxValue="2020862"/>
    </cacheField>
    <cacheField name="NA" numFmtId="3">
      <sharedItems containsSemiMixedTypes="0" containsString="0" containsNumber="1" containsInteger="1" minValue="0" maxValue="3665"/>
    </cacheField>
    <cacheField name="Status" numFmtId="0">
      <sharedItems count="6">
        <s v="Concluído"/>
        <s v="NA"/>
        <s v="Em correção"/>
        <s v="Em teste"/>
        <s v="Em Implementação"/>
        <s v="Em análise de requisitos"/>
      </sharedItems>
    </cacheField>
    <cacheField name="Alterações Corp" numFmtId="0">
      <sharedItems count="4">
        <s v="Sem alterações"/>
        <s v="Removido 22/12/2023"/>
        <s v="Adicionado 22/12/2023"/>
        <s v="Alterado 22/12/2023"/>
      </sharedItems>
    </cacheField>
    <cacheField name="Status base" numFmtId="0">
      <sharedItems count="4">
        <s v="Disponibilizado para teste"/>
        <s v="NA"/>
        <s v="Em implementação"/>
        <s v="Em análise de requisitos"/>
      </sharedItems>
    </cacheField>
    <cacheField name="Status teste" numFmtId="0">
      <sharedItems count="6">
        <s v="OK"/>
        <s v="NA"/>
        <s v="NOK"/>
        <s v="Em teste"/>
        <s v="Em Implementação"/>
        <s v="Em análise de requisito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65">
  <r>
    <s v="SNCN00000811"/>
    <s v="NULL"/>
    <x v="0"/>
  </r>
  <r>
    <s v="SNCN00000132"/>
    <s v="NULL"/>
    <x v="0"/>
  </r>
  <r>
    <s v="SNCN00000449"/>
    <s v="NULL"/>
    <x v="0"/>
  </r>
  <r>
    <s v="80CMAH000000WP455000000000086388"/>
    <s v="NULL"/>
    <x v="1"/>
  </r>
  <r>
    <s v="31000310419104090069674560100000"/>
    <s v="NULL"/>
    <x v="2"/>
  </r>
  <r>
    <s v="31000310171753091069673570100000"/>
    <s v="NULL"/>
    <x v="2"/>
  </r>
  <r>
    <s v="31000310172199091069674210100000"/>
    <s v="NULL"/>
    <x v="2"/>
  </r>
  <r>
    <s v="31CMAH0000000000R262304820019730"/>
    <s v="NULL"/>
    <x v="1"/>
  </r>
  <r>
    <s v="31CMAH0000000000R362304820963130"/>
    <s v="NULL"/>
    <x v="1"/>
  </r>
  <r>
    <s v="31CMAH0000000000RAPL384459860000"/>
    <s v="NULL"/>
    <x v="1"/>
  </r>
  <r>
    <s v="82000000000021154000450000404079"/>
    <s v="NULL"/>
    <x v="3"/>
  </r>
  <r>
    <s v="82000000007002745000200000645171"/>
    <s v="NULL"/>
    <x v="3"/>
  </r>
  <r>
    <s v="82000000007007660000200000654205"/>
    <s v="NULL"/>
    <x v="3"/>
  </r>
  <r>
    <s v="82000000007008136000200000656216"/>
    <s v="NULL"/>
    <x v="3"/>
  </r>
  <r>
    <s v="82000000007009031000200000661116"/>
    <s v="NULL"/>
    <x v="3"/>
  </r>
  <r>
    <s v="82000000007011204000200000681045"/>
    <s v="NULL"/>
    <x v="3"/>
  </r>
  <r>
    <s v="82000000007013337000200000690590"/>
    <s v="NULL"/>
    <x v="3"/>
  </r>
  <r>
    <s v="82000000007017412000200000680116"/>
    <s v="NULL"/>
    <x v="3"/>
  </r>
  <r>
    <s v="82000000007017955000200000753985"/>
    <s v="NULL"/>
    <x v="3"/>
  </r>
  <r>
    <s v="89CMAH2022000041R001520220603343"/>
    <s v="NULL"/>
    <x v="1"/>
  </r>
  <r>
    <s v="89CMAH2022000041R001520230085361"/>
    <s v="NULL"/>
    <x v="1"/>
  </r>
  <r>
    <s v="89CMAH2022000041R001520230085476"/>
    <s v="NULL"/>
    <x v="1"/>
  </r>
  <r>
    <s v="89CMAH2022000041R001520230144551"/>
    <s v="NULL"/>
    <x v="1"/>
  </r>
  <r>
    <s v="89CMAH2022000041R001520230144867"/>
    <s v="NULL"/>
    <x v="1"/>
  </r>
  <r>
    <s v="89CMAH2022000041R001520230177979"/>
    <s v="NULL"/>
    <x v="1"/>
  </r>
  <r>
    <s v="89CMAH2022000041R001520230178096"/>
    <s v="NULL"/>
    <x v="1"/>
  </r>
  <r>
    <s v="89CMAH2022000041R001520230178563"/>
    <s v="NULL"/>
    <x v="1"/>
  </r>
  <r>
    <s v="89CMAH2022000041R001520230234131"/>
    <s v="NULL"/>
    <x v="1"/>
  </r>
  <r>
    <s v="89CMAH2022000041R001520230234147"/>
    <s v="NULL"/>
    <x v="1"/>
  </r>
  <r>
    <s v="89CMAH2022000041R001520230234336"/>
    <s v="NULL"/>
    <x v="1"/>
  </r>
  <r>
    <s v="89CMAH2022000041R001520230234448"/>
    <s v="NULL"/>
    <x v="1"/>
  </r>
  <r>
    <s v="89CMAH2022000041R001520230234603"/>
    <s v="NULL"/>
    <x v="1"/>
  </r>
  <r>
    <s v="89CMAH2022000041R001520230234665"/>
    <s v="NULL"/>
    <x v="1"/>
  </r>
  <r>
    <s v="89CMAH2022000041R001520230289492"/>
    <s v="NULL"/>
    <x v="1"/>
  </r>
  <r>
    <s v="89CMAH2022000041R001520230289493"/>
    <s v="NULL"/>
    <x v="1"/>
  </r>
  <r>
    <s v="89CMAH2022000041R001520230289505"/>
    <s v="NULL"/>
    <x v="1"/>
  </r>
  <r>
    <s v="89CMAH2022000041R001520230289509"/>
    <s v="NULL"/>
    <x v="1"/>
  </r>
  <r>
    <s v="89CMAH2022000041R001520230289537"/>
    <s v="NULL"/>
    <x v="1"/>
  </r>
  <r>
    <s v="89CMAH2022000041R001520230289548"/>
    <s v="NULL"/>
    <x v="1"/>
  </r>
  <r>
    <s v="89CMAH2022000041R001520230289616"/>
    <s v="NULL"/>
    <x v="1"/>
  </r>
  <r>
    <s v="89CMAH2022000041R001520230289662"/>
    <s v="NULL"/>
    <x v="1"/>
  </r>
  <r>
    <s v="89CMAH2022000041R001520230289954"/>
    <s v="NULL"/>
    <x v="1"/>
  </r>
  <r>
    <s v="89CMAH2022000041R001520230290013"/>
    <s v="NULL"/>
    <x v="1"/>
  </r>
  <r>
    <s v="89CMAH2022000041R001520230290112"/>
    <s v="NULL"/>
    <x v="1"/>
  </r>
  <r>
    <s v="89CMAH2022000041R001520230290153"/>
    <s v="NULL"/>
    <x v="1"/>
  </r>
  <r>
    <s v="89CMAH2022000041R001520230290158"/>
    <s v="NULL"/>
    <x v="1"/>
  </r>
  <r>
    <s v="89CMAH2022000041R001520230290437"/>
    <s v="NULL"/>
    <x v="1"/>
  </r>
  <r>
    <s v="89CMAH2022000041R001520230290460"/>
    <s v="NULL"/>
    <x v="1"/>
  </r>
  <r>
    <s v="89CMAH2022000041R001520230290467"/>
    <s v="NULL"/>
    <x v="1"/>
  </r>
  <r>
    <s v="89CMAH2022000041R001520230290482"/>
    <s v="NULL"/>
    <x v="1"/>
  </r>
  <r>
    <s v="89CMAH2022000041R001520230290495"/>
    <s v="NULL"/>
    <x v="1"/>
  </r>
  <r>
    <s v="89CMAH2022000041R001520230290570"/>
    <s v="NULL"/>
    <x v="1"/>
  </r>
  <r>
    <s v="89CMAH2022000041R001520230290576"/>
    <s v="NULL"/>
    <x v="1"/>
  </r>
  <r>
    <s v="89CMAH2022000041R001520230290647"/>
    <s v="NULL"/>
    <x v="1"/>
  </r>
  <r>
    <s v="89CMAH2022000041R001520230290893"/>
    <s v="NULL"/>
    <x v="1"/>
  </r>
  <r>
    <s v="89CMAH2022000041R001520230290929"/>
    <s v="NULL"/>
    <x v="1"/>
  </r>
  <r>
    <s v="SNCN00000107"/>
    <s v="NULL"/>
    <x v="0"/>
  </r>
  <r>
    <s v="SNCN00000211"/>
    <s v="NULL"/>
    <x v="0"/>
  </r>
  <r>
    <s v="SNCN00000501"/>
    <s v="NULL"/>
    <x v="0"/>
  </r>
  <r>
    <s v="SNCN00000613"/>
    <s v="NULL"/>
    <x v="0"/>
  </r>
  <r>
    <s v="SNCN00000662"/>
    <s v="NULL"/>
    <x v="0"/>
  </r>
  <r>
    <s v="SNCN00000747"/>
    <s v="NULL"/>
    <x v="0"/>
  </r>
  <r>
    <s v="SNCN00000771"/>
    <s v="NULL"/>
    <x v="0"/>
  </r>
  <r>
    <s v="31CMAH0000000000R962304820306090"/>
    <s v="NULL"/>
    <x v="1"/>
  </r>
  <r>
    <s v="31CMAH0000000000R962304820307850"/>
    <s v="NULL"/>
    <x v="1"/>
  </r>
  <r>
    <s v="31CMAH0000000000R962304870356900"/>
    <s v="NULL"/>
    <x v="1"/>
  </r>
  <r>
    <s v="31CMAHenergyS1xS2OVER2ENFSMERT0G"/>
    <s v="NULL"/>
    <x v="1"/>
  </r>
  <r>
    <s v="82000000000119708000450000423452"/>
    <s v="NULL"/>
    <x v="3"/>
  </r>
  <r>
    <s v="82000000005045211000510000512979"/>
    <s v="NULL"/>
    <x v="3"/>
  </r>
  <r>
    <s v="82000000007002734000200000542150"/>
    <s v="NULL"/>
    <x v="3"/>
  </r>
  <r>
    <s v="82000000007003285000200000830802"/>
    <s v="NULL"/>
    <x v="3"/>
  </r>
  <r>
    <s v="82000000007009118000200000662058"/>
    <s v="NULL"/>
    <x v="3"/>
  </r>
  <r>
    <s v="82000000007009811000200000654207"/>
    <s v="NULL"/>
    <x v="3"/>
  </r>
  <r>
    <s v="82000000007011272000200000680260"/>
    <s v="NULL"/>
    <x v="3"/>
  </r>
  <r>
    <s v="82000000007015909000200000647104"/>
    <s v="NULL"/>
    <x v="3"/>
  </r>
  <r>
    <s v="89CMAH2022000041R001520220603380"/>
    <s v="NULL"/>
    <x v="1"/>
  </r>
  <r>
    <s v="89CMAH2022000041R001520230039451"/>
    <s v="NULL"/>
    <x v="1"/>
  </r>
  <r>
    <s v="89CMAH2022000041R001520230040009"/>
    <s v="NULL"/>
    <x v="1"/>
  </r>
  <r>
    <s v="89CMAH2022000041R001520230086028"/>
    <s v="NULL"/>
    <x v="1"/>
  </r>
  <r>
    <s v="89CMAH2022000041R001520230086133"/>
    <s v="NULL"/>
    <x v="1"/>
  </r>
  <r>
    <s v="89CMAH2022000041R001520230144759"/>
    <s v="NULL"/>
    <x v="1"/>
  </r>
  <r>
    <s v="89CMAH2022000041R001520230144815"/>
    <s v="NULL"/>
    <x v="1"/>
  </r>
  <r>
    <s v="89CMAH2022000041R001520230177926"/>
    <s v="NULL"/>
    <x v="1"/>
  </r>
  <r>
    <s v="89CMAH2022000041R001520230178069"/>
    <s v="NULL"/>
    <x v="1"/>
  </r>
  <r>
    <s v="89CMAH2022000041R001520230233967"/>
    <s v="NULL"/>
    <x v="1"/>
  </r>
  <r>
    <s v="89CMAH2022000041R001520230233981"/>
    <s v="NULL"/>
    <x v="1"/>
  </r>
  <r>
    <s v="89CMAH2022000041R001520230234023"/>
    <s v="NULL"/>
    <x v="1"/>
  </r>
  <r>
    <s v="89CMAH2022000041R001520230234105"/>
    <s v="NULL"/>
    <x v="1"/>
  </r>
  <r>
    <s v="89CMAH2022000041R001520230234247"/>
    <s v="NULL"/>
    <x v="1"/>
  </r>
  <r>
    <s v="89CMAH2022000041R001520230234296"/>
    <s v="NULL"/>
    <x v="1"/>
  </r>
  <r>
    <s v="89CMAH2022000041R001520230234353"/>
    <s v="NULL"/>
    <x v="1"/>
  </r>
  <r>
    <s v="89CMAH2022000041R001520230234394"/>
    <s v="NULL"/>
    <x v="1"/>
  </r>
  <r>
    <s v="89CMAH2022000041R001520230234542"/>
    <s v="NULL"/>
    <x v="1"/>
  </r>
  <r>
    <s v="89CMAH2022000041R001520230234691"/>
    <s v="NULL"/>
    <x v="1"/>
  </r>
  <r>
    <s v="89CMAH2022000041R001520230289289"/>
    <s v="NULL"/>
    <x v="1"/>
  </r>
  <r>
    <s v="89CMAH2022000041R001520230289553"/>
    <s v="NULL"/>
    <x v="1"/>
  </r>
  <r>
    <s v="89CMAH2022000041R001520230289651"/>
    <s v="NULL"/>
    <x v="1"/>
  </r>
  <r>
    <s v="89CMAH2022000041R001520230289656"/>
    <s v="NULL"/>
    <x v="1"/>
  </r>
  <r>
    <s v="89CMAH2022000041R001520230289773"/>
    <s v="NULL"/>
    <x v="1"/>
  </r>
  <r>
    <s v="89CMAH2022000041R001520230289834"/>
    <s v="NULL"/>
    <x v="1"/>
  </r>
  <r>
    <s v="89CMAH2022000041R001520230289865"/>
    <s v="NULL"/>
    <x v="1"/>
  </r>
  <r>
    <s v="89CMAH2022000041R001520230289882"/>
    <s v="NULL"/>
    <x v="1"/>
  </r>
  <r>
    <s v="89CMAH2022000041R001520230289888"/>
    <s v="NULL"/>
    <x v="1"/>
  </r>
  <r>
    <s v="89CMAH2022000041R001520230289898"/>
    <s v="NULL"/>
    <x v="1"/>
  </r>
  <r>
    <s v="89CMAH2022000041R001520230289926"/>
    <s v="NULL"/>
    <x v="1"/>
  </r>
  <r>
    <s v="89CMAH2022000041R001520230289975"/>
    <s v="NULL"/>
    <x v="1"/>
  </r>
  <r>
    <s v="89CMAH2022000041R001520230290004"/>
    <s v="NULL"/>
    <x v="1"/>
  </r>
  <r>
    <s v="89CMAH2022000041R001520230290050"/>
    <s v="NULL"/>
    <x v="1"/>
  </r>
  <r>
    <s v="89CMAH2022000041R001520230290051"/>
    <s v="NULL"/>
    <x v="1"/>
  </r>
  <r>
    <s v="89CMAH2022000041R001520230290232"/>
    <s v="NULL"/>
    <x v="1"/>
  </r>
  <r>
    <s v="89CMAH2022000041R001520230290269"/>
    <s v="NULL"/>
    <x v="1"/>
  </r>
  <r>
    <s v="89CMAH2022000041R001520230290291"/>
    <s v="NULL"/>
    <x v="1"/>
  </r>
  <r>
    <s v="89CMAH2022000041R001520230290350"/>
    <s v="NULL"/>
    <x v="1"/>
  </r>
  <r>
    <s v="89CMAH2022000041R001520230290435"/>
    <s v="NULL"/>
    <x v="1"/>
  </r>
  <r>
    <s v="89CMAH2022000041R001520230290440"/>
    <s v="NULL"/>
    <x v="1"/>
  </r>
  <r>
    <s v="89CMAH2022000041R001520230290448"/>
    <s v="NULL"/>
    <x v="1"/>
  </r>
  <r>
    <s v="89CMAH2022000041R001520230290464"/>
    <s v="NULL"/>
    <x v="1"/>
  </r>
  <r>
    <s v="89CMAH2022000041R001520230290468"/>
    <s v="NULL"/>
    <x v="1"/>
  </r>
  <r>
    <s v="89CMAH2022000041R001520230290473"/>
    <s v="NULL"/>
    <x v="1"/>
  </r>
  <r>
    <s v="89CMAH2022000041R001520230290676"/>
    <s v="NULL"/>
    <x v="1"/>
  </r>
  <r>
    <s v="89CMAH2022000041R001520230290711"/>
    <s v="NULL"/>
    <x v="1"/>
  </r>
  <r>
    <s v="89CMAH2022000041R001520230290777"/>
    <s v="NULL"/>
    <x v="1"/>
  </r>
  <r>
    <s v="89CMAH2022000041R001520230290838"/>
    <s v="NULL"/>
    <x v="1"/>
  </r>
  <r>
    <s v="89CMAH2022000041R001520230290849"/>
    <s v="NULL"/>
    <x v="1"/>
  </r>
  <r>
    <s v="89CMAH2022000041R001520230290898"/>
    <s v="NULL"/>
    <x v="1"/>
  </r>
  <r>
    <s v="89CMAH2022000041R001520230290903"/>
    <s v="NULL"/>
    <x v="1"/>
  </r>
  <r>
    <s v="SNCN00000106"/>
    <s v="NULL"/>
    <x v="0"/>
  </r>
  <r>
    <s v="SNCN00000143"/>
    <s v="NULL"/>
    <x v="0"/>
  </r>
  <r>
    <s v="SNCN00000243"/>
    <s v="NULL"/>
    <x v="0"/>
  </r>
  <r>
    <s v="SNCN00000295"/>
    <s v="NULL"/>
    <x v="0"/>
  </r>
  <r>
    <s v="SNCN00000302"/>
    <s v="NULL"/>
    <x v="0"/>
  </r>
  <r>
    <s v="SNCN00000343"/>
    <s v="NULL"/>
    <x v="0"/>
  </r>
  <r>
    <s v="SNCN00000599"/>
    <s v="NULL"/>
    <x v="0"/>
  </r>
  <r>
    <s v="SNCN00000601"/>
    <s v="NULL"/>
    <x v="0"/>
  </r>
  <r>
    <s v="SNCN00000887"/>
    <s v="NULL"/>
    <x v="0"/>
  </r>
  <r>
    <s v="31CMAH0000000000R362304820777020"/>
    <s v="NULL"/>
    <x v="1"/>
  </r>
  <r>
    <s v="31CMAH0000000000R962304820311230"/>
    <s v="NULL"/>
    <x v="1"/>
  </r>
  <r>
    <s v="31CMAH0000000000R962304820340420"/>
    <s v="NULL"/>
    <x v="1"/>
  </r>
  <r>
    <s v="31CMAH0000000000R962304820402580"/>
    <s v="NULL"/>
    <x v="1"/>
  </r>
  <r>
    <s v="31CMAH0000000000R962304870364230"/>
    <s v="NULL"/>
    <x v="1"/>
  </r>
  <r>
    <s v="31CMAH0000000000R262304820023840"/>
    <s v="NULL"/>
    <x v="1"/>
  </r>
  <r>
    <s v="31CMAH0000000000R262304840022960"/>
    <s v="NULL"/>
    <x v="1"/>
  </r>
  <r>
    <s v="31CMAH0000000000R962304820272570"/>
    <s v="NULL"/>
    <x v="1"/>
  </r>
  <r>
    <s v="31CMAH0000000000R962304880000820"/>
    <s v="NULL"/>
    <x v="1"/>
  </r>
  <r>
    <s v="31CMAH0000000000RAPL376419330000"/>
    <s v="NULL"/>
    <x v="1"/>
  </r>
  <r>
    <s v="31CMAH0034217800R000000000000000"/>
    <s v="NULL"/>
    <x v="1"/>
  </r>
  <r>
    <s v="82000000000136140000450000506204"/>
    <s v="NULL"/>
    <x v="3"/>
  </r>
  <r>
    <s v="82000000005034180000510000504892"/>
    <s v="NULL"/>
    <x v="3"/>
  </r>
  <r>
    <s v="82000000007001568000200000643817"/>
    <s v="NULL"/>
    <x v="3"/>
  </r>
  <r>
    <s v="82000000007004369000200000647094"/>
    <s v="NULL"/>
    <x v="3"/>
  </r>
  <r>
    <s v="82000000007008534000200000515469"/>
    <s v="NULL"/>
    <x v="3"/>
  </r>
  <r>
    <s v="82000000007011752000200000679815"/>
    <s v="NULL"/>
    <x v="3"/>
  </r>
  <r>
    <s v="31CMAH0000000000R162304880071770"/>
    <s v="NULL"/>
    <x v="1"/>
  </r>
  <r>
    <s v="31CMAH0000000000R599904815306920"/>
    <s v="NULL"/>
    <x v="1"/>
  </r>
  <r>
    <s v="31CMAH0000000000R962304820132350"/>
    <s v="NULL"/>
    <x v="1"/>
  </r>
  <r>
    <s v="31CMAH0000000000R962304820139030"/>
    <s v="NULL"/>
    <x v="1"/>
  </r>
  <r>
    <s v="31CMAH0000000000R962304820345610"/>
    <s v="NULL"/>
    <x v="1"/>
  </r>
  <r>
    <s v="31CMAH0000000000R962304820395570"/>
    <s v="NULL"/>
    <x v="1"/>
  </r>
  <r>
    <s v="31CMAH0000000000R262304820027080"/>
    <s v="NULL"/>
    <x v="1"/>
  </r>
  <r>
    <s v="31CMAH0000000000R362304820798420"/>
    <s v="NULL"/>
    <x v="1"/>
  </r>
  <r>
    <s v="31CMAH0000000000R962304820179730"/>
    <s v="NULL"/>
    <x v="1"/>
  </r>
  <r>
    <s v="31CMAH0000000000R962304820340130"/>
    <s v="NULL"/>
    <x v="1"/>
  </r>
  <r>
    <s v="31CMAH0000000000R962304830371210"/>
    <s v="NULL"/>
    <x v="1"/>
  </r>
  <r>
    <s v="31CMAH0000000000R962304870352020"/>
    <s v="NULL"/>
    <x v="1"/>
  </r>
  <r>
    <s v="31CMAH0000580004RPTGMMBOM0001000"/>
    <s v="NULL"/>
    <x v="1"/>
  </r>
  <r>
    <s v="82000000007000024000200000642158"/>
    <s v="NULL"/>
    <x v="3"/>
  </r>
  <r>
    <s v="82000000007001261000200000643641"/>
    <s v="NULL"/>
    <x v="3"/>
  </r>
  <r>
    <s v="82000000007004323000200000647139"/>
    <s v="NULL"/>
    <x v="3"/>
  </r>
  <r>
    <s v="82000000007004797000200000647783"/>
    <s v="NULL"/>
    <x v="3"/>
  </r>
  <r>
    <s v="82000000007001734000200000643976"/>
    <s v="NULL"/>
    <x v="3"/>
  </r>
  <r>
    <s v="82000000007003918000200000646649"/>
    <s v="NULL"/>
    <x v="3"/>
  </r>
  <r>
    <s v="82000000007004246000200000647123"/>
    <s v="NULL"/>
    <x v="3"/>
  </r>
  <r>
    <s v="82000000007004793000200000647759"/>
    <s v="NULL"/>
    <x v="3"/>
  </r>
  <r>
    <s v="82000000007006401000200000647515"/>
    <s v="NULL"/>
    <x v="3"/>
  </r>
  <r>
    <s v="82000000007014269000200000701397"/>
    <s v="NULL"/>
    <x v="3"/>
  </r>
  <r>
    <s v="82000000007000986000200000643410"/>
    <s v="NULL"/>
    <x v="3"/>
  </r>
  <r>
    <s v="82000000007004115000200000646757"/>
    <s v="NULL"/>
    <x v="3"/>
  </r>
  <r>
    <s v="82000000007004184000200000647068"/>
    <s v="NULL"/>
    <x v="3"/>
  </r>
  <r>
    <s v="82000000007012769000200000685084"/>
    <s v="NULL"/>
    <x v="3"/>
  </r>
  <r>
    <s v="89CMAH2022000041R001520230085846"/>
    <s v="NULL"/>
    <x v="1"/>
  </r>
  <r>
    <s v="89CMAH2022000041R001520230144823"/>
    <s v="NULL"/>
    <x v="1"/>
  </r>
  <r>
    <s v="89CMAH2022000041R001520230144925"/>
    <s v="NULL"/>
    <x v="1"/>
  </r>
  <r>
    <s v="89CMAH2022000041R001520230177916"/>
    <s v="NULL"/>
    <x v="1"/>
  </r>
  <r>
    <s v="89CMAH2022000041R001520230177924"/>
    <s v="NULL"/>
    <x v="1"/>
  </r>
  <r>
    <s v="89CMAH2022000041R001520230178337"/>
    <s v="NULL"/>
    <x v="1"/>
  </r>
  <r>
    <s v="89CMAH2022000041R001520230234029"/>
    <s v="NULL"/>
    <x v="1"/>
  </r>
  <r>
    <s v="89CMAH2022000041R001520230234070"/>
    <s v="NULL"/>
    <x v="1"/>
  </r>
  <r>
    <s v="89CMAH2022000041R001520230234090"/>
    <s v="NULL"/>
    <x v="1"/>
  </r>
  <r>
    <s v="89CMAH2022000041R001520230234316"/>
    <s v="NULL"/>
    <x v="1"/>
  </r>
  <r>
    <s v="89CMAH2022000041R001520230234375"/>
    <s v="NULL"/>
    <x v="1"/>
  </r>
  <r>
    <s v="89CMAH2022000041R001520230234383"/>
    <s v="NULL"/>
    <x v="1"/>
  </r>
  <r>
    <s v="89CMAH2022000041R001520230234518"/>
    <s v="NULL"/>
    <x v="1"/>
  </r>
  <r>
    <s v="89CMAH2022000041R001520230234529"/>
    <s v="NULL"/>
    <x v="1"/>
  </r>
  <r>
    <s v="89CMAH2022000041R001520230234654"/>
    <s v="NULL"/>
    <x v="1"/>
  </r>
  <r>
    <s v="89CMAH2022000041R001520230234715"/>
    <s v="NULL"/>
    <x v="1"/>
  </r>
  <r>
    <s v="89CMAH2022000041R001520230289349"/>
    <s v="NULL"/>
    <x v="1"/>
  </r>
  <r>
    <s v="89CMAH2022000041R001520230289356"/>
    <s v="NULL"/>
    <x v="1"/>
  </r>
  <r>
    <s v="89CMAH2022000041R001520230289364"/>
    <s v="NULL"/>
    <x v="1"/>
  </r>
  <r>
    <s v="89CMAH2022000041R001520230289449"/>
    <s v="NULL"/>
    <x v="1"/>
  </r>
  <r>
    <s v="89CMAH2022000041R001520230289465"/>
    <s v="NULL"/>
    <x v="1"/>
  </r>
  <r>
    <s v="89CMAH2022000041R001520230289487"/>
    <s v="NULL"/>
    <x v="1"/>
  </r>
  <r>
    <s v="89CMAH2022000041R001520230289518"/>
    <s v="NULL"/>
    <x v="1"/>
  </r>
  <r>
    <s v="89CMAH2022000041R001520230289547"/>
    <s v="NULL"/>
    <x v="1"/>
  </r>
  <r>
    <s v="89CMAH2022000041R001520230289596"/>
    <s v="NULL"/>
    <x v="1"/>
  </r>
  <r>
    <s v="89CMAH2022000041R001520230289610"/>
    <s v="NULL"/>
    <x v="1"/>
  </r>
  <r>
    <s v="89CMAH2022000041R001520230289626"/>
    <s v="NULL"/>
    <x v="1"/>
  </r>
  <r>
    <s v="89CMAH2022000041R001520230289678"/>
    <s v="NULL"/>
    <x v="1"/>
  </r>
  <r>
    <s v="89CMAH2022000041R001520230289700"/>
    <s v="NULL"/>
    <x v="1"/>
  </r>
  <r>
    <s v="89CMAH2022000041R001520230289710"/>
    <s v="NULL"/>
    <x v="1"/>
  </r>
  <r>
    <s v="89CMAH2022000041R001520230289748"/>
    <s v="NULL"/>
    <x v="1"/>
  </r>
  <r>
    <s v="89CMAH2022000041R001520230289797"/>
    <s v="NULL"/>
    <x v="1"/>
  </r>
  <r>
    <s v="89CMAH2022000041R001520230289890"/>
    <s v="NULL"/>
    <x v="1"/>
  </r>
  <r>
    <s v="89CMAH2022000041R001520230290092"/>
    <s v="NULL"/>
    <x v="1"/>
  </r>
  <r>
    <s v="89CMAH2022000041R001520230290178"/>
    <s v="NULL"/>
    <x v="1"/>
  </r>
  <r>
    <s v="89CMAH2022000041R001520230290204"/>
    <s v="NULL"/>
    <x v="1"/>
  </r>
  <r>
    <s v="89CMAH2022000041R001520230290242"/>
    <s v="NULL"/>
    <x v="1"/>
  </r>
  <r>
    <s v="89CMAH2022000041R001520230290355"/>
    <s v="NULL"/>
    <x v="1"/>
  </r>
  <r>
    <s v="89CMAH2022000041R001520230290457"/>
    <s v="NULL"/>
    <x v="1"/>
  </r>
  <r>
    <s v="89CMAH2022000041R001520230290484"/>
    <s v="NULL"/>
    <x v="1"/>
  </r>
  <r>
    <s v="89CMAH2022000041R001520230290502"/>
    <s v="NULL"/>
    <x v="1"/>
  </r>
  <r>
    <s v="89CMAH2022000041R001520230290515"/>
    <s v="NULL"/>
    <x v="1"/>
  </r>
  <r>
    <s v="89CMAH2022000041R001520230290535"/>
    <s v="NULL"/>
    <x v="1"/>
  </r>
  <r>
    <s v="89CMAH2022000041R001520230290550"/>
    <s v="NULL"/>
    <x v="1"/>
  </r>
  <r>
    <s v="89CMAH2022000041R001520230290609"/>
    <s v="NULL"/>
    <x v="1"/>
  </r>
  <r>
    <s v="89CMAH2022000041R001520230290638"/>
    <s v="NULL"/>
    <x v="1"/>
  </r>
  <r>
    <s v="89CMAH2022000041R001520230290741"/>
    <s v="NULL"/>
    <x v="1"/>
  </r>
  <r>
    <s v="89CMAH2022000041R001520230290789"/>
    <s v="NULL"/>
    <x v="1"/>
  </r>
  <r>
    <s v="89CMAH2022000041R001520230290832"/>
    <s v="NULL"/>
    <x v="1"/>
  </r>
  <r>
    <s v="89CMAH2022000041R001520230290874"/>
    <s v="NULL"/>
    <x v="1"/>
  </r>
  <r>
    <s v="89CMAH2022000041R001520230290889"/>
    <s v="NULL"/>
    <x v="1"/>
  </r>
  <r>
    <s v="SNCN00000178"/>
    <s v="NULL"/>
    <x v="0"/>
  </r>
  <r>
    <s v="SNCN00000233"/>
    <s v="NULL"/>
    <x v="0"/>
  </r>
  <r>
    <s v="SNCN00000275"/>
    <s v="NULL"/>
    <x v="0"/>
  </r>
  <r>
    <s v="SNCN00000376"/>
    <s v="NULL"/>
    <x v="0"/>
  </r>
  <r>
    <s v="SNCN00000524"/>
    <s v="NULL"/>
    <x v="0"/>
  </r>
  <r>
    <s v="SNCN00000529"/>
    <s v="NULL"/>
    <x v="0"/>
  </r>
  <r>
    <s v="SNCN00000849"/>
    <s v="NULL"/>
    <x v="0"/>
  </r>
  <r>
    <s v="SNCN00000889"/>
    <s v="NULL"/>
    <x v="0"/>
  </r>
  <r>
    <s v="SNCN00000971"/>
    <s v="NULL"/>
    <x v="0"/>
  </r>
  <r>
    <s v="89CMAH2022000041R001520220602691"/>
    <s v="NULL"/>
    <x v="1"/>
  </r>
  <r>
    <s v="89CMAH2022000041R001520230085500"/>
    <s v="NULL"/>
    <x v="1"/>
  </r>
  <r>
    <s v="89CMAH2022000041R001520230085686"/>
    <s v="NULL"/>
    <x v="1"/>
  </r>
  <r>
    <s v="89CMAH2022000041R001520230144742"/>
    <s v="NULL"/>
    <x v="1"/>
  </r>
  <r>
    <s v="89CMAH2022000041R001520230144851"/>
    <s v="NULL"/>
    <x v="1"/>
  </r>
  <r>
    <s v="89CMAH2022000041R001520230144898"/>
    <s v="NULL"/>
    <x v="1"/>
  </r>
  <r>
    <s v="89CMAH2022000041R001520230177965"/>
    <s v="NULL"/>
    <x v="1"/>
  </r>
  <r>
    <s v="89CMAH2022000041R001520230178041"/>
    <s v="NULL"/>
    <x v="1"/>
  </r>
  <r>
    <s v="89CMAH2022000041R001520230178115"/>
    <s v="NULL"/>
    <x v="1"/>
  </r>
  <r>
    <s v="89CMAH2022000041R001520230178118"/>
    <s v="NULL"/>
    <x v="1"/>
  </r>
  <r>
    <s v="89CMAH2022000041R001520230178134"/>
    <s v="NULL"/>
    <x v="1"/>
  </r>
  <r>
    <s v="89CMAH2022000041R001520230234286"/>
    <s v="NULL"/>
    <x v="1"/>
  </r>
  <r>
    <s v="89CMAH2022000041R001520230234330"/>
    <s v="NULL"/>
    <x v="1"/>
  </r>
  <r>
    <s v="89CMAH2022000041R001520230234456"/>
    <s v="NULL"/>
    <x v="1"/>
  </r>
  <r>
    <s v="89CMAH2022000041R001520230234476"/>
    <s v="NULL"/>
    <x v="1"/>
  </r>
  <r>
    <s v="89CMAH2022000041R001520230234733"/>
    <s v="NULL"/>
    <x v="1"/>
  </r>
  <r>
    <s v="89CMAH2022000041R001520230234742"/>
    <s v="NULL"/>
    <x v="1"/>
  </r>
  <r>
    <s v="89CMAH2022000041R001520230289275"/>
    <s v="NULL"/>
    <x v="1"/>
  </r>
  <r>
    <s v="89CMAH2022000041R001520230289398"/>
    <s v="NULL"/>
    <x v="1"/>
  </r>
  <r>
    <s v="89CMAH2022000041R001520230289423"/>
    <s v="NULL"/>
    <x v="1"/>
  </r>
  <r>
    <s v="89CMAH2022000041R001520230289501"/>
    <s v="NULL"/>
    <x v="1"/>
  </r>
  <r>
    <s v="89CMAH2022000041R001520230289581"/>
    <s v="NULL"/>
    <x v="1"/>
  </r>
  <r>
    <s v="89CMAH2022000041R001520230289715"/>
    <s v="NULL"/>
    <x v="1"/>
  </r>
  <r>
    <s v="89CMAH2022000041R001520230289740"/>
    <s v="NULL"/>
    <x v="1"/>
  </r>
  <r>
    <s v="89CMAH2022000041R001520230289798"/>
    <s v="NULL"/>
    <x v="1"/>
  </r>
  <r>
    <s v="89CMAH2022000041R001520230289811"/>
    <s v="NULL"/>
    <x v="1"/>
  </r>
  <r>
    <s v="89CMAH2022000041R001520230289909"/>
    <s v="NULL"/>
    <x v="1"/>
  </r>
  <r>
    <s v="89CMAH2022000041R001520230289930"/>
    <s v="NULL"/>
    <x v="1"/>
  </r>
  <r>
    <s v="89CMAH2022000041R001520230289973"/>
    <s v="NULL"/>
    <x v="1"/>
  </r>
  <r>
    <s v="89CMAH2022000041R001520230289996"/>
    <s v="NULL"/>
    <x v="1"/>
  </r>
  <r>
    <s v="89CMAH2022000041R001520230290047"/>
    <s v="NULL"/>
    <x v="1"/>
  </r>
  <r>
    <s v="89CMAH2022000041R001520230290080"/>
    <s v="NULL"/>
    <x v="1"/>
  </r>
  <r>
    <s v="89CMAH2022000041R001520230290172"/>
    <s v="NULL"/>
    <x v="1"/>
  </r>
  <r>
    <s v="89CMAH2022000041R001520230290186"/>
    <s v="NULL"/>
    <x v="1"/>
  </r>
  <r>
    <s v="89CMAH2022000041R001520230290254"/>
    <s v="NULL"/>
    <x v="1"/>
  </r>
  <r>
    <s v="89CMAH2022000041R001520230290323"/>
    <s v="NULL"/>
    <x v="1"/>
  </r>
  <r>
    <s v="89CMAH2022000041R001520230290330"/>
    <s v="NULL"/>
    <x v="1"/>
  </r>
  <r>
    <s v="89CMAH2022000041R001520230290338"/>
    <s v="NULL"/>
    <x v="1"/>
  </r>
  <r>
    <s v="89CMAH2022000041R001520230290349"/>
    <s v="NULL"/>
    <x v="1"/>
  </r>
  <r>
    <s v="89CMAH2022000041R001520230290367"/>
    <s v="NULL"/>
    <x v="1"/>
  </r>
  <r>
    <s v="89CMAH2022000041R001520230290405"/>
    <s v="NULL"/>
    <x v="1"/>
  </r>
  <r>
    <s v="89CMAH2022000041R001520230290445"/>
    <s v="NULL"/>
    <x v="1"/>
  </r>
  <r>
    <s v="89CMAH2022000041R001520230290534"/>
    <s v="NULL"/>
    <x v="1"/>
  </r>
  <r>
    <s v="89CMAH2022000041R001520230290670"/>
    <s v="NULL"/>
    <x v="1"/>
  </r>
  <r>
    <s v="89CMAH2022000041R001520230290684"/>
    <s v="NULL"/>
    <x v="1"/>
  </r>
  <r>
    <s v="89CMAH2022000041R001520230290696"/>
    <s v="NULL"/>
    <x v="1"/>
  </r>
  <r>
    <s v="89CMAH2022000041R001520230290757"/>
    <s v="NULL"/>
    <x v="1"/>
  </r>
  <r>
    <s v="89CMAH2022000041R001520230290792"/>
    <s v="NULL"/>
    <x v="1"/>
  </r>
  <r>
    <s v="89CMAH2022000041R001520230290822"/>
    <s v="NULL"/>
    <x v="1"/>
  </r>
  <r>
    <s v="89CMAH2022000041R001520230290847"/>
    <s v="NULL"/>
    <x v="1"/>
  </r>
  <r>
    <s v="SNCN00000052"/>
    <s v="NULL"/>
    <x v="0"/>
  </r>
  <r>
    <s v="SNCN00000059"/>
    <s v="NULL"/>
    <x v="0"/>
  </r>
  <r>
    <s v="SNCN00000174"/>
    <s v="NULL"/>
    <x v="0"/>
  </r>
  <r>
    <s v="SNCN00000352"/>
    <s v="NULL"/>
    <x v="0"/>
  </r>
  <r>
    <s v="SNCN00000414"/>
    <s v="NULL"/>
    <x v="0"/>
  </r>
  <r>
    <s v="SNCN00000614"/>
    <s v="NULL"/>
    <x v="0"/>
  </r>
  <r>
    <s v="SNCN00000927"/>
    <s v="NULL"/>
    <x v="0"/>
  </r>
  <r>
    <s v="89CMAH2022000041R001520230085463"/>
    <s v="NULL"/>
    <x v="1"/>
  </r>
  <r>
    <s v="89CMAH2022000041R001520230085867"/>
    <s v="NULL"/>
    <x v="1"/>
  </r>
  <r>
    <s v="89CMAH2022000041R001520230085896"/>
    <s v="NULL"/>
    <x v="1"/>
  </r>
  <r>
    <s v="89CMAH2022000041R001520230086007"/>
    <s v="NULL"/>
    <x v="1"/>
  </r>
  <r>
    <s v="89CMAH2022000041R001520230144562"/>
    <s v="NULL"/>
    <x v="1"/>
  </r>
  <r>
    <s v="89CMAH2022000041R001520230145025"/>
    <s v="NULL"/>
    <x v="1"/>
  </r>
  <r>
    <s v="89CMAH2022000041R001520230177967"/>
    <s v="NULL"/>
    <x v="1"/>
  </r>
  <r>
    <s v="89CMAH2022000041R001520230178005"/>
    <s v="NULL"/>
    <x v="1"/>
  </r>
  <r>
    <s v="89CMAH2022000041R001520230178181"/>
    <s v="NULL"/>
    <x v="1"/>
  </r>
  <r>
    <s v="89CMAH2022000041R001520230178592"/>
    <s v="NULL"/>
    <x v="1"/>
  </r>
  <r>
    <s v="89CMAH2022000041R001520230234091"/>
    <s v="NULL"/>
    <x v="1"/>
  </r>
  <r>
    <s v="89CMAH2022000041R001520230234099"/>
    <s v="NULL"/>
    <x v="1"/>
  </r>
  <r>
    <s v="89CMAH2022000041R001520230234201"/>
    <s v="NULL"/>
    <x v="1"/>
  </r>
  <r>
    <s v="89CMAH2022000041R001520230234380"/>
    <s v="NULL"/>
    <x v="1"/>
  </r>
  <r>
    <s v="89CMAH2022000041R001520230234460"/>
    <s v="NULL"/>
    <x v="1"/>
  </r>
  <r>
    <s v="89CMAH2022000041R001520230234539"/>
    <s v="NULL"/>
    <x v="1"/>
  </r>
  <r>
    <s v="89CMAH2022000041R001520230289352"/>
    <s v="NULL"/>
    <x v="1"/>
  </r>
  <r>
    <s v="89CMAH2022000041R001520230289362"/>
    <s v="NULL"/>
    <x v="1"/>
  </r>
  <r>
    <s v="89CMAH2022000041R001520230289488"/>
    <s v="NULL"/>
    <x v="1"/>
  </r>
  <r>
    <s v="89CMAH2022000041R001520230289514"/>
    <s v="NULL"/>
    <x v="1"/>
  </r>
  <r>
    <s v="89CMAH2022000041R001520230289573"/>
    <s v="NULL"/>
    <x v="1"/>
  </r>
  <r>
    <s v="89CMAH2022000041R001520230289579"/>
    <s v="NULL"/>
    <x v="1"/>
  </r>
  <r>
    <s v="89CMAH2022000041R001520230289594"/>
    <s v="NULL"/>
    <x v="1"/>
  </r>
  <r>
    <s v="89CMAH2022000041R001520230289611"/>
    <s v="NULL"/>
    <x v="1"/>
  </r>
  <r>
    <s v="89CMAH2022000041R001520230289612"/>
    <s v="NULL"/>
    <x v="1"/>
  </r>
  <r>
    <s v="89CMAH2022000041R001520230289630"/>
    <s v="NULL"/>
    <x v="1"/>
  </r>
  <r>
    <s v="89CMAH2022000041R001520230289640"/>
    <s v="NULL"/>
    <x v="1"/>
  </r>
  <r>
    <s v="89CMAH2022000041R001520230289729"/>
    <s v="NULL"/>
    <x v="1"/>
  </r>
  <r>
    <s v="89CMAH2022000041R001520230289792"/>
    <s v="NULL"/>
    <x v="1"/>
  </r>
  <r>
    <s v="89CMAH2022000041R001520230289793"/>
    <s v="NULL"/>
    <x v="1"/>
  </r>
  <r>
    <s v="89CMAH2022000041R001520230289813"/>
    <s v="NULL"/>
    <x v="1"/>
  </r>
  <r>
    <s v="89CMAH2022000041R001520230289878"/>
    <s v="NULL"/>
    <x v="1"/>
  </r>
  <r>
    <s v="89CMAH2022000041R001520230289945"/>
    <s v="NULL"/>
    <x v="1"/>
  </r>
  <r>
    <s v="89CMAH2022000041R001520230289947"/>
    <s v="NULL"/>
    <x v="1"/>
  </r>
  <r>
    <s v="89CMAH2022000041R001520230289962"/>
    <s v="NULL"/>
    <x v="1"/>
  </r>
  <r>
    <s v="89CMAH2022000041R001520230289972"/>
    <s v="NULL"/>
    <x v="1"/>
  </r>
  <r>
    <s v="89CMAH2022000041R001520230290020"/>
    <s v="NULL"/>
    <x v="1"/>
  </r>
  <r>
    <s v="89CMAH2022000041R001520230290082"/>
    <s v="NULL"/>
    <x v="1"/>
  </r>
  <r>
    <s v="89CMAH2022000041R001520230290109"/>
    <s v="NULL"/>
    <x v="1"/>
  </r>
  <r>
    <s v="89CMAH2022000041R001520230290159"/>
    <s v="NULL"/>
    <x v="1"/>
  </r>
  <r>
    <s v="89CMAH2022000041R001520230290173"/>
    <s v="NULL"/>
    <x v="1"/>
  </r>
  <r>
    <s v="89CMAH2022000041R001520230290206"/>
    <s v="NULL"/>
    <x v="1"/>
  </r>
  <r>
    <s v="89CMAH2022000041R001520230290220"/>
    <s v="NULL"/>
    <x v="1"/>
  </r>
  <r>
    <s v="89CMAH2022000041R001520230290274"/>
    <s v="NULL"/>
    <x v="1"/>
  </r>
  <r>
    <s v="89CMAH2022000041R001520230290278"/>
    <s v="NULL"/>
    <x v="1"/>
  </r>
  <r>
    <s v="89CMAH2022000041R001520230290292"/>
    <s v="NULL"/>
    <x v="1"/>
  </r>
  <r>
    <s v="89CMAH2022000041R001520230290309"/>
    <s v="NULL"/>
    <x v="1"/>
  </r>
  <r>
    <s v="89CMAH2022000041R001520230290427"/>
    <s v="NULL"/>
    <x v="1"/>
  </r>
  <r>
    <s v="89CMAH2022000041R001520230290439"/>
    <s v="NULL"/>
    <x v="1"/>
  </r>
  <r>
    <s v="89CMAH2022000041R001520230290499"/>
    <s v="NULL"/>
    <x v="1"/>
  </r>
  <r>
    <s v="89CMAH2022000041R001520230290572"/>
    <s v="NULL"/>
    <x v="1"/>
  </r>
  <r>
    <s v="89CMAH2022000041R001520230290643"/>
    <s v="NULL"/>
    <x v="1"/>
  </r>
  <r>
    <s v="89CMAH2022000041R001520230290758"/>
    <s v="NULL"/>
    <x v="1"/>
  </r>
  <r>
    <s v="89CMAH2022000041R001520230290917"/>
    <s v="NULL"/>
    <x v="1"/>
  </r>
  <r>
    <s v="SNCN00000092"/>
    <s v="NULL"/>
    <x v="0"/>
  </r>
  <r>
    <s v="SNCN00000240"/>
    <s v="NULL"/>
    <x v="0"/>
  </r>
  <r>
    <s v="SNCN00000392"/>
    <s v="NULL"/>
    <x v="0"/>
  </r>
  <r>
    <s v="SNCN00000620"/>
    <s v="NULL"/>
    <x v="0"/>
  </r>
  <r>
    <s v="SNCN00000626"/>
    <s v="NULL"/>
    <x v="0"/>
  </r>
  <r>
    <s v="SNCN00000877"/>
    <s v="NULL"/>
    <x v="0"/>
  </r>
  <r>
    <s v="SNCN00000885"/>
    <s v="NULL"/>
    <x v="0"/>
  </r>
  <r>
    <s v="SNCN00000955"/>
    <s v="NULL"/>
    <x v="0"/>
  </r>
  <r>
    <s v="SNCN00000958"/>
    <s v="NULL"/>
    <x v="0"/>
  </r>
  <r>
    <s v="89CMAH2022000041R001520230085786"/>
    <s v="NULL"/>
    <x v="1"/>
  </r>
  <r>
    <s v="89CMAH2022000041R001520230085947"/>
    <s v="NULL"/>
    <x v="1"/>
  </r>
  <r>
    <s v="89CMAH2022000041R001520230086173"/>
    <s v="NULL"/>
    <x v="1"/>
  </r>
  <r>
    <s v="89CMAH2022000041R001520230144909"/>
    <s v="NULL"/>
    <x v="1"/>
  </r>
  <r>
    <s v="89CMAH2022000041R001520230145037"/>
    <s v="NULL"/>
    <x v="1"/>
  </r>
  <r>
    <s v="89CMAH2022000041R001520230177951"/>
    <s v="NULL"/>
    <x v="1"/>
  </r>
  <r>
    <s v="89CMAH2022000041R001520230178003"/>
    <s v="NULL"/>
    <x v="1"/>
  </r>
  <r>
    <s v="89CMAH2022000041R001520230178092"/>
    <s v="NULL"/>
    <x v="1"/>
  </r>
  <r>
    <s v="89CMAH2022000041R001520230178246"/>
    <s v="NULL"/>
    <x v="1"/>
  </r>
  <r>
    <s v="89CMAH2022000041R001520230178296"/>
    <s v="NULL"/>
    <x v="1"/>
  </r>
  <r>
    <s v="89CMAH2022000041R001520230178641"/>
    <s v="NULL"/>
    <x v="1"/>
  </r>
  <r>
    <s v="89CMAH2022000041R001520230233985"/>
    <s v="NULL"/>
    <x v="1"/>
  </r>
  <r>
    <s v="89CMAH2022000041R001520230234139"/>
    <s v="NULL"/>
    <x v="1"/>
  </r>
  <r>
    <s v="89CMAH2022000041R001520230234153"/>
    <s v="NULL"/>
    <x v="1"/>
  </r>
  <r>
    <s v="89CMAH2022000041R001520230234246"/>
    <s v="NULL"/>
    <x v="1"/>
  </r>
  <r>
    <s v="89CMAH2022000041R001520230234275"/>
    <s v="NULL"/>
    <x v="1"/>
  </r>
  <r>
    <s v="89CMAH2022000041R001520230234357"/>
    <s v="NULL"/>
    <x v="1"/>
  </r>
  <r>
    <s v="89CMAH2022000041R001520230234368"/>
    <s v="NULL"/>
    <x v="1"/>
  </r>
  <r>
    <s v="89CMAH2022000041R001520230234458"/>
    <s v="NULL"/>
    <x v="1"/>
  </r>
  <r>
    <s v="89CMAH2022000041R001520230234634"/>
    <s v="NULL"/>
    <x v="1"/>
  </r>
  <r>
    <s v="89CMAH2022000041R001520230234731"/>
    <s v="NULL"/>
    <x v="1"/>
  </r>
  <r>
    <s v="89CMAH2022000041R001520230289277"/>
    <s v="NULL"/>
    <x v="1"/>
  </r>
  <r>
    <s v="89CMAH2022000041R001520230289295"/>
    <s v="NULL"/>
    <x v="1"/>
  </r>
  <r>
    <s v="89CMAH2022000041R001520230289402"/>
    <s v="NULL"/>
    <x v="1"/>
  </r>
  <r>
    <s v="89CMAH2022000041R001520230289412"/>
    <s v="NULL"/>
    <x v="1"/>
  </r>
  <r>
    <s v="89CMAH2022000041R001520230289422"/>
    <s v="NULL"/>
    <x v="1"/>
  </r>
  <r>
    <s v="89CMAH2022000041R001520230289446"/>
    <s v="NULL"/>
    <x v="1"/>
  </r>
  <r>
    <s v="89CMAH2022000041R001520230289477"/>
    <s v="NULL"/>
    <x v="1"/>
  </r>
  <r>
    <s v="89CMAH2022000041R001520230289540"/>
    <s v="NULL"/>
    <x v="1"/>
  </r>
  <r>
    <s v="89CMAH2022000041R001520230289578"/>
    <s v="NULL"/>
    <x v="1"/>
  </r>
  <r>
    <s v="89CMAH2022000041R001520230289720"/>
    <s v="NULL"/>
    <x v="1"/>
  </r>
  <r>
    <s v="89CMAH2022000041R001520230289912"/>
    <s v="NULL"/>
    <x v="1"/>
  </r>
  <r>
    <s v="89CMAH2022000041R001520230289933"/>
    <s v="NULL"/>
    <x v="1"/>
  </r>
  <r>
    <s v="89CMAH2022000041R001520230289983"/>
    <s v="NULL"/>
    <x v="1"/>
  </r>
  <r>
    <s v="89CMAH2022000041R001520230290035"/>
    <s v="NULL"/>
    <x v="1"/>
  </r>
  <r>
    <s v="89CMAH2022000041R001520230290106"/>
    <s v="NULL"/>
    <x v="1"/>
  </r>
  <r>
    <s v="89CMAH2022000041R001520230290115"/>
    <s v="NULL"/>
    <x v="1"/>
  </r>
  <r>
    <s v="89CMAH2022000041R001520230290150"/>
    <s v="NULL"/>
    <x v="1"/>
  </r>
  <r>
    <s v="89CMAH2022000041R001520230290215"/>
    <s v="NULL"/>
    <x v="1"/>
  </r>
  <r>
    <s v="89CMAH2022000041R001520230290272"/>
    <s v="NULL"/>
    <x v="1"/>
  </r>
  <r>
    <s v="89CMAH2022000041R001520230290357"/>
    <s v="NULL"/>
    <x v="1"/>
  </r>
  <r>
    <s v="89CMAH2022000041R001520230290374"/>
    <s v="NULL"/>
    <x v="1"/>
  </r>
  <r>
    <s v="89CMAH2022000041R001520230290553"/>
    <s v="NULL"/>
    <x v="1"/>
  </r>
  <r>
    <s v="89CMAH2022000041R001520230290592"/>
    <s v="NULL"/>
    <x v="1"/>
  </r>
  <r>
    <s v="89CMAH2022000041R001520230290645"/>
    <s v="NULL"/>
    <x v="1"/>
  </r>
  <r>
    <s v="89CMAH2022000041R001520230290658"/>
    <s v="NULL"/>
    <x v="1"/>
  </r>
  <r>
    <s v="89CMAH2022000041R001520230290733"/>
    <s v="NULL"/>
    <x v="1"/>
  </r>
  <r>
    <s v="89CMAH2022000041R001520230290878"/>
    <s v="NULL"/>
    <x v="1"/>
  </r>
  <r>
    <s v="89CMAH2022000041R001520230290894"/>
    <s v="NULL"/>
    <x v="1"/>
  </r>
  <r>
    <s v="SNCN00000185"/>
    <s v="NULL"/>
    <x v="0"/>
  </r>
  <r>
    <s v="SNCN00000278"/>
    <s v="NULL"/>
    <x v="0"/>
  </r>
  <r>
    <s v="SNCN00000327"/>
    <s v="NULL"/>
    <x v="0"/>
  </r>
  <r>
    <s v="SNCN00000435"/>
    <s v="NULL"/>
    <x v="0"/>
  </r>
  <r>
    <s v="SNCN00000727"/>
    <s v="NULL"/>
    <x v="0"/>
  </r>
  <r>
    <s v="SNCN00000209"/>
    <s v="NULL"/>
    <x v="0"/>
  </r>
  <r>
    <s v="SNCN00000428"/>
    <s v="NULL"/>
    <x v="0"/>
  </r>
  <r>
    <s v="SNCN00000668"/>
    <s v="NULL"/>
    <x v="0"/>
  </r>
  <r>
    <s v="SNCN00000629"/>
    <s v="NULL"/>
    <x v="0"/>
  </r>
  <r>
    <s v="SNCN00000520"/>
    <s v="NULL"/>
    <x v="0"/>
  </r>
  <r>
    <s v="31000010884341149000000000000000"/>
    <s v="NULL"/>
    <x v="2"/>
  </r>
  <r>
    <s v="31000310568959090069674420100000"/>
    <s v="NULL"/>
    <x v="2"/>
  </r>
  <r>
    <s v="31000310473499090069673790100000"/>
    <s v="NULL"/>
    <x v="2"/>
  </r>
  <r>
    <s v="31000310454895090069674350100000"/>
    <s v="NULL"/>
    <x v="2"/>
  </r>
  <r>
    <s v="31CMAH0000000000R262304820011790"/>
    <s v="NULL"/>
    <x v="1"/>
  </r>
  <r>
    <s v="31CMAH0000000000R262304880020300"/>
    <s v="NULL"/>
    <x v="1"/>
  </r>
  <r>
    <s v="31CMAH0000000000R962304820211210"/>
    <s v="NULL"/>
    <x v="1"/>
  </r>
  <r>
    <s v="31CMAH0000000000R962304820311040"/>
    <s v="NULL"/>
    <x v="1"/>
  </r>
  <r>
    <s v="31CMAH0000000000R962304830389610"/>
    <s v="NULL"/>
    <x v="1"/>
  </r>
  <r>
    <s v="31CMAH0000000000R962304880395500"/>
    <s v="NULL"/>
    <x v="1"/>
  </r>
  <r>
    <s v="31CMAHenergyS1xS2OVER2ENFGDRST0A"/>
    <s v="NULL"/>
    <x v="1"/>
  </r>
  <r>
    <s v="82000000000121090000450000416648"/>
    <s v="NULL"/>
    <x v="3"/>
  </r>
  <r>
    <s v="82000000000121529000420000424412"/>
    <s v="NULL"/>
    <x v="3"/>
  </r>
  <r>
    <s v="82000000000136141000450000506204"/>
    <s v="NULL"/>
    <x v="3"/>
  </r>
  <r>
    <s v="31CMAH0000000000R362304820801370"/>
    <s v="NULL"/>
    <x v="1"/>
  </r>
  <r>
    <s v="31CMAH0000000000R362304820812140"/>
    <s v="NULL"/>
    <x v="1"/>
  </r>
  <r>
    <s v="31CMAH0000000000R962304820131600"/>
    <s v="NULL"/>
    <x v="1"/>
  </r>
  <r>
    <s v="31CMAH0000000000R962304820246870"/>
    <s v="NULL"/>
    <x v="1"/>
  </r>
  <r>
    <s v="31CMAH4758980902R000000000000000"/>
    <s v="NULL"/>
    <x v="1"/>
  </r>
  <r>
    <s v="31CMAHenergyS1xS2OVER2ENFSMERT0F"/>
    <s v="NULL"/>
    <x v="1"/>
  </r>
  <r>
    <s v="31CMAHenergyS1xS2OVER2ENFSMERT0H"/>
    <s v="NULL"/>
    <x v="1"/>
  </r>
  <r>
    <s v="82000000000135441000420000424268"/>
    <s v="NULL"/>
    <x v="3"/>
  </r>
  <r>
    <s v="82000000007001518000200000643769"/>
    <s v="NULL"/>
    <x v="3"/>
  </r>
  <r>
    <s v="82000000007010505000200000677308"/>
    <s v="NULL"/>
    <x v="3"/>
  </r>
  <r>
    <s v="82000000007012392000200000680556"/>
    <s v="NULL"/>
    <x v="3"/>
  </r>
  <r>
    <s v="82000000007018455000200000636451"/>
    <s v="NULL"/>
    <x v="3"/>
  </r>
  <r>
    <s v="82000000007003955000200000646814"/>
    <s v="NULL"/>
    <x v="3"/>
  </r>
  <r>
    <s v="82000000007013273000200000690046"/>
    <s v="NULL"/>
    <x v="3"/>
  </r>
  <r>
    <s v="89CMAH2022000041R001520230039969"/>
    <s v="NULL"/>
    <x v="1"/>
  </r>
  <r>
    <s v="89CMAH2022000041R001520230144544"/>
    <s v="NULL"/>
    <x v="1"/>
  </r>
  <r>
    <s v="89CMAH2022000041R001520230144638"/>
    <s v="NULL"/>
    <x v="1"/>
  </r>
  <r>
    <s v="89CMAH2022000041R001520230144705"/>
    <s v="NULL"/>
    <x v="1"/>
  </r>
  <r>
    <s v="89CMAH2022000041R001520230144915"/>
    <s v="NULL"/>
    <x v="1"/>
  </r>
  <r>
    <s v="89CMAH2022000041R001520230177909"/>
    <s v="NULL"/>
    <x v="1"/>
  </r>
  <r>
    <s v="89CMAH2022000041R001520230178582"/>
    <s v="NULL"/>
    <x v="1"/>
  </r>
  <r>
    <s v="89CMAH2022000041R001520230234019"/>
    <s v="NULL"/>
    <x v="1"/>
  </r>
  <r>
    <s v="89CMAH2022000041R001520230234127"/>
    <s v="NULL"/>
    <x v="1"/>
  </r>
  <r>
    <s v="89CMAH2022000041R001520230234143"/>
    <s v="NULL"/>
    <x v="1"/>
  </r>
  <r>
    <s v="89CMAH2022000041R001520230234241"/>
    <s v="NULL"/>
    <x v="1"/>
  </r>
  <r>
    <s v="89CMAH2022000041R001520230234320"/>
    <s v="NULL"/>
    <x v="1"/>
  </r>
  <r>
    <s v="89CMAH2022000041R001520230234344"/>
    <s v="NULL"/>
    <x v="1"/>
  </r>
  <r>
    <s v="89CMAH2022000041R001520230234363"/>
    <s v="NULL"/>
    <x v="1"/>
  </r>
  <r>
    <s v="89CMAH2022000041R001520230234369"/>
    <s v="NULL"/>
    <x v="1"/>
  </r>
  <r>
    <s v="89CMAH2022000041R001520230234516"/>
    <s v="NULL"/>
    <x v="1"/>
  </r>
  <r>
    <s v="89CMAH2022000041R001520230289276"/>
    <s v="NULL"/>
    <x v="1"/>
  </r>
  <r>
    <s v="89CMAH2022000041R001520230289397"/>
    <s v="NULL"/>
    <x v="1"/>
  </r>
  <r>
    <s v="89CMAH2022000041R001520230289457"/>
    <s v="NULL"/>
    <x v="1"/>
  </r>
  <r>
    <s v="89CMAH2022000041R001520230289458"/>
    <s v="NULL"/>
    <x v="1"/>
  </r>
  <r>
    <s v="89CMAH2022000041R001520230289472"/>
    <s v="NULL"/>
    <x v="1"/>
  </r>
  <r>
    <s v="89CMAH2022000041R001520230289491"/>
    <s v="NULL"/>
    <x v="1"/>
  </r>
  <r>
    <s v="89CMAH2022000041R001520230289536"/>
    <s v="NULL"/>
    <x v="1"/>
  </r>
  <r>
    <s v="89CMAH2022000041R001520230289550"/>
    <s v="NULL"/>
    <x v="1"/>
  </r>
  <r>
    <s v="89CMAH2022000041R001520230289691"/>
    <s v="NULL"/>
    <x v="1"/>
  </r>
  <r>
    <s v="89CMAH2022000041R001520230289732"/>
    <s v="NULL"/>
    <x v="1"/>
  </r>
  <r>
    <s v="89CMAH2022000041R001520230289751"/>
    <s v="NULL"/>
    <x v="1"/>
  </r>
  <r>
    <s v="89CMAH2022000041R001520230289782"/>
    <s v="NULL"/>
    <x v="1"/>
  </r>
  <r>
    <s v="89CMAH2022000041R001520230289785"/>
    <s v="NULL"/>
    <x v="1"/>
  </r>
  <r>
    <s v="89CMAH2022000041R001520230289918"/>
    <s v="NULL"/>
    <x v="1"/>
  </r>
  <r>
    <s v="89CMAH2022000041R001520230289937"/>
    <s v="NULL"/>
    <x v="1"/>
  </r>
  <r>
    <s v="89CMAH2022000041R001520230289951"/>
    <s v="NULL"/>
    <x v="1"/>
  </r>
  <r>
    <s v="89CMAH2022000041R001520230289966"/>
    <s v="NULL"/>
    <x v="1"/>
  </r>
  <r>
    <s v="89CMAH2022000041R001520230289984"/>
    <s v="NULL"/>
    <x v="1"/>
  </r>
  <r>
    <s v="89CMAH2022000041R001520230290024"/>
    <s v="NULL"/>
    <x v="1"/>
  </r>
  <r>
    <s v="89CMAH2022000041R001520230290259"/>
    <s v="NULL"/>
    <x v="1"/>
  </r>
  <r>
    <s v="89CMAH2022000041R001520230290281"/>
    <s v="NULL"/>
    <x v="1"/>
  </r>
  <r>
    <s v="89CMAH2022000041R001520230290327"/>
    <s v="NULL"/>
    <x v="1"/>
  </r>
  <r>
    <s v="89CMAH2022000041R001520230290342"/>
    <s v="NULL"/>
    <x v="1"/>
  </r>
  <r>
    <s v="89CMAH2022000041R001520230290368"/>
    <s v="NULL"/>
    <x v="1"/>
  </r>
  <r>
    <s v="89CMAH2022000041R001520230290376"/>
    <s v="NULL"/>
    <x v="1"/>
  </r>
  <r>
    <s v="89CMAH2022000041R001520230290386"/>
    <s v="NULL"/>
    <x v="1"/>
  </r>
  <r>
    <s v="89CMAH2022000041R001520230290412"/>
    <s v="NULL"/>
    <x v="1"/>
  </r>
  <r>
    <s v="89CMAH2022000041R001520230290422"/>
    <s v="NULL"/>
    <x v="1"/>
  </r>
  <r>
    <s v="89CMAH2022000041R001520230290510"/>
    <s v="NULL"/>
    <x v="1"/>
  </r>
  <r>
    <s v="89CMAH2022000041R001520230290523"/>
    <s v="NULL"/>
    <x v="1"/>
  </r>
  <r>
    <s v="89CMAH2022000041R001520230290597"/>
    <s v="NULL"/>
    <x v="1"/>
  </r>
  <r>
    <s v="89CMAH2022000041R001520230290606"/>
    <s v="NULL"/>
    <x v="1"/>
  </r>
  <r>
    <s v="89CMAH2022000041R001520230290640"/>
    <s v="NULL"/>
    <x v="1"/>
  </r>
  <r>
    <s v="89CMAH2022000041R001520230290642"/>
    <s v="NULL"/>
    <x v="1"/>
  </r>
  <r>
    <s v="89CMAH2022000041R001520230290659"/>
    <s v="NULL"/>
    <x v="1"/>
  </r>
  <r>
    <s v="89CMAH2022000041R001520230290749"/>
    <s v="NULL"/>
    <x v="1"/>
  </r>
  <r>
    <s v="89CMAH2022000041R001520230290877"/>
    <s v="NULL"/>
    <x v="1"/>
  </r>
  <r>
    <s v="89CMAH2022000041R001520230290885"/>
    <s v="NULL"/>
    <x v="1"/>
  </r>
  <r>
    <s v="SNCN00000026"/>
    <s v="NULL"/>
    <x v="0"/>
  </r>
  <r>
    <s v="SNCN00000110"/>
    <s v="NULL"/>
    <x v="0"/>
  </r>
  <r>
    <s v="SNCN00000198"/>
    <s v="NULL"/>
    <x v="0"/>
  </r>
  <r>
    <s v="SNCN00000274"/>
    <s v="NULL"/>
    <x v="0"/>
  </r>
  <r>
    <s v="SNCN00000304"/>
    <s v="NULL"/>
    <x v="0"/>
  </r>
  <r>
    <s v="SNCN00000493"/>
    <s v="NULL"/>
    <x v="0"/>
  </r>
  <r>
    <s v="SNCN00000525"/>
    <s v="NULL"/>
    <x v="0"/>
  </r>
  <r>
    <s v="SNCN00000550"/>
    <s v="NULL"/>
    <x v="0"/>
  </r>
  <r>
    <s v="SNCN00000593"/>
    <s v="NULL"/>
    <x v="0"/>
  </r>
  <r>
    <s v="82000020230000046001520230268987"/>
    <s v="NULL"/>
    <x v="3"/>
  </r>
  <r>
    <s v="89CMAH2022000041R001520230177925"/>
    <s v="NULL"/>
    <x v="1"/>
  </r>
  <r>
    <s v="89CMAH2022000041R001520230177984"/>
    <s v="NULL"/>
    <x v="1"/>
  </r>
  <r>
    <s v="89CMAH2022000041R001520230178062"/>
    <s v="NULL"/>
    <x v="1"/>
  </r>
  <r>
    <s v="89CMAH2022000041R001520230178105"/>
    <s v="NULL"/>
    <x v="1"/>
  </r>
  <r>
    <s v="89CMAH2022000041R001520230178353"/>
    <s v="NULL"/>
    <x v="1"/>
  </r>
  <r>
    <s v="89CMAH2022000041R001520230234037"/>
    <s v="NULL"/>
    <x v="1"/>
  </r>
  <r>
    <s v="89CMAH2022000041R001520230234053"/>
    <s v="NULL"/>
    <x v="1"/>
  </r>
  <r>
    <s v="89CMAH2022000041R001520230234065"/>
    <s v="NULL"/>
    <x v="1"/>
  </r>
  <r>
    <s v="89CMAH2022000041R001520230234165"/>
    <s v="NULL"/>
    <x v="1"/>
  </r>
  <r>
    <s v="89CMAH2022000041R001520230234173"/>
    <s v="NULL"/>
    <x v="1"/>
  </r>
  <r>
    <s v="89CMAH2022000041R001520230234256"/>
    <s v="NULL"/>
    <x v="1"/>
  </r>
  <r>
    <s v="89CMAH2022000041R001520230234263"/>
    <s v="NULL"/>
    <x v="1"/>
  </r>
  <r>
    <s v="89CMAH2022000041R001520230234284"/>
    <s v="NULL"/>
    <x v="1"/>
  </r>
  <r>
    <s v="89CMAH2022000041R001520230234294"/>
    <s v="NULL"/>
    <x v="1"/>
  </r>
  <r>
    <s v="89CMAH2022000041R001520230234391"/>
    <s v="NULL"/>
    <x v="1"/>
  </r>
  <r>
    <s v="89CMAH2022000041R001520230234596"/>
    <s v="NULL"/>
    <x v="1"/>
  </r>
  <r>
    <s v="89CMAH2022000041R001520230234661"/>
    <s v="NULL"/>
    <x v="1"/>
  </r>
  <r>
    <s v="89CMAH2022000041R001520230289296"/>
    <s v="NULL"/>
    <x v="1"/>
  </r>
  <r>
    <s v="89CMAH2022000041R001520230289331"/>
    <s v="NULL"/>
    <x v="1"/>
  </r>
  <r>
    <s v="89CMAH2022000041R001520230289338"/>
    <s v="NULL"/>
    <x v="1"/>
  </r>
  <r>
    <s v="89CMAH2022000041R001520230289443"/>
    <s v="NULL"/>
    <x v="1"/>
  </r>
  <r>
    <s v="89CMAH2022000041R001520230289511"/>
    <s v="NULL"/>
    <x v="1"/>
  </r>
  <r>
    <s v="89CMAH2022000041R001520230289599"/>
    <s v="NULL"/>
    <x v="1"/>
  </r>
  <r>
    <s v="89CMAH2022000041R001520230289606"/>
    <s v="NULL"/>
    <x v="1"/>
  </r>
  <r>
    <s v="89CMAH2022000041R001520230289683"/>
    <s v="NULL"/>
    <x v="1"/>
  </r>
  <r>
    <s v="89CMAH2022000041R001520230289717"/>
    <s v="NULL"/>
    <x v="1"/>
  </r>
  <r>
    <s v="89CMAH2022000041R001520230289775"/>
    <s v="NULL"/>
    <x v="1"/>
  </r>
  <r>
    <s v="89CMAH2022000041R001520230289858"/>
    <s v="NULL"/>
    <x v="1"/>
  </r>
  <r>
    <s v="89CMAH2022000041R001520230289859"/>
    <s v="NULL"/>
    <x v="1"/>
  </r>
  <r>
    <s v="89CMAH2022000041R001520230290123"/>
    <s v="NULL"/>
    <x v="1"/>
  </r>
  <r>
    <s v="89CMAH2022000041R001520230290256"/>
    <s v="NULL"/>
    <x v="1"/>
  </r>
  <r>
    <s v="89CMAH2022000041R001520230290275"/>
    <s v="NULL"/>
    <x v="1"/>
  </r>
  <r>
    <s v="89CMAH2022000041R001520230290312"/>
    <s v="NULL"/>
    <x v="1"/>
  </r>
  <r>
    <s v="89CMAH2022000041R001520230290331"/>
    <s v="NULL"/>
    <x v="1"/>
  </r>
  <r>
    <s v="89CMAH2022000041R001520230290475"/>
    <s v="NULL"/>
    <x v="1"/>
  </r>
  <r>
    <s v="89CMAH2022000041R001520230290490"/>
    <s v="NULL"/>
    <x v="1"/>
  </r>
  <r>
    <s v="89CMAH2022000041R001520230290503"/>
    <s v="NULL"/>
    <x v="1"/>
  </r>
  <r>
    <s v="89CMAH2022000041R001520230290512"/>
    <s v="NULL"/>
    <x v="1"/>
  </r>
  <r>
    <s v="89CMAH2022000041R001520230290517"/>
    <s v="NULL"/>
    <x v="1"/>
  </r>
  <r>
    <s v="89CMAH2022000041R001520230290571"/>
    <s v="NULL"/>
    <x v="1"/>
  </r>
  <r>
    <s v="89CMAH2022000041R001520230290678"/>
    <s v="NULL"/>
    <x v="1"/>
  </r>
  <r>
    <s v="89CMAH2022000041R001520230290760"/>
    <s v="NULL"/>
    <x v="1"/>
  </r>
  <r>
    <s v="89CMAH2022000041R001520230290770"/>
    <s v="NULL"/>
    <x v="1"/>
  </r>
  <r>
    <s v="89CMAH2022000041R001520230290817"/>
    <s v="NULL"/>
    <x v="1"/>
  </r>
  <r>
    <s v="89CMAH2022000041R001520230290823"/>
    <s v="NULL"/>
    <x v="1"/>
  </r>
  <r>
    <s v="89CMAH2022000041R001520230290861"/>
    <s v="NULL"/>
    <x v="1"/>
  </r>
  <r>
    <s v="89CMAH2022000041R001520230290863"/>
    <s v="NULL"/>
    <x v="1"/>
  </r>
  <r>
    <s v="SNCN00000072"/>
    <s v="NULL"/>
    <x v="0"/>
  </r>
  <r>
    <s v="SNCN00000074"/>
    <s v="NULL"/>
    <x v="0"/>
  </r>
  <r>
    <s v="SNCN00000128"/>
    <s v="NULL"/>
    <x v="0"/>
  </r>
  <r>
    <s v="SNCN00000279"/>
    <s v="NULL"/>
    <x v="0"/>
  </r>
  <r>
    <s v="SNCN00000316"/>
    <s v="NULL"/>
    <x v="0"/>
  </r>
  <r>
    <s v="SNCN00000349"/>
    <s v="NULL"/>
    <x v="0"/>
  </r>
  <r>
    <s v="SNCN00000390"/>
    <s v="NULL"/>
    <x v="0"/>
  </r>
  <r>
    <s v="SNCN00000445"/>
    <s v="NULL"/>
    <x v="0"/>
  </r>
  <r>
    <s v="SNCN00000482"/>
    <s v="NULL"/>
    <x v="0"/>
  </r>
  <r>
    <s v="SNCN00000498"/>
    <s v="NULL"/>
    <x v="0"/>
  </r>
  <r>
    <s v="SNCN00000541"/>
    <s v="NULL"/>
    <x v="0"/>
  </r>
  <r>
    <s v="SNCN00000932"/>
    <s v="NULL"/>
    <x v="0"/>
  </r>
  <r>
    <s v="SNCN00000959"/>
    <s v="NULL"/>
    <x v="0"/>
  </r>
  <r>
    <s v="SNCN00000974"/>
    <s v="NULL"/>
    <x v="0"/>
  </r>
  <r>
    <s v="31CMAH0000000000R162304820739370"/>
    <s v="NULL"/>
    <x v="1"/>
  </r>
  <r>
    <s v="31CMAH0000000000R262304820008010"/>
    <s v="NULL"/>
    <x v="1"/>
  </r>
  <r>
    <s v="31CMAH0000000000R599904815307640"/>
    <s v="NULL"/>
    <x v="1"/>
  </r>
  <r>
    <s v="31CMAH0000000000R599904836417420"/>
    <s v="NULL"/>
    <x v="1"/>
  </r>
  <r>
    <s v="31CMAH0000000000R962304820028010"/>
    <s v="NULL"/>
    <x v="1"/>
  </r>
  <r>
    <s v="31CMAH0000000000R962304820382310"/>
    <s v="NULL"/>
    <x v="1"/>
  </r>
  <r>
    <s v="31CMAHprovecono03PROV3ENFSMERT0G"/>
    <s v="NULL"/>
    <x v="1"/>
  </r>
  <r>
    <s v="82000000005036118000510000724633"/>
    <s v="NULL"/>
    <x v="3"/>
  </r>
  <r>
    <s v="82000000007001012000200000643436"/>
    <s v="NULL"/>
    <x v="3"/>
  </r>
  <r>
    <s v="82000000007003410000200000646064"/>
    <s v="NULL"/>
    <x v="3"/>
  </r>
  <r>
    <s v="82000000007007288000200000652705"/>
    <s v="NULL"/>
    <x v="3"/>
  </r>
  <r>
    <s v="82000000007009679000200000668903"/>
    <s v="NULL"/>
    <x v="3"/>
  </r>
  <r>
    <s v="82000000007018457000200000636451"/>
    <s v="NULL"/>
    <x v="3"/>
  </r>
  <r>
    <s v="89CMAH2022000041R001520230086078"/>
    <s v="NULL"/>
    <x v="1"/>
  </r>
  <r>
    <s v="89CMAH2022000041R001520230178059"/>
    <s v="NULL"/>
    <x v="1"/>
  </r>
  <r>
    <s v="89CMAH2022000041R001520230178075"/>
    <s v="NULL"/>
    <x v="1"/>
  </r>
  <r>
    <s v="89CMAH2022000041R001520230178130"/>
    <s v="NULL"/>
    <x v="1"/>
  </r>
  <r>
    <s v="89CMAH2022000041R001520230178247"/>
    <s v="NULL"/>
    <x v="1"/>
  </r>
  <r>
    <s v="89CMAH2022000041R001520230178264"/>
    <s v="NULL"/>
    <x v="1"/>
  </r>
  <r>
    <s v="89CMAH2022000041R001520230178289"/>
    <s v="NULL"/>
    <x v="1"/>
  </r>
  <r>
    <s v="89CMAH2022000041R001520230178617"/>
    <s v="NULL"/>
    <x v="1"/>
  </r>
  <r>
    <s v="89CMAH2022000041R001520230178633"/>
    <s v="NULL"/>
    <x v="1"/>
  </r>
  <r>
    <s v="89CMAH2022000041R001520230233971"/>
    <s v="NULL"/>
    <x v="1"/>
  </r>
  <r>
    <s v="89CMAH2022000041R001520230234020"/>
    <s v="NULL"/>
    <x v="1"/>
  </r>
  <r>
    <s v="89CMAH2022000041R001520230234179"/>
    <s v="NULL"/>
    <x v="1"/>
  </r>
  <r>
    <s v="89CMAH2022000041R001520230234202"/>
    <s v="NULL"/>
    <x v="1"/>
  </r>
  <r>
    <s v="89CMAH2022000041R001520230234287"/>
    <s v="NULL"/>
    <x v="1"/>
  </r>
  <r>
    <s v="89CMAH2022000041R001520230234428"/>
    <s v="NULL"/>
    <x v="1"/>
  </r>
  <r>
    <s v="89CMAH2022000041R001520230234461"/>
    <s v="NULL"/>
    <x v="1"/>
  </r>
  <r>
    <s v="89CMAH2022000041R001520230234499"/>
    <s v="NULL"/>
    <x v="1"/>
  </r>
  <r>
    <s v="89CMAH2022000041R001520230234624"/>
    <s v="NULL"/>
    <x v="1"/>
  </r>
  <r>
    <s v="89CMAH2022000041R001520230234694"/>
    <s v="NULL"/>
    <x v="1"/>
  </r>
  <r>
    <s v="89CMAH2022000041R001520230234747"/>
    <s v="NULL"/>
    <x v="1"/>
  </r>
  <r>
    <s v="89CMAH2022000041R001520230289359"/>
    <s v="NULL"/>
    <x v="1"/>
  </r>
  <r>
    <s v="89CMAH2022000041R001520230289450"/>
    <s v="NULL"/>
    <x v="1"/>
  </r>
  <r>
    <s v="89CMAH2022000041R001520230289462"/>
    <s v="NULL"/>
    <x v="1"/>
  </r>
  <r>
    <s v="89CMAH2022000041R001520230289529"/>
    <s v="NULL"/>
    <x v="1"/>
  </r>
  <r>
    <s v="89CMAH2022000041R001520230289589"/>
    <s v="NULL"/>
    <x v="1"/>
  </r>
  <r>
    <s v="89CMAH2022000041R001520230289650"/>
    <s v="NULL"/>
    <x v="1"/>
  </r>
  <r>
    <s v="89CMAH2022000041R001520230289698"/>
    <s v="NULL"/>
    <x v="1"/>
  </r>
  <r>
    <s v="89CMAH2022000041R001520230289725"/>
    <s v="NULL"/>
    <x v="1"/>
  </r>
  <r>
    <s v="89CMAH2022000041R001520230289745"/>
    <s v="NULL"/>
    <x v="1"/>
  </r>
  <r>
    <s v="89CMAH2022000041R001520230289765"/>
    <s v="NULL"/>
    <x v="1"/>
  </r>
  <r>
    <s v="89CMAH2022000041R001520230289934"/>
    <s v="NULL"/>
    <x v="1"/>
  </r>
  <r>
    <s v="89CMAH2022000041R001520230290182"/>
    <s v="NULL"/>
    <x v="1"/>
  </r>
  <r>
    <s v="89CMAH2022000041R001520230290212"/>
    <s v="NULL"/>
    <x v="1"/>
  </r>
  <r>
    <s v="89CMAH2022000041R001520230290233"/>
    <s v="NULL"/>
    <x v="1"/>
  </r>
  <r>
    <s v="89CMAH2022000041R001520230290241"/>
    <s v="NULL"/>
    <x v="1"/>
  </r>
  <r>
    <s v="89CMAH2022000041R001520230290247"/>
    <s v="NULL"/>
    <x v="1"/>
  </r>
  <r>
    <s v="89CMAH2022000041R001520230290270"/>
    <s v="NULL"/>
    <x v="1"/>
  </r>
  <r>
    <s v="89CMAH2022000041R001520230290580"/>
    <s v="NULL"/>
    <x v="1"/>
  </r>
  <r>
    <s v="89CMAH2022000041R001520230290586"/>
    <s v="NULL"/>
    <x v="1"/>
  </r>
  <r>
    <s v="89CMAH2022000041R001520230290660"/>
    <s v="NULL"/>
    <x v="1"/>
  </r>
  <r>
    <s v="89CMAH2022000041R001520230290672"/>
    <s v="NULL"/>
    <x v="1"/>
  </r>
  <r>
    <s v="89CMAH2022000041R001520230290738"/>
    <s v="NULL"/>
    <x v="1"/>
  </r>
  <r>
    <s v="89CMAH2022000041R001520230290778"/>
    <s v="NULL"/>
    <x v="1"/>
  </r>
  <r>
    <s v="89CMAH2022000041R001520230290884"/>
    <s v="NULL"/>
    <x v="1"/>
  </r>
  <r>
    <s v="SNCN00000048"/>
    <s v="NULL"/>
    <x v="0"/>
  </r>
  <r>
    <s v="SNCN00000133"/>
    <s v="NULL"/>
    <x v="0"/>
  </r>
  <r>
    <s v="SNCN00000286"/>
    <s v="NULL"/>
    <x v="0"/>
  </r>
  <r>
    <s v="SNCN00000476"/>
    <s v="NULL"/>
    <x v="0"/>
  </r>
  <r>
    <s v="SNCN00000496"/>
    <s v="NULL"/>
    <x v="0"/>
  </r>
  <r>
    <s v="SNCN00000398"/>
    <s v="NULL"/>
    <x v="0"/>
  </r>
  <r>
    <s v="31000050265187029000000000000000"/>
    <s v="NULL"/>
    <x v="2"/>
  </r>
  <r>
    <s v="31000302263324096000000000000000"/>
    <s v="NULL"/>
    <x v="2"/>
  </r>
  <r>
    <s v="31000304183512096000000000000000"/>
    <s v="NULL"/>
    <x v="2"/>
  </r>
  <r>
    <s v="31000310520059090069674240100000"/>
    <s v="NULL"/>
    <x v="2"/>
  </r>
  <r>
    <s v="31000310560774090069674360100000"/>
    <s v="NULL"/>
    <x v="2"/>
  </r>
  <r>
    <s v="31000310359953090069674190100000"/>
    <s v="NULL"/>
    <x v="2"/>
  </r>
  <r>
    <s v="31000310563836090069673190100000"/>
    <s v="NULL"/>
    <x v="2"/>
  </r>
  <r>
    <s v="31000010600501149000000000000000"/>
    <s v="NULL"/>
    <x v="2"/>
  </r>
  <r>
    <s v="31000310542046090069674390100000"/>
    <s v="NULL"/>
    <x v="2"/>
  </r>
  <r>
    <s v="31000311650281029116502810290000"/>
    <s v="NULL"/>
    <x v="2"/>
  </r>
  <r>
    <s v="31CMAH0000000000R362304820864440"/>
    <s v="NULL"/>
    <x v="1"/>
  </r>
  <r>
    <s v="31CMAH0000000000R362304820908010"/>
    <s v="NULL"/>
    <x v="1"/>
  </r>
  <r>
    <s v="31CMAH0000000000R962304820229380"/>
    <s v="NULL"/>
    <x v="1"/>
  </r>
  <r>
    <s v="31CMAH0000000000R962304820280090"/>
    <s v="NULL"/>
    <x v="1"/>
  </r>
  <r>
    <s v="31CMAH0000000000R962304820309020"/>
    <s v="NULL"/>
    <x v="1"/>
  </r>
  <r>
    <s v="31CMAH0000000000R962304820340060"/>
    <s v="NULL"/>
    <x v="1"/>
  </r>
  <r>
    <s v="31CMAH0000000000R962304820341340"/>
    <s v="NULL"/>
    <x v="1"/>
  </r>
  <r>
    <s v="31CMAH0000000000R962304820373330"/>
    <s v="NULL"/>
    <x v="1"/>
  </r>
  <r>
    <s v="31CMAHbckstop2023BACK3ENFSMERT0N"/>
    <s v="NULL"/>
    <x v="1"/>
  </r>
  <r>
    <s v="82000000000137315000450000508004"/>
    <s v="NULL"/>
    <x v="3"/>
  </r>
  <r>
    <s v="82000000007013472000200000670097"/>
    <s v="NULL"/>
    <x v="3"/>
  </r>
  <r>
    <s v="82000000007017951000200000761231"/>
    <s v="NULL"/>
    <x v="3"/>
  </r>
  <r>
    <s v="890000201300031371000500C53958I0"/>
    <s v="NULL"/>
    <x v="4"/>
  </r>
  <r>
    <s v="89CMAH2022000041R001520230085467"/>
    <s v="NULL"/>
    <x v="1"/>
  </r>
  <r>
    <s v="89CMAH2022000041R001520230085654"/>
    <s v="NULL"/>
    <x v="1"/>
  </r>
  <r>
    <s v="89CMAH2022000041R001520230144871"/>
    <s v="NULL"/>
    <x v="1"/>
  </r>
  <r>
    <s v="89CMAH2022000041R001520230178540"/>
    <s v="NULL"/>
    <x v="1"/>
  </r>
  <r>
    <s v="89CMAH2022000041R001520230178624"/>
    <s v="NULL"/>
    <x v="1"/>
  </r>
  <r>
    <s v="89CMAH2022000041R001520230234133"/>
    <s v="NULL"/>
    <x v="1"/>
  </r>
  <r>
    <s v="89CMAH2022000041R001520230234158"/>
    <s v="NULL"/>
    <x v="1"/>
  </r>
  <r>
    <s v="89CMAH2022000041R001520230234267"/>
    <s v="NULL"/>
    <x v="1"/>
  </r>
  <r>
    <s v="89CMAH2022000041R001520230234340"/>
    <s v="NULL"/>
    <x v="1"/>
  </r>
  <r>
    <s v="89CMAH2022000041R001520230234341"/>
    <s v="NULL"/>
    <x v="1"/>
  </r>
  <r>
    <s v="89CMAH2022000041R001520230234389"/>
    <s v="NULL"/>
    <x v="1"/>
  </r>
  <r>
    <s v="89CMAH2022000041R001520230234407"/>
    <s v="NULL"/>
    <x v="1"/>
  </r>
  <r>
    <s v="89CMAH2022000041R001520230234414"/>
    <s v="NULL"/>
    <x v="1"/>
  </r>
  <r>
    <s v="89CMAH2022000041R001520230234463"/>
    <s v="NULL"/>
    <x v="1"/>
  </r>
  <r>
    <s v="89CMAH2022000041R001520230234470"/>
    <s v="NULL"/>
    <x v="1"/>
  </r>
  <r>
    <s v="89CMAH2022000041R001520230234472"/>
    <s v="NULL"/>
    <x v="1"/>
  </r>
  <r>
    <s v="89CMAH2022000041R001520230234503"/>
    <s v="NULL"/>
    <x v="1"/>
  </r>
  <r>
    <s v="89CMAH2022000041R001520230234538"/>
    <s v="NULL"/>
    <x v="1"/>
  </r>
  <r>
    <s v="89CMAH2022000041R001520230234588"/>
    <s v="NULL"/>
    <x v="1"/>
  </r>
  <r>
    <s v="89CMAH2022000041R001520230234637"/>
    <s v="NULL"/>
    <x v="1"/>
  </r>
  <r>
    <s v="89CMAH2022000041R001520230234702"/>
    <s v="NULL"/>
    <x v="1"/>
  </r>
  <r>
    <s v="89CMAH2022000041R001520230289393"/>
    <s v="NULL"/>
    <x v="1"/>
  </r>
  <r>
    <s v="89CMAH2022000041R001520230289410"/>
    <s v="NULL"/>
    <x v="1"/>
  </r>
  <r>
    <s v="89CMAH2022000041R001520230289571"/>
    <s v="NULL"/>
    <x v="1"/>
  </r>
  <r>
    <s v="89CMAH2022000041R001520230289628"/>
    <s v="NULL"/>
    <x v="1"/>
  </r>
  <r>
    <s v="89CMAH2022000041R001520230289648"/>
    <s v="NULL"/>
    <x v="1"/>
  </r>
  <r>
    <s v="89CMAH2022000041R001520230289721"/>
    <s v="NULL"/>
    <x v="1"/>
  </r>
  <r>
    <s v="89CMAH2022000041R001520230289791"/>
    <s v="NULL"/>
    <x v="1"/>
  </r>
  <r>
    <s v="89CMAH2022000041R001520230289825"/>
    <s v="NULL"/>
    <x v="1"/>
  </r>
  <r>
    <s v="89CMAH2022000041R001520230289833"/>
    <s v="NULL"/>
    <x v="1"/>
  </r>
  <r>
    <s v="89CMAH2022000041R001520230289835"/>
    <s v="NULL"/>
    <x v="1"/>
  </r>
  <r>
    <s v="89CMAH2022000041R001520230289901"/>
    <s v="NULL"/>
    <x v="1"/>
  </r>
  <r>
    <s v="89CMAH2022000041R001520230289940"/>
    <s v="NULL"/>
    <x v="1"/>
  </r>
  <r>
    <s v="89CMAH2022000041R001520230290016"/>
    <s v="NULL"/>
    <x v="1"/>
  </r>
  <r>
    <s v="89CMAH2022000041R001520230290042"/>
    <s v="NULL"/>
    <x v="1"/>
  </r>
  <r>
    <s v="89CMAH2022000041R001520230290043"/>
    <s v="NULL"/>
    <x v="1"/>
  </r>
  <r>
    <s v="89CMAH2022000041R001520230290132"/>
    <s v="NULL"/>
    <x v="1"/>
  </r>
  <r>
    <s v="89CMAH2022000041R001520230290169"/>
    <s v="NULL"/>
    <x v="1"/>
  </r>
  <r>
    <s v="89CMAH2022000041R001520230290194"/>
    <s v="NULL"/>
    <x v="1"/>
  </r>
  <r>
    <s v="89CMAH2022000041R001520230290200"/>
    <s v="NULL"/>
    <x v="1"/>
  </r>
  <r>
    <s v="89CMAH2022000041R001520230290211"/>
    <s v="NULL"/>
    <x v="1"/>
  </r>
  <r>
    <s v="89CMAH2022000041R001520230290287"/>
    <s v="NULL"/>
    <x v="1"/>
  </r>
  <r>
    <s v="89CMAH2022000041R001520230290296"/>
    <s v="NULL"/>
    <x v="1"/>
  </r>
  <r>
    <s v="89CMAH2022000041R001520230290301"/>
    <s v="NULL"/>
    <x v="1"/>
  </r>
  <r>
    <s v="89CMAH2022000041R001520230290442"/>
    <s v="NULL"/>
    <x v="1"/>
  </r>
  <r>
    <s v="89CMAH2022000041R001520230290472"/>
    <s v="NULL"/>
    <x v="1"/>
  </r>
  <r>
    <s v="89CMAH2022000041R001520230290529"/>
    <s v="NULL"/>
    <x v="1"/>
  </r>
  <r>
    <s v="89CMAH2022000041R001520230290546"/>
    <s v="NULL"/>
    <x v="1"/>
  </r>
  <r>
    <s v="89CMAH2022000041R001520230290562"/>
    <s v="NULL"/>
    <x v="1"/>
  </r>
  <r>
    <s v="89CMAH2022000041R001520230290698"/>
    <s v="NULL"/>
    <x v="1"/>
  </r>
  <r>
    <s v="89CMAH2022000041R001520230290716"/>
    <s v="NULL"/>
    <x v="1"/>
  </r>
  <r>
    <s v="89CMAH2022000041R001520230290756"/>
    <s v="NULL"/>
    <x v="1"/>
  </r>
  <r>
    <s v="89CMAH2022000041R001520230290791"/>
    <s v="NULL"/>
    <x v="1"/>
  </r>
  <r>
    <s v="89CMAH2022000041R001520230290793"/>
    <s v="NULL"/>
    <x v="1"/>
  </r>
  <r>
    <s v="89CMAH2022000041R001520230290800"/>
    <s v="NULL"/>
    <x v="1"/>
  </r>
  <r>
    <s v="SNCN00000218"/>
    <s v="NULL"/>
    <x v="0"/>
  </r>
  <r>
    <s v="31663600350105164363603501051640"/>
    <s v="NULL"/>
    <x v="2"/>
  </r>
  <r>
    <s v="31CMAH0000000000R262304880023930"/>
    <s v="NULL"/>
    <x v="1"/>
  </r>
  <r>
    <s v="31CMAH0000000000R962304820321330"/>
    <s v="NULL"/>
    <x v="1"/>
  </r>
  <r>
    <s v="31CMAHenergyS1xS2OVER1ENFGDRST0H"/>
    <s v="NULL"/>
    <x v="1"/>
  </r>
  <r>
    <s v="31CMAHenergyS1xS2OVER2ENFGDRST0G"/>
    <s v="NULL"/>
    <x v="1"/>
  </r>
  <r>
    <s v="82000000007001702000200000643934"/>
    <s v="NULL"/>
    <x v="3"/>
  </r>
  <r>
    <s v="82000000007003330000200000645972"/>
    <s v="NULL"/>
    <x v="3"/>
  </r>
  <r>
    <s v="82000000007004010000200000646658"/>
    <s v="NULL"/>
    <x v="3"/>
  </r>
  <r>
    <s v="82000000007006411000200000647514"/>
    <s v="NULL"/>
    <x v="3"/>
  </r>
  <r>
    <s v="82000000007007415000200000653335"/>
    <s v="NULL"/>
    <x v="3"/>
  </r>
  <r>
    <s v="82000000007011929000200000680200"/>
    <s v="NULL"/>
    <x v="3"/>
  </r>
  <r>
    <s v="82000000007012763000200000684983"/>
    <s v="NULL"/>
    <x v="3"/>
  </r>
  <r>
    <s v="82000000007012985000200000687578"/>
    <s v="NULL"/>
    <x v="3"/>
  </r>
  <r>
    <s v="82000000007015727000200000730325"/>
    <s v="NULL"/>
    <x v="3"/>
  </r>
  <r>
    <s v="82000000007018235000200000762229"/>
    <s v="NULL"/>
    <x v="3"/>
  </r>
  <r>
    <s v="31CMAH0000000000R262304820005540"/>
    <s v="NULL"/>
    <x v="1"/>
  </r>
  <r>
    <s v="31CMAH0000000000R262304820022850"/>
    <s v="NULL"/>
    <x v="1"/>
  </r>
  <r>
    <s v="31CMAH0000000000R262304820024790"/>
    <s v="NULL"/>
    <x v="1"/>
  </r>
  <r>
    <s v="31CMAH0000000000R962304820242890"/>
    <s v="NULL"/>
    <x v="1"/>
  </r>
  <r>
    <s v="31CMAH0000000000R962304820276890"/>
    <s v="NULL"/>
    <x v="1"/>
  </r>
  <r>
    <s v="31CMAH0000000000R962304820340110"/>
    <s v="NULL"/>
    <x v="1"/>
  </r>
  <r>
    <s v="31CMAHenergyS1xS2OVER2ENFGDRST0C"/>
    <s v="NULL"/>
    <x v="1"/>
  </r>
  <r>
    <s v="82000000007000267000200000642320"/>
    <s v="NULL"/>
    <x v="3"/>
  </r>
  <r>
    <s v="82000000007001270000200000643648"/>
    <s v="NULL"/>
    <x v="3"/>
  </r>
  <r>
    <s v="82000000007003341000200000562298"/>
    <s v="NULL"/>
    <x v="3"/>
  </r>
  <r>
    <s v="82000000007004207000200000647188"/>
    <s v="NULL"/>
    <x v="3"/>
  </r>
  <r>
    <s v="82000000007007244000200000652676"/>
    <s v="NULL"/>
    <x v="3"/>
  </r>
  <r>
    <s v="82000000007007718000200000512271"/>
    <s v="NULL"/>
    <x v="3"/>
  </r>
  <r>
    <s v="82000000007010390000200000524296"/>
    <s v="NULL"/>
    <x v="3"/>
  </r>
  <r>
    <s v="89CMAH2022000041R001520230039606"/>
    <s v="NULL"/>
    <x v="1"/>
  </r>
  <r>
    <s v="89CMAH2022000041R001520230085407"/>
    <s v="NULL"/>
    <x v="1"/>
  </r>
  <r>
    <s v="89CMAH2022000041R001520230085708"/>
    <s v="NULL"/>
    <x v="1"/>
  </r>
  <r>
    <s v="89CMAH2022000041R001520230086176"/>
    <s v="NULL"/>
    <x v="1"/>
  </r>
  <r>
    <s v="89CMAH2022000041R001520230144602"/>
    <s v="NULL"/>
    <x v="1"/>
  </r>
  <r>
    <s v="89CMAH2022000041R001520230177881"/>
    <s v="NULL"/>
    <x v="1"/>
  </r>
  <r>
    <s v="89CMAH2022000041R001520230177893"/>
    <s v="NULL"/>
    <x v="1"/>
  </r>
  <r>
    <s v="89CMAH2022000041R001520230178002"/>
    <s v="NULL"/>
    <x v="1"/>
  </r>
  <r>
    <s v="89CMAH2022000041R001520230178322"/>
    <s v="NULL"/>
    <x v="1"/>
  </r>
  <r>
    <s v="89CMAH2022000041R001520230178591"/>
    <s v="NULL"/>
    <x v="1"/>
  </r>
  <r>
    <s v="89CMAH2022000041R001520230234030"/>
    <s v="NULL"/>
    <x v="1"/>
  </r>
  <r>
    <s v="89CMAH2022000041R001520230234302"/>
    <s v="NULL"/>
    <x v="1"/>
  </r>
  <r>
    <s v="89CMAH2022000041R001520230234376"/>
    <s v="NULL"/>
    <x v="1"/>
  </r>
  <r>
    <s v="89CMAH2022000041R001520230234536"/>
    <s v="NULL"/>
    <x v="1"/>
  </r>
  <r>
    <s v="89CMAH2022000041R001520230289308"/>
    <s v="NULL"/>
    <x v="1"/>
  </r>
  <r>
    <s v="89CMAH2022000041R001520230289329"/>
    <s v="NULL"/>
    <x v="1"/>
  </r>
  <r>
    <s v="89CMAH2022000041R001520230289335"/>
    <s v="NULL"/>
    <x v="1"/>
  </r>
  <r>
    <s v="89CMAH2022000041R001520230289350"/>
    <s v="NULL"/>
    <x v="1"/>
  </r>
  <r>
    <s v="89CMAH2022000041R001520230289433"/>
    <s v="NULL"/>
    <x v="1"/>
  </r>
  <r>
    <s v="89CMAH2022000041R001520230289460"/>
    <s v="NULL"/>
    <x v="1"/>
  </r>
  <r>
    <s v="89CMAH2022000041R001520230289586"/>
    <s v="NULL"/>
    <x v="1"/>
  </r>
  <r>
    <s v="89CMAH2022000041R001520230289593"/>
    <s v="NULL"/>
    <x v="1"/>
  </r>
  <r>
    <s v="89CMAH2022000041R001520230289646"/>
    <s v="NULL"/>
    <x v="1"/>
  </r>
  <r>
    <s v="89CMAH2022000041R001520230289690"/>
    <s v="NULL"/>
    <x v="1"/>
  </r>
  <r>
    <s v="89CMAH2022000041R001520230289767"/>
    <s v="NULL"/>
    <x v="1"/>
  </r>
  <r>
    <s v="89CMAH2022000041R001520230289768"/>
    <s v="NULL"/>
    <x v="1"/>
  </r>
  <r>
    <s v="89CMAH2022000041R001520230289790"/>
    <s v="NULL"/>
    <x v="1"/>
  </r>
  <r>
    <s v="89CMAH2022000041R001520230289805"/>
    <s v="NULL"/>
    <x v="1"/>
  </r>
  <r>
    <s v="89CMAH2022000041R001520230290015"/>
    <s v="NULL"/>
    <x v="1"/>
  </r>
  <r>
    <s v="89CMAH2022000041R001520230290055"/>
    <s v="NULL"/>
    <x v="1"/>
  </r>
  <r>
    <s v="89CMAH2022000041R001520230290096"/>
    <s v="NULL"/>
    <x v="1"/>
  </r>
  <r>
    <s v="89CMAH2022000041R001520230290101"/>
    <s v="NULL"/>
    <x v="1"/>
  </r>
  <r>
    <s v="89CMAH2022000041R001520230290120"/>
    <s v="NULL"/>
    <x v="1"/>
  </r>
  <r>
    <s v="89CMAH2022000041R001520230290144"/>
    <s v="NULL"/>
    <x v="1"/>
  </r>
  <r>
    <s v="89CMAH2022000041R001520230290189"/>
    <s v="NULL"/>
    <x v="1"/>
  </r>
  <r>
    <s v="89CMAH2022000041R001520230290196"/>
    <s v="NULL"/>
    <x v="1"/>
  </r>
  <r>
    <s v="89CMAH2022000041R001520230290209"/>
    <s v="NULL"/>
    <x v="1"/>
  </r>
  <r>
    <s v="89CMAH2022000041R001520230290216"/>
    <s v="NULL"/>
    <x v="1"/>
  </r>
  <r>
    <s v="89CMAH2022000041R001520230290325"/>
    <s v="NULL"/>
    <x v="1"/>
  </r>
  <r>
    <s v="89CMAH2022000041R001520230290344"/>
    <s v="NULL"/>
    <x v="1"/>
  </r>
  <r>
    <s v="89CMAH2022000041R001520230290424"/>
    <s v="NULL"/>
    <x v="1"/>
  </r>
  <r>
    <s v="89CMAH2022000041R001520230290524"/>
    <s v="NULL"/>
    <x v="1"/>
  </r>
  <r>
    <s v="89CMAH2022000041R001520230290614"/>
    <s v="NULL"/>
    <x v="1"/>
  </r>
  <r>
    <s v="89CMAH2022000041R001520230290622"/>
    <s v="NULL"/>
    <x v="1"/>
  </r>
  <r>
    <s v="89CMAH2022000041R001520230290677"/>
    <s v="NULL"/>
    <x v="1"/>
  </r>
  <r>
    <s v="89CMAH2022000041R001520230290689"/>
    <s v="NULL"/>
    <x v="1"/>
  </r>
  <r>
    <s v="89CMAH2022000041R001520230290734"/>
    <s v="NULL"/>
    <x v="1"/>
  </r>
  <r>
    <s v="89CMAH2022000041R001520230290742"/>
    <s v="NULL"/>
    <x v="1"/>
  </r>
  <r>
    <s v="89CMAH2022000041R001520230290774"/>
    <s v="NULL"/>
    <x v="1"/>
  </r>
  <r>
    <s v="89CMAH2022000041R001520230290794"/>
    <s v="NULL"/>
    <x v="1"/>
  </r>
  <r>
    <s v="SNCN00000079"/>
    <s v="NULL"/>
    <x v="0"/>
  </r>
  <r>
    <s v="SNCN00000207"/>
    <s v="NULL"/>
    <x v="0"/>
  </r>
  <r>
    <s v="SNCN00000228"/>
    <s v="NULL"/>
    <x v="0"/>
  </r>
  <r>
    <s v="SNCN00000269"/>
    <s v="NULL"/>
    <x v="0"/>
  </r>
  <r>
    <s v="SNCN00000616"/>
    <s v="NULL"/>
    <x v="0"/>
  </r>
  <r>
    <s v="SNCN00000689"/>
    <s v="NULL"/>
    <x v="0"/>
  </r>
  <r>
    <s v="SNCN00000976"/>
    <s v="NULL"/>
    <x v="0"/>
  </r>
  <r>
    <s v="89CMAH2022000041R001520230040146"/>
    <s v="NULL"/>
    <x v="1"/>
  </r>
  <r>
    <s v="89CMAH2022000041R001520230085460"/>
    <s v="NULL"/>
    <x v="1"/>
  </r>
  <r>
    <s v="89CMAH2022000041R001520230086070"/>
    <s v="NULL"/>
    <x v="1"/>
  </r>
  <r>
    <s v="89CMAH2022000041R001520230086104"/>
    <s v="NULL"/>
    <x v="1"/>
  </r>
  <r>
    <s v="89CMAH2022000041R001520230144533"/>
    <s v="NULL"/>
    <x v="1"/>
  </r>
  <r>
    <s v="89CMAH2022000041R001520230144869"/>
    <s v="NULL"/>
    <x v="1"/>
  </r>
  <r>
    <s v="89CMAH2022000041R001520230145204"/>
    <s v="NULL"/>
    <x v="1"/>
  </r>
  <r>
    <s v="89CMAH2022000041R001520230177973"/>
    <s v="NULL"/>
    <x v="1"/>
  </r>
  <r>
    <s v="89CMAH2022000041R001520230177982"/>
    <s v="NULL"/>
    <x v="1"/>
  </r>
  <r>
    <s v="89CMAH2022000041R001520230178361"/>
    <s v="NULL"/>
    <x v="1"/>
  </r>
  <r>
    <s v="89CMAH2022000041R001520230234063"/>
    <s v="NULL"/>
    <x v="1"/>
  </r>
  <r>
    <s v="89CMAH2022000041R001520230234102"/>
    <s v="NULL"/>
    <x v="1"/>
  </r>
  <r>
    <s v="89CMAH2022000041R001520230234108"/>
    <s v="NULL"/>
    <x v="1"/>
  </r>
  <r>
    <s v="89CMAH2022000041R001520230234109"/>
    <s v="NULL"/>
    <x v="1"/>
  </r>
  <r>
    <s v="89CMAH2022000041R001520230234122"/>
    <s v="NULL"/>
    <x v="1"/>
  </r>
  <r>
    <s v="89CMAH2022000041R001520230234185"/>
    <s v="NULL"/>
    <x v="1"/>
  </r>
  <r>
    <s v="89CMAH2022000041R001520230234293"/>
    <s v="NULL"/>
    <x v="1"/>
  </r>
  <r>
    <s v="89CMAH2022000041R001520230234421"/>
    <s v="NULL"/>
    <x v="1"/>
  </r>
  <r>
    <s v="89CMAH2022000041R001520230234473"/>
    <s v="NULL"/>
    <x v="1"/>
  </r>
  <r>
    <s v="89CMAH2022000041R001520230234483"/>
    <s v="NULL"/>
    <x v="1"/>
  </r>
  <r>
    <s v="89CMAH2022000041R001520230234579"/>
    <s v="NULL"/>
    <x v="1"/>
  </r>
  <r>
    <s v="89CMAH2022000041R001520230234638"/>
    <s v="NULL"/>
    <x v="1"/>
  </r>
  <r>
    <s v="89CMAH2022000041R001520230234729"/>
    <s v="NULL"/>
    <x v="1"/>
  </r>
  <r>
    <s v="89CMAH2022000041R001520230289358"/>
    <s v="NULL"/>
    <x v="1"/>
  </r>
  <r>
    <s v="89CMAH2022000041R001520230289404"/>
    <s v="NULL"/>
    <x v="1"/>
  </r>
  <r>
    <s v="89CMAH2022000041R001520230289441"/>
    <s v="NULL"/>
    <x v="1"/>
  </r>
  <r>
    <s v="89CMAH2022000041R001520230289461"/>
    <s v="NULL"/>
    <x v="1"/>
  </r>
  <r>
    <s v="89CMAH2022000041R001520230289538"/>
    <s v="NULL"/>
    <x v="1"/>
  </r>
  <r>
    <s v="89CMAH2022000041R001520230289643"/>
    <s v="NULL"/>
    <x v="1"/>
  </r>
  <r>
    <s v="89CMAH2022000041R001520230289772"/>
    <s v="NULL"/>
    <x v="1"/>
  </r>
  <r>
    <s v="89CMAH2022000041R001520230289778"/>
    <s v="NULL"/>
    <x v="1"/>
  </r>
  <r>
    <s v="89CMAH2022000041R001520230289922"/>
    <s v="NULL"/>
    <x v="1"/>
  </r>
  <r>
    <s v="89CMAH2022000041R001520230289949"/>
    <s v="NULL"/>
    <x v="1"/>
  </r>
  <r>
    <s v="89CMAH2022000041R001520230290017"/>
    <s v="NULL"/>
    <x v="1"/>
  </r>
  <r>
    <s v="89CMAH2022000041R001520230290181"/>
    <s v="NULL"/>
    <x v="1"/>
  </r>
  <r>
    <s v="89CMAH2022000041R001520230290388"/>
    <s v="NULL"/>
    <x v="1"/>
  </r>
  <r>
    <s v="89CMAH2022000041R001520230290390"/>
    <s v="NULL"/>
    <x v="1"/>
  </r>
  <r>
    <s v="89CMAH2022000041R001520230290400"/>
    <s v="NULL"/>
    <x v="1"/>
  </r>
  <r>
    <s v="89CMAH2022000041R001520230290459"/>
    <s v="NULL"/>
    <x v="1"/>
  </r>
  <r>
    <s v="89CMAH2022000041R001520230290481"/>
    <s v="NULL"/>
    <x v="1"/>
  </r>
  <r>
    <s v="89CMAH2022000041R001520230290485"/>
    <s v="NULL"/>
    <x v="1"/>
  </r>
  <r>
    <s v="89CMAH2022000041R001520230290497"/>
    <s v="NULL"/>
    <x v="1"/>
  </r>
  <r>
    <s v="89CMAH2022000041R001520230290551"/>
    <s v="NULL"/>
    <x v="1"/>
  </r>
  <r>
    <s v="89CMAH2022000041R001520230290593"/>
    <s v="NULL"/>
    <x v="1"/>
  </r>
  <r>
    <s v="89CMAH2022000041R001520230290639"/>
    <s v="NULL"/>
    <x v="1"/>
  </r>
  <r>
    <s v="89CMAH2022000041R001520230290649"/>
    <s v="NULL"/>
    <x v="1"/>
  </r>
  <r>
    <s v="89CMAH2022000041R001520230290928"/>
    <s v="NULL"/>
    <x v="1"/>
  </r>
  <r>
    <s v="SNCN00000056"/>
    <s v="NULL"/>
    <x v="0"/>
  </r>
  <r>
    <s v="SNCN00000239"/>
    <s v="NULL"/>
    <x v="0"/>
  </r>
  <r>
    <s v="SNCN00000265"/>
    <s v="NULL"/>
    <x v="0"/>
  </r>
  <r>
    <s v="SNCN00000621"/>
    <s v="NULL"/>
    <x v="0"/>
  </r>
  <r>
    <s v="31CMAH0000000000R162304888017770"/>
    <s v="NULL"/>
    <x v="1"/>
  </r>
  <r>
    <s v="31CMAH0000000000R262304820027220"/>
    <s v="NULL"/>
    <x v="1"/>
  </r>
  <r>
    <s v="31CMAH0000000000R262304840018240"/>
    <s v="NULL"/>
    <x v="1"/>
  </r>
  <r>
    <s v="31CMAH0000000000R262304840019020"/>
    <s v="NULL"/>
    <x v="1"/>
  </r>
  <r>
    <s v="31CMAH0000000000R262304840019410"/>
    <s v="NULL"/>
    <x v="1"/>
  </r>
  <r>
    <s v="31CMAH0000000000R962304820260590"/>
    <s v="NULL"/>
    <x v="1"/>
  </r>
  <r>
    <s v="31CMAH0000000000R962304820272510"/>
    <s v="NULL"/>
    <x v="1"/>
  </r>
  <r>
    <s v="31CMAH0000000000R962304820368340"/>
    <s v="NULL"/>
    <x v="1"/>
  </r>
  <r>
    <s v="31CMAH0020003058R000000000000000"/>
    <s v="NULL"/>
    <x v="1"/>
  </r>
  <r>
    <s v="31CMAH4075601001R100266700000001"/>
    <s v="NULL"/>
    <x v="1"/>
  </r>
  <r>
    <s v="82000000000119190000450000105698"/>
    <s v="NULL"/>
    <x v="3"/>
  </r>
  <r>
    <s v="82000000000140978000450000327186"/>
    <s v="NULL"/>
    <x v="3"/>
  </r>
  <r>
    <s v="31CMAH0000000000R262304840018860"/>
    <s v="NULL"/>
    <x v="1"/>
  </r>
  <r>
    <s v="31CMAH0000000000R962304820268980"/>
    <s v="NULL"/>
    <x v="1"/>
  </r>
  <r>
    <s v="31CMAH0000000000R962304820307340"/>
    <s v="NULL"/>
    <x v="1"/>
  </r>
  <r>
    <s v="31CMAH0000000000R262304820023910"/>
    <s v="NULL"/>
    <x v="1"/>
  </r>
  <r>
    <s v="31CMAH0000000000R262304840018430"/>
    <s v="NULL"/>
    <x v="1"/>
  </r>
  <r>
    <s v="31CMAH0000000000R962304820043570"/>
    <s v="NULL"/>
    <x v="1"/>
  </r>
  <r>
    <s v="31CMAH0000000000R962304820393140"/>
    <s v="NULL"/>
    <x v="1"/>
  </r>
  <r>
    <s v="31CMAH0000000000R962304870327990"/>
    <s v="NULL"/>
    <x v="1"/>
  </r>
  <r>
    <s v="31CMAH0000000000R962304870355340"/>
    <s v="NULL"/>
    <x v="1"/>
  </r>
  <r>
    <s v="31CMAH0000000000R962304870370420"/>
    <s v="NULL"/>
    <x v="1"/>
  </r>
  <r>
    <s v="31CMAHenergyS1xS2OVER1ENFSMERT0F"/>
    <s v="NULL"/>
    <x v="1"/>
  </r>
  <r>
    <s v="82000000007001027000200000643456"/>
    <s v="NULL"/>
    <x v="3"/>
  </r>
  <r>
    <s v="82000000007001037000200000643473"/>
    <s v="NULL"/>
    <x v="3"/>
  </r>
  <r>
    <s v="82000000007001096000200000643452"/>
    <s v="NULL"/>
    <x v="3"/>
  </r>
  <r>
    <s v="82000000007002721000200000645148"/>
    <s v="NULL"/>
    <x v="3"/>
  </r>
  <r>
    <s v="82000000007007943000200000655437"/>
    <s v="NULL"/>
    <x v="3"/>
  </r>
  <r>
    <s v="82000000007011126000200000680269"/>
    <s v="NULL"/>
    <x v="3"/>
  </r>
  <r>
    <s v="82000000007014071000200000699349"/>
    <s v="NULL"/>
    <x v="3"/>
  </r>
  <r>
    <s v="82000000007017014000200000748323"/>
    <s v="NULL"/>
    <x v="3"/>
  </r>
  <r>
    <s v="82000000007002752000200000580106"/>
    <s v="NULL"/>
    <x v="3"/>
  </r>
  <r>
    <s v="82000000007005906000200000649016"/>
    <s v="NULL"/>
    <x v="3"/>
  </r>
  <r>
    <s v="82000000007006359000200000645655"/>
    <s v="NULL"/>
    <x v="3"/>
  </r>
  <r>
    <s v="82000000007007234000200000652671"/>
    <s v="NULL"/>
    <x v="3"/>
  </r>
  <r>
    <s v="82000000007008203000200000656481"/>
    <s v="NULL"/>
    <x v="3"/>
  </r>
  <r>
    <s v="82000000007011991000200000680794"/>
    <s v="NULL"/>
    <x v="3"/>
  </r>
  <r>
    <s v="82000000007014215000200000718967"/>
    <s v="NULL"/>
    <x v="3"/>
  </r>
  <r>
    <s v="82000000007001078000200000503255"/>
    <s v="NULL"/>
    <x v="3"/>
  </r>
  <r>
    <s v="82000000007001092000200000643459"/>
    <s v="NULL"/>
    <x v="3"/>
  </r>
  <r>
    <s v="82000000007001365000200000643746"/>
    <s v="NULL"/>
    <x v="3"/>
  </r>
  <r>
    <s v="82000000007004080000200000646721"/>
    <s v="NULL"/>
    <x v="3"/>
  </r>
  <r>
    <s v="82000000007008186000200000656461"/>
    <s v="NULL"/>
    <x v="3"/>
  </r>
  <r>
    <s v="82000000007009103000200000535741"/>
    <s v="NULL"/>
    <x v="3"/>
  </r>
  <r>
    <s v="82000000007015859000200000732396"/>
    <s v="NULL"/>
    <x v="3"/>
  </r>
  <r>
    <s v="890000200900044051000500C39109I0"/>
    <s v="NULL"/>
    <x v="4"/>
  </r>
  <r>
    <s v="89CMAH2022000041R001520230039501"/>
    <s v="NULL"/>
    <x v="1"/>
  </r>
  <r>
    <s v="89CMAH2022000041R001520230085950"/>
    <s v="NULL"/>
    <x v="1"/>
  </r>
  <r>
    <s v="89CMAH2022000041R001520230144591"/>
    <s v="NULL"/>
    <x v="1"/>
  </r>
  <r>
    <s v="89CMAH2022000041R001520230144643"/>
    <s v="NULL"/>
    <x v="1"/>
  </r>
  <r>
    <s v="89CMAH2022000041R001520230178072"/>
    <s v="NULL"/>
    <x v="1"/>
  </r>
  <r>
    <s v="89CMAH2022000041R001520230178104"/>
    <s v="NULL"/>
    <x v="1"/>
  </r>
  <r>
    <s v="89CMAH2022000041R001520230178122"/>
    <s v="NULL"/>
    <x v="1"/>
  </r>
  <r>
    <s v="89CMAH2022000041R001520230233986"/>
    <s v="NULL"/>
    <x v="1"/>
  </r>
  <r>
    <s v="89CMAH2022000041R001520230234085"/>
    <s v="NULL"/>
    <x v="1"/>
  </r>
  <r>
    <s v="89CMAH2022000041R001520230234103"/>
    <s v="NULL"/>
    <x v="1"/>
  </r>
  <r>
    <s v="89CMAH2022000041R001520230234171"/>
    <s v="NULL"/>
    <x v="1"/>
  </r>
  <r>
    <s v="89CMAH2022000041R001520230234181"/>
    <s v="NULL"/>
    <x v="1"/>
  </r>
  <r>
    <s v="89CMAH2022000041R001520230234326"/>
    <s v="NULL"/>
    <x v="1"/>
  </r>
  <r>
    <s v="89CMAH2022000041R001520230234371"/>
    <s v="NULL"/>
    <x v="1"/>
  </r>
  <r>
    <s v="89CMAH2022000041R001520230234488"/>
    <s v="NULL"/>
    <x v="1"/>
  </r>
  <r>
    <s v="89CMAH2022000041R001520230234746"/>
    <s v="NULL"/>
    <x v="1"/>
  </r>
  <r>
    <s v="89CMAH2022000041R001520230289313"/>
    <s v="NULL"/>
    <x v="1"/>
  </r>
  <r>
    <s v="89CMAH2022000041R001520230289327"/>
    <s v="NULL"/>
    <x v="1"/>
  </r>
  <r>
    <s v="89CMAH2022000041R001520230289408"/>
    <s v="NULL"/>
    <x v="1"/>
  </r>
  <r>
    <s v="89CMAH2022000041R001520230289413"/>
    <s v="NULL"/>
    <x v="1"/>
  </r>
  <r>
    <s v="89CMAH2022000041R001520230289430"/>
    <s v="NULL"/>
    <x v="1"/>
  </r>
  <r>
    <s v="89CMAH2022000041R001520230289439"/>
    <s v="NULL"/>
    <x v="1"/>
  </r>
  <r>
    <s v="89CMAH2022000041R001520230289542"/>
    <s v="NULL"/>
    <x v="1"/>
  </r>
  <r>
    <s v="89CMAH2022000041R001520230289552"/>
    <s v="NULL"/>
    <x v="1"/>
  </r>
  <r>
    <s v="89CMAH2022000041R001520230289619"/>
    <s v="NULL"/>
    <x v="1"/>
  </r>
  <r>
    <s v="89CMAH2022000041R001520230289707"/>
    <s v="NULL"/>
    <x v="1"/>
  </r>
  <r>
    <s v="89CMAH2022000041R001520230289738"/>
    <s v="NULL"/>
    <x v="1"/>
  </r>
  <r>
    <s v="89CMAH2022000041R001520230289781"/>
    <s v="NULL"/>
    <x v="1"/>
  </r>
  <r>
    <s v="89CMAH2022000041R001520230289814"/>
    <s v="NULL"/>
    <x v="1"/>
  </r>
  <r>
    <s v="89CMAH2022000041R001520230289844"/>
    <s v="NULL"/>
    <x v="1"/>
  </r>
  <r>
    <s v="89CMAH2022000041R001520230289961"/>
    <s v="NULL"/>
    <x v="1"/>
  </r>
  <r>
    <s v="89CMAH2022000041R001520230289986"/>
    <s v="NULL"/>
    <x v="1"/>
  </r>
  <r>
    <s v="89CMAH2022000041R001520230290011"/>
    <s v="NULL"/>
    <x v="1"/>
  </r>
  <r>
    <s v="89CMAH2022000041R001520230290105"/>
    <s v="NULL"/>
    <x v="1"/>
  </r>
  <r>
    <s v="89CMAH2022000041R001520230290107"/>
    <s v="NULL"/>
    <x v="1"/>
  </r>
  <r>
    <s v="89CMAH2022000041R001520230290119"/>
    <s v="NULL"/>
    <x v="1"/>
  </r>
  <r>
    <s v="89CMAH2022000041R001520230290130"/>
    <s v="NULL"/>
    <x v="1"/>
  </r>
  <r>
    <s v="89CMAH2022000041R001520230290260"/>
    <s v="NULL"/>
    <x v="1"/>
  </r>
  <r>
    <s v="89CMAH2022000041R001520230290300"/>
    <s v="NULL"/>
    <x v="1"/>
  </r>
  <r>
    <s v="89CMAH2022000041R001520230290360"/>
    <s v="NULL"/>
    <x v="1"/>
  </r>
  <r>
    <s v="89CMAH2022000041R001520230290458"/>
    <s v="NULL"/>
    <x v="1"/>
  </r>
  <r>
    <s v="89CMAH2022000041R001520230290511"/>
    <s v="NULL"/>
    <x v="1"/>
  </r>
  <r>
    <s v="89CMAH2022000041R001520230290617"/>
    <s v="NULL"/>
    <x v="1"/>
  </r>
  <r>
    <s v="89CMAH2022000041R001520230290644"/>
    <s v="NULL"/>
    <x v="1"/>
  </r>
  <r>
    <s v="89CMAH2022000041R001520230290669"/>
    <s v="NULL"/>
    <x v="1"/>
  </r>
  <r>
    <s v="89CMAH2022000041R001520230290706"/>
    <s v="NULL"/>
    <x v="1"/>
  </r>
  <r>
    <s v="89CMAH2022000041R001520230290715"/>
    <s v="NULL"/>
    <x v="1"/>
  </r>
  <r>
    <s v="89CMAH2022000041R001520230290737"/>
    <s v="NULL"/>
    <x v="1"/>
  </r>
  <r>
    <s v="89CMAH2022000041R001520230290814"/>
    <s v="NULL"/>
    <x v="1"/>
  </r>
  <r>
    <s v="89CMAH2022000041R001520230290850"/>
    <s v="NULL"/>
    <x v="1"/>
  </r>
  <r>
    <s v="89CMAH2022000041R001520230290909"/>
    <s v="NULL"/>
    <x v="1"/>
  </r>
  <r>
    <s v="89CMAH2022000041R001520230290925"/>
    <s v="NULL"/>
    <x v="1"/>
  </r>
  <r>
    <s v="SNCN00000071"/>
    <s v="NULL"/>
    <x v="0"/>
  </r>
  <r>
    <s v="SNCN00000085"/>
    <s v="NULL"/>
    <x v="0"/>
  </r>
  <r>
    <s v="SNCN00000416"/>
    <s v="NULL"/>
    <x v="0"/>
  </r>
  <r>
    <s v="SNCN00000537"/>
    <s v="NULL"/>
    <x v="0"/>
  </r>
  <r>
    <s v="SNCN00000762"/>
    <s v="NULL"/>
    <x v="0"/>
  </r>
  <r>
    <s v="SNCN00000773"/>
    <s v="NULL"/>
    <x v="0"/>
  </r>
  <r>
    <s v="SNCN00000931"/>
    <s v="NULL"/>
    <x v="0"/>
  </r>
  <r>
    <s v="SNCN00000960"/>
    <s v="NULL"/>
    <x v="0"/>
  </r>
  <r>
    <s v="SNCN00000970"/>
    <s v="NULL"/>
    <x v="0"/>
  </r>
  <r>
    <s v="89CMAH2022000041R001520230085494"/>
    <s v="NULL"/>
    <x v="1"/>
  </r>
  <r>
    <s v="89CMAH2022000041R001520230085706"/>
    <s v="NULL"/>
    <x v="1"/>
  </r>
  <r>
    <s v="89CMAH2022000041R001520230144555"/>
    <s v="NULL"/>
    <x v="1"/>
  </r>
  <r>
    <s v="89CMAH2022000041R001520230177917"/>
    <s v="NULL"/>
    <x v="1"/>
  </r>
  <r>
    <s v="89CMAH2022000041R001520230177996"/>
    <s v="NULL"/>
    <x v="1"/>
  </r>
  <r>
    <s v="89CMAH2022000041R001520230178589"/>
    <s v="NULL"/>
    <x v="1"/>
  </r>
  <r>
    <s v="89CMAH2022000041R001520230178609"/>
    <s v="NULL"/>
    <x v="1"/>
  </r>
  <r>
    <s v="89CMAH2022000041R001520230233987"/>
    <s v="NULL"/>
    <x v="1"/>
  </r>
  <r>
    <s v="89CMAH2022000041R001520230233997"/>
    <s v="NULL"/>
    <x v="1"/>
  </r>
  <r>
    <s v="89CMAH2022000041R001520230234032"/>
    <s v="NULL"/>
    <x v="1"/>
  </r>
  <r>
    <s v="89CMAH2022000041R001520230234089"/>
    <s v="NULL"/>
    <x v="1"/>
  </r>
  <r>
    <s v="89CMAH2022000041R001520230234210"/>
    <s v="NULL"/>
    <x v="1"/>
  </r>
  <r>
    <s v="89CMAH2022000041R001520230234314"/>
    <s v="NULL"/>
    <x v="1"/>
  </r>
  <r>
    <s v="89CMAH2022000041R001520230234322"/>
    <s v="NULL"/>
    <x v="1"/>
  </r>
  <r>
    <s v="89CMAH2022000041R001520230234524"/>
    <s v="NULL"/>
    <x v="1"/>
  </r>
  <r>
    <s v="89CMAH2022000041R001520230234587"/>
    <s v="NULL"/>
    <x v="1"/>
  </r>
  <r>
    <s v="89CMAH2022000041R001520230234595"/>
    <s v="NULL"/>
    <x v="1"/>
  </r>
  <r>
    <s v="89CMAH2022000041R001520230234651"/>
    <s v="NULL"/>
    <x v="1"/>
  </r>
  <r>
    <s v="89CMAH2022000041R001520230289297"/>
    <s v="NULL"/>
    <x v="1"/>
  </r>
  <r>
    <s v="89CMAH2022000041R001520230289301"/>
    <s v="NULL"/>
    <x v="1"/>
  </r>
  <r>
    <s v="89CMAH2022000041R001520230289355"/>
    <s v="NULL"/>
    <x v="1"/>
  </r>
  <r>
    <s v="89CMAH2022000041R001520230289399"/>
    <s v="NULL"/>
    <x v="1"/>
  </r>
  <r>
    <s v="89CMAH2022000041R001520230289416"/>
    <s v="NULL"/>
    <x v="1"/>
  </r>
  <r>
    <s v="89CMAH2022000041R001520230289676"/>
    <s v="NULL"/>
    <x v="1"/>
  </r>
  <r>
    <s v="89CMAH2022000041R001520230289869"/>
    <s v="NULL"/>
    <x v="1"/>
  </r>
  <r>
    <s v="89CMAH2022000041R001520230289957"/>
    <s v="NULL"/>
    <x v="1"/>
  </r>
  <r>
    <s v="89CMAH2022000041R001520230290021"/>
    <s v="NULL"/>
    <x v="1"/>
  </r>
  <r>
    <s v="89CMAH2022000041R001520230290028"/>
    <s v="NULL"/>
    <x v="1"/>
  </r>
  <r>
    <s v="89CMAH2022000041R001520230290038"/>
    <s v="NULL"/>
    <x v="1"/>
  </r>
  <r>
    <s v="89CMAH2022000041R001520230290098"/>
    <s v="NULL"/>
    <x v="1"/>
  </r>
  <r>
    <s v="89CMAH2022000041R001520230290147"/>
    <s v="NULL"/>
    <x v="1"/>
  </r>
  <r>
    <s v="89CMAH2022000041R001520230290163"/>
    <s v="NULL"/>
    <x v="1"/>
  </r>
  <r>
    <s v="89CMAH2022000041R001520230290177"/>
    <s v="NULL"/>
    <x v="1"/>
  </r>
  <r>
    <s v="89CMAH2022000041R001520230290190"/>
    <s v="NULL"/>
    <x v="1"/>
  </r>
  <r>
    <s v="89CMAH2022000041R001520230290214"/>
    <s v="NULL"/>
    <x v="1"/>
  </r>
  <r>
    <s v="89CMAH2022000041R001520230290218"/>
    <s v="NULL"/>
    <x v="1"/>
  </r>
  <r>
    <s v="89CMAH2022000041R001520230290321"/>
    <s v="NULL"/>
    <x v="1"/>
  </r>
  <r>
    <s v="89CMAH2022000041R001520230290430"/>
    <s v="NULL"/>
    <x v="1"/>
  </r>
  <r>
    <s v="89CMAH2022000041R001520230290447"/>
    <s v="NULL"/>
    <x v="1"/>
  </r>
  <r>
    <s v="89CMAH2022000041R001520230290470"/>
    <s v="NULL"/>
    <x v="1"/>
  </r>
  <r>
    <s v="89CMAH2022000041R001520230290474"/>
    <s v="NULL"/>
    <x v="1"/>
  </r>
  <r>
    <s v="89CMAH2022000041R001520230290486"/>
    <s v="NULL"/>
    <x v="1"/>
  </r>
  <r>
    <s v="89CMAH2022000041R001520230290509"/>
    <s v="NULL"/>
    <x v="1"/>
  </r>
  <r>
    <s v="89CMAH2022000041R001520230290541"/>
    <s v="NULL"/>
    <x v="1"/>
  </r>
  <r>
    <s v="89CMAH2022000041R001520230290627"/>
    <s v="NULL"/>
    <x v="1"/>
  </r>
  <r>
    <s v="89CMAH2022000041R001520230290632"/>
    <s v="NULL"/>
    <x v="1"/>
  </r>
  <r>
    <s v="89CMAH2022000041R001520230290651"/>
    <s v="NULL"/>
    <x v="1"/>
  </r>
  <r>
    <s v="89CMAH2022000041R001520230290662"/>
    <s v="NULL"/>
    <x v="1"/>
  </r>
  <r>
    <s v="89CMAH2022000041R001520230290743"/>
    <s v="NULL"/>
    <x v="1"/>
  </r>
  <r>
    <s v="89CMAH2022000041R001520230290750"/>
    <s v="NULL"/>
    <x v="1"/>
  </r>
  <r>
    <s v="89CMAH2022000041R001520230290752"/>
    <s v="NULL"/>
    <x v="1"/>
  </r>
  <r>
    <s v="89CMAH2022000041R001520230290765"/>
    <s v="NULL"/>
    <x v="1"/>
  </r>
  <r>
    <s v="89CMAH2022000041R001520230290771"/>
    <s v="NULL"/>
    <x v="1"/>
  </r>
  <r>
    <s v="89CMAH2022000041R001520230290795"/>
    <s v="NULL"/>
    <x v="1"/>
  </r>
  <r>
    <s v="89CMAH2022000041R001520230290802"/>
    <s v="NULL"/>
    <x v="1"/>
  </r>
  <r>
    <s v="89CMAH2022000041R001520230290813"/>
    <s v="NULL"/>
    <x v="1"/>
  </r>
  <r>
    <s v="89CMAH2022000041R001520230290818"/>
    <s v="NULL"/>
    <x v="1"/>
  </r>
  <r>
    <s v="89CMAH2022000041R001520230290833"/>
    <s v="NULL"/>
    <x v="1"/>
  </r>
  <r>
    <s v="SNCN00000029"/>
    <s v="NULL"/>
    <x v="0"/>
  </r>
  <r>
    <s v="SNCN00000200"/>
    <s v="NULL"/>
    <x v="0"/>
  </r>
  <r>
    <s v="SNCN00000375"/>
    <s v="NULL"/>
    <x v="0"/>
  </r>
  <r>
    <s v="SNCN00000399"/>
    <s v="NULL"/>
    <x v="0"/>
  </r>
  <r>
    <s v="SNCN00000458"/>
    <s v="NULL"/>
    <x v="0"/>
  </r>
  <r>
    <s v="SNCN00000516"/>
    <s v="NULL"/>
    <x v="0"/>
  </r>
  <r>
    <s v="SNCN00000534"/>
    <s v="NULL"/>
    <x v="0"/>
  </r>
  <r>
    <s v="SNCN00000572"/>
    <s v="NULL"/>
    <x v="0"/>
  </r>
  <r>
    <s v="89CMAH2022000041R001520230039900"/>
    <s v="NULL"/>
    <x v="1"/>
  </r>
  <r>
    <s v="89CMAH2022000041R001520230086092"/>
    <s v="NULL"/>
    <x v="1"/>
  </r>
  <r>
    <s v="89CMAH2022000041R001520230086159"/>
    <s v="NULL"/>
    <x v="1"/>
  </r>
  <r>
    <s v="89CMAH2022000041R001520230144666"/>
    <s v="NULL"/>
    <x v="1"/>
  </r>
  <r>
    <s v="89CMAH2022000041R001520230177918"/>
    <s v="NULL"/>
    <x v="1"/>
  </r>
  <r>
    <s v="89CMAH2022000041R001520230178028"/>
    <s v="NULL"/>
    <x v="1"/>
  </r>
  <r>
    <s v="89CMAH2022000041R001520230178080"/>
    <s v="NULL"/>
    <x v="1"/>
  </r>
  <r>
    <s v="89CMAH2022000041R001520230178253"/>
    <s v="NULL"/>
    <x v="1"/>
  </r>
  <r>
    <s v="89CMAH2022000041R001520230178256"/>
    <s v="NULL"/>
    <x v="1"/>
  </r>
  <r>
    <s v="89CMAH2022000041R001520230178323"/>
    <s v="NULL"/>
    <x v="1"/>
  </r>
  <r>
    <s v="89CMAH2022000041R001520230178519"/>
    <s v="NULL"/>
    <x v="1"/>
  </r>
  <r>
    <s v="89CMAH2022000041R001520230178590"/>
    <s v="NULL"/>
    <x v="1"/>
  </r>
  <r>
    <s v="89CMAH2022000041R001520230234040"/>
    <s v="NULL"/>
    <x v="1"/>
  </r>
  <r>
    <s v="89CMAH2022000041R001520230234148"/>
    <s v="NULL"/>
    <x v="1"/>
  </r>
  <r>
    <s v="89CMAH2022000041R001520230234203"/>
    <s v="NULL"/>
    <x v="1"/>
  </r>
  <r>
    <s v="89CMAH2022000041R001520230234207"/>
    <s v="NULL"/>
    <x v="1"/>
  </r>
  <r>
    <s v="89CMAH2022000041R001520230234333"/>
    <s v="NULL"/>
    <x v="1"/>
  </r>
  <r>
    <s v="89CMAH2022000041R001520230234386"/>
    <s v="NULL"/>
    <x v="1"/>
  </r>
  <r>
    <s v="89CMAH2022000041R001520230234392"/>
    <s v="NULL"/>
    <x v="1"/>
  </r>
  <r>
    <s v="89CMAH2022000041R001520230234551"/>
    <s v="NULL"/>
    <x v="1"/>
  </r>
  <r>
    <s v="89CMAH2022000041R001520230234748"/>
    <s v="NULL"/>
    <x v="1"/>
  </r>
  <r>
    <s v="89CMAH2022000041R001520230289288"/>
    <s v="NULL"/>
    <x v="1"/>
  </r>
  <r>
    <s v="89CMAH2022000041R001520230289330"/>
    <s v="NULL"/>
    <x v="1"/>
  </r>
  <r>
    <s v="89CMAH2022000041R001520230289351"/>
    <s v="NULL"/>
    <x v="1"/>
  </r>
  <r>
    <s v="89CMAH2022000041R001520230289403"/>
    <s v="NULL"/>
    <x v="1"/>
  </r>
  <r>
    <s v="89CMAH2022000041R001520230289421"/>
    <s v="NULL"/>
    <x v="1"/>
  </r>
  <r>
    <s v="89CMAH2022000041R001520230289497"/>
    <s v="NULL"/>
    <x v="1"/>
  </r>
  <r>
    <s v="89CMAH2022000041R001520230289532"/>
    <s v="NULL"/>
    <x v="1"/>
  </r>
  <r>
    <s v="89CMAH2022000041R001520230289539"/>
    <s v="NULL"/>
    <x v="1"/>
  </r>
  <r>
    <s v="89CMAH2022000041R001520230289572"/>
    <s v="NULL"/>
    <x v="1"/>
  </r>
  <r>
    <s v="89CMAH2022000041R001520230289575"/>
    <s v="NULL"/>
    <x v="1"/>
  </r>
  <r>
    <s v="89CMAH2022000041R001520230289576"/>
    <s v="NULL"/>
    <x v="1"/>
  </r>
  <r>
    <s v="89CMAH2022000041R001520230289613"/>
    <s v="NULL"/>
    <x v="1"/>
  </r>
  <r>
    <s v="89CMAH2022000041R001520230289615"/>
    <s v="NULL"/>
    <x v="1"/>
  </r>
  <r>
    <s v="89CMAH2022000041R001520230289645"/>
    <s v="NULL"/>
    <x v="1"/>
  </r>
  <r>
    <s v="89CMAH2022000041R001520230289664"/>
    <s v="NULL"/>
    <x v="1"/>
  </r>
  <r>
    <s v="89CMAH2022000041R001520230289668"/>
    <s v="NULL"/>
    <x v="1"/>
  </r>
  <r>
    <s v="89CMAH2022000041R001520230289777"/>
    <s v="NULL"/>
    <x v="1"/>
  </r>
  <r>
    <s v="89CMAH2022000041R001520230289848"/>
    <s v="NULL"/>
    <x v="1"/>
  </r>
  <r>
    <s v="89CMAH2022000041R001520230289852"/>
    <s v="NULL"/>
    <x v="1"/>
  </r>
  <r>
    <s v="89CMAH2022000041R001520230289877"/>
    <s v="NULL"/>
    <x v="1"/>
  </r>
  <r>
    <s v="89CMAH2022000041R001520230289900"/>
    <s v="NULL"/>
    <x v="1"/>
  </r>
  <r>
    <s v="89CMAH2022000041R001520230289948"/>
    <s v="NULL"/>
    <x v="1"/>
  </r>
  <r>
    <s v="89CMAH2022000041R001520230289991"/>
    <s v="NULL"/>
    <x v="1"/>
  </r>
  <r>
    <s v="89CMAH2022000041R001520230289993"/>
    <s v="NULL"/>
    <x v="1"/>
  </r>
  <r>
    <s v="89CMAH2022000041R001520230290065"/>
    <s v="NULL"/>
    <x v="1"/>
  </r>
  <r>
    <s v="89CMAH2022000041R001520230290099"/>
    <s v="NULL"/>
    <x v="1"/>
  </r>
  <r>
    <s v="89CMAH2022000041R001520230290174"/>
    <s v="NULL"/>
    <x v="1"/>
  </r>
  <r>
    <s v="89CMAH2022000041R001520230290266"/>
    <s v="NULL"/>
    <x v="1"/>
  </r>
  <r>
    <s v="89CMAH2022000041R001520230290313"/>
    <s v="NULL"/>
    <x v="1"/>
  </r>
  <r>
    <s v="89CMAH2022000041R001520230290379"/>
    <s v="NULL"/>
    <x v="1"/>
  </r>
  <r>
    <s v="89CMAH2022000041R001520230290433"/>
    <s v="NULL"/>
    <x v="1"/>
  </r>
  <r>
    <s v="89CMAH2022000041R001520230290493"/>
    <s v="NULL"/>
    <x v="1"/>
  </r>
  <r>
    <s v="89CMAH2022000041R001520230290563"/>
    <s v="NULL"/>
    <x v="1"/>
  </r>
  <r>
    <s v="89CMAH2022000041R001520230290574"/>
    <s v="NULL"/>
    <x v="1"/>
  </r>
  <r>
    <s v="89CMAH2022000041R001520230290702"/>
    <s v="NULL"/>
    <x v="1"/>
  </r>
  <r>
    <s v="89CMAH2022000041R001520230290704"/>
    <s v="NULL"/>
    <x v="1"/>
  </r>
  <r>
    <s v="89CMAH2022000041R001520230290705"/>
    <s v="NULL"/>
    <x v="1"/>
  </r>
  <r>
    <s v="89CMAH2022000041R001520230290804"/>
    <s v="NULL"/>
    <x v="1"/>
  </r>
  <r>
    <s v="89CMAH2022000041R001520230290846"/>
    <s v="NULL"/>
    <x v="1"/>
  </r>
  <r>
    <s v="89CMAH2022000041R001520230290871"/>
    <s v="NULL"/>
    <x v="1"/>
  </r>
  <r>
    <s v="89CMAH2022000041R001520230290875"/>
    <s v="NULL"/>
    <x v="1"/>
  </r>
  <r>
    <s v="89CMAH2022000041R001520230290902"/>
    <s v="NULL"/>
    <x v="1"/>
  </r>
  <r>
    <s v="89CMAH2022000041R001520230290924"/>
    <s v="NULL"/>
    <x v="1"/>
  </r>
  <r>
    <s v="SNCN00000226"/>
    <s v="NULL"/>
    <x v="0"/>
  </r>
  <r>
    <s v="SNCN00000360"/>
    <s v="NULL"/>
    <x v="0"/>
  </r>
  <r>
    <s v="SNCN00000401"/>
    <s v="NULL"/>
    <x v="0"/>
  </r>
  <r>
    <s v="SNCN00000446"/>
    <s v="NULL"/>
    <x v="0"/>
  </r>
  <r>
    <s v="SNCN00000612"/>
    <s v="NULL"/>
    <x v="0"/>
  </r>
  <r>
    <s v="SNCN00000963"/>
    <s v="NULL"/>
    <x v="0"/>
  </r>
  <r>
    <s v="SNCN00000453"/>
    <s v="NULL"/>
    <x v="0"/>
  </r>
  <r>
    <s v="31000010577641149000000000000000"/>
    <s v="NULL"/>
    <x v="2"/>
  </r>
  <r>
    <s v="31000010751421149000000000000000"/>
    <s v="NULL"/>
    <x v="2"/>
  </r>
  <r>
    <s v="31000310172256091069674290100000"/>
    <s v="NULL"/>
    <x v="2"/>
  </r>
  <r>
    <s v="31000310021693091069673590100000"/>
    <s v="NULL"/>
    <x v="2"/>
  </r>
  <r>
    <s v="31000310568918090069674260100000"/>
    <s v="NULL"/>
    <x v="2"/>
  </r>
  <r>
    <s v="31000310563570090069671410100000"/>
    <s v="NULL"/>
    <x v="2"/>
  </r>
  <r>
    <s v="31000310175671091069674400100000"/>
    <s v="NULL"/>
    <x v="2"/>
  </r>
  <r>
    <s v="31000310390396090069674660100000"/>
    <s v="NULL"/>
    <x v="2"/>
  </r>
  <r>
    <s v="31000310535586090069673910100000"/>
    <s v="NULL"/>
    <x v="2"/>
  </r>
  <r>
    <s v="31000310568884090069674160100000"/>
    <s v="NULL"/>
    <x v="2"/>
  </r>
  <r>
    <s v="31000316145160096000000000000000"/>
    <s v="NULL"/>
    <x v="2"/>
  </r>
  <r>
    <s v="31000310133787091069674430100000"/>
    <s v="NULL"/>
    <x v="2"/>
  </r>
  <r>
    <s v="31000310194557091069674640100000"/>
    <s v="NULL"/>
    <x v="2"/>
  </r>
  <r>
    <s v="31000310407612090069674710100000"/>
    <s v="NULL"/>
    <x v="2"/>
  </r>
  <r>
    <s v="31000311671824029116718240290000"/>
    <s v="NULL"/>
    <x v="2"/>
  </r>
  <r>
    <s v="31000313012300043000000000000000"/>
    <s v="NULL"/>
    <x v="2"/>
  </r>
  <r>
    <s v="31516200000359091069674320100000"/>
    <s v="NULL"/>
    <x v="2"/>
  </r>
  <r>
    <s v="31CMAH0000000000R962304820374160"/>
    <s v="NULL"/>
    <x v="1"/>
  </r>
  <r>
    <s v="82000000007001408000200000507110"/>
    <s v="NULL"/>
    <x v="3"/>
  </r>
  <r>
    <s v="82000000007006396000200000647498"/>
    <s v="NULL"/>
    <x v="3"/>
  </r>
  <r>
    <s v="82000000007010507000200000677173"/>
    <s v="NULL"/>
    <x v="3"/>
  </r>
  <r>
    <s v="82000000007011403000200000679766"/>
    <s v="NULL"/>
    <x v="3"/>
  </r>
  <r>
    <s v="82000000007018590000200000648443"/>
    <s v="NULL"/>
    <x v="3"/>
  </r>
  <r>
    <s v="89CMAH2022000041R001520220603524"/>
    <s v="NULL"/>
    <x v="1"/>
  </r>
  <r>
    <s v="89CMAH2022000041R001520230086100"/>
    <s v="NULL"/>
    <x v="1"/>
  </r>
  <r>
    <s v="89CMAH2022000041R001520230144538"/>
    <s v="NULL"/>
    <x v="1"/>
  </r>
  <r>
    <s v="89CMAH2022000041R001520230144659"/>
    <s v="NULL"/>
    <x v="1"/>
  </r>
  <r>
    <s v="89CMAH2022000041R001520230177908"/>
    <s v="NULL"/>
    <x v="1"/>
  </r>
  <r>
    <s v="89CMAH2022000041R001520230178078"/>
    <s v="NULL"/>
    <x v="1"/>
  </r>
  <r>
    <s v="89CMAH2022000041R001520230178097"/>
    <s v="NULL"/>
    <x v="1"/>
  </r>
  <r>
    <s v="89CMAH2022000041R001520230178490"/>
    <s v="NULL"/>
    <x v="1"/>
  </r>
  <r>
    <s v="89CMAH2022000041R001520230178530"/>
    <s v="NULL"/>
    <x v="1"/>
  </r>
  <r>
    <s v="89CMAH2022000041R001520230178565"/>
    <s v="NULL"/>
    <x v="1"/>
  </r>
  <r>
    <s v="89CMAH2022000041R001520230178610"/>
    <s v="NULL"/>
    <x v="1"/>
  </r>
  <r>
    <s v="89CMAH2022000041R001520230234115"/>
    <s v="NULL"/>
    <x v="1"/>
  </r>
  <r>
    <s v="89CMAH2022000041R001520230234124"/>
    <s v="NULL"/>
    <x v="1"/>
  </r>
  <r>
    <s v="89CMAH2022000041R001520230234164"/>
    <s v="NULL"/>
    <x v="1"/>
  </r>
  <r>
    <s v="89CMAH2022000041R001520230234178"/>
    <s v="NULL"/>
    <x v="1"/>
  </r>
  <r>
    <s v="89CMAH2022000041R001520230234276"/>
    <s v="NULL"/>
    <x v="1"/>
  </r>
  <r>
    <s v="89CMAH2022000041R001520230234291"/>
    <s v="NULL"/>
    <x v="1"/>
  </r>
  <r>
    <s v="89CMAH2022000041R001520230234325"/>
    <s v="NULL"/>
    <x v="1"/>
  </r>
  <r>
    <s v="89CMAH2022000041R001520230234385"/>
    <s v="NULL"/>
    <x v="1"/>
  </r>
  <r>
    <s v="89CMAH2022000041R001520230234714"/>
    <s v="NULL"/>
    <x v="1"/>
  </r>
  <r>
    <s v="89CMAH2022000041R001520230289299"/>
    <s v="NULL"/>
    <x v="1"/>
  </r>
  <r>
    <s v="89CMAH2022000041R001520230289318"/>
    <s v="NULL"/>
    <x v="1"/>
  </r>
  <r>
    <s v="89CMAH2022000041R001520230289370"/>
    <s v="NULL"/>
    <x v="1"/>
  </r>
  <r>
    <s v="89CMAH2022000041R001520230289371"/>
    <s v="NULL"/>
    <x v="1"/>
  </r>
  <r>
    <s v="89CMAH2022000041R001520230289400"/>
    <s v="NULL"/>
    <x v="1"/>
  </r>
  <r>
    <s v="89CMAH2022000041R001520230289455"/>
    <s v="NULL"/>
    <x v="1"/>
  </r>
  <r>
    <s v="89CMAH2022000041R001520230289554"/>
    <s v="NULL"/>
    <x v="1"/>
  </r>
  <r>
    <s v="89CMAH2022000041R001520230289585"/>
    <s v="NULL"/>
    <x v="1"/>
  </r>
  <r>
    <s v="89CMAH2022000041R001520230289605"/>
    <s v="NULL"/>
    <x v="1"/>
  </r>
  <r>
    <s v="89CMAH2022000041R001520230289659"/>
    <s v="NULL"/>
    <x v="1"/>
  </r>
  <r>
    <s v="89CMAH2022000041R001520230289673"/>
    <s v="NULL"/>
    <x v="1"/>
  </r>
  <r>
    <s v="89CMAH2022000041R001520230289726"/>
    <s v="NULL"/>
    <x v="1"/>
  </r>
  <r>
    <s v="89CMAH2022000041R001520230289728"/>
    <s v="NULL"/>
    <x v="1"/>
  </r>
  <r>
    <s v="89CMAH2022000041R001520230289750"/>
    <s v="NULL"/>
    <x v="1"/>
  </r>
  <r>
    <s v="89CMAH2022000041R001520230289845"/>
    <s v="NULL"/>
    <x v="1"/>
  </r>
  <r>
    <s v="89CMAH2022000041R001520230289866"/>
    <s v="NULL"/>
    <x v="1"/>
  </r>
  <r>
    <s v="89CMAH2022000041R001520230289881"/>
    <s v="NULL"/>
    <x v="1"/>
  </r>
  <r>
    <s v="89CMAH2022000041R001520230289910"/>
    <s v="NULL"/>
    <x v="1"/>
  </r>
  <r>
    <s v="89CMAH2022000041R001520230289913"/>
    <s v="NULL"/>
    <x v="1"/>
  </r>
  <r>
    <s v="89CMAH2022000041R001520230289915"/>
    <s v="NULL"/>
    <x v="1"/>
  </r>
  <r>
    <s v="89CMAH2022000041R001520230290000"/>
    <s v="NULL"/>
    <x v="1"/>
  </r>
  <r>
    <s v="89CMAH2022000041R001520230290023"/>
    <s v="NULL"/>
    <x v="1"/>
  </r>
  <r>
    <s v="89CMAH2022000041R001520230290116"/>
    <s v="NULL"/>
    <x v="1"/>
  </r>
  <r>
    <s v="89CMAH2022000041R001520230290146"/>
    <s v="NULL"/>
    <x v="1"/>
  </r>
  <r>
    <s v="89CMAH2022000041R001520230290161"/>
    <s v="NULL"/>
    <x v="1"/>
  </r>
  <r>
    <s v="89CMAH2022000041R001520230290328"/>
    <s v="NULL"/>
    <x v="1"/>
  </r>
  <r>
    <s v="89CMAH2022000041R001520230290373"/>
    <s v="NULL"/>
    <x v="1"/>
  </r>
  <r>
    <s v="89CMAH2022000041R001520230290431"/>
    <s v="NULL"/>
    <x v="1"/>
  </r>
  <r>
    <s v="89CMAH2022000041R001520230290465"/>
    <s v="NULL"/>
    <x v="1"/>
  </r>
  <r>
    <s v="89CMAH2022000041R001520230290514"/>
    <s v="NULL"/>
    <x v="1"/>
  </r>
  <r>
    <s v="89CMAH2022000041R001520230290584"/>
    <s v="NULL"/>
    <x v="1"/>
  </r>
  <r>
    <s v="89CMAH2022000041R001520230290591"/>
    <s v="NULL"/>
    <x v="1"/>
  </r>
  <r>
    <s v="89CMAH2022000041R001520230290655"/>
    <s v="NULL"/>
    <x v="1"/>
  </r>
  <r>
    <s v="89CMAH2022000041R001520230290727"/>
    <s v="NULL"/>
    <x v="1"/>
  </r>
  <r>
    <s v="89CMAH2022000041R001520230290767"/>
    <s v="NULL"/>
    <x v="1"/>
  </r>
  <r>
    <s v="89CMAH2022000041R001520230290857"/>
    <s v="NULL"/>
    <x v="1"/>
  </r>
  <r>
    <s v="89CMAH2022000041R001520230290892"/>
    <s v="NULL"/>
    <x v="1"/>
  </r>
  <r>
    <s v="89CMAH2022000041R001520230290907"/>
    <s v="NULL"/>
    <x v="1"/>
  </r>
  <r>
    <s v="SNCN00000139"/>
    <s v="NULL"/>
    <x v="0"/>
  </r>
  <r>
    <s v="SNCN00000145"/>
    <s v="NULL"/>
    <x v="0"/>
  </r>
  <r>
    <s v="SNCN00000221"/>
    <s v="NULL"/>
    <x v="0"/>
  </r>
  <r>
    <s v="SNCN00000225"/>
    <s v="NULL"/>
    <x v="0"/>
  </r>
  <r>
    <s v="SNCN00000305"/>
    <s v="NULL"/>
    <x v="0"/>
  </r>
  <r>
    <s v="SNCN00000523"/>
    <s v="NULL"/>
    <x v="0"/>
  </r>
  <r>
    <s v="SNCN00000558"/>
    <s v="NULL"/>
    <x v="0"/>
  </r>
  <r>
    <s v="SNCN00000623"/>
    <s v="NULL"/>
    <x v="0"/>
  </r>
  <r>
    <s v="SNCN00000945"/>
    <s v="NULL"/>
    <x v="0"/>
  </r>
  <r>
    <s v="SNCN00000952"/>
    <s v="NULL"/>
    <x v="0"/>
  </r>
  <r>
    <s v="31CMAH0000000000R962304820273560"/>
    <s v="NULL"/>
    <x v="1"/>
  </r>
  <r>
    <s v="31CMAH0000000000R962304820336330"/>
    <s v="NULL"/>
    <x v="1"/>
  </r>
  <r>
    <s v="82000000007000534000200000642894"/>
    <s v="NULL"/>
    <x v="3"/>
  </r>
  <r>
    <s v="31CMAH0000000000R962304820153890"/>
    <s v="NULL"/>
    <x v="1"/>
  </r>
  <r>
    <s v="31CMAH0000000000R962304820295750"/>
    <s v="NULL"/>
    <x v="1"/>
  </r>
  <r>
    <s v="31CMAH0000000000R962304820302710"/>
    <s v="NULL"/>
    <x v="1"/>
  </r>
  <r>
    <s v="31CMAH0000000000R962304820317020"/>
    <s v="NULL"/>
    <x v="1"/>
  </r>
  <r>
    <s v="31CMAH0000000000R962304820390930"/>
    <s v="NULL"/>
    <x v="1"/>
  </r>
  <r>
    <s v="31CMAH0000000000R962304830362520"/>
    <s v="NULL"/>
    <x v="1"/>
  </r>
  <r>
    <s v="82000000000019732000420000416255"/>
    <s v="NULL"/>
    <x v="3"/>
  </r>
  <r>
    <s v="82000000007003722000200000646413"/>
    <s v="NULL"/>
    <x v="3"/>
  </r>
  <r>
    <s v="82000000007004064000200000646779"/>
    <s v="NULL"/>
    <x v="3"/>
  </r>
  <r>
    <s v="82000000007004335000200000647158"/>
    <s v="NULL"/>
    <x v="3"/>
  </r>
  <r>
    <s v="82000000007004397000200000647082"/>
    <s v="NULL"/>
    <x v="3"/>
  </r>
  <r>
    <s v="89CMAH2022000041R001520230039473"/>
    <s v="NULL"/>
    <x v="1"/>
  </r>
  <r>
    <s v="89CMAH2022000041R001520230039795"/>
    <s v="NULL"/>
    <x v="1"/>
  </r>
  <r>
    <s v="89CMAH2022000041R001520230086183"/>
    <s v="NULL"/>
    <x v="1"/>
  </r>
  <r>
    <s v="89CMAH2022000041R001520230144609"/>
    <s v="NULL"/>
    <x v="1"/>
  </r>
  <r>
    <s v="89CMAH2022000041R001520230144636"/>
    <s v="NULL"/>
    <x v="1"/>
  </r>
  <r>
    <s v="89CMAH2022000041R001520230144717"/>
    <s v="NULL"/>
    <x v="1"/>
  </r>
  <r>
    <s v="89CMAH2022000041R001520230144895"/>
    <s v="NULL"/>
    <x v="1"/>
  </r>
  <r>
    <s v="89CMAH2022000041R001520230178560"/>
    <s v="NULL"/>
    <x v="1"/>
  </r>
  <r>
    <s v="89CMAH2022000041R001520230178608"/>
    <s v="NULL"/>
    <x v="1"/>
  </r>
  <r>
    <s v="89CMAH2022000041R001520230234142"/>
    <s v="NULL"/>
    <x v="1"/>
  </r>
  <r>
    <s v="89CMAH2022000041R001520230234166"/>
    <s v="NULL"/>
    <x v="1"/>
  </r>
  <r>
    <s v="89CMAH2022000041R001520230234323"/>
    <s v="NULL"/>
    <x v="1"/>
  </r>
  <r>
    <s v="89CMAH2022000041R001520230234429"/>
    <s v="NULL"/>
    <x v="1"/>
  </r>
  <r>
    <s v="89CMAH2022000041R001520230234468"/>
    <s v="NULL"/>
    <x v="1"/>
  </r>
  <r>
    <s v="89CMAH2022000041R001520230234626"/>
    <s v="NULL"/>
    <x v="1"/>
  </r>
  <r>
    <s v="89CMAH2022000041R001520230234645"/>
    <s v="NULL"/>
    <x v="1"/>
  </r>
  <r>
    <s v="89CMAH2022000041R001520230234703"/>
    <s v="NULL"/>
    <x v="1"/>
  </r>
  <r>
    <s v="89CMAH2022000041R001520230289286"/>
    <s v="NULL"/>
    <x v="1"/>
  </r>
  <r>
    <s v="89CMAH2022000041R001520230289312"/>
    <s v="NULL"/>
    <x v="1"/>
  </r>
  <r>
    <s v="89CMAH2022000041R001520230289504"/>
    <s v="NULL"/>
    <x v="1"/>
  </r>
  <r>
    <s v="89CMAH2022000041R001520230289525"/>
    <s v="NULL"/>
    <x v="1"/>
  </r>
  <r>
    <s v="89CMAH2022000041R001520230289533"/>
    <s v="NULL"/>
    <x v="1"/>
  </r>
  <r>
    <s v="89CMAH2022000041R001520230289551"/>
    <s v="NULL"/>
    <x v="1"/>
  </r>
  <r>
    <s v="89CMAH2022000041R001520230289592"/>
    <s v="NULL"/>
    <x v="1"/>
  </r>
  <r>
    <s v="89CMAH2022000041R001520230289597"/>
    <s v="NULL"/>
    <x v="1"/>
  </r>
  <r>
    <s v="89CMAH2022000041R001520230289735"/>
    <s v="NULL"/>
    <x v="1"/>
  </r>
  <r>
    <s v="89CMAH2022000041R001520230289763"/>
    <s v="NULL"/>
    <x v="1"/>
  </r>
  <r>
    <s v="89CMAH2022000041R001520230289784"/>
    <s v="NULL"/>
    <x v="1"/>
  </r>
  <r>
    <s v="89CMAH2022000041R001520230289819"/>
    <s v="NULL"/>
    <x v="1"/>
  </r>
  <r>
    <s v="89CMAH2022000041R001520230289886"/>
    <s v="NULL"/>
    <x v="1"/>
  </r>
  <r>
    <s v="89CMAH2022000041R001520230289905"/>
    <s v="NULL"/>
    <x v="1"/>
  </r>
  <r>
    <s v="89CMAH2022000041R001520230289953"/>
    <s v="NULL"/>
    <x v="1"/>
  </r>
  <r>
    <s v="89CMAH2022000041R001520230289988"/>
    <s v="NULL"/>
    <x v="1"/>
  </r>
  <r>
    <s v="89CMAH2022000041R001520230289989"/>
    <s v="NULL"/>
    <x v="1"/>
  </r>
  <r>
    <s v="89CMAH2022000041R001520230290069"/>
    <s v="NULL"/>
    <x v="1"/>
  </r>
  <r>
    <s v="89CMAH2022000041R001520230290077"/>
    <s v="NULL"/>
    <x v="1"/>
  </r>
  <r>
    <s v="89CMAH2022000041R001520230290097"/>
    <s v="NULL"/>
    <x v="1"/>
  </r>
  <r>
    <s v="89CMAH2022000041R001520230290118"/>
    <s v="NULL"/>
    <x v="1"/>
  </r>
  <r>
    <s v="89CMAH2022000041R001520230290135"/>
    <s v="NULL"/>
    <x v="1"/>
  </r>
  <r>
    <s v="89CMAH2022000041R001520230290160"/>
    <s v="NULL"/>
    <x v="1"/>
  </r>
  <r>
    <s v="89CMAH2022000041R001520230290195"/>
    <s v="NULL"/>
    <x v="1"/>
  </r>
  <r>
    <s v="89CMAH2022000041R001520230290299"/>
    <s v="NULL"/>
    <x v="1"/>
  </r>
  <r>
    <s v="89CMAH2022000041R001520230290329"/>
    <s v="NULL"/>
    <x v="1"/>
  </r>
  <r>
    <s v="89CMAH2022000041R001520230290333"/>
    <s v="NULL"/>
    <x v="1"/>
  </r>
  <r>
    <s v="89CMAH2022000041R001520230290372"/>
    <s v="NULL"/>
    <x v="1"/>
  </r>
  <r>
    <s v="89CMAH2022000041R001520230290394"/>
    <s v="NULL"/>
    <x v="1"/>
  </r>
  <r>
    <s v="89CMAH2022000041R001520230290432"/>
    <s v="NULL"/>
    <x v="1"/>
  </r>
  <r>
    <s v="89CMAH2022000041R001520230290441"/>
    <s v="NULL"/>
    <x v="1"/>
  </r>
  <r>
    <s v="89CMAH2022000041R001520230290491"/>
    <s v="NULL"/>
    <x v="1"/>
  </r>
  <r>
    <s v="89CMAH2022000041R001520230290542"/>
    <s v="NULL"/>
    <x v="1"/>
  </r>
  <r>
    <s v="89CMAH2022000041R001520230290567"/>
    <s v="NULL"/>
    <x v="1"/>
  </r>
  <r>
    <s v="89CMAH2022000041R001520230290581"/>
    <s v="NULL"/>
    <x v="1"/>
  </r>
  <r>
    <s v="89CMAH2022000041R001520230290607"/>
    <s v="NULL"/>
    <x v="1"/>
  </r>
  <r>
    <s v="89CMAH2022000041R001520230290628"/>
    <s v="NULL"/>
    <x v="1"/>
  </r>
  <r>
    <s v="89CMAH2022000041R001520230290633"/>
    <s v="NULL"/>
    <x v="1"/>
  </r>
  <r>
    <s v="89CMAH2022000041R001520230290657"/>
    <s v="NULL"/>
    <x v="1"/>
  </r>
  <r>
    <s v="89CMAH2022000041R001520230290729"/>
    <s v="NULL"/>
    <x v="1"/>
  </r>
  <r>
    <s v="89CMAH2022000041R001520230290815"/>
    <s v="NULL"/>
    <x v="1"/>
  </r>
  <r>
    <s v="89CMAH2022000041R001520230290820"/>
    <s v="NULL"/>
    <x v="1"/>
  </r>
  <r>
    <s v="89CMAH2022000041R001520230290830"/>
    <s v="NULL"/>
    <x v="1"/>
  </r>
  <r>
    <s v="89CMAH2022000041R001520230290891"/>
    <s v="NULL"/>
    <x v="1"/>
  </r>
  <r>
    <s v="89CMAH2022000041R001520230290900"/>
    <s v="NULL"/>
    <x v="1"/>
  </r>
  <r>
    <s v="89CMAH2022000041R001520230290910"/>
    <s v="NULL"/>
    <x v="1"/>
  </r>
  <r>
    <s v="89CMAH2022000041R001520230290920"/>
    <s v="NULL"/>
    <x v="1"/>
  </r>
  <r>
    <s v="SNCN00000078"/>
    <s v="NULL"/>
    <x v="0"/>
  </r>
  <r>
    <s v="SNCN00000094"/>
    <s v="NULL"/>
    <x v="0"/>
  </r>
  <r>
    <s v="SNCN00000159"/>
    <s v="NULL"/>
    <x v="0"/>
  </r>
  <r>
    <s v="SNCN00000289"/>
    <s v="NULL"/>
    <x v="0"/>
  </r>
  <r>
    <s v="SNCN00000397"/>
    <s v="NULL"/>
    <x v="0"/>
  </r>
  <r>
    <s v="SNCN00000454"/>
    <s v="NULL"/>
    <x v="0"/>
  </r>
  <r>
    <s v="89CMAH2022000041R001520230039798"/>
    <s v="NULL"/>
    <x v="1"/>
  </r>
  <r>
    <s v="89CMAH2022000041R001520230085863"/>
    <s v="NULL"/>
    <x v="1"/>
  </r>
  <r>
    <s v="89CMAH2022000041R001520230085941"/>
    <s v="NULL"/>
    <x v="1"/>
  </r>
  <r>
    <s v="89CMAH2022000041R001520230086026"/>
    <s v="NULL"/>
    <x v="1"/>
  </r>
  <r>
    <s v="89CMAH2022000041R001520230144648"/>
    <s v="NULL"/>
    <x v="1"/>
  </r>
  <r>
    <s v="89CMAH2022000041R001520230145146"/>
    <s v="NULL"/>
    <x v="1"/>
  </r>
  <r>
    <s v="89CMAH2022000041R001520230177871"/>
    <s v="NULL"/>
    <x v="1"/>
  </r>
  <r>
    <s v="89CMAH2022000041R001520230178077"/>
    <s v="NULL"/>
    <x v="1"/>
  </r>
  <r>
    <s v="89CMAH2022000041R001520230178457"/>
    <s v="NULL"/>
    <x v="1"/>
  </r>
  <r>
    <s v="89CMAH2022000041R001520230234039"/>
    <s v="NULL"/>
    <x v="1"/>
  </r>
  <r>
    <s v="89CMAH2022000041R001520230234050"/>
    <s v="NULL"/>
    <x v="1"/>
  </r>
  <r>
    <s v="89CMAH2022000041R001520230234061"/>
    <s v="NULL"/>
    <x v="1"/>
  </r>
  <r>
    <s v="89CMAH2022000041R001520230234224"/>
    <s v="NULL"/>
    <x v="1"/>
  </r>
  <r>
    <s v="89CMAH2022000041R001520230234264"/>
    <s v="NULL"/>
    <x v="1"/>
  </r>
  <r>
    <s v="89CMAH2022000041R001520230234496"/>
    <s v="NULL"/>
    <x v="1"/>
  </r>
  <r>
    <s v="89CMAH2022000041R001520230234548"/>
    <s v="NULL"/>
    <x v="1"/>
  </r>
  <r>
    <s v="89CMAH2022000041R001520230234646"/>
    <s v="NULL"/>
    <x v="1"/>
  </r>
  <r>
    <s v="89CMAH2022000041R001520230289283"/>
    <s v="NULL"/>
    <x v="1"/>
  </r>
  <r>
    <s v="89CMAH2022000041R001520230289290"/>
    <s v="NULL"/>
    <x v="1"/>
  </r>
  <r>
    <s v="89CMAH2022000041R001520230289323"/>
    <s v="NULL"/>
    <x v="1"/>
  </r>
  <r>
    <s v="89CMAH2022000041R001520230289401"/>
    <s v="NULL"/>
    <x v="1"/>
  </r>
  <r>
    <s v="89CMAH2022000041R001520230289495"/>
    <s v="NULL"/>
    <x v="1"/>
  </r>
  <r>
    <s v="89CMAH2022000041R001520230289583"/>
    <s v="NULL"/>
    <x v="1"/>
  </r>
  <r>
    <s v="89CMAH2022000041R001520230289666"/>
    <s v="NULL"/>
    <x v="1"/>
  </r>
  <r>
    <s v="89CMAH2022000041R001520230289724"/>
    <s v="NULL"/>
    <x v="1"/>
  </r>
  <r>
    <s v="89CMAH2022000041R001520230289746"/>
    <s v="NULL"/>
    <x v="1"/>
  </r>
  <r>
    <s v="89CMAH2022000041R001520230289809"/>
    <s v="NULL"/>
    <x v="1"/>
  </r>
  <r>
    <s v="89CMAH2022000041R001520230289832"/>
    <s v="NULL"/>
    <x v="1"/>
  </r>
  <r>
    <s v="89CMAH2022000041R001520230289854"/>
    <s v="NULL"/>
    <x v="1"/>
  </r>
  <r>
    <s v="89CMAH2022000041R001520230290007"/>
    <s v="NULL"/>
    <x v="1"/>
  </r>
  <r>
    <s v="89CMAH2022000041R001520230290019"/>
    <s v="NULL"/>
    <x v="1"/>
  </r>
  <r>
    <s v="89CMAH2022000041R001520230290094"/>
    <s v="NULL"/>
    <x v="1"/>
  </r>
  <r>
    <s v="89CMAH2022000041R001520230290129"/>
    <s v="NULL"/>
    <x v="1"/>
  </r>
  <r>
    <s v="89CMAH2022000041R001520230290141"/>
    <s v="NULL"/>
    <x v="1"/>
  </r>
  <r>
    <s v="89CMAH2022000041R001520230290151"/>
    <s v="NULL"/>
    <x v="1"/>
  </r>
  <r>
    <s v="89CMAH2022000041R001520230290166"/>
    <s v="NULL"/>
    <x v="1"/>
  </r>
  <r>
    <s v="89CMAH2022000041R001520230290168"/>
    <s v="NULL"/>
    <x v="1"/>
  </r>
  <r>
    <s v="89CMAH2022000041R001520230290179"/>
    <s v="NULL"/>
    <x v="1"/>
  </r>
  <r>
    <s v="89CMAH2022000041R001520230290185"/>
    <s v="NULL"/>
    <x v="1"/>
  </r>
  <r>
    <s v="89CMAH2022000041R001520230290197"/>
    <s v="NULL"/>
    <x v="1"/>
  </r>
  <r>
    <s v="89CMAH2022000041R001520230290238"/>
    <s v="NULL"/>
    <x v="1"/>
  </r>
  <r>
    <s v="89CMAH2022000041R001520230290253"/>
    <s v="NULL"/>
    <x v="1"/>
  </r>
  <r>
    <s v="89CMAH2022000041R001520230290298"/>
    <s v="NULL"/>
    <x v="1"/>
  </r>
  <r>
    <s v="89CMAH2022000041R001520230290318"/>
    <s v="NULL"/>
    <x v="1"/>
  </r>
  <r>
    <s v="89CMAH2022000041R001520230290340"/>
    <s v="NULL"/>
    <x v="1"/>
  </r>
  <r>
    <s v="89CMAH2022000041R001520230290528"/>
    <s v="NULL"/>
    <x v="1"/>
  </r>
  <r>
    <s v="89CMAH2022000041R001520230290590"/>
    <s v="NULL"/>
    <x v="1"/>
  </r>
  <r>
    <s v="89CMAH2022000041R001520230290624"/>
    <s v="NULL"/>
    <x v="1"/>
  </r>
  <r>
    <s v="89CMAH2022000041R001520230290641"/>
    <s v="NULL"/>
    <x v="1"/>
  </r>
  <r>
    <s v="89CMAH2022000041R001520230290695"/>
    <s v="NULL"/>
    <x v="1"/>
  </r>
  <r>
    <s v="89CMAH2022000041R001520230290700"/>
    <s v="NULL"/>
    <x v="1"/>
  </r>
  <r>
    <s v="89CMAH2022000041R001520230290714"/>
    <s v="NULL"/>
    <x v="1"/>
  </r>
  <r>
    <s v="89CMAH2022000041R001520230290759"/>
    <s v="NULL"/>
    <x v="1"/>
  </r>
  <r>
    <s v="89CMAH2022000041R001520230290930"/>
    <s v="NULL"/>
    <x v="1"/>
  </r>
  <r>
    <s v="SNCN00000045"/>
    <s v="NULL"/>
    <x v="0"/>
  </r>
  <r>
    <s v="SNCN00000084"/>
    <s v="NULL"/>
    <x v="0"/>
  </r>
  <r>
    <s v="SNCN00000103"/>
    <s v="NULL"/>
    <x v="0"/>
  </r>
  <r>
    <s v="SNCN00000118"/>
    <s v="NULL"/>
    <x v="0"/>
  </r>
  <r>
    <s v="SNCN00000163"/>
    <s v="NULL"/>
    <x v="0"/>
  </r>
  <r>
    <s v="SNCN00000164"/>
    <s v="NULL"/>
    <x v="0"/>
  </r>
  <r>
    <s v="SNCN00000172"/>
    <s v="NULL"/>
    <x v="0"/>
  </r>
  <r>
    <s v="SNCN00000293"/>
    <s v="NULL"/>
    <x v="0"/>
  </r>
  <r>
    <s v="SNCN00000577"/>
    <s v="NULL"/>
    <x v="0"/>
  </r>
  <r>
    <s v="SNCN00000806"/>
    <s v="NULL"/>
    <x v="0"/>
  </r>
  <r>
    <s v="SNCN00000922"/>
    <s v="NULL"/>
    <x v="0"/>
  </r>
  <r>
    <s v="31CMAH0000000000R162304888017860"/>
    <s v="NULL"/>
    <x v="1"/>
  </r>
  <r>
    <s v="31CMAH0000000000R262304840021200"/>
    <s v="NULL"/>
    <x v="1"/>
  </r>
  <r>
    <s v="31CMAH0000000000R962304820250610"/>
    <s v="NULL"/>
    <x v="1"/>
  </r>
  <r>
    <s v="31CMAH0000000000R962304820272600"/>
    <s v="NULL"/>
    <x v="1"/>
  </r>
  <r>
    <s v="31CMAH0000000000R962304820309840"/>
    <s v="NULL"/>
    <x v="1"/>
  </r>
  <r>
    <s v="31CMAH0000000000R962304820386370"/>
    <s v="NULL"/>
    <x v="1"/>
  </r>
  <r>
    <s v="31CMAH0000000000R962304880000810"/>
    <s v="NULL"/>
    <x v="1"/>
  </r>
  <r>
    <s v="82000000000118828000450000105698"/>
    <s v="NULL"/>
    <x v="3"/>
  </r>
  <r>
    <s v="82000000000135765000420000415359"/>
    <s v="NULL"/>
    <x v="3"/>
  </r>
  <r>
    <s v="82000000001100418000430000500149"/>
    <s v="NULL"/>
    <x v="3"/>
  </r>
  <r>
    <s v="82000000007015740000200000730548"/>
    <s v="NULL"/>
    <x v="3"/>
  </r>
  <r>
    <s v="31CMAH0000000000R962304820291450"/>
    <s v="NULL"/>
    <x v="1"/>
  </r>
  <r>
    <s v="31CMAH0000000000R962304820340120"/>
    <s v="NULL"/>
    <x v="1"/>
  </r>
  <r>
    <s v="31CMAH0000000000R962304820373340"/>
    <s v="NULL"/>
    <x v="1"/>
  </r>
  <r>
    <s v="31CMAH0000000000R962304820412760"/>
    <s v="NULL"/>
    <x v="1"/>
  </r>
  <r>
    <s v="31CMAHenergyS1xS2OVER1ENFGDRST0F"/>
    <s v="NULL"/>
    <x v="1"/>
  </r>
  <r>
    <s v="82000000007008005000200000655768"/>
    <s v="NULL"/>
    <x v="3"/>
  </r>
  <r>
    <s v="82000000007009159000200000663070"/>
    <s v="NULL"/>
    <x v="3"/>
  </r>
  <r>
    <s v="82000000007011533000200000680996"/>
    <s v="NULL"/>
    <x v="3"/>
  </r>
  <r>
    <s v="82000000007015763000200000651722"/>
    <s v="NULL"/>
    <x v="3"/>
  </r>
  <r>
    <s v="31CMAH0000000000R162304840046380"/>
    <s v="NULL"/>
    <x v="1"/>
  </r>
  <r>
    <s v="31CMAH0000000000R262304820022820"/>
    <s v="NULL"/>
    <x v="1"/>
  </r>
  <r>
    <s v="31CMAH0000000000R962304820150970"/>
    <s v="NULL"/>
    <x v="1"/>
  </r>
  <r>
    <s v="31CMAH0000000000R962304820292740"/>
    <s v="NULL"/>
    <x v="1"/>
  </r>
  <r>
    <s v="31CMAH0000000000R962304820334350"/>
    <s v="NULL"/>
    <x v="1"/>
  </r>
  <r>
    <s v="31CMAH0000000000R962304820340140"/>
    <s v="NULL"/>
    <x v="1"/>
  </r>
  <r>
    <s v="82000000000113155000420000421367"/>
    <s v="NULL"/>
    <x v="3"/>
  </r>
  <r>
    <s v="82000000007003349000200000645976"/>
    <s v="NULL"/>
    <x v="3"/>
  </r>
  <r>
    <s v="82000000007007643000200000654185"/>
    <s v="NULL"/>
    <x v="3"/>
  </r>
  <r>
    <s v="82000000007009090000200000606888"/>
    <s v="NULL"/>
    <x v="3"/>
  </r>
  <r>
    <s v="82000000007010483000200000677144"/>
    <s v="NULL"/>
    <x v="3"/>
  </r>
  <r>
    <s v="82000000007011470000200000681193"/>
    <s v="NULL"/>
    <x v="3"/>
  </r>
  <r>
    <s v="82000000007016492000200000741578"/>
    <s v="NULL"/>
    <x v="3"/>
  </r>
  <r>
    <s v="82000000007018043000200000761505"/>
    <s v="NULL"/>
    <x v="3"/>
  </r>
  <r>
    <s v="89CMAH2022000041R001520230085367"/>
    <s v="NULL"/>
    <x v="1"/>
  </r>
  <r>
    <s v="89CMAH2022000041R001520230144563"/>
    <s v="NULL"/>
    <x v="1"/>
  </r>
  <r>
    <s v="89CMAH2022000041R001520230178015"/>
    <s v="NULL"/>
    <x v="1"/>
  </r>
  <r>
    <s v="89CMAH2022000041R001520230178189"/>
    <s v="NULL"/>
    <x v="1"/>
  </r>
  <r>
    <s v="89CMAH2022000041R001520230178321"/>
    <s v="NULL"/>
    <x v="1"/>
  </r>
  <r>
    <s v="89CMAH2022000041R001520230178464"/>
    <s v="NULL"/>
    <x v="1"/>
  </r>
  <r>
    <s v="89CMAH2022000041R001520230234058"/>
    <s v="NULL"/>
    <x v="1"/>
  </r>
  <r>
    <s v="89CMAH2022000041R001520230234112"/>
    <s v="NULL"/>
    <x v="1"/>
  </r>
  <r>
    <s v="89CMAH2022000041R001520230234251"/>
    <s v="NULL"/>
    <x v="1"/>
  </r>
  <r>
    <s v="89CMAH2022000041R001520230234352"/>
    <s v="NULL"/>
    <x v="1"/>
  </r>
  <r>
    <s v="89CMAH2022000041R001520230234485"/>
    <s v="NULL"/>
    <x v="1"/>
  </r>
  <r>
    <s v="89CMAH2022000041R001520230234550"/>
    <s v="NULL"/>
    <x v="1"/>
  </r>
  <r>
    <s v="89CMAH2022000041R001520230289274"/>
    <s v="NULL"/>
    <x v="1"/>
  </r>
  <r>
    <s v="89CMAH2022000041R001520230289292"/>
    <s v="NULL"/>
    <x v="1"/>
  </r>
  <r>
    <s v="89CMAH2022000041R001520230289307"/>
    <s v="NULL"/>
    <x v="1"/>
  </r>
  <r>
    <s v="89CMAH2022000041R001520230289322"/>
    <s v="NULL"/>
    <x v="1"/>
  </r>
  <r>
    <s v="89CMAH2022000041R001520230289545"/>
    <s v="NULL"/>
    <x v="1"/>
  </r>
  <r>
    <s v="89CMAH2022000041R001520230289644"/>
    <s v="NULL"/>
    <x v="1"/>
  </r>
  <r>
    <s v="89CMAH2022000041R001520230289689"/>
    <s v="NULL"/>
    <x v="1"/>
  </r>
  <r>
    <s v="89CMAH2022000041R001520230289712"/>
    <s v="NULL"/>
    <x v="1"/>
  </r>
  <r>
    <s v="89CMAH2022000041R001520230289875"/>
    <s v="NULL"/>
    <x v="1"/>
  </r>
  <r>
    <s v="89CMAH2022000041R001520230289985"/>
    <s v="NULL"/>
    <x v="1"/>
  </r>
  <r>
    <s v="89CMAH2022000041R001520230290087"/>
    <s v="NULL"/>
    <x v="1"/>
  </r>
  <r>
    <s v="89CMAH2022000041R001520230290128"/>
    <s v="NULL"/>
    <x v="1"/>
  </r>
  <r>
    <s v="89CMAH2022000041R001520230290155"/>
    <s v="NULL"/>
    <x v="1"/>
  </r>
  <r>
    <s v="89CMAH2022000041R001520230290176"/>
    <s v="NULL"/>
    <x v="1"/>
  </r>
  <r>
    <s v="89CMAH2022000041R001520230290199"/>
    <s v="NULL"/>
    <x v="1"/>
  </r>
  <r>
    <s v="89CMAH2022000041R001520230290239"/>
    <s v="NULL"/>
    <x v="1"/>
  </r>
  <r>
    <s v="89CMAH2022000041R001520230290262"/>
    <s v="NULL"/>
    <x v="1"/>
  </r>
  <r>
    <s v="89CMAH2022000041R001520230290347"/>
    <s v="NULL"/>
    <x v="1"/>
  </r>
  <r>
    <s v="89CMAH2022000041R001520230290413"/>
    <s v="NULL"/>
    <x v="1"/>
  </r>
  <r>
    <s v="89CMAH2022000041R001520230290685"/>
    <s v="NULL"/>
    <x v="1"/>
  </r>
  <r>
    <s v="89CMAH2022000041R001520230290754"/>
    <s v="NULL"/>
    <x v="1"/>
  </r>
  <r>
    <s v="89CMAH2022000041R001520230290811"/>
    <s v="NULL"/>
    <x v="1"/>
  </r>
  <r>
    <s v="89CMAH2022000041R001520230290835"/>
    <s v="NULL"/>
    <x v="1"/>
  </r>
  <r>
    <s v="89CMAH2022000041R001520230290872"/>
    <s v="NULL"/>
    <x v="1"/>
  </r>
  <r>
    <s v="89CMAH2022000041R001520230290890"/>
    <s v="NULL"/>
    <x v="1"/>
  </r>
  <r>
    <s v="SNCN00000041"/>
    <s v="NULL"/>
    <x v="0"/>
  </r>
  <r>
    <s v="SNCN00000386"/>
    <s v="NULL"/>
    <x v="0"/>
  </r>
  <r>
    <s v="SNCN00000448"/>
    <s v="NULL"/>
    <x v="0"/>
  </r>
  <r>
    <s v="SNCN00000514"/>
    <s v="NULL"/>
    <x v="0"/>
  </r>
  <r>
    <s v="SNCN00000692"/>
    <s v="NULL"/>
    <x v="0"/>
  </r>
  <r>
    <s v="89CMAH2022000041R001520220603539"/>
    <s v="NULL"/>
    <x v="1"/>
  </r>
  <r>
    <s v="89CMAH2022000041R001520230085910"/>
    <s v="NULL"/>
    <x v="1"/>
  </r>
  <r>
    <s v="89CMAH2022000041R001520230086090"/>
    <s v="NULL"/>
    <x v="1"/>
  </r>
  <r>
    <s v="89CMAH2022000041R001520230086128"/>
    <s v="NULL"/>
    <x v="1"/>
  </r>
  <r>
    <s v="89CMAH2022000041R001520230086288"/>
    <s v="NULL"/>
    <x v="1"/>
  </r>
  <r>
    <s v="89CMAH2022000041R001520230178502"/>
    <s v="NULL"/>
    <x v="1"/>
  </r>
  <r>
    <s v="89CMAH2022000041R001520230234010"/>
    <s v="NULL"/>
    <x v="1"/>
  </r>
  <r>
    <s v="89CMAH2022000041R001520230234229"/>
    <s v="NULL"/>
    <x v="1"/>
  </r>
  <r>
    <s v="89CMAH2022000041R001520230234240"/>
    <s v="NULL"/>
    <x v="1"/>
  </r>
  <r>
    <s v="89CMAH2022000041R001520230234243"/>
    <s v="NULL"/>
    <x v="1"/>
  </r>
  <r>
    <s v="89CMAH2022000041R001520230234272"/>
    <s v="NULL"/>
    <x v="1"/>
  </r>
  <r>
    <s v="89CMAH2022000041R001520230234346"/>
    <s v="NULL"/>
    <x v="1"/>
  </r>
  <r>
    <s v="89CMAH2022000041R001520230234453"/>
    <s v="NULL"/>
    <x v="1"/>
  </r>
  <r>
    <s v="89CMAH2022000041R001520230234723"/>
    <s v="NULL"/>
    <x v="1"/>
  </r>
  <r>
    <s v="89CMAH2022000041R001520230234736"/>
    <s v="NULL"/>
    <x v="1"/>
  </r>
  <r>
    <s v="89CMAH2022000041R001520230289311"/>
    <s v="NULL"/>
    <x v="1"/>
  </r>
  <r>
    <s v="89CMAH2022000041R001520230289339"/>
    <s v="NULL"/>
    <x v="1"/>
  </r>
  <r>
    <s v="89CMAH2022000041R001520230289418"/>
    <s v="NULL"/>
    <x v="1"/>
  </r>
  <r>
    <s v="89CMAH2022000041R001520230289503"/>
    <s v="NULL"/>
    <x v="1"/>
  </r>
  <r>
    <s v="89CMAH2022000041R001520230289693"/>
    <s v="NULL"/>
    <x v="1"/>
  </r>
  <r>
    <s v="89CMAH2022000041R001520230289704"/>
    <s v="NULL"/>
    <x v="1"/>
  </r>
  <r>
    <s v="89CMAH2022000041R001520230289718"/>
    <s v="NULL"/>
    <x v="1"/>
  </r>
  <r>
    <s v="89CMAH2022000041R001520230289742"/>
    <s v="NULL"/>
    <x v="1"/>
  </r>
  <r>
    <s v="89CMAH2022000041R001520230289760"/>
    <s v="NULL"/>
    <x v="1"/>
  </r>
  <r>
    <s v="89CMAH2022000041R001520230289887"/>
    <s v="NULL"/>
    <x v="1"/>
  </r>
  <r>
    <s v="89CMAH2022000041R001520230289939"/>
    <s v="NULL"/>
    <x v="1"/>
  </r>
  <r>
    <s v="89CMAH2022000041R001520230290138"/>
    <s v="NULL"/>
    <x v="1"/>
  </r>
  <r>
    <s v="89CMAH2022000041R001520230290193"/>
    <s v="NULL"/>
    <x v="1"/>
  </r>
  <r>
    <s v="89CMAH2022000041R001520230290224"/>
    <s v="NULL"/>
    <x v="1"/>
  </r>
  <r>
    <s v="89CMAH2022000041R001520230290226"/>
    <s v="NULL"/>
    <x v="1"/>
  </r>
  <r>
    <s v="89CMAH2022000041R001520230290231"/>
    <s v="NULL"/>
    <x v="1"/>
  </r>
  <r>
    <s v="89CMAH2022000041R001520230290252"/>
    <s v="NULL"/>
    <x v="1"/>
  </r>
  <r>
    <s v="89CMAH2022000041R001520230290351"/>
    <s v="NULL"/>
    <x v="1"/>
  </r>
  <r>
    <s v="89CMAH2022000041R001520230290363"/>
    <s v="NULL"/>
    <x v="1"/>
  </r>
  <r>
    <s v="89CMAH2022000041R001520230290378"/>
    <s v="NULL"/>
    <x v="1"/>
  </r>
  <r>
    <s v="89CMAH2022000041R001520230290387"/>
    <s v="NULL"/>
    <x v="1"/>
  </r>
  <r>
    <s v="89CMAH2022000041R001520230290454"/>
    <s v="NULL"/>
    <x v="1"/>
  </r>
  <r>
    <s v="89CMAH2022000041R001520230290525"/>
    <s v="NULL"/>
    <x v="1"/>
  </r>
  <r>
    <s v="89CMAH2022000041R001520230290538"/>
    <s v="NULL"/>
    <x v="1"/>
  </r>
  <r>
    <s v="89CMAH2022000041R001520230290559"/>
    <s v="NULL"/>
    <x v="1"/>
  </r>
  <r>
    <s v="89CMAH2022000041R001520230290631"/>
    <s v="NULL"/>
    <x v="1"/>
  </r>
  <r>
    <s v="89CMAH2022000041R001520230290683"/>
    <s v="NULL"/>
    <x v="1"/>
  </r>
  <r>
    <s v="89CMAH2022000041R001520230290843"/>
    <s v="NULL"/>
    <x v="1"/>
  </r>
  <r>
    <s v="SNCN00000082"/>
    <s v="NULL"/>
    <x v="0"/>
  </r>
  <r>
    <s v="SNCN00000091"/>
    <s v="NULL"/>
    <x v="0"/>
  </r>
  <r>
    <s v="SNCN00000331"/>
    <s v="NULL"/>
    <x v="0"/>
  </r>
  <r>
    <s v="SNCN00000351"/>
    <s v="NULL"/>
    <x v="0"/>
  </r>
  <r>
    <s v="SNCN00000370"/>
    <s v="NULL"/>
    <x v="0"/>
  </r>
  <r>
    <s v="SNCN00000560"/>
    <s v="NULL"/>
    <x v="0"/>
  </r>
  <r>
    <s v="SNCN00000566"/>
    <s v="NULL"/>
    <x v="0"/>
  </r>
  <r>
    <s v="SNCN00000665"/>
    <s v="NULL"/>
    <x v="0"/>
  </r>
  <r>
    <s v="89CMAH2022000041R001520220603884"/>
    <s v="NULL"/>
    <x v="1"/>
  </r>
  <r>
    <s v="89CMAH2022000041R001520230085933"/>
    <s v="NULL"/>
    <x v="1"/>
  </r>
  <r>
    <s v="89CMAH2022000041R001520230086009"/>
    <s v="NULL"/>
    <x v="1"/>
  </r>
  <r>
    <s v="89CMAH2022000041R001520230178068"/>
    <s v="NULL"/>
    <x v="1"/>
  </r>
  <r>
    <s v="89CMAH2022000041R001520230234000"/>
    <s v="NULL"/>
    <x v="1"/>
  </r>
  <r>
    <s v="89CMAH2022000041R001520230234193"/>
    <s v="NULL"/>
    <x v="1"/>
  </r>
  <r>
    <s v="89CMAH2022000041R001520230234222"/>
    <s v="NULL"/>
    <x v="1"/>
  </r>
  <r>
    <s v="89CMAH2022000041R001520230234249"/>
    <s v="NULL"/>
    <x v="1"/>
  </r>
  <r>
    <s v="89CMAH2022000041R001520230234253"/>
    <s v="NULL"/>
    <x v="1"/>
  </r>
  <r>
    <s v="89CMAH2022000041R001520230234413"/>
    <s v="NULL"/>
    <x v="1"/>
  </r>
  <r>
    <s v="89CMAH2022000041R001520230234513"/>
    <s v="NULL"/>
    <x v="1"/>
  </r>
  <r>
    <s v="89CMAH2022000041R001520230234668"/>
    <s v="NULL"/>
    <x v="1"/>
  </r>
  <r>
    <s v="89CMAH2022000041R001520230234739"/>
    <s v="NULL"/>
    <x v="1"/>
  </r>
  <r>
    <s v="89CMAH2022000041R001520230289415"/>
    <s v="NULL"/>
    <x v="1"/>
  </r>
  <r>
    <s v="89CMAH2022000041R001520230289454"/>
    <s v="NULL"/>
    <x v="1"/>
  </r>
  <r>
    <s v="89CMAH2022000041R001520230289499"/>
    <s v="NULL"/>
    <x v="1"/>
  </r>
  <r>
    <s v="89CMAH2022000041R001520230289530"/>
    <s v="NULL"/>
    <x v="1"/>
  </r>
  <r>
    <s v="89CMAH2022000041R001520230289569"/>
    <s v="NULL"/>
    <x v="1"/>
  </r>
  <r>
    <s v="89CMAH2022000041R001520230289574"/>
    <s v="NULL"/>
    <x v="1"/>
  </r>
  <r>
    <s v="89CMAH2022000041R001520230289752"/>
    <s v="NULL"/>
    <x v="1"/>
  </r>
  <r>
    <s v="89CMAH2022000041R001520230289766"/>
    <s v="NULL"/>
    <x v="1"/>
  </r>
  <r>
    <s v="89CMAH2022000041R001520230289783"/>
    <s v="NULL"/>
    <x v="1"/>
  </r>
  <r>
    <s v="89CMAH2022000041R001520230289853"/>
    <s v="NULL"/>
    <x v="1"/>
  </r>
  <r>
    <s v="89CMAH2022000041R001520230289919"/>
    <s v="NULL"/>
    <x v="1"/>
  </r>
  <r>
    <s v="89CMAH2022000041R001520230289935"/>
    <s v="NULL"/>
    <x v="1"/>
  </r>
  <r>
    <s v="89CMAH2022000041R001520230289968"/>
    <s v="NULL"/>
    <x v="1"/>
  </r>
  <r>
    <s v="89CMAH2022000041R001520230289999"/>
    <s v="NULL"/>
    <x v="1"/>
  </r>
  <r>
    <s v="89CMAH2022000041R001520230290006"/>
    <s v="NULL"/>
    <x v="1"/>
  </r>
  <r>
    <s v="89CMAH2022000041R001520230290081"/>
    <s v="NULL"/>
    <x v="1"/>
  </r>
  <r>
    <s v="89CMAH2022000041R001520230290188"/>
    <s v="NULL"/>
    <x v="1"/>
  </r>
  <r>
    <s v="89CMAH2022000041R001520230290251"/>
    <s v="NULL"/>
    <x v="1"/>
  </r>
  <r>
    <s v="89CMAH2022000041R001520230290280"/>
    <s v="NULL"/>
    <x v="1"/>
  </r>
  <r>
    <s v="89CMAH2022000041R001520230290289"/>
    <s v="NULL"/>
    <x v="1"/>
  </r>
  <r>
    <s v="89CMAH2022000041R001520230290311"/>
    <s v="NULL"/>
    <x v="1"/>
  </r>
  <r>
    <s v="89CMAH2022000041R001520230290429"/>
    <s v="NULL"/>
    <x v="1"/>
  </r>
  <r>
    <s v="89CMAH2022000041R001520230290552"/>
    <s v="NULL"/>
    <x v="1"/>
  </r>
  <r>
    <s v="89CMAH2022000041R001520230290604"/>
    <s v="NULL"/>
    <x v="1"/>
  </r>
  <r>
    <s v="89CMAH2022000041R001520230290620"/>
    <s v="NULL"/>
    <x v="1"/>
  </r>
  <r>
    <s v="89CMAH2022000041R001520230290650"/>
    <s v="NULL"/>
    <x v="1"/>
  </r>
  <r>
    <s v="89CMAH2022000041R001520230290654"/>
    <s v="NULL"/>
    <x v="1"/>
  </r>
  <r>
    <s v="89CMAH2022000041R001520230290745"/>
    <s v="NULL"/>
    <x v="1"/>
  </r>
  <r>
    <s v="89CMAH2022000041R001520230290855"/>
    <s v="NULL"/>
    <x v="1"/>
  </r>
  <r>
    <s v="89CMAH2022000041R001520230290870"/>
    <s v="NULL"/>
    <x v="1"/>
  </r>
  <r>
    <s v="89CMAH2022000041R001520230290886"/>
    <s v="NULL"/>
    <x v="1"/>
  </r>
  <r>
    <s v="89CMAH2022000041R001520230290915"/>
    <s v="NULL"/>
    <x v="1"/>
  </r>
  <r>
    <s v="SNCN00000013"/>
    <s v="NULL"/>
    <x v="0"/>
  </r>
  <r>
    <s v="SNCN00000101"/>
    <s v="NULL"/>
    <x v="0"/>
  </r>
  <r>
    <s v="SNCN00000201"/>
    <s v="NULL"/>
    <x v="0"/>
  </r>
  <r>
    <s v="SNCN00000219"/>
    <s v="NULL"/>
    <x v="0"/>
  </r>
  <r>
    <s v="SNCN00000292"/>
    <s v="NULL"/>
    <x v="0"/>
  </r>
  <r>
    <s v="SNCN00000345"/>
    <s v="NULL"/>
    <x v="0"/>
  </r>
  <r>
    <s v="SNCN00000396"/>
    <s v="NULL"/>
    <x v="0"/>
  </r>
  <r>
    <s v="SNCN00000507"/>
    <s v="NULL"/>
    <x v="0"/>
  </r>
  <r>
    <s v="SNCN00000604"/>
    <s v="NULL"/>
    <x v="0"/>
  </r>
  <r>
    <s v="SNCN00000843"/>
    <s v="NULL"/>
    <x v="0"/>
  </r>
  <r>
    <s v="SNCN00000122"/>
    <s v="NULL"/>
    <x v="0"/>
  </r>
  <r>
    <s v="SNCN00000863"/>
    <s v="NULL"/>
    <x v="0"/>
  </r>
  <r>
    <s v="SNCN00000556"/>
    <s v="NULL"/>
    <x v="0"/>
  </r>
  <r>
    <s v="SNCN00000965"/>
    <s v="NULL"/>
    <x v="0"/>
  </r>
  <r>
    <s v="SNCN00000728"/>
    <s v="NULL"/>
    <x v="0"/>
  </r>
  <r>
    <s v="80CMAHFINERGETRAB000000000000001"/>
    <s v="NULL"/>
    <x v="1"/>
  </r>
  <r>
    <s v="SNCN00000721"/>
    <s v="NULL"/>
    <x v="0"/>
  </r>
  <r>
    <s v="SNCN00000471"/>
    <s v="NULL"/>
    <x v="0"/>
  </r>
  <r>
    <s v="SNCN00000753"/>
    <s v="NULL"/>
    <x v="0"/>
  </r>
  <r>
    <s v="SNCN00000716"/>
    <s v="NULL"/>
    <x v="0"/>
  </r>
  <r>
    <s v="SNCN00000814"/>
    <s v="NULL"/>
    <x v="0"/>
  </r>
  <r>
    <s v="SNCN00000967"/>
    <s v="NULL"/>
    <x v="0"/>
  </r>
  <r>
    <s v="SNCN00000500"/>
    <s v="NULL"/>
    <x v="0"/>
  </r>
  <r>
    <s v="SNCN00000769"/>
    <s v="NULL"/>
    <x v="0"/>
  </r>
  <r>
    <s v="31000310480999090069674380100000"/>
    <s v="NULL"/>
    <x v="2"/>
  </r>
  <r>
    <s v="SNCN00000578"/>
    <s v="NULL"/>
    <x v="0"/>
  </r>
  <r>
    <s v="SNCN00000542"/>
    <s v="NULL"/>
    <x v="0"/>
  </r>
  <r>
    <s v="80CMAHFINERGECAPF000000000000001"/>
    <s v="NULL"/>
    <x v="1"/>
  </r>
  <r>
    <s v="31000010632561149000000000000000"/>
    <s v="NULL"/>
    <x v="2"/>
  </r>
  <r>
    <s v="SNCN00000815"/>
    <s v="NULL"/>
    <x v="0"/>
  </r>
  <r>
    <s v="31000309803023096000000000000000"/>
    <s v="NULL"/>
    <x v="2"/>
  </r>
  <r>
    <s v="31000310178469091069674220100000"/>
    <s v="NULL"/>
    <x v="2"/>
  </r>
  <r>
    <s v="31CMAH0000000000R962304820250510"/>
    <s v="NULL"/>
    <x v="1"/>
  </r>
  <r>
    <s v="31CMAH0000000000R962304820252950"/>
    <s v="NULL"/>
    <x v="1"/>
  </r>
  <r>
    <s v="31CMAH0000000000R962304820295900"/>
    <s v="NULL"/>
    <x v="1"/>
  </r>
  <r>
    <s v="31CMAH0000000000R962304820319600"/>
    <s v="NULL"/>
    <x v="1"/>
  </r>
  <r>
    <s v="31CMAH0000000000R962304820359300"/>
    <s v="NULL"/>
    <x v="1"/>
  </r>
  <r>
    <s v="31CMAH0000000000R962304820383640"/>
    <s v="NULL"/>
    <x v="1"/>
  </r>
  <r>
    <s v="31CMAH0000000000R962304830386740"/>
    <s v="NULL"/>
    <x v="1"/>
  </r>
  <r>
    <s v="31CMAHenergyS1xS2OVER2ENFSMERT0C"/>
    <s v="NULL"/>
    <x v="1"/>
  </r>
  <r>
    <s v="82000000007011999000200000680818"/>
    <s v="NULL"/>
    <x v="3"/>
  </r>
  <r>
    <s v="89CMAH2022000041R001520220603902"/>
    <s v="NULL"/>
    <x v="1"/>
  </r>
  <r>
    <s v="89CMAH2022000041R001520230039721"/>
    <s v="NULL"/>
    <x v="1"/>
  </r>
  <r>
    <s v="89CMAH2022000041R001520230085936"/>
    <s v="NULL"/>
    <x v="1"/>
  </r>
  <r>
    <s v="89CMAH2022000041R001520230085973"/>
    <s v="NULL"/>
    <x v="1"/>
  </r>
  <r>
    <s v="89CMAH2022000041R001520230086025"/>
    <s v="NULL"/>
    <x v="1"/>
  </r>
  <r>
    <s v="89CMAH2022000041R001520230144736"/>
    <s v="NULL"/>
    <x v="1"/>
  </r>
  <r>
    <s v="89CMAH2022000041R001520230144796"/>
    <s v="NULL"/>
    <x v="1"/>
  </r>
  <r>
    <s v="89CMAH2022000041R001520230177873"/>
    <s v="NULL"/>
    <x v="1"/>
  </r>
  <r>
    <s v="89CMAH2022000041R001520230178000"/>
    <s v="NULL"/>
    <x v="1"/>
  </r>
  <r>
    <s v="89CMAH2022000041R001520230178352"/>
    <s v="NULL"/>
    <x v="1"/>
  </r>
  <r>
    <s v="89CMAH2022000041R001520230233973"/>
    <s v="NULL"/>
    <x v="1"/>
  </r>
  <r>
    <s v="89CMAH2022000041R001520230234128"/>
    <s v="NULL"/>
    <x v="1"/>
  </r>
  <r>
    <s v="89CMAH2022000041R001520230234135"/>
    <s v="NULL"/>
    <x v="1"/>
  </r>
  <r>
    <s v="89CMAH2022000041R001520230234157"/>
    <s v="NULL"/>
    <x v="1"/>
  </r>
  <r>
    <s v="89CMAH2022000041R001520230234226"/>
    <s v="NULL"/>
    <x v="1"/>
  </r>
  <r>
    <s v="89CMAH2022000041R001520230234282"/>
    <s v="NULL"/>
    <x v="1"/>
  </r>
  <r>
    <s v="89CMAH2022000041R001520230234343"/>
    <s v="NULL"/>
    <x v="1"/>
  </r>
  <r>
    <s v="89CMAH2022000041R001520230234361"/>
    <s v="NULL"/>
    <x v="1"/>
  </r>
  <r>
    <s v="89CMAH2022000041R001520230234382"/>
    <s v="NULL"/>
    <x v="1"/>
  </r>
  <r>
    <s v="89CMAH2022000041R001520230234455"/>
    <s v="NULL"/>
    <x v="1"/>
  </r>
  <r>
    <s v="89CMAH2022000041R001520230234679"/>
    <s v="NULL"/>
    <x v="1"/>
  </r>
  <r>
    <s v="89CMAH2022000041R001520230234688"/>
    <s v="NULL"/>
    <x v="1"/>
  </r>
  <r>
    <s v="89CMAH2022000041R001520230289340"/>
    <s v="NULL"/>
    <x v="1"/>
  </r>
  <r>
    <s v="89CMAH2022000041R001520230289360"/>
    <s v="NULL"/>
    <x v="1"/>
  </r>
  <r>
    <s v="89CMAH2022000041R001520230289427"/>
    <s v="NULL"/>
    <x v="1"/>
  </r>
  <r>
    <s v="89CMAH2022000041R001520230289665"/>
    <s v="NULL"/>
    <x v="1"/>
  </r>
  <r>
    <s v="89CMAH2022000041R001520230289677"/>
    <s v="NULL"/>
    <x v="1"/>
  </r>
  <r>
    <s v="89CMAH2022000041R001520230289827"/>
    <s v="NULL"/>
    <x v="1"/>
  </r>
  <r>
    <s v="89CMAH2022000041R001520230289836"/>
    <s v="NULL"/>
    <x v="1"/>
  </r>
  <r>
    <s v="89CMAH2022000041R001520230289883"/>
    <s v="NULL"/>
    <x v="1"/>
  </r>
  <r>
    <s v="89CMAH2022000041R001520230289896"/>
    <s v="NULL"/>
    <x v="1"/>
  </r>
  <r>
    <s v="89CMAH2022000041R001520230289980"/>
    <s v="NULL"/>
    <x v="1"/>
  </r>
  <r>
    <s v="89CMAH2022000041R001520230290074"/>
    <s v="NULL"/>
    <x v="1"/>
  </r>
  <r>
    <s v="89CMAH2022000041R001520230290085"/>
    <s v="NULL"/>
    <x v="1"/>
  </r>
  <r>
    <s v="89CMAH2022000041R001520230290148"/>
    <s v="NULL"/>
    <x v="1"/>
  </r>
  <r>
    <s v="89CMAH2022000041R001520230290305"/>
    <s v="NULL"/>
    <x v="1"/>
  </r>
  <r>
    <s v="89CMAH2022000041R001520230290384"/>
    <s v="NULL"/>
    <x v="1"/>
  </r>
  <r>
    <s v="89CMAH2022000041R001520230290596"/>
    <s v="NULL"/>
    <x v="1"/>
  </r>
  <r>
    <s v="89CMAH2022000041R001520230290648"/>
    <s v="NULL"/>
    <x v="1"/>
  </r>
  <r>
    <s v="89CMAH2022000041R001520230290656"/>
    <s v="NULL"/>
    <x v="1"/>
  </r>
  <r>
    <s v="89CMAH2022000041R001520230290666"/>
    <s v="NULL"/>
    <x v="1"/>
  </r>
  <r>
    <s v="89CMAH2022000041R001520230290690"/>
    <s v="NULL"/>
    <x v="1"/>
  </r>
  <r>
    <s v="89CMAH2022000041R001520230290694"/>
    <s v="NULL"/>
    <x v="1"/>
  </r>
  <r>
    <s v="89CMAH2022000041R001520230290718"/>
    <s v="NULL"/>
    <x v="1"/>
  </r>
  <r>
    <s v="89CMAH2022000041R001520230290724"/>
    <s v="NULL"/>
    <x v="1"/>
  </r>
  <r>
    <s v="89CMAH2022000041R001520230290785"/>
    <s v="NULL"/>
    <x v="1"/>
  </r>
  <r>
    <s v="89CMAH2022000041R001520230290865"/>
    <s v="NULL"/>
    <x v="1"/>
  </r>
  <r>
    <s v="89CMAH2022000041R001520230290867"/>
    <s v="NULL"/>
    <x v="1"/>
  </r>
  <r>
    <s v="SNCN00000031"/>
    <s v="NULL"/>
    <x v="0"/>
  </r>
  <r>
    <s v="SNCN00000070"/>
    <s v="NULL"/>
    <x v="0"/>
  </r>
  <r>
    <s v="SNCN00000080"/>
    <s v="NULL"/>
    <x v="0"/>
  </r>
  <r>
    <s v="SNCN00000096"/>
    <s v="NULL"/>
    <x v="0"/>
  </r>
  <r>
    <s v="SNCN00000192"/>
    <s v="NULL"/>
    <x v="0"/>
  </r>
  <r>
    <s v="SNCN00000199"/>
    <s v="NULL"/>
    <x v="0"/>
  </r>
  <r>
    <s v="SNCN00000245"/>
    <s v="NULL"/>
    <x v="0"/>
  </r>
  <r>
    <s v="SNCN00000365"/>
    <s v="NULL"/>
    <x v="0"/>
  </r>
  <r>
    <s v="SNCN00000447"/>
    <s v="NULL"/>
    <x v="0"/>
  </r>
  <r>
    <s v="SNCN00000494"/>
    <s v="NULL"/>
    <x v="0"/>
  </r>
  <r>
    <s v="SNCN00000925"/>
    <s v="NULL"/>
    <x v="0"/>
  </r>
  <r>
    <s v="SNCN00000936"/>
    <s v="NULL"/>
    <x v="0"/>
  </r>
  <r>
    <s v="SNCN00000985"/>
    <s v="NULL"/>
    <x v="0"/>
  </r>
  <r>
    <s v="31CMAH0000000000R599904815307790"/>
    <s v="NULL"/>
    <x v="1"/>
  </r>
  <r>
    <s v="31CMAH0000000000R962304830386760"/>
    <s v="NULL"/>
    <x v="1"/>
  </r>
  <r>
    <s v="31CMAH0000000000R962304830398060"/>
    <s v="NULL"/>
    <x v="1"/>
  </r>
  <r>
    <s v="82000000000054268000450000404379"/>
    <s v="NULL"/>
    <x v="3"/>
  </r>
  <r>
    <s v="82000000000102342000420000415032"/>
    <s v="NULL"/>
    <x v="3"/>
  </r>
  <r>
    <s v="82000000000137313000450000508004"/>
    <s v="NULL"/>
    <x v="3"/>
  </r>
  <r>
    <s v="82000000007000460000200000642784"/>
    <s v="NULL"/>
    <x v="3"/>
  </r>
  <r>
    <s v="82000000007000984000200000643418"/>
    <s v="NULL"/>
    <x v="3"/>
  </r>
  <r>
    <s v="82000000007003461000200000646094"/>
    <s v="NULL"/>
    <x v="3"/>
  </r>
  <r>
    <s v="82000000007008610000200000658707"/>
    <s v="NULL"/>
    <x v="3"/>
  </r>
  <r>
    <s v="82000000007011267000200000680169"/>
    <s v="NULL"/>
    <x v="3"/>
  </r>
  <r>
    <s v="89CMAH2022000041R001520230039289"/>
    <s v="NULL"/>
    <x v="1"/>
  </r>
  <r>
    <s v="89CMAH2022000041R001520230177921"/>
    <s v="NULL"/>
    <x v="1"/>
  </r>
  <r>
    <s v="89CMAH2022000041R001520230177981"/>
    <s v="NULL"/>
    <x v="1"/>
  </r>
  <r>
    <s v="89CMAH2022000041R001520230178200"/>
    <s v="NULL"/>
    <x v="1"/>
  </r>
  <r>
    <s v="89CMAH2022000041R001520230178293"/>
    <s v="NULL"/>
    <x v="1"/>
  </r>
  <r>
    <s v="89CMAH2022000041R001520230234117"/>
    <s v="NULL"/>
    <x v="1"/>
  </r>
  <r>
    <s v="89CMAH2022000041R001520230234216"/>
    <s v="NULL"/>
    <x v="1"/>
  </r>
  <r>
    <s v="89CMAH2022000041R001520230234260"/>
    <s v="NULL"/>
    <x v="1"/>
  </r>
  <r>
    <s v="89CMAH2022000041R001520230234273"/>
    <s v="NULL"/>
    <x v="1"/>
  </r>
  <r>
    <s v="89CMAH2022000041R001520230234372"/>
    <s v="NULL"/>
    <x v="1"/>
  </r>
  <r>
    <s v="89CMAH2022000041R001520230234427"/>
    <s v="NULL"/>
    <x v="1"/>
  </r>
  <r>
    <s v="89CMAH2022000041R001520230234612"/>
    <s v="NULL"/>
    <x v="1"/>
  </r>
  <r>
    <s v="89CMAH2022000041R001520230234697"/>
    <s v="NULL"/>
    <x v="1"/>
  </r>
  <r>
    <s v="89CMAH2022000041R001520230289291"/>
    <s v="NULL"/>
    <x v="1"/>
  </r>
  <r>
    <s v="89CMAH2022000041R001520230289519"/>
    <s v="NULL"/>
    <x v="1"/>
  </r>
  <r>
    <s v="89CMAH2022000041R001520230289527"/>
    <s v="NULL"/>
    <x v="1"/>
  </r>
  <r>
    <s v="89CMAH2022000041R001520230289723"/>
    <s v="NULL"/>
    <x v="1"/>
  </r>
  <r>
    <s v="89CMAH2022000041R001520230289769"/>
    <s v="NULL"/>
    <x v="1"/>
  </r>
  <r>
    <s v="89CMAH2022000041R001520230289851"/>
    <s v="NULL"/>
    <x v="1"/>
  </r>
  <r>
    <s v="89CMAH2022000041R001520230289902"/>
    <s v="NULL"/>
    <x v="1"/>
  </r>
  <r>
    <s v="89CMAH2022000041R001520230289921"/>
    <s v="NULL"/>
    <x v="1"/>
  </r>
  <r>
    <s v="89CMAH2022000041R001520230289958"/>
    <s v="NULL"/>
    <x v="1"/>
  </r>
  <r>
    <s v="89CMAH2022000041R001520230289974"/>
    <s v="NULL"/>
    <x v="1"/>
  </r>
  <r>
    <s v="89CMAH2022000041R001520230289992"/>
    <s v="NULL"/>
    <x v="1"/>
  </r>
  <r>
    <s v="89CMAH2022000041R001520230290005"/>
    <s v="NULL"/>
    <x v="1"/>
  </r>
  <r>
    <s v="89CMAH2022000041R001520230290054"/>
    <s v="NULL"/>
    <x v="1"/>
  </r>
  <r>
    <s v="89CMAH2022000041R001520230290090"/>
    <s v="NULL"/>
    <x v="1"/>
  </r>
  <r>
    <s v="89CMAH2022000041R001520230290100"/>
    <s v="NULL"/>
    <x v="1"/>
  </r>
  <r>
    <s v="89CMAH2022000041R001520230290131"/>
    <s v="NULL"/>
    <x v="1"/>
  </r>
  <r>
    <s v="89CMAH2022000041R001520230290149"/>
    <s v="NULL"/>
    <x v="1"/>
  </r>
  <r>
    <s v="89CMAH2022000041R001520230290249"/>
    <s v="NULL"/>
    <x v="1"/>
  </r>
  <r>
    <s v="89CMAH2022000041R001520230290265"/>
    <s v="NULL"/>
    <x v="1"/>
  </r>
  <r>
    <s v="89CMAH2022000041R001520230290324"/>
    <s v="NULL"/>
    <x v="1"/>
  </r>
  <r>
    <s v="89CMAH2022000041R001520230290348"/>
    <s v="NULL"/>
    <x v="1"/>
  </r>
  <r>
    <s v="89CMAH2022000041R001520230290354"/>
    <s v="NULL"/>
    <x v="1"/>
  </r>
  <r>
    <s v="89CMAH2022000041R001520230290356"/>
    <s v="NULL"/>
    <x v="1"/>
  </r>
  <r>
    <s v="89CMAH2022000041R001520230290377"/>
    <s v="NULL"/>
    <x v="1"/>
  </r>
  <r>
    <s v="89CMAH2022000041R001520230290456"/>
    <s v="NULL"/>
    <x v="1"/>
  </r>
  <r>
    <s v="89CMAH2022000041R001520230290461"/>
    <s v="NULL"/>
    <x v="1"/>
  </r>
  <r>
    <s v="89CMAH2022000041R001520230290652"/>
    <s v="NULL"/>
    <x v="1"/>
  </r>
  <r>
    <s v="89CMAH2022000041R001520230290708"/>
    <s v="NULL"/>
    <x v="1"/>
  </r>
  <r>
    <s v="89CMAH2022000041R001520230290769"/>
    <s v="NULL"/>
    <x v="1"/>
  </r>
  <r>
    <s v="89CMAH2022000041R001520230290856"/>
    <s v="NULL"/>
    <x v="1"/>
  </r>
  <r>
    <s v="SNCN00000025"/>
    <s v="NULL"/>
    <x v="0"/>
  </r>
  <r>
    <s v="SNCN00000057"/>
    <s v="NULL"/>
    <x v="0"/>
  </r>
  <r>
    <s v="SNCN00000156"/>
    <s v="NULL"/>
    <x v="0"/>
  </r>
  <r>
    <s v="SNCN00000179"/>
    <s v="NULL"/>
    <x v="0"/>
  </r>
  <r>
    <s v="SNCN00000290"/>
    <s v="NULL"/>
    <x v="0"/>
  </r>
  <r>
    <s v="SNCN00000367"/>
    <s v="NULL"/>
    <x v="0"/>
  </r>
  <r>
    <s v="SNCN00000382"/>
    <s v="NULL"/>
    <x v="0"/>
  </r>
  <r>
    <s v="SNCN00000610"/>
    <s v="NULL"/>
    <x v="0"/>
  </r>
  <r>
    <s v="SNCN00000944"/>
    <s v="NULL"/>
    <x v="0"/>
  </r>
  <r>
    <s v="31CMAH0000000000R262304820019220"/>
    <s v="NULL"/>
    <x v="1"/>
  </r>
  <r>
    <s v="31CMAH0000000000R262304820025410"/>
    <s v="NULL"/>
    <x v="1"/>
  </r>
  <r>
    <s v="31CMAH0000000000R962304820174780"/>
    <s v="NULL"/>
    <x v="1"/>
  </r>
  <r>
    <s v="31CMAH0000000000R962304820288710"/>
    <s v="NULL"/>
    <x v="1"/>
  </r>
  <r>
    <s v="31CMAH0000000000R962304820345590"/>
    <s v="NULL"/>
    <x v="1"/>
  </r>
  <r>
    <s v="31CMAHenergyS1xS2OVER1ENFGDRST0A"/>
    <s v="NULL"/>
    <x v="1"/>
  </r>
  <r>
    <s v="82000000007001990000200000644112"/>
    <s v="NULL"/>
    <x v="3"/>
  </r>
  <r>
    <s v="82000000007002087000200000644288"/>
    <s v="NULL"/>
    <x v="3"/>
  </r>
  <r>
    <s v="82000000007005586000200000648511"/>
    <s v="NULL"/>
    <x v="3"/>
  </r>
  <r>
    <s v="82000000007006339000200000646281"/>
    <s v="NULL"/>
    <x v="3"/>
  </r>
  <r>
    <s v="82000000007006385000200000424720"/>
    <s v="NULL"/>
    <x v="3"/>
  </r>
  <r>
    <s v="82000000007007710000200000685684"/>
    <s v="NULL"/>
    <x v="3"/>
  </r>
  <r>
    <s v="82000000007011483000200000680391"/>
    <s v="NULL"/>
    <x v="3"/>
  </r>
  <r>
    <s v="82000000007017957000200000761244"/>
    <s v="NULL"/>
    <x v="3"/>
  </r>
  <r>
    <s v="82000000007018038000200000658797"/>
    <s v="NULL"/>
    <x v="3"/>
  </r>
  <r>
    <s v="82000000007018695000200000560285"/>
    <s v="NULL"/>
    <x v="3"/>
  </r>
  <r>
    <s v="82000000008007606000530000886360"/>
    <s v="NULL"/>
    <x v="3"/>
  </r>
  <r>
    <s v="89CMAH2022000041R001520230085720"/>
    <s v="NULL"/>
    <x v="1"/>
  </r>
  <r>
    <s v="89CMAH2022000041R001520230144907"/>
    <s v="NULL"/>
    <x v="1"/>
  </r>
  <r>
    <s v="89CMAH2022000041R001520230177997"/>
    <s v="NULL"/>
    <x v="1"/>
  </r>
  <r>
    <s v="89CMAH2022000041R001520230178011"/>
    <s v="NULL"/>
    <x v="1"/>
  </r>
  <r>
    <s v="89CMAH2022000041R001520230178037"/>
    <s v="NULL"/>
    <x v="1"/>
  </r>
  <r>
    <s v="89CMAH2022000041R001520230178467"/>
    <s v="NULL"/>
    <x v="1"/>
  </r>
  <r>
    <s v="89CMAH2022000041R001520230178630"/>
    <s v="NULL"/>
    <x v="1"/>
  </r>
  <r>
    <s v="89CMAH2022000041R001520230234262"/>
    <s v="NULL"/>
    <x v="1"/>
  </r>
  <r>
    <s v="89CMAH2022000041R001520230234277"/>
    <s v="NULL"/>
    <x v="1"/>
  </r>
  <r>
    <s v="89CMAH2022000041R001520230234288"/>
    <s v="NULL"/>
    <x v="1"/>
  </r>
  <r>
    <s v="89CMAH2022000041R001520230234355"/>
    <s v="NULL"/>
    <x v="1"/>
  </r>
  <r>
    <s v="89CMAH2022000041R001520230234522"/>
    <s v="NULL"/>
    <x v="1"/>
  </r>
  <r>
    <s v="89CMAH2022000041R001520230234683"/>
    <s v="NULL"/>
    <x v="1"/>
  </r>
  <r>
    <s v="89CMAH2022000041R001520230234699"/>
    <s v="NULL"/>
    <x v="1"/>
  </r>
  <r>
    <s v="89CMAH2022000041R001520230234717"/>
    <s v="NULL"/>
    <x v="1"/>
  </r>
  <r>
    <s v="89CMAH2022000041R001520230289432"/>
    <s v="NULL"/>
    <x v="1"/>
  </r>
  <r>
    <s v="89CMAH2022000041R001520230289478"/>
    <s v="NULL"/>
    <x v="1"/>
  </r>
  <r>
    <s v="89CMAH2022000041R001520230289481"/>
    <s v="NULL"/>
    <x v="1"/>
  </r>
  <r>
    <s v="89CMAH2022000041R001520230289623"/>
    <s v="NULL"/>
    <x v="1"/>
  </r>
  <r>
    <s v="89CMAH2022000041R001520230289639"/>
    <s v="NULL"/>
    <x v="1"/>
  </r>
  <r>
    <s v="89CMAH2022000041R001520230289672"/>
    <s v="NULL"/>
    <x v="1"/>
  </r>
  <r>
    <s v="89CMAH2022000041R001520230289701"/>
    <s v="NULL"/>
    <x v="1"/>
  </r>
  <r>
    <s v="89CMAH2022000041R001520230289731"/>
    <s v="NULL"/>
    <x v="1"/>
  </r>
  <r>
    <s v="89CMAH2022000041R001520230289801"/>
    <s v="NULL"/>
    <x v="1"/>
  </r>
  <r>
    <s v="89CMAH2022000041R001520230289802"/>
    <s v="NULL"/>
    <x v="1"/>
  </r>
  <r>
    <s v="89CMAH2022000041R001520230289824"/>
    <s v="NULL"/>
    <x v="1"/>
  </r>
  <r>
    <s v="89CMAH2022000041R001520230289943"/>
    <s v="NULL"/>
    <x v="1"/>
  </r>
  <r>
    <s v="89CMAH2022000041R001520230290201"/>
    <s v="NULL"/>
    <x v="1"/>
  </r>
  <r>
    <s v="89CMAH2022000041R001520230290297"/>
    <s v="NULL"/>
    <x v="1"/>
  </r>
  <r>
    <s v="89CMAH2022000041R001520230290446"/>
    <s v="NULL"/>
    <x v="1"/>
  </r>
  <r>
    <s v="89CMAH2022000041R001520230290471"/>
    <s v="NULL"/>
    <x v="1"/>
  </r>
  <r>
    <s v="89CMAH2022000041R001520230290488"/>
    <s v="NULL"/>
    <x v="1"/>
  </r>
  <r>
    <s v="89CMAH2022000041R001520230290667"/>
    <s v="NULL"/>
    <x v="1"/>
  </r>
  <r>
    <s v="89CMAH2022000041R001520230290775"/>
    <s v="NULL"/>
    <x v="1"/>
  </r>
  <r>
    <s v="89CMAH2022000041R001520230290888"/>
    <s v="NULL"/>
    <x v="1"/>
  </r>
  <r>
    <s v="89CMAH2022000041R001520230290912"/>
    <s v="NULL"/>
    <x v="1"/>
  </r>
  <r>
    <s v="SNCN00000203"/>
    <s v="NULL"/>
    <x v="0"/>
  </r>
  <r>
    <s v="SNCN00000984"/>
    <s v="NULL"/>
    <x v="0"/>
  </r>
  <r>
    <s v="31000310193815091069674130100000"/>
    <s v="NULL"/>
    <x v="2"/>
  </r>
  <r>
    <s v="31CMAH0000000000R262304840020780"/>
    <s v="NULL"/>
    <x v="1"/>
  </r>
  <r>
    <s v="31CMAH0000000000R362304841024400"/>
    <s v="NULL"/>
    <x v="1"/>
  </r>
  <r>
    <s v="31CMAH0000000000R962304820228590"/>
    <s v="NULL"/>
    <x v="1"/>
  </r>
  <r>
    <s v="31CMAH0000000000R962304820338160"/>
    <s v="NULL"/>
    <x v="1"/>
  </r>
  <r>
    <s v="31CMAH0000000000R962304820340170"/>
    <s v="NULL"/>
    <x v="1"/>
  </r>
  <r>
    <s v="31CMAH0000000000R962304820358740"/>
    <s v="NULL"/>
    <x v="1"/>
  </r>
  <r>
    <s v="31CMAHenergyS1xS2OVER1ENFSMERT0G"/>
    <s v="NULL"/>
    <x v="1"/>
  </r>
  <r>
    <s v="82000000007001001000200000643427"/>
    <s v="NULL"/>
    <x v="3"/>
  </r>
  <r>
    <s v="82000000007003889000200000646623"/>
    <s v="NULL"/>
    <x v="3"/>
  </r>
  <r>
    <s v="82000000007010090000200000672579"/>
    <s v="NULL"/>
    <x v="3"/>
  </r>
  <r>
    <s v="82000000007010352000200000548039"/>
    <s v="NULL"/>
    <x v="3"/>
  </r>
  <r>
    <s v="82000000007011532000200000680996"/>
    <s v="NULL"/>
    <x v="3"/>
  </r>
  <r>
    <s v="82000000008007126000530000504892"/>
    <s v="NULL"/>
    <x v="3"/>
  </r>
  <r>
    <s v="890000201300031351000500C43636I0"/>
    <s v="NULL"/>
    <x v="4"/>
  </r>
  <r>
    <s v="89CMAH2022000041R001520220603846"/>
    <s v="NULL"/>
    <x v="1"/>
  </r>
  <r>
    <s v="89CMAH2022000041R001520230039454"/>
    <s v="NULL"/>
    <x v="1"/>
  </r>
  <r>
    <s v="89CMAH2022000041R001520230085841"/>
    <s v="NULL"/>
    <x v="1"/>
  </r>
  <r>
    <s v="89CMAH2022000041R001520230086181"/>
    <s v="NULL"/>
    <x v="1"/>
  </r>
  <r>
    <s v="89CMAH2022000041R001520230177906"/>
    <s v="NULL"/>
    <x v="1"/>
  </r>
  <r>
    <s v="89CMAH2022000041R001520230178027"/>
    <s v="NULL"/>
    <x v="1"/>
  </r>
  <r>
    <s v="89CMAH2022000041R001520230178149"/>
    <s v="NULL"/>
    <x v="1"/>
  </r>
  <r>
    <s v="89CMAH2022000041R001520230178177"/>
    <s v="NULL"/>
    <x v="1"/>
  </r>
  <r>
    <s v="89CMAH2022000041R001520230234119"/>
    <s v="NULL"/>
    <x v="1"/>
  </r>
  <r>
    <s v="89CMAH2022000041R001520230234140"/>
    <s v="NULL"/>
    <x v="1"/>
  </r>
  <r>
    <s v="89CMAH2022000041R001520230234217"/>
    <s v="NULL"/>
    <x v="1"/>
  </r>
  <r>
    <s v="89CMAH2022000041R001520230234393"/>
    <s v="NULL"/>
    <x v="1"/>
  </r>
  <r>
    <s v="89CMAH2022000041R001520230234462"/>
    <s v="NULL"/>
    <x v="1"/>
  </r>
  <r>
    <s v="89CMAH2022000041R001520230234678"/>
    <s v="NULL"/>
    <x v="1"/>
  </r>
  <r>
    <s v="89CMAH2022000041R001520230234716"/>
    <s v="NULL"/>
    <x v="1"/>
  </r>
  <r>
    <s v="89CMAH2022000041R001520230289320"/>
    <s v="NULL"/>
    <x v="1"/>
  </r>
  <r>
    <s v="89CMAH2022000041R001520230289406"/>
    <s v="NULL"/>
    <x v="1"/>
  </r>
  <r>
    <s v="89CMAH2022000041R001520230289564"/>
    <s v="NULL"/>
    <x v="1"/>
  </r>
  <r>
    <s v="89CMAH2022000041R001520230289652"/>
    <s v="NULL"/>
    <x v="1"/>
  </r>
  <r>
    <s v="89CMAH2022000041R001520230289697"/>
    <s v="NULL"/>
    <x v="1"/>
  </r>
  <r>
    <s v="89CMAH2022000041R001520230289716"/>
    <s v="NULL"/>
    <x v="1"/>
  </r>
  <r>
    <s v="89CMAH2022000041R001520230289733"/>
    <s v="NULL"/>
    <x v="1"/>
  </r>
  <r>
    <s v="89CMAH2022000041R001520230289761"/>
    <s v="NULL"/>
    <x v="1"/>
  </r>
  <r>
    <s v="89CMAH2022000041R001520230289787"/>
    <s v="NULL"/>
    <x v="1"/>
  </r>
  <r>
    <s v="89CMAH2022000041R001520230289796"/>
    <s v="NULL"/>
    <x v="1"/>
  </r>
  <r>
    <s v="89CMAH2022000041R001520230289815"/>
    <s v="NULL"/>
    <x v="1"/>
  </r>
  <r>
    <s v="89CMAH2022000041R001520230289861"/>
    <s v="NULL"/>
    <x v="1"/>
  </r>
  <r>
    <s v="89CMAH2022000041R001520230290040"/>
    <s v="NULL"/>
    <x v="1"/>
  </r>
  <r>
    <s v="89CMAH2022000041R001520230290070"/>
    <s v="NULL"/>
    <x v="1"/>
  </r>
  <r>
    <s v="89CMAH2022000041R001520230290187"/>
    <s v="NULL"/>
    <x v="1"/>
  </r>
  <r>
    <s v="89CMAH2022000041R001520230290290"/>
    <s v="NULL"/>
    <x v="1"/>
  </r>
  <r>
    <s v="89CMAH2022000041R001520230290401"/>
    <s v="NULL"/>
    <x v="1"/>
  </r>
  <r>
    <s v="89CMAH2022000041R001520230290566"/>
    <s v="NULL"/>
    <x v="1"/>
  </r>
  <r>
    <s v="89CMAH2022000041R001520230290569"/>
    <s v="NULL"/>
    <x v="1"/>
  </r>
  <r>
    <s v="89CMAH2022000041R001520230290646"/>
    <s v="NULL"/>
    <x v="1"/>
  </r>
  <r>
    <s v="89CMAH2022000041R001520230290744"/>
    <s v="NULL"/>
    <x v="1"/>
  </r>
  <r>
    <s v="89CMAH2022000041R001520230290824"/>
    <s v="NULL"/>
    <x v="1"/>
  </r>
  <r>
    <s v="89CMAH2022000041R001520230290828"/>
    <s v="NULL"/>
    <x v="1"/>
  </r>
  <r>
    <s v="89CMAH2022000041R001520230290895"/>
    <s v="NULL"/>
    <x v="1"/>
  </r>
  <r>
    <s v="SNCN00000151"/>
    <s v="NULL"/>
    <x v="0"/>
  </r>
  <r>
    <s v="SNCN00000322"/>
    <s v="NULL"/>
    <x v="0"/>
  </r>
  <r>
    <s v="SNCN00000377"/>
    <s v="NULL"/>
    <x v="0"/>
  </r>
  <r>
    <s v="SNCN00000485"/>
    <s v="NULL"/>
    <x v="0"/>
  </r>
  <r>
    <s v="SNCN00000746"/>
    <s v="NULL"/>
    <x v="0"/>
  </r>
  <r>
    <s v="SNCN00000977"/>
    <s v="NULL"/>
    <x v="0"/>
  </r>
  <r>
    <s v="SNCN00000979"/>
    <s v="NULL"/>
    <x v="0"/>
  </r>
  <r>
    <s v="SNCN00000981"/>
    <s v="NULL"/>
    <x v="0"/>
  </r>
  <r>
    <s v="31000310190837091069674630100000"/>
    <s v="NULL"/>
    <x v="2"/>
  </r>
  <r>
    <s v="31000310568892090069674230100000"/>
    <s v="NULL"/>
    <x v="2"/>
  </r>
  <r>
    <s v="31000050010765029000000000000000"/>
    <s v="NULL"/>
    <x v="2"/>
  </r>
  <r>
    <s v="31663600350114722363603501147220"/>
    <s v="NULL"/>
    <x v="2"/>
  </r>
  <r>
    <s v="31CMAH0000000000R262304820022810"/>
    <s v="NULL"/>
    <x v="1"/>
  </r>
  <r>
    <s v="31CMAH0000000000R262304840019840"/>
    <s v="NULL"/>
    <x v="1"/>
  </r>
  <r>
    <s v="31CMAH0000000000R599904815307260"/>
    <s v="NULL"/>
    <x v="1"/>
  </r>
  <r>
    <s v="31CMAH0000000000R962304820273750"/>
    <s v="NULL"/>
    <x v="1"/>
  </r>
  <r>
    <s v="31CMAH0000000000R962304820345600"/>
    <s v="NULL"/>
    <x v="1"/>
  </r>
  <r>
    <s v="31CMAH0000000000R962304820381260"/>
    <s v="NULL"/>
    <x v="1"/>
  </r>
  <r>
    <s v="31CMAH0000580004RXS0292898912000"/>
    <s v="NULL"/>
    <x v="1"/>
  </r>
  <r>
    <s v="82000000007004342000200000647209"/>
    <s v="NULL"/>
    <x v="3"/>
  </r>
  <r>
    <s v="82000000007004346000200000647206"/>
    <s v="NULL"/>
    <x v="3"/>
  </r>
  <r>
    <s v="82000000007004366000200000647130"/>
    <s v="NULL"/>
    <x v="3"/>
  </r>
  <r>
    <s v="82000000007006029000200000648810"/>
    <s v="NULL"/>
    <x v="3"/>
  </r>
  <r>
    <s v="82000000007006387000200000647511"/>
    <s v="NULL"/>
    <x v="3"/>
  </r>
  <r>
    <s v="82000000007008459000200000657382"/>
    <s v="NULL"/>
    <x v="3"/>
  </r>
  <r>
    <s v="82000000007011336000200000680755"/>
    <s v="NULL"/>
    <x v="3"/>
  </r>
  <r>
    <s v="89CMAH2022000041R001520230040011"/>
    <s v="NULL"/>
    <x v="1"/>
  </r>
  <r>
    <s v="89CMAH2022000041R001520230085855"/>
    <s v="NULL"/>
    <x v="1"/>
  </r>
  <r>
    <s v="89CMAH2022000041R001520230086085"/>
    <s v="NULL"/>
    <x v="1"/>
  </r>
  <r>
    <s v="89CMAH2022000041R001520230086160"/>
    <s v="NULL"/>
    <x v="1"/>
  </r>
  <r>
    <s v="89CMAH2022000041R001520230177878"/>
    <s v="NULL"/>
    <x v="1"/>
  </r>
  <r>
    <s v="89CMAH2022000041R001520230177930"/>
    <s v="NULL"/>
    <x v="1"/>
  </r>
  <r>
    <s v="89CMAH2022000041R001520230178032"/>
    <s v="NULL"/>
    <x v="1"/>
  </r>
  <r>
    <s v="89CMAH2022000041R001520230178053"/>
    <s v="NULL"/>
    <x v="1"/>
  </r>
  <r>
    <s v="89CMAH2022000041R001520230178190"/>
    <s v="NULL"/>
    <x v="1"/>
  </r>
  <r>
    <s v="89CMAH2022000041R001520230178544"/>
    <s v="NULL"/>
    <x v="1"/>
  </r>
  <r>
    <s v="89CMAH2022000041R001520230234036"/>
    <s v="NULL"/>
    <x v="1"/>
  </r>
  <r>
    <s v="89CMAH2022000041R001520230234132"/>
    <s v="NULL"/>
    <x v="1"/>
  </r>
  <r>
    <s v="89CMAH2022000041R001520230234292"/>
    <s v="NULL"/>
    <x v="1"/>
  </r>
  <r>
    <s v="89CMAH2022000041R001520230234332"/>
    <s v="NULL"/>
    <x v="1"/>
  </r>
  <r>
    <s v="89CMAH2022000041R001520230234438"/>
    <s v="NULL"/>
    <x v="1"/>
  </r>
  <r>
    <s v="89CMAH2022000041R001520230234469"/>
    <s v="NULL"/>
    <x v="1"/>
  </r>
  <r>
    <s v="89CMAH2022000041R001520230234500"/>
    <s v="NULL"/>
    <x v="1"/>
  </r>
  <r>
    <s v="89CMAH2022000041R001520230234507"/>
    <s v="NULL"/>
    <x v="1"/>
  </r>
  <r>
    <s v="89CMAH2022000041R001520230234684"/>
    <s v="NULL"/>
    <x v="1"/>
  </r>
  <r>
    <s v="89CMAH2022000041R001520230289293"/>
    <s v="NULL"/>
    <x v="1"/>
  </r>
  <r>
    <s v="89CMAH2022000041R001520230289344"/>
    <s v="NULL"/>
    <x v="1"/>
  </r>
  <r>
    <s v="89CMAH2022000041R001520230289367"/>
    <s v="NULL"/>
    <x v="1"/>
  </r>
  <r>
    <s v="89CMAH2022000041R001520230289394"/>
    <s v="NULL"/>
    <x v="1"/>
  </r>
  <r>
    <s v="89CMAH2022000041R001520230289440"/>
    <s v="NULL"/>
    <x v="1"/>
  </r>
  <r>
    <s v="89CMAH2022000041R001520230289466"/>
    <s v="NULL"/>
    <x v="1"/>
  </r>
  <r>
    <s v="89CMAH2022000041R001520230289522"/>
    <s v="NULL"/>
    <x v="1"/>
  </r>
  <r>
    <s v="89CMAH2022000041R001520230289591"/>
    <s v="NULL"/>
    <x v="1"/>
  </r>
  <r>
    <s v="89CMAH2022000041R001520230289663"/>
    <s v="NULL"/>
    <x v="1"/>
  </r>
  <r>
    <s v="89CMAH2022000041R001520230289713"/>
    <s v="NULL"/>
    <x v="1"/>
  </r>
  <r>
    <s v="89CMAH2022000041R001520230289823"/>
    <s v="NULL"/>
    <x v="1"/>
  </r>
  <r>
    <s v="89CMAH2022000041R001520230289838"/>
    <s v="NULL"/>
    <x v="1"/>
  </r>
  <r>
    <s v="89CMAH2022000041R001520230289916"/>
    <s v="NULL"/>
    <x v="1"/>
  </r>
  <r>
    <s v="89CMAH2022000041R001520230289928"/>
    <s v="NULL"/>
    <x v="1"/>
  </r>
  <r>
    <s v="89CMAH2022000041R001520230290008"/>
    <s v="NULL"/>
    <x v="1"/>
  </r>
  <r>
    <s v="89CMAH2022000041R001520230290083"/>
    <s v="NULL"/>
    <x v="1"/>
  </r>
  <r>
    <s v="89CMAH2022000041R001520230290093"/>
    <s v="NULL"/>
    <x v="1"/>
  </r>
  <r>
    <s v="89CMAH2022000041R001520230290154"/>
    <s v="NULL"/>
    <x v="1"/>
  </r>
  <r>
    <s v="89CMAH2022000041R001520230290294"/>
    <s v="NULL"/>
    <x v="1"/>
  </r>
  <r>
    <s v="89CMAH2022000041R001520230290370"/>
    <s v="NULL"/>
    <x v="1"/>
  </r>
  <r>
    <s v="89CMAH2022000041R001520230290416"/>
    <s v="NULL"/>
    <x v="1"/>
  </r>
  <r>
    <s v="89CMAH2022000041R001520230290476"/>
    <s v="NULL"/>
    <x v="1"/>
  </r>
  <r>
    <s v="89CMAH2022000041R001520230290519"/>
    <s v="NULL"/>
    <x v="1"/>
  </r>
  <r>
    <s v="89CMAH2022000041R001520230290544"/>
    <s v="NULL"/>
    <x v="1"/>
  </r>
  <r>
    <s v="89CMAH2022000041R001520230290561"/>
    <s v="NULL"/>
    <x v="1"/>
  </r>
  <r>
    <s v="89CMAH2022000041R001520230290635"/>
    <s v="NULL"/>
    <x v="1"/>
  </r>
  <r>
    <s v="89CMAH2022000041R001520230290680"/>
    <s v="NULL"/>
    <x v="1"/>
  </r>
  <r>
    <s v="89CMAH2022000041R001520230290681"/>
    <s v="NULL"/>
    <x v="1"/>
  </r>
  <r>
    <s v="89CMAH2022000041R001520230290725"/>
    <s v="NULL"/>
    <x v="1"/>
  </r>
  <r>
    <s v="89CMAH2022000041R001520230290784"/>
    <s v="NULL"/>
    <x v="1"/>
  </r>
  <r>
    <s v="89CMAH2022000041R001520230290845"/>
    <s v="NULL"/>
    <x v="1"/>
  </r>
  <r>
    <s v="89CMAH2022000041R001520230290868"/>
    <s v="NULL"/>
    <x v="1"/>
  </r>
  <r>
    <s v="89CMAH2022000041R001520230290882"/>
    <s v="NULL"/>
    <x v="1"/>
  </r>
  <r>
    <s v="89CMAH2022000041R001520230290905"/>
    <s v="NULL"/>
    <x v="1"/>
  </r>
  <r>
    <s v="89CMAH2022000041R001520230290906"/>
    <s v="NULL"/>
    <x v="1"/>
  </r>
  <r>
    <s v="SNCN00000216"/>
    <s v="NULL"/>
    <x v="0"/>
  </r>
  <r>
    <s v="SNCN00000334"/>
    <s v="NULL"/>
    <x v="0"/>
  </r>
  <r>
    <s v="SNCN00000420"/>
    <s v="NULL"/>
    <x v="0"/>
  </r>
  <r>
    <s v="SNCN00000491"/>
    <s v="NULL"/>
    <x v="0"/>
  </r>
  <r>
    <s v="SNCN00000766"/>
    <s v="NULL"/>
    <x v="0"/>
  </r>
  <r>
    <s v="SNCN00000804"/>
    <s v="NULL"/>
    <x v="0"/>
  </r>
  <r>
    <s v="SNCN00000879"/>
    <s v="NULL"/>
    <x v="0"/>
  </r>
  <r>
    <s v="SNCN00000890"/>
    <s v="NULL"/>
    <x v="0"/>
  </r>
  <r>
    <s v="31000800538759096000000000000000"/>
    <s v="NULL"/>
    <x v="2"/>
  </r>
  <r>
    <s v="31000310568934090069674340100000"/>
    <s v="NULL"/>
    <x v="2"/>
  </r>
  <r>
    <s v="31CMAH0000000000R162304848005620"/>
    <s v="NULL"/>
    <x v="1"/>
  </r>
  <r>
    <s v="31CMAH0000000000R962304820379000"/>
    <s v="NULL"/>
    <x v="1"/>
  </r>
  <r>
    <s v="31CMAH0000000000R962304820389300"/>
    <s v="NULL"/>
    <x v="1"/>
  </r>
  <r>
    <s v="31CMAH0000000000R962304820399850"/>
    <s v="NULL"/>
    <x v="1"/>
  </r>
  <r>
    <s v="31CMAH0000000000R962304830364570"/>
    <s v="NULL"/>
    <x v="1"/>
  </r>
  <r>
    <s v="31CMAHEUROSISTEMA000000000000000"/>
    <s v="NULL"/>
    <x v="1"/>
  </r>
  <r>
    <s v="82000000007001546000200000643806"/>
    <s v="NULL"/>
    <x v="3"/>
  </r>
  <r>
    <s v="82000000007001560000200000643810"/>
    <s v="NULL"/>
    <x v="3"/>
  </r>
  <r>
    <s v="82000000007002331000200000644573"/>
    <s v="NULL"/>
    <x v="3"/>
  </r>
  <r>
    <s v="82000000007003870000200000646612"/>
    <s v="NULL"/>
    <x v="3"/>
  </r>
  <r>
    <s v="82000000007004801000200000647752"/>
    <s v="NULL"/>
    <x v="3"/>
  </r>
  <r>
    <s v="82000000007004819000200000647743"/>
    <s v="NULL"/>
    <x v="3"/>
  </r>
  <r>
    <s v="82000000007008132000200000656212"/>
    <s v="NULL"/>
    <x v="3"/>
  </r>
  <r>
    <s v="89CMAH2022000041R001520230085408"/>
    <s v="NULL"/>
    <x v="1"/>
  </r>
  <r>
    <s v="89CMAH2022000041R001520230086049"/>
    <s v="NULL"/>
    <x v="1"/>
  </r>
  <r>
    <s v="89CMAH2022000041R001520230177989"/>
    <s v="NULL"/>
    <x v="1"/>
  </r>
  <r>
    <s v="89CMAH2022000041R001520230178144"/>
    <s v="NULL"/>
    <x v="1"/>
  </r>
  <r>
    <s v="89CMAH2022000041R001520230178496"/>
    <s v="NULL"/>
    <x v="1"/>
  </r>
  <r>
    <s v="89CMAH2022000041R001520230178557"/>
    <s v="NULL"/>
    <x v="1"/>
  </r>
  <r>
    <s v="89CMAH2022000041R001520230234082"/>
    <s v="NULL"/>
    <x v="1"/>
  </r>
  <r>
    <s v="89CMAH2022000041R001520230234252"/>
    <s v="NULL"/>
    <x v="1"/>
  </r>
  <r>
    <s v="89CMAH2022000041R001520230234317"/>
    <s v="NULL"/>
    <x v="1"/>
  </r>
  <r>
    <s v="89CMAH2022000041R001520230234399"/>
    <s v="NULL"/>
    <x v="1"/>
  </r>
  <r>
    <s v="89CMAH2022000041R001520230234408"/>
    <s v="NULL"/>
    <x v="1"/>
  </r>
  <r>
    <s v="89CMAH2022000041R001520230234422"/>
    <s v="NULL"/>
    <x v="1"/>
  </r>
  <r>
    <s v="89CMAH2022000041R001520230234457"/>
    <s v="NULL"/>
    <x v="1"/>
  </r>
  <r>
    <s v="89CMAH2022000041R001520230234489"/>
    <s v="NULL"/>
    <x v="1"/>
  </r>
  <r>
    <s v="89CMAH2022000041R001520230234640"/>
    <s v="NULL"/>
    <x v="1"/>
  </r>
  <r>
    <s v="89CMAH2022000041R001520230234671"/>
    <s v="NULL"/>
    <x v="1"/>
  </r>
  <r>
    <s v="89CMAH2022000041R001520230234690"/>
    <s v="NULL"/>
    <x v="1"/>
  </r>
  <r>
    <s v="89CMAH2022000041R001520230234695"/>
    <s v="NULL"/>
    <x v="1"/>
  </r>
  <r>
    <s v="89CMAH2022000041R001520230234709"/>
    <s v="NULL"/>
    <x v="1"/>
  </r>
  <r>
    <s v="89CMAH2022000041R001520230234728"/>
    <s v="NULL"/>
    <x v="1"/>
  </r>
  <r>
    <s v="89CMAH2022000041R001520230289332"/>
    <s v="NULL"/>
    <x v="1"/>
  </r>
  <r>
    <s v="89CMAH2022000041R001520230289333"/>
    <s v="NULL"/>
    <x v="1"/>
  </r>
  <r>
    <s v="89CMAH2022000041R001520230289435"/>
    <s v="NULL"/>
    <x v="1"/>
  </r>
  <r>
    <s v="89CMAH2022000041R001520230289467"/>
    <s v="NULL"/>
    <x v="1"/>
  </r>
  <r>
    <s v="89CMAH2022000041R001520230289516"/>
    <s v="NULL"/>
    <x v="1"/>
  </r>
  <r>
    <s v="89CMAH2022000041R001520230289558"/>
    <s v="NULL"/>
    <x v="1"/>
  </r>
  <r>
    <s v="89CMAH2022000041R001520230289636"/>
    <s v="NULL"/>
    <x v="1"/>
  </r>
  <r>
    <s v="89CMAH2022000041R001520230289739"/>
    <s v="NULL"/>
    <x v="1"/>
  </r>
  <r>
    <s v="89CMAH2022000041R001520230289757"/>
    <s v="NULL"/>
    <x v="1"/>
  </r>
  <r>
    <s v="89CMAH2022000041R001520230289771"/>
    <s v="NULL"/>
    <x v="1"/>
  </r>
  <r>
    <s v="89CMAH2022000041R001520230289812"/>
    <s v="NULL"/>
    <x v="1"/>
  </r>
  <r>
    <s v="89CMAH2022000041R001520230289967"/>
    <s v="NULL"/>
    <x v="1"/>
  </r>
  <r>
    <s v="89CMAH2022000041R001520230289997"/>
    <s v="NULL"/>
    <x v="1"/>
  </r>
  <r>
    <s v="89CMAH2022000041R001520230290032"/>
    <s v="NULL"/>
    <x v="1"/>
  </r>
  <r>
    <s v="89CMAH2022000041R001520230290089"/>
    <s v="NULL"/>
    <x v="1"/>
  </r>
  <r>
    <s v="89CMAH2022000041R001520230290136"/>
    <s v="NULL"/>
    <x v="1"/>
  </r>
  <r>
    <s v="89CMAH2022000041R001520230290191"/>
    <s v="NULL"/>
    <x v="1"/>
  </r>
  <r>
    <s v="89CMAH2022000041R001520230290210"/>
    <s v="NULL"/>
    <x v="1"/>
  </r>
  <r>
    <s v="89CMAH2022000041R001520230290250"/>
    <s v="NULL"/>
    <x v="1"/>
  </r>
  <r>
    <s v="89CMAH2022000041R001520230290326"/>
    <s v="NULL"/>
    <x v="1"/>
  </r>
  <r>
    <s v="89CMAH2022000041R001520230290359"/>
    <s v="NULL"/>
    <x v="1"/>
  </r>
  <r>
    <s v="89CMAH2022000041R001520230290410"/>
    <s v="NULL"/>
    <x v="1"/>
  </r>
  <r>
    <s v="89CMAH2022000041R001520230290421"/>
    <s v="NULL"/>
    <x v="1"/>
  </r>
  <r>
    <s v="89CMAH2022000041R001520230290449"/>
    <s v="NULL"/>
    <x v="1"/>
  </r>
  <r>
    <s v="89CMAH2022000041R001520230290453"/>
    <s v="NULL"/>
    <x v="1"/>
  </r>
  <r>
    <s v="89CMAH2022000041R001520230290505"/>
    <s v="NULL"/>
    <x v="1"/>
  </r>
  <r>
    <s v="89CMAH2022000041R001520230290554"/>
    <s v="NULL"/>
    <x v="1"/>
  </r>
  <r>
    <s v="89CMAH2022000041R001520230290668"/>
    <s v="NULL"/>
    <x v="1"/>
  </r>
  <r>
    <s v="89CMAH2022000041R001520230290735"/>
    <s v="NULL"/>
    <x v="1"/>
  </r>
  <r>
    <s v="89CMAH2022000041R001520230290848"/>
    <s v="NULL"/>
    <x v="1"/>
  </r>
  <r>
    <s v="89CMAH2022000041R001520230290887"/>
    <s v="NULL"/>
    <x v="1"/>
  </r>
  <r>
    <s v="SNCN00000095"/>
    <s v="NULL"/>
    <x v="0"/>
  </r>
  <r>
    <s v="SNCN00000248"/>
    <s v="NULL"/>
    <x v="0"/>
  </r>
  <r>
    <s v="SNCN00000402"/>
    <s v="NULL"/>
    <x v="0"/>
  </r>
  <r>
    <s v="SNCN00000405"/>
    <s v="NULL"/>
    <x v="0"/>
  </r>
  <r>
    <s v="SNCN00000463"/>
    <s v="NULL"/>
    <x v="0"/>
  </r>
  <r>
    <s v="SNCN00000597"/>
    <s v="NULL"/>
    <x v="0"/>
  </r>
  <r>
    <s v="31CMAH0000000000R262304820022630"/>
    <s v="NULL"/>
    <x v="1"/>
  </r>
  <r>
    <s v="31CMAH0000000000R262304840022010"/>
    <s v="NULL"/>
    <x v="1"/>
  </r>
  <r>
    <s v="31CMAH0000000000R962304820357170"/>
    <s v="NULL"/>
    <x v="1"/>
  </r>
  <r>
    <s v="31CMAH0000000000R962304820384930"/>
    <s v="NULL"/>
    <x v="1"/>
  </r>
  <r>
    <s v="31CMAH0000000000R962304820410130"/>
    <s v="NULL"/>
    <x v="1"/>
  </r>
  <r>
    <s v="31CMAH0000000000R962304840141090"/>
    <s v="NULL"/>
    <x v="1"/>
  </r>
  <r>
    <s v="82000000007006336000200000647123"/>
    <s v="NULL"/>
    <x v="3"/>
  </r>
  <r>
    <s v="82000000007006585000200000650362"/>
    <s v="NULL"/>
    <x v="3"/>
  </r>
  <r>
    <s v="82000000007008188000200000656462"/>
    <s v="NULL"/>
    <x v="3"/>
  </r>
  <r>
    <s v="82000000007017545000200000754949"/>
    <s v="NULL"/>
    <x v="3"/>
  </r>
  <r>
    <s v="316416SUPRIMENTOSPTTAE0AN0006000"/>
    <s v="NULL"/>
    <x v="5"/>
  </r>
  <r>
    <s v="31CMAH0000000000R262304820025720"/>
    <s v="NULL"/>
    <x v="1"/>
  </r>
  <r>
    <s v="31CMAH0000000000R262304840018380"/>
    <s v="NULL"/>
    <x v="1"/>
  </r>
  <r>
    <s v="31CMAH0000000000R262304840020050"/>
    <s v="NULL"/>
    <x v="1"/>
  </r>
  <r>
    <s v="31CMAH0000000000R962304820402570"/>
    <s v="NULL"/>
    <x v="1"/>
  </r>
  <r>
    <s v="31CMAHenergyS1xS2OVER1ENFSMERT0H"/>
    <s v="NULL"/>
    <x v="1"/>
  </r>
  <r>
    <s v="89CMAH2022000041R001520230040002"/>
    <s v="NULL"/>
    <x v="1"/>
  </r>
  <r>
    <s v="89CMAH2022000041R001520230144801"/>
    <s v="NULL"/>
    <x v="1"/>
  </r>
  <r>
    <s v="89CMAH2022000041R001520230144826"/>
    <s v="NULL"/>
    <x v="1"/>
  </r>
  <r>
    <s v="89CMAH2022000041R001520230145020"/>
    <s v="NULL"/>
    <x v="1"/>
  </r>
  <r>
    <s v="89CMAH2022000041R001520230177872"/>
    <s v="NULL"/>
    <x v="1"/>
  </r>
  <r>
    <s v="89CMAH2022000041R001520230177879"/>
    <s v="NULL"/>
    <x v="1"/>
  </r>
  <r>
    <s v="89CMAH2022000041R001520230177939"/>
    <s v="NULL"/>
    <x v="1"/>
  </r>
  <r>
    <s v="89CMAH2022000041R001520230178129"/>
    <s v="NULL"/>
    <x v="1"/>
  </r>
  <r>
    <s v="89CMAH2022000041R001520230178476"/>
    <s v="NULL"/>
    <x v="1"/>
  </r>
  <r>
    <s v="89CMAH2022000041R001520230178521"/>
    <s v="NULL"/>
    <x v="1"/>
  </r>
  <r>
    <s v="89CMAH2022000041R001520230178601"/>
    <s v="NULL"/>
    <x v="1"/>
  </r>
  <r>
    <s v="89CMAH2022000041R001520230233994"/>
    <s v="NULL"/>
    <x v="1"/>
  </r>
  <r>
    <s v="89CMAH2022000041R001520230234006"/>
    <s v="NULL"/>
    <x v="1"/>
  </r>
  <r>
    <s v="89CMAH2022000041R001520230234092"/>
    <s v="NULL"/>
    <x v="1"/>
  </r>
  <r>
    <s v="89CMAH2022000041R001520230234170"/>
    <s v="NULL"/>
    <x v="1"/>
  </r>
  <r>
    <s v="89CMAH2022000041R001520230234212"/>
    <s v="NULL"/>
    <x v="1"/>
  </r>
  <r>
    <s v="89CMAH2022000041R001520230234223"/>
    <s v="NULL"/>
    <x v="1"/>
  </r>
  <r>
    <s v="89CMAH2022000041R001520230234358"/>
    <s v="NULL"/>
    <x v="1"/>
  </r>
  <r>
    <s v="89CMAH2022000041R001520230234359"/>
    <s v="NULL"/>
    <x v="1"/>
  </r>
  <r>
    <s v="89CMAH2022000041R001520230234423"/>
    <s v="NULL"/>
    <x v="1"/>
  </r>
  <r>
    <s v="89CMAH2022000041R001520230234424"/>
    <s v="NULL"/>
    <x v="1"/>
  </r>
  <r>
    <s v="89CMAH2022000041R001520230234515"/>
    <s v="NULL"/>
    <x v="1"/>
  </r>
  <r>
    <s v="89CMAH2022000041R001520230234521"/>
    <s v="NULL"/>
    <x v="1"/>
  </r>
  <r>
    <s v="89CMAH2022000041R001520230234564"/>
    <s v="NULL"/>
    <x v="1"/>
  </r>
  <r>
    <s v="89CMAH2022000041R001520230234631"/>
    <s v="NULL"/>
    <x v="1"/>
  </r>
  <r>
    <s v="89CMAH2022000041R001520230234656"/>
    <s v="NULL"/>
    <x v="1"/>
  </r>
  <r>
    <s v="89CMAH2022000041R001520230234680"/>
    <s v="NULL"/>
    <x v="1"/>
  </r>
  <r>
    <s v="89CMAH2022000041R001520230289298"/>
    <s v="NULL"/>
    <x v="1"/>
  </r>
  <r>
    <s v="89CMAH2022000041R001520230289305"/>
    <s v="NULL"/>
    <x v="1"/>
  </r>
  <r>
    <s v="89CMAH2022000041R001520230289347"/>
    <s v="NULL"/>
    <x v="1"/>
  </r>
  <r>
    <s v="89CMAH2022000041R001520230289588"/>
    <s v="NULL"/>
    <x v="1"/>
  </r>
  <r>
    <s v="89CMAH2022000041R001520230289600"/>
    <s v="NULL"/>
    <x v="1"/>
  </r>
  <r>
    <s v="89CMAH2022000041R001520230289603"/>
    <s v="NULL"/>
    <x v="1"/>
  </r>
  <r>
    <s v="89CMAH2022000041R001520230289641"/>
    <s v="NULL"/>
    <x v="1"/>
  </r>
  <r>
    <s v="89CMAH2022000041R001520230289658"/>
    <s v="NULL"/>
    <x v="1"/>
  </r>
  <r>
    <s v="89CMAH2022000041R001520230289759"/>
    <s v="NULL"/>
    <x v="1"/>
  </r>
  <r>
    <s v="89CMAH2022000041R001520230289810"/>
    <s v="NULL"/>
    <x v="1"/>
  </r>
  <r>
    <s v="89CMAH2022000041R001520230289931"/>
    <s v="NULL"/>
    <x v="1"/>
  </r>
  <r>
    <s v="89CMAH2022000041R001520230289941"/>
    <s v="NULL"/>
    <x v="1"/>
  </r>
  <r>
    <s v="89CMAH2022000041R001520230290079"/>
    <s v="NULL"/>
    <x v="1"/>
  </r>
  <r>
    <s v="89CMAH2022000041R001520230290091"/>
    <s v="NULL"/>
    <x v="1"/>
  </r>
  <r>
    <s v="89CMAH2022000041R001520230290263"/>
    <s v="NULL"/>
    <x v="1"/>
  </r>
  <r>
    <s v="89CMAH2022000041R001520230290283"/>
    <s v="NULL"/>
    <x v="1"/>
  </r>
  <r>
    <s v="89CMAH2022000041R001520230290381"/>
    <s v="NULL"/>
    <x v="1"/>
  </r>
  <r>
    <s v="89CMAH2022000041R001520230290385"/>
    <s v="NULL"/>
    <x v="1"/>
  </r>
  <r>
    <s v="89CMAH2022000041R001520230290409"/>
    <s v="NULL"/>
    <x v="1"/>
  </r>
  <r>
    <s v="89CMAH2022000041R001520230290419"/>
    <s v="NULL"/>
    <x v="1"/>
  </r>
  <r>
    <s v="89CMAH2022000041R001520230290452"/>
    <s v="NULL"/>
    <x v="1"/>
  </r>
  <r>
    <s v="89CMAH2022000041R001520230290469"/>
    <s v="NULL"/>
    <x v="1"/>
  </r>
  <r>
    <s v="89CMAH2022000041R001520230290508"/>
    <s v="NULL"/>
    <x v="1"/>
  </r>
  <r>
    <s v="89CMAH2022000041R001520230290636"/>
    <s v="NULL"/>
    <x v="1"/>
  </r>
  <r>
    <s v="89CMAH2022000041R001520230290692"/>
    <s v="NULL"/>
    <x v="1"/>
  </r>
  <r>
    <s v="89CMAH2022000041R001520230290841"/>
    <s v="NULL"/>
    <x v="1"/>
  </r>
  <r>
    <s v="89CMAH2022000041R001520230290899"/>
    <s v="NULL"/>
    <x v="1"/>
  </r>
  <r>
    <s v="SNCN00000047"/>
    <s v="NULL"/>
    <x v="0"/>
  </r>
  <r>
    <s v="SNCN00000364"/>
    <s v="NULL"/>
    <x v="0"/>
  </r>
  <r>
    <s v="SNCN00000473"/>
    <s v="NULL"/>
    <x v="0"/>
  </r>
  <r>
    <s v="SNCN00000761"/>
    <s v="NULL"/>
    <x v="0"/>
  </r>
  <r>
    <s v="82000000007000526000200000530351"/>
    <s v="NULL"/>
    <x v="3"/>
  </r>
  <r>
    <s v="82000000007002443000200000644681"/>
    <s v="NULL"/>
    <x v="3"/>
  </r>
  <r>
    <s v="82000000007003302000200000645957"/>
    <s v="NULL"/>
    <x v="3"/>
  </r>
  <r>
    <s v="82000000007009175000200000663119"/>
    <s v="NULL"/>
    <x v="3"/>
  </r>
  <r>
    <s v="82000000007011502000200000681067"/>
    <s v="NULL"/>
    <x v="3"/>
  </r>
  <r>
    <s v="82000000007012034000200000680295"/>
    <s v="NULL"/>
    <x v="3"/>
  </r>
  <r>
    <s v="82000000007012750000200000684862"/>
    <s v="NULL"/>
    <x v="3"/>
  </r>
  <r>
    <s v="82000000007015046000200000672366"/>
    <s v="NULL"/>
    <x v="3"/>
  </r>
  <r>
    <s v="82000000007017946000200000761228"/>
    <s v="NULL"/>
    <x v="3"/>
  </r>
  <r>
    <s v="89CMAH2022000041R001520230085809"/>
    <s v="NULL"/>
    <x v="1"/>
  </r>
  <r>
    <s v="89CMAH2022000041R001520230145092"/>
    <s v="NULL"/>
    <x v="1"/>
  </r>
  <r>
    <s v="89CMAH2022000041R001520230177895"/>
    <s v="NULL"/>
    <x v="1"/>
  </r>
  <r>
    <s v="89CMAH2022000041R001520230177902"/>
    <s v="NULL"/>
    <x v="1"/>
  </r>
  <r>
    <s v="89CMAH2022000041R001520230177911"/>
    <s v="NULL"/>
    <x v="1"/>
  </r>
  <r>
    <s v="89CMAH2022000041R001520230178004"/>
    <s v="NULL"/>
    <x v="1"/>
  </r>
  <r>
    <s v="89CMAH2022000041R001520230178018"/>
    <s v="NULL"/>
    <x v="1"/>
  </r>
  <r>
    <s v="89CMAH2022000041R001520230178070"/>
    <s v="NULL"/>
    <x v="1"/>
  </r>
  <r>
    <s v="89CMAH2022000041R001520230178132"/>
    <s v="NULL"/>
    <x v="1"/>
  </r>
  <r>
    <s v="89CMAH2022000041R001520230233990"/>
    <s v="NULL"/>
    <x v="1"/>
  </r>
  <r>
    <s v="89CMAH2022000041R001520230234051"/>
    <s v="NULL"/>
    <x v="1"/>
  </r>
  <r>
    <s v="89CMAH2022000041R001520230234219"/>
    <s v="NULL"/>
    <x v="1"/>
  </r>
  <r>
    <s v="89CMAH2022000041R001520230234327"/>
    <s v="NULL"/>
    <x v="1"/>
  </r>
  <r>
    <s v="89CMAH2022000041R001520230234349"/>
    <s v="NULL"/>
    <x v="1"/>
  </r>
  <r>
    <s v="89CMAH2022000041R001520230234490"/>
    <s v="NULL"/>
    <x v="1"/>
  </r>
  <r>
    <s v="89CMAH2022000041R001520230234520"/>
    <s v="NULL"/>
    <x v="1"/>
  </r>
  <r>
    <s v="89CMAH2022000041R001520230234676"/>
    <s v="NULL"/>
    <x v="1"/>
  </r>
  <r>
    <s v="89CMAH2022000041R001520230289324"/>
    <s v="NULL"/>
    <x v="1"/>
  </r>
  <r>
    <s v="89CMAH2022000041R001520230289361"/>
    <s v="NULL"/>
    <x v="1"/>
  </r>
  <r>
    <s v="89CMAH2022000041R001520230289434"/>
    <s v="NULL"/>
    <x v="1"/>
  </r>
  <r>
    <s v="89CMAH2022000041R001520230289486"/>
    <s v="NULL"/>
    <x v="1"/>
  </r>
  <r>
    <s v="89CMAH2022000041R001520230289498"/>
    <s v="NULL"/>
    <x v="1"/>
  </r>
  <r>
    <s v="89CMAH2022000041R001520230289580"/>
    <s v="NULL"/>
    <x v="1"/>
  </r>
  <r>
    <s v="89CMAH2022000041R001520230289582"/>
    <s v="NULL"/>
    <x v="1"/>
  </r>
  <r>
    <s v="89CMAH2022000041R001520230289598"/>
    <s v="NULL"/>
    <x v="1"/>
  </r>
  <r>
    <s v="89CMAH2022000041R001520230289708"/>
    <s v="NULL"/>
    <x v="1"/>
  </r>
  <r>
    <s v="89CMAH2022000041R001520230289799"/>
    <s v="NULL"/>
    <x v="1"/>
  </r>
  <r>
    <s v="89CMAH2022000041R001520230289807"/>
    <s v="NULL"/>
    <x v="1"/>
  </r>
  <r>
    <s v="89CMAH2022000041R001520230289830"/>
    <s v="NULL"/>
    <x v="1"/>
  </r>
  <r>
    <s v="89CMAH2022000041R001520230289842"/>
    <s v="NULL"/>
    <x v="1"/>
  </r>
  <r>
    <s v="89CMAH2022000041R001520230289942"/>
    <s v="NULL"/>
    <x v="1"/>
  </r>
  <r>
    <s v="89CMAH2022000041R001520230290033"/>
    <s v="NULL"/>
    <x v="1"/>
  </r>
  <r>
    <s v="89CMAH2022000041R001520230290104"/>
    <s v="NULL"/>
    <x v="1"/>
  </r>
  <r>
    <s v="89CMAH2022000041R001520230290127"/>
    <s v="NULL"/>
    <x v="1"/>
  </r>
  <r>
    <s v="89CMAH2022000041R001520230290365"/>
    <s v="NULL"/>
    <x v="1"/>
  </r>
  <r>
    <s v="89CMAH2022000041R001520230290366"/>
    <s v="NULL"/>
    <x v="1"/>
  </r>
  <r>
    <s v="89CMAH2022000041R001520230290558"/>
    <s v="NULL"/>
    <x v="1"/>
  </r>
  <r>
    <s v="89CMAH2022000041R001520230290598"/>
    <s v="NULL"/>
    <x v="1"/>
  </r>
  <r>
    <s v="89CMAH2022000041R001520230290630"/>
    <s v="NULL"/>
    <x v="1"/>
  </r>
  <r>
    <s v="89CMAH2022000041R001520230290674"/>
    <s v="NULL"/>
    <x v="1"/>
  </r>
  <r>
    <s v="89CMAH2022000041R001520230290686"/>
    <s v="NULL"/>
    <x v="1"/>
  </r>
  <r>
    <s v="89CMAH2022000041R001520230290762"/>
    <s v="NULL"/>
    <x v="1"/>
  </r>
  <r>
    <s v="89CMAH2022000041R001520230290807"/>
    <s v="NULL"/>
    <x v="1"/>
  </r>
  <r>
    <s v="89CMAH2022000041R001520230290816"/>
    <s v="NULL"/>
    <x v="1"/>
  </r>
  <r>
    <s v="89CMAH2022000041R001520230290858"/>
    <s v="NULL"/>
    <x v="1"/>
  </r>
  <r>
    <s v="89CMAH2022000041R001520230290908"/>
    <s v="NULL"/>
    <x v="1"/>
  </r>
  <r>
    <s v="SNCN00000034"/>
    <s v="NULL"/>
    <x v="0"/>
  </r>
  <r>
    <s v="SNCN00000035"/>
    <s v="NULL"/>
    <x v="0"/>
  </r>
  <r>
    <s v="SNCN00000123"/>
    <s v="NULL"/>
    <x v="0"/>
  </r>
  <r>
    <s v="SNCN00000147"/>
    <s v="NULL"/>
    <x v="0"/>
  </r>
  <r>
    <s v="SNCN00000235"/>
    <s v="NULL"/>
    <x v="0"/>
  </r>
  <r>
    <s v="SNCN00000264"/>
    <s v="NULL"/>
    <x v="0"/>
  </r>
  <r>
    <s v="SNCN00000443"/>
    <s v="NULL"/>
    <x v="0"/>
  </r>
  <r>
    <s v="SNCN00000459"/>
    <s v="NULL"/>
    <x v="0"/>
  </r>
  <r>
    <s v="SNCN00000557"/>
    <s v="NULL"/>
    <x v="0"/>
  </r>
  <r>
    <s v="SNCN00000757"/>
    <s v="NULL"/>
    <x v="0"/>
  </r>
  <r>
    <s v="SNCN00000785"/>
    <s v="NULL"/>
    <x v="0"/>
  </r>
  <r>
    <s v="SNCN00000845"/>
    <s v="NULL"/>
    <x v="0"/>
  </r>
  <r>
    <s v="SNCN00000858"/>
    <s v="NULL"/>
    <x v="0"/>
  </r>
  <r>
    <s v="SNCN00000928"/>
    <s v="NULL"/>
    <x v="0"/>
  </r>
  <r>
    <s v="31000310568975090069674650100000"/>
    <s v="NULL"/>
    <x v="2"/>
  </r>
  <r>
    <s v="31000310171753091069673560100000"/>
    <s v="NULL"/>
    <x v="2"/>
  </r>
  <r>
    <s v="31000310568876090069674150100000"/>
    <s v="NULL"/>
    <x v="2"/>
  </r>
  <r>
    <s v="31CMAH0000000000R262304820020190"/>
    <s v="NULL"/>
    <x v="1"/>
  </r>
  <r>
    <s v="31CMAH0000000000R262304820023080"/>
    <s v="NULL"/>
    <x v="1"/>
  </r>
  <r>
    <s v="31CMAH0000000000R962304820241980"/>
    <s v="NULL"/>
    <x v="1"/>
  </r>
  <r>
    <s v="31CMAH0000000000R962304820345580"/>
    <s v="NULL"/>
    <x v="1"/>
  </r>
  <r>
    <s v="31CMAH0000000000R962304820409870"/>
    <s v="NULL"/>
    <x v="1"/>
  </r>
  <r>
    <s v="82000000007001158000200000643552"/>
    <s v="NULL"/>
    <x v="3"/>
  </r>
  <r>
    <s v="82000000007001747000200000644001"/>
    <s v="NULL"/>
    <x v="3"/>
  </r>
  <r>
    <s v="82000000007002272000200000644376"/>
    <s v="NULL"/>
    <x v="3"/>
  </r>
  <r>
    <s v="82000000007004295000200000647161"/>
    <s v="NULL"/>
    <x v="3"/>
  </r>
  <r>
    <s v="82000000007004367000200000647073"/>
    <s v="NULL"/>
    <x v="3"/>
  </r>
  <r>
    <s v="82000000007007261000200000652713"/>
    <s v="NULL"/>
    <x v="3"/>
  </r>
  <r>
    <s v="82000000007018692000200000643150"/>
    <s v="NULL"/>
    <x v="3"/>
  </r>
  <r>
    <s v="31CMAH0000000000R262304820019340"/>
    <s v="NULL"/>
    <x v="1"/>
  </r>
  <r>
    <s v="31CMAH0000000000R962304820336320"/>
    <s v="NULL"/>
    <x v="1"/>
  </r>
  <r>
    <s v="31CMAH0000000000R962304820373350"/>
    <s v="NULL"/>
    <x v="1"/>
  </r>
  <r>
    <s v="31CMAH0000000000R962304820412140"/>
    <s v="NULL"/>
    <x v="1"/>
  </r>
  <r>
    <s v="31CMAHbckstop2023BACK3ENFSMERT0I"/>
    <s v="NULL"/>
    <x v="1"/>
  </r>
  <r>
    <s v="82000000007004812000200000647771"/>
    <s v="NULL"/>
    <x v="3"/>
  </r>
  <r>
    <s v="82000000007004843000200000647754"/>
    <s v="NULL"/>
    <x v="3"/>
  </r>
  <r>
    <s v="82000000007007048000200000651897"/>
    <s v="NULL"/>
    <x v="3"/>
  </r>
  <r>
    <s v="82000000007007251000200000652692"/>
    <s v="NULL"/>
    <x v="3"/>
  </r>
  <r>
    <s v="82000000007008176000200000656457"/>
    <s v="NULL"/>
    <x v="3"/>
  </r>
  <r>
    <s v="89CMAH2022000041R001520220603126"/>
    <s v="NULL"/>
    <x v="1"/>
  </r>
  <r>
    <s v="89CMAH2022000041R001520230086170"/>
    <s v="NULL"/>
    <x v="1"/>
  </r>
  <r>
    <s v="89CMAH2022000041R001520230144677"/>
    <s v="NULL"/>
    <x v="1"/>
  </r>
  <r>
    <s v="89CMAH2022000041R001520230178076"/>
    <s v="NULL"/>
    <x v="1"/>
  </r>
  <r>
    <s v="89CMAH2022000041R001520230178135"/>
    <s v="NULL"/>
    <x v="1"/>
  </r>
  <r>
    <s v="89CMAH2022000041R001520230178215"/>
    <s v="NULL"/>
    <x v="1"/>
  </r>
  <r>
    <s v="89CMAH2022000041R001520230178290"/>
    <s v="NULL"/>
    <x v="1"/>
  </r>
  <r>
    <s v="89CMAH2022000041R001520230178355"/>
    <s v="NULL"/>
    <x v="1"/>
  </r>
  <r>
    <s v="89CMAH2022000041R001520230233991"/>
    <s v="NULL"/>
    <x v="1"/>
  </r>
  <r>
    <s v="89CMAH2022000041R001520230234060"/>
    <s v="NULL"/>
    <x v="1"/>
  </r>
  <r>
    <s v="89CMAH2022000041R001520230234177"/>
    <s v="NULL"/>
    <x v="1"/>
  </r>
  <r>
    <s v="89CMAH2022000041R001520230234196"/>
    <s v="NULL"/>
    <x v="1"/>
  </r>
  <r>
    <s v="89CMAH2022000041R001520230234200"/>
    <s v="NULL"/>
    <x v="1"/>
  </r>
  <r>
    <s v="89CMAH2022000041R001520230234227"/>
    <s v="NULL"/>
    <x v="1"/>
  </r>
  <r>
    <s v="89CMAH2022000041R001520230234321"/>
    <s v="NULL"/>
    <x v="1"/>
  </r>
  <r>
    <s v="89CMAH2022000041R001520230234390"/>
    <s v="NULL"/>
    <x v="1"/>
  </r>
  <r>
    <s v="89CMAH2022000041R001520230234512"/>
    <s v="NULL"/>
    <x v="1"/>
  </r>
  <r>
    <s v="89CMAH2022000041R001520230234585"/>
    <s v="NULL"/>
    <x v="1"/>
  </r>
  <r>
    <s v="89CMAH2022000041R001520230289366"/>
    <s v="NULL"/>
    <x v="1"/>
  </r>
  <r>
    <s v="89CMAH2022000041R001520230289452"/>
    <s v="NULL"/>
    <x v="1"/>
  </r>
  <r>
    <s v="89CMAH2022000041R001520230289480"/>
    <s v="NULL"/>
    <x v="1"/>
  </r>
  <r>
    <s v="89CMAH2022000041R001520230289506"/>
    <s v="NULL"/>
    <x v="1"/>
  </r>
  <r>
    <s v="89CMAH2022000041R001520230289524"/>
    <s v="NULL"/>
    <x v="1"/>
  </r>
  <r>
    <s v="89CMAH2022000041R001520230289607"/>
    <s v="NULL"/>
    <x v="1"/>
  </r>
  <r>
    <s v="89CMAH2022000041R001520230289634"/>
    <s v="NULL"/>
    <x v="1"/>
  </r>
  <r>
    <s v="89CMAH2022000041R001520230289737"/>
    <s v="NULL"/>
    <x v="1"/>
  </r>
  <r>
    <s v="89CMAH2022000041R001520230289753"/>
    <s v="NULL"/>
    <x v="1"/>
  </r>
  <r>
    <s v="89CMAH2022000041R001520230289755"/>
    <s v="NULL"/>
    <x v="1"/>
  </r>
  <r>
    <s v="89CMAH2022000041R001520230289789"/>
    <s v="NULL"/>
    <x v="1"/>
  </r>
  <r>
    <s v="89CMAH2022000041R001520230289821"/>
    <s v="NULL"/>
    <x v="1"/>
  </r>
  <r>
    <s v="89CMAH2022000041R001520230289956"/>
    <s v="NULL"/>
    <x v="1"/>
  </r>
  <r>
    <s v="89CMAH2022000041R001520230289959"/>
    <s v="NULL"/>
    <x v="1"/>
  </r>
  <r>
    <s v="89CMAH2022000041R001520230289977"/>
    <s v="NULL"/>
    <x v="1"/>
  </r>
  <r>
    <s v="89CMAH2022000041R001520230290058"/>
    <s v="NULL"/>
    <x v="1"/>
  </r>
  <r>
    <s v="89CMAH2022000041R001520230290114"/>
    <s v="NULL"/>
    <x v="1"/>
  </r>
  <r>
    <s v="89CMAH2022000041R001520230290237"/>
    <s v="NULL"/>
    <x v="1"/>
  </r>
  <r>
    <s v="89CMAH2022000041R001520230290358"/>
    <s v="NULL"/>
    <x v="1"/>
  </r>
  <r>
    <s v="89CMAH2022000041R001520230290369"/>
    <s v="NULL"/>
    <x v="1"/>
  </r>
  <r>
    <s v="89CMAH2022000041R001520230290397"/>
    <s v="NULL"/>
    <x v="1"/>
  </r>
  <r>
    <s v="89CMAH2022000041R001520230290404"/>
    <s v="NULL"/>
    <x v="1"/>
  </r>
  <r>
    <s v="89CMAH2022000041R001520230290434"/>
    <s v="NULL"/>
    <x v="1"/>
  </r>
  <r>
    <s v="89CMAH2022000041R001520230290451"/>
    <s v="NULL"/>
    <x v="1"/>
  </r>
  <r>
    <s v="89CMAH2022000041R001520230290611"/>
    <s v="NULL"/>
    <x v="1"/>
  </r>
  <r>
    <s v="89CMAH2022000041R001520230290712"/>
    <s v="NULL"/>
    <x v="1"/>
  </r>
  <r>
    <s v="89CMAH2022000041R001520230290739"/>
    <s v="NULL"/>
    <x v="1"/>
  </r>
  <r>
    <s v="89CMAH2022000041R001520230290844"/>
    <s v="NULL"/>
    <x v="1"/>
  </r>
  <r>
    <s v="89CMAH2022000041R001520230290876"/>
    <s v="NULL"/>
    <x v="1"/>
  </r>
  <r>
    <s v="89CMAH2022000041R001520230290916"/>
    <s v="NULL"/>
    <x v="1"/>
  </r>
  <r>
    <s v="89CMAH2022000041R001520230290927"/>
    <s v="NULL"/>
    <x v="1"/>
  </r>
  <r>
    <s v="SNCN00000100"/>
    <s v="NULL"/>
    <x v="0"/>
  </r>
  <r>
    <s v="SNCN00000181"/>
    <s v="NULL"/>
    <x v="0"/>
  </r>
  <r>
    <s v="SNCN00000186"/>
    <s v="NULL"/>
    <x v="0"/>
  </r>
  <r>
    <s v="SNCN00000189"/>
    <s v="NULL"/>
    <x v="0"/>
  </r>
  <r>
    <s v="SNCN00000213"/>
    <s v="NULL"/>
    <x v="0"/>
  </r>
  <r>
    <s v="SNCN00000258"/>
    <s v="NULL"/>
    <x v="0"/>
  </r>
  <r>
    <s v="SNCN00000273"/>
    <s v="NULL"/>
    <x v="0"/>
  </r>
  <r>
    <s v="SNCN00000326"/>
    <s v="NULL"/>
    <x v="0"/>
  </r>
  <r>
    <s v="SNCN00000373"/>
    <s v="NULL"/>
    <x v="0"/>
  </r>
  <r>
    <s v="SNCN00000549"/>
    <s v="NULL"/>
    <x v="0"/>
  </r>
  <r>
    <s v="SNCN00000639"/>
    <s v="NULL"/>
    <x v="0"/>
  </r>
  <r>
    <s v="SNCN00000734"/>
    <s v="NULL"/>
    <x v="0"/>
  </r>
  <r>
    <s v="SNCN00000942"/>
    <s v="NULL"/>
    <x v="0"/>
  </r>
  <r>
    <s v="89CMAH2022000041R001520220603537"/>
    <s v="NULL"/>
    <x v="1"/>
  </r>
  <r>
    <s v="89CMAH2022000041R001520230144802"/>
    <s v="NULL"/>
    <x v="1"/>
  </r>
  <r>
    <s v="89CMAH2022000041R001520230177901"/>
    <s v="NULL"/>
    <x v="1"/>
  </r>
  <r>
    <s v="89CMAH2022000041R001520230177923"/>
    <s v="NULL"/>
    <x v="1"/>
  </r>
  <r>
    <s v="89CMAH2022000041R001520230178471"/>
    <s v="NULL"/>
    <x v="1"/>
  </r>
  <r>
    <s v="89CMAH2022000041R001520230234324"/>
    <s v="NULL"/>
    <x v="1"/>
  </r>
  <r>
    <s v="89CMAH2022000041R001520230234328"/>
    <s v="NULL"/>
    <x v="1"/>
  </r>
  <r>
    <s v="89CMAH2022000041R001520230234449"/>
    <s v="NULL"/>
    <x v="1"/>
  </r>
  <r>
    <s v="89CMAH2022000041R001520230234484"/>
    <s v="NULL"/>
    <x v="1"/>
  </r>
  <r>
    <s v="89CMAH2022000041R001520230234495"/>
    <s v="NULL"/>
    <x v="1"/>
  </r>
  <r>
    <s v="89CMAH2022000041R001520230234718"/>
    <s v="NULL"/>
    <x v="1"/>
  </r>
  <r>
    <s v="89CMAH2022000041R001520230289279"/>
    <s v="NULL"/>
    <x v="1"/>
  </r>
  <r>
    <s v="89CMAH2022000041R001520230289284"/>
    <s v="NULL"/>
    <x v="1"/>
  </r>
  <r>
    <s v="89CMAH2022000041R001520230289316"/>
    <s v="NULL"/>
    <x v="1"/>
  </r>
  <r>
    <s v="89CMAH2022000041R001520230289363"/>
    <s v="NULL"/>
    <x v="1"/>
  </r>
  <r>
    <s v="89CMAH2022000041R001520230289500"/>
    <s v="NULL"/>
    <x v="1"/>
  </r>
  <r>
    <s v="89CMAH2022000041R001520230289557"/>
    <s v="NULL"/>
    <x v="1"/>
  </r>
  <r>
    <s v="89CMAH2022000041R001520230289570"/>
    <s v="NULL"/>
    <x v="1"/>
  </r>
  <r>
    <s v="89CMAH2022000041R001520230289590"/>
    <s v="NULL"/>
    <x v="1"/>
  </r>
  <r>
    <s v="89CMAH2022000041R001520230289625"/>
    <s v="NULL"/>
    <x v="1"/>
  </r>
  <r>
    <s v="89CMAH2022000041R001520230289695"/>
    <s v="NULL"/>
    <x v="1"/>
  </r>
  <r>
    <s v="89CMAH2022000041R001520230289770"/>
    <s v="NULL"/>
    <x v="1"/>
  </r>
  <r>
    <s v="89CMAH2022000041R001520230289804"/>
    <s v="NULL"/>
    <x v="1"/>
  </r>
  <r>
    <s v="89CMAH2022000041R001520230289868"/>
    <s v="NULL"/>
    <x v="1"/>
  </r>
  <r>
    <s v="89CMAH2022000041R001520230289870"/>
    <s v="NULL"/>
    <x v="1"/>
  </r>
  <r>
    <s v="89CMAH2022000041R001520230290002"/>
    <s v="NULL"/>
    <x v="1"/>
  </r>
  <r>
    <s v="89CMAH2022000041R001520230290018"/>
    <s v="NULL"/>
    <x v="1"/>
  </r>
  <r>
    <s v="89CMAH2022000041R001520230290041"/>
    <s v="NULL"/>
    <x v="1"/>
  </r>
  <r>
    <s v="89CMAH2022000041R001520230290205"/>
    <s v="NULL"/>
    <x v="1"/>
  </r>
  <r>
    <s v="89CMAH2022000041R001520230290229"/>
    <s v="NULL"/>
    <x v="1"/>
  </r>
  <r>
    <s v="89CMAH2022000041R001520230290308"/>
    <s v="NULL"/>
    <x v="1"/>
  </r>
  <r>
    <s v="89CMAH2022000041R001520230290334"/>
    <s v="NULL"/>
    <x v="1"/>
  </r>
  <r>
    <s v="89CMAH2022000041R001520230290346"/>
    <s v="NULL"/>
    <x v="1"/>
  </r>
  <r>
    <s v="89CMAH2022000041R001520230290389"/>
    <s v="NULL"/>
    <x v="1"/>
  </r>
  <r>
    <s v="89CMAH2022000041R001520230290403"/>
    <s v="NULL"/>
    <x v="1"/>
  </r>
  <r>
    <s v="89CMAH2022000041R001520230290407"/>
    <s v="NULL"/>
    <x v="1"/>
  </r>
  <r>
    <s v="89CMAH2022000041R001520230290425"/>
    <s v="NULL"/>
    <x v="1"/>
  </r>
  <r>
    <s v="89CMAH2022000041R001520230290428"/>
    <s v="NULL"/>
    <x v="1"/>
  </r>
  <r>
    <s v="89CMAH2022000041R001520230290450"/>
    <s v="NULL"/>
    <x v="1"/>
  </r>
  <r>
    <s v="89CMAH2022000041R001520230290483"/>
    <s v="NULL"/>
    <x v="1"/>
  </r>
  <r>
    <s v="89CMAH2022000041R001520230290520"/>
    <s v="NULL"/>
    <x v="1"/>
  </r>
  <r>
    <s v="89CMAH2022000041R001520230290533"/>
    <s v="NULL"/>
    <x v="1"/>
  </r>
  <r>
    <s v="89CMAH2022000041R001520230290603"/>
    <s v="NULL"/>
    <x v="1"/>
  </r>
  <r>
    <s v="89CMAH2022000041R001520230290615"/>
    <s v="NULL"/>
    <x v="1"/>
  </r>
  <r>
    <s v="89CMAH2022000041R001520230290732"/>
    <s v="NULL"/>
    <x v="1"/>
  </r>
  <r>
    <s v="89CMAH2022000041R001520230290740"/>
    <s v="NULL"/>
    <x v="1"/>
  </r>
  <r>
    <s v="89CMAH2022000041R001520230290788"/>
    <s v="NULL"/>
    <x v="1"/>
  </r>
  <r>
    <s v="89CMAH2022000041R001520230290821"/>
    <s v="NULL"/>
    <x v="1"/>
  </r>
  <r>
    <s v="89CMAH2022000041R001520230290827"/>
    <s v="NULL"/>
    <x v="1"/>
  </r>
  <r>
    <s v="89CMAH2022000041R001520230290901"/>
    <s v="NULL"/>
    <x v="1"/>
  </r>
  <r>
    <s v="89CMAH2022000041R001520230290926"/>
    <s v="NULL"/>
    <x v="1"/>
  </r>
  <r>
    <s v="SNCN00000196"/>
    <s v="NULL"/>
    <x v="0"/>
  </r>
  <r>
    <s v="SNCN00000638"/>
    <s v="NULL"/>
    <x v="0"/>
  </r>
  <r>
    <s v="SNCN00000745"/>
    <s v="NULL"/>
    <x v="0"/>
  </r>
  <r>
    <s v="SNCN00000882"/>
    <s v="NULL"/>
    <x v="0"/>
  </r>
  <r>
    <s v="SNCN00000947"/>
    <s v="NULL"/>
    <x v="0"/>
  </r>
  <r>
    <s v="31CMAH0000000000R262304840019830"/>
    <s v="NULL"/>
    <x v="1"/>
  </r>
  <r>
    <s v="31CMAH0000000000R262304840022330"/>
    <s v="NULL"/>
    <x v="1"/>
  </r>
  <r>
    <s v="31CMAH0000000000R962304820311050"/>
    <s v="NULL"/>
    <x v="1"/>
  </r>
  <r>
    <s v="31CMAH0000000000R962304820380160"/>
    <s v="NULL"/>
    <x v="1"/>
  </r>
  <r>
    <s v="31CMAH0000000000R962304820381270"/>
    <s v="NULL"/>
    <x v="1"/>
  </r>
  <r>
    <s v="31CMAH0000000000R962304820395580"/>
    <s v="NULL"/>
    <x v="1"/>
  </r>
  <r>
    <s v="31CMAH0000000000R962304820406830"/>
    <s v="NULL"/>
    <x v="1"/>
  </r>
  <r>
    <s v="82000000000116136000420000106336"/>
    <s v="NULL"/>
    <x v="3"/>
  </r>
  <r>
    <s v="82000000007002198000200000644518"/>
    <s v="NULL"/>
    <x v="3"/>
  </r>
  <r>
    <s v="82000000007004032000200000646698"/>
    <s v="NULL"/>
    <x v="3"/>
  </r>
  <r>
    <s v="82000000007004385000200000647178"/>
    <s v="NULL"/>
    <x v="3"/>
  </r>
  <r>
    <s v="82000000007012699000200000677718"/>
    <s v="NULL"/>
    <x v="3"/>
  </r>
  <r>
    <s v="89CMAH2022000041R001520230086292"/>
    <s v="NULL"/>
    <x v="1"/>
  </r>
  <r>
    <s v="89CMAH2022000041R001520230144657"/>
    <s v="NULL"/>
    <x v="1"/>
  </r>
  <r>
    <s v="89CMAH2022000041R001520230144866"/>
    <s v="NULL"/>
    <x v="1"/>
  </r>
  <r>
    <s v="89CMAH2022000041R001520230145010"/>
    <s v="NULL"/>
    <x v="1"/>
  </r>
  <r>
    <s v="89CMAH2022000041R001520230145195"/>
    <s v="NULL"/>
    <x v="1"/>
  </r>
  <r>
    <s v="89CMAH2022000041R001520230178107"/>
    <s v="NULL"/>
    <x v="1"/>
  </r>
  <r>
    <s v="89CMAH2022000041R001520230178291"/>
    <s v="NULL"/>
    <x v="1"/>
  </r>
  <r>
    <s v="89CMAH2022000041R001520230178572"/>
    <s v="NULL"/>
    <x v="1"/>
  </r>
  <r>
    <s v="89CMAH2022000041R001520230178632"/>
    <s v="NULL"/>
    <x v="1"/>
  </r>
  <r>
    <s v="89CMAH2022000041R001520230233996"/>
    <s v="NULL"/>
    <x v="1"/>
  </r>
  <r>
    <s v="89CMAH2022000041R001520230234106"/>
    <s v="NULL"/>
    <x v="1"/>
  </r>
  <r>
    <s v="89CMAH2022000041R001520230234137"/>
    <s v="NULL"/>
    <x v="1"/>
  </r>
  <r>
    <s v="89CMAH2022000041R001520230234265"/>
    <s v="NULL"/>
    <x v="1"/>
  </r>
  <r>
    <s v="89CMAH2022000041R001520230234290"/>
    <s v="NULL"/>
    <x v="1"/>
  </r>
  <r>
    <s v="89CMAH2022000041R001520230234444"/>
    <s v="NULL"/>
    <x v="1"/>
  </r>
  <r>
    <s v="89CMAH2022000041R001520230234734"/>
    <s v="NULL"/>
    <x v="1"/>
  </r>
  <r>
    <s v="89CMAH2022000041R001520230234735"/>
    <s v="NULL"/>
    <x v="1"/>
  </r>
  <r>
    <s v="89CMAH2022000041R001520230289523"/>
    <s v="NULL"/>
    <x v="1"/>
  </r>
  <r>
    <s v="89CMAH2022000041R001520230289627"/>
    <s v="NULL"/>
    <x v="1"/>
  </r>
  <r>
    <s v="89CMAH2022000041R001520230289794"/>
    <s v="NULL"/>
    <x v="1"/>
  </r>
  <r>
    <s v="89CMAH2022000041R001520230289840"/>
    <s v="NULL"/>
    <x v="1"/>
  </r>
  <r>
    <s v="89CMAH2022000041R001520230289849"/>
    <s v="NULL"/>
    <x v="1"/>
  </r>
  <r>
    <s v="89CMAH2022000041R001520230289920"/>
    <s v="NULL"/>
    <x v="1"/>
  </r>
  <r>
    <s v="89CMAH2022000041R001520230289970"/>
    <s v="NULL"/>
    <x v="1"/>
  </r>
  <r>
    <s v="89CMAH2022000041R001520230290022"/>
    <s v="NULL"/>
    <x v="1"/>
  </r>
  <r>
    <s v="89CMAH2022000041R001520230290025"/>
    <s v="NULL"/>
    <x v="1"/>
  </r>
  <r>
    <s v="89CMAH2022000041R001520230290029"/>
    <s v="NULL"/>
    <x v="1"/>
  </r>
  <r>
    <s v="89CMAH2022000041R001520230290034"/>
    <s v="NULL"/>
    <x v="1"/>
  </r>
  <r>
    <s v="89CMAH2022000041R001520230290045"/>
    <s v="NULL"/>
    <x v="1"/>
  </r>
  <r>
    <s v="89CMAH2022000041R001520230290048"/>
    <s v="NULL"/>
    <x v="1"/>
  </r>
  <r>
    <s v="89CMAH2022000041R001520230290068"/>
    <s v="NULL"/>
    <x v="1"/>
  </r>
  <r>
    <s v="89CMAH2022000041R001520230290071"/>
    <s v="NULL"/>
    <x v="1"/>
  </r>
  <r>
    <s v="89CMAH2022000041R001520230290078"/>
    <s v="NULL"/>
    <x v="1"/>
  </r>
  <r>
    <s v="89CMAH2022000041R001520230290234"/>
    <s v="NULL"/>
    <x v="1"/>
  </r>
  <r>
    <s v="89CMAH2022000041R001520230290337"/>
    <s v="NULL"/>
    <x v="1"/>
  </r>
  <r>
    <s v="89CMAH2022000041R001520230290371"/>
    <s v="NULL"/>
    <x v="1"/>
  </r>
  <r>
    <s v="89CMAH2022000041R001520230290402"/>
    <s v="NULL"/>
    <x v="1"/>
  </r>
  <r>
    <s v="89CMAH2022000041R001520230290423"/>
    <s v="NULL"/>
    <x v="1"/>
  </r>
  <r>
    <s v="89CMAH2022000041R001520230290478"/>
    <s v="NULL"/>
    <x v="1"/>
  </r>
  <r>
    <s v="89CMAH2022000041R001520230290498"/>
    <s v="NULL"/>
    <x v="1"/>
  </r>
  <r>
    <s v="89CMAH2022000041R001520230290506"/>
    <s v="NULL"/>
    <x v="1"/>
  </r>
  <r>
    <s v="89CMAH2022000041R001520230290518"/>
    <s v="NULL"/>
    <x v="1"/>
  </r>
  <r>
    <s v="89CMAH2022000041R001520230290547"/>
    <s v="NULL"/>
    <x v="1"/>
  </r>
  <r>
    <s v="89CMAH2022000041R001520230290575"/>
    <s v="NULL"/>
    <x v="1"/>
  </r>
  <r>
    <s v="89CMAH2022000041R001520230290605"/>
    <s v="NULL"/>
    <x v="1"/>
  </r>
  <r>
    <s v="89CMAH2022000041R001520230290726"/>
    <s v="NULL"/>
    <x v="1"/>
  </r>
  <r>
    <s v="89CMAH2022000041R001520230290781"/>
    <s v="NULL"/>
    <x v="1"/>
  </r>
  <r>
    <s v="89CMAH2022000041R001520230290799"/>
    <s v="NULL"/>
    <x v="1"/>
  </r>
  <r>
    <s v="89CMAH2022000041R001520230290808"/>
    <s v="NULL"/>
    <x v="1"/>
  </r>
  <r>
    <s v="SNCN00000073"/>
    <s v="NULL"/>
    <x v="0"/>
  </r>
  <r>
    <s v="SNCN00000125"/>
    <s v="NULL"/>
    <x v="0"/>
  </r>
  <r>
    <s v="SNCN00000576"/>
    <s v="NULL"/>
    <x v="0"/>
  </r>
  <r>
    <s v="SNCN00000948"/>
    <s v="NULL"/>
    <x v="0"/>
  </r>
  <r>
    <s v="31000010699891149000000000000000"/>
    <s v="NULL"/>
    <x v="2"/>
  </r>
  <r>
    <s v="31000300063544096000000000000000"/>
    <s v="NULL"/>
    <x v="2"/>
  </r>
  <r>
    <s v="31000010680591149000000000000000"/>
    <s v="NULL"/>
    <x v="2"/>
  </r>
  <r>
    <s v="31000303542734096000000000000000"/>
    <s v="NULL"/>
    <x v="2"/>
  </r>
  <r>
    <s v="31000310545486090069674280100000"/>
    <s v="NULL"/>
    <x v="2"/>
  </r>
  <r>
    <s v="31000050101080149000000000000000"/>
    <s v="NULL"/>
    <x v="2"/>
  </r>
  <r>
    <s v="31000310559875090069674310100000"/>
    <s v="NULL"/>
    <x v="2"/>
  </r>
  <r>
    <s v="31000311930032043000000000000000"/>
    <s v="NULL"/>
    <x v="2"/>
  </r>
  <r>
    <s v="31000310402829090069674720100000"/>
    <s v="NULL"/>
    <x v="2"/>
  </r>
  <r>
    <s v="31CMAH0000000000R162304840071020"/>
    <s v="NULL"/>
    <x v="1"/>
  </r>
  <r>
    <s v="31CMAH0000000000R162304880044030"/>
    <s v="NULL"/>
    <x v="1"/>
  </r>
  <r>
    <s v="31CMAH0000000000R262304840020020"/>
    <s v="NULL"/>
    <x v="1"/>
  </r>
  <r>
    <s v="31CMAH0000000000R599904815306540"/>
    <s v="NULL"/>
    <x v="1"/>
  </r>
  <r>
    <s v="31CMAH0000000000R962304820163410"/>
    <s v="NULL"/>
    <x v="1"/>
  </r>
  <r>
    <s v="31CMAH0000000000R962304820254330"/>
    <s v="NULL"/>
    <x v="1"/>
  </r>
  <r>
    <s v="31CMAH0000000000R962304820340440"/>
    <s v="NULL"/>
    <x v="1"/>
  </r>
  <r>
    <s v="31CMAH0000000000R962304820373100"/>
    <s v="NULL"/>
    <x v="1"/>
  </r>
  <r>
    <s v="31CMAH0000000000R962304820394290"/>
    <s v="NULL"/>
    <x v="1"/>
  </r>
  <r>
    <s v="82000000000153940000450000532666"/>
    <s v="NULL"/>
    <x v="3"/>
  </r>
  <r>
    <s v="82000000007000136000200000642311"/>
    <s v="NULL"/>
    <x v="3"/>
  </r>
  <r>
    <s v="82000000007000988000200000643411"/>
    <s v="NULL"/>
    <x v="3"/>
  </r>
  <r>
    <s v="82000000007003902000200000646635"/>
    <s v="NULL"/>
    <x v="3"/>
  </r>
  <r>
    <s v="82000000007011501000200000681068"/>
    <s v="NULL"/>
    <x v="3"/>
  </r>
  <r>
    <s v="89CMAH2022000041R001520220603045"/>
    <s v="NULL"/>
    <x v="1"/>
  </r>
  <r>
    <s v="89CMAH2022000041R001520230085844"/>
    <s v="NULL"/>
    <x v="1"/>
  </r>
  <r>
    <s v="89CMAH2022000041R001520230086268"/>
    <s v="NULL"/>
    <x v="1"/>
  </r>
  <r>
    <s v="89CMAH2022000041R001520230145030"/>
    <s v="NULL"/>
    <x v="1"/>
  </r>
  <r>
    <s v="89CMAH2022000041R001520230177937"/>
    <s v="NULL"/>
    <x v="1"/>
  </r>
  <r>
    <s v="89CMAH2022000041R001520230177958"/>
    <s v="NULL"/>
    <x v="1"/>
  </r>
  <r>
    <s v="89CMAH2022000041R001520230178063"/>
    <s v="NULL"/>
    <x v="1"/>
  </r>
  <r>
    <s v="89CMAH2022000041R001520230178580"/>
    <s v="NULL"/>
    <x v="1"/>
  </r>
  <r>
    <s v="89CMAH2022000041R001520230178613"/>
    <s v="NULL"/>
    <x v="1"/>
  </r>
  <r>
    <s v="89CMAH2022000041R001520230234100"/>
    <s v="NULL"/>
    <x v="1"/>
  </r>
  <r>
    <s v="89CMAH2022000041R001520230234174"/>
    <s v="NULL"/>
    <x v="1"/>
  </r>
  <r>
    <s v="89CMAH2022000041R001520230234215"/>
    <s v="NULL"/>
    <x v="1"/>
  </r>
  <r>
    <s v="89CMAH2022000041R001520230234348"/>
    <s v="NULL"/>
    <x v="1"/>
  </r>
  <r>
    <s v="89CMAH2022000041R001520230234404"/>
    <s v="NULL"/>
    <x v="1"/>
  </r>
  <r>
    <s v="89CMAH2022000041R001520230234465"/>
    <s v="NULL"/>
    <x v="1"/>
  </r>
  <r>
    <s v="89CMAH2022000041R001520230234477"/>
    <s v="NULL"/>
    <x v="1"/>
  </r>
  <r>
    <s v="89CMAH2022000041R001520230234502"/>
    <s v="NULL"/>
    <x v="1"/>
  </r>
  <r>
    <s v="89CMAH2022000041R001520230234530"/>
    <s v="NULL"/>
    <x v="1"/>
  </r>
  <r>
    <s v="89CMAH2022000041R001520230234711"/>
    <s v="NULL"/>
    <x v="1"/>
  </r>
  <r>
    <s v="89CMAH2022000041R001520230289282"/>
    <s v="NULL"/>
    <x v="1"/>
  </r>
  <r>
    <s v="89CMAH2022000041R001520230289285"/>
    <s v="NULL"/>
    <x v="1"/>
  </r>
  <r>
    <s v="89CMAH2022000041R001520230289453"/>
    <s v="NULL"/>
    <x v="1"/>
  </r>
  <r>
    <s v="89CMAH2022000041R001520230289528"/>
    <s v="NULL"/>
    <x v="1"/>
  </r>
  <r>
    <s v="89CMAH2022000041R001520230289555"/>
    <s v="NULL"/>
    <x v="1"/>
  </r>
  <r>
    <s v="89CMAH2022000041R001520230289568"/>
    <s v="NULL"/>
    <x v="1"/>
  </r>
  <r>
    <s v="89CMAH2022000041R001520230289618"/>
    <s v="NULL"/>
    <x v="1"/>
  </r>
  <r>
    <s v="89CMAH2022000041R001520230289635"/>
    <s v="NULL"/>
    <x v="1"/>
  </r>
  <r>
    <s v="89CMAH2022000041R001520230289779"/>
    <s v="NULL"/>
    <x v="1"/>
  </r>
  <r>
    <s v="89CMAH2022000041R001520230289795"/>
    <s v="NULL"/>
    <x v="1"/>
  </r>
  <r>
    <s v="89CMAH2022000041R001520230289879"/>
    <s v="NULL"/>
    <x v="1"/>
  </r>
  <r>
    <s v="89CMAH2022000041R001520230289894"/>
    <s v="NULL"/>
    <x v="1"/>
  </r>
  <r>
    <s v="89CMAH2022000041R001520230289932"/>
    <s v="NULL"/>
    <x v="1"/>
  </r>
  <r>
    <s v="89CMAH2022000041R001520230290010"/>
    <s v="NULL"/>
    <x v="1"/>
  </r>
  <r>
    <s v="89CMAH2022000041R001520230290102"/>
    <s v="NULL"/>
    <x v="1"/>
  </r>
  <r>
    <s v="89CMAH2022000041R001520230290108"/>
    <s v="NULL"/>
    <x v="1"/>
  </r>
  <r>
    <s v="89CMAH2022000041R001520230290156"/>
    <s v="NULL"/>
    <x v="1"/>
  </r>
  <r>
    <s v="89CMAH2022000041R001520230290236"/>
    <s v="NULL"/>
    <x v="1"/>
  </r>
  <r>
    <s v="89CMAH2022000041R001520230290336"/>
    <s v="NULL"/>
    <x v="1"/>
  </r>
  <r>
    <s v="89CMAH2022000041R001520230290396"/>
    <s v="NULL"/>
    <x v="1"/>
  </r>
  <r>
    <s v="89CMAH2022000041R001520230290399"/>
    <s v="NULL"/>
    <x v="1"/>
  </r>
  <r>
    <s v="89CMAH2022000041R001520230290585"/>
    <s v="NULL"/>
    <x v="1"/>
  </r>
  <r>
    <s v="89CMAH2022000041R001520230290594"/>
    <s v="NULL"/>
    <x v="1"/>
  </r>
  <r>
    <s v="89CMAH2022000041R001520230290601"/>
    <s v="NULL"/>
    <x v="1"/>
  </r>
  <r>
    <s v="89CMAH2022000041R001520230290731"/>
    <s v="NULL"/>
    <x v="1"/>
  </r>
  <r>
    <s v="89CMAH2022000041R001520230290755"/>
    <s v="NULL"/>
    <x v="1"/>
  </r>
  <r>
    <s v="89CMAH2022000041R001520230290764"/>
    <s v="NULL"/>
    <x v="1"/>
  </r>
  <r>
    <s v="89CMAH2022000041R001520230290805"/>
    <s v="NULL"/>
    <x v="1"/>
  </r>
  <r>
    <s v="89CMAH2022000041R001520230290806"/>
    <s v="NULL"/>
    <x v="1"/>
  </r>
  <r>
    <s v="89CMAH2022000041R001520230290809"/>
    <s v="NULL"/>
    <x v="1"/>
  </r>
  <r>
    <s v="89CMAH2022000041R001520230290864"/>
    <s v="NULL"/>
    <x v="1"/>
  </r>
  <r>
    <s v="SNCN00000112"/>
    <s v="NULL"/>
    <x v="0"/>
  </r>
  <r>
    <s v="SNCN00000121"/>
    <s v="NULL"/>
    <x v="0"/>
  </r>
  <r>
    <s v="SNCN00000148"/>
    <s v="NULL"/>
    <x v="0"/>
  </r>
  <r>
    <s v="SNCN00000220"/>
    <s v="NULL"/>
    <x v="0"/>
  </r>
  <r>
    <s v="SNCN00000236"/>
    <s v="NULL"/>
    <x v="0"/>
  </r>
  <r>
    <s v="SNCN00000311"/>
    <s v="NULL"/>
    <x v="0"/>
  </r>
  <r>
    <s v="SNCN00000336"/>
    <s v="NULL"/>
    <x v="0"/>
  </r>
  <r>
    <s v="SNCN00000423"/>
    <s v="NULL"/>
    <x v="0"/>
  </r>
  <r>
    <s v="SNCN00000861"/>
    <s v="NULL"/>
    <x v="0"/>
  </r>
  <r>
    <s v="SNCN00000866"/>
    <s v="NULL"/>
    <x v="0"/>
  </r>
  <r>
    <s v="SNCN00000926"/>
    <s v="NULL"/>
    <x v="0"/>
  </r>
  <r>
    <s v="SNCN00000954"/>
    <s v="NULL"/>
    <x v="0"/>
  </r>
  <r>
    <s v="31CMAH0000000000R262304840019270"/>
    <s v="NULL"/>
    <x v="1"/>
  </r>
  <r>
    <s v="31CMAH0000000000R262304840019610"/>
    <s v="NULL"/>
    <x v="1"/>
  </r>
  <r>
    <s v="31CMAH0000000000R262304840021030"/>
    <s v="NULL"/>
    <x v="1"/>
  </r>
  <r>
    <s v="31CMAH0000000000R962304820177650"/>
    <s v="NULL"/>
    <x v="1"/>
  </r>
  <r>
    <s v="31CMAH0000000000R962304820405670"/>
    <s v="NULL"/>
    <x v="1"/>
  </r>
  <r>
    <s v="31CMAH0000000000R962304870356080"/>
    <s v="NULL"/>
    <x v="1"/>
  </r>
  <r>
    <s v="31CMAH22222996020000000000000000"/>
    <s v="NULL"/>
    <x v="1"/>
  </r>
  <r>
    <s v="31CMAHenergyS1xS2OVER1ENFGDRST0G"/>
    <s v="NULL"/>
    <x v="1"/>
  </r>
  <r>
    <s v="82000000000126917000450000426454"/>
    <s v="NULL"/>
    <x v="3"/>
  </r>
  <r>
    <s v="31CMAH0000000000R162304880071650"/>
    <s v="NULL"/>
    <x v="1"/>
  </r>
  <r>
    <s v="31CMAH0000000000R262304840017920"/>
    <s v="NULL"/>
    <x v="1"/>
  </r>
  <r>
    <s v="31CMAH0000000000R262304840019810"/>
    <s v="NULL"/>
    <x v="1"/>
  </r>
  <r>
    <s v="31CMAH0000000000R962304820154140"/>
    <s v="NULL"/>
    <x v="1"/>
  </r>
  <r>
    <s v="31CMAH0000000000R962304820252720"/>
    <s v="NULL"/>
    <x v="1"/>
  </r>
  <r>
    <s v="31CMAH0000000000R962304820306080"/>
    <s v="NULL"/>
    <x v="1"/>
  </r>
  <r>
    <s v="31CMAH0000000000R962304820370880"/>
    <s v="NULL"/>
    <x v="1"/>
  </r>
  <r>
    <s v="31CMAH0000000000R962304880360060"/>
    <s v="NULL"/>
    <x v="1"/>
  </r>
  <r>
    <s v="82000000000110505000420000416255"/>
    <s v="NULL"/>
    <x v="3"/>
  </r>
  <r>
    <s v="31CMAH0000000000R262304820024990"/>
    <s v="NULL"/>
    <x v="1"/>
  </r>
  <r>
    <s v="31CMAH0000000000R962304820275080"/>
    <s v="NULL"/>
    <x v="1"/>
  </r>
  <r>
    <s v="31CMAH0000000000R962304820341100"/>
    <s v="NULL"/>
    <x v="1"/>
  </r>
  <r>
    <s v="31CMAH0000000000R962304820376940"/>
    <s v="NULL"/>
    <x v="1"/>
  </r>
  <r>
    <s v="31CMAH0000000000R962304820378990"/>
    <s v="NULL"/>
    <x v="1"/>
  </r>
  <r>
    <s v="31CMAH0000000000R962304820399860"/>
    <s v="NULL"/>
    <x v="1"/>
  </r>
  <r>
    <s v="31CMAH0000000000R962304820409450"/>
    <s v="NULL"/>
    <x v="1"/>
  </r>
  <r>
    <s v="31CMAH0000000000R262304820009380"/>
    <s v="NULL"/>
    <x v="1"/>
  </r>
  <r>
    <s v="31CMAH0000000000R262304820026620"/>
    <s v="NULL"/>
    <x v="1"/>
  </r>
  <r>
    <s v="31CMAH0000000000R262304840026320"/>
    <s v="NULL"/>
    <x v="1"/>
  </r>
  <r>
    <s v="31CMAH0000000000R362304820959710"/>
    <s v="NULL"/>
    <x v="1"/>
  </r>
  <r>
    <s v="31CMAH0000000000R962304820267450"/>
    <s v="NULL"/>
    <x v="1"/>
  </r>
  <r>
    <s v="31CMAH0000000000R962304820287070"/>
    <s v="NULL"/>
    <x v="1"/>
  </r>
  <r>
    <s v="31CMAH0000000000R962304820340160"/>
    <s v="NULL"/>
    <x v="1"/>
  </r>
  <r>
    <s v="31CMAH0000000000R962304820400490"/>
    <s v="NULL"/>
    <x v="1"/>
  </r>
  <r>
    <s v="31CMAH0000000000R962304820409480"/>
    <s v="NULL"/>
    <x v="1"/>
  </r>
  <r>
    <s v="82000000005051764000510000539884"/>
    <s v="NULL"/>
    <x v="3"/>
  </r>
  <r>
    <s v="82000000007001809000200000644022"/>
    <s v="NULL"/>
    <x v="3"/>
  </r>
  <r>
    <s v="82000000007003917000200000646647"/>
    <s v="NULL"/>
    <x v="3"/>
  </r>
  <r>
    <s v="82000000007011054000200000679688"/>
    <s v="NULL"/>
    <x v="3"/>
  </r>
  <r>
    <s v="82000000007014082000200000699415"/>
    <s v="NULL"/>
    <x v="3"/>
  </r>
  <r>
    <s v="82000000007017945000200000761225"/>
    <s v="NULL"/>
    <x v="3"/>
  </r>
  <r>
    <s v="82000000007000278000200000642324"/>
    <s v="NULL"/>
    <x v="3"/>
  </r>
  <r>
    <s v="82000000007000366000200000642347"/>
    <s v="NULL"/>
    <x v="3"/>
  </r>
  <r>
    <s v="82000000007001724000200000643953"/>
    <s v="NULL"/>
    <x v="3"/>
  </r>
  <r>
    <s v="82000000007004499000200000646460"/>
    <s v="NULL"/>
    <x v="3"/>
  </r>
  <r>
    <s v="82000000007007259000200000652691"/>
    <s v="NULL"/>
    <x v="3"/>
  </r>
  <r>
    <s v="82000000007008452000200000504772"/>
    <s v="NULL"/>
    <x v="3"/>
  </r>
  <r>
    <s v="82000000001101741000430000500573"/>
    <s v="NULL"/>
    <x v="3"/>
  </r>
  <r>
    <s v="82000000007001033000200000643474"/>
    <s v="NULL"/>
    <x v="3"/>
  </r>
  <r>
    <s v="82000000007001754000200000644039"/>
    <s v="NULL"/>
    <x v="3"/>
  </r>
  <r>
    <s v="82000000007002558000200000504441"/>
    <s v="NULL"/>
    <x v="3"/>
  </r>
  <r>
    <s v="82000000007004029000200000646697"/>
    <s v="NULL"/>
    <x v="3"/>
  </r>
  <r>
    <s v="82000000007011475000200000680485"/>
    <s v="NULL"/>
    <x v="3"/>
  </r>
  <r>
    <s v="82000000007012882000200000686599"/>
    <s v="NULL"/>
    <x v="3"/>
  </r>
  <r>
    <s v="82000000007014057000200000647586"/>
    <s v="NULL"/>
    <x v="3"/>
  </r>
  <r>
    <s v="8200000000701446500Y200000482336"/>
    <s v="NULL"/>
    <x v="3"/>
  </r>
  <r>
    <s v="82000000000980843000420000323920"/>
    <s v="NULL"/>
    <x v="3"/>
  </r>
  <r>
    <s v="82000000007000343000200000642336"/>
    <s v="NULL"/>
    <x v="3"/>
  </r>
  <r>
    <s v="82000000007000621000200000642974"/>
    <s v="NULL"/>
    <x v="3"/>
  </r>
  <r>
    <s v="82000000007001349000200000885934"/>
    <s v="NULL"/>
    <x v="3"/>
  </r>
  <r>
    <s v="82000000007001421000200000515327"/>
    <s v="NULL"/>
    <x v="3"/>
  </r>
  <r>
    <s v="82000000007001486000200000539668"/>
    <s v="NULL"/>
    <x v="3"/>
  </r>
  <r>
    <s v="82000000007002457000200000644695"/>
    <s v="NULL"/>
    <x v="3"/>
  </r>
  <r>
    <s v="82000000007005772000200000648727"/>
    <s v="NULL"/>
    <x v="3"/>
  </r>
  <r>
    <s v="82000000007010570000200000677718"/>
    <s v="NULL"/>
    <x v="3"/>
  </r>
  <r>
    <s v="82000000007011531000200000681021"/>
    <s v="NULL"/>
    <x v="3"/>
  </r>
  <r>
    <s v="82000000007011922000200000680257"/>
    <s v="NULL"/>
    <x v="3"/>
  </r>
  <r>
    <s v="82000000007012164000200000680448"/>
    <s v="NULL"/>
    <x v="3"/>
  </r>
  <r>
    <s v="89CMAH2022000041R001520230177993"/>
    <s v="NULL"/>
    <x v="1"/>
  </r>
  <r>
    <s v="89CMAH2022000041R001520230177998"/>
    <s v="NULL"/>
    <x v="1"/>
  </r>
  <r>
    <s v="89CMAH2022000041R001520230178020"/>
    <s v="NULL"/>
    <x v="1"/>
  </r>
  <r>
    <s v="89CMAH2022000041R001520230178095"/>
    <s v="NULL"/>
    <x v="1"/>
  </r>
  <r>
    <s v="89CMAH2022000041R001520230178454"/>
    <s v="NULL"/>
    <x v="1"/>
  </r>
  <r>
    <s v="89CMAH2022000041R001520230178466"/>
    <s v="NULL"/>
    <x v="1"/>
  </r>
  <r>
    <s v="89CMAH2022000041R001520230178628"/>
    <s v="NULL"/>
    <x v="1"/>
  </r>
  <r>
    <s v="89CMAH2022000041R001520230233976"/>
    <s v="NULL"/>
    <x v="1"/>
  </r>
  <r>
    <s v="89CMAH2022000041R001520230234235"/>
    <s v="NULL"/>
    <x v="1"/>
  </r>
  <r>
    <s v="89CMAH2022000041R001520230234244"/>
    <s v="NULL"/>
    <x v="1"/>
  </r>
  <r>
    <s v="89CMAH2022000041R001520230234250"/>
    <s v="NULL"/>
    <x v="1"/>
  </r>
  <r>
    <s v="89CMAH2022000041R001520230234479"/>
    <s v="NULL"/>
    <x v="1"/>
  </r>
  <r>
    <s v="89CMAH2022000041R001520230234546"/>
    <s v="NULL"/>
    <x v="1"/>
  </r>
  <r>
    <s v="89CMAH2022000041R001520230234704"/>
    <s v="NULL"/>
    <x v="1"/>
  </r>
  <r>
    <s v="89CMAH2022000041R001520230289309"/>
    <s v="NULL"/>
    <x v="1"/>
  </r>
  <r>
    <s v="89CMAH2022000041R001520230289319"/>
    <s v="NULL"/>
    <x v="1"/>
  </r>
  <r>
    <s v="89CMAH2022000041R001520230289346"/>
    <s v="NULL"/>
    <x v="1"/>
  </r>
  <r>
    <s v="89CMAH2022000041R001520230289425"/>
    <s v="NULL"/>
    <x v="1"/>
  </r>
  <r>
    <s v="89CMAH2022000041R001520230289473"/>
    <s v="NULL"/>
    <x v="1"/>
  </r>
  <r>
    <s v="89CMAH2022000041R001520230289485"/>
    <s v="NULL"/>
    <x v="1"/>
  </r>
  <r>
    <s v="89CMAH2022000041R001520230289534"/>
    <s v="NULL"/>
    <x v="1"/>
  </r>
  <r>
    <s v="89CMAH2022000041R001520230289587"/>
    <s v="NULL"/>
    <x v="1"/>
  </r>
  <r>
    <s v="89CMAH2022000041R001520230289621"/>
    <s v="NULL"/>
    <x v="1"/>
  </r>
  <r>
    <s v="89CMAH2022000041R001520230289624"/>
    <s v="NULL"/>
    <x v="1"/>
  </r>
  <r>
    <s v="89CMAH2022000041R001520230289654"/>
    <s v="NULL"/>
    <x v="1"/>
  </r>
  <r>
    <s v="89CMAH2022000041R001520230289699"/>
    <s v="NULL"/>
    <x v="1"/>
  </r>
  <r>
    <s v="89CMAH2022000041R001520230289822"/>
    <s v="NULL"/>
    <x v="1"/>
  </r>
  <r>
    <s v="89CMAH2022000041R001520230289839"/>
    <s v="NULL"/>
    <x v="1"/>
  </r>
  <r>
    <s v="89CMAH2022000041R001520230289857"/>
    <s v="NULL"/>
    <x v="1"/>
  </r>
  <r>
    <s v="89CMAH2022000041R001520230289880"/>
    <s v="NULL"/>
    <x v="1"/>
  </r>
  <r>
    <s v="89CMAH2022000041R001520230290026"/>
    <s v="NULL"/>
    <x v="1"/>
  </r>
  <r>
    <s v="89CMAH2022000041R001520230290066"/>
    <s v="NULL"/>
    <x v="1"/>
  </r>
  <r>
    <s v="89CMAH2022000041R001520230290110"/>
    <s v="NULL"/>
    <x v="1"/>
  </r>
  <r>
    <s v="89CMAH2022000041R001520230290124"/>
    <s v="NULL"/>
    <x v="1"/>
  </r>
  <r>
    <s v="89CMAH2022000041R001520230290139"/>
    <s v="NULL"/>
    <x v="1"/>
  </r>
  <r>
    <s v="89CMAH2022000041R001520230290198"/>
    <s v="NULL"/>
    <x v="1"/>
  </r>
  <r>
    <s v="89CMAH2022000041R001520230290364"/>
    <s v="NULL"/>
    <x v="1"/>
  </r>
  <r>
    <s v="89CMAH2022000041R001520230290395"/>
    <s v="NULL"/>
    <x v="1"/>
  </r>
  <r>
    <s v="89CMAH2022000041R001520230290583"/>
    <s v="NULL"/>
    <x v="1"/>
  </r>
  <r>
    <s v="89CMAH2022000041R001520230290612"/>
    <s v="NULL"/>
    <x v="1"/>
  </r>
  <r>
    <s v="89CMAH2022000041R001520230290834"/>
    <s v="NULL"/>
    <x v="1"/>
  </r>
  <r>
    <s v="89CMAH2022000041R001520230290897"/>
    <s v="NULL"/>
    <x v="1"/>
  </r>
  <r>
    <s v="89CMAH2022000041R001520230290904"/>
    <s v="NULL"/>
    <x v="1"/>
  </r>
  <r>
    <s v="SNCN00000050"/>
    <s v="NULL"/>
    <x v="0"/>
  </r>
  <r>
    <s v="SNCN00000062"/>
    <s v="NULL"/>
    <x v="0"/>
  </r>
  <r>
    <s v="SNCN00000223"/>
    <s v="NULL"/>
    <x v="0"/>
  </r>
  <r>
    <s v="SNCN00000253"/>
    <s v="NULL"/>
    <x v="0"/>
  </r>
  <r>
    <s v="SNCN00000417"/>
    <s v="NULL"/>
    <x v="0"/>
  </r>
  <r>
    <s v="SNCN00000891"/>
    <s v="NULL"/>
    <x v="0"/>
  </r>
  <r>
    <s v="SNCN00000929"/>
    <s v="NULL"/>
    <x v="0"/>
  </r>
  <r>
    <s v="89CMAH2022000041R001520220603892"/>
    <s v="NULL"/>
    <x v="1"/>
  </r>
  <r>
    <s v="89CMAH2022000041R001520230039285"/>
    <s v="NULL"/>
    <x v="1"/>
  </r>
  <r>
    <s v="89CMAH2022000041R001520230086161"/>
    <s v="NULL"/>
    <x v="1"/>
  </r>
  <r>
    <s v="89CMAH2022000041R001520230144899"/>
    <s v="NULL"/>
    <x v="1"/>
  </r>
  <r>
    <s v="89CMAH2022000041R001520230145033"/>
    <s v="NULL"/>
    <x v="1"/>
  </r>
  <r>
    <s v="89CMAH2022000041R001520230178123"/>
    <s v="NULL"/>
    <x v="1"/>
  </r>
  <r>
    <s v="89CMAH2022000041R001520230178131"/>
    <s v="NULL"/>
    <x v="1"/>
  </r>
  <r>
    <s v="89CMAH2022000041R001520230178271"/>
    <s v="NULL"/>
    <x v="1"/>
  </r>
  <r>
    <s v="89CMAH2022000041R001520230178397"/>
    <s v="NULL"/>
    <x v="1"/>
  </r>
  <r>
    <s v="89CMAH2022000041R001520230178561"/>
    <s v="NULL"/>
    <x v="1"/>
  </r>
  <r>
    <s v="89CMAH2022000041R001520230178603"/>
    <s v="NULL"/>
    <x v="1"/>
  </r>
  <r>
    <s v="89CMAH2022000041R001520230178643"/>
    <s v="NULL"/>
    <x v="1"/>
  </r>
  <r>
    <s v="89CMAH2022000041R001520230233980"/>
    <s v="NULL"/>
    <x v="1"/>
  </r>
  <r>
    <s v="89CMAH2022000041R001520230234118"/>
    <s v="NULL"/>
    <x v="1"/>
  </r>
  <r>
    <s v="89CMAH2022000041R001520230234289"/>
    <s v="NULL"/>
    <x v="1"/>
  </r>
  <r>
    <s v="89CMAH2022000041R001520230234415"/>
    <s v="NULL"/>
    <x v="1"/>
  </r>
  <r>
    <s v="89CMAH2022000041R001520230234425"/>
    <s v="NULL"/>
    <x v="1"/>
  </r>
  <r>
    <s v="89CMAH2022000041R001520230234486"/>
    <s v="NULL"/>
    <x v="1"/>
  </r>
  <r>
    <s v="89CMAH2022000041R001520230234519"/>
    <s v="NULL"/>
    <x v="1"/>
  </r>
  <r>
    <s v="89CMAH2022000041R001520230234537"/>
    <s v="NULL"/>
    <x v="1"/>
  </r>
  <r>
    <s v="89CMAH2022000041R001520230234667"/>
    <s v="NULL"/>
    <x v="1"/>
  </r>
  <r>
    <s v="89CMAH2022000041R001520230289304"/>
    <s v="NULL"/>
    <x v="1"/>
  </r>
  <r>
    <s v="89CMAH2022000041R001520230289365"/>
    <s v="NULL"/>
    <x v="1"/>
  </r>
  <r>
    <s v="89CMAH2022000041R001520230289407"/>
    <s v="NULL"/>
    <x v="1"/>
  </r>
  <r>
    <s v="89CMAH2022000041R001520230289444"/>
    <s v="NULL"/>
    <x v="1"/>
  </r>
  <r>
    <s v="89CMAH2022000041R001520230289474"/>
    <s v="NULL"/>
    <x v="1"/>
  </r>
  <r>
    <s v="89CMAH2022000041R001520230289476"/>
    <s v="NULL"/>
    <x v="1"/>
  </r>
  <r>
    <s v="89CMAH2022000041R001520230289541"/>
    <s v="NULL"/>
    <x v="1"/>
  </r>
  <r>
    <s v="89CMAH2022000041R001520230289756"/>
    <s v="NULL"/>
    <x v="1"/>
  </r>
  <r>
    <s v="89CMAH2022000041R001520230289806"/>
    <s v="NULL"/>
    <x v="1"/>
  </r>
  <r>
    <s v="89CMAH2022000041R001520230289829"/>
    <s v="NULL"/>
    <x v="1"/>
  </r>
  <r>
    <s v="89CMAH2022000041R001520230289843"/>
    <s v="NULL"/>
    <x v="1"/>
  </r>
  <r>
    <s v="89CMAH2022000041R001520230289876"/>
    <s v="NULL"/>
    <x v="1"/>
  </r>
  <r>
    <s v="89CMAH2022000041R001520230290030"/>
    <s v="NULL"/>
    <x v="1"/>
  </r>
  <r>
    <s v="89CMAH2022000041R001520230290037"/>
    <s v="NULL"/>
    <x v="1"/>
  </r>
  <r>
    <s v="89CMAH2022000041R001520230290053"/>
    <s v="NULL"/>
    <x v="1"/>
  </r>
  <r>
    <s v="89CMAH2022000041R001520230290095"/>
    <s v="NULL"/>
    <x v="1"/>
  </r>
  <r>
    <s v="89CMAH2022000041R001520230290134"/>
    <s v="NULL"/>
    <x v="1"/>
  </r>
  <r>
    <s v="89CMAH2022000041R001520230290235"/>
    <s v="NULL"/>
    <x v="1"/>
  </r>
  <r>
    <s v="89CMAH2022000041R001520230290302"/>
    <s v="NULL"/>
    <x v="1"/>
  </r>
  <r>
    <s v="89CMAH2022000041R001520230290304"/>
    <s v="NULL"/>
    <x v="1"/>
  </r>
  <r>
    <s v="89CMAH2022000041R001520230290322"/>
    <s v="NULL"/>
    <x v="1"/>
  </r>
  <r>
    <s v="89CMAH2022000041R001520230290343"/>
    <s v="NULL"/>
    <x v="1"/>
  </r>
  <r>
    <s v="89CMAH2022000041R001520230290406"/>
    <s v="NULL"/>
    <x v="1"/>
  </r>
  <r>
    <s v="89CMAH2022000041R001520230290417"/>
    <s v="NULL"/>
    <x v="1"/>
  </r>
  <r>
    <s v="89CMAH2022000041R001520230290436"/>
    <s v="NULL"/>
    <x v="1"/>
  </r>
  <r>
    <s v="89CMAH2022000041R001520230290466"/>
    <s v="NULL"/>
    <x v="1"/>
  </r>
  <r>
    <s v="89CMAH2022000041R001520230290531"/>
    <s v="NULL"/>
    <x v="1"/>
  </r>
  <r>
    <s v="89CMAH2022000041R001520230290539"/>
    <s v="NULL"/>
    <x v="1"/>
  </r>
  <r>
    <s v="89CMAH2022000041R001520230290555"/>
    <s v="NULL"/>
    <x v="1"/>
  </r>
  <r>
    <s v="89CMAH2022000041R001520230290600"/>
    <s v="NULL"/>
    <x v="1"/>
  </r>
  <r>
    <s v="89CMAH2022000041R001520230290707"/>
    <s v="NULL"/>
    <x v="1"/>
  </r>
  <r>
    <s v="89CMAH2022000041R001520230290720"/>
    <s v="NULL"/>
    <x v="1"/>
  </r>
  <r>
    <s v="89CMAH2022000041R001520230290773"/>
    <s v="NULL"/>
    <x v="1"/>
  </r>
  <r>
    <s v="89CMAH2022000041R001520230290780"/>
    <s v="NULL"/>
    <x v="1"/>
  </r>
  <r>
    <s v="89CMAH2022000041R001520230290883"/>
    <s v="NULL"/>
    <x v="1"/>
  </r>
  <r>
    <s v="SNCN00000117"/>
    <s v="NULL"/>
    <x v="0"/>
  </r>
  <r>
    <s v="SNCN00000438"/>
    <s v="NULL"/>
    <x v="0"/>
  </r>
  <r>
    <s v="SNCN00000627"/>
    <s v="NULL"/>
    <x v="0"/>
  </r>
  <r>
    <s v="SNCN00000920"/>
    <s v="NULL"/>
    <x v="0"/>
  </r>
  <r>
    <s v="31CMAH0000000000R599904815306350"/>
    <s v="NULL"/>
    <x v="1"/>
  </r>
  <r>
    <s v="31CMAH0000000000R962304820251290"/>
    <s v="NULL"/>
    <x v="1"/>
  </r>
  <r>
    <s v="31CMAH0000000000R962304820272590"/>
    <s v="NULL"/>
    <x v="1"/>
  </r>
  <r>
    <s v="31CMAH0000000000R962304820307860"/>
    <s v="NULL"/>
    <x v="1"/>
  </r>
  <r>
    <s v="31CMAH0000000000R962304820365800"/>
    <s v="NULL"/>
    <x v="1"/>
  </r>
  <r>
    <s v="31CMAH0000000000R962304820385020"/>
    <s v="NULL"/>
    <x v="1"/>
  </r>
  <r>
    <s v="31CMAH0000000000R962304870323050"/>
    <s v="NULL"/>
    <x v="1"/>
  </r>
  <r>
    <s v="31CMAHFDRESOLUCAO000000000000000"/>
    <s v="NULL"/>
    <x v="1"/>
  </r>
  <r>
    <s v="31CMAHFGDEPOSITOS000000000000000"/>
    <s v="NULL"/>
    <x v="1"/>
  </r>
  <r>
    <s v="82000000000116807000450000105698"/>
    <s v="NULL"/>
    <x v="3"/>
  </r>
  <r>
    <s v="89CMAH2022000041R001520230039414"/>
    <s v="NULL"/>
    <x v="1"/>
  </r>
  <r>
    <s v="89CMAH2022000041R001520230040123"/>
    <s v="NULL"/>
    <x v="1"/>
  </r>
  <r>
    <s v="89CMAH2022000041R001520230085528"/>
    <s v="NULL"/>
    <x v="1"/>
  </r>
  <r>
    <s v="89CMAH2022000041R001520230085777"/>
    <s v="NULL"/>
    <x v="1"/>
  </r>
  <r>
    <s v="89CMAH2022000041R001520230085860"/>
    <s v="NULL"/>
    <x v="1"/>
  </r>
  <r>
    <s v="89CMAH2022000041R001520230086051"/>
    <s v="NULL"/>
    <x v="1"/>
  </r>
  <r>
    <s v="89CMAH2022000041R001520230144812"/>
    <s v="NULL"/>
    <x v="1"/>
  </r>
  <r>
    <s v="89CMAH2022000041R001520230144893"/>
    <s v="NULL"/>
    <x v="1"/>
  </r>
  <r>
    <s v="89CMAH2022000041R001520230145032"/>
    <s v="NULL"/>
    <x v="1"/>
  </r>
  <r>
    <s v="89CMAH2022000041R001520230178054"/>
    <s v="NULL"/>
    <x v="1"/>
  </r>
  <r>
    <s v="89CMAH2022000041R001520230178114"/>
    <s v="NULL"/>
    <x v="1"/>
  </r>
  <r>
    <s v="89CMAH2022000041R001520230178165"/>
    <s v="NULL"/>
    <x v="1"/>
  </r>
  <r>
    <s v="89CMAH2022000041R001520230178263"/>
    <s v="NULL"/>
    <x v="1"/>
  </r>
  <r>
    <s v="89CMAH2022000041R001520230178286"/>
    <s v="NULL"/>
    <x v="1"/>
  </r>
  <r>
    <s v="89CMAH2022000041R001520230178612"/>
    <s v="NULL"/>
    <x v="1"/>
  </r>
  <r>
    <s v="89CMAH2022000041R001520230233998"/>
    <s v="NULL"/>
    <x v="1"/>
  </r>
  <r>
    <s v="89CMAH2022000041R001520230234009"/>
    <s v="NULL"/>
    <x v="1"/>
  </r>
  <r>
    <s v="89CMAH2022000041R001520230234031"/>
    <s v="NULL"/>
    <x v="1"/>
  </r>
  <r>
    <s v="89CMAH2022000041R001520230234114"/>
    <s v="NULL"/>
    <x v="1"/>
  </r>
  <r>
    <s v="89CMAH2022000041R001520230234211"/>
    <s v="NULL"/>
    <x v="1"/>
  </r>
  <r>
    <s v="89CMAH2022000041R001520230234337"/>
    <s v="NULL"/>
    <x v="1"/>
  </r>
  <r>
    <s v="89CMAH2022000041R001520230234367"/>
    <s v="NULL"/>
    <x v="1"/>
  </r>
  <r>
    <s v="89CMAH2022000041R001520230234578"/>
    <s v="NULL"/>
    <x v="1"/>
  </r>
  <r>
    <s v="89CMAH2022000041R001520230234602"/>
    <s v="NULL"/>
    <x v="1"/>
  </r>
  <r>
    <s v="89CMAH2022000041R001520230289280"/>
    <s v="NULL"/>
    <x v="1"/>
  </r>
  <r>
    <s v="89CMAH2022000041R001520230289348"/>
    <s v="NULL"/>
    <x v="1"/>
  </r>
  <r>
    <s v="89CMAH2022000041R001520230289354"/>
    <s v="NULL"/>
    <x v="1"/>
  </r>
  <r>
    <s v="89CMAH2022000041R001520230289438"/>
    <s v="NULL"/>
    <x v="1"/>
  </r>
  <r>
    <s v="89CMAH2022000041R001520230289489"/>
    <s v="NULL"/>
    <x v="1"/>
  </r>
  <r>
    <s v="89CMAH2022000041R001520230289560"/>
    <s v="NULL"/>
    <x v="1"/>
  </r>
  <r>
    <s v="89CMAH2022000041R001520230289604"/>
    <s v="NULL"/>
    <x v="1"/>
  </r>
  <r>
    <s v="89CMAH2022000041R001520230289667"/>
    <s v="NULL"/>
    <x v="1"/>
  </r>
  <r>
    <s v="89CMAH2022000041R001520230289671"/>
    <s v="NULL"/>
    <x v="1"/>
  </r>
  <r>
    <s v="89CMAH2022000041R001520230289679"/>
    <s v="NULL"/>
    <x v="1"/>
  </r>
  <r>
    <s v="89CMAH2022000041R001520230289696"/>
    <s v="NULL"/>
    <x v="1"/>
  </r>
  <r>
    <s v="89CMAH2022000041R001520230289705"/>
    <s v="NULL"/>
    <x v="1"/>
  </r>
  <r>
    <s v="89CMAH2022000041R001520230289736"/>
    <s v="NULL"/>
    <x v="1"/>
  </r>
  <r>
    <s v="89CMAH2022000041R001520230289776"/>
    <s v="NULL"/>
    <x v="1"/>
  </r>
  <r>
    <s v="89CMAH2022000041R001520230289780"/>
    <s v="NULL"/>
    <x v="1"/>
  </r>
  <r>
    <s v="89CMAH2022000041R001520230289831"/>
    <s v="NULL"/>
    <x v="1"/>
  </r>
  <r>
    <s v="89CMAH2022000041R001520230289855"/>
    <s v="NULL"/>
    <x v="1"/>
  </r>
  <r>
    <s v="89CMAH2022000041R001520230289873"/>
    <s v="NULL"/>
    <x v="1"/>
  </r>
  <r>
    <s v="89CMAH2022000041R001520230289874"/>
    <s v="NULL"/>
    <x v="1"/>
  </r>
  <r>
    <s v="89CMAH2022000041R001520230289924"/>
    <s v="NULL"/>
    <x v="1"/>
  </r>
  <r>
    <s v="89CMAH2022000041R001520230289927"/>
    <s v="NULL"/>
    <x v="1"/>
  </r>
  <r>
    <s v="89CMAH2022000041R001520230289963"/>
    <s v="NULL"/>
    <x v="1"/>
  </r>
  <r>
    <s v="89CMAH2022000041R001520230289981"/>
    <s v="NULL"/>
    <x v="1"/>
  </r>
  <r>
    <s v="89CMAH2022000041R001520230290014"/>
    <s v="NULL"/>
    <x v="1"/>
  </r>
  <r>
    <s v="89CMAH2022000041R001520230290027"/>
    <s v="NULL"/>
    <x v="1"/>
  </r>
  <r>
    <s v="89CMAH2022000041R001520230290073"/>
    <s v="NULL"/>
    <x v="1"/>
  </r>
  <r>
    <s v="89CMAH2022000041R001520230290076"/>
    <s v="NULL"/>
    <x v="1"/>
  </r>
  <r>
    <s v="89CMAH2022000041R001520230290117"/>
    <s v="NULL"/>
    <x v="1"/>
  </r>
  <r>
    <s v="89CMAH2022000041R001520230290165"/>
    <s v="NULL"/>
    <x v="1"/>
  </r>
  <r>
    <s v="89CMAH2022000041R001520230290183"/>
    <s v="NULL"/>
    <x v="1"/>
  </r>
  <r>
    <s v="89CMAH2022000041R001520230290192"/>
    <s v="NULL"/>
    <x v="1"/>
  </r>
  <r>
    <s v="89CMAH2022000041R001520230290207"/>
    <s v="NULL"/>
    <x v="1"/>
  </r>
  <r>
    <s v="89CMAH2022000041R001520230290273"/>
    <s v="NULL"/>
    <x v="1"/>
  </r>
  <r>
    <s v="89CMAH2022000041R001520230290279"/>
    <s v="NULL"/>
    <x v="1"/>
  </r>
  <r>
    <s v="89CMAH2022000041R001520230290314"/>
    <s v="NULL"/>
    <x v="1"/>
  </r>
  <r>
    <s v="89CMAH2022000041R001520230290341"/>
    <s v="NULL"/>
    <x v="1"/>
  </r>
  <r>
    <s v="89CMAH2022000041R001520230290477"/>
    <s v="NULL"/>
    <x v="1"/>
  </r>
  <r>
    <s v="89CMAH2022000041R001520230290623"/>
    <s v="NULL"/>
    <x v="1"/>
  </r>
  <r>
    <s v="89CMAH2022000041R001520230290626"/>
    <s v="NULL"/>
    <x v="1"/>
  </r>
  <r>
    <s v="89CMAH2022000041R001520230290687"/>
    <s v="NULL"/>
    <x v="1"/>
  </r>
  <r>
    <s v="89CMAH2022000041R001520230290761"/>
    <s v="NULL"/>
    <x v="1"/>
  </r>
  <r>
    <s v="89CMAH2022000041R001520230290763"/>
    <s v="NULL"/>
    <x v="1"/>
  </r>
  <r>
    <s v="89CMAH2022000041R001520230290798"/>
    <s v="NULL"/>
    <x v="1"/>
  </r>
  <r>
    <s v="SNCN00000173"/>
    <s v="NULL"/>
    <x v="0"/>
  </r>
  <r>
    <s v="SNCN00000261"/>
    <s v="NULL"/>
    <x v="0"/>
  </r>
  <r>
    <s v="SNCN00000300"/>
    <s v="NULL"/>
    <x v="0"/>
  </r>
  <r>
    <s v="SNCN00000477"/>
    <s v="NULL"/>
    <x v="0"/>
  </r>
  <r>
    <s v="SNCN00000480"/>
    <s v="NULL"/>
    <x v="0"/>
  </r>
  <r>
    <s v="SNCN00000619"/>
    <s v="NULL"/>
    <x v="0"/>
  </r>
  <r>
    <s v="SNCN00000624"/>
    <s v="NULL"/>
    <x v="0"/>
  </r>
  <r>
    <s v="SNCN00000682"/>
    <s v="NULL"/>
    <x v="0"/>
  </r>
  <r>
    <s v="SNCN00000724"/>
    <s v="NULL"/>
    <x v="0"/>
  </r>
  <r>
    <s v="SNCN00000969"/>
    <s v="NULL"/>
    <x v="0"/>
  </r>
  <r>
    <s v="SNCN00000983"/>
    <s v="NULL"/>
    <x v="0"/>
  </r>
  <r>
    <s v="89CMAH2022000041R001520220603915"/>
    <s v="NULL"/>
    <x v="1"/>
  </r>
  <r>
    <s v="89CMAH2022000041R001520230039420"/>
    <s v="NULL"/>
    <x v="1"/>
  </r>
  <r>
    <s v="89CMAH2022000041R001520230085760"/>
    <s v="NULL"/>
    <x v="1"/>
  </r>
  <r>
    <s v="89CMAH2022000041R001520230144850"/>
    <s v="NULL"/>
    <x v="1"/>
  </r>
  <r>
    <s v="89CMAH2022000041R001520230145008"/>
    <s v="NULL"/>
    <x v="1"/>
  </r>
  <r>
    <s v="89CMAH2022000041R001520230177882"/>
    <s v="NULL"/>
    <x v="1"/>
  </r>
  <r>
    <s v="89CMAH2022000041R001520230177975"/>
    <s v="NULL"/>
    <x v="1"/>
  </r>
  <r>
    <s v="89CMAH2022000041R001520230178455"/>
    <s v="NULL"/>
    <x v="1"/>
  </r>
  <r>
    <s v="89CMAH2022000041R001520230178456"/>
    <s v="NULL"/>
    <x v="1"/>
  </r>
  <r>
    <s v="89CMAH2022000041R001520230178463"/>
    <s v="NULL"/>
    <x v="1"/>
  </r>
  <r>
    <s v="89CMAH2022000041R001520230233968"/>
    <s v="NULL"/>
    <x v="1"/>
  </r>
  <r>
    <s v="89CMAH2022000041R001520230233995"/>
    <s v="NULL"/>
    <x v="1"/>
  </r>
  <r>
    <s v="89CMAH2022000041R001520230234001"/>
    <s v="NULL"/>
    <x v="1"/>
  </r>
  <r>
    <s v="89CMAH2022000041R001520230234144"/>
    <s v="NULL"/>
    <x v="1"/>
  </r>
  <r>
    <s v="89CMAH2022000041R001520230234231"/>
    <s v="NULL"/>
    <x v="1"/>
  </r>
  <r>
    <s v="89CMAH2022000041R001520230234471"/>
    <s v="NULL"/>
    <x v="1"/>
  </r>
  <r>
    <s v="89CMAH2022000041R001520230234487"/>
    <s v="NULL"/>
    <x v="1"/>
  </r>
  <r>
    <s v="89CMAH2022000041R001520230234600"/>
    <s v="NULL"/>
    <x v="1"/>
  </r>
  <r>
    <s v="89CMAH2022000041R001520230234720"/>
    <s v="NULL"/>
    <x v="1"/>
  </r>
  <r>
    <s v="89CMAH2022000041R001520230234737"/>
    <s v="NULL"/>
    <x v="1"/>
  </r>
  <r>
    <s v="89CMAH2022000041R001520230289419"/>
    <s v="NULL"/>
    <x v="1"/>
  </r>
  <r>
    <s v="89CMAH2022000041R001520230289420"/>
    <s v="NULL"/>
    <x v="1"/>
  </r>
  <r>
    <s v="89CMAH2022000041R001520230289464"/>
    <s v="NULL"/>
    <x v="1"/>
  </r>
  <r>
    <s v="89CMAH2022000041R001520230289475"/>
    <s v="NULL"/>
    <x v="1"/>
  </r>
  <r>
    <s v="89CMAH2022000041R001520230289484"/>
    <s v="NULL"/>
    <x v="1"/>
  </r>
  <r>
    <s v="89CMAH2022000041R001520230289507"/>
    <s v="NULL"/>
    <x v="1"/>
  </r>
  <r>
    <s v="89CMAH2022000041R001520230289559"/>
    <s v="NULL"/>
    <x v="1"/>
  </r>
  <r>
    <s v="89CMAH2022000041R001520230289565"/>
    <s v="NULL"/>
    <x v="1"/>
  </r>
  <r>
    <s v="89CMAH2022000041R001520230289649"/>
    <s v="NULL"/>
    <x v="1"/>
  </r>
  <r>
    <s v="89CMAH2022000041R001520230289686"/>
    <s v="NULL"/>
    <x v="1"/>
  </r>
  <r>
    <s v="89CMAH2022000041R001520230289722"/>
    <s v="NULL"/>
    <x v="1"/>
  </r>
  <r>
    <s v="89CMAH2022000041R001520230289734"/>
    <s v="NULL"/>
    <x v="1"/>
  </r>
  <r>
    <s v="89CMAH2022000041R001520230289788"/>
    <s v="NULL"/>
    <x v="1"/>
  </r>
  <r>
    <s v="89CMAH2022000041R001520230289803"/>
    <s v="NULL"/>
    <x v="1"/>
  </r>
  <r>
    <s v="89CMAH2022000041R001520230289995"/>
    <s v="NULL"/>
    <x v="1"/>
  </r>
  <r>
    <s v="89CMAH2022000041R001520230290060"/>
    <s v="NULL"/>
    <x v="1"/>
  </r>
  <r>
    <s v="89CMAH2022000041R001520230290121"/>
    <s v="NULL"/>
    <x v="1"/>
  </r>
  <r>
    <s v="89CMAH2022000041R001520230290157"/>
    <s v="NULL"/>
    <x v="1"/>
  </r>
  <r>
    <s v="89CMAH2022000041R001520230290164"/>
    <s v="NULL"/>
    <x v="1"/>
  </r>
  <r>
    <s v="89CMAH2022000041R001520230290208"/>
    <s v="NULL"/>
    <x v="1"/>
  </r>
  <r>
    <s v="89CMAH2022000041R001520230290217"/>
    <s v="NULL"/>
    <x v="1"/>
  </r>
  <r>
    <s v="89CMAH2022000041R001520230290285"/>
    <s v="NULL"/>
    <x v="1"/>
  </r>
  <r>
    <s v="89CMAH2022000041R001520230290316"/>
    <s v="NULL"/>
    <x v="1"/>
  </r>
  <r>
    <s v="89CMAH2022000041R001520230290362"/>
    <s v="NULL"/>
    <x v="1"/>
  </r>
  <r>
    <s v="89CMAH2022000041R001520230290408"/>
    <s v="NULL"/>
    <x v="1"/>
  </r>
  <r>
    <s v="89CMAH2022000041R001520230290411"/>
    <s v="NULL"/>
    <x v="1"/>
  </r>
  <r>
    <s v="89CMAH2022000041R001520230290443"/>
    <s v="NULL"/>
    <x v="1"/>
  </r>
  <r>
    <s v="89CMAH2022000041R001520230290504"/>
    <s v="NULL"/>
    <x v="1"/>
  </r>
  <r>
    <s v="89CMAH2022000041R001520230290537"/>
    <s v="NULL"/>
    <x v="1"/>
  </r>
  <r>
    <s v="89CMAH2022000041R001520230290693"/>
    <s v="NULL"/>
    <x v="1"/>
  </r>
  <r>
    <s v="89CMAH2022000041R001520230290701"/>
    <s v="NULL"/>
    <x v="1"/>
  </r>
  <r>
    <s v="89CMAH2022000041R001520230290747"/>
    <s v="NULL"/>
    <x v="1"/>
  </r>
  <r>
    <s v="89CMAH2022000041R001520230290839"/>
    <s v="NULL"/>
    <x v="1"/>
  </r>
  <r>
    <s v="89CMAH2022000041R001520230290851"/>
    <s v="NULL"/>
    <x v="1"/>
  </r>
  <r>
    <s v="89CMAH2022000041R001520230290911"/>
    <s v="NULL"/>
    <x v="1"/>
  </r>
  <r>
    <s v="SNCN00000002"/>
    <s v="NULL"/>
    <x v="0"/>
  </r>
  <r>
    <s v="SNCN00000018"/>
    <s v="NULL"/>
    <x v="0"/>
  </r>
  <r>
    <s v="SNCN00000061"/>
    <s v="NULL"/>
    <x v="0"/>
  </r>
  <r>
    <s v="SNCN00000358"/>
    <s v="NULL"/>
    <x v="0"/>
  </r>
  <r>
    <s v="SNCN00000487"/>
    <s v="NULL"/>
    <x v="0"/>
  </r>
  <r>
    <s v="SNCN00000741"/>
    <s v="NULL"/>
    <x v="0"/>
  </r>
  <r>
    <s v="SNCN00000923"/>
    <s v="NULL"/>
    <x v="0"/>
  </r>
  <r>
    <s v="82000000007003993000200000646848"/>
    <s v="NULL"/>
    <x v="3"/>
  </r>
  <r>
    <s v="82000000007004294000200000647159"/>
    <s v="NULL"/>
    <x v="3"/>
  </r>
  <r>
    <s v="82000000007006406000200000553993"/>
    <s v="NULL"/>
    <x v="3"/>
  </r>
  <r>
    <s v="82000000007012346000200000680664"/>
    <s v="NULL"/>
    <x v="3"/>
  </r>
  <r>
    <s v="82000000007012598000200000683286"/>
    <s v="NULL"/>
    <x v="3"/>
  </r>
  <r>
    <s v="89CMAH2022000041R001520230145179"/>
    <s v="NULL"/>
    <x v="1"/>
  </r>
  <r>
    <s v="89CMAH2022000041R001520230178161"/>
    <s v="NULL"/>
    <x v="1"/>
  </r>
  <r>
    <s v="89CMAH2022000041R001520230178163"/>
    <s v="NULL"/>
    <x v="1"/>
  </r>
  <r>
    <s v="89CMAH2022000041R001520230178602"/>
    <s v="NULL"/>
    <x v="1"/>
  </r>
  <r>
    <s v="89CMAH2022000041R001520230233974"/>
    <s v="NULL"/>
    <x v="1"/>
  </r>
  <r>
    <s v="89CMAH2022000041R001520230234049"/>
    <s v="NULL"/>
    <x v="1"/>
  </r>
  <r>
    <s v="89CMAH2022000041R001520230234095"/>
    <s v="NULL"/>
    <x v="1"/>
  </r>
  <r>
    <s v="89CMAH2022000041R001520230234130"/>
    <s v="NULL"/>
    <x v="1"/>
  </r>
  <r>
    <s v="89CMAH2022000041R001520230234150"/>
    <s v="NULL"/>
    <x v="1"/>
  </r>
  <r>
    <s v="89CMAH2022000041R001520230234156"/>
    <s v="NULL"/>
    <x v="1"/>
  </r>
  <r>
    <s v="89CMAH2022000041R001520230234195"/>
    <s v="NULL"/>
    <x v="1"/>
  </r>
  <r>
    <s v="89CMAH2022000041R001520230234459"/>
    <s v="NULL"/>
    <x v="1"/>
  </r>
  <r>
    <s v="89CMAH2022000041R001520230234481"/>
    <s v="NULL"/>
    <x v="1"/>
  </r>
  <r>
    <s v="89CMAH2022000041R001520230234630"/>
    <s v="NULL"/>
    <x v="1"/>
  </r>
  <r>
    <s v="89CMAH2022000041R001520230234721"/>
    <s v="NULL"/>
    <x v="1"/>
  </r>
  <r>
    <s v="89CMAH2022000041R001520230234741"/>
    <s v="NULL"/>
    <x v="1"/>
  </r>
  <r>
    <s v="89CMAH2022000041R001520230289287"/>
    <s v="NULL"/>
    <x v="1"/>
  </r>
  <r>
    <s v="89CMAH2022000041R001520230289321"/>
    <s v="NULL"/>
    <x v="1"/>
  </r>
  <r>
    <s v="89CMAH2022000041R001520230289342"/>
    <s v="NULL"/>
    <x v="1"/>
  </r>
  <r>
    <s v="89CMAH2022000041R001520230289345"/>
    <s v="NULL"/>
    <x v="1"/>
  </r>
  <r>
    <s v="89CMAH2022000041R001520230289417"/>
    <s v="NULL"/>
    <x v="1"/>
  </r>
  <r>
    <s v="89CMAH2022000041R001520230289502"/>
    <s v="NULL"/>
    <x v="1"/>
  </r>
  <r>
    <s v="89CMAH2022000041R001520230289531"/>
    <s v="NULL"/>
    <x v="1"/>
  </r>
  <r>
    <s v="89CMAH2022000041R001520230289762"/>
    <s v="NULL"/>
    <x v="1"/>
  </r>
  <r>
    <s v="89CMAH2022000041R001520230289774"/>
    <s v="NULL"/>
    <x v="1"/>
  </r>
  <r>
    <s v="89CMAH2022000041R001520230289808"/>
    <s v="NULL"/>
    <x v="1"/>
  </r>
  <r>
    <s v="89CMAH2022000041R001520230289817"/>
    <s v="NULL"/>
    <x v="1"/>
  </r>
  <r>
    <s v="89CMAH2022000041R001520230289841"/>
    <s v="NULL"/>
    <x v="1"/>
  </r>
  <r>
    <s v="89CMAH2022000041R001520230289938"/>
    <s v="NULL"/>
    <x v="1"/>
  </r>
  <r>
    <s v="89CMAH2022000041R001520230289969"/>
    <s v="NULL"/>
    <x v="1"/>
  </r>
  <r>
    <s v="89CMAH2022000041R001520230290049"/>
    <s v="NULL"/>
    <x v="1"/>
  </r>
  <r>
    <s v="89CMAH2022000041R001520230290122"/>
    <s v="NULL"/>
    <x v="1"/>
  </r>
  <r>
    <s v="89CMAH2022000041R001520230290133"/>
    <s v="NULL"/>
    <x v="1"/>
  </r>
  <r>
    <s v="89CMAH2022000041R001520230290142"/>
    <s v="NULL"/>
    <x v="1"/>
  </r>
  <r>
    <s v="89CMAH2022000041R001520230290261"/>
    <s v="NULL"/>
    <x v="1"/>
  </r>
  <r>
    <s v="89CMAH2022000041R001520230290315"/>
    <s v="NULL"/>
    <x v="1"/>
  </r>
  <r>
    <s v="89CMAH2022000041R001520230290335"/>
    <s v="NULL"/>
    <x v="1"/>
  </r>
  <r>
    <s v="89CMAH2022000041R001520230290382"/>
    <s v="NULL"/>
    <x v="1"/>
  </r>
  <r>
    <s v="89CMAH2022000041R001520230290383"/>
    <s v="NULL"/>
    <x v="1"/>
  </r>
  <r>
    <s v="89CMAH2022000041R001520230290455"/>
    <s v="NULL"/>
    <x v="1"/>
  </r>
  <r>
    <s v="89CMAH2022000041R001520230290463"/>
    <s v="NULL"/>
    <x v="1"/>
  </r>
  <r>
    <s v="89CMAH2022000041R001520230290489"/>
    <s v="NULL"/>
    <x v="1"/>
  </r>
  <r>
    <s v="89CMAH2022000041R001520230290608"/>
    <s v="NULL"/>
    <x v="1"/>
  </r>
  <r>
    <s v="89CMAH2022000041R001520230290610"/>
    <s v="NULL"/>
    <x v="1"/>
  </r>
  <r>
    <s v="89CMAH2022000041R001520230290618"/>
    <s v="NULL"/>
    <x v="1"/>
  </r>
  <r>
    <s v="89CMAH2022000041R001520230290675"/>
    <s v="NULL"/>
    <x v="1"/>
  </r>
  <r>
    <s v="89CMAH2022000041R001520230290713"/>
    <s v="NULL"/>
    <x v="1"/>
  </r>
  <r>
    <s v="89CMAH2022000041R001520230290829"/>
    <s v="NULL"/>
    <x v="1"/>
  </r>
  <r>
    <s v="SNCN00000254"/>
    <s v="NULL"/>
    <x v="0"/>
  </r>
  <r>
    <s v="SNCN00000598"/>
    <s v="NULL"/>
    <x v="0"/>
  </r>
  <r>
    <s v="31CMAH0000000000R362304880766500"/>
    <s v="NULL"/>
    <x v="1"/>
  </r>
  <r>
    <s v="31CMAH0000000000R962304820255470"/>
    <s v="NULL"/>
    <x v="1"/>
  </r>
  <r>
    <s v="31CMAH0000000000R962304820295820"/>
    <s v="NULL"/>
    <x v="1"/>
  </r>
  <r>
    <s v="31CMAH0000000000R962304820354640"/>
    <s v="NULL"/>
    <x v="1"/>
  </r>
  <r>
    <s v="31CMAH0000000000R962304870343130"/>
    <s v="NULL"/>
    <x v="1"/>
  </r>
  <r>
    <s v="31CMAHSINDEINVEST000000000000000"/>
    <s v="NULL"/>
    <x v="1"/>
  </r>
  <r>
    <s v="82000000007000344000200000642343"/>
    <s v="NULL"/>
    <x v="3"/>
  </r>
  <r>
    <s v="82000000007000464000200000607251"/>
    <s v="NULL"/>
    <x v="3"/>
  </r>
  <r>
    <s v="82000000007000646000200000643101"/>
    <s v="NULL"/>
    <x v="3"/>
  </r>
  <r>
    <s v="82000000007001030000200000643484"/>
    <s v="NULL"/>
    <x v="3"/>
  </r>
  <r>
    <s v="82000000007001701000200000643934"/>
    <s v="NULL"/>
    <x v="3"/>
  </r>
  <r>
    <s v="82000000007002425000200000644665"/>
    <s v="NULL"/>
    <x v="3"/>
  </r>
  <r>
    <s v="82000000007002570000200000504441"/>
    <s v="NULL"/>
    <x v="3"/>
  </r>
  <r>
    <s v="82000000007002797000200000645240"/>
    <s v="NULL"/>
    <x v="3"/>
  </r>
  <r>
    <s v="82000000007004283000200000647205"/>
    <s v="NULL"/>
    <x v="3"/>
  </r>
  <r>
    <s v="82000000007009536000200000644017"/>
    <s v="NULL"/>
    <x v="3"/>
  </r>
  <r>
    <s v="82000000007010061000200000672335"/>
    <s v="NULL"/>
    <x v="3"/>
  </r>
  <r>
    <s v="82000000007010200000200000673734"/>
    <s v="NULL"/>
    <x v="3"/>
  </r>
  <r>
    <s v="82000000007011193000200000680956"/>
    <s v="NULL"/>
    <x v="3"/>
  </r>
  <r>
    <s v="82000000007014362000200000655141"/>
    <s v="NULL"/>
    <x v="3"/>
  </r>
  <r>
    <s v="89CMAH2022000041R001520230085466"/>
    <s v="NULL"/>
    <x v="1"/>
  </r>
  <r>
    <s v="89CMAH2022000041R001520230086270"/>
    <s v="NULL"/>
    <x v="1"/>
  </r>
  <r>
    <s v="89CMAH2022000041R001520230144733"/>
    <s v="NULL"/>
    <x v="1"/>
  </r>
  <r>
    <s v="89CMAH2022000041R001520230144855"/>
    <s v="NULL"/>
    <x v="1"/>
  </r>
  <r>
    <s v="89CMAH2022000041R001520230177960"/>
    <s v="NULL"/>
    <x v="1"/>
  </r>
  <r>
    <s v="89CMAH2022000041R001520230178025"/>
    <s v="NULL"/>
    <x v="1"/>
  </r>
  <r>
    <s v="89CMAH2022000041R001520230178611"/>
    <s v="NULL"/>
    <x v="1"/>
  </r>
  <r>
    <s v="89CMAH2022000041R001520230178640"/>
    <s v="NULL"/>
    <x v="1"/>
  </r>
  <r>
    <s v="89CMAH2022000041R001520230234041"/>
    <s v="NULL"/>
    <x v="1"/>
  </r>
  <r>
    <s v="89CMAH2022000041R001520230234299"/>
    <s v="NULL"/>
    <x v="1"/>
  </r>
  <r>
    <s v="89CMAH2022000041R001520230234409"/>
    <s v="NULL"/>
    <x v="1"/>
  </r>
  <r>
    <s v="89CMAH2022000041R001520230234430"/>
    <s v="NULL"/>
    <x v="1"/>
  </r>
  <r>
    <s v="89CMAH2022000041R001520230234452"/>
    <s v="NULL"/>
    <x v="1"/>
  </r>
  <r>
    <s v="89CMAH2022000041R001520230234565"/>
    <s v="NULL"/>
    <x v="1"/>
  </r>
  <r>
    <s v="89CMAH2022000041R001520230234727"/>
    <s v="NULL"/>
    <x v="1"/>
  </r>
  <r>
    <s v="89CMAH2022000041R001520230234740"/>
    <s v="NULL"/>
    <x v="1"/>
  </r>
  <r>
    <s v="89CMAH2022000041R001520230289429"/>
    <s v="NULL"/>
    <x v="1"/>
  </r>
  <r>
    <s v="89CMAH2022000041R001520230289543"/>
    <s v="NULL"/>
    <x v="1"/>
  </r>
  <r>
    <s v="89CMAH2022000041R001520230289566"/>
    <s v="NULL"/>
    <x v="1"/>
  </r>
  <r>
    <s v="89CMAH2022000041R001520230289577"/>
    <s v="NULL"/>
    <x v="1"/>
  </r>
  <r>
    <s v="89CMAH2022000041R001520230289647"/>
    <s v="NULL"/>
    <x v="1"/>
  </r>
  <r>
    <s v="89CMAH2022000041R001520230289653"/>
    <s v="NULL"/>
    <x v="1"/>
  </r>
  <r>
    <s v="89CMAH2022000041R001520230289655"/>
    <s v="NULL"/>
    <x v="1"/>
  </r>
  <r>
    <s v="89CMAH2022000041R001520230289687"/>
    <s v="NULL"/>
    <x v="1"/>
  </r>
  <r>
    <s v="89CMAH2022000041R001520230289730"/>
    <s v="NULL"/>
    <x v="1"/>
  </r>
  <r>
    <s v="89CMAH2022000041R001520230289828"/>
    <s v="NULL"/>
    <x v="1"/>
  </r>
  <r>
    <s v="89CMAH2022000041R001520230289837"/>
    <s v="NULL"/>
    <x v="1"/>
  </r>
  <r>
    <s v="89CMAH2022000041R001520230289863"/>
    <s v="NULL"/>
    <x v="1"/>
  </r>
  <r>
    <s v="89CMAH2022000041R001520230289891"/>
    <s v="NULL"/>
    <x v="1"/>
  </r>
  <r>
    <s v="89CMAH2022000041R001520230289906"/>
    <s v="NULL"/>
    <x v="1"/>
  </r>
  <r>
    <s v="89CMAH2022000041R001520230289936"/>
    <s v="NULL"/>
    <x v="1"/>
  </r>
  <r>
    <s v="89CMAH2022000041R001520230289944"/>
    <s v="NULL"/>
    <x v="1"/>
  </r>
  <r>
    <s v="89CMAH2022000041R001520230289946"/>
    <s v="NULL"/>
    <x v="1"/>
  </r>
  <r>
    <s v="89CMAH2022000041R001520230289950"/>
    <s v="NULL"/>
    <x v="1"/>
  </r>
  <r>
    <s v="89CMAH2022000041R001520230289964"/>
    <s v="NULL"/>
    <x v="1"/>
  </r>
  <r>
    <s v="89CMAH2022000041R001520230289982"/>
    <s v="NULL"/>
    <x v="1"/>
  </r>
  <r>
    <s v="89CMAH2022000041R001520230290203"/>
    <s v="NULL"/>
    <x v="1"/>
  </r>
  <r>
    <s v="89CMAH2022000041R001520230290213"/>
    <s v="NULL"/>
    <x v="1"/>
  </r>
  <r>
    <s v="89CMAH2022000041R001520230290271"/>
    <s v="NULL"/>
    <x v="1"/>
  </r>
  <r>
    <s v="89CMAH2022000041R001520230290276"/>
    <s v="NULL"/>
    <x v="1"/>
  </r>
  <r>
    <s v="89CMAH2022000041R001520230290282"/>
    <s v="NULL"/>
    <x v="1"/>
  </r>
  <r>
    <s v="89CMAH2022000041R001520230290286"/>
    <s v="NULL"/>
    <x v="1"/>
  </r>
  <r>
    <s v="89CMAH2022000041R001520230290307"/>
    <s v="NULL"/>
    <x v="1"/>
  </r>
  <r>
    <s v="89CMAH2022000041R001520230290319"/>
    <s v="NULL"/>
    <x v="1"/>
  </r>
  <r>
    <s v="89CMAH2022000041R001520230290361"/>
    <s v="NULL"/>
    <x v="1"/>
  </r>
  <r>
    <s v="89CMAH2022000041R001520230290420"/>
    <s v="NULL"/>
    <x v="1"/>
  </r>
  <r>
    <s v="89CMAH2022000041R001520230290527"/>
    <s v="NULL"/>
    <x v="1"/>
  </r>
  <r>
    <s v="89CMAH2022000041R001520230290543"/>
    <s v="NULL"/>
    <x v="1"/>
  </r>
  <r>
    <s v="89CMAH2022000041R001520230290565"/>
    <s v="NULL"/>
    <x v="1"/>
  </r>
  <r>
    <s v="89CMAH2022000041R001520230290577"/>
    <s v="NULL"/>
    <x v="1"/>
  </r>
  <r>
    <s v="89CMAH2022000041R001520230290665"/>
    <s v="NULL"/>
    <x v="1"/>
  </r>
  <r>
    <s v="89CMAH2022000041R001520230290719"/>
    <s v="NULL"/>
    <x v="1"/>
  </r>
  <r>
    <s v="89CMAH2022000041R001520230290782"/>
    <s v="NULL"/>
    <x v="1"/>
  </r>
  <r>
    <s v="89CMAH2022000041R001520230290826"/>
    <s v="NULL"/>
    <x v="1"/>
  </r>
  <r>
    <s v="89CMAH2022000041R001520230290880"/>
    <s v="NULL"/>
    <x v="1"/>
  </r>
  <r>
    <s v="89CMAH2022000041R001520230290914"/>
    <s v="NULL"/>
    <x v="1"/>
  </r>
  <r>
    <s v="89CMAH2022000041R001520230290918"/>
    <s v="NULL"/>
    <x v="1"/>
  </r>
  <r>
    <s v="SNCN00000011"/>
    <s v="NULL"/>
    <x v="0"/>
  </r>
  <r>
    <s v="SNCN00000065"/>
    <s v="NULL"/>
    <x v="0"/>
  </r>
  <r>
    <s v="SNCN00000093"/>
    <s v="NULL"/>
    <x v="0"/>
  </r>
  <r>
    <s v="SNCN00000162"/>
    <s v="NULL"/>
    <x v="0"/>
  </r>
  <r>
    <s v="SNCN00000294"/>
    <s v="NULL"/>
    <x v="0"/>
  </r>
  <r>
    <s v="SNCN00000503"/>
    <s v="NULL"/>
    <x v="0"/>
  </r>
  <r>
    <s v="SNCN00000553"/>
    <s v="NULL"/>
    <x v="0"/>
  </r>
  <r>
    <s v="SNCN00000678"/>
    <s v="NULL"/>
    <x v="0"/>
  </r>
  <r>
    <s v="SNCN00000853"/>
    <s v="NULL"/>
    <x v="0"/>
  </r>
  <r>
    <s v="SNCN00000982"/>
    <s v="NULL"/>
    <x v="0"/>
  </r>
  <r>
    <s v="80CMAHFINERGEDSFR000000000000001"/>
    <s v="NULL"/>
    <x v="1"/>
  </r>
  <r>
    <s v="SNCN00000418"/>
    <s v="NULL"/>
    <x v="0"/>
  </r>
  <r>
    <s v="80CMAHFINERGEWCF0000000000000003"/>
    <s v="NULL"/>
    <x v="1"/>
  </r>
  <r>
    <s v="SNCN00000966"/>
    <s v="NULL"/>
    <x v="0"/>
  </r>
  <r>
    <s v="31000010813071149000000000000000"/>
    <s v="NULL"/>
    <x v="2"/>
  </r>
  <r>
    <s v="SNCN00000532"/>
    <s v="NULL"/>
    <x v="0"/>
  </r>
  <r>
    <s v="SNCN00000517"/>
    <s v="NULL"/>
    <x v="0"/>
  </r>
  <r>
    <s v="SNCN00000554"/>
    <s v="NULL"/>
    <x v="0"/>
  </r>
  <r>
    <s v="31000310568850090069674040100000"/>
    <s v="NULL"/>
    <x v="2"/>
  </r>
  <r>
    <s v="31000310172009091069674670100000"/>
    <s v="NULL"/>
    <x v="2"/>
  </r>
  <r>
    <s v="31CMAH0000000000R262304820026980"/>
    <s v="NULL"/>
    <x v="1"/>
  </r>
  <r>
    <s v="31CMAH0000000000R262304840025960"/>
    <s v="NULL"/>
    <x v="1"/>
  </r>
  <r>
    <s v="31CMAH0000000000R962304820242730"/>
    <s v="NULL"/>
    <x v="1"/>
  </r>
  <r>
    <s v="31CMAH0000000000R962304820376620"/>
    <s v="NULL"/>
    <x v="1"/>
  </r>
  <r>
    <s v="31CMAH0000000000R962304820380720"/>
    <s v="NULL"/>
    <x v="1"/>
  </r>
  <r>
    <s v="31CMAH0000000000R962304820381280"/>
    <s v="NULL"/>
    <x v="1"/>
  </r>
  <r>
    <s v="31CMAH0000000000R962304820393220"/>
    <s v="NULL"/>
    <x v="1"/>
  </r>
  <r>
    <s v="31CMAH00380018977363603800189779"/>
    <s v="NULL"/>
    <x v="1"/>
  </r>
  <r>
    <s v="31CMAHenergyS1xS2OVER1ENFSMERT0A"/>
    <s v="NULL"/>
    <x v="1"/>
  </r>
  <r>
    <s v="31CMAHrxohabS1xS2PMAPARREST00001"/>
    <s v="NULL"/>
    <x v="1"/>
  </r>
  <r>
    <s v="31000310526585090069674440100000"/>
    <s v="NULL"/>
    <x v="2"/>
  </r>
  <r>
    <s v="82000000007000206000200000642323"/>
    <s v="NULL"/>
    <x v="3"/>
  </r>
  <r>
    <s v="82000000007000547000200000642925"/>
    <s v="NULL"/>
    <x v="3"/>
  </r>
  <r>
    <s v="82000000007001278000200000643651"/>
    <s v="NULL"/>
    <x v="3"/>
  </r>
  <r>
    <s v="82000000007002004000200000644307"/>
    <s v="NULL"/>
    <x v="3"/>
  </r>
  <r>
    <s v="82000000007002476000200000644715"/>
    <s v="NULL"/>
    <x v="3"/>
  </r>
  <r>
    <s v="82000000007003455000200000646082"/>
    <s v="NULL"/>
    <x v="3"/>
  </r>
  <r>
    <s v="82000000007004026000200000646678"/>
    <s v="NULL"/>
    <x v="3"/>
  </r>
  <r>
    <s v="82000000007007661000200000654192"/>
    <s v="NULL"/>
    <x v="3"/>
  </r>
  <r>
    <s v="82000000007013662000200000661116"/>
    <s v="NULL"/>
    <x v="3"/>
  </r>
  <r>
    <s v="SNCN00000531"/>
    <s v="NULL"/>
    <x v="0"/>
  </r>
  <r>
    <s v="89CMAH2022000041R001520230085474"/>
    <s v="NULL"/>
    <x v="1"/>
  </r>
  <r>
    <s v="89CMAH2022000041R001520230144821"/>
    <s v="NULL"/>
    <x v="1"/>
  </r>
  <r>
    <s v="89CMAH2022000041R001520230145075"/>
    <s v="NULL"/>
    <x v="1"/>
  </r>
  <r>
    <s v="89CMAH2022000041R001520230177936"/>
    <s v="NULL"/>
    <x v="1"/>
  </r>
  <r>
    <s v="89CMAH2022000041R001520230177999"/>
    <s v="NULL"/>
    <x v="1"/>
  </r>
  <r>
    <s v="89CMAH2022000041R001520230178275"/>
    <s v="NULL"/>
    <x v="1"/>
  </r>
  <r>
    <s v="89CMAH2022000041R001520230178568"/>
    <s v="NULL"/>
    <x v="1"/>
  </r>
  <r>
    <s v="89CMAH2022000041R001520230178629"/>
    <s v="NULL"/>
    <x v="1"/>
  </r>
  <r>
    <s v="89CMAH2022000041R001520230234242"/>
    <s v="NULL"/>
    <x v="1"/>
  </r>
  <r>
    <s v="89CMAH2022000041R001520230234431"/>
    <s v="NULL"/>
    <x v="1"/>
  </r>
  <r>
    <s v="89CMAH2022000041R001520230234464"/>
    <s v="NULL"/>
    <x v="1"/>
  </r>
  <r>
    <s v="89CMAH2022000041R001520230234478"/>
    <s v="NULL"/>
    <x v="1"/>
  </r>
  <r>
    <s v="89CMAH2022000041R001520230234506"/>
    <s v="NULL"/>
    <x v="1"/>
  </r>
  <r>
    <s v="89CMAH2022000041R001520230234525"/>
    <s v="NULL"/>
    <x v="1"/>
  </r>
  <r>
    <s v="89CMAH2022000041R001520230234627"/>
    <s v="NULL"/>
    <x v="1"/>
  </r>
  <r>
    <s v="89CMAH2022000041R001520230234712"/>
    <s v="NULL"/>
    <x v="1"/>
  </r>
  <r>
    <s v="89CMAH2022000041R001520230289437"/>
    <s v="NULL"/>
    <x v="1"/>
  </r>
  <r>
    <s v="89CMAH2022000041R001520230289447"/>
    <s v="NULL"/>
    <x v="1"/>
  </r>
  <r>
    <s v="89CMAH2022000041R001520230289469"/>
    <s v="NULL"/>
    <x v="1"/>
  </r>
  <r>
    <s v="89CMAH2022000041R001520230289549"/>
    <s v="NULL"/>
    <x v="1"/>
  </r>
  <r>
    <s v="89CMAH2022000041R001520230289556"/>
    <s v="NULL"/>
    <x v="1"/>
  </r>
  <r>
    <s v="89CMAH2022000041R001520230289567"/>
    <s v="NULL"/>
    <x v="1"/>
  </r>
  <r>
    <s v="89CMAH2022000041R001520230289820"/>
    <s v="NULL"/>
    <x v="1"/>
  </r>
  <r>
    <s v="89CMAH2022000041R001520230289893"/>
    <s v="NULL"/>
    <x v="1"/>
  </r>
  <r>
    <s v="89CMAH2022000041R001520230289895"/>
    <s v="NULL"/>
    <x v="1"/>
  </r>
  <r>
    <s v="89CMAH2022000041R001520230289908"/>
    <s v="NULL"/>
    <x v="1"/>
  </r>
  <r>
    <s v="89CMAH2022000041R001520230290057"/>
    <s v="NULL"/>
    <x v="1"/>
  </r>
  <r>
    <s v="89CMAH2022000041R001520230290061"/>
    <s v="NULL"/>
    <x v="1"/>
  </r>
  <r>
    <s v="89CMAH2022000041R001520230290111"/>
    <s v="NULL"/>
    <x v="1"/>
  </r>
  <r>
    <s v="89CMAH2022000041R001520230290202"/>
    <s v="NULL"/>
    <x v="1"/>
  </r>
  <r>
    <s v="89CMAH2022000041R001520230290345"/>
    <s v="NULL"/>
    <x v="1"/>
  </r>
  <r>
    <s v="89CMAH2022000041R001520230290352"/>
    <s v="NULL"/>
    <x v="1"/>
  </r>
  <r>
    <s v="89CMAH2022000041R001520230290375"/>
    <s v="NULL"/>
    <x v="1"/>
  </r>
  <r>
    <s v="89CMAH2022000041R001520230290393"/>
    <s v="NULL"/>
    <x v="1"/>
  </r>
  <r>
    <s v="89CMAH2022000041R001520230290415"/>
    <s v="NULL"/>
    <x v="1"/>
  </r>
  <r>
    <s v="89CMAH2022000041R001520230290532"/>
    <s v="NULL"/>
    <x v="1"/>
  </r>
  <r>
    <s v="89CMAH2022000041R001520230290621"/>
    <s v="NULL"/>
    <x v="1"/>
  </r>
  <r>
    <s v="89CMAH2022000041R001520230290629"/>
    <s v="NULL"/>
    <x v="1"/>
  </r>
  <r>
    <s v="89CMAH2022000041R001520230290637"/>
    <s v="NULL"/>
    <x v="1"/>
  </r>
  <r>
    <s v="89CMAH2022000041R001520230290679"/>
    <s v="NULL"/>
    <x v="1"/>
  </r>
  <r>
    <s v="89CMAH2022000041R001520230290709"/>
    <s v="NULL"/>
    <x v="1"/>
  </r>
  <r>
    <s v="89CMAH2022000041R001520230290736"/>
    <s v="NULL"/>
    <x v="1"/>
  </r>
  <r>
    <s v="89CMAH2022000041R001520230290786"/>
    <s v="NULL"/>
    <x v="1"/>
  </r>
  <r>
    <s v="89CMAH2022000041R001520230290812"/>
    <s v="NULL"/>
    <x v="1"/>
  </r>
  <r>
    <s v="89CMAH2022000041R001520230290840"/>
    <s v="NULL"/>
    <x v="1"/>
  </r>
  <r>
    <s v="89CMAH2022000041R001520230290852"/>
    <s v="NULL"/>
    <x v="1"/>
  </r>
  <r>
    <s v="89CMAH2022000041R001520230290859"/>
    <s v="NULL"/>
    <x v="1"/>
  </r>
  <r>
    <s v="89CMAH2022000041R001520230290923"/>
    <s v="NULL"/>
    <x v="1"/>
  </r>
  <r>
    <s v="SNCN00000140"/>
    <s v="NULL"/>
    <x v="0"/>
  </r>
  <r>
    <s v="SNCN00000204"/>
    <s v="NULL"/>
    <x v="0"/>
  </r>
  <r>
    <s v="SNCN00000217"/>
    <s v="NULL"/>
    <x v="0"/>
  </r>
  <r>
    <s v="SNCN00000329"/>
    <s v="NULL"/>
    <x v="0"/>
  </r>
  <r>
    <s v="SNCN00000589"/>
    <s v="NULL"/>
    <x v="0"/>
  </r>
  <r>
    <s v="SNCN00000869"/>
    <s v="NULL"/>
    <x v="0"/>
  </r>
  <r>
    <s v="SNCN00000975"/>
    <s v="NULL"/>
    <x v="0"/>
  </r>
  <r>
    <s v="31023300900008282069674780100000"/>
    <s v="NULL"/>
    <x v="2"/>
  </r>
  <r>
    <s v="31CMAH0000000000R262304820009390"/>
    <s v="NULL"/>
    <x v="1"/>
  </r>
  <r>
    <s v="31CMAH0000000000R262304840018800"/>
    <s v="NULL"/>
    <x v="1"/>
  </r>
  <r>
    <s v="31CMAH0000000000R962304820072940"/>
    <s v="NULL"/>
    <x v="1"/>
  </r>
  <r>
    <s v="31CMAH0000000000R962304820383100"/>
    <s v="NULL"/>
    <x v="1"/>
  </r>
  <r>
    <s v="31CMAH5723667001R100399800000001"/>
    <s v="NULL"/>
    <x v="1"/>
  </r>
  <r>
    <s v="31CMAHenergyS1xS2OVER1ENFGDRST0C"/>
    <s v="NULL"/>
    <x v="1"/>
  </r>
  <r>
    <s v="82000000000144384000450000514295"/>
    <s v="NULL"/>
    <x v="3"/>
  </r>
  <r>
    <s v="82000000007000842000200000643290"/>
    <s v="NULL"/>
    <x v="3"/>
  </r>
  <r>
    <s v="82000000007001409000200000523062"/>
    <s v="NULL"/>
    <x v="3"/>
  </r>
  <r>
    <s v="82000000007001874000200000644183"/>
    <s v="NULL"/>
    <x v="3"/>
  </r>
  <r>
    <s v="82000000007004626000200000647487"/>
    <s v="NULL"/>
    <x v="3"/>
  </r>
  <r>
    <s v="82000000007007982000200000655745"/>
    <s v="NULL"/>
    <x v="3"/>
  </r>
  <r>
    <s v="82000000007008359000200000657067"/>
    <s v="NULL"/>
    <x v="3"/>
  </r>
  <r>
    <s v="82000000007008582000200000658454"/>
    <s v="NULL"/>
    <x v="3"/>
  </r>
  <r>
    <s v="82000000007011558000200000680359"/>
    <s v="NULL"/>
    <x v="3"/>
  </r>
  <r>
    <s v="82000000007017954000200000761236"/>
    <s v="NULL"/>
    <x v="3"/>
  </r>
  <r>
    <s v="82000000007017962000200000761242"/>
    <s v="NULL"/>
    <x v="3"/>
  </r>
  <r>
    <s v="890000201300031361000500C21737I0"/>
    <s v="NULL"/>
    <x v="4"/>
  </r>
  <r>
    <s v="890000201400015461000500C55286I0"/>
    <s v="NULL"/>
    <x v="4"/>
  </r>
  <r>
    <s v="89CMAH2022000041R001520230039468"/>
    <s v="NULL"/>
    <x v="1"/>
  </r>
  <r>
    <s v="89CMAH2022000041R001520230039793"/>
    <s v="NULL"/>
    <x v="1"/>
  </r>
  <r>
    <s v="89CMAH2022000041R001520230086301"/>
    <s v="NULL"/>
    <x v="1"/>
  </r>
  <r>
    <s v="89CMAH2022000041R001520230178103"/>
    <s v="NULL"/>
    <x v="1"/>
  </r>
  <r>
    <s v="89CMAH2022000041R001520230234035"/>
    <s v="NULL"/>
    <x v="1"/>
  </r>
  <r>
    <s v="89CMAH2022000041R001520230234096"/>
    <s v="NULL"/>
    <x v="1"/>
  </r>
  <r>
    <s v="89CMAH2022000041R001520230234160"/>
    <s v="NULL"/>
    <x v="1"/>
  </r>
  <r>
    <s v="89CMAH2022000041R001520230234186"/>
    <s v="NULL"/>
    <x v="1"/>
  </r>
  <r>
    <s v="89CMAH2022000041R001520230234234"/>
    <s v="NULL"/>
    <x v="1"/>
  </r>
  <r>
    <s v="89CMAH2022000041R001520230234238"/>
    <s v="NULL"/>
    <x v="1"/>
  </r>
  <r>
    <s v="89CMAH2022000041R001520230234347"/>
    <s v="NULL"/>
    <x v="1"/>
  </r>
  <r>
    <s v="89CMAH2022000041R001520230234412"/>
    <s v="NULL"/>
    <x v="1"/>
  </r>
  <r>
    <s v="89CMAH2022000041R001520230234466"/>
    <s v="NULL"/>
    <x v="1"/>
  </r>
  <r>
    <s v="89CMAH2022000041R001520230234491"/>
    <s v="NULL"/>
    <x v="1"/>
  </r>
  <r>
    <s v="89CMAH2022000041R001520230234508"/>
    <s v="NULL"/>
    <x v="1"/>
  </r>
  <r>
    <s v="89CMAH2022000041R001520230234510"/>
    <s v="NULL"/>
    <x v="1"/>
  </r>
  <r>
    <s v="89CMAH2022000041R001520230234635"/>
    <s v="NULL"/>
    <x v="1"/>
  </r>
  <r>
    <s v="89CMAH2022000041R001520230234662"/>
    <s v="NULL"/>
    <x v="1"/>
  </r>
  <r>
    <s v="89CMAH2022000041R001520230289368"/>
    <s v="NULL"/>
    <x v="1"/>
  </r>
  <r>
    <s v="89CMAH2022000041R001520230289369"/>
    <s v="NULL"/>
    <x v="1"/>
  </r>
  <r>
    <s v="89CMAH2022000041R001520230289451"/>
    <s v="NULL"/>
    <x v="1"/>
  </r>
  <r>
    <s v="89CMAH2022000041R001520230289479"/>
    <s v="NULL"/>
    <x v="1"/>
  </r>
  <r>
    <s v="89CMAH2022000041R001520230289482"/>
    <s v="NULL"/>
    <x v="1"/>
  </r>
  <r>
    <s v="89CMAH2022000041R001520230289544"/>
    <s v="NULL"/>
    <x v="1"/>
  </r>
  <r>
    <s v="89CMAH2022000041R001520230289584"/>
    <s v="NULL"/>
    <x v="1"/>
  </r>
  <r>
    <s v="89CMAH2022000041R001520230289633"/>
    <s v="NULL"/>
    <x v="1"/>
  </r>
  <r>
    <s v="89CMAH2022000041R001520230289637"/>
    <s v="NULL"/>
    <x v="1"/>
  </r>
  <r>
    <s v="89CMAH2022000041R001520230289661"/>
    <s v="NULL"/>
    <x v="1"/>
  </r>
  <r>
    <s v="89CMAH2022000041R001520230289680"/>
    <s v="NULL"/>
    <x v="1"/>
  </r>
  <r>
    <s v="89CMAH2022000041R001520230289684"/>
    <s v="NULL"/>
    <x v="1"/>
  </r>
  <r>
    <s v="89CMAH2022000041R001520230289754"/>
    <s v="NULL"/>
    <x v="1"/>
  </r>
  <r>
    <s v="89CMAH2022000041R001520230289871"/>
    <s v="NULL"/>
    <x v="1"/>
  </r>
  <r>
    <s v="89CMAH2022000041R001520230289976"/>
    <s v="NULL"/>
    <x v="1"/>
  </r>
  <r>
    <s v="89CMAH2022000041R001520230290009"/>
    <s v="NULL"/>
    <x v="1"/>
  </r>
  <r>
    <s v="89CMAH2022000041R001520230290103"/>
    <s v="NULL"/>
    <x v="1"/>
  </r>
  <r>
    <s v="89CMAH2022000041R001520230290171"/>
    <s v="NULL"/>
    <x v="1"/>
  </r>
  <r>
    <s v="89CMAH2022000041R001520230290175"/>
    <s v="NULL"/>
    <x v="1"/>
  </r>
  <r>
    <s v="89CMAH2022000041R001520230290244"/>
    <s v="NULL"/>
    <x v="1"/>
  </r>
  <r>
    <s v="89CMAH2022000041R001520230290426"/>
    <s v="NULL"/>
    <x v="1"/>
  </r>
  <r>
    <s v="89CMAH2022000041R001520230290438"/>
    <s v="NULL"/>
    <x v="1"/>
  </r>
  <r>
    <s v="89CMAH2022000041R001520230290480"/>
    <s v="NULL"/>
    <x v="1"/>
  </r>
  <r>
    <s v="89CMAH2022000041R001520230290568"/>
    <s v="NULL"/>
    <x v="1"/>
  </r>
  <r>
    <s v="89CMAH2022000041R001520230290625"/>
    <s v="NULL"/>
    <x v="1"/>
  </r>
  <r>
    <s v="89CMAH2022000041R001520230290653"/>
    <s v="NULL"/>
    <x v="1"/>
  </r>
  <r>
    <s v="89CMAH2022000041R001520230290772"/>
    <s v="NULL"/>
    <x v="1"/>
  </r>
  <r>
    <s v="89CMAH2022000041R001520230290779"/>
    <s v="NULL"/>
    <x v="1"/>
  </r>
  <r>
    <s v="89CMAH2022000041R001520230290819"/>
    <s v="NULL"/>
    <x v="1"/>
  </r>
  <r>
    <s v="SNCN00000064"/>
    <s v="NULL"/>
    <x v="0"/>
  </r>
  <r>
    <s v="SNCN00000187"/>
    <s v="NULL"/>
    <x v="0"/>
  </r>
  <r>
    <s v="SNCN00000287"/>
    <s v="NULL"/>
    <x v="0"/>
  </r>
  <r>
    <s v="SNCN00000341"/>
    <s v="NULL"/>
    <x v="0"/>
  </r>
  <r>
    <s v="SNCN00000363"/>
    <s v="NULL"/>
    <x v="0"/>
  </r>
  <r>
    <s v="SNCN00000725"/>
    <s v="NULL"/>
    <x v="0"/>
  </r>
  <r>
    <s v="SNCN00000938"/>
    <s v="NULL"/>
    <x v="0"/>
  </r>
  <r>
    <s v="31CMAH0000000000R962304820151190"/>
    <s v="NULL"/>
    <x v="1"/>
  </r>
  <r>
    <s v="31CMAH0000000000R962304820309480"/>
    <s v="NULL"/>
    <x v="1"/>
  </r>
  <r>
    <s v="31CMAH0000000000R962304820406080"/>
    <s v="NULL"/>
    <x v="1"/>
  </r>
  <r>
    <s v="31CMAH0000000000R962304820406090"/>
    <s v="NULL"/>
    <x v="1"/>
  </r>
  <r>
    <s v="31CMAH4668178902R000000000000000"/>
    <s v="NULL"/>
    <x v="1"/>
  </r>
  <r>
    <s v="82000000007007238000200000652671"/>
    <s v="NULL"/>
    <x v="3"/>
  </r>
  <r>
    <s v="82000000007008130000200000656210"/>
    <s v="NULL"/>
    <x v="3"/>
  </r>
  <r>
    <s v="82000000007017477000200000754446"/>
    <s v="NULL"/>
    <x v="3"/>
  </r>
  <r>
    <s v="82000000007018709000200000647497"/>
    <s v="NULL"/>
    <x v="3"/>
  </r>
  <r>
    <s v="31CMAH0000000000R962304820200900"/>
    <s v="NULL"/>
    <x v="1"/>
  </r>
  <r>
    <s v="31CMAH0000000000R962304820216980"/>
    <s v="NULL"/>
    <x v="1"/>
  </r>
  <r>
    <s v="31CMAH0000000000R962304820334150"/>
    <s v="NULL"/>
    <x v="1"/>
  </r>
  <r>
    <s v="31CMAH0000000000R962304820341720"/>
    <s v="NULL"/>
    <x v="1"/>
  </r>
  <r>
    <s v="31CMAH0000000000R962304820381290"/>
    <s v="NULL"/>
    <x v="1"/>
  </r>
  <r>
    <s v="31CMAH0000000000R962304820399740"/>
    <s v="NULL"/>
    <x v="1"/>
  </r>
  <r>
    <s v="31CMAH0000580004RXS0237370605000"/>
    <s v="NULL"/>
    <x v="1"/>
  </r>
  <r>
    <s v="31CMAHenergyS1xS2OVER1ENFSMERT0C"/>
    <s v="NULL"/>
    <x v="1"/>
  </r>
  <r>
    <s v="82000000007000870000200000643310"/>
    <s v="NULL"/>
    <x v="3"/>
  </r>
  <r>
    <s v="82000000007001252000200000643633"/>
    <s v="NULL"/>
    <x v="3"/>
  </r>
  <r>
    <s v="82000000007003950000200000646822"/>
    <s v="NULL"/>
    <x v="3"/>
  </r>
  <r>
    <s v="82000000007005725000200000648599"/>
    <s v="NULL"/>
    <x v="3"/>
  </r>
  <r>
    <s v="82000000007013026000200000688021"/>
    <s v="NULL"/>
    <x v="3"/>
  </r>
  <r>
    <s v="890000201300031341000500C39109I0"/>
    <s v="NULL"/>
    <x v="4"/>
  </r>
  <r>
    <s v="89CMAH2022000041R001520230085843"/>
    <s v="NULL"/>
    <x v="1"/>
  </r>
  <r>
    <s v="89CMAH2022000041R001520230085988"/>
    <s v="NULL"/>
    <x v="1"/>
  </r>
  <r>
    <s v="89CMAH2022000041R001520230086029"/>
    <s v="NULL"/>
    <x v="1"/>
  </r>
  <r>
    <s v="89CMAH2022000041R001520230144644"/>
    <s v="NULL"/>
    <x v="1"/>
  </r>
  <r>
    <s v="89CMAH2022000041R001520230144718"/>
    <s v="NULL"/>
    <x v="1"/>
  </r>
  <r>
    <s v="89CMAH2022000041R001520230144779"/>
    <s v="NULL"/>
    <x v="1"/>
  </r>
  <r>
    <s v="89CMAH2022000041R001520230178067"/>
    <s v="NULL"/>
    <x v="1"/>
  </r>
  <r>
    <s v="89CMAH2022000041R001520230178106"/>
    <s v="NULL"/>
    <x v="1"/>
  </r>
  <r>
    <s v="89CMAH2022000041R001520230178183"/>
    <s v="NULL"/>
    <x v="1"/>
  </r>
  <r>
    <s v="89CMAH2022000041R001520230178258"/>
    <s v="NULL"/>
    <x v="1"/>
  </r>
  <r>
    <s v="89CMAH2022000041R001520230178292"/>
    <s v="NULL"/>
    <x v="1"/>
  </r>
  <r>
    <s v="89CMAH2022000041R001520230178294"/>
    <s v="NULL"/>
    <x v="1"/>
  </r>
  <r>
    <s v="89CMAH2022000041R001520230178319"/>
    <s v="NULL"/>
    <x v="1"/>
  </r>
  <r>
    <s v="89CMAH2022000041R001520230178503"/>
    <s v="NULL"/>
    <x v="1"/>
  </r>
  <r>
    <s v="89CMAH2022000041R001520230178504"/>
    <s v="NULL"/>
    <x v="1"/>
  </r>
  <r>
    <s v="89CMAH2022000041R001520230234071"/>
    <s v="NULL"/>
    <x v="1"/>
  </r>
  <r>
    <s v="89CMAH2022000041R001520230234257"/>
    <s v="NULL"/>
    <x v="1"/>
  </r>
  <r>
    <s v="89CMAH2022000041R001520230234356"/>
    <s v="NULL"/>
    <x v="1"/>
  </r>
  <r>
    <s v="89CMAH2022000041R001520230234370"/>
    <s v="NULL"/>
    <x v="1"/>
  </r>
  <r>
    <s v="89CMAH2022000041R001520230234379"/>
    <s v="NULL"/>
    <x v="1"/>
  </r>
  <r>
    <s v="89CMAH2022000041R001520230234387"/>
    <s v="NULL"/>
    <x v="1"/>
  </r>
  <r>
    <s v="89CMAH2022000041R001520230234447"/>
    <s v="NULL"/>
    <x v="1"/>
  </r>
  <r>
    <s v="89CMAH2022000041R001520230234532"/>
    <s v="NULL"/>
    <x v="1"/>
  </r>
  <r>
    <s v="89CMAH2022000041R001520230234540"/>
    <s v="NULL"/>
    <x v="1"/>
  </r>
  <r>
    <s v="89CMAH2022000041R001520230234552"/>
    <s v="NULL"/>
    <x v="1"/>
  </r>
  <r>
    <s v="89CMAH2022000041R001520230234633"/>
    <s v="NULL"/>
    <x v="1"/>
  </r>
  <r>
    <s v="89CMAH2022000041R001520230234669"/>
    <s v="NULL"/>
    <x v="1"/>
  </r>
  <r>
    <s v="89CMAH2022000041R001520230234672"/>
    <s v="NULL"/>
    <x v="1"/>
  </r>
  <r>
    <s v="89CMAH2022000041R001520230234738"/>
    <s v="NULL"/>
    <x v="1"/>
  </r>
  <r>
    <s v="89CMAH2022000041R001520230289303"/>
    <s v="NULL"/>
    <x v="1"/>
  </r>
  <r>
    <s v="89CMAH2022000041R001520230289306"/>
    <s v="NULL"/>
    <x v="1"/>
  </r>
  <r>
    <s v="89CMAH2022000041R001520230289353"/>
    <s v="NULL"/>
    <x v="1"/>
  </r>
  <r>
    <s v="89CMAH2022000041R001520230289428"/>
    <s v="NULL"/>
    <x v="1"/>
  </r>
  <r>
    <s v="89CMAH2022000041R001520230289436"/>
    <s v="NULL"/>
    <x v="1"/>
  </r>
  <r>
    <s v="89CMAH2022000041R001520230289445"/>
    <s v="NULL"/>
    <x v="1"/>
  </r>
  <r>
    <s v="89CMAH2022000041R001520230289468"/>
    <s v="NULL"/>
    <x v="1"/>
  </r>
  <r>
    <s v="89CMAH2022000041R001520230289512"/>
    <s v="NULL"/>
    <x v="1"/>
  </r>
  <r>
    <s v="89CMAH2022000041R001520230289546"/>
    <s v="NULL"/>
    <x v="1"/>
  </r>
  <r>
    <s v="89CMAH2022000041R001520230289670"/>
    <s v="NULL"/>
    <x v="1"/>
  </r>
  <r>
    <s v="89CMAH2022000041R001520230289674"/>
    <s v="NULL"/>
    <x v="1"/>
  </r>
  <r>
    <s v="89CMAH2022000041R001520230289688"/>
    <s v="NULL"/>
    <x v="1"/>
  </r>
  <r>
    <s v="89CMAH2022000041R001520230289703"/>
    <s v="NULL"/>
    <x v="1"/>
  </r>
  <r>
    <s v="89CMAH2022000041R001520230289711"/>
    <s v="NULL"/>
    <x v="1"/>
  </r>
  <r>
    <s v="89CMAH2022000041R001520230289741"/>
    <s v="NULL"/>
    <x v="1"/>
  </r>
  <r>
    <s v="89CMAH2022000041R001520230289786"/>
    <s v="NULL"/>
    <x v="1"/>
  </r>
  <r>
    <s v="89CMAH2022000041R001520230289846"/>
    <s v="NULL"/>
    <x v="1"/>
  </r>
  <r>
    <s v="89CMAH2022000041R001520230289864"/>
    <s v="NULL"/>
    <x v="1"/>
  </r>
  <r>
    <s v="89CMAH2022000041R001520230289904"/>
    <s v="NULL"/>
    <x v="1"/>
  </r>
  <r>
    <s v="89CMAH2022000041R001520230289907"/>
    <s v="NULL"/>
    <x v="1"/>
  </r>
  <r>
    <s v="89CMAH2022000041R001520230289952"/>
    <s v="NULL"/>
    <x v="1"/>
  </r>
  <r>
    <s v="89CMAH2022000041R001520230289965"/>
    <s v="NULL"/>
    <x v="1"/>
  </r>
  <r>
    <s v="89CMAH2022000041R001520230289971"/>
    <s v="NULL"/>
    <x v="1"/>
  </r>
  <r>
    <s v="89CMAH2022000041R001520230289979"/>
    <s v="NULL"/>
    <x v="1"/>
  </r>
  <r>
    <s v="89CMAH2022000041R001520230289987"/>
    <s v="NULL"/>
    <x v="1"/>
  </r>
  <r>
    <s v="89CMAH2022000041R001520230290126"/>
    <s v="NULL"/>
    <x v="1"/>
  </r>
  <r>
    <s v="89CMAH2022000041R001520230290180"/>
    <s v="NULL"/>
    <x v="1"/>
  </r>
  <r>
    <s v="89CMAH2022000041R001520230290225"/>
    <s v="NULL"/>
    <x v="1"/>
  </r>
  <r>
    <s v="89CMAH2022000041R001520230290243"/>
    <s v="NULL"/>
    <x v="1"/>
  </r>
  <r>
    <s v="89CMAH2022000041R001520230290257"/>
    <s v="NULL"/>
    <x v="1"/>
  </r>
  <r>
    <s v="89CMAH2022000041R001520230290444"/>
    <s v="NULL"/>
    <x v="1"/>
  </r>
  <r>
    <s v="89CMAH2022000041R001520230290492"/>
    <s v="NULL"/>
    <x v="1"/>
  </r>
  <r>
    <s v="89CMAH2022000041R001520230290522"/>
    <s v="NULL"/>
    <x v="1"/>
  </r>
  <r>
    <s v="89CMAH2022000041R001520230290556"/>
    <s v="NULL"/>
    <x v="1"/>
  </r>
  <r>
    <s v="89CMAH2022000041R001520230290557"/>
    <s v="NULL"/>
    <x v="1"/>
  </r>
  <r>
    <s v="89CMAH2022000041R001520230290616"/>
    <s v="NULL"/>
    <x v="1"/>
  </r>
  <r>
    <s v="89CMAH2022000041R001520230290691"/>
    <s v="NULL"/>
    <x v="1"/>
  </r>
  <r>
    <s v="89CMAH2022000041R001520230290787"/>
    <s v="NULL"/>
    <x v="1"/>
  </r>
  <r>
    <s v="89CMAH2022000041R001520230290837"/>
    <s v="NULL"/>
    <x v="1"/>
  </r>
  <r>
    <s v="89CMAH2022000041R001520230290860"/>
    <s v="NULL"/>
    <x v="1"/>
  </r>
  <r>
    <s v="89CMAH2022000041R001520230290866"/>
    <s v="NULL"/>
    <x v="1"/>
  </r>
  <r>
    <s v="SNCN00000004"/>
    <s v="NULL"/>
    <x v="0"/>
  </r>
  <r>
    <s v="SNCN00000008"/>
    <s v="NULL"/>
    <x v="0"/>
  </r>
  <r>
    <s v="SNCN00000067"/>
    <s v="NULL"/>
    <x v="0"/>
  </r>
  <r>
    <s v="SNCN00000208"/>
    <s v="NULL"/>
    <x v="0"/>
  </r>
  <r>
    <s v="SNCN00000222"/>
    <s v="NULL"/>
    <x v="0"/>
  </r>
  <r>
    <s v="SNCN00000232"/>
    <s v="NULL"/>
    <x v="0"/>
  </r>
  <r>
    <s v="SNCN00000354"/>
    <s v="NULL"/>
    <x v="0"/>
  </r>
  <r>
    <s v="SNCN00000933"/>
    <s v="NULL"/>
    <x v="0"/>
  </r>
  <r>
    <s v="SNCN00000937"/>
    <s v="NULL"/>
    <x v="0"/>
  </r>
  <r>
    <s v="89CMAH2022000041R001520230085692"/>
    <s v="NULL"/>
    <x v="1"/>
  </r>
  <r>
    <s v="89CMAH2022000041R001520230178052"/>
    <s v="NULL"/>
    <x v="1"/>
  </r>
  <r>
    <s v="89CMAH2022000041R001520230178133"/>
    <s v="NULL"/>
    <x v="1"/>
  </r>
  <r>
    <s v="89CMAH2022000041R001520230234016"/>
    <s v="NULL"/>
    <x v="1"/>
  </r>
  <r>
    <s v="89CMAH2022000041R001520230234033"/>
    <s v="NULL"/>
    <x v="1"/>
  </r>
  <r>
    <s v="89CMAH2022000041R001520230234086"/>
    <s v="NULL"/>
    <x v="1"/>
  </r>
  <r>
    <s v="89CMAH2022000041R001520230234319"/>
    <s v="NULL"/>
    <x v="1"/>
  </r>
  <r>
    <s v="89CMAH2022000041R001520230234377"/>
    <s v="NULL"/>
    <x v="1"/>
  </r>
  <r>
    <s v="89CMAH2022000041R001520230234397"/>
    <s v="NULL"/>
    <x v="1"/>
  </r>
  <r>
    <s v="89CMAH2022000041R001520230234492"/>
    <s v="NULL"/>
    <x v="1"/>
  </r>
  <r>
    <s v="89CMAH2022000041R001520230234533"/>
    <s v="NULL"/>
    <x v="1"/>
  </r>
  <r>
    <s v="89CMAH2022000041R001520230234636"/>
    <s v="NULL"/>
    <x v="1"/>
  </r>
  <r>
    <s v="89CMAH2022000041R001520230234722"/>
    <s v="NULL"/>
    <x v="1"/>
  </r>
  <r>
    <s v="89CMAH2022000041R001520230289310"/>
    <s v="NULL"/>
    <x v="1"/>
  </r>
  <r>
    <s v="89CMAH2022000041R001520230289343"/>
    <s v="NULL"/>
    <x v="1"/>
  </r>
  <r>
    <s v="89CMAH2022000041R001520230289405"/>
    <s v="NULL"/>
    <x v="1"/>
  </r>
  <r>
    <s v="89CMAH2022000041R001520230289424"/>
    <s v="NULL"/>
    <x v="1"/>
  </r>
  <r>
    <s v="89CMAH2022000041R001520230289520"/>
    <s v="NULL"/>
    <x v="1"/>
  </r>
  <r>
    <s v="89CMAH2022000041R001520230289535"/>
    <s v="NULL"/>
    <x v="1"/>
  </r>
  <r>
    <s v="89CMAH2022000041R001520230289595"/>
    <s v="NULL"/>
    <x v="1"/>
  </r>
  <r>
    <s v="89CMAH2022000041R001520230289620"/>
    <s v="NULL"/>
    <x v="1"/>
  </r>
  <r>
    <s v="89CMAH2022000041R001520230289631"/>
    <s v="NULL"/>
    <x v="1"/>
  </r>
  <r>
    <s v="89CMAH2022000041R001520230289694"/>
    <s v="NULL"/>
    <x v="1"/>
  </r>
  <r>
    <s v="89CMAH2022000041R001520230289719"/>
    <s v="NULL"/>
    <x v="1"/>
  </r>
  <r>
    <s v="89CMAH2022000041R001520230289749"/>
    <s v="NULL"/>
    <x v="1"/>
  </r>
  <r>
    <s v="89CMAH2022000041R001520230289764"/>
    <s v="NULL"/>
    <x v="1"/>
  </r>
  <r>
    <s v="89CMAH2022000041R001520230289850"/>
    <s v="NULL"/>
    <x v="1"/>
  </r>
  <r>
    <s v="89CMAH2022000041R001520230289867"/>
    <s v="NULL"/>
    <x v="1"/>
  </r>
  <r>
    <s v="89CMAH2022000041R001520230289917"/>
    <s v="NULL"/>
    <x v="1"/>
  </r>
  <r>
    <s v="89CMAH2022000041R001520230289925"/>
    <s v="NULL"/>
    <x v="1"/>
  </r>
  <r>
    <s v="89CMAH2022000041R001520230289929"/>
    <s v="NULL"/>
    <x v="1"/>
  </r>
  <r>
    <s v="89CMAH2022000041R001520230289990"/>
    <s v="NULL"/>
    <x v="1"/>
  </r>
  <r>
    <s v="89CMAH2022000041R001520230290031"/>
    <s v="NULL"/>
    <x v="1"/>
  </r>
  <r>
    <s v="89CMAH2022000041R001520230290036"/>
    <s v="NULL"/>
    <x v="1"/>
  </r>
  <r>
    <s v="89CMAH2022000041R001520230290039"/>
    <s v="NULL"/>
    <x v="1"/>
  </r>
  <r>
    <s v="89CMAH2022000041R001520230290062"/>
    <s v="NULL"/>
    <x v="1"/>
  </r>
  <r>
    <s v="89CMAH2022000041R001520230290072"/>
    <s v="NULL"/>
    <x v="1"/>
  </r>
  <r>
    <s v="89CMAH2022000041R001520230290113"/>
    <s v="NULL"/>
    <x v="1"/>
  </r>
  <r>
    <s v="89CMAH2022000041R001520230290143"/>
    <s v="NULL"/>
    <x v="1"/>
  </r>
  <r>
    <s v="89CMAH2022000041R001520230290219"/>
    <s v="NULL"/>
    <x v="1"/>
  </r>
  <r>
    <s v="89CMAH2022000041R001520230290221"/>
    <s v="NULL"/>
    <x v="1"/>
  </r>
  <r>
    <s v="89CMAH2022000041R001520230290230"/>
    <s v="NULL"/>
    <x v="1"/>
  </r>
  <r>
    <s v="89CMAH2022000041R001520230290248"/>
    <s v="NULL"/>
    <x v="1"/>
  </r>
  <r>
    <s v="89CMAH2022000041R001520230290258"/>
    <s v="NULL"/>
    <x v="1"/>
  </r>
  <r>
    <s v="89CMAH2022000041R001520230290398"/>
    <s v="NULL"/>
    <x v="1"/>
  </r>
  <r>
    <s v="89CMAH2022000041R001520230290516"/>
    <s v="NULL"/>
    <x v="1"/>
  </r>
  <r>
    <s v="89CMAH2022000041R001520230290526"/>
    <s v="NULL"/>
    <x v="1"/>
  </r>
  <r>
    <s v="89CMAH2022000041R001520230290530"/>
    <s v="NULL"/>
    <x v="1"/>
  </r>
  <r>
    <s v="89CMAH2022000041R001520230290582"/>
    <s v="NULL"/>
    <x v="1"/>
  </r>
  <r>
    <s v="89CMAH2022000041R001520230290588"/>
    <s v="NULL"/>
    <x v="1"/>
  </r>
  <r>
    <s v="89CMAH2022000041R001520230290613"/>
    <s v="NULL"/>
    <x v="1"/>
  </r>
  <r>
    <s v="89CMAH2022000041R001520230290663"/>
    <s v="NULL"/>
    <x v="1"/>
  </r>
  <r>
    <s v="89CMAH2022000041R001520230290703"/>
    <s v="NULL"/>
    <x v="1"/>
  </r>
  <r>
    <s v="89CMAH2022000041R001520230290722"/>
    <s v="NULL"/>
    <x v="1"/>
  </r>
  <r>
    <s v="89CMAH2022000041R001520230290728"/>
    <s v="NULL"/>
    <x v="1"/>
  </r>
  <r>
    <s v="89CMAH2022000041R001520230290751"/>
    <s v="NULL"/>
    <x v="1"/>
  </r>
  <r>
    <s v="89CMAH2022000041R001520230290797"/>
    <s v="NULL"/>
    <x v="1"/>
  </r>
  <r>
    <s v="89CMAH2022000041R001520230290825"/>
    <s v="NULL"/>
    <x v="1"/>
  </r>
  <r>
    <s v="89CMAH2022000041R001520230290836"/>
    <s v="NULL"/>
    <x v="1"/>
  </r>
  <r>
    <s v="89CMAH2022000041R001520230290862"/>
    <s v="NULL"/>
    <x v="1"/>
  </r>
  <r>
    <s v="89CMAH2022000041R001520230290869"/>
    <s v="NULL"/>
    <x v="1"/>
  </r>
  <r>
    <s v="89CMAH2022000041R001520230290913"/>
    <s v="NULL"/>
    <x v="1"/>
  </r>
  <r>
    <s v="89CMAH2022000041R001520230290922"/>
    <s v="NULL"/>
    <x v="1"/>
  </r>
  <r>
    <s v="SNCN00000077"/>
    <s v="NULL"/>
    <x v="0"/>
  </r>
  <r>
    <s v="SNCN00000161"/>
    <s v="NULL"/>
    <x v="0"/>
  </r>
  <r>
    <s v="SNCN00000241"/>
    <s v="NULL"/>
    <x v="0"/>
  </r>
  <r>
    <s v="SNCN00000257"/>
    <s v="NULL"/>
    <x v="0"/>
  </r>
  <r>
    <s v="SNCN00000315"/>
    <s v="NULL"/>
    <x v="0"/>
  </r>
  <r>
    <s v="SNCN00000855"/>
    <s v="NULL"/>
    <x v="0"/>
  </r>
  <r>
    <s v="SNCN00000878"/>
    <s v="NULL"/>
    <x v="0"/>
  </r>
  <r>
    <s v="31CMAH0000000000R162304840738540"/>
    <s v="NULL"/>
    <x v="1"/>
  </r>
  <r>
    <s v="31CMAH0000000000R262304840018720"/>
    <s v="NULL"/>
    <x v="1"/>
  </r>
  <r>
    <s v="31CMAH0000000000R362304841016010"/>
    <s v="NULL"/>
    <x v="1"/>
  </r>
  <r>
    <s v="31CMAH0000000000R962304820309270"/>
    <s v="NULL"/>
    <x v="1"/>
  </r>
  <r>
    <s v="31CMAH0000000000R962304870326550"/>
    <s v="NULL"/>
    <x v="1"/>
  </r>
  <r>
    <s v="31CMAHhipotcS1xS2OVERPARREST0001"/>
    <s v="NULL"/>
    <x v="1"/>
  </r>
  <r>
    <s v="82000000007000589000200000642960"/>
    <s v="NULL"/>
    <x v="3"/>
  </r>
  <r>
    <s v="82000000007016717000200000674463"/>
    <s v="NULL"/>
    <x v="3"/>
  </r>
  <r>
    <s v="82000000007017961000200000761249"/>
    <s v="NULL"/>
    <x v="3"/>
  </r>
  <r>
    <s v="89CMAH2022000041R001520230040045"/>
    <s v="NULL"/>
    <x v="1"/>
  </r>
  <r>
    <s v="89CMAH2022000041R001520230085925"/>
    <s v="NULL"/>
    <x v="1"/>
  </r>
  <r>
    <s v="89CMAH2022000041R001520230086091"/>
    <s v="NULL"/>
    <x v="1"/>
  </r>
  <r>
    <s v="89CMAH2022000041R001520230145178"/>
    <s v="NULL"/>
    <x v="1"/>
  </r>
  <r>
    <s v="89CMAH2022000041R001520230178112"/>
    <s v="NULL"/>
    <x v="1"/>
  </r>
  <r>
    <s v="89CMAH2022000041R001520230178282"/>
    <s v="NULL"/>
    <x v="1"/>
  </r>
  <r>
    <s v="89CMAH2022000041R001520230233969"/>
    <s v="NULL"/>
    <x v="1"/>
  </r>
  <r>
    <s v="89CMAH2022000041R001520230234003"/>
    <s v="NULL"/>
    <x v="1"/>
  </r>
  <r>
    <s v="89CMAH2022000041R001520230234034"/>
    <s v="NULL"/>
    <x v="1"/>
  </r>
  <r>
    <s v="89CMAH2022000041R001520230234116"/>
    <s v="NULL"/>
    <x v="1"/>
  </r>
  <r>
    <s v="89CMAH2022000041R001520230234126"/>
    <s v="NULL"/>
    <x v="1"/>
  </r>
  <r>
    <s v="89CMAH2022000041R001520230234365"/>
    <s v="NULL"/>
    <x v="1"/>
  </r>
  <r>
    <s v="89CMAH2022000041R001520230234374"/>
    <s v="NULL"/>
    <x v="1"/>
  </r>
  <r>
    <s v="89CMAH2022000041R001520230234417"/>
    <s v="NULL"/>
    <x v="1"/>
  </r>
  <r>
    <s v="89CMAH2022000041R001520230234610"/>
    <s v="NULL"/>
    <x v="1"/>
  </r>
  <r>
    <s v="89CMAH2022000041R001520230289426"/>
    <s v="NULL"/>
    <x v="1"/>
  </r>
  <r>
    <s v="89CMAH2022000041R001520230289463"/>
    <s v="NULL"/>
    <x v="1"/>
  </r>
  <r>
    <s v="89CMAH2022000041R001520230289471"/>
    <s v="NULL"/>
    <x v="1"/>
  </r>
  <r>
    <s v="89CMAH2022000041R001520230289510"/>
    <s v="NULL"/>
    <x v="1"/>
  </r>
  <r>
    <s v="89CMAH2022000041R001520230289513"/>
    <s v="NULL"/>
    <x v="1"/>
  </r>
  <r>
    <s v="89CMAH2022000041R001520230289609"/>
    <s v="NULL"/>
    <x v="1"/>
  </r>
  <r>
    <s v="89CMAH2022000041R001520230289669"/>
    <s v="NULL"/>
    <x v="1"/>
  </r>
  <r>
    <s v="89CMAH2022000041R001520230289675"/>
    <s v="NULL"/>
    <x v="1"/>
  </r>
  <r>
    <s v="89CMAH2022000041R001520230289685"/>
    <s v="NULL"/>
    <x v="1"/>
  </r>
  <r>
    <s v="89CMAH2022000041R001520230289692"/>
    <s v="NULL"/>
    <x v="1"/>
  </r>
  <r>
    <s v="89CMAH2022000041R001520230289727"/>
    <s v="NULL"/>
    <x v="1"/>
  </r>
  <r>
    <s v="89CMAH2022000041R001520230289818"/>
    <s v="NULL"/>
    <x v="1"/>
  </r>
  <r>
    <s v="89CMAH2022000041R001520230289955"/>
    <s v="NULL"/>
    <x v="1"/>
  </r>
  <r>
    <s v="89CMAH2022000041R001520230289960"/>
    <s v="NULL"/>
    <x v="1"/>
  </r>
  <r>
    <s v="89CMAH2022000041R001520230290063"/>
    <s v="NULL"/>
    <x v="1"/>
  </r>
  <r>
    <s v="89CMAH2022000041R001520230290075"/>
    <s v="NULL"/>
    <x v="1"/>
  </r>
  <r>
    <s v="89CMAH2022000041R001520230290184"/>
    <s v="NULL"/>
    <x v="1"/>
  </r>
  <r>
    <s v="89CMAH2022000041R001520230290223"/>
    <s v="NULL"/>
    <x v="1"/>
  </r>
  <r>
    <s v="89CMAH2022000041R001520230290264"/>
    <s v="NULL"/>
    <x v="1"/>
  </r>
  <r>
    <s v="89CMAH2022000041R001520230290267"/>
    <s v="NULL"/>
    <x v="1"/>
  </r>
  <r>
    <s v="89CMAH2022000041R001520230290310"/>
    <s v="NULL"/>
    <x v="1"/>
  </r>
  <r>
    <s v="89CMAH2022000041R001520230290320"/>
    <s v="NULL"/>
    <x v="1"/>
  </r>
  <r>
    <s v="89CMAH2022000041R001520230290414"/>
    <s v="NULL"/>
    <x v="1"/>
  </r>
  <r>
    <s v="89CMAH2022000041R001520230290521"/>
    <s v="NULL"/>
    <x v="1"/>
  </r>
  <r>
    <s v="89CMAH2022000041R001520230290560"/>
    <s v="NULL"/>
    <x v="1"/>
  </r>
  <r>
    <s v="89CMAH2022000041R001520230290573"/>
    <s v="NULL"/>
    <x v="1"/>
  </r>
  <r>
    <s v="89CMAH2022000041R001520230290578"/>
    <s v="NULL"/>
    <x v="1"/>
  </r>
  <r>
    <s v="89CMAH2022000041R001520230290589"/>
    <s v="NULL"/>
    <x v="1"/>
  </r>
  <r>
    <s v="89CMAH2022000041R001520230290673"/>
    <s v="NULL"/>
    <x v="1"/>
  </r>
  <r>
    <s v="89CMAH2022000041R001520230290919"/>
    <s v="NULL"/>
    <x v="1"/>
  </r>
  <r>
    <s v="SNCN00000043"/>
    <s v="NULL"/>
    <x v="0"/>
  </r>
  <r>
    <s v="SNCN00000087"/>
    <s v="NULL"/>
    <x v="0"/>
  </r>
  <r>
    <s v="SNCN00000307"/>
    <s v="NULL"/>
    <x v="0"/>
  </r>
  <r>
    <s v="SNCN00000469"/>
    <s v="NULL"/>
    <x v="0"/>
  </r>
  <r>
    <s v="SNCN00000481"/>
    <s v="NULL"/>
    <x v="0"/>
  </r>
  <r>
    <s v="SNCN00000511"/>
    <s v="NULL"/>
    <x v="0"/>
  </r>
  <r>
    <s v="SNCN00000536"/>
    <s v="NULL"/>
    <x v="0"/>
  </r>
  <r>
    <s v="SNCN00000951"/>
    <s v="NULL"/>
    <x v="0"/>
  </r>
  <r>
    <s v="SNCN00000980"/>
    <s v="NULL"/>
    <x v="0"/>
  </r>
  <r>
    <s v="SNCN00000633"/>
    <s v="NULL"/>
    <x v="0"/>
  </r>
  <r>
    <s v="SNCN00000964"/>
    <s v="NULL"/>
    <x v="0"/>
  </r>
  <r>
    <s v="80CMAHTOTTI000000339379260000000"/>
    <s v="NULL"/>
    <x v="1"/>
  </r>
  <r>
    <s v="31000310192007091069674140100000"/>
    <s v="NULL"/>
    <x v="2"/>
  </r>
  <r>
    <s v="31000310195026091069674620100000"/>
    <s v="NULL"/>
    <x v="2"/>
  </r>
  <r>
    <s v="31000310531031090069674200100000"/>
    <s v="NULL"/>
    <x v="2"/>
  </r>
  <r>
    <s v="31CMAH0000000000R262304840018520"/>
    <s v="NULL"/>
    <x v="1"/>
  </r>
  <r>
    <s v="31CMAH0000000000R399904875248090"/>
    <s v="NULL"/>
    <x v="1"/>
  </r>
  <r>
    <s v="31CMAH0000000000R962304820340090"/>
    <s v="NULL"/>
    <x v="1"/>
  </r>
  <r>
    <s v="82000000000102341000420000415032"/>
    <s v="NULL"/>
    <x v="3"/>
  </r>
  <r>
    <s v="82000000000105981000450000410339"/>
    <s v="NULL"/>
    <x v="3"/>
  </r>
  <r>
    <s v="82000000007001741000200000643990"/>
    <s v="NULL"/>
    <x v="3"/>
  </r>
  <r>
    <s v="82000000007002183000200000644499"/>
    <s v="NULL"/>
    <x v="3"/>
  </r>
  <r>
    <s v="82000000007003209000200000645845"/>
    <s v="NULL"/>
    <x v="3"/>
  </r>
  <r>
    <s v="82000000007003329000200000720351"/>
    <s v="NULL"/>
    <x v="3"/>
  </r>
  <r>
    <s v="82000000007005804000200000648751"/>
    <s v="NULL"/>
    <x v="3"/>
  </r>
  <r>
    <s v="82000000007011487000200000680311"/>
    <s v="NULL"/>
    <x v="3"/>
  </r>
  <r>
    <s v="82000000007011520000200000679792"/>
    <s v="NULL"/>
    <x v="3"/>
  </r>
  <r>
    <s v="82000000007011547000200000679802"/>
    <s v="NULL"/>
    <x v="3"/>
  </r>
  <r>
    <s v="82000000007011563000200000680132"/>
    <s v="NULL"/>
    <x v="3"/>
  </r>
  <r>
    <s v="82000000007016719000200000540675"/>
    <s v="NULL"/>
    <x v="3"/>
  </r>
  <r>
    <s v="89CMAH2022000041R001520220603678"/>
    <s v="NULL"/>
    <x v="1"/>
  </r>
  <r>
    <s v="89CMAH2022000041R001520230040099"/>
    <s v="NULL"/>
    <x v="1"/>
  </r>
  <r>
    <s v="89CMAH2022000041R001520230085558"/>
    <s v="NULL"/>
    <x v="1"/>
  </r>
  <r>
    <s v="89CMAH2022000041R001520230086034"/>
    <s v="NULL"/>
    <x v="1"/>
  </r>
  <r>
    <s v="89CMAH2022000041R001520230086302"/>
    <s v="NULL"/>
    <x v="1"/>
  </r>
  <r>
    <s v="89CMAH2022000041R001520230145048"/>
    <s v="NULL"/>
    <x v="1"/>
  </r>
  <r>
    <s v="89CMAH2022000041R001520230178119"/>
    <s v="NULL"/>
    <x v="1"/>
  </r>
  <r>
    <s v="89CMAH2022000041R001520230178203"/>
    <s v="NULL"/>
    <x v="1"/>
  </r>
  <r>
    <s v="89CMAH2022000041R001520230233975"/>
    <s v="NULL"/>
    <x v="1"/>
  </r>
  <r>
    <s v="89CMAH2022000041R001520230233977"/>
    <s v="NULL"/>
    <x v="1"/>
  </r>
  <r>
    <s v="89CMAH2022000041R001520230234004"/>
    <s v="NULL"/>
    <x v="1"/>
  </r>
  <r>
    <s v="89CMAH2022000041R001520230234079"/>
    <s v="NULL"/>
    <x v="1"/>
  </r>
  <r>
    <s v="89CMAH2022000041R001520230234162"/>
    <s v="NULL"/>
    <x v="1"/>
  </r>
  <r>
    <s v="89CMAH2022000041R001520230234180"/>
    <s v="NULL"/>
    <x v="1"/>
  </r>
  <r>
    <s v="89CMAH2022000041R001520230234270"/>
    <s v="NULL"/>
    <x v="1"/>
  </r>
  <r>
    <s v="89CMAH2022000041R001520230234305"/>
    <s v="NULL"/>
    <x v="1"/>
  </r>
  <r>
    <s v="89CMAH2022000041R001520230234315"/>
    <s v="NULL"/>
    <x v="1"/>
  </r>
  <r>
    <s v="89CMAH2022000041R001520230234339"/>
    <s v="NULL"/>
    <x v="1"/>
  </r>
  <r>
    <s v="89CMAH2022000041R001520230234501"/>
    <s v="NULL"/>
    <x v="1"/>
  </r>
  <r>
    <s v="89CMAH2022000041R001520230234523"/>
    <s v="NULL"/>
    <x v="1"/>
  </r>
  <r>
    <s v="89CMAH2022000041R001520230289300"/>
    <s v="NULL"/>
    <x v="1"/>
  </r>
  <r>
    <s v="89CMAH2022000041R001520230289357"/>
    <s v="NULL"/>
    <x v="1"/>
  </r>
  <r>
    <s v="89CMAH2022000041R001520230289409"/>
    <s v="NULL"/>
    <x v="1"/>
  </r>
  <r>
    <s v="89CMAH2022000041R001520230289431"/>
    <s v="NULL"/>
    <x v="1"/>
  </r>
  <r>
    <s v="89CMAH2022000041R001520230289496"/>
    <s v="NULL"/>
    <x v="1"/>
  </r>
  <r>
    <s v="89CMAH2022000041R001520230289521"/>
    <s v="NULL"/>
    <x v="1"/>
  </r>
  <r>
    <s v="89CMAH2022000041R001520230289622"/>
    <s v="NULL"/>
    <x v="1"/>
  </r>
  <r>
    <s v="89CMAH2022000041R001520230289629"/>
    <s v="NULL"/>
    <x v="1"/>
  </r>
  <r>
    <s v="89CMAH2022000041R001520230289743"/>
    <s v="NULL"/>
    <x v="1"/>
  </r>
  <r>
    <s v="89CMAH2022000041R001520230289800"/>
    <s v="NULL"/>
    <x v="1"/>
  </r>
  <r>
    <s v="89CMAH2022000041R001520230289885"/>
    <s v="NULL"/>
    <x v="1"/>
  </r>
  <r>
    <s v="89CMAH2022000041R001520230289889"/>
    <s v="NULL"/>
    <x v="1"/>
  </r>
  <r>
    <s v="89CMAH2022000041R001520230289914"/>
    <s v="NULL"/>
    <x v="1"/>
  </r>
  <r>
    <s v="89CMAH2022000041R001520230289923"/>
    <s v="NULL"/>
    <x v="1"/>
  </r>
  <r>
    <s v="89CMAH2022000041R001520230289994"/>
    <s v="NULL"/>
    <x v="1"/>
  </r>
  <r>
    <s v="89CMAH2022000041R001520230290001"/>
    <s v="NULL"/>
    <x v="1"/>
  </r>
  <r>
    <s v="89CMAH2022000041R001520230290044"/>
    <s v="NULL"/>
    <x v="1"/>
  </r>
  <r>
    <s v="89CMAH2022000041R001520230290052"/>
    <s v="NULL"/>
    <x v="1"/>
  </r>
  <r>
    <s v="89CMAH2022000041R001520230290086"/>
    <s v="NULL"/>
    <x v="1"/>
  </r>
  <r>
    <s v="89CMAH2022000041R001520230290162"/>
    <s v="NULL"/>
    <x v="1"/>
  </r>
  <r>
    <s v="89CMAH2022000041R001520230290167"/>
    <s v="NULL"/>
    <x v="1"/>
  </r>
  <r>
    <s v="89CMAH2022000041R001520230290245"/>
    <s v="NULL"/>
    <x v="1"/>
  </r>
  <r>
    <s v="89CMAH2022000041R001520230290293"/>
    <s v="NULL"/>
    <x v="1"/>
  </r>
  <r>
    <s v="89CMAH2022000041R001520230290303"/>
    <s v="NULL"/>
    <x v="1"/>
  </r>
  <r>
    <s v="89CMAH2022000041R001520230290332"/>
    <s v="NULL"/>
    <x v="1"/>
  </r>
  <r>
    <s v="89CMAH2022000041R001520230290494"/>
    <s v="NULL"/>
    <x v="1"/>
  </r>
  <r>
    <s v="89CMAH2022000041R001520230290507"/>
    <s v="NULL"/>
    <x v="1"/>
  </r>
  <r>
    <s v="89CMAH2022000041R001520230290619"/>
    <s v="NULL"/>
    <x v="1"/>
  </r>
  <r>
    <s v="89CMAH2022000041R001520230290671"/>
    <s v="NULL"/>
    <x v="1"/>
  </r>
  <r>
    <s v="89CMAH2022000041R001520230290710"/>
    <s v="NULL"/>
    <x v="1"/>
  </r>
  <r>
    <s v="89CMAH2022000041R001520230290721"/>
    <s v="NULL"/>
    <x v="1"/>
  </r>
  <r>
    <s v="89CMAH2022000041R001520230290730"/>
    <s v="NULL"/>
    <x v="1"/>
  </r>
  <r>
    <s v="89CMAH2022000041R001520230290776"/>
    <s v="NULL"/>
    <x v="1"/>
  </r>
  <r>
    <s v="89CMAH2022000041R001520230290790"/>
    <s v="NULL"/>
    <x v="1"/>
  </r>
  <r>
    <s v="89CMAH2022000041R001520230290810"/>
    <s v="NULL"/>
    <x v="1"/>
  </r>
  <r>
    <s v="89CMAH2022000041R001520230290854"/>
    <s v="NULL"/>
    <x v="1"/>
  </r>
  <r>
    <s v="89CMAH2022000041R001520230290879"/>
    <s v="NULL"/>
    <x v="1"/>
  </r>
  <r>
    <s v="89CMAH2022000041R001520230290896"/>
    <s v="NULL"/>
    <x v="1"/>
  </r>
  <r>
    <s v="89CMAH2022000041R001520230290921"/>
    <s v="NULL"/>
    <x v="1"/>
  </r>
  <r>
    <s v="SNCN00000083"/>
    <s v="NULL"/>
    <x v="0"/>
  </r>
  <r>
    <s v="SNCN00000374"/>
    <s v="NULL"/>
    <x v="0"/>
  </r>
  <r>
    <s v="SNCN00000581"/>
    <s v="NULL"/>
    <x v="0"/>
  </r>
  <r>
    <s v="SNCN00000675"/>
    <s v="NULL"/>
    <x v="0"/>
  </r>
  <r>
    <s v="SNCN00000934"/>
    <s v="NULL"/>
    <x v="0"/>
  </r>
  <r>
    <s v="31CMAH0000000000R262304840019910"/>
    <s v="NULL"/>
    <x v="1"/>
  </r>
  <r>
    <s v="31CMAH0000000000R962304820340410"/>
    <s v="NULL"/>
    <x v="1"/>
  </r>
  <r>
    <s v="31CMAH0000000000R962304820358120"/>
    <s v="NULL"/>
    <x v="1"/>
  </r>
  <r>
    <s v="31CMAH0000000000R962304820369590"/>
    <s v="NULL"/>
    <x v="1"/>
  </r>
  <r>
    <s v="31CMAH0000000000R962304820383110"/>
    <s v="NULL"/>
    <x v="1"/>
  </r>
  <r>
    <s v="31CMAH0000000000R962304820384080"/>
    <s v="NULL"/>
    <x v="1"/>
  </r>
  <r>
    <s v="31CMAHenergyS1xS2OVER2ENFSMERT0A"/>
    <s v="NULL"/>
    <x v="1"/>
  </r>
  <r>
    <s v="31CMAHrxohabS1xS2PMAPARREST00002"/>
    <s v="NULL"/>
    <x v="1"/>
  </r>
  <r>
    <s v="82000000000070017000450000105698"/>
    <s v="NULL"/>
    <x v="3"/>
  </r>
  <r>
    <s v="82000000007002083000200000644283"/>
    <s v="NULL"/>
    <x v="3"/>
  </r>
  <r>
    <s v="82000000007002362000200000644602"/>
    <s v="NULL"/>
    <x v="3"/>
  </r>
  <r>
    <s v="82000000007003023000200000409193"/>
    <s v="NULL"/>
    <x v="3"/>
  </r>
  <r>
    <s v="82000000007003311000200000645952"/>
    <s v="NULL"/>
    <x v="3"/>
  </r>
  <r>
    <s v="82000000007003694000200000646244"/>
    <s v="NULL"/>
    <x v="3"/>
  </r>
  <r>
    <s v="82000000007008815000200000658942"/>
    <s v="NULL"/>
    <x v="3"/>
  </r>
  <r>
    <s v="82000000007011507000200000679781"/>
    <s v="NULL"/>
    <x v="3"/>
  </r>
  <r>
    <s v="82000000007017948000200000761227"/>
    <s v="NULL"/>
    <x v="3"/>
  </r>
  <r>
    <s v="89CMAH2022000041R001520220603311"/>
    <s v="NULL"/>
    <x v="1"/>
  </r>
  <r>
    <s v="89CMAH2022000041R001520230039925"/>
    <s v="NULL"/>
    <x v="1"/>
  </r>
  <r>
    <s v="89CMAH2022000041R001520230085648"/>
    <s v="NULL"/>
    <x v="1"/>
  </r>
  <r>
    <s v="89CMAH2022000041R001520230085687"/>
    <s v="NULL"/>
    <x v="1"/>
  </r>
  <r>
    <s v="89CMAH2022000041R001520230085710"/>
    <s v="NULL"/>
    <x v="1"/>
  </r>
  <r>
    <s v="89CMAH2022000041R001520230086093"/>
    <s v="NULL"/>
    <x v="1"/>
  </r>
  <r>
    <s v="89CMAH2022000041R001520230144910"/>
    <s v="NULL"/>
    <x v="1"/>
  </r>
  <r>
    <s v="89CMAH2022000041R001520230177986"/>
    <s v="NULL"/>
    <x v="1"/>
  </r>
  <r>
    <s v="89CMAH2022000041R001520230178071"/>
    <s v="NULL"/>
    <x v="1"/>
  </r>
  <r>
    <s v="89CMAH2022000041R001520230178086"/>
    <s v="NULL"/>
    <x v="1"/>
  </r>
  <r>
    <s v="89CMAH2022000041R001520230234057"/>
    <s v="NULL"/>
    <x v="1"/>
  </r>
  <r>
    <s v="89CMAH2022000041R001520230234239"/>
    <s v="NULL"/>
    <x v="1"/>
  </r>
  <r>
    <s v="89CMAH2022000041R001520230234297"/>
    <s v="NULL"/>
    <x v="1"/>
  </r>
  <r>
    <s v="89CMAH2022000041R001520230234378"/>
    <s v="NULL"/>
    <x v="1"/>
  </r>
  <r>
    <s v="89CMAH2022000041R001520230234388"/>
    <s v="NULL"/>
    <x v="1"/>
  </r>
  <r>
    <s v="89CMAH2022000041R001520230234553"/>
    <s v="NULL"/>
    <x v="1"/>
  </r>
  <r>
    <s v="89CMAH2022000041R001520230234632"/>
    <s v="NULL"/>
    <x v="1"/>
  </r>
  <r>
    <s v="89CMAH2022000041R001520230234653"/>
    <s v="NULL"/>
    <x v="1"/>
  </r>
  <r>
    <s v="89CMAH2022000041R001520230234685"/>
    <s v="NULL"/>
    <x v="1"/>
  </r>
  <r>
    <s v="89CMAH2022000041R001520230234701"/>
    <s v="NULL"/>
    <x v="1"/>
  </r>
  <r>
    <s v="89CMAH2022000041R001520230289294"/>
    <s v="NULL"/>
    <x v="1"/>
  </r>
  <r>
    <s v="89CMAH2022000041R001520230289302"/>
    <s v="NULL"/>
    <x v="1"/>
  </r>
  <r>
    <s v="89CMAH2022000041R001520230289317"/>
    <s v="NULL"/>
    <x v="1"/>
  </r>
  <r>
    <s v="89CMAH2022000041R001520230289448"/>
    <s v="NULL"/>
    <x v="1"/>
  </r>
  <r>
    <s v="89CMAH2022000041R001520230289456"/>
    <s v="NULL"/>
    <x v="1"/>
  </r>
  <r>
    <s v="89CMAH2022000041R001520230289483"/>
    <s v="NULL"/>
    <x v="1"/>
  </r>
  <r>
    <s v="89CMAH2022000041R001520230289562"/>
    <s v="NULL"/>
    <x v="1"/>
  </r>
  <r>
    <s v="89CMAH2022000041R001520230289608"/>
    <s v="NULL"/>
    <x v="1"/>
  </r>
  <r>
    <s v="89CMAH2022000041R001520230289642"/>
    <s v="NULL"/>
    <x v="1"/>
  </r>
  <r>
    <s v="89CMAH2022000041R001520230289714"/>
    <s v="NULL"/>
    <x v="1"/>
  </r>
  <r>
    <s v="89CMAH2022000041R001520230289744"/>
    <s v="NULL"/>
    <x v="1"/>
  </r>
  <r>
    <s v="89CMAH2022000041R001520230289758"/>
    <s v="NULL"/>
    <x v="1"/>
  </r>
  <r>
    <s v="89CMAH2022000041R001520230289978"/>
    <s v="NULL"/>
    <x v="1"/>
  </r>
  <r>
    <s v="89CMAH2022000041R001520230290056"/>
    <s v="NULL"/>
    <x v="1"/>
  </r>
  <r>
    <s v="89CMAH2022000041R001520230290084"/>
    <s v="NULL"/>
    <x v="1"/>
  </r>
  <r>
    <s v="89CMAH2022000041R001520230290145"/>
    <s v="NULL"/>
    <x v="1"/>
  </r>
  <r>
    <s v="89CMAH2022000041R001520230290246"/>
    <s v="NULL"/>
    <x v="1"/>
  </r>
  <r>
    <s v="89CMAH2022000041R001520230290306"/>
    <s v="NULL"/>
    <x v="1"/>
  </r>
  <r>
    <s v="89CMAH2022000041R001520230290536"/>
    <s v="NULL"/>
    <x v="1"/>
  </r>
  <r>
    <s v="89CMAH2022000041R001520230290548"/>
    <s v="NULL"/>
    <x v="1"/>
  </r>
  <r>
    <s v="89CMAH2022000041R001520230290579"/>
    <s v="NULL"/>
    <x v="1"/>
  </r>
  <r>
    <s v="89CMAH2022000041R001520230290602"/>
    <s v="NULL"/>
    <x v="1"/>
  </r>
  <r>
    <s v="89CMAH2022000041R001520230290717"/>
    <s v="NULL"/>
    <x v="1"/>
  </r>
  <r>
    <s v="89CMAH2022000041R001520230290746"/>
    <s v="NULL"/>
    <x v="1"/>
  </r>
  <r>
    <s v="89CMAH2022000041R001520230290766"/>
    <s v="NULL"/>
    <x v="1"/>
  </r>
  <r>
    <s v="89CMAH2022000041R001520230290801"/>
    <s v="NULL"/>
    <x v="1"/>
  </r>
  <r>
    <s v="SNCN00000188"/>
    <s v="NULL"/>
    <x v="0"/>
  </r>
  <r>
    <s v="SNCN00000210"/>
    <s v="NULL"/>
    <x v="0"/>
  </r>
  <r>
    <s v="SNCN00000247"/>
    <s v="NULL"/>
    <x v="0"/>
  </r>
  <r>
    <s v="SNCN00000256"/>
    <s v="NULL"/>
    <x v="0"/>
  </r>
  <r>
    <s v="SNCN00000266"/>
    <s v="NULL"/>
    <x v="0"/>
  </r>
  <r>
    <s v="SNCN00000277"/>
    <s v="NULL"/>
    <x v="0"/>
  </r>
  <r>
    <s v="SNCN00000353"/>
    <s v="NULL"/>
    <x v="0"/>
  </r>
  <r>
    <s v="SNCN00000547"/>
    <s v="NULL"/>
    <x v="0"/>
  </r>
  <r>
    <s v="SNCN00000548"/>
    <s v="NULL"/>
    <x v="0"/>
  </r>
  <r>
    <s v="SNCN00000567"/>
    <s v="NULL"/>
    <x v="0"/>
  </r>
  <r>
    <s v="SNCN00000640"/>
    <s v="NULL"/>
    <x v="0"/>
  </r>
  <r>
    <s v="31CMAH0000000000R262304820022860"/>
    <s v="NULL"/>
    <x v="1"/>
  </r>
  <r>
    <s v="31CMAH0000000000R262304820025250"/>
    <s v="NULL"/>
    <x v="1"/>
  </r>
  <r>
    <s v="31CMAH0000000000R599904833903700"/>
    <s v="NULL"/>
    <x v="1"/>
  </r>
  <r>
    <s v="31CMAH0000000000R962304820143820"/>
    <s v="NULL"/>
    <x v="1"/>
  </r>
  <r>
    <s v="31CMAH0000000000R962304820379540"/>
    <s v="NULL"/>
    <x v="1"/>
  </r>
  <r>
    <s v="31CMAH0000000000R962304830379180"/>
    <s v="NULL"/>
    <x v="1"/>
  </r>
  <r>
    <s v="31CMAH0000580004RXS0395875999000"/>
    <s v="NULL"/>
    <x v="1"/>
  </r>
  <r>
    <s v="82000000000120873000450000423976"/>
    <s v="NULL"/>
    <x v="3"/>
  </r>
  <r>
    <s v="82000000007009434000200000666453"/>
    <s v="NULL"/>
    <x v="3"/>
  </r>
  <r>
    <s v="82000000007015402000200000718470"/>
    <s v="NULL"/>
    <x v="3"/>
  </r>
  <r>
    <s v="82000000007017536000200000753926"/>
    <s v="NULL"/>
    <x v="3"/>
  </r>
  <r>
    <s v="31CMAH0000000000R962304820340080"/>
    <s v="NULL"/>
    <x v="1"/>
  </r>
  <r>
    <s v="31CMAH0000000000R962304820393090"/>
    <s v="NULL"/>
    <x v="1"/>
  </r>
  <r>
    <s v="31CMAH0000000000R962304820409440"/>
    <s v="NULL"/>
    <x v="1"/>
  </r>
  <r>
    <s v="31CMAHenergyS1xS2OVER2ENFGDRST0F"/>
    <s v="NULL"/>
    <x v="1"/>
  </r>
  <r>
    <s v="82000000000123267000450000416648"/>
    <s v="NULL"/>
    <x v="3"/>
  </r>
  <r>
    <s v="82000000007001276000200000643656"/>
    <s v="NULL"/>
    <x v="3"/>
  </r>
  <r>
    <s v="82000000007006028000200000648810"/>
    <s v="NULL"/>
    <x v="3"/>
  </r>
  <r>
    <s v="89CMAH2022000041R001520230085788"/>
    <s v="NULL"/>
    <x v="1"/>
  </r>
  <r>
    <s v="89CMAH2022000041R001520230144894"/>
    <s v="NULL"/>
    <x v="1"/>
  </r>
  <r>
    <s v="89CMAH2022000041R001520230145019"/>
    <s v="NULL"/>
    <x v="1"/>
  </r>
  <r>
    <s v="89CMAH2022000041R001520230145180"/>
    <s v="NULL"/>
    <x v="1"/>
  </r>
  <r>
    <s v="89CMAH2022000041R001520230177877"/>
    <s v="NULL"/>
    <x v="1"/>
  </r>
  <r>
    <s v="89CMAH2022000041R001520230178102"/>
    <s v="NULL"/>
    <x v="1"/>
  </r>
  <r>
    <s v="89CMAH2022000041R001520230178356"/>
    <s v="NULL"/>
    <x v="1"/>
  </r>
  <r>
    <s v="89CMAH2022000041R001520230233970"/>
    <s v="NULL"/>
    <x v="1"/>
  </r>
  <r>
    <s v="89CMAH2022000041R001520230233989"/>
    <s v="NULL"/>
    <x v="1"/>
  </r>
  <r>
    <s v="89CMAH2022000041R001520230234111"/>
    <s v="NULL"/>
    <x v="1"/>
  </r>
  <r>
    <s v="89CMAH2022000041R001520230234283"/>
    <s v="NULL"/>
    <x v="1"/>
  </r>
  <r>
    <s v="89CMAH2022000041R001520230234405"/>
    <s v="NULL"/>
    <x v="1"/>
  </r>
  <r>
    <s v="89CMAH2022000041R001520230234517"/>
    <s v="NULL"/>
    <x v="1"/>
  </r>
  <r>
    <s v="89CMAH2022000041R001520230234657"/>
    <s v="NULL"/>
    <x v="1"/>
  </r>
  <r>
    <s v="89CMAH2022000041R001520230234692"/>
    <s v="NULL"/>
    <x v="1"/>
  </r>
  <r>
    <s v="89CMAH2022000041R001520230234743"/>
    <s v="NULL"/>
    <x v="1"/>
  </r>
  <r>
    <s v="89CMAH2022000041R001520230289314"/>
    <s v="NULL"/>
    <x v="1"/>
  </r>
  <r>
    <s v="89CMAH2022000041R001520230289325"/>
    <s v="NULL"/>
    <x v="1"/>
  </r>
  <r>
    <s v="89CMAH2022000041R001520230289341"/>
    <s v="NULL"/>
    <x v="1"/>
  </r>
  <r>
    <s v="89CMAH2022000041R001520230289411"/>
    <s v="NULL"/>
    <x v="1"/>
  </r>
  <r>
    <s v="89CMAH2022000041R001520230289494"/>
    <s v="NULL"/>
    <x v="1"/>
  </r>
  <r>
    <s v="89CMAH2022000041R001520230289515"/>
    <s v="NULL"/>
    <x v="1"/>
  </r>
  <r>
    <s v="89CMAH2022000041R001520230289617"/>
    <s v="NULL"/>
    <x v="1"/>
  </r>
  <r>
    <s v="89CMAH2022000041R001520230289638"/>
    <s v="NULL"/>
    <x v="1"/>
  </r>
  <r>
    <s v="89CMAH2022000041R001520230289682"/>
    <s v="NULL"/>
    <x v="1"/>
  </r>
  <r>
    <s v="89CMAH2022000041R001520230289816"/>
    <s v="NULL"/>
    <x v="1"/>
  </r>
  <r>
    <s v="89CMAH2022000041R001520230289862"/>
    <s v="NULL"/>
    <x v="1"/>
  </r>
  <r>
    <s v="89CMAH2022000041R001520230289884"/>
    <s v="NULL"/>
    <x v="1"/>
  </r>
  <r>
    <s v="89CMAH2022000041R001520230289892"/>
    <s v="NULL"/>
    <x v="1"/>
  </r>
  <r>
    <s v="89CMAH2022000041R001520230289899"/>
    <s v="NULL"/>
    <x v="1"/>
  </r>
  <r>
    <s v="89CMAH2022000041R001520230289998"/>
    <s v="NULL"/>
    <x v="1"/>
  </r>
  <r>
    <s v="89CMAH2022000041R001520230290003"/>
    <s v="NULL"/>
    <x v="1"/>
  </r>
  <r>
    <s v="89CMAH2022000041R001520230290067"/>
    <s v="NULL"/>
    <x v="1"/>
  </r>
  <r>
    <s v="89CMAH2022000041R001520230290125"/>
    <s v="NULL"/>
    <x v="1"/>
  </r>
  <r>
    <s v="89CMAH2022000041R001520230290268"/>
    <s v="NULL"/>
    <x v="1"/>
  </r>
  <r>
    <s v="89CMAH2022000041R001520230290288"/>
    <s v="NULL"/>
    <x v="1"/>
  </r>
  <r>
    <s v="89CMAH2022000041R001520230290295"/>
    <s v="NULL"/>
    <x v="1"/>
  </r>
  <r>
    <s v="89CMAH2022000041R001520230290317"/>
    <s v="NULL"/>
    <x v="1"/>
  </r>
  <r>
    <s v="89CMAH2022000041R001520230290353"/>
    <s v="NULL"/>
    <x v="1"/>
  </r>
  <r>
    <s v="89CMAH2022000041R001520230290391"/>
    <s v="NULL"/>
    <x v="1"/>
  </r>
  <r>
    <s v="89CMAH2022000041R001520230290392"/>
    <s v="NULL"/>
    <x v="1"/>
  </r>
  <r>
    <s v="89CMAH2022000041R001520230290418"/>
    <s v="NULL"/>
    <x v="1"/>
  </r>
  <r>
    <s v="89CMAH2022000041R001520230290487"/>
    <s v="NULL"/>
    <x v="1"/>
  </r>
  <r>
    <s v="89CMAH2022000041R001520230290496"/>
    <s v="NULL"/>
    <x v="1"/>
  </r>
  <r>
    <s v="89CMAH2022000041R001520230290501"/>
    <s v="NULL"/>
    <x v="1"/>
  </r>
  <r>
    <s v="89CMAH2022000041R001520230290513"/>
    <s v="NULL"/>
    <x v="1"/>
  </r>
  <r>
    <s v="89CMAH2022000041R001520230290545"/>
    <s v="NULL"/>
    <x v="1"/>
  </r>
  <r>
    <s v="89CMAH2022000041R001520230290599"/>
    <s v="NULL"/>
    <x v="1"/>
  </r>
  <r>
    <s v="89CMAH2022000041R001520230290664"/>
    <s v="NULL"/>
    <x v="1"/>
  </r>
  <r>
    <s v="89CMAH2022000041R001520230290682"/>
    <s v="NULL"/>
    <x v="1"/>
  </r>
  <r>
    <s v="89CMAH2022000041R001520230290688"/>
    <s v="NULL"/>
    <x v="1"/>
  </r>
  <r>
    <s v="89CMAH2022000041R001520230290723"/>
    <s v="NULL"/>
    <x v="1"/>
  </r>
  <r>
    <s v="89CMAH2022000041R001520230290831"/>
    <s v="NULL"/>
    <x v="1"/>
  </r>
  <r>
    <s v="89CMAH2022000041R001520230290842"/>
    <s v="NULL"/>
    <x v="1"/>
  </r>
  <r>
    <s v="SNCN00000022"/>
    <s v="NULL"/>
    <x v="0"/>
  </r>
  <r>
    <s v="SNCN00000033"/>
    <s v="NULL"/>
    <x v="0"/>
  </r>
  <r>
    <s v="SNCN00000040"/>
    <s v="NULL"/>
    <x v="0"/>
  </r>
  <r>
    <s v="SNCN00000875"/>
    <s v="NULL"/>
    <x v="0"/>
  </r>
  <r>
    <s v="SNCN00000972"/>
    <s v="NULL"/>
    <x v="0"/>
  </r>
  <r>
    <s v="SNCN00000978"/>
    <s v="NULL"/>
    <x v="0"/>
  </r>
  <r>
    <s v="89CMAH2022000041R001520220603932"/>
    <s v="NULL"/>
    <x v="1"/>
  </r>
  <r>
    <s v="89CMAH2022000041R001520230039733"/>
    <s v="NULL"/>
    <x v="1"/>
  </r>
  <r>
    <s v="89CMAH2022000041R001520230085475"/>
    <s v="NULL"/>
    <x v="1"/>
  </r>
  <r>
    <s v="89CMAH2022000041R001520230177919"/>
    <s v="NULL"/>
    <x v="1"/>
  </r>
  <r>
    <s v="89CMAH2022000041R001520230178001"/>
    <s v="NULL"/>
    <x v="1"/>
  </r>
  <r>
    <s v="89CMAH2022000041R001520230178128"/>
    <s v="NULL"/>
    <x v="1"/>
  </r>
  <r>
    <s v="89CMAH2022000041R001520230178173"/>
    <s v="NULL"/>
    <x v="1"/>
  </r>
  <r>
    <s v="89CMAH2022000041R001520230178316"/>
    <s v="NULL"/>
    <x v="1"/>
  </r>
  <r>
    <s v="89CMAH2022000041R001520230178583"/>
    <s v="NULL"/>
    <x v="1"/>
  </r>
  <r>
    <s v="89CMAH2022000041R001520230234022"/>
    <s v="NULL"/>
    <x v="1"/>
  </r>
  <r>
    <s v="89CMAH2022000041R001520230234129"/>
    <s v="NULL"/>
    <x v="1"/>
  </r>
  <r>
    <s v="89CMAH2022000041R001520230234301"/>
    <s v="NULL"/>
    <x v="1"/>
  </r>
  <r>
    <s v="89CMAH2022000041R001520230234338"/>
    <s v="NULL"/>
    <x v="1"/>
  </r>
  <r>
    <s v="89CMAH2022000041R001520230234426"/>
    <s v="NULL"/>
    <x v="1"/>
  </r>
  <r>
    <s v="89CMAH2022000041R001520230234480"/>
    <s v="NULL"/>
    <x v="1"/>
  </r>
  <r>
    <s v="89CMAH2022000041R001520230234618"/>
    <s v="NULL"/>
    <x v="1"/>
  </r>
  <r>
    <s v="89CMAH2022000041R001520230234670"/>
    <s v="NULL"/>
    <x v="1"/>
  </r>
  <r>
    <s v="89CMAH2022000041R001520230234673"/>
    <s v="NULL"/>
    <x v="1"/>
  </r>
  <r>
    <s v="89CMAH2022000041R001520230234726"/>
    <s v="NULL"/>
    <x v="1"/>
  </r>
  <r>
    <s v="89CMAH2022000041R001520230289337"/>
    <s v="NULL"/>
    <x v="1"/>
  </r>
  <r>
    <s v="89CMAH2022000041R001520230289470"/>
    <s v="NULL"/>
    <x v="1"/>
  </r>
  <r>
    <s v="89CMAH2022000041R001520230289490"/>
    <s v="NULL"/>
    <x v="1"/>
  </r>
  <r>
    <s v="89CMAH2022000041R001520230289526"/>
    <s v="NULL"/>
    <x v="1"/>
  </r>
  <r>
    <s v="89CMAH2022000041R001520230289601"/>
    <s v="NULL"/>
    <x v="1"/>
  </r>
  <r>
    <s v="89CMAH2022000041R001520230289614"/>
    <s v="NULL"/>
    <x v="1"/>
  </r>
  <r>
    <s v="89CMAH2022000041R001520230289660"/>
    <s v="NULL"/>
    <x v="1"/>
  </r>
  <r>
    <s v="89CMAH2022000041R001520230289706"/>
    <s v="NULL"/>
    <x v="1"/>
  </r>
  <r>
    <s v="89CMAH2022000041R001520230289856"/>
    <s v="NULL"/>
    <x v="1"/>
  </r>
  <r>
    <s v="89CMAH2022000041R001520230289860"/>
    <s v="NULL"/>
    <x v="1"/>
  </r>
  <r>
    <s v="89CMAH2022000041R001520230289872"/>
    <s v="NULL"/>
    <x v="1"/>
  </r>
  <r>
    <s v="89CMAH2022000041R001520230289897"/>
    <s v="NULL"/>
    <x v="1"/>
  </r>
  <r>
    <s v="89CMAH2022000041R001520230290046"/>
    <s v="NULL"/>
    <x v="1"/>
  </r>
  <r>
    <s v="89CMAH2022000041R001520230290059"/>
    <s v="NULL"/>
    <x v="1"/>
  </r>
  <r>
    <s v="89CMAH2022000041R001520230290140"/>
    <s v="NULL"/>
    <x v="1"/>
  </r>
  <r>
    <s v="89CMAH2022000041R001520230290228"/>
    <s v="NULL"/>
    <x v="1"/>
  </r>
  <r>
    <s v="89CMAH2022000041R001520230290500"/>
    <s v="NULL"/>
    <x v="1"/>
  </r>
  <r>
    <s v="89CMAH2022000041R001520230290697"/>
    <s v="NULL"/>
    <x v="1"/>
  </r>
  <r>
    <s v="89CMAH2022000041R001520230290699"/>
    <s v="NULL"/>
    <x v="1"/>
  </r>
  <r>
    <s v="89CMAH2022000041R001520230290796"/>
    <s v="NULL"/>
    <x v="1"/>
  </r>
  <r>
    <s v="89CMAH2022000041R001520230290803"/>
    <s v="NULL"/>
    <x v="1"/>
  </r>
  <r>
    <s v="89CMAH2022000041R001520230290881"/>
    <s v="NULL"/>
    <x v="1"/>
  </r>
  <r>
    <s v="SNCN00000126"/>
    <s v="NULL"/>
    <x v="0"/>
  </r>
  <r>
    <s v="SNCN00000135"/>
    <s v="NULL"/>
    <x v="0"/>
  </r>
  <r>
    <s v="SNCN00000306"/>
    <s v="NULL"/>
    <x v="0"/>
  </r>
  <r>
    <s v="SNCN00000340"/>
    <s v="NULL"/>
    <x v="0"/>
  </r>
  <r>
    <s v="SNCN00000371"/>
    <s v="NULL"/>
    <x v="0"/>
  </r>
  <r>
    <s v="SNCN00000429"/>
    <s v="NULL"/>
    <x v="0"/>
  </r>
  <r>
    <s v="SNCN00000484"/>
    <s v="NULL"/>
    <x v="0"/>
  </r>
  <r>
    <s v="SNCN00000596"/>
    <s v="NULL"/>
    <x v="0"/>
  </r>
  <r>
    <s v="SNCN00000650"/>
    <s v="NULL"/>
    <x v="0"/>
  </r>
  <r>
    <s v="31CMAH0000000000R262304840020120"/>
    <s v="NULL"/>
    <x v="1"/>
  </r>
  <r>
    <s v="31CMAH0000000000R962304820111240"/>
    <s v="NULL"/>
    <x v="1"/>
  </r>
  <r>
    <s v="31CMAH0000000000R962304820150010"/>
    <s v="NULL"/>
    <x v="1"/>
  </r>
  <r>
    <s v="31CMAH0000000000R962304820205570"/>
    <s v="NULL"/>
    <x v="1"/>
  </r>
  <r>
    <s v="31CMAH0000000000R962304820225180"/>
    <s v="NULL"/>
    <x v="1"/>
  </r>
  <r>
    <s v="31CMAH0000000000R962304820309470"/>
    <s v="NULL"/>
    <x v="1"/>
  </r>
  <r>
    <s v="31CMAH0000000000R962304820320590"/>
    <s v="NULL"/>
    <x v="1"/>
  </r>
  <r>
    <s v="31CMAH0000000000R962304820325080"/>
    <s v="NULL"/>
    <x v="1"/>
  </r>
  <r>
    <s v="31CMAH0000000000R962304820340070"/>
    <s v="NULL"/>
    <x v="1"/>
  </r>
  <r>
    <s v="31CMAH0000000000R962304820346880"/>
    <s v="NULL"/>
    <x v="1"/>
  </r>
  <r>
    <s v="31CMAH0000000000R962304820372510"/>
    <s v="NULL"/>
    <x v="1"/>
  </r>
  <r>
    <s v="31CMAH0000000000R962304880186890"/>
    <s v="NULL"/>
    <x v="1"/>
  </r>
  <r>
    <s v="31CMAH00380016879363603800168799"/>
    <s v="NULL"/>
    <x v="1"/>
  </r>
  <r>
    <s v="31CMAHenergyS1xS2OVER2ENFGDRST0H"/>
    <s v="NULL"/>
    <x v="1"/>
  </r>
  <r>
    <s v="82000000005034180000510000723244"/>
    <s v="NULL"/>
    <x v="3"/>
  </r>
  <r>
    <s v="82000000007000312000200000560596"/>
    <s v="NULL"/>
    <x v="3"/>
  </r>
  <r>
    <s v="82000000007006382000200000647500"/>
    <s v="NULL"/>
    <x v="3"/>
  </r>
  <r>
    <s v="82000000007007770000200000654459"/>
    <s v="NULL"/>
    <x v="3"/>
  </r>
  <r>
    <s v="82000000007011203000200000681045"/>
    <s v="NULL"/>
    <x v="3"/>
  </r>
  <r>
    <s v="82000000007017949000200000761230"/>
    <s v="NULL"/>
    <x v="3"/>
  </r>
  <r>
    <s v="82000000008007126000530000885059"/>
    <s v="NULL"/>
    <x v="3"/>
  </r>
  <r>
    <s v="89CMAH2022000041R001520220602738"/>
    <s v="NULL"/>
    <x v="1"/>
  </r>
  <r>
    <s v="89CMAH2022000041R001520230039639"/>
    <s v="NULL"/>
    <x v="1"/>
  </r>
  <r>
    <s v="89CMAH2022000041R001520230085849"/>
    <s v="NULL"/>
    <x v="1"/>
  </r>
  <r>
    <s v="89CMAH2022000041R001520230085881"/>
    <s v="NULL"/>
    <x v="1"/>
  </r>
  <r>
    <s v="89CMAH2022000041R001520230144715"/>
    <s v="NULL"/>
    <x v="1"/>
  </r>
  <r>
    <s v="89CMAH2022000041R001520230144721"/>
    <s v="NULL"/>
    <x v="1"/>
  </r>
  <r>
    <s v="89CMAH2022000041R001520230177962"/>
    <s v="NULL"/>
    <x v="1"/>
  </r>
  <r>
    <s v="89CMAH2022000041R001520230178618"/>
    <s v="NULL"/>
    <x v="1"/>
  </r>
  <r>
    <s v="89CMAH2022000041R001520230234084"/>
    <s v="NULL"/>
    <x v="1"/>
  </r>
  <r>
    <s v="89CMAH2022000041R001520230234281"/>
    <s v="NULL"/>
    <x v="1"/>
  </r>
  <r>
    <s v="89CMAH2022000041R001520230234285"/>
    <s v="NULL"/>
    <x v="1"/>
  </r>
  <r>
    <s v="89CMAH2022000041R001520230234303"/>
    <s v="NULL"/>
    <x v="1"/>
  </r>
  <r>
    <s v="89CMAH2022000041R001520230234345"/>
    <s v="NULL"/>
    <x v="1"/>
  </r>
  <r>
    <s v="89CMAH2022000041R001520230234454"/>
    <s v="NULL"/>
    <x v="1"/>
  </r>
  <r>
    <s v="89CMAH2022000041R001520230234534"/>
    <s v="NULL"/>
    <x v="1"/>
  </r>
  <r>
    <s v="89CMAH2022000041R001520230234562"/>
    <s v="NULL"/>
    <x v="1"/>
  </r>
  <r>
    <s v="89CMAH2022000041R001520230289278"/>
    <s v="NULL"/>
    <x v="1"/>
  </r>
  <r>
    <s v="89CMAH2022000041R001520230289281"/>
    <s v="NULL"/>
    <x v="1"/>
  </r>
  <r>
    <s v="89CMAH2022000041R001520230289326"/>
    <s v="NULL"/>
    <x v="1"/>
  </r>
  <r>
    <s v="89CMAH2022000041R001520230289328"/>
    <s v="NULL"/>
    <x v="1"/>
  </r>
  <r>
    <s v="89CMAH2022000041R001520230289336"/>
    <s v="NULL"/>
    <x v="1"/>
  </r>
  <r>
    <s v="89CMAH2022000041R001520230289414"/>
    <s v="NULL"/>
    <x v="1"/>
  </r>
  <r>
    <s v="89CMAH2022000041R001520230289459"/>
    <s v="NULL"/>
    <x v="1"/>
  </r>
  <r>
    <s v="89CMAH2022000041R001520230289508"/>
    <s v="NULL"/>
    <x v="1"/>
  </r>
  <r>
    <s v="89CMAH2022000041R001520230289517"/>
    <s v="NULL"/>
    <x v="1"/>
  </r>
  <r>
    <s v="89CMAH2022000041R001520230289632"/>
    <s v="NULL"/>
    <x v="1"/>
  </r>
  <r>
    <s v="89CMAH2022000041R001520230289681"/>
    <s v="NULL"/>
    <x v="1"/>
  </r>
  <r>
    <s v="89CMAH2022000041R001520230289747"/>
    <s v="NULL"/>
    <x v="1"/>
  </r>
  <r>
    <s v="89CMAH2022000041R001520230289826"/>
    <s v="NULL"/>
    <x v="1"/>
  </r>
  <r>
    <s v="89CMAH2022000041R001520230289903"/>
    <s v="NULL"/>
    <x v="1"/>
  </r>
  <r>
    <s v="89CMAH2022000041R001520230290012"/>
    <s v="NULL"/>
    <x v="1"/>
  </r>
  <r>
    <s v="89CMAH2022000041R001520230290064"/>
    <s v="NULL"/>
    <x v="1"/>
  </r>
  <r>
    <s v="89CMAH2022000041R001520230290088"/>
    <s v="NULL"/>
    <x v="1"/>
  </r>
  <r>
    <s v="89CMAH2022000041R001520230290137"/>
    <s v="NULL"/>
    <x v="1"/>
  </r>
  <r>
    <s v="89CMAH2022000041R001520230290152"/>
    <s v="NULL"/>
    <x v="1"/>
  </r>
  <r>
    <s v="89CMAH2022000041R001520230290222"/>
    <s v="NULL"/>
    <x v="1"/>
  </r>
  <r>
    <s v="89CMAH2022000041R001520230290227"/>
    <s v="NULL"/>
    <x v="1"/>
  </r>
  <r>
    <s v="89CMAH2022000041R001520230290240"/>
    <s v="NULL"/>
    <x v="1"/>
  </r>
  <r>
    <s v="89CMAH2022000041R001520230290284"/>
    <s v="NULL"/>
    <x v="1"/>
  </r>
  <r>
    <s v="89CMAH2022000041R001520230290339"/>
    <s v="NULL"/>
    <x v="1"/>
  </r>
  <r>
    <s v="89CMAH2022000041R001520230290380"/>
    <s v="NULL"/>
    <x v="1"/>
  </r>
  <r>
    <s v="89CMAH2022000041R001520230290462"/>
    <s v="NULL"/>
    <x v="1"/>
  </r>
  <r>
    <s v="89CMAH2022000041R001520230290479"/>
    <s v="NULL"/>
    <x v="1"/>
  </r>
  <r>
    <s v="89CMAH2022000041R001520230290587"/>
    <s v="NULL"/>
    <x v="1"/>
  </r>
  <r>
    <s v="89CMAH2022000041R001520230290595"/>
    <s v="NULL"/>
    <x v="1"/>
  </r>
  <r>
    <s v="89CMAH2022000041R001520230290634"/>
    <s v="NULL"/>
    <x v="1"/>
  </r>
  <r>
    <s v="89CMAH2022000041R001520230290661"/>
    <s v="NULL"/>
    <x v="1"/>
  </r>
  <r>
    <s v="89CMAH2022000041R001520230290748"/>
    <s v="NULL"/>
    <x v="1"/>
  </r>
  <r>
    <s v="89CMAH2022000041R001520230290753"/>
    <s v="NULL"/>
    <x v="1"/>
  </r>
  <r>
    <s v="SNCN00000030"/>
    <s v="NULL"/>
    <x v="0"/>
  </r>
  <r>
    <s v="SNCN00000144"/>
    <s v="NULL"/>
    <x v="0"/>
  </r>
  <r>
    <s v="SNCN00000215"/>
    <s v="NULL"/>
    <x v="0"/>
  </r>
  <r>
    <s v="SNCN00000246"/>
    <s v="NULL"/>
    <x v="0"/>
  </r>
  <r>
    <s v="SNCN00000309"/>
    <s v="NULL"/>
    <x v="0"/>
  </r>
  <r>
    <s v="SNCN00000350"/>
    <s v="NULL"/>
    <x v="0"/>
  </r>
  <r>
    <s v="SNCN00000522"/>
    <s v="NULL"/>
    <x v="0"/>
  </r>
  <r>
    <s v="SNCN00000708"/>
    <s v="NULL"/>
    <x v="0"/>
  </r>
  <r>
    <s v="SNCN00000921"/>
    <s v="NULL"/>
    <x v="0"/>
  </r>
  <r>
    <s v="31CMAH0000000000R162304880023020"/>
    <s v="NULL"/>
    <x v="1"/>
  </r>
  <r>
    <s v="31CMAH0000000000R262304820022840"/>
    <s v="NULL"/>
    <x v="1"/>
  </r>
  <r>
    <s v="31CMAH3884865000R000000000000000"/>
    <s v="NULL"/>
    <x v="1"/>
  </r>
  <r>
    <s v="31CMAHhipotcS1xS2OVERPARREST0002"/>
    <s v="NULL"/>
    <x v="1"/>
  </r>
  <r>
    <s v="82000000000113621000450000421091"/>
    <s v="NULL"/>
    <x v="3"/>
  </r>
  <r>
    <s v="82000000007002772000200000645216"/>
    <s v="NULL"/>
    <x v="3"/>
  </r>
  <r>
    <s v="82000000007004389000200000647221"/>
    <s v="NULL"/>
    <x v="3"/>
  </r>
  <r>
    <s v="82000000007006089000200000617450"/>
    <s v="NULL"/>
    <x v="3"/>
  </r>
  <r>
    <s v="82000000007008372000200000657142"/>
    <s v="NULL"/>
    <x v="3"/>
  </r>
  <r>
    <s v="82000000007008800000200000660403"/>
    <s v="NULL"/>
    <x v="3"/>
  </r>
  <r>
    <s v="82000000007010020000200000672052"/>
    <s v="NULL"/>
    <x v="3"/>
  </r>
  <r>
    <s v="82000000007011454000200000680873"/>
    <s v="NULL"/>
    <x v="3"/>
  </r>
  <r>
    <s v="82001120230000046000007401715685"/>
    <s v="NULL"/>
    <x v="3"/>
  </r>
  <r>
    <s v="89CMAH2022000041R001520230039452"/>
    <s v="NULL"/>
    <x v="1"/>
  </r>
  <r>
    <s v="89CMAH2022000041R001520230039736"/>
    <s v="NULL"/>
    <x v="1"/>
  </r>
  <r>
    <s v="89CMAH2022000041R001520230039763"/>
    <s v="NULL"/>
    <x v="1"/>
  </r>
  <r>
    <s v="89CMAH2022000041R001520230085742"/>
    <s v="NULL"/>
    <x v="1"/>
  </r>
  <r>
    <s v="89CMAH2022000041R001520230086016"/>
    <s v="NULL"/>
    <x v="1"/>
  </r>
  <r>
    <s v="89CMAH2022000041R001520230178124"/>
    <s v="NULL"/>
    <x v="1"/>
  </r>
  <r>
    <s v="89CMAH2022000041R001520230178269"/>
    <s v="NULL"/>
    <x v="1"/>
  </r>
  <r>
    <s v="89CMAH2022000041R001520230178350"/>
    <s v="NULL"/>
    <x v="1"/>
  </r>
  <r>
    <s v="89CMAH2022000041R001520230178408"/>
    <s v="NULL"/>
    <x v="1"/>
  </r>
  <r>
    <s v="89CMAH2022000041R001520230178584"/>
    <s v="NULL"/>
    <x v="1"/>
  </r>
  <r>
    <s v="89CMAH2022000041R001520230178614"/>
    <s v="NULL"/>
    <x v="1"/>
  </r>
  <r>
    <s v="89CMAH2022000041R001520230234245"/>
    <s v="NULL"/>
    <x v="1"/>
  </r>
  <r>
    <s v="89CMAH2022000041R001520230234354"/>
    <s v="NULL"/>
    <x v="1"/>
  </r>
  <r>
    <s v="89CMAH2022000041R001520230234366"/>
    <s v="NULL"/>
    <x v="1"/>
  </r>
  <r>
    <s v="89CMAH2022000041R001520230234511"/>
    <s v="NULL"/>
    <x v="1"/>
  </r>
  <r>
    <s v="89CMAH2022000041R001520230234655"/>
    <s v="NULL"/>
    <x v="1"/>
  </r>
  <r>
    <s v="89CMAH2022000041R001520230234659"/>
    <s v="NULL"/>
    <x v="1"/>
  </r>
  <r>
    <s v="89CMAH2022000041R001520230234713"/>
    <s v="NULL"/>
    <x v="1"/>
  </r>
  <r>
    <s v="89CMAH2022000041R001520230289315"/>
    <s v="NULL"/>
    <x v="1"/>
  </r>
  <r>
    <s v="89CMAH2022000041R001520230289334"/>
    <s v="NULL"/>
    <x v="1"/>
  </r>
  <r>
    <s v="89CMAH2022000041R001520230289395"/>
    <s v="NULL"/>
    <x v="1"/>
  </r>
  <r>
    <s v="89CMAH2022000041R001520230289442"/>
    <s v="NULL"/>
    <x v="1"/>
  </r>
  <r>
    <s v="89CMAH2022000041R001520230289561"/>
    <s v="NULL"/>
    <x v="1"/>
  </r>
  <r>
    <s v="89CMAH2022000041R001520230289563"/>
    <s v="NULL"/>
    <x v="1"/>
  </r>
  <r>
    <s v="89CMAH2022000041R001520230289602"/>
    <s v="NULL"/>
    <x v="1"/>
  </r>
  <r>
    <s v="89CMAH2022000041R001520230289657"/>
    <s v="NULL"/>
    <x v="1"/>
  </r>
  <r>
    <s v="89CMAH2022000041R001520230289702"/>
    <s v="NULL"/>
    <x v="1"/>
  </r>
  <r>
    <s v="89CMAH2022000041R001520230289709"/>
    <s v="NULL"/>
    <x v="1"/>
  </r>
  <r>
    <s v="89CMAH2022000041R001520230289847"/>
    <s v="NULL"/>
    <x v="1"/>
  </r>
  <r>
    <s v="89CMAH2022000041R001520230289911"/>
    <s v="NULL"/>
    <x v="1"/>
  </r>
  <r>
    <s v="89CMAH2022000041R001520230290170"/>
    <s v="NULL"/>
    <x v="1"/>
  </r>
  <r>
    <s v="89CMAH2022000041R001520230290255"/>
    <s v="NULL"/>
    <x v="1"/>
  </r>
  <r>
    <s v="89CMAH2022000041R001520230290277"/>
    <s v="NULL"/>
    <x v="1"/>
  </r>
  <r>
    <s v="89CMAH2022000041R001520230290540"/>
    <s v="NULL"/>
    <x v="1"/>
  </r>
  <r>
    <s v="89CMAH2022000041R001520230290549"/>
    <s v="NULL"/>
    <x v="1"/>
  </r>
  <r>
    <s v="89CMAH2022000041R001520230290564"/>
    <s v="NULL"/>
    <x v="1"/>
  </r>
  <r>
    <s v="89CMAH2022000041R001520230290768"/>
    <s v="NULL"/>
    <x v="1"/>
  </r>
  <r>
    <s v="89CMAH2022000041R001520230290783"/>
    <s v="NULL"/>
    <x v="1"/>
  </r>
  <r>
    <s v="89CMAH2022000041R001520230290853"/>
    <s v="NULL"/>
    <x v="1"/>
  </r>
  <r>
    <s v="89CMAH2022000041R001520230290873"/>
    <s v="NULL"/>
    <x v="1"/>
  </r>
  <r>
    <s v="SNCN00000044"/>
    <s v="NULL"/>
    <x v="0"/>
  </r>
  <r>
    <s v="SNCN00000086"/>
    <s v="NULL"/>
    <x v="0"/>
  </r>
  <r>
    <s v="SNCN00000407"/>
    <s v="NULL"/>
    <x v="0"/>
  </r>
  <r>
    <s v="SNCN00000415"/>
    <s v="NULL"/>
    <x v="0"/>
  </r>
  <r>
    <s v="SNCN00000551"/>
    <s v="NULL"/>
    <x v="0"/>
  </r>
  <r>
    <s v="SNCN00000973"/>
    <s v="NULL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1">
  <r>
    <s v="ACCMLTD_IMPRMNT_INSTRMNT"/>
    <n v="2020862"/>
    <n v="0"/>
    <n v="0"/>
    <n v="0"/>
    <n v="0"/>
    <x v="0"/>
    <x v="0"/>
    <x v="0"/>
    <x v="0"/>
  </r>
  <r>
    <s v="ACCNTNG_CLSSFCTN"/>
    <n v="2020862"/>
    <n v="0"/>
    <n v="0"/>
    <n v="0"/>
    <n v="0"/>
    <x v="0"/>
    <x v="0"/>
    <x v="0"/>
    <x v="0"/>
  </r>
  <r>
    <s v="COD_SOC"/>
    <n v="2020862"/>
    <n v="0"/>
    <n v="0"/>
    <n v="0"/>
    <n v="0"/>
    <x v="0"/>
    <x v="0"/>
    <x v="0"/>
    <x v="0"/>
  </r>
  <r>
    <s v="DFLT_STTS_INSTRMNT"/>
    <n v="2020862"/>
    <n v="0"/>
    <n v="0"/>
    <n v="0"/>
    <n v="0"/>
    <x v="0"/>
    <x v="0"/>
    <x v="0"/>
    <x v="0"/>
  </r>
  <r>
    <s v="FLG_INSTRMNT_CNCLLD"/>
    <n v="0"/>
    <n v="2020862"/>
    <n v="0"/>
    <n v="0"/>
    <n v="0"/>
    <x v="1"/>
    <x v="1"/>
    <x v="1"/>
    <x v="1"/>
  </r>
  <r>
    <s v="GRSS_CRRYNG_AMNT_INSTRMNT"/>
    <n v="2020862"/>
    <n v="0"/>
    <n v="0"/>
    <n v="0"/>
    <n v="0"/>
    <x v="0"/>
    <x v="0"/>
    <x v="0"/>
    <x v="0"/>
  </r>
  <r>
    <s v="IMPRMNT_STTS"/>
    <n v="2020862"/>
    <n v="0"/>
    <n v="0"/>
    <n v="0"/>
    <n v="0"/>
    <x v="0"/>
    <x v="0"/>
    <x v="0"/>
    <x v="0"/>
  </r>
  <r>
    <s v="OFF_BLNC_SHT_AMNT_INSTRMNT"/>
    <n v="2020862"/>
    <n v="0"/>
    <n v="0"/>
    <n v="0"/>
    <n v="0"/>
    <x v="0"/>
    <x v="0"/>
    <x v="0"/>
    <x v="0"/>
  </r>
  <r>
    <s v="PRFRMNG_STTS"/>
    <n v="2020862"/>
    <n v="0"/>
    <n v="0"/>
    <n v="0"/>
    <n v="0"/>
    <x v="0"/>
    <x v="0"/>
    <x v="0"/>
    <x v="0"/>
  </r>
  <r>
    <s v="PRVSNS_OFF_BLNC_SHT"/>
    <n v="2020862"/>
    <n v="0"/>
    <n v="0"/>
    <n v="0"/>
    <n v="0"/>
    <x v="0"/>
    <x v="0"/>
    <x v="0"/>
    <x v="0"/>
  </r>
  <r>
    <s v="RWA"/>
    <n v="2020838"/>
    <n v="24"/>
    <n v="0"/>
    <n v="0"/>
    <n v="0"/>
    <x v="2"/>
    <x v="0"/>
    <x v="0"/>
    <x v="2"/>
  </r>
  <r>
    <s v="TYP_INSTRMNT"/>
    <n v="2020862"/>
    <n v="0"/>
    <n v="0"/>
    <n v="0"/>
    <n v="0"/>
    <x v="0"/>
    <x v="0"/>
    <x v="0"/>
    <x v="0"/>
  </r>
  <r>
    <s v="NT_LN_LSS_PRVSN_OFF_BLNC"/>
    <n v="1894058"/>
    <n v="0"/>
    <n v="454"/>
    <n v="122685"/>
    <n v="3665"/>
    <x v="3"/>
    <x v="0"/>
    <x v="0"/>
    <x v="3"/>
  </r>
  <r>
    <s v="AVRG_BLNC"/>
    <n v="1894058"/>
    <n v="0"/>
    <n v="123139"/>
    <n v="0"/>
    <n v="3665"/>
    <x v="3"/>
    <x v="0"/>
    <x v="0"/>
    <x v="3"/>
  </r>
  <r>
    <s v="INTRNL_TRNSFR_RT"/>
    <n v="1851201"/>
    <n v="0"/>
    <n v="454"/>
    <n v="166884"/>
    <n v="3665"/>
    <x v="3"/>
    <x v="0"/>
    <x v="0"/>
    <x v="3"/>
  </r>
  <r>
    <s v="NT_LN_LSS_PRVSN"/>
    <n v="1894058"/>
    <n v="0"/>
    <n v="454"/>
    <n v="122685"/>
    <n v="3665"/>
    <x v="3"/>
    <x v="0"/>
    <x v="0"/>
    <x v="3"/>
  </r>
  <r>
    <s v="ACCMLTD_CHNGS_FV_CR_INSTRMNT"/>
    <n v="2020862"/>
    <n v="0"/>
    <n v="0"/>
    <n v="0"/>
    <n v="0"/>
    <x v="0"/>
    <x v="0"/>
    <x v="0"/>
    <x v="0"/>
  </r>
  <r>
    <s v="AVRG_BLNC_OFF_BLNC"/>
    <n v="1894058"/>
    <n v="0"/>
    <n v="454"/>
    <n v="122685"/>
    <n v="3665"/>
    <x v="3"/>
    <x v="0"/>
    <x v="0"/>
    <x v="3"/>
  </r>
  <r>
    <s v="BSNSS_AREA"/>
    <n v="16935"/>
    <n v="1209396"/>
    <n v="0"/>
    <n v="790866"/>
    <n v="3665"/>
    <x v="2"/>
    <x v="0"/>
    <x v="0"/>
    <x v="2"/>
  </r>
  <r>
    <s v="BSNSS_AREA_CCRR"/>
    <n v="0"/>
    <n v="2017197"/>
    <n v="0"/>
    <n v="0"/>
    <n v="3665"/>
    <x v="4"/>
    <x v="0"/>
    <x v="2"/>
    <x v="4"/>
  </r>
  <r>
    <s v="BSNSS_AREA_DSTNTN"/>
    <n v="2020862"/>
    <n v="0"/>
    <n v="0"/>
    <n v="0"/>
    <n v="0"/>
    <x v="0"/>
    <x v="0"/>
    <x v="0"/>
    <x v="0"/>
  </r>
  <r>
    <s v="CNCLLD_INSTRMNT_STTS"/>
    <n v="0"/>
    <n v="0"/>
    <n v="0"/>
    <n v="2020862"/>
    <n v="0"/>
    <x v="4"/>
    <x v="2"/>
    <x v="2"/>
    <x v="4"/>
  </r>
  <r>
    <s v="COD_SOC_DSTNTN"/>
    <n v="2020862"/>
    <n v="0"/>
    <n v="0"/>
    <n v="0"/>
    <n v="0"/>
    <x v="0"/>
    <x v="0"/>
    <x v="0"/>
    <x v="0"/>
  </r>
  <r>
    <s v="COD_SOC_INTRGRP"/>
    <n v="0"/>
    <n v="0"/>
    <n v="0"/>
    <n v="2020862"/>
    <n v="0"/>
    <x v="4"/>
    <x v="2"/>
    <x v="2"/>
    <x v="4"/>
  </r>
  <r>
    <s v="DT_RFRNC"/>
    <n v="2020862"/>
    <n v="0"/>
    <n v="0"/>
    <n v="0"/>
    <n v="0"/>
    <x v="0"/>
    <x v="0"/>
    <x v="0"/>
    <x v="0"/>
  </r>
  <r>
    <s v="FLG_INTRBSNSS"/>
    <n v="2020862"/>
    <n v="0"/>
    <n v="0"/>
    <n v="0"/>
    <n v="0"/>
    <x v="0"/>
    <x v="0"/>
    <x v="0"/>
    <x v="0"/>
  </r>
  <r>
    <s v="GNS_FNNCL_TRNSCTN_EXCHNG_CCRR"/>
    <n v="0"/>
    <n v="2017197"/>
    <n v="0"/>
    <n v="0"/>
    <n v="3665"/>
    <x v="4"/>
    <x v="0"/>
    <x v="2"/>
    <x v="4"/>
  </r>
  <r>
    <s v="GNS_FNNCL_TRNSCTN_EXCHNG_DFFRNCS"/>
    <n v="1816745"/>
    <n v="0"/>
    <n v="446"/>
    <n v="200006"/>
    <n v="3665"/>
    <x v="3"/>
    <x v="0"/>
    <x v="0"/>
    <x v="3"/>
  </r>
  <r>
    <s v="GRSS_CMMSSN_EXPNS"/>
    <n v="1553247"/>
    <n v="305013"/>
    <n v="454"/>
    <n v="158483"/>
    <n v="3665"/>
    <x v="3"/>
    <x v="3"/>
    <x v="0"/>
    <x v="3"/>
  </r>
  <r>
    <s v="GRSS_CMMSSN_EXPNS_CCRR"/>
    <n v="0"/>
    <n v="2017197"/>
    <n v="0"/>
    <n v="0"/>
    <n v="3665"/>
    <x v="4"/>
    <x v="3"/>
    <x v="2"/>
    <x v="4"/>
  </r>
  <r>
    <s v="GRSS_CMMSSN_EXPNS_OFF_BLNC"/>
    <n v="1858259"/>
    <n v="1"/>
    <n v="454"/>
    <n v="158483"/>
    <n v="3665"/>
    <x v="2"/>
    <x v="3"/>
    <x v="0"/>
    <x v="2"/>
  </r>
  <r>
    <s v="GRSS_CMMSSN_EXPNS_OFF_BLNC_CCRR"/>
    <n v="0"/>
    <n v="2017197"/>
    <n v="0"/>
    <n v="0"/>
    <n v="3665"/>
    <x v="4"/>
    <x v="3"/>
    <x v="2"/>
    <x v="4"/>
  </r>
  <r>
    <s v="GRSS_CMMSSN_INCM"/>
    <n v="1097546"/>
    <n v="760714"/>
    <n v="454"/>
    <n v="158483"/>
    <n v="3665"/>
    <x v="3"/>
    <x v="3"/>
    <x v="0"/>
    <x v="3"/>
  </r>
  <r>
    <s v="GRSS_CMMSSN_INCM_CCRR"/>
    <n v="0"/>
    <n v="2017197"/>
    <n v="0"/>
    <n v="0"/>
    <n v="3665"/>
    <x v="4"/>
    <x v="3"/>
    <x v="2"/>
    <x v="4"/>
  </r>
  <r>
    <s v="GRSS_CMMSSN_INCM_OFF_BLNC"/>
    <n v="1858258"/>
    <n v="2"/>
    <n v="454"/>
    <n v="158483"/>
    <n v="3665"/>
    <x v="2"/>
    <x v="3"/>
    <x v="0"/>
    <x v="2"/>
  </r>
  <r>
    <s v="GRSS_CMMSSN_INCM_OFF_BLNC_CCRR"/>
    <n v="0"/>
    <n v="2017197"/>
    <n v="0"/>
    <n v="0"/>
    <n v="3665"/>
    <x v="4"/>
    <x v="3"/>
    <x v="2"/>
    <x v="4"/>
  </r>
  <r>
    <s v="GRSS_INTRST_EXPNS"/>
    <n v="1816745"/>
    <n v="0"/>
    <n v="446"/>
    <n v="200006"/>
    <n v="3665"/>
    <x v="3"/>
    <x v="0"/>
    <x v="0"/>
    <x v="3"/>
  </r>
  <r>
    <s v="GRSS_INTRST_EXPNS_CCRR"/>
    <n v="0"/>
    <n v="2017197"/>
    <n v="0"/>
    <n v="0"/>
    <n v="3665"/>
    <x v="4"/>
    <x v="0"/>
    <x v="2"/>
    <x v="4"/>
  </r>
  <r>
    <s v="GRSS_INTRST_INCM"/>
    <n v="1815954"/>
    <n v="0"/>
    <n v="446"/>
    <n v="201588"/>
    <n v="3665"/>
    <x v="3"/>
    <x v="0"/>
    <x v="0"/>
    <x v="3"/>
  </r>
  <r>
    <s v="GRSS_INTRST_INCM_CCRR"/>
    <n v="0"/>
    <n v="2017197"/>
    <n v="0"/>
    <n v="0"/>
    <n v="3665"/>
    <x v="4"/>
    <x v="0"/>
    <x v="2"/>
    <x v="4"/>
  </r>
  <r>
    <s v="IDCMB"/>
    <n v="2020821"/>
    <n v="41"/>
    <n v="0"/>
    <n v="0"/>
    <n v="0"/>
    <x v="2"/>
    <x v="2"/>
    <x v="0"/>
    <x v="2"/>
  </r>
  <r>
    <s v="INSTRMNT_ID"/>
    <n v="2020862"/>
    <n v="0"/>
    <n v="0"/>
    <n v="0"/>
    <n v="0"/>
    <x v="0"/>
    <x v="0"/>
    <x v="0"/>
    <x v="0"/>
  </r>
  <r>
    <s v="INTRBSNSS_ADJ_COD"/>
    <n v="2020862"/>
    <n v="0"/>
    <n v="0"/>
    <n v="0"/>
    <n v="0"/>
    <x v="0"/>
    <x v="0"/>
    <x v="0"/>
    <x v="0"/>
  </r>
  <r>
    <s v="INTRNL_TRNSFR_RT_OFF_BLNC"/>
    <n v="0"/>
    <n v="0"/>
    <n v="0"/>
    <n v="2020862"/>
    <n v="0"/>
    <x v="5"/>
    <x v="0"/>
    <x v="3"/>
    <x v="5"/>
  </r>
  <r>
    <s v="LCL_INSTMRNT_ID"/>
    <n v="2020862"/>
    <n v="0"/>
    <n v="0"/>
    <n v="0"/>
    <n v="0"/>
    <x v="0"/>
    <x v="2"/>
    <x v="0"/>
    <x v="0"/>
  </r>
  <r>
    <s v="MNGMNT_PRDCT"/>
    <n v="1894057"/>
    <n v="1"/>
    <n v="454"/>
    <n v="122685"/>
    <n v="3665"/>
    <x v="2"/>
    <x v="0"/>
    <x v="0"/>
    <x v="2"/>
  </r>
  <r>
    <s v="NW_BSNSS"/>
    <n v="0"/>
    <n v="0"/>
    <n v="0"/>
    <n v="2017197"/>
    <n v="3665"/>
    <x v="4"/>
    <x v="0"/>
    <x v="2"/>
    <x v="4"/>
  </r>
  <r>
    <s v="RWA_OFF_BLNC"/>
    <n v="0"/>
    <n v="0"/>
    <n v="0"/>
    <n v="2020862"/>
    <n v="0"/>
    <x v="5"/>
    <x v="0"/>
    <x v="3"/>
    <x v="5"/>
  </r>
  <r>
    <s v="SSTNBL_CTGRY"/>
    <n v="0"/>
    <n v="0"/>
    <n v="0"/>
    <n v="2020862"/>
    <n v="0"/>
    <x v="4"/>
    <x v="0"/>
    <x v="2"/>
    <x v="4"/>
  </r>
  <r>
    <s v="SSTNBL_INDCTR"/>
    <n v="0"/>
    <n v="0"/>
    <n v="0"/>
    <n v="2020862"/>
    <n v="0"/>
    <x v="4"/>
    <x v="0"/>
    <x v="2"/>
    <x v="4"/>
  </r>
  <r>
    <s v="SUBPORTFOLIO_ID"/>
    <n v="2020862"/>
    <n v="0"/>
    <n v="0"/>
    <n v="0"/>
    <n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I3:J10" firstHeaderRow="1" firstDataRow="1" firstDataCol="1"/>
  <pivotFields count="3">
    <pivotField dataField="1" showAll="0"/>
    <pivotField showAll="0"/>
    <pivotField axis="axisRow" showAll="0">
      <items count="7">
        <item x="4"/>
        <item x="1"/>
        <item x="3"/>
        <item x="0"/>
        <item x="5"/>
        <item x="2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instrmnt_id" fld="0" subtotal="count" baseField="0" baseItem="0" numFmtId="3"/>
  </dataFields>
  <formats count="3">
    <format dxfId="4">
      <pivotArea outline="0" collapsedLevelsAreSubtotals="1" fieldPosition="0"/>
    </format>
    <format dxfId="3">
      <pivotArea outline="0" collapsedLevelsAreSubtotals="1" fieldPosition="0"/>
    </format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4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>
  <location ref="O33:P37" firstHeaderRow="1" firstDataRow="1" firstDataCol="1" rowPageCount="1" colPageCount="1"/>
  <pivotFields count="10">
    <pivotField showAll="0"/>
    <pivotField numFmtId="3" showAll="0"/>
    <pivotField numFmtId="3" showAll="0"/>
    <pivotField numFmtId="3" showAll="0"/>
    <pivotField numFmtId="3" showAll="0" defaultSubtotal="0"/>
    <pivotField numFmtId="3" showAll="0"/>
    <pivotField showAll="0"/>
    <pivotField axis="axisPage" multipleItemSelectionAllowed="1" showAll="0">
      <items count="5">
        <item x="2"/>
        <item x="3"/>
        <item h="1" x="1"/>
        <item x="0"/>
        <item t="default"/>
      </items>
    </pivotField>
    <pivotField showAll="0" defaultSubtotal="0"/>
    <pivotField axis="axisRow" dataField="1" showAll="0" defaultSubtotal="0">
      <items count="6">
        <item h="1" x="4"/>
        <item x="3"/>
        <item x="2"/>
        <item x="0"/>
        <item h="1" x="5"/>
        <item h="1" x="1"/>
      </items>
    </pivotField>
  </pivotFields>
  <rowFields count="1">
    <field x="9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7" hier="-1"/>
  </pageFields>
  <dataFields count="1">
    <dataField name="Count of Status teste" fld="9" subtotal="count" baseField="0" baseItem="0"/>
  </dataFields>
  <chartFormats count="4"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4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O11:P17" firstHeaderRow="1" firstDataRow="1" firstDataCol="1" rowPageCount="1" colPageCount="1"/>
  <pivotFields count="10">
    <pivotField showAll="0"/>
    <pivotField numFmtId="3" showAll="0"/>
    <pivotField numFmtId="3" showAll="0"/>
    <pivotField numFmtId="3" showAll="0"/>
    <pivotField numFmtId="3" showAll="0" defaultSubtotal="0"/>
    <pivotField numFmtId="3" showAll="0"/>
    <pivotField axis="axisRow" showAll="0">
      <items count="7">
        <item x="0"/>
        <item x="2"/>
        <item x="4"/>
        <item x="3"/>
        <item x="5"/>
        <item x="1"/>
        <item t="default"/>
      </items>
    </pivotField>
    <pivotField axis="axisPage" dataField="1" multipleItemSelectionAllowed="1" showAll="0">
      <items count="5">
        <item x="2"/>
        <item x="3"/>
        <item h="1" x="1"/>
        <item x="0"/>
        <item t="default"/>
      </items>
    </pivotField>
    <pivotField showAll="0" defaultSubtotal="0"/>
    <pivotField showAll="0" defaultSubtota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7" hier="-1"/>
  </pageFields>
  <dataFields count="1">
    <dataField name="Count of Alterações Corp" fld="7" subtotal="count" baseField="0" baseItem="0"/>
  </dataField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4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O1:P6" firstHeaderRow="1" firstDataRow="1" firstDataCol="1"/>
  <pivotFields count="10">
    <pivotField showAll="0"/>
    <pivotField numFmtId="3" showAll="0"/>
    <pivotField numFmtId="3" showAll="0"/>
    <pivotField numFmtId="3" showAll="0"/>
    <pivotField numFmtId="3" showAll="0" defaultSubtotal="0"/>
    <pivotField numFmtId="3" showAll="0"/>
    <pivotField showAll="0"/>
    <pivotField axis="axisRow" dataField="1" showAll="0">
      <items count="5">
        <item x="2"/>
        <item x="3"/>
        <item x="1"/>
        <item x="0"/>
        <item t="default"/>
      </items>
    </pivotField>
    <pivotField showAll="0" defaultSubtotal="0"/>
    <pivotField showAll="0" defaultSubtota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lterações Corp" fld="7" subtotal="count" baseField="0" baseItem="0"/>
  </dataFields>
  <chartFormats count="5">
    <chartFormat chart="4" format="5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3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4" format="5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5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5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4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>
  <location ref="O24:P28" firstHeaderRow="1" firstDataRow="1" firstDataCol="1" rowPageCount="1" colPageCount="1"/>
  <pivotFields count="10">
    <pivotField showAll="0"/>
    <pivotField numFmtId="3" showAll="0"/>
    <pivotField numFmtId="3" showAll="0"/>
    <pivotField numFmtId="3" showAll="0"/>
    <pivotField numFmtId="3" showAll="0" defaultSubtotal="0"/>
    <pivotField numFmtId="3" showAll="0"/>
    <pivotField showAll="0"/>
    <pivotField axis="axisPage" multipleItemSelectionAllowed="1" showAll="0">
      <items count="5">
        <item x="2"/>
        <item x="3"/>
        <item h="1" x="1"/>
        <item x="0"/>
        <item t="default"/>
      </items>
    </pivotField>
    <pivotField axis="axisRow" dataField="1" showAll="0" defaultSubtotal="0">
      <items count="4">
        <item x="0"/>
        <item x="2"/>
        <item x="3"/>
        <item x="1"/>
      </items>
    </pivotField>
    <pivotField showAll="0" defaultSubtota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7" hier="-1"/>
  </pageFields>
  <dataFields count="1">
    <dataField name="Count of Status base" fld="8" subtotal="count" baseField="0" baseItem="0"/>
  </dataFields>
  <chartFormats count="4"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3" cacheId="4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O41:P47" firstHeaderRow="1" firstDataRow="1" firstDataCol="1" rowPageCount="1" colPageCount="1"/>
  <pivotFields count="10">
    <pivotField showAll="0"/>
    <pivotField numFmtId="3" showAll="0"/>
    <pivotField numFmtId="3" showAll="0"/>
    <pivotField numFmtId="3" showAll="0"/>
    <pivotField numFmtId="3" showAll="0" defaultSubtotal="0"/>
    <pivotField numFmtId="3" showAll="0"/>
    <pivotField axis="axisRow" showAll="0">
      <items count="7">
        <item x="0"/>
        <item x="2"/>
        <item x="4"/>
        <item x="3"/>
        <item x="5"/>
        <item x="1"/>
        <item t="default"/>
      </items>
    </pivotField>
    <pivotField axis="axisPage" dataField="1" multipleItemSelectionAllowed="1" showAll="0">
      <items count="5">
        <item x="2"/>
        <item x="3"/>
        <item h="1" x="1"/>
        <item x="0"/>
        <item t="default"/>
      </items>
    </pivotField>
    <pivotField showAll="0" defaultSubtotal="0"/>
    <pivotField showAll="0" defaultSubtota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7" hier="-1"/>
  </pageFields>
  <dataFields count="1">
    <dataField name="Count of Alterações Corp" fld="7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rinterSettings" Target="../printerSettings/printerSettings7.bin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28"/>
  <sheetViews>
    <sheetView topLeftCell="F1" workbookViewId="0">
      <selection activeCell="H8" sqref="H8"/>
    </sheetView>
  </sheetViews>
  <sheetFormatPr defaultRowHeight="14.4" x14ac:dyDescent="0.3"/>
  <cols>
    <col min="1" max="1" width="11.44140625" hidden="1" customWidth="1"/>
    <col min="2" max="2" width="14.6640625" hidden="1" customWidth="1"/>
    <col min="3" max="3" width="8.5546875" hidden="1" customWidth="1"/>
    <col min="4" max="4" width="0" hidden="1" customWidth="1"/>
    <col min="5" max="5" width="1.88671875" hidden="1" customWidth="1"/>
    <col min="6" max="6" width="4.5546875" customWidth="1"/>
    <col min="7" max="7" width="15.44140625" bestFit="1" customWidth="1"/>
    <col min="8" max="8" width="9.109375" bestFit="1" customWidth="1"/>
    <col min="9" max="9" width="17.33203125" bestFit="1" customWidth="1"/>
    <col min="10" max="10" width="4.6640625" customWidth="1"/>
    <col min="11" max="11" width="6.33203125" customWidth="1"/>
    <col min="12" max="12" width="5.109375" customWidth="1"/>
    <col min="13" max="13" width="6.44140625" bestFit="1" customWidth="1"/>
    <col min="14" max="14" width="19.44140625" bestFit="1" customWidth="1"/>
  </cols>
  <sheetData>
    <row r="1" spans="1:14" x14ac:dyDescent="0.3">
      <c r="E1" s="7"/>
    </row>
    <row r="2" spans="1:14" x14ac:dyDescent="0.3">
      <c r="A2" s="6" t="s">
        <v>0</v>
      </c>
      <c r="E2" s="7"/>
    </row>
    <row r="3" spans="1:14" x14ac:dyDescent="0.3">
      <c r="E3" s="7"/>
      <c r="G3" t="s">
        <v>7</v>
      </c>
      <c r="H3" s="5">
        <v>2017197</v>
      </c>
      <c r="K3" s="3"/>
    </row>
    <row r="4" spans="1:14" x14ac:dyDescent="0.3">
      <c r="A4" t="s">
        <v>1</v>
      </c>
      <c r="B4" s="5">
        <v>2020862</v>
      </c>
      <c r="E4" s="7"/>
    </row>
    <row r="5" spans="1:14" x14ac:dyDescent="0.3">
      <c r="E5" s="7"/>
      <c r="G5" t="s">
        <v>3838</v>
      </c>
      <c r="H5" s="5">
        <v>1226331</v>
      </c>
      <c r="I5" s="71">
        <f>H5/$H$3</f>
        <v>0.60793814386993439</v>
      </c>
    </row>
    <row r="6" spans="1:14" x14ac:dyDescent="0.3">
      <c r="A6" s="6" t="s">
        <v>4</v>
      </c>
      <c r="E6" s="7"/>
      <c r="G6" t="s">
        <v>3839</v>
      </c>
      <c r="H6" s="5">
        <v>668181</v>
      </c>
      <c r="I6" s="71">
        <f>H6/$H$3</f>
        <v>0.33124231297191103</v>
      </c>
      <c r="K6" s="90"/>
      <c r="N6" s="3"/>
    </row>
    <row r="7" spans="1:14" x14ac:dyDescent="0.3">
      <c r="E7" s="7"/>
      <c r="F7" s="172"/>
      <c r="G7" s="173" t="s">
        <v>3840</v>
      </c>
      <c r="H7" s="174">
        <v>0</v>
      </c>
      <c r="I7" s="71">
        <f>H7/$H$3</f>
        <v>0</v>
      </c>
    </row>
    <row r="8" spans="1:14" x14ac:dyDescent="0.3">
      <c r="A8" t="s">
        <v>1</v>
      </c>
      <c r="B8" s="5">
        <v>7480477</v>
      </c>
      <c r="E8" s="7"/>
      <c r="F8" s="172"/>
      <c r="G8" s="173" t="s">
        <v>3841</v>
      </c>
      <c r="H8" s="174">
        <v>122685</v>
      </c>
      <c r="I8" s="71">
        <f>H8/$H$3</f>
        <v>6.0819543158154604E-2</v>
      </c>
      <c r="L8" s="5"/>
    </row>
    <row r="9" spans="1:14" x14ac:dyDescent="0.3">
      <c r="B9" s="5"/>
      <c r="E9" s="7"/>
      <c r="H9" s="5"/>
      <c r="I9" s="71"/>
      <c r="L9" s="5"/>
    </row>
    <row r="10" spans="1:14" x14ac:dyDescent="0.3">
      <c r="B10" s="5"/>
      <c r="E10" s="7"/>
      <c r="H10" s="5"/>
      <c r="I10" s="71"/>
      <c r="L10" s="5"/>
    </row>
    <row r="11" spans="1:14" x14ac:dyDescent="0.3">
      <c r="A11" t="s">
        <v>5</v>
      </c>
      <c r="B11" s="5">
        <v>5835277</v>
      </c>
      <c r="E11" s="7"/>
      <c r="I11" s="4"/>
      <c r="L11" s="5"/>
    </row>
    <row r="12" spans="1:14" x14ac:dyDescent="0.3">
      <c r="A12" t="s">
        <v>6</v>
      </c>
      <c r="B12" s="5">
        <v>7172852</v>
      </c>
      <c r="E12" s="7"/>
      <c r="G12" t="s">
        <v>8</v>
      </c>
      <c r="H12" s="5">
        <v>3665</v>
      </c>
      <c r="I12" s="3"/>
    </row>
    <row r="13" spans="1:14" x14ac:dyDescent="0.3">
      <c r="E13" s="7"/>
      <c r="H13" s="23"/>
    </row>
    <row r="14" spans="1:14" x14ac:dyDescent="0.3">
      <c r="E14" s="7"/>
      <c r="H14" s="2"/>
      <c r="I14" s="2"/>
      <c r="L14" s="4"/>
    </row>
    <row r="15" spans="1:14" x14ac:dyDescent="0.3">
      <c r="E15" s="7"/>
      <c r="L15" s="3"/>
    </row>
    <row r="16" spans="1:14" x14ac:dyDescent="0.3">
      <c r="E16" s="7"/>
      <c r="H16" s="5"/>
    </row>
    <row r="17" spans="5:10" x14ac:dyDescent="0.3">
      <c r="E17" s="7"/>
      <c r="H17" s="2"/>
    </row>
    <row r="18" spans="5:10" x14ac:dyDescent="0.3">
      <c r="E18" s="7"/>
      <c r="H18" s="5"/>
    </row>
    <row r="19" spans="5:10" x14ac:dyDescent="0.3">
      <c r="E19" s="7"/>
      <c r="H19" s="5"/>
      <c r="J19" s="3"/>
    </row>
    <row r="20" spans="5:10" x14ac:dyDescent="0.3">
      <c r="E20" s="7"/>
      <c r="H20" s="5"/>
    </row>
    <row r="21" spans="5:10" x14ac:dyDescent="0.3">
      <c r="E21" s="7"/>
      <c r="H21" s="5"/>
    </row>
    <row r="22" spans="5:10" x14ac:dyDescent="0.3">
      <c r="E22" s="7"/>
      <c r="H22" s="5"/>
    </row>
    <row r="23" spans="5:10" x14ac:dyDescent="0.3">
      <c r="E23" s="7"/>
    </row>
    <row r="24" spans="5:10" x14ac:dyDescent="0.3">
      <c r="E24" s="7"/>
    </row>
    <row r="25" spans="5:10" x14ac:dyDescent="0.3">
      <c r="E25" s="7"/>
    </row>
    <row r="26" spans="5:10" x14ac:dyDescent="0.3">
      <c r="E26" s="7"/>
    </row>
    <row r="28" spans="5:10" x14ac:dyDescent="0.3">
      <c r="H28" s="4"/>
    </row>
  </sheetData>
  <mergeCells count="1">
    <mergeCell ref="F7:F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Q28"/>
  <sheetViews>
    <sheetView workbookViewId="0">
      <selection activeCell="G22" sqref="G22"/>
    </sheetView>
  </sheetViews>
  <sheetFormatPr defaultRowHeight="14.4" x14ac:dyDescent="0.3"/>
  <cols>
    <col min="1" max="1" width="11.33203125" bestFit="1" customWidth="1"/>
    <col min="2" max="2" width="6.5546875" bestFit="1" customWidth="1"/>
    <col min="4" max="13" width="6.5546875" bestFit="1" customWidth="1"/>
    <col min="14" max="17" width="6.6640625" bestFit="1" customWidth="1"/>
  </cols>
  <sheetData>
    <row r="2" spans="1:17" x14ac:dyDescent="0.3">
      <c r="D2" s="13">
        <v>45313</v>
      </c>
      <c r="E2" s="13">
        <v>45314</v>
      </c>
      <c r="F2" s="13">
        <v>45315</v>
      </c>
      <c r="G2" s="13">
        <v>45316</v>
      </c>
      <c r="H2" s="13">
        <v>45317</v>
      </c>
      <c r="I2" s="15">
        <v>45318</v>
      </c>
      <c r="J2" s="15">
        <v>45319</v>
      </c>
      <c r="K2" s="13">
        <v>45320</v>
      </c>
      <c r="L2" s="13">
        <v>45321</v>
      </c>
      <c r="M2" s="13">
        <v>45322</v>
      </c>
      <c r="N2" s="13">
        <v>45323</v>
      </c>
      <c r="O2" s="13">
        <v>45324</v>
      </c>
      <c r="P2" s="13">
        <v>45325</v>
      </c>
      <c r="Q2" s="13">
        <v>45326</v>
      </c>
    </row>
    <row r="3" spans="1:17" x14ac:dyDescent="0.3">
      <c r="A3" s="12" t="s">
        <v>3685</v>
      </c>
      <c r="B3" s="12" t="s">
        <v>3686</v>
      </c>
      <c r="I3" s="16"/>
      <c r="J3" s="16"/>
    </row>
    <row r="4" spans="1:17" x14ac:dyDescent="0.3">
      <c r="A4" s="12" t="s">
        <v>3687</v>
      </c>
      <c r="B4" s="14">
        <v>45317</v>
      </c>
      <c r="F4" s="18" t="s">
        <v>3694</v>
      </c>
      <c r="G4" s="17"/>
      <c r="H4" t="s">
        <v>3693</v>
      </c>
      <c r="I4" s="16"/>
      <c r="J4" s="16"/>
      <c r="K4" s="22" t="s">
        <v>3695</v>
      </c>
    </row>
    <row r="5" spans="1:17" x14ac:dyDescent="0.3">
      <c r="A5" s="12" t="s">
        <v>3688</v>
      </c>
      <c r="B5" s="14">
        <v>45315</v>
      </c>
      <c r="F5" s="19" t="s">
        <v>3694</v>
      </c>
      <c r="H5" s="22" t="s">
        <v>3695</v>
      </c>
      <c r="I5" s="16"/>
      <c r="J5" s="16"/>
    </row>
    <row r="6" spans="1:17" x14ac:dyDescent="0.3">
      <c r="A6" s="12" t="s">
        <v>3689</v>
      </c>
      <c r="B6" s="14">
        <v>45320</v>
      </c>
      <c r="E6" s="18" t="s">
        <v>3694</v>
      </c>
      <c r="F6" s="17"/>
      <c r="G6" s="20" t="s">
        <v>3693</v>
      </c>
      <c r="H6" s="22" t="s">
        <v>3695</v>
      </c>
      <c r="I6" s="16"/>
      <c r="J6" s="16"/>
      <c r="K6" t="s">
        <v>3693</v>
      </c>
    </row>
    <row r="7" spans="1:17" x14ac:dyDescent="0.3">
      <c r="A7" s="12" t="s">
        <v>3690</v>
      </c>
      <c r="B7" s="14">
        <v>45315</v>
      </c>
      <c r="E7" s="19" t="s">
        <v>3694</v>
      </c>
      <c r="F7" t="s">
        <v>3693</v>
      </c>
      <c r="G7" s="22" t="s">
        <v>3695</v>
      </c>
      <c r="I7" s="16"/>
      <c r="J7" s="16"/>
    </row>
    <row r="8" spans="1:17" x14ac:dyDescent="0.3">
      <c r="A8" s="12" t="s">
        <v>3691</v>
      </c>
      <c r="B8" s="14">
        <v>45320</v>
      </c>
      <c r="E8" s="18" t="s">
        <v>3694</v>
      </c>
      <c r="H8" s="17"/>
      <c r="I8" s="16"/>
      <c r="J8" s="16"/>
      <c r="K8" t="s">
        <v>3693</v>
      </c>
      <c r="L8" s="22" t="s">
        <v>3695</v>
      </c>
    </row>
    <row r="9" spans="1:17" x14ac:dyDescent="0.3">
      <c r="A9" s="12" t="s">
        <v>3692</v>
      </c>
      <c r="B9" s="14">
        <v>45316</v>
      </c>
      <c r="G9" t="s">
        <v>3693</v>
      </c>
      <c r="H9" s="18" t="s">
        <v>3694</v>
      </c>
      <c r="I9" s="16"/>
      <c r="J9" s="16"/>
      <c r="K9" s="21" t="s">
        <v>3693</v>
      </c>
      <c r="N9" s="22" t="s">
        <v>3695</v>
      </c>
    </row>
    <row r="15" spans="1:17" x14ac:dyDescent="0.3">
      <c r="B15" t="s">
        <v>3697</v>
      </c>
      <c r="C15" t="s">
        <v>3698</v>
      </c>
    </row>
    <row r="16" spans="1:17" x14ac:dyDescent="0.3">
      <c r="A16">
        <v>84</v>
      </c>
      <c r="B16" t="s">
        <v>3696</v>
      </c>
      <c r="C16" t="s">
        <v>3694</v>
      </c>
    </row>
    <row r="17" spans="1:3" x14ac:dyDescent="0.3">
      <c r="B17" t="s">
        <v>3699</v>
      </c>
      <c r="C17" t="s">
        <v>3704</v>
      </c>
    </row>
    <row r="20" spans="1:3" x14ac:dyDescent="0.3">
      <c r="A20">
        <v>83</v>
      </c>
      <c r="B20" t="s">
        <v>3696</v>
      </c>
      <c r="C20" t="s">
        <v>3700</v>
      </c>
    </row>
    <row r="25" spans="1:3" x14ac:dyDescent="0.3">
      <c r="B25" t="s">
        <v>3701</v>
      </c>
    </row>
    <row r="27" spans="1:3" x14ac:dyDescent="0.3">
      <c r="C27" t="s">
        <v>3702</v>
      </c>
    </row>
    <row r="28" spans="1:3" x14ac:dyDescent="0.3">
      <c r="C28" t="s">
        <v>3703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3666"/>
  <sheetViews>
    <sheetView workbookViewId="0">
      <selection activeCell="L6" sqref="L6"/>
    </sheetView>
  </sheetViews>
  <sheetFormatPr defaultRowHeight="14.4" x14ac:dyDescent="0.3"/>
  <cols>
    <col min="1" max="1" width="38.6640625" bestFit="1" customWidth="1"/>
    <col min="9" max="9" width="18.44140625" bestFit="1" customWidth="1"/>
    <col min="10" max="10" width="19.5546875" bestFit="1" customWidth="1"/>
  </cols>
  <sheetData>
    <row r="1" spans="1:10" x14ac:dyDescent="0.3">
      <c r="A1" s="8" t="s">
        <v>9</v>
      </c>
      <c r="B1" s="8" t="s">
        <v>10</v>
      </c>
      <c r="C1" t="s">
        <v>3677</v>
      </c>
    </row>
    <row r="2" spans="1:10" x14ac:dyDescent="0.3">
      <c r="A2" s="8" t="s">
        <v>11</v>
      </c>
      <c r="B2" s="8" t="s">
        <v>12</v>
      </c>
      <c r="C2" t="s">
        <v>3</v>
      </c>
    </row>
    <row r="3" spans="1:10" x14ac:dyDescent="0.3">
      <c r="A3" s="8" t="s">
        <v>13</v>
      </c>
      <c r="B3" s="8" t="s">
        <v>12</v>
      </c>
      <c r="C3" t="s">
        <v>3</v>
      </c>
      <c r="I3" s="9" t="s">
        <v>3681</v>
      </c>
      <c r="J3" t="s">
        <v>3684</v>
      </c>
    </row>
    <row r="4" spans="1:10" x14ac:dyDescent="0.3">
      <c r="A4" s="8" t="s">
        <v>14</v>
      </c>
      <c r="B4" s="8" t="s">
        <v>12</v>
      </c>
      <c r="C4" t="s">
        <v>3</v>
      </c>
      <c r="I4" s="10" t="s">
        <v>3680</v>
      </c>
      <c r="J4" s="2">
        <v>6</v>
      </c>
    </row>
    <row r="5" spans="1:10" x14ac:dyDescent="0.3">
      <c r="A5" s="8" t="s">
        <v>15</v>
      </c>
      <c r="B5" s="8" t="s">
        <v>12</v>
      </c>
      <c r="C5" t="s">
        <v>2</v>
      </c>
      <c r="I5" s="10" t="s">
        <v>2</v>
      </c>
      <c r="J5" s="2">
        <v>2844</v>
      </c>
    </row>
    <row r="6" spans="1:10" x14ac:dyDescent="0.3">
      <c r="A6" s="8" t="s">
        <v>16</v>
      </c>
      <c r="B6" s="8" t="s">
        <v>12</v>
      </c>
      <c r="I6" s="10" t="s">
        <v>3678</v>
      </c>
      <c r="J6" s="2">
        <v>331</v>
      </c>
    </row>
    <row r="7" spans="1:10" x14ac:dyDescent="0.3">
      <c r="A7" s="8" t="s">
        <v>17</v>
      </c>
      <c r="B7" s="8" t="s">
        <v>12</v>
      </c>
      <c r="I7" s="10" t="s">
        <v>3</v>
      </c>
      <c r="J7" s="2">
        <v>417</v>
      </c>
    </row>
    <row r="8" spans="1:10" x14ac:dyDescent="0.3">
      <c r="A8" s="8" t="s">
        <v>18</v>
      </c>
      <c r="B8" s="8" t="s">
        <v>12</v>
      </c>
      <c r="I8" s="10" t="s">
        <v>3679</v>
      </c>
      <c r="J8" s="2">
        <v>1</v>
      </c>
    </row>
    <row r="9" spans="1:10" x14ac:dyDescent="0.3">
      <c r="A9" s="8" t="s">
        <v>19</v>
      </c>
      <c r="B9" s="8" t="s">
        <v>12</v>
      </c>
      <c r="C9" t="s">
        <v>2</v>
      </c>
      <c r="I9" s="10" t="s">
        <v>3682</v>
      </c>
      <c r="J9" s="2">
        <v>66</v>
      </c>
    </row>
    <row r="10" spans="1:10" x14ac:dyDescent="0.3">
      <c r="A10" s="8" t="s">
        <v>20</v>
      </c>
      <c r="B10" s="8" t="s">
        <v>12</v>
      </c>
      <c r="C10" t="s">
        <v>2</v>
      </c>
      <c r="I10" s="10" t="s">
        <v>3683</v>
      </c>
      <c r="J10" s="2">
        <v>3665</v>
      </c>
    </row>
    <row r="11" spans="1:10" x14ac:dyDescent="0.3">
      <c r="A11" s="8" t="s">
        <v>21</v>
      </c>
      <c r="B11" s="8" t="s">
        <v>12</v>
      </c>
      <c r="C11" t="s">
        <v>2</v>
      </c>
    </row>
    <row r="12" spans="1:10" x14ac:dyDescent="0.3">
      <c r="A12" s="8" t="s">
        <v>22</v>
      </c>
      <c r="B12" s="8" t="s">
        <v>12</v>
      </c>
      <c r="C12" t="s">
        <v>3678</v>
      </c>
    </row>
    <row r="13" spans="1:10" x14ac:dyDescent="0.3">
      <c r="A13" s="8" t="s">
        <v>23</v>
      </c>
      <c r="B13" s="8" t="s">
        <v>12</v>
      </c>
      <c r="C13" t="s">
        <v>3678</v>
      </c>
    </row>
    <row r="14" spans="1:10" x14ac:dyDescent="0.3">
      <c r="A14" s="8" t="s">
        <v>24</v>
      </c>
      <c r="B14" s="8" t="s">
        <v>12</v>
      </c>
      <c r="C14" t="s">
        <v>3678</v>
      </c>
    </row>
    <row r="15" spans="1:10" x14ac:dyDescent="0.3">
      <c r="A15" s="8" t="s">
        <v>25</v>
      </c>
      <c r="B15" s="8" t="s">
        <v>12</v>
      </c>
      <c r="C15" t="s">
        <v>3678</v>
      </c>
    </row>
    <row r="16" spans="1:10" x14ac:dyDescent="0.3">
      <c r="A16" s="8" t="s">
        <v>26</v>
      </c>
      <c r="B16" s="8" t="s">
        <v>12</v>
      </c>
      <c r="C16" t="s">
        <v>3678</v>
      </c>
    </row>
    <row r="17" spans="1:3" x14ac:dyDescent="0.3">
      <c r="A17" s="8" t="s">
        <v>27</v>
      </c>
      <c r="B17" s="8" t="s">
        <v>12</v>
      </c>
      <c r="C17" t="s">
        <v>3678</v>
      </c>
    </row>
    <row r="18" spans="1:3" x14ac:dyDescent="0.3">
      <c r="A18" s="8" t="s">
        <v>28</v>
      </c>
      <c r="B18" s="8" t="s">
        <v>12</v>
      </c>
      <c r="C18" t="s">
        <v>3678</v>
      </c>
    </row>
    <row r="19" spans="1:3" x14ac:dyDescent="0.3">
      <c r="A19" s="8" t="s">
        <v>29</v>
      </c>
      <c r="B19" s="8" t="s">
        <v>12</v>
      </c>
      <c r="C19" t="s">
        <v>3678</v>
      </c>
    </row>
    <row r="20" spans="1:3" x14ac:dyDescent="0.3">
      <c r="A20" s="8" t="s">
        <v>30</v>
      </c>
      <c r="B20" s="8" t="s">
        <v>12</v>
      </c>
      <c r="C20" t="s">
        <v>3678</v>
      </c>
    </row>
    <row r="21" spans="1:3" x14ac:dyDescent="0.3">
      <c r="A21" s="8" t="s">
        <v>31</v>
      </c>
      <c r="B21" s="8" t="s">
        <v>12</v>
      </c>
      <c r="C21" t="s">
        <v>2</v>
      </c>
    </row>
    <row r="22" spans="1:3" x14ac:dyDescent="0.3">
      <c r="A22" s="8" t="s">
        <v>32</v>
      </c>
      <c r="B22" s="8" t="s">
        <v>12</v>
      </c>
      <c r="C22" t="s">
        <v>2</v>
      </c>
    </row>
    <row r="23" spans="1:3" x14ac:dyDescent="0.3">
      <c r="A23" s="8" t="s">
        <v>33</v>
      </c>
      <c r="B23" s="8" t="s">
        <v>12</v>
      </c>
      <c r="C23" t="s">
        <v>2</v>
      </c>
    </row>
    <row r="24" spans="1:3" x14ac:dyDescent="0.3">
      <c r="A24" s="8" t="s">
        <v>34</v>
      </c>
      <c r="B24" s="8" t="s">
        <v>12</v>
      </c>
      <c r="C24" t="s">
        <v>2</v>
      </c>
    </row>
    <row r="25" spans="1:3" x14ac:dyDescent="0.3">
      <c r="A25" s="8" t="s">
        <v>35</v>
      </c>
      <c r="B25" s="8" t="s">
        <v>12</v>
      </c>
      <c r="C25" t="s">
        <v>2</v>
      </c>
    </row>
    <row r="26" spans="1:3" x14ac:dyDescent="0.3">
      <c r="A26" s="8" t="s">
        <v>36</v>
      </c>
      <c r="B26" s="8" t="s">
        <v>12</v>
      </c>
      <c r="C26" t="s">
        <v>2</v>
      </c>
    </row>
    <row r="27" spans="1:3" x14ac:dyDescent="0.3">
      <c r="A27" s="8" t="s">
        <v>37</v>
      </c>
      <c r="B27" s="8" t="s">
        <v>12</v>
      </c>
      <c r="C27" t="s">
        <v>2</v>
      </c>
    </row>
    <row r="28" spans="1:3" x14ac:dyDescent="0.3">
      <c r="A28" s="8" t="s">
        <v>38</v>
      </c>
      <c r="B28" s="8" t="s">
        <v>12</v>
      </c>
      <c r="C28" t="s">
        <v>2</v>
      </c>
    </row>
    <row r="29" spans="1:3" x14ac:dyDescent="0.3">
      <c r="A29" s="8" t="s">
        <v>39</v>
      </c>
      <c r="B29" s="8" t="s">
        <v>12</v>
      </c>
      <c r="C29" t="s">
        <v>2</v>
      </c>
    </row>
    <row r="30" spans="1:3" x14ac:dyDescent="0.3">
      <c r="A30" s="8" t="s">
        <v>40</v>
      </c>
      <c r="B30" s="8" t="s">
        <v>12</v>
      </c>
      <c r="C30" t="s">
        <v>2</v>
      </c>
    </row>
    <row r="31" spans="1:3" x14ac:dyDescent="0.3">
      <c r="A31" s="8" t="s">
        <v>41</v>
      </c>
      <c r="B31" s="8" t="s">
        <v>12</v>
      </c>
      <c r="C31" t="s">
        <v>2</v>
      </c>
    </row>
    <row r="32" spans="1:3" x14ac:dyDescent="0.3">
      <c r="A32" s="8" t="s">
        <v>42</v>
      </c>
      <c r="B32" s="8" t="s">
        <v>12</v>
      </c>
      <c r="C32" t="s">
        <v>2</v>
      </c>
    </row>
    <row r="33" spans="1:3" x14ac:dyDescent="0.3">
      <c r="A33" s="8" t="s">
        <v>43</v>
      </c>
      <c r="B33" s="8" t="s">
        <v>12</v>
      </c>
      <c r="C33" t="s">
        <v>2</v>
      </c>
    </row>
    <row r="34" spans="1:3" x14ac:dyDescent="0.3">
      <c r="A34" s="8" t="s">
        <v>44</v>
      </c>
      <c r="B34" s="8" t="s">
        <v>12</v>
      </c>
      <c r="C34" t="s">
        <v>2</v>
      </c>
    </row>
    <row r="35" spans="1:3" x14ac:dyDescent="0.3">
      <c r="A35" s="8" t="s">
        <v>45</v>
      </c>
      <c r="B35" s="8" t="s">
        <v>12</v>
      </c>
      <c r="C35" t="s">
        <v>2</v>
      </c>
    </row>
    <row r="36" spans="1:3" x14ac:dyDescent="0.3">
      <c r="A36" s="8" t="s">
        <v>46</v>
      </c>
      <c r="B36" s="8" t="s">
        <v>12</v>
      </c>
      <c r="C36" t="s">
        <v>2</v>
      </c>
    </row>
    <row r="37" spans="1:3" x14ac:dyDescent="0.3">
      <c r="A37" s="8" t="s">
        <v>47</v>
      </c>
      <c r="B37" s="8" t="s">
        <v>12</v>
      </c>
      <c r="C37" t="s">
        <v>2</v>
      </c>
    </row>
    <row r="38" spans="1:3" x14ac:dyDescent="0.3">
      <c r="A38" s="8" t="s">
        <v>48</v>
      </c>
      <c r="B38" s="8" t="s">
        <v>12</v>
      </c>
      <c r="C38" t="s">
        <v>2</v>
      </c>
    </row>
    <row r="39" spans="1:3" x14ac:dyDescent="0.3">
      <c r="A39" s="8" t="s">
        <v>49</v>
      </c>
      <c r="B39" s="8" t="s">
        <v>12</v>
      </c>
      <c r="C39" t="s">
        <v>2</v>
      </c>
    </row>
    <row r="40" spans="1:3" x14ac:dyDescent="0.3">
      <c r="A40" s="8" t="s">
        <v>50</v>
      </c>
      <c r="B40" s="8" t="s">
        <v>12</v>
      </c>
      <c r="C40" t="s">
        <v>2</v>
      </c>
    </row>
    <row r="41" spans="1:3" x14ac:dyDescent="0.3">
      <c r="A41" s="8" t="s">
        <v>51</v>
      </c>
      <c r="B41" s="8" t="s">
        <v>12</v>
      </c>
      <c r="C41" t="s">
        <v>2</v>
      </c>
    </row>
    <row r="42" spans="1:3" x14ac:dyDescent="0.3">
      <c r="A42" s="8" t="s">
        <v>52</v>
      </c>
      <c r="B42" s="8" t="s">
        <v>12</v>
      </c>
      <c r="C42" t="s">
        <v>2</v>
      </c>
    </row>
    <row r="43" spans="1:3" x14ac:dyDescent="0.3">
      <c r="A43" s="8" t="s">
        <v>53</v>
      </c>
      <c r="B43" s="8" t="s">
        <v>12</v>
      </c>
      <c r="C43" t="s">
        <v>2</v>
      </c>
    </row>
    <row r="44" spans="1:3" x14ac:dyDescent="0.3">
      <c r="A44" s="8" t="s">
        <v>54</v>
      </c>
      <c r="B44" s="8" t="s">
        <v>12</v>
      </c>
      <c r="C44" t="s">
        <v>2</v>
      </c>
    </row>
    <row r="45" spans="1:3" x14ac:dyDescent="0.3">
      <c r="A45" s="8" t="s">
        <v>55</v>
      </c>
      <c r="B45" s="8" t="s">
        <v>12</v>
      </c>
      <c r="C45" t="s">
        <v>2</v>
      </c>
    </row>
    <row r="46" spans="1:3" x14ac:dyDescent="0.3">
      <c r="A46" s="8" t="s">
        <v>56</v>
      </c>
      <c r="B46" s="8" t="s">
        <v>12</v>
      </c>
      <c r="C46" t="s">
        <v>2</v>
      </c>
    </row>
    <row r="47" spans="1:3" x14ac:dyDescent="0.3">
      <c r="A47" s="8" t="s">
        <v>57</v>
      </c>
      <c r="B47" s="8" t="s">
        <v>12</v>
      </c>
      <c r="C47" t="s">
        <v>2</v>
      </c>
    </row>
    <row r="48" spans="1:3" x14ac:dyDescent="0.3">
      <c r="A48" s="8" t="s">
        <v>58</v>
      </c>
      <c r="B48" s="8" t="s">
        <v>12</v>
      </c>
      <c r="C48" t="s">
        <v>2</v>
      </c>
    </row>
    <row r="49" spans="1:3" x14ac:dyDescent="0.3">
      <c r="A49" s="8" t="s">
        <v>59</v>
      </c>
      <c r="B49" s="8" t="s">
        <v>12</v>
      </c>
      <c r="C49" t="s">
        <v>2</v>
      </c>
    </row>
    <row r="50" spans="1:3" x14ac:dyDescent="0.3">
      <c r="A50" s="8" t="s">
        <v>60</v>
      </c>
      <c r="B50" s="8" t="s">
        <v>12</v>
      </c>
      <c r="C50" t="s">
        <v>2</v>
      </c>
    </row>
    <row r="51" spans="1:3" x14ac:dyDescent="0.3">
      <c r="A51" s="8" t="s">
        <v>61</v>
      </c>
      <c r="B51" s="8" t="s">
        <v>12</v>
      </c>
      <c r="C51" t="s">
        <v>2</v>
      </c>
    </row>
    <row r="52" spans="1:3" x14ac:dyDescent="0.3">
      <c r="A52" s="8" t="s">
        <v>62</v>
      </c>
      <c r="B52" s="8" t="s">
        <v>12</v>
      </c>
      <c r="C52" t="s">
        <v>2</v>
      </c>
    </row>
    <row r="53" spans="1:3" x14ac:dyDescent="0.3">
      <c r="A53" s="8" t="s">
        <v>63</v>
      </c>
      <c r="B53" s="8" t="s">
        <v>12</v>
      </c>
      <c r="C53" t="s">
        <v>2</v>
      </c>
    </row>
    <row r="54" spans="1:3" x14ac:dyDescent="0.3">
      <c r="A54" s="8" t="s">
        <v>64</v>
      </c>
      <c r="B54" s="8" t="s">
        <v>12</v>
      </c>
      <c r="C54" t="s">
        <v>2</v>
      </c>
    </row>
    <row r="55" spans="1:3" x14ac:dyDescent="0.3">
      <c r="A55" s="8" t="s">
        <v>65</v>
      </c>
      <c r="B55" s="8" t="s">
        <v>12</v>
      </c>
      <c r="C55" t="s">
        <v>2</v>
      </c>
    </row>
    <row r="56" spans="1:3" x14ac:dyDescent="0.3">
      <c r="A56" s="8" t="s">
        <v>66</v>
      </c>
      <c r="B56" s="8" t="s">
        <v>12</v>
      </c>
      <c r="C56" t="s">
        <v>2</v>
      </c>
    </row>
    <row r="57" spans="1:3" x14ac:dyDescent="0.3">
      <c r="A57" s="8" t="s">
        <v>67</v>
      </c>
      <c r="B57" s="8" t="s">
        <v>12</v>
      </c>
      <c r="C57" t="s">
        <v>2</v>
      </c>
    </row>
    <row r="58" spans="1:3" x14ac:dyDescent="0.3">
      <c r="A58" s="8" t="s">
        <v>68</v>
      </c>
      <c r="B58" s="8" t="s">
        <v>12</v>
      </c>
      <c r="C58" t="s">
        <v>3</v>
      </c>
    </row>
    <row r="59" spans="1:3" x14ac:dyDescent="0.3">
      <c r="A59" s="8" t="s">
        <v>69</v>
      </c>
      <c r="B59" s="8" t="s">
        <v>12</v>
      </c>
      <c r="C59" t="s">
        <v>3</v>
      </c>
    </row>
    <row r="60" spans="1:3" x14ac:dyDescent="0.3">
      <c r="A60" s="8" t="s">
        <v>70</v>
      </c>
      <c r="B60" s="8" t="s">
        <v>12</v>
      </c>
      <c r="C60" t="s">
        <v>3</v>
      </c>
    </row>
    <row r="61" spans="1:3" x14ac:dyDescent="0.3">
      <c r="A61" s="8" t="s">
        <v>71</v>
      </c>
      <c r="B61" s="8" t="s">
        <v>12</v>
      </c>
      <c r="C61" t="s">
        <v>3</v>
      </c>
    </row>
    <row r="62" spans="1:3" x14ac:dyDescent="0.3">
      <c r="A62" s="8" t="s">
        <v>72</v>
      </c>
      <c r="B62" s="8" t="s">
        <v>12</v>
      </c>
      <c r="C62" t="s">
        <v>3</v>
      </c>
    </row>
    <row r="63" spans="1:3" x14ac:dyDescent="0.3">
      <c r="A63" s="8" t="s">
        <v>73</v>
      </c>
      <c r="B63" s="8" t="s">
        <v>12</v>
      </c>
      <c r="C63" t="s">
        <v>3</v>
      </c>
    </row>
    <row r="64" spans="1:3" x14ac:dyDescent="0.3">
      <c r="A64" s="8" t="s">
        <v>74</v>
      </c>
      <c r="B64" s="8" t="s">
        <v>12</v>
      </c>
      <c r="C64" t="s">
        <v>3</v>
      </c>
    </row>
    <row r="65" spans="1:3" x14ac:dyDescent="0.3">
      <c r="A65" s="8" t="s">
        <v>75</v>
      </c>
      <c r="B65" s="8" t="s">
        <v>12</v>
      </c>
      <c r="C65" t="s">
        <v>2</v>
      </c>
    </row>
    <row r="66" spans="1:3" x14ac:dyDescent="0.3">
      <c r="A66" s="8" t="s">
        <v>76</v>
      </c>
      <c r="B66" s="8" t="s">
        <v>12</v>
      </c>
      <c r="C66" t="s">
        <v>2</v>
      </c>
    </row>
    <row r="67" spans="1:3" x14ac:dyDescent="0.3">
      <c r="A67" s="8" t="s">
        <v>77</v>
      </c>
      <c r="B67" s="8" t="s">
        <v>12</v>
      </c>
      <c r="C67" t="s">
        <v>2</v>
      </c>
    </row>
    <row r="68" spans="1:3" x14ac:dyDescent="0.3">
      <c r="A68" s="8" t="s">
        <v>78</v>
      </c>
      <c r="B68" s="8" t="s">
        <v>12</v>
      </c>
      <c r="C68" t="s">
        <v>2</v>
      </c>
    </row>
    <row r="69" spans="1:3" x14ac:dyDescent="0.3">
      <c r="A69" s="8" t="s">
        <v>79</v>
      </c>
      <c r="B69" s="8" t="s">
        <v>12</v>
      </c>
      <c r="C69" t="s">
        <v>3678</v>
      </c>
    </row>
    <row r="70" spans="1:3" x14ac:dyDescent="0.3">
      <c r="A70" s="8" t="s">
        <v>80</v>
      </c>
      <c r="B70" s="8" t="s">
        <v>12</v>
      </c>
      <c r="C70" t="s">
        <v>3678</v>
      </c>
    </row>
    <row r="71" spans="1:3" x14ac:dyDescent="0.3">
      <c r="A71" s="8" t="s">
        <v>81</v>
      </c>
      <c r="B71" s="8" t="s">
        <v>12</v>
      </c>
      <c r="C71" t="s">
        <v>3678</v>
      </c>
    </row>
    <row r="72" spans="1:3" x14ac:dyDescent="0.3">
      <c r="A72" s="8" t="s">
        <v>82</v>
      </c>
      <c r="B72" s="8" t="s">
        <v>12</v>
      </c>
      <c r="C72" t="s">
        <v>3678</v>
      </c>
    </row>
    <row r="73" spans="1:3" x14ac:dyDescent="0.3">
      <c r="A73" s="8" t="s">
        <v>83</v>
      </c>
      <c r="B73" s="8" t="s">
        <v>12</v>
      </c>
      <c r="C73" t="s">
        <v>3678</v>
      </c>
    </row>
    <row r="74" spans="1:3" x14ac:dyDescent="0.3">
      <c r="A74" s="8" t="s">
        <v>84</v>
      </c>
      <c r="B74" s="8" t="s">
        <v>12</v>
      </c>
      <c r="C74" t="s">
        <v>3678</v>
      </c>
    </row>
    <row r="75" spans="1:3" x14ac:dyDescent="0.3">
      <c r="A75" s="8" t="s">
        <v>85</v>
      </c>
      <c r="B75" s="8" t="s">
        <v>12</v>
      </c>
      <c r="C75" t="s">
        <v>3678</v>
      </c>
    </row>
    <row r="76" spans="1:3" x14ac:dyDescent="0.3">
      <c r="A76" s="8" t="s">
        <v>86</v>
      </c>
      <c r="B76" s="8" t="s">
        <v>12</v>
      </c>
      <c r="C76" t="s">
        <v>3678</v>
      </c>
    </row>
    <row r="77" spans="1:3" x14ac:dyDescent="0.3">
      <c r="A77" s="8" t="s">
        <v>87</v>
      </c>
      <c r="B77" s="8" t="s">
        <v>12</v>
      </c>
      <c r="C77" t="s">
        <v>2</v>
      </c>
    </row>
    <row r="78" spans="1:3" x14ac:dyDescent="0.3">
      <c r="A78" s="8" t="s">
        <v>88</v>
      </c>
      <c r="B78" s="8" t="s">
        <v>12</v>
      </c>
      <c r="C78" t="s">
        <v>2</v>
      </c>
    </row>
    <row r="79" spans="1:3" x14ac:dyDescent="0.3">
      <c r="A79" s="8" t="s">
        <v>89</v>
      </c>
      <c r="B79" s="8" t="s">
        <v>12</v>
      </c>
      <c r="C79" t="s">
        <v>2</v>
      </c>
    </row>
    <row r="80" spans="1:3" x14ac:dyDescent="0.3">
      <c r="A80" s="8" t="s">
        <v>90</v>
      </c>
      <c r="B80" s="8" t="s">
        <v>12</v>
      </c>
      <c r="C80" t="s">
        <v>2</v>
      </c>
    </row>
    <row r="81" spans="1:3" x14ac:dyDescent="0.3">
      <c r="A81" s="8" t="s">
        <v>91</v>
      </c>
      <c r="B81" s="8" t="s">
        <v>12</v>
      </c>
      <c r="C81" t="s">
        <v>2</v>
      </c>
    </row>
    <row r="82" spans="1:3" x14ac:dyDescent="0.3">
      <c r="A82" s="8" t="s">
        <v>92</v>
      </c>
      <c r="B82" s="8" t="s">
        <v>12</v>
      </c>
      <c r="C82" t="s">
        <v>2</v>
      </c>
    </row>
    <row r="83" spans="1:3" x14ac:dyDescent="0.3">
      <c r="A83" s="8" t="s">
        <v>93</v>
      </c>
      <c r="B83" s="8" t="s">
        <v>12</v>
      </c>
      <c r="C83" t="s">
        <v>2</v>
      </c>
    </row>
    <row r="84" spans="1:3" x14ac:dyDescent="0.3">
      <c r="A84" s="8" t="s">
        <v>94</v>
      </c>
      <c r="B84" s="8" t="s">
        <v>12</v>
      </c>
      <c r="C84" t="s">
        <v>2</v>
      </c>
    </row>
    <row r="85" spans="1:3" x14ac:dyDescent="0.3">
      <c r="A85" s="8" t="s">
        <v>95</v>
      </c>
      <c r="B85" s="8" t="s">
        <v>12</v>
      </c>
      <c r="C85" t="s">
        <v>2</v>
      </c>
    </row>
    <row r="86" spans="1:3" x14ac:dyDescent="0.3">
      <c r="A86" s="8" t="s">
        <v>96</v>
      </c>
      <c r="B86" s="8" t="s">
        <v>12</v>
      </c>
      <c r="C86" t="s">
        <v>2</v>
      </c>
    </row>
    <row r="87" spans="1:3" x14ac:dyDescent="0.3">
      <c r="A87" s="8" t="s">
        <v>97</v>
      </c>
      <c r="B87" s="8" t="s">
        <v>12</v>
      </c>
      <c r="C87" t="s">
        <v>2</v>
      </c>
    </row>
    <row r="88" spans="1:3" x14ac:dyDescent="0.3">
      <c r="A88" s="8" t="s">
        <v>98</v>
      </c>
      <c r="B88" s="8" t="s">
        <v>12</v>
      </c>
      <c r="C88" t="s">
        <v>2</v>
      </c>
    </row>
    <row r="89" spans="1:3" x14ac:dyDescent="0.3">
      <c r="A89" s="8" t="s">
        <v>99</v>
      </c>
      <c r="B89" s="8" t="s">
        <v>12</v>
      </c>
      <c r="C89" t="s">
        <v>2</v>
      </c>
    </row>
    <row r="90" spans="1:3" x14ac:dyDescent="0.3">
      <c r="A90" s="8" t="s">
        <v>100</v>
      </c>
      <c r="B90" s="8" t="s">
        <v>12</v>
      </c>
      <c r="C90" t="s">
        <v>2</v>
      </c>
    </row>
    <row r="91" spans="1:3" x14ac:dyDescent="0.3">
      <c r="A91" s="8" t="s">
        <v>101</v>
      </c>
      <c r="B91" s="8" t="s">
        <v>12</v>
      </c>
      <c r="C91" t="s">
        <v>2</v>
      </c>
    </row>
    <row r="92" spans="1:3" x14ac:dyDescent="0.3">
      <c r="A92" s="8" t="s">
        <v>102</v>
      </c>
      <c r="B92" s="8" t="s">
        <v>12</v>
      </c>
      <c r="C92" t="s">
        <v>2</v>
      </c>
    </row>
    <row r="93" spans="1:3" x14ac:dyDescent="0.3">
      <c r="A93" s="8" t="s">
        <v>103</v>
      </c>
      <c r="B93" s="8" t="s">
        <v>12</v>
      </c>
      <c r="C93" t="s">
        <v>2</v>
      </c>
    </row>
    <row r="94" spans="1:3" x14ac:dyDescent="0.3">
      <c r="A94" s="8" t="s">
        <v>104</v>
      </c>
      <c r="B94" s="8" t="s">
        <v>12</v>
      </c>
      <c r="C94" t="s">
        <v>2</v>
      </c>
    </row>
    <row r="95" spans="1:3" x14ac:dyDescent="0.3">
      <c r="A95" s="8" t="s">
        <v>105</v>
      </c>
      <c r="B95" s="8" t="s">
        <v>12</v>
      </c>
      <c r="C95" t="s">
        <v>2</v>
      </c>
    </row>
    <row r="96" spans="1:3" x14ac:dyDescent="0.3">
      <c r="A96" s="8" t="s">
        <v>106</v>
      </c>
      <c r="B96" s="8" t="s">
        <v>12</v>
      </c>
      <c r="C96" t="s">
        <v>2</v>
      </c>
    </row>
    <row r="97" spans="1:3" x14ac:dyDescent="0.3">
      <c r="A97" s="8" t="s">
        <v>107</v>
      </c>
      <c r="B97" s="8" t="s">
        <v>12</v>
      </c>
      <c r="C97" t="s">
        <v>2</v>
      </c>
    </row>
    <row r="98" spans="1:3" x14ac:dyDescent="0.3">
      <c r="A98" s="8" t="s">
        <v>108</v>
      </c>
      <c r="B98" s="8" t="s">
        <v>12</v>
      </c>
      <c r="C98" t="s">
        <v>2</v>
      </c>
    </row>
    <row r="99" spans="1:3" x14ac:dyDescent="0.3">
      <c r="A99" s="8" t="s">
        <v>109</v>
      </c>
      <c r="B99" s="8" t="s">
        <v>12</v>
      </c>
      <c r="C99" t="s">
        <v>2</v>
      </c>
    </row>
    <row r="100" spans="1:3" x14ac:dyDescent="0.3">
      <c r="A100" s="8" t="s">
        <v>110</v>
      </c>
      <c r="B100" s="8" t="s">
        <v>12</v>
      </c>
      <c r="C100" t="s">
        <v>2</v>
      </c>
    </row>
    <row r="101" spans="1:3" x14ac:dyDescent="0.3">
      <c r="A101" s="8" t="s">
        <v>111</v>
      </c>
      <c r="B101" s="8" t="s">
        <v>12</v>
      </c>
      <c r="C101" t="s">
        <v>2</v>
      </c>
    </row>
    <row r="102" spans="1:3" x14ac:dyDescent="0.3">
      <c r="A102" s="8" t="s">
        <v>112</v>
      </c>
      <c r="B102" s="8" t="s">
        <v>12</v>
      </c>
      <c r="C102" t="s">
        <v>2</v>
      </c>
    </row>
    <row r="103" spans="1:3" x14ac:dyDescent="0.3">
      <c r="A103" s="8" t="s">
        <v>113</v>
      </c>
      <c r="B103" s="8" t="s">
        <v>12</v>
      </c>
      <c r="C103" t="s">
        <v>2</v>
      </c>
    </row>
    <row r="104" spans="1:3" x14ac:dyDescent="0.3">
      <c r="A104" s="8" t="s">
        <v>114</v>
      </c>
      <c r="B104" s="8" t="s">
        <v>12</v>
      </c>
      <c r="C104" t="s">
        <v>2</v>
      </c>
    </row>
    <row r="105" spans="1:3" x14ac:dyDescent="0.3">
      <c r="A105" s="8" t="s">
        <v>115</v>
      </c>
      <c r="B105" s="8" t="s">
        <v>12</v>
      </c>
      <c r="C105" t="s">
        <v>2</v>
      </c>
    </row>
    <row r="106" spans="1:3" x14ac:dyDescent="0.3">
      <c r="A106" s="8" t="s">
        <v>116</v>
      </c>
      <c r="B106" s="8" t="s">
        <v>12</v>
      </c>
      <c r="C106" t="s">
        <v>2</v>
      </c>
    </row>
    <row r="107" spans="1:3" x14ac:dyDescent="0.3">
      <c r="A107" s="8" t="s">
        <v>117</v>
      </c>
      <c r="B107" s="8" t="s">
        <v>12</v>
      </c>
      <c r="C107" t="s">
        <v>2</v>
      </c>
    </row>
    <row r="108" spans="1:3" x14ac:dyDescent="0.3">
      <c r="A108" s="8" t="s">
        <v>118</v>
      </c>
      <c r="B108" s="8" t="s">
        <v>12</v>
      </c>
      <c r="C108" t="s">
        <v>2</v>
      </c>
    </row>
    <row r="109" spans="1:3" x14ac:dyDescent="0.3">
      <c r="A109" s="8" t="s">
        <v>119</v>
      </c>
      <c r="B109" s="8" t="s">
        <v>12</v>
      </c>
      <c r="C109" t="s">
        <v>2</v>
      </c>
    </row>
    <row r="110" spans="1:3" x14ac:dyDescent="0.3">
      <c r="A110" s="8" t="s">
        <v>120</v>
      </c>
      <c r="B110" s="8" t="s">
        <v>12</v>
      </c>
      <c r="C110" t="s">
        <v>2</v>
      </c>
    </row>
    <row r="111" spans="1:3" x14ac:dyDescent="0.3">
      <c r="A111" s="8" t="s">
        <v>121</v>
      </c>
      <c r="B111" s="8" t="s">
        <v>12</v>
      </c>
      <c r="C111" t="s">
        <v>2</v>
      </c>
    </row>
    <row r="112" spans="1:3" x14ac:dyDescent="0.3">
      <c r="A112" s="8" t="s">
        <v>122</v>
      </c>
      <c r="B112" s="8" t="s">
        <v>12</v>
      </c>
      <c r="C112" t="s">
        <v>2</v>
      </c>
    </row>
    <row r="113" spans="1:3" x14ac:dyDescent="0.3">
      <c r="A113" s="8" t="s">
        <v>123</v>
      </c>
      <c r="B113" s="8" t="s">
        <v>12</v>
      </c>
      <c r="C113" t="s">
        <v>2</v>
      </c>
    </row>
    <row r="114" spans="1:3" x14ac:dyDescent="0.3">
      <c r="A114" s="8" t="s">
        <v>124</v>
      </c>
      <c r="B114" s="8" t="s">
        <v>12</v>
      </c>
      <c r="C114" t="s">
        <v>2</v>
      </c>
    </row>
    <row r="115" spans="1:3" x14ac:dyDescent="0.3">
      <c r="A115" s="8" t="s">
        <v>125</v>
      </c>
      <c r="B115" s="8" t="s">
        <v>12</v>
      </c>
      <c r="C115" t="s">
        <v>2</v>
      </c>
    </row>
    <row r="116" spans="1:3" x14ac:dyDescent="0.3">
      <c r="A116" s="8" t="s">
        <v>126</v>
      </c>
      <c r="B116" s="8" t="s">
        <v>12</v>
      </c>
      <c r="C116" t="s">
        <v>2</v>
      </c>
    </row>
    <row r="117" spans="1:3" x14ac:dyDescent="0.3">
      <c r="A117" s="8" t="s">
        <v>127</v>
      </c>
      <c r="B117" s="8" t="s">
        <v>12</v>
      </c>
      <c r="C117" t="s">
        <v>2</v>
      </c>
    </row>
    <row r="118" spans="1:3" x14ac:dyDescent="0.3">
      <c r="A118" s="8" t="s">
        <v>128</v>
      </c>
      <c r="B118" s="8" t="s">
        <v>12</v>
      </c>
      <c r="C118" t="s">
        <v>2</v>
      </c>
    </row>
    <row r="119" spans="1:3" x14ac:dyDescent="0.3">
      <c r="A119" s="8" t="s">
        <v>129</v>
      </c>
      <c r="B119" s="8" t="s">
        <v>12</v>
      </c>
      <c r="C119" t="s">
        <v>2</v>
      </c>
    </row>
    <row r="120" spans="1:3" x14ac:dyDescent="0.3">
      <c r="A120" s="8" t="s">
        <v>130</v>
      </c>
      <c r="B120" s="8" t="s">
        <v>12</v>
      </c>
      <c r="C120" t="s">
        <v>2</v>
      </c>
    </row>
    <row r="121" spans="1:3" x14ac:dyDescent="0.3">
      <c r="A121" s="8" t="s">
        <v>131</v>
      </c>
      <c r="B121" s="8" t="s">
        <v>12</v>
      </c>
      <c r="C121" t="s">
        <v>2</v>
      </c>
    </row>
    <row r="122" spans="1:3" x14ac:dyDescent="0.3">
      <c r="A122" s="8" t="s">
        <v>132</v>
      </c>
      <c r="B122" s="8" t="s">
        <v>12</v>
      </c>
      <c r="C122" t="s">
        <v>2</v>
      </c>
    </row>
    <row r="123" spans="1:3" x14ac:dyDescent="0.3">
      <c r="A123" s="8" t="s">
        <v>133</v>
      </c>
      <c r="B123" s="8" t="s">
        <v>12</v>
      </c>
      <c r="C123" t="s">
        <v>2</v>
      </c>
    </row>
    <row r="124" spans="1:3" x14ac:dyDescent="0.3">
      <c r="A124" s="8" t="s">
        <v>134</v>
      </c>
      <c r="B124" s="8" t="s">
        <v>12</v>
      </c>
      <c r="C124" t="s">
        <v>2</v>
      </c>
    </row>
    <row r="125" spans="1:3" x14ac:dyDescent="0.3">
      <c r="A125" s="8" t="s">
        <v>135</v>
      </c>
      <c r="B125" s="8" t="s">
        <v>12</v>
      </c>
      <c r="C125" t="s">
        <v>2</v>
      </c>
    </row>
    <row r="126" spans="1:3" x14ac:dyDescent="0.3">
      <c r="A126" s="8" t="s">
        <v>136</v>
      </c>
      <c r="B126" s="8" t="s">
        <v>12</v>
      </c>
      <c r="C126" t="s">
        <v>2</v>
      </c>
    </row>
    <row r="127" spans="1:3" x14ac:dyDescent="0.3">
      <c r="A127" s="8" t="s">
        <v>137</v>
      </c>
      <c r="B127" s="8" t="s">
        <v>12</v>
      </c>
      <c r="C127" t="s">
        <v>2</v>
      </c>
    </row>
    <row r="128" spans="1:3" x14ac:dyDescent="0.3">
      <c r="A128" s="8" t="s">
        <v>138</v>
      </c>
      <c r="B128" s="8" t="s">
        <v>12</v>
      </c>
      <c r="C128" t="s">
        <v>3</v>
      </c>
    </row>
    <row r="129" spans="1:3" x14ac:dyDescent="0.3">
      <c r="A129" s="8" t="s">
        <v>139</v>
      </c>
      <c r="B129" s="8" t="s">
        <v>12</v>
      </c>
      <c r="C129" t="s">
        <v>3</v>
      </c>
    </row>
    <row r="130" spans="1:3" x14ac:dyDescent="0.3">
      <c r="A130" s="8" t="s">
        <v>140</v>
      </c>
      <c r="B130" s="8" t="s">
        <v>12</v>
      </c>
      <c r="C130" t="s">
        <v>3</v>
      </c>
    </row>
    <row r="131" spans="1:3" x14ac:dyDescent="0.3">
      <c r="A131" s="8" t="s">
        <v>141</v>
      </c>
      <c r="B131" s="8" t="s">
        <v>12</v>
      </c>
      <c r="C131" t="s">
        <v>3</v>
      </c>
    </row>
    <row r="132" spans="1:3" x14ac:dyDescent="0.3">
      <c r="A132" s="8" t="s">
        <v>142</v>
      </c>
      <c r="B132" s="8" t="s">
        <v>12</v>
      </c>
      <c r="C132" t="s">
        <v>3</v>
      </c>
    </row>
    <row r="133" spans="1:3" x14ac:dyDescent="0.3">
      <c r="A133" s="8" t="s">
        <v>143</v>
      </c>
      <c r="B133" s="8" t="s">
        <v>12</v>
      </c>
      <c r="C133" t="s">
        <v>3</v>
      </c>
    </row>
    <row r="134" spans="1:3" x14ac:dyDescent="0.3">
      <c r="A134" s="8" t="s">
        <v>144</v>
      </c>
      <c r="B134" s="8" t="s">
        <v>12</v>
      </c>
      <c r="C134" t="s">
        <v>3</v>
      </c>
    </row>
    <row r="135" spans="1:3" x14ac:dyDescent="0.3">
      <c r="A135" s="8" t="s">
        <v>145</v>
      </c>
      <c r="B135" s="8" t="s">
        <v>12</v>
      </c>
      <c r="C135" t="s">
        <v>3</v>
      </c>
    </row>
    <row r="136" spans="1:3" x14ac:dyDescent="0.3">
      <c r="A136" s="8" t="s">
        <v>146</v>
      </c>
      <c r="B136" s="8" t="s">
        <v>12</v>
      </c>
      <c r="C136" t="s">
        <v>3</v>
      </c>
    </row>
    <row r="137" spans="1:3" x14ac:dyDescent="0.3">
      <c r="A137" s="8" t="s">
        <v>147</v>
      </c>
      <c r="B137" s="8" t="s">
        <v>12</v>
      </c>
      <c r="C137" t="s">
        <v>2</v>
      </c>
    </row>
    <row r="138" spans="1:3" x14ac:dyDescent="0.3">
      <c r="A138" s="8" t="s">
        <v>148</v>
      </c>
      <c r="B138" s="8" t="s">
        <v>12</v>
      </c>
      <c r="C138" t="s">
        <v>2</v>
      </c>
    </row>
    <row r="139" spans="1:3" x14ac:dyDescent="0.3">
      <c r="A139" s="8" t="s">
        <v>149</v>
      </c>
      <c r="B139" s="8" t="s">
        <v>12</v>
      </c>
      <c r="C139" t="s">
        <v>2</v>
      </c>
    </row>
    <row r="140" spans="1:3" x14ac:dyDescent="0.3">
      <c r="A140" s="8" t="s">
        <v>150</v>
      </c>
      <c r="B140" s="8" t="s">
        <v>12</v>
      </c>
      <c r="C140" t="s">
        <v>2</v>
      </c>
    </row>
    <row r="141" spans="1:3" x14ac:dyDescent="0.3">
      <c r="A141" s="8" t="s">
        <v>151</v>
      </c>
      <c r="B141" s="8" t="s">
        <v>12</v>
      </c>
      <c r="C141" t="s">
        <v>2</v>
      </c>
    </row>
    <row r="142" spans="1:3" x14ac:dyDescent="0.3">
      <c r="A142" s="8" t="s">
        <v>152</v>
      </c>
      <c r="B142" s="8" t="s">
        <v>12</v>
      </c>
      <c r="C142" t="s">
        <v>2</v>
      </c>
    </row>
    <row r="143" spans="1:3" x14ac:dyDescent="0.3">
      <c r="A143" s="8" t="s">
        <v>153</v>
      </c>
      <c r="B143" s="8" t="s">
        <v>12</v>
      </c>
      <c r="C143" t="s">
        <v>2</v>
      </c>
    </row>
    <row r="144" spans="1:3" x14ac:dyDescent="0.3">
      <c r="A144" s="8" t="s">
        <v>154</v>
      </c>
      <c r="B144" s="8" t="s">
        <v>12</v>
      </c>
      <c r="C144" t="s">
        <v>2</v>
      </c>
    </row>
    <row r="145" spans="1:3" x14ac:dyDescent="0.3">
      <c r="A145" s="8" t="s">
        <v>155</v>
      </c>
      <c r="B145" s="8" t="s">
        <v>12</v>
      </c>
      <c r="C145" t="s">
        <v>2</v>
      </c>
    </row>
    <row r="146" spans="1:3" x14ac:dyDescent="0.3">
      <c r="A146" s="8" t="s">
        <v>156</v>
      </c>
      <c r="B146" s="8" t="s">
        <v>12</v>
      </c>
      <c r="C146" t="s">
        <v>2</v>
      </c>
    </row>
    <row r="147" spans="1:3" x14ac:dyDescent="0.3">
      <c r="A147" s="8" t="s">
        <v>157</v>
      </c>
      <c r="B147" s="8" t="s">
        <v>12</v>
      </c>
      <c r="C147" t="s">
        <v>2</v>
      </c>
    </row>
    <row r="148" spans="1:3" x14ac:dyDescent="0.3">
      <c r="A148" s="8" t="s">
        <v>158</v>
      </c>
      <c r="B148" s="8" t="s">
        <v>12</v>
      </c>
      <c r="C148" t="s">
        <v>3678</v>
      </c>
    </row>
    <row r="149" spans="1:3" x14ac:dyDescent="0.3">
      <c r="A149" s="8" t="s">
        <v>159</v>
      </c>
      <c r="B149" s="8" t="s">
        <v>12</v>
      </c>
      <c r="C149" t="s">
        <v>3678</v>
      </c>
    </row>
    <row r="150" spans="1:3" x14ac:dyDescent="0.3">
      <c r="A150" s="8" t="s">
        <v>160</v>
      </c>
      <c r="B150" s="8" t="s">
        <v>12</v>
      </c>
      <c r="C150" t="s">
        <v>3678</v>
      </c>
    </row>
    <row r="151" spans="1:3" x14ac:dyDescent="0.3">
      <c r="A151" s="8" t="s">
        <v>161</v>
      </c>
      <c r="B151" s="8" t="s">
        <v>12</v>
      </c>
      <c r="C151" t="s">
        <v>3678</v>
      </c>
    </row>
    <row r="152" spans="1:3" x14ac:dyDescent="0.3">
      <c r="A152" s="8" t="s">
        <v>162</v>
      </c>
      <c r="B152" s="8" t="s">
        <v>12</v>
      </c>
      <c r="C152" t="s">
        <v>3678</v>
      </c>
    </row>
    <row r="153" spans="1:3" x14ac:dyDescent="0.3">
      <c r="A153" s="8" t="s">
        <v>163</v>
      </c>
      <c r="B153" s="8" t="s">
        <v>12</v>
      </c>
      <c r="C153" t="s">
        <v>3678</v>
      </c>
    </row>
    <row r="154" spans="1:3" x14ac:dyDescent="0.3">
      <c r="A154" s="8" t="s">
        <v>164</v>
      </c>
      <c r="B154" s="8" t="s">
        <v>12</v>
      </c>
      <c r="C154" t="s">
        <v>2</v>
      </c>
    </row>
    <row r="155" spans="1:3" x14ac:dyDescent="0.3">
      <c r="A155" s="8" t="s">
        <v>165</v>
      </c>
      <c r="B155" s="8" t="s">
        <v>12</v>
      </c>
      <c r="C155" t="s">
        <v>2</v>
      </c>
    </row>
    <row r="156" spans="1:3" x14ac:dyDescent="0.3">
      <c r="A156" s="8" t="s">
        <v>166</v>
      </c>
      <c r="B156" s="8" t="s">
        <v>12</v>
      </c>
      <c r="C156" t="s">
        <v>2</v>
      </c>
    </row>
    <row r="157" spans="1:3" x14ac:dyDescent="0.3">
      <c r="A157" s="8" t="s">
        <v>167</v>
      </c>
      <c r="B157" s="8" t="s">
        <v>12</v>
      </c>
      <c r="C157" t="s">
        <v>2</v>
      </c>
    </row>
    <row r="158" spans="1:3" x14ac:dyDescent="0.3">
      <c r="A158" s="8" t="s">
        <v>168</v>
      </c>
      <c r="B158" s="8" t="s">
        <v>12</v>
      </c>
      <c r="C158" t="s">
        <v>2</v>
      </c>
    </row>
    <row r="159" spans="1:3" x14ac:dyDescent="0.3">
      <c r="A159" s="8" t="s">
        <v>169</v>
      </c>
      <c r="B159" s="8" t="s">
        <v>12</v>
      </c>
      <c r="C159" t="s">
        <v>2</v>
      </c>
    </row>
    <row r="160" spans="1:3" x14ac:dyDescent="0.3">
      <c r="A160" s="8" t="s">
        <v>170</v>
      </c>
      <c r="B160" s="8" t="s">
        <v>12</v>
      </c>
      <c r="C160" t="s">
        <v>2</v>
      </c>
    </row>
    <row r="161" spans="1:3" x14ac:dyDescent="0.3">
      <c r="A161" s="8" t="s">
        <v>171</v>
      </c>
      <c r="B161" s="8" t="s">
        <v>12</v>
      </c>
      <c r="C161" t="s">
        <v>2</v>
      </c>
    </row>
    <row r="162" spans="1:3" x14ac:dyDescent="0.3">
      <c r="A162" s="8" t="s">
        <v>172</v>
      </c>
      <c r="B162" s="8" t="s">
        <v>12</v>
      </c>
      <c r="C162" t="s">
        <v>2</v>
      </c>
    </row>
    <row r="163" spans="1:3" x14ac:dyDescent="0.3">
      <c r="A163" s="8" t="s">
        <v>173</v>
      </c>
      <c r="B163" s="8" t="s">
        <v>12</v>
      </c>
      <c r="C163" t="s">
        <v>2</v>
      </c>
    </row>
    <row r="164" spans="1:3" x14ac:dyDescent="0.3">
      <c r="A164" s="8" t="s">
        <v>174</v>
      </c>
      <c r="B164" s="8" t="s">
        <v>12</v>
      </c>
      <c r="C164" t="s">
        <v>2</v>
      </c>
    </row>
    <row r="165" spans="1:3" x14ac:dyDescent="0.3">
      <c r="A165" s="8" t="s">
        <v>175</v>
      </c>
      <c r="B165" s="8" t="s">
        <v>12</v>
      </c>
      <c r="C165" t="s">
        <v>2</v>
      </c>
    </row>
    <row r="166" spans="1:3" x14ac:dyDescent="0.3">
      <c r="A166" s="8" t="s">
        <v>176</v>
      </c>
      <c r="B166" s="8" t="s">
        <v>12</v>
      </c>
      <c r="C166" t="s">
        <v>2</v>
      </c>
    </row>
    <row r="167" spans="1:3" x14ac:dyDescent="0.3">
      <c r="A167" s="8" t="s">
        <v>177</v>
      </c>
      <c r="B167" s="8" t="s">
        <v>12</v>
      </c>
      <c r="C167" t="s">
        <v>3678</v>
      </c>
    </row>
    <row r="168" spans="1:3" x14ac:dyDescent="0.3">
      <c r="A168" s="8" t="s">
        <v>178</v>
      </c>
      <c r="B168" s="8" t="s">
        <v>12</v>
      </c>
      <c r="C168" t="s">
        <v>3678</v>
      </c>
    </row>
    <row r="169" spans="1:3" x14ac:dyDescent="0.3">
      <c r="A169" s="8" t="s">
        <v>179</v>
      </c>
      <c r="B169" s="8" t="s">
        <v>12</v>
      </c>
      <c r="C169" t="s">
        <v>3678</v>
      </c>
    </row>
    <row r="170" spans="1:3" x14ac:dyDescent="0.3">
      <c r="A170" s="8" t="s">
        <v>180</v>
      </c>
      <c r="B170" s="8" t="s">
        <v>12</v>
      </c>
      <c r="C170" t="s">
        <v>3678</v>
      </c>
    </row>
    <row r="171" spans="1:3" x14ac:dyDescent="0.3">
      <c r="A171" s="8" t="s">
        <v>181</v>
      </c>
      <c r="B171" s="8" t="s">
        <v>12</v>
      </c>
      <c r="C171" t="s">
        <v>3678</v>
      </c>
    </row>
    <row r="172" spans="1:3" x14ac:dyDescent="0.3">
      <c r="A172" s="8" t="s">
        <v>182</v>
      </c>
      <c r="B172" s="8" t="s">
        <v>12</v>
      </c>
      <c r="C172" t="s">
        <v>3678</v>
      </c>
    </row>
    <row r="173" spans="1:3" x14ac:dyDescent="0.3">
      <c r="A173" s="8" t="s">
        <v>183</v>
      </c>
      <c r="B173" s="8" t="s">
        <v>12</v>
      </c>
      <c r="C173" t="s">
        <v>3678</v>
      </c>
    </row>
    <row r="174" spans="1:3" x14ac:dyDescent="0.3">
      <c r="A174" s="8" t="s">
        <v>184</v>
      </c>
      <c r="B174" s="8" t="s">
        <v>12</v>
      </c>
      <c r="C174" t="s">
        <v>3678</v>
      </c>
    </row>
    <row r="175" spans="1:3" x14ac:dyDescent="0.3">
      <c r="A175" s="8" t="s">
        <v>185</v>
      </c>
      <c r="B175" s="8" t="s">
        <v>12</v>
      </c>
      <c r="C175" t="s">
        <v>3678</v>
      </c>
    </row>
    <row r="176" spans="1:3" x14ac:dyDescent="0.3">
      <c r="A176" s="8" t="s">
        <v>186</v>
      </c>
      <c r="B176" s="8" t="s">
        <v>12</v>
      </c>
      <c r="C176" t="s">
        <v>3678</v>
      </c>
    </row>
    <row r="177" spans="1:3" x14ac:dyDescent="0.3">
      <c r="A177" s="8" t="s">
        <v>187</v>
      </c>
      <c r="B177" s="8" t="s">
        <v>12</v>
      </c>
      <c r="C177" t="s">
        <v>3678</v>
      </c>
    </row>
    <row r="178" spans="1:3" x14ac:dyDescent="0.3">
      <c r="A178" s="8" t="s">
        <v>188</v>
      </c>
      <c r="B178" s="8" t="s">
        <v>12</v>
      </c>
      <c r="C178" t="s">
        <v>3678</v>
      </c>
    </row>
    <row r="179" spans="1:3" x14ac:dyDescent="0.3">
      <c r="A179" s="8" t="s">
        <v>189</v>
      </c>
      <c r="B179" s="8" t="s">
        <v>12</v>
      </c>
      <c r="C179" t="s">
        <v>3678</v>
      </c>
    </row>
    <row r="180" spans="1:3" x14ac:dyDescent="0.3">
      <c r="A180" s="8" t="s">
        <v>190</v>
      </c>
      <c r="B180" s="8" t="s">
        <v>12</v>
      </c>
      <c r="C180" t="s">
        <v>3678</v>
      </c>
    </row>
    <row r="181" spans="1:3" x14ac:dyDescent="0.3">
      <c r="A181" s="8" t="s">
        <v>191</v>
      </c>
      <c r="B181" s="8" t="s">
        <v>12</v>
      </c>
      <c r="C181" t="s">
        <v>2</v>
      </c>
    </row>
    <row r="182" spans="1:3" x14ac:dyDescent="0.3">
      <c r="A182" s="8" t="s">
        <v>192</v>
      </c>
      <c r="B182" s="8" t="s">
        <v>12</v>
      </c>
      <c r="C182" t="s">
        <v>2</v>
      </c>
    </row>
    <row r="183" spans="1:3" x14ac:dyDescent="0.3">
      <c r="A183" s="8" t="s">
        <v>193</v>
      </c>
      <c r="B183" s="8" t="s">
        <v>12</v>
      </c>
      <c r="C183" t="s">
        <v>2</v>
      </c>
    </row>
    <row r="184" spans="1:3" x14ac:dyDescent="0.3">
      <c r="A184" s="8" t="s">
        <v>194</v>
      </c>
      <c r="B184" s="8" t="s">
        <v>12</v>
      </c>
      <c r="C184" t="s">
        <v>2</v>
      </c>
    </row>
    <row r="185" spans="1:3" x14ac:dyDescent="0.3">
      <c r="A185" s="8" t="s">
        <v>195</v>
      </c>
      <c r="B185" s="8" t="s">
        <v>12</v>
      </c>
      <c r="C185" t="s">
        <v>2</v>
      </c>
    </row>
    <row r="186" spans="1:3" x14ac:dyDescent="0.3">
      <c r="A186" s="8" t="s">
        <v>196</v>
      </c>
      <c r="B186" s="8" t="s">
        <v>12</v>
      </c>
      <c r="C186" t="s">
        <v>2</v>
      </c>
    </row>
    <row r="187" spans="1:3" x14ac:dyDescent="0.3">
      <c r="A187" s="8" t="s">
        <v>197</v>
      </c>
      <c r="B187" s="8" t="s">
        <v>12</v>
      </c>
      <c r="C187" t="s">
        <v>2</v>
      </c>
    </row>
    <row r="188" spans="1:3" x14ac:dyDescent="0.3">
      <c r="A188" s="8" t="s">
        <v>198</v>
      </c>
      <c r="B188" s="8" t="s">
        <v>12</v>
      </c>
      <c r="C188" t="s">
        <v>2</v>
      </c>
    </row>
    <row r="189" spans="1:3" x14ac:dyDescent="0.3">
      <c r="A189" s="8" t="s">
        <v>199</v>
      </c>
      <c r="B189" s="8" t="s">
        <v>12</v>
      </c>
      <c r="C189" t="s">
        <v>2</v>
      </c>
    </row>
    <row r="190" spans="1:3" x14ac:dyDescent="0.3">
      <c r="A190" s="8" t="s">
        <v>200</v>
      </c>
      <c r="B190" s="8" t="s">
        <v>12</v>
      </c>
      <c r="C190" t="s">
        <v>2</v>
      </c>
    </row>
    <row r="191" spans="1:3" x14ac:dyDescent="0.3">
      <c r="A191" s="8" t="s">
        <v>201</v>
      </c>
      <c r="B191" s="8" t="s">
        <v>12</v>
      </c>
      <c r="C191" t="s">
        <v>2</v>
      </c>
    </row>
    <row r="192" spans="1:3" x14ac:dyDescent="0.3">
      <c r="A192" s="8" t="s">
        <v>202</v>
      </c>
      <c r="B192" s="8" t="s">
        <v>12</v>
      </c>
      <c r="C192" t="s">
        <v>2</v>
      </c>
    </row>
    <row r="193" spans="1:3" x14ac:dyDescent="0.3">
      <c r="A193" s="8" t="s">
        <v>203</v>
      </c>
      <c r="B193" s="8" t="s">
        <v>12</v>
      </c>
      <c r="C193" t="s">
        <v>2</v>
      </c>
    </row>
    <row r="194" spans="1:3" x14ac:dyDescent="0.3">
      <c r="A194" s="8" t="s">
        <v>204</v>
      </c>
      <c r="B194" s="8" t="s">
        <v>12</v>
      </c>
      <c r="C194" t="s">
        <v>2</v>
      </c>
    </row>
    <row r="195" spans="1:3" x14ac:dyDescent="0.3">
      <c r="A195" s="8" t="s">
        <v>205</v>
      </c>
      <c r="B195" s="8" t="s">
        <v>12</v>
      </c>
      <c r="C195" t="s">
        <v>2</v>
      </c>
    </row>
    <row r="196" spans="1:3" x14ac:dyDescent="0.3">
      <c r="A196" s="8" t="s">
        <v>206</v>
      </c>
      <c r="B196" s="8" t="s">
        <v>12</v>
      </c>
      <c r="C196" t="s">
        <v>2</v>
      </c>
    </row>
    <row r="197" spans="1:3" x14ac:dyDescent="0.3">
      <c r="A197" s="8" t="s">
        <v>207</v>
      </c>
      <c r="B197" s="8" t="s">
        <v>12</v>
      </c>
      <c r="C197" t="s">
        <v>2</v>
      </c>
    </row>
    <row r="198" spans="1:3" x14ac:dyDescent="0.3">
      <c r="A198" s="8" t="s">
        <v>208</v>
      </c>
      <c r="B198" s="8" t="s">
        <v>12</v>
      </c>
      <c r="C198" t="s">
        <v>2</v>
      </c>
    </row>
    <row r="199" spans="1:3" x14ac:dyDescent="0.3">
      <c r="A199" s="8" t="s">
        <v>209</v>
      </c>
      <c r="B199" s="8" t="s">
        <v>12</v>
      </c>
      <c r="C199" t="s">
        <v>2</v>
      </c>
    </row>
    <row r="200" spans="1:3" x14ac:dyDescent="0.3">
      <c r="A200" s="8" t="s">
        <v>210</v>
      </c>
      <c r="B200" s="8" t="s">
        <v>12</v>
      </c>
      <c r="C200" t="s">
        <v>2</v>
      </c>
    </row>
    <row r="201" spans="1:3" x14ac:dyDescent="0.3">
      <c r="A201" s="8" t="s">
        <v>211</v>
      </c>
      <c r="B201" s="8" t="s">
        <v>12</v>
      </c>
      <c r="C201" t="s">
        <v>2</v>
      </c>
    </row>
    <row r="202" spans="1:3" x14ac:dyDescent="0.3">
      <c r="A202" s="8" t="s">
        <v>212</v>
      </c>
      <c r="B202" s="8" t="s">
        <v>12</v>
      </c>
      <c r="C202" t="s">
        <v>2</v>
      </c>
    </row>
    <row r="203" spans="1:3" x14ac:dyDescent="0.3">
      <c r="A203" s="8" t="s">
        <v>213</v>
      </c>
      <c r="B203" s="8" t="s">
        <v>12</v>
      </c>
      <c r="C203" t="s">
        <v>2</v>
      </c>
    </row>
    <row r="204" spans="1:3" x14ac:dyDescent="0.3">
      <c r="A204" s="8" t="s">
        <v>214</v>
      </c>
      <c r="B204" s="8" t="s">
        <v>12</v>
      </c>
      <c r="C204" t="s">
        <v>2</v>
      </c>
    </row>
    <row r="205" spans="1:3" x14ac:dyDescent="0.3">
      <c r="A205" s="8" t="s">
        <v>215</v>
      </c>
      <c r="B205" s="8" t="s">
        <v>12</v>
      </c>
      <c r="C205" t="s">
        <v>2</v>
      </c>
    </row>
    <row r="206" spans="1:3" x14ac:dyDescent="0.3">
      <c r="A206" s="8" t="s">
        <v>216</v>
      </c>
      <c r="B206" s="8" t="s">
        <v>12</v>
      </c>
      <c r="C206" t="s">
        <v>2</v>
      </c>
    </row>
    <row r="207" spans="1:3" x14ac:dyDescent="0.3">
      <c r="A207" s="8" t="s">
        <v>217</v>
      </c>
      <c r="B207" s="8" t="s">
        <v>12</v>
      </c>
      <c r="C207" t="s">
        <v>2</v>
      </c>
    </row>
    <row r="208" spans="1:3" x14ac:dyDescent="0.3">
      <c r="A208" s="8" t="s">
        <v>218</v>
      </c>
      <c r="B208" s="8" t="s">
        <v>12</v>
      </c>
      <c r="C208" t="s">
        <v>2</v>
      </c>
    </row>
    <row r="209" spans="1:3" x14ac:dyDescent="0.3">
      <c r="A209" s="8" t="s">
        <v>219</v>
      </c>
      <c r="B209" s="8" t="s">
        <v>12</v>
      </c>
      <c r="C209" t="s">
        <v>2</v>
      </c>
    </row>
    <row r="210" spans="1:3" x14ac:dyDescent="0.3">
      <c r="A210" s="8" t="s">
        <v>220</v>
      </c>
      <c r="B210" s="8" t="s">
        <v>12</v>
      </c>
      <c r="C210" t="s">
        <v>2</v>
      </c>
    </row>
    <row r="211" spans="1:3" x14ac:dyDescent="0.3">
      <c r="A211" s="8" t="s">
        <v>221</v>
      </c>
      <c r="B211" s="8" t="s">
        <v>12</v>
      </c>
      <c r="C211" t="s">
        <v>2</v>
      </c>
    </row>
    <row r="212" spans="1:3" x14ac:dyDescent="0.3">
      <c r="A212" s="8" t="s">
        <v>222</v>
      </c>
      <c r="B212" s="8" t="s">
        <v>12</v>
      </c>
      <c r="C212" t="s">
        <v>2</v>
      </c>
    </row>
    <row r="213" spans="1:3" x14ac:dyDescent="0.3">
      <c r="A213" s="8" t="s">
        <v>223</v>
      </c>
      <c r="B213" s="8" t="s">
        <v>12</v>
      </c>
      <c r="C213" t="s">
        <v>2</v>
      </c>
    </row>
    <row r="214" spans="1:3" x14ac:dyDescent="0.3">
      <c r="A214" s="8" t="s">
        <v>224</v>
      </c>
      <c r="B214" s="8" t="s">
        <v>12</v>
      </c>
      <c r="C214" t="s">
        <v>2</v>
      </c>
    </row>
    <row r="215" spans="1:3" x14ac:dyDescent="0.3">
      <c r="A215" s="8" t="s">
        <v>225</v>
      </c>
      <c r="B215" s="8" t="s">
        <v>12</v>
      </c>
      <c r="C215" t="s">
        <v>2</v>
      </c>
    </row>
    <row r="216" spans="1:3" x14ac:dyDescent="0.3">
      <c r="A216" s="8" t="s">
        <v>226</v>
      </c>
      <c r="B216" s="8" t="s">
        <v>12</v>
      </c>
      <c r="C216" t="s">
        <v>2</v>
      </c>
    </row>
    <row r="217" spans="1:3" x14ac:dyDescent="0.3">
      <c r="A217" s="8" t="s">
        <v>227</v>
      </c>
      <c r="B217" s="8" t="s">
        <v>12</v>
      </c>
      <c r="C217" t="s">
        <v>2</v>
      </c>
    </row>
    <row r="218" spans="1:3" x14ac:dyDescent="0.3">
      <c r="A218" s="8" t="s">
        <v>228</v>
      </c>
      <c r="B218" s="8" t="s">
        <v>12</v>
      </c>
      <c r="C218" t="s">
        <v>2</v>
      </c>
    </row>
    <row r="219" spans="1:3" x14ac:dyDescent="0.3">
      <c r="A219" s="8" t="s">
        <v>229</v>
      </c>
      <c r="B219" s="8" t="s">
        <v>12</v>
      </c>
      <c r="C219" t="s">
        <v>2</v>
      </c>
    </row>
    <row r="220" spans="1:3" x14ac:dyDescent="0.3">
      <c r="A220" s="8" t="s">
        <v>230</v>
      </c>
      <c r="B220" s="8" t="s">
        <v>12</v>
      </c>
      <c r="C220" t="s">
        <v>2</v>
      </c>
    </row>
    <row r="221" spans="1:3" x14ac:dyDescent="0.3">
      <c r="A221" s="8" t="s">
        <v>231</v>
      </c>
      <c r="B221" s="8" t="s">
        <v>12</v>
      </c>
      <c r="C221" t="s">
        <v>2</v>
      </c>
    </row>
    <row r="222" spans="1:3" x14ac:dyDescent="0.3">
      <c r="A222" s="8" t="s">
        <v>232</v>
      </c>
      <c r="B222" s="8" t="s">
        <v>12</v>
      </c>
      <c r="C222" t="s">
        <v>2</v>
      </c>
    </row>
    <row r="223" spans="1:3" x14ac:dyDescent="0.3">
      <c r="A223" s="8" t="s">
        <v>233</v>
      </c>
      <c r="B223" s="8" t="s">
        <v>12</v>
      </c>
      <c r="C223" t="s">
        <v>2</v>
      </c>
    </row>
    <row r="224" spans="1:3" x14ac:dyDescent="0.3">
      <c r="A224" s="8" t="s">
        <v>234</v>
      </c>
      <c r="B224" s="8" t="s">
        <v>12</v>
      </c>
      <c r="C224" t="s">
        <v>2</v>
      </c>
    </row>
    <row r="225" spans="1:3" x14ac:dyDescent="0.3">
      <c r="A225" s="8" t="s">
        <v>235</v>
      </c>
      <c r="B225" s="8" t="s">
        <v>12</v>
      </c>
      <c r="C225" t="s">
        <v>2</v>
      </c>
    </row>
    <row r="226" spans="1:3" x14ac:dyDescent="0.3">
      <c r="A226" s="8" t="s">
        <v>236</v>
      </c>
      <c r="B226" s="8" t="s">
        <v>12</v>
      </c>
      <c r="C226" t="s">
        <v>2</v>
      </c>
    </row>
    <row r="227" spans="1:3" x14ac:dyDescent="0.3">
      <c r="A227" s="8" t="s">
        <v>237</v>
      </c>
      <c r="B227" s="8" t="s">
        <v>12</v>
      </c>
      <c r="C227" t="s">
        <v>2</v>
      </c>
    </row>
    <row r="228" spans="1:3" x14ac:dyDescent="0.3">
      <c r="A228" s="8" t="s">
        <v>238</v>
      </c>
      <c r="B228" s="8" t="s">
        <v>12</v>
      </c>
      <c r="C228" t="s">
        <v>2</v>
      </c>
    </row>
    <row r="229" spans="1:3" x14ac:dyDescent="0.3">
      <c r="A229" s="8" t="s">
        <v>239</v>
      </c>
      <c r="B229" s="8" t="s">
        <v>12</v>
      </c>
      <c r="C229" t="s">
        <v>2</v>
      </c>
    </row>
    <row r="230" spans="1:3" x14ac:dyDescent="0.3">
      <c r="A230" s="8" t="s">
        <v>240</v>
      </c>
      <c r="B230" s="8" t="s">
        <v>12</v>
      </c>
      <c r="C230" t="s">
        <v>2</v>
      </c>
    </row>
    <row r="231" spans="1:3" x14ac:dyDescent="0.3">
      <c r="A231" s="8" t="s">
        <v>241</v>
      </c>
      <c r="B231" s="8" t="s">
        <v>12</v>
      </c>
      <c r="C231" t="s">
        <v>2</v>
      </c>
    </row>
    <row r="232" spans="1:3" x14ac:dyDescent="0.3">
      <c r="A232" s="8" t="s">
        <v>242</v>
      </c>
      <c r="B232" s="8" t="s">
        <v>12</v>
      </c>
      <c r="C232" t="s">
        <v>3</v>
      </c>
    </row>
    <row r="233" spans="1:3" x14ac:dyDescent="0.3">
      <c r="A233" s="8" t="s">
        <v>243</v>
      </c>
      <c r="B233" s="8" t="s">
        <v>12</v>
      </c>
      <c r="C233" t="s">
        <v>3</v>
      </c>
    </row>
    <row r="234" spans="1:3" x14ac:dyDescent="0.3">
      <c r="A234" s="8" t="s">
        <v>244</v>
      </c>
      <c r="B234" s="8" t="s">
        <v>12</v>
      </c>
      <c r="C234" t="s">
        <v>3</v>
      </c>
    </row>
    <row r="235" spans="1:3" x14ac:dyDescent="0.3">
      <c r="A235" s="8" t="s">
        <v>245</v>
      </c>
      <c r="B235" s="8" t="s">
        <v>12</v>
      </c>
      <c r="C235" t="s">
        <v>3</v>
      </c>
    </row>
    <row r="236" spans="1:3" x14ac:dyDescent="0.3">
      <c r="A236" s="8" t="s">
        <v>246</v>
      </c>
      <c r="B236" s="8" t="s">
        <v>12</v>
      </c>
      <c r="C236" t="s">
        <v>3</v>
      </c>
    </row>
    <row r="237" spans="1:3" x14ac:dyDescent="0.3">
      <c r="A237" s="8" t="s">
        <v>247</v>
      </c>
      <c r="B237" s="8" t="s">
        <v>12</v>
      </c>
      <c r="C237" t="s">
        <v>3</v>
      </c>
    </row>
    <row r="238" spans="1:3" x14ac:dyDescent="0.3">
      <c r="A238" s="8" t="s">
        <v>248</v>
      </c>
      <c r="B238" s="8" t="s">
        <v>12</v>
      </c>
      <c r="C238" t="s">
        <v>3</v>
      </c>
    </row>
    <row r="239" spans="1:3" x14ac:dyDescent="0.3">
      <c r="A239" s="8" t="s">
        <v>249</v>
      </c>
      <c r="B239" s="8" t="s">
        <v>12</v>
      </c>
      <c r="C239" t="s">
        <v>3</v>
      </c>
    </row>
    <row r="240" spans="1:3" x14ac:dyDescent="0.3">
      <c r="A240" s="8" t="s">
        <v>250</v>
      </c>
      <c r="B240" s="8" t="s">
        <v>12</v>
      </c>
      <c r="C240" t="s">
        <v>3</v>
      </c>
    </row>
    <row r="241" spans="1:3" x14ac:dyDescent="0.3">
      <c r="A241" s="8" t="s">
        <v>251</v>
      </c>
      <c r="B241" s="8" t="s">
        <v>12</v>
      </c>
      <c r="C241" t="s">
        <v>2</v>
      </c>
    </row>
    <row r="242" spans="1:3" x14ac:dyDescent="0.3">
      <c r="A242" s="8" t="s">
        <v>252</v>
      </c>
      <c r="B242" s="8" t="s">
        <v>12</v>
      </c>
      <c r="C242" t="s">
        <v>2</v>
      </c>
    </row>
    <row r="243" spans="1:3" x14ac:dyDescent="0.3">
      <c r="A243" s="8" t="s">
        <v>253</v>
      </c>
      <c r="B243" s="8" t="s">
        <v>12</v>
      </c>
      <c r="C243" t="s">
        <v>2</v>
      </c>
    </row>
    <row r="244" spans="1:3" x14ac:dyDescent="0.3">
      <c r="A244" s="8" t="s">
        <v>254</v>
      </c>
      <c r="B244" s="8" t="s">
        <v>12</v>
      </c>
      <c r="C244" t="s">
        <v>2</v>
      </c>
    </row>
    <row r="245" spans="1:3" x14ac:dyDescent="0.3">
      <c r="A245" s="8" t="s">
        <v>255</v>
      </c>
      <c r="B245" s="8" t="s">
        <v>12</v>
      </c>
      <c r="C245" t="s">
        <v>2</v>
      </c>
    </row>
    <row r="246" spans="1:3" x14ac:dyDescent="0.3">
      <c r="A246" s="8" t="s">
        <v>256</v>
      </c>
      <c r="B246" s="8" t="s">
        <v>12</v>
      </c>
      <c r="C246" t="s">
        <v>2</v>
      </c>
    </row>
    <row r="247" spans="1:3" x14ac:dyDescent="0.3">
      <c r="A247" s="8" t="s">
        <v>257</v>
      </c>
      <c r="B247" s="8" t="s">
        <v>12</v>
      </c>
      <c r="C247" t="s">
        <v>2</v>
      </c>
    </row>
    <row r="248" spans="1:3" x14ac:dyDescent="0.3">
      <c r="A248" s="8" t="s">
        <v>258</v>
      </c>
      <c r="B248" s="8" t="s">
        <v>12</v>
      </c>
      <c r="C248" t="s">
        <v>2</v>
      </c>
    </row>
    <row r="249" spans="1:3" x14ac:dyDescent="0.3">
      <c r="A249" s="8" t="s">
        <v>259</v>
      </c>
      <c r="B249" s="8" t="s">
        <v>12</v>
      </c>
      <c r="C249" t="s">
        <v>2</v>
      </c>
    </row>
    <row r="250" spans="1:3" x14ac:dyDescent="0.3">
      <c r="A250" s="8" t="s">
        <v>260</v>
      </c>
      <c r="B250" s="8" t="s">
        <v>12</v>
      </c>
      <c r="C250" t="s">
        <v>2</v>
      </c>
    </row>
    <row r="251" spans="1:3" x14ac:dyDescent="0.3">
      <c r="A251" s="8" t="s">
        <v>261</v>
      </c>
      <c r="B251" s="8" t="s">
        <v>12</v>
      </c>
      <c r="C251" t="s">
        <v>2</v>
      </c>
    </row>
    <row r="252" spans="1:3" x14ac:dyDescent="0.3">
      <c r="A252" s="8" t="s">
        <v>262</v>
      </c>
      <c r="B252" s="8" t="s">
        <v>12</v>
      </c>
      <c r="C252" t="s">
        <v>2</v>
      </c>
    </row>
    <row r="253" spans="1:3" x14ac:dyDescent="0.3">
      <c r="A253" s="8" t="s">
        <v>263</v>
      </c>
      <c r="B253" s="8" t="s">
        <v>12</v>
      </c>
      <c r="C253" t="s">
        <v>2</v>
      </c>
    </row>
    <row r="254" spans="1:3" x14ac:dyDescent="0.3">
      <c r="A254" s="8" t="s">
        <v>264</v>
      </c>
      <c r="B254" s="8" t="s">
        <v>12</v>
      </c>
      <c r="C254" t="s">
        <v>2</v>
      </c>
    </row>
    <row r="255" spans="1:3" x14ac:dyDescent="0.3">
      <c r="A255" s="8" t="s">
        <v>265</v>
      </c>
      <c r="B255" s="8" t="s">
        <v>12</v>
      </c>
      <c r="C255" t="s">
        <v>2</v>
      </c>
    </row>
    <row r="256" spans="1:3" x14ac:dyDescent="0.3">
      <c r="A256" s="8" t="s">
        <v>266</v>
      </c>
      <c r="B256" s="8" t="s">
        <v>12</v>
      </c>
      <c r="C256" t="s">
        <v>2</v>
      </c>
    </row>
    <row r="257" spans="1:3" x14ac:dyDescent="0.3">
      <c r="A257" s="8" t="s">
        <v>267</v>
      </c>
      <c r="B257" s="8" t="s">
        <v>12</v>
      </c>
      <c r="C257" t="s">
        <v>2</v>
      </c>
    </row>
    <row r="258" spans="1:3" x14ac:dyDescent="0.3">
      <c r="A258" s="8" t="s">
        <v>268</v>
      </c>
      <c r="B258" s="8" t="s">
        <v>12</v>
      </c>
      <c r="C258" t="s">
        <v>2</v>
      </c>
    </row>
    <row r="259" spans="1:3" x14ac:dyDescent="0.3">
      <c r="A259" s="8" t="s">
        <v>269</v>
      </c>
      <c r="B259" s="8" t="s">
        <v>12</v>
      </c>
      <c r="C259" t="s">
        <v>2</v>
      </c>
    </row>
    <row r="260" spans="1:3" x14ac:dyDescent="0.3">
      <c r="A260" s="8" t="s">
        <v>270</v>
      </c>
      <c r="B260" s="8" t="s">
        <v>12</v>
      </c>
      <c r="C260" t="s">
        <v>2</v>
      </c>
    </row>
    <row r="261" spans="1:3" x14ac:dyDescent="0.3">
      <c r="A261" s="8" t="s">
        <v>271</v>
      </c>
      <c r="B261" s="8" t="s">
        <v>12</v>
      </c>
      <c r="C261" t="s">
        <v>2</v>
      </c>
    </row>
    <row r="262" spans="1:3" x14ac:dyDescent="0.3">
      <c r="A262" s="8" t="s">
        <v>272</v>
      </c>
      <c r="B262" s="8" t="s">
        <v>12</v>
      </c>
      <c r="C262" t="s">
        <v>2</v>
      </c>
    </row>
    <row r="263" spans="1:3" x14ac:dyDescent="0.3">
      <c r="A263" s="8" t="s">
        <v>273</v>
      </c>
      <c r="B263" s="8" t="s">
        <v>12</v>
      </c>
      <c r="C263" t="s">
        <v>2</v>
      </c>
    </row>
    <row r="264" spans="1:3" x14ac:dyDescent="0.3">
      <c r="A264" s="8" t="s">
        <v>274</v>
      </c>
      <c r="B264" s="8" t="s">
        <v>12</v>
      </c>
      <c r="C264" t="s">
        <v>2</v>
      </c>
    </row>
    <row r="265" spans="1:3" x14ac:dyDescent="0.3">
      <c r="A265" s="8" t="s">
        <v>275</v>
      </c>
      <c r="B265" s="8" t="s">
        <v>12</v>
      </c>
      <c r="C265" t="s">
        <v>2</v>
      </c>
    </row>
    <row r="266" spans="1:3" x14ac:dyDescent="0.3">
      <c r="A266" s="8" t="s">
        <v>276</v>
      </c>
      <c r="B266" s="8" t="s">
        <v>12</v>
      </c>
      <c r="C266" t="s">
        <v>2</v>
      </c>
    </row>
    <row r="267" spans="1:3" x14ac:dyDescent="0.3">
      <c r="A267" s="8" t="s">
        <v>277</v>
      </c>
      <c r="B267" s="8" t="s">
        <v>12</v>
      </c>
      <c r="C267" t="s">
        <v>2</v>
      </c>
    </row>
    <row r="268" spans="1:3" x14ac:dyDescent="0.3">
      <c r="A268" s="8" t="s">
        <v>278</v>
      </c>
      <c r="B268" s="8" t="s">
        <v>12</v>
      </c>
      <c r="C268" t="s">
        <v>2</v>
      </c>
    </row>
    <row r="269" spans="1:3" x14ac:dyDescent="0.3">
      <c r="A269" s="8" t="s">
        <v>279</v>
      </c>
      <c r="B269" s="8" t="s">
        <v>12</v>
      </c>
      <c r="C269" t="s">
        <v>2</v>
      </c>
    </row>
    <row r="270" spans="1:3" x14ac:dyDescent="0.3">
      <c r="A270" s="8" t="s">
        <v>280</v>
      </c>
      <c r="B270" s="8" t="s">
        <v>12</v>
      </c>
      <c r="C270" t="s">
        <v>2</v>
      </c>
    </row>
    <row r="271" spans="1:3" x14ac:dyDescent="0.3">
      <c r="A271" s="8" t="s">
        <v>281</v>
      </c>
      <c r="B271" s="8" t="s">
        <v>12</v>
      </c>
      <c r="C271" t="s">
        <v>2</v>
      </c>
    </row>
    <row r="272" spans="1:3" x14ac:dyDescent="0.3">
      <c r="A272" s="8" t="s">
        <v>282</v>
      </c>
      <c r="B272" s="8" t="s">
        <v>12</v>
      </c>
      <c r="C272" t="s">
        <v>2</v>
      </c>
    </row>
    <row r="273" spans="1:3" x14ac:dyDescent="0.3">
      <c r="A273" s="8" t="s">
        <v>283</v>
      </c>
      <c r="B273" s="8" t="s">
        <v>12</v>
      </c>
      <c r="C273" t="s">
        <v>2</v>
      </c>
    </row>
    <row r="274" spans="1:3" x14ac:dyDescent="0.3">
      <c r="A274" s="8" t="s">
        <v>284</v>
      </c>
      <c r="B274" s="8" t="s">
        <v>12</v>
      </c>
      <c r="C274" t="s">
        <v>2</v>
      </c>
    </row>
    <row r="275" spans="1:3" x14ac:dyDescent="0.3">
      <c r="A275" s="8" t="s">
        <v>285</v>
      </c>
      <c r="B275" s="8" t="s">
        <v>12</v>
      </c>
      <c r="C275" t="s">
        <v>2</v>
      </c>
    </row>
    <row r="276" spans="1:3" x14ac:dyDescent="0.3">
      <c r="A276" s="8" t="s">
        <v>286</v>
      </c>
      <c r="B276" s="8" t="s">
        <v>12</v>
      </c>
      <c r="C276" t="s">
        <v>2</v>
      </c>
    </row>
    <row r="277" spans="1:3" x14ac:dyDescent="0.3">
      <c r="A277" s="8" t="s">
        <v>287</v>
      </c>
      <c r="B277" s="8" t="s">
        <v>12</v>
      </c>
      <c r="C277" t="s">
        <v>2</v>
      </c>
    </row>
    <row r="278" spans="1:3" x14ac:dyDescent="0.3">
      <c r="A278" s="8" t="s">
        <v>288</v>
      </c>
      <c r="B278" s="8" t="s">
        <v>12</v>
      </c>
      <c r="C278" t="s">
        <v>2</v>
      </c>
    </row>
    <row r="279" spans="1:3" x14ac:dyDescent="0.3">
      <c r="A279" s="8" t="s">
        <v>289</v>
      </c>
      <c r="B279" s="8" t="s">
        <v>12</v>
      </c>
      <c r="C279" t="s">
        <v>2</v>
      </c>
    </row>
    <row r="280" spans="1:3" x14ac:dyDescent="0.3">
      <c r="A280" s="8" t="s">
        <v>290</v>
      </c>
      <c r="B280" s="8" t="s">
        <v>12</v>
      </c>
      <c r="C280" t="s">
        <v>2</v>
      </c>
    </row>
    <row r="281" spans="1:3" x14ac:dyDescent="0.3">
      <c r="A281" s="8" t="s">
        <v>291</v>
      </c>
      <c r="B281" s="8" t="s">
        <v>12</v>
      </c>
      <c r="C281" t="s">
        <v>2</v>
      </c>
    </row>
    <row r="282" spans="1:3" x14ac:dyDescent="0.3">
      <c r="A282" s="8" t="s">
        <v>292</v>
      </c>
      <c r="B282" s="8" t="s">
        <v>12</v>
      </c>
      <c r="C282" t="s">
        <v>2</v>
      </c>
    </row>
    <row r="283" spans="1:3" x14ac:dyDescent="0.3">
      <c r="A283" s="8" t="s">
        <v>293</v>
      </c>
      <c r="B283" s="8" t="s">
        <v>12</v>
      </c>
      <c r="C283" t="s">
        <v>2</v>
      </c>
    </row>
    <row r="284" spans="1:3" x14ac:dyDescent="0.3">
      <c r="A284" s="8" t="s">
        <v>294</v>
      </c>
      <c r="B284" s="8" t="s">
        <v>12</v>
      </c>
      <c r="C284" t="s">
        <v>2</v>
      </c>
    </row>
    <row r="285" spans="1:3" x14ac:dyDescent="0.3">
      <c r="A285" s="8" t="s">
        <v>295</v>
      </c>
      <c r="B285" s="8" t="s">
        <v>12</v>
      </c>
      <c r="C285" t="s">
        <v>2</v>
      </c>
    </row>
    <row r="286" spans="1:3" x14ac:dyDescent="0.3">
      <c r="A286" s="8" t="s">
        <v>296</v>
      </c>
      <c r="B286" s="8" t="s">
        <v>12</v>
      </c>
      <c r="C286" t="s">
        <v>2</v>
      </c>
    </row>
    <row r="287" spans="1:3" x14ac:dyDescent="0.3">
      <c r="A287" s="8" t="s">
        <v>297</v>
      </c>
      <c r="B287" s="8" t="s">
        <v>12</v>
      </c>
      <c r="C287" t="s">
        <v>2</v>
      </c>
    </row>
    <row r="288" spans="1:3" x14ac:dyDescent="0.3">
      <c r="A288" s="8" t="s">
        <v>298</v>
      </c>
      <c r="B288" s="8" t="s">
        <v>12</v>
      </c>
      <c r="C288" t="s">
        <v>2</v>
      </c>
    </row>
    <row r="289" spans="1:3" x14ac:dyDescent="0.3">
      <c r="A289" s="8" t="s">
        <v>299</v>
      </c>
      <c r="B289" s="8" t="s">
        <v>12</v>
      </c>
      <c r="C289" t="s">
        <v>2</v>
      </c>
    </row>
    <row r="290" spans="1:3" x14ac:dyDescent="0.3">
      <c r="A290" s="8" t="s">
        <v>300</v>
      </c>
      <c r="B290" s="8" t="s">
        <v>12</v>
      </c>
      <c r="C290" t="s">
        <v>2</v>
      </c>
    </row>
    <row r="291" spans="1:3" x14ac:dyDescent="0.3">
      <c r="A291" s="8" t="s">
        <v>301</v>
      </c>
      <c r="B291" s="8" t="s">
        <v>12</v>
      </c>
      <c r="C291" t="s">
        <v>3</v>
      </c>
    </row>
    <row r="292" spans="1:3" x14ac:dyDescent="0.3">
      <c r="A292" s="8" t="s">
        <v>302</v>
      </c>
      <c r="B292" s="8" t="s">
        <v>12</v>
      </c>
      <c r="C292" t="s">
        <v>3</v>
      </c>
    </row>
    <row r="293" spans="1:3" x14ac:dyDescent="0.3">
      <c r="A293" s="8" t="s">
        <v>303</v>
      </c>
      <c r="B293" s="8" t="s">
        <v>12</v>
      </c>
      <c r="C293" t="s">
        <v>3</v>
      </c>
    </row>
    <row r="294" spans="1:3" x14ac:dyDescent="0.3">
      <c r="A294" s="8" t="s">
        <v>304</v>
      </c>
      <c r="B294" s="8" t="s">
        <v>12</v>
      </c>
      <c r="C294" t="s">
        <v>3</v>
      </c>
    </row>
    <row r="295" spans="1:3" x14ac:dyDescent="0.3">
      <c r="A295" s="8" t="s">
        <v>305</v>
      </c>
      <c r="B295" s="8" t="s">
        <v>12</v>
      </c>
      <c r="C295" t="s">
        <v>3</v>
      </c>
    </row>
    <row r="296" spans="1:3" x14ac:dyDescent="0.3">
      <c r="A296" s="8" t="s">
        <v>306</v>
      </c>
      <c r="B296" s="8" t="s">
        <v>12</v>
      </c>
      <c r="C296" t="s">
        <v>3</v>
      </c>
    </row>
    <row r="297" spans="1:3" x14ac:dyDescent="0.3">
      <c r="A297" s="8" t="s">
        <v>307</v>
      </c>
      <c r="B297" s="8" t="s">
        <v>12</v>
      </c>
      <c r="C297" t="s">
        <v>3</v>
      </c>
    </row>
    <row r="298" spans="1:3" x14ac:dyDescent="0.3">
      <c r="A298" s="8" t="s">
        <v>308</v>
      </c>
      <c r="B298" s="8" t="s">
        <v>12</v>
      </c>
      <c r="C298" t="s">
        <v>2</v>
      </c>
    </row>
    <row r="299" spans="1:3" x14ac:dyDescent="0.3">
      <c r="A299" s="8" t="s">
        <v>309</v>
      </c>
      <c r="B299" s="8" t="s">
        <v>12</v>
      </c>
      <c r="C299" t="s">
        <v>2</v>
      </c>
    </row>
    <row r="300" spans="1:3" x14ac:dyDescent="0.3">
      <c r="A300" s="8" t="s">
        <v>310</v>
      </c>
      <c r="B300" s="8" t="s">
        <v>12</v>
      </c>
      <c r="C300" t="s">
        <v>2</v>
      </c>
    </row>
    <row r="301" spans="1:3" x14ac:dyDescent="0.3">
      <c r="A301" s="8" t="s">
        <v>311</v>
      </c>
      <c r="B301" s="8" t="s">
        <v>12</v>
      </c>
      <c r="C301" t="s">
        <v>2</v>
      </c>
    </row>
    <row r="302" spans="1:3" x14ac:dyDescent="0.3">
      <c r="A302" s="8" t="s">
        <v>312</v>
      </c>
      <c r="B302" s="8" t="s">
        <v>12</v>
      </c>
      <c r="C302" t="s">
        <v>2</v>
      </c>
    </row>
    <row r="303" spans="1:3" x14ac:dyDescent="0.3">
      <c r="A303" s="8" t="s">
        <v>313</v>
      </c>
      <c r="B303" s="8" t="s">
        <v>12</v>
      </c>
      <c r="C303" t="s">
        <v>2</v>
      </c>
    </row>
    <row r="304" spans="1:3" x14ac:dyDescent="0.3">
      <c r="A304" s="8" t="s">
        <v>314</v>
      </c>
      <c r="B304" s="8" t="s">
        <v>12</v>
      </c>
      <c r="C304" t="s">
        <v>2</v>
      </c>
    </row>
    <row r="305" spans="1:3" x14ac:dyDescent="0.3">
      <c r="A305" s="8" t="s">
        <v>315</v>
      </c>
      <c r="B305" s="8" t="s">
        <v>12</v>
      </c>
      <c r="C305" t="s">
        <v>2</v>
      </c>
    </row>
    <row r="306" spans="1:3" x14ac:dyDescent="0.3">
      <c r="A306" s="8" t="s">
        <v>316</v>
      </c>
      <c r="B306" s="8" t="s">
        <v>12</v>
      </c>
      <c r="C306" t="s">
        <v>2</v>
      </c>
    </row>
    <row r="307" spans="1:3" x14ac:dyDescent="0.3">
      <c r="A307" s="8" t="s">
        <v>317</v>
      </c>
      <c r="B307" s="8" t="s">
        <v>12</v>
      </c>
      <c r="C307" t="s">
        <v>2</v>
      </c>
    </row>
    <row r="308" spans="1:3" x14ac:dyDescent="0.3">
      <c r="A308" s="8" t="s">
        <v>318</v>
      </c>
      <c r="B308" s="8" t="s">
        <v>12</v>
      </c>
      <c r="C308" t="s">
        <v>2</v>
      </c>
    </row>
    <row r="309" spans="1:3" x14ac:dyDescent="0.3">
      <c r="A309" s="8" t="s">
        <v>319</v>
      </c>
      <c r="B309" s="8" t="s">
        <v>12</v>
      </c>
      <c r="C309" t="s">
        <v>2</v>
      </c>
    </row>
    <row r="310" spans="1:3" x14ac:dyDescent="0.3">
      <c r="A310" s="8" t="s">
        <v>320</v>
      </c>
      <c r="B310" s="8" t="s">
        <v>12</v>
      </c>
      <c r="C310" t="s">
        <v>2</v>
      </c>
    </row>
    <row r="311" spans="1:3" x14ac:dyDescent="0.3">
      <c r="A311" s="8" t="s">
        <v>321</v>
      </c>
      <c r="B311" s="8" t="s">
        <v>12</v>
      </c>
      <c r="C311" t="s">
        <v>2</v>
      </c>
    </row>
    <row r="312" spans="1:3" x14ac:dyDescent="0.3">
      <c r="A312" s="8" t="s">
        <v>322</v>
      </c>
      <c r="B312" s="8" t="s">
        <v>12</v>
      </c>
      <c r="C312" t="s">
        <v>2</v>
      </c>
    </row>
    <row r="313" spans="1:3" x14ac:dyDescent="0.3">
      <c r="A313" s="8" t="s">
        <v>323</v>
      </c>
      <c r="B313" s="8" t="s">
        <v>12</v>
      </c>
      <c r="C313" t="s">
        <v>2</v>
      </c>
    </row>
    <row r="314" spans="1:3" x14ac:dyDescent="0.3">
      <c r="A314" s="8" t="s">
        <v>324</v>
      </c>
      <c r="B314" s="8" t="s">
        <v>12</v>
      </c>
      <c r="C314" t="s">
        <v>2</v>
      </c>
    </row>
    <row r="315" spans="1:3" x14ac:dyDescent="0.3">
      <c r="A315" s="8" t="s">
        <v>325</v>
      </c>
      <c r="B315" s="8" t="s">
        <v>12</v>
      </c>
      <c r="C315" t="s">
        <v>2</v>
      </c>
    </row>
    <row r="316" spans="1:3" x14ac:dyDescent="0.3">
      <c r="A316" s="8" t="s">
        <v>326</v>
      </c>
      <c r="B316" s="8" t="s">
        <v>12</v>
      </c>
      <c r="C316" t="s">
        <v>2</v>
      </c>
    </row>
    <row r="317" spans="1:3" x14ac:dyDescent="0.3">
      <c r="A317" s="8" t="s">
        <v>327</v>
      </c>
      <c r="B317" s="8" t="s">
        <v>12</v>
      </c>
      <c r="C317" t="s">
        <v>2</v>
      </c>
    </row>
    <row r="318" spans="1:3" x14ac:dyDescent="0.3">
      <c r="A318" s="8" t="s">
        <v>328</v>
      </c>
      <c r="B318" s="8" t="s">
        <v>12</v>
      </c>
      <c r="C318" t="s">
        <v>2</v>
      </c>
    </row>
    <row r="319" spans="1:3" x14ac:dyDescent="0.3">
      <c r="A319" s="8" t="s">
        <v>329</v>
      </c>
      <c r="B319" s="8" t="s">
        <v>12</v>
      </c>
      <c r="C319" t="s">
        <v>2</v>
      </c>
    </row>
    <row r="320" spans="1:3" x14ac:dyDescent="0.3">
      <c r="A320" s="8" t="s">
        <v>330</v>
      </c>
      <c r="B320" s="8" t="s">
        <v>12</v>
      </c>
      <c r="C320" t="s">
        <v>2</v>
      </c>
    </row>
    <row r="321" spans="1:3" x14ac:dyDescent="0.3">
      <c r="A321" s="8" t="s">
        <v>331</v>
      </c>
      <c r="B321" s="8" t="s">
        <v>12</v>
      </c>
      <c r="C321" t="s">
        <v>2</v>
      </c>
    </row>
    <row r="322" spans="1:3" x14ac:dyDescent="0.3">
      <c r="A322" s="8" t="s">
        <v>332</v>
      </c>
      <c r="B322" s="8" t="s">
        <v>12</v>
      </c>
      <c r="C322" t="s">
        <v>2</v>
      </c>
    </row>
    <row r="323" spans="1:3" x14ac:dyDescent="0.3">
      <c r="A323" s="8" t="s">
        <v>333</v>
      </c>
      <c r="B323" s="8" t="s">
        <v>12</v>
      </c>
      <c r="C323" t="s">
        <v>2</v>
      </c>
    </row>
    <row r="324" spans="1:3" x14ac:dyDescent="0.3">
      <c r="A324" s="8" t="s">
        <v>334</v>
      </c>
      <c r="B324" s="8" t="s">
        <v>12</v>
      </c>
      <c r="C324" t="s">
        <v>2</v>
      </c>
    </row>
    <row r="325" spans="1:3" x14ac:dyDescent="0.3">
      <c r="A325" s="8" t="s">
        <v>335</v>
      </c>
      <c r="B325" s="8" t="s">
        <v>12</v>
      </c>
      <c r="C325" t="s">
        <v>2</v>
      </c>
    </row>
    <row r="326" spans="1:3" x14ac:dyDescent="0.3">
      <c r="A326" s="8" t="s">
        <v>336</v>
      </c>
      <c r="B326" s="8" t="s">
        <v>12</v>
      </c>
      <c r="C326" t="s">
        <v>2</v>
      </c>
    </row>
    <row r="327" spans="1:3" x14ac:dyDescent="0.3">
      <c r="A327" s="8" t="s">
        <v>337</v>
      </c>
      <c r="B327" s="8" t="s">
        <v>12</v>
      </c>
      <c r="C327" t="s">
        <v>2</v>
      </c>
    </row>
    <row r="328" spans="1:3" x14ac:dyDescent="0.3">
      <c r="A328" s="8" t="s">
        <v>338</v>
      </c>
      <c r="B328" s="8" t="s">
        <v>12</v>
      </c>
      <c r="C328" t="s">
        <v>2</v>
      </c>
    </row>
    <row r="329" spans="1:3" x14ac:dyDescent="0.3">
      <c r="A329" s="8" t="s">
        <v>339</v>
      </c>
      <c r="B329" s="8" t="s">
        <v>12</v>
      </c>
      <c r="C329" t="s">
        <v>2</v>
      </c>
    </row>
    <row r="330" spans="1:3" x14ac:dyDescent="0.3">
      <c r="A330" s="8" t="s">
        <v>340</v>
      </c>
      <c r="B330" s="8" t="s">
        <v>12</v>
      </c>
      <c r="C330" t="s">
        <v>2</v>
      </c>
    </row>
    <row r="331" spans="1:3" x14ac:dyDescent="0.3">
      <c r="A331" s="8" t="s">
        <v>341</v>
      </c>
      <c r="B331" s="8" t="s">
        <v>12</v>
      </c>
      <c r="C331" t="s">
        <v>2</v>
      </c>
    </row>
    <row r="332" spans="1:3" x14ac:dyDescent="0.3">
      <c r="A332" s="8" t="s">
        <v>342</v>
      </c>
      <c r="B332" s="8" t="s">
        <v>12</v>
      </c>
      <c r="C332" t="s">
        <v>2</v>
      </c>
    </row>
    <row r="333" spans="1:3" x14ac:dyDescent="0.3">
      <c r="A333" s="8" t="s">
        <v>343</v>
      </c>
      <c r="B333" s="8" t="s">
        <v>12</v>
      </c>
      <c r="C333" t="s">
        <v>2</v>
      </c>
    </row>
    <row r="334" spans="1:3" x14ac:dyDescent="0.3">
      <c r="A334" s="8" t="s">
        <v>344</v>
      </c>
      <c r="B334" s="8" t="s">
        <v>12</v>
      </c>
      <c r="C334" t="s">
        <v>2</v>
      </c>
    </row>
    <row r="335" spans="1:3" x14ac:dyDescent="0.3">
      <c r="A335" s="8" t="s">
        <v>345</v>
      </c>
      <c r="B335" s="8" t="s">
        <v>12</v>
      </c>
      <c r="C335" t="s">
        <v>2</v>
      </c>
    </row>
    <row r="336" spans="1:3" x14ac:dyDescent="0.3">
      <c r="A336" s="8" t="s">
        <v>346</v>
      </c>
      <c r="B336" s="8" t="s">
        <v>12</v>
      </c>
      <c r="C336" t="s">
        <v>2</v>
      </c>
    </row>
    <row r="337" spans="1:3" x14ac:dyDescent="0.3">
      <c r="A337" s="8" t="s">
        <v>347</v>
      </c>
      <c r="B337" s="8" t="s">
        <v>12</v>
      </c>
      <c r="C337" t="s">
        <v>2</v>
      </c>
    </row>
    <row r="338" spans="1:3" x14ac:dyDescent="0.3">
      <c r="A338" s="8" t="s">
        <v>348</v>
      </c>
      <c r="B338" s="8" t="s">
        <v>12</v>
      </c>
      <c r="C338" t="s">
        <v>2</v>
      </c>
    </row>
    <row r="339" spans="1:3" x14ac:dyDescent="0.3">
      <c r="A339" s="8" t="s">
        <v>349</v>
      </c>
      <c r="B339" s="8" t="s">
        <v>12</v>
      </c>
      <c r="C339" t="s">
        <v>2</v>
      </c>
    </row>
    <row r="340" spans="1:3" x14ac:dyDescent="0.3">
      <c r="A340" s="8" t="s">
        <v>350</v>
      </c>
      <c r="B340" s="8" t="s">
        <v>12</v>
      </c>
      <c r="C340" t="s">
        <v>2</v>
      </c>
    </row>
    <row r="341" spans="1:3" x14ac:dyDescent="0.3">
      <c r="A341" s="8" t="s">
        <v>351</v>
      </c>
      <c r="B341" s="8" t="s">
        <v>12</v>
      </c>
      <c r="C341" t="s">
        <v>2</v>
      </c>
    </row>
    <row r="342" spans="1:3" x14ac:dyDescent="0.3">
      <c r="A342" s="8" t="s">
        <v>352</v>
      </c>
      <c r="B342" s="8" t="s">
        <v>12</v>
      </c>
      <c r="C342" t="s">
        <v>2</v>
      </c>
    </row>
    <row r="343" spans="1:3" x14ac:dyDescent="0.3">
      <c r="A343" s="8" t="s">
        <v>353</v>
      </c>
      <c r="B343" s="8" t="s">
        <v>12</v>
      </c>
      <c r="C343" t="s">
        <v>2</v>
      </c>
    </row>
    <row r="344" spans="1:3" x14ac:dyDescent="0.3">
      <c r="A344" s="8" t="s">
        <v>354</v>
      </c>
      <c r="B344" s="8" t="s">
        <v>12</v>
      </c>
      <c r="C344" t="s">
        <v>2</v>
      </c>
    </row>
    <row r="345" spans="1:3" x14ac:dyDescent="0.3">
      <c r="A345" s="8" t="s">
        <v>355</v>
      </c>
      <c r="B345" s="8" t="s">
        <v>12</v>
      </c>
      <c r="C345" t="s">
        <v>2</v>
      </c>
    </row>
    <row r="346" spans="1:3" x14ac:dyDescent="0.3">
      <c r="A346" s="8" t="s">
        <v>356</v>
      </c>
      <c r="B346" s="8" t="s">
        <v>12</v>
      </c>
      <c r="C346" t="s">
        <v>2</v>
      </c>
    </row>
    <row r="347" spans="1:3" x14ac:dyDescent="0.3">
      <c r="A347" s="8" t="s">
        <v>357</v>
      </c>
      <c r="B347" s="8" t="s">
        <v>12</v>
      </c>
      <c r="C347" t="s">
        <v>2</v>
      </c>
    </row>
    <row r="348" spans="1:3" x14ac:dyDescent="0.3">
      <c r="A348" s="8" t="s">
        <v>358</v>
      </c>
      <c r="B348" s="8" t="s">
        <v>12</v>
      </c>
      <c r="C348" t="s">
        <v>2</v>
      </c>
    </row>
    <row r="349" spans="1:3" x14ac:dyDescent="0.3">
      <c r="A349" s="8" t="s">
        <v>359</v>
      </c>
      <c r="B349" s="8" t="s">
        <v>12</v>
      </c>
      <c r="C349" t="s">
        <v>2</v>
      </c>
    </row>
    <row r="350" spans="1:3" x14ac:dyDescent="0.3">
      <c r="A350" s="8" t="s">
        <v>360</v>
      </c>
      <c r="B350" s="8" t="s">
        <v>12</v>
      </c>
      <c r="C350" t="s">
        <v>2</v>
      </c>
    </row>
    <row r="351" spans="1:3" x14ac:dyDescent="0.3">
      <c r="A351" s="8" t="s">
        <v>361</v>
      </c>
      <c r="B351" s="8" t="s">
        <v>12</v>
      </c>
      <c r="C351" t="s">
        <v>2</v>
      </c>
    </row>
    <row r="352" spans="1:3" x14ac:dyDescent="0.3">
      <c r="A352" s="8" t="s">
        <v>362</v>
      </c>
      <c r="B352" s="8" t="s">
        <v>12</v>
      </c>
      <c r="C352" t="s">
        <v>3</v>
      </c>
    </row>
    <row r="353" spans="1:3" x14ac:dyDescent="0.3">
      <c r="A353" s="8" t="s">
        <v>363</v>
      </c>
      <c r="B353" s="8" t="s">
        <v>12</v>
      </c>
      <c r="C353" t="s">
        <v>3</v>
      </c>
    </row>
    <row r="354" spans="1:3" x14ac:dyDescent="0.3">
      <c r="A354" s="8" t="s">
        <v>364</v>
      </c>
      <c r="B354" s="8" t="s">
        <v>12</v>
      </c>
      <c r="C354" t="s">
        <v>3</v>
      </c>
    </row>
    <row r="355" spans="1:3" x14ac:dyDescent="0.3">
      <c r="A355" s="8" t="s">
        <v>365</v>
      </c>
      <c r="B355" s="8" t="s">
        <v>12</v>
      </c>
      <c r="C355" t="s">
        <v>3</v>
      </c>
    </row>
    <row r="356" spans="1:3" x14ac:dyDescent="0.3">
      <c r="A356" s="8" t="s">
        <v>366</v>
      </c>
      <c r="B356" s="8" t="s">
        <v>12</v>
      </c>
      <c r="C356" t="s">
        <v>3</v>
      </c>
    </row>
    <row r="357" spans="1:3" x14ac:dyDescent="0.3">
      <c r="A357" s="8" t="s">
        <v>367</v>
      </c>
      <c r="B357" s="8" t="s">
        <v>12</v>
      </c>
      <c r="C357" t="s">
        <v>3</v>
      </c>
    </row>
    <row r="358" spans="1:3" x14ac:dyDescent="0.3">
      <c r="A358" s="8" t="s">
        <v>368</v>
      </c>
      <c r="B358" s="8" t="s">
        <v>12</v>
      </c>
      <c r="C358" t="s">
        <v>3</v>
      </c>
    </row>
    <row r="359" spans="1:3" x14ac:dyDescent="0.3">
      <c r="A359" s="8" t="s">
        <v>369</v>
      </c>
      <c r="B359" s="8" t="s">
        <v>12</v>
      </c>
      <c r="C359" t="s">
        <v>3</v>
      </c>
    </row>
    <row r="360" spans="1:3" x14ac:dyDescent="0.3">
      <c r="A360" s="8" t="s">
        <v>370</v>
      </c>
      <c r="B360" s="8" t="s">
        <v>12</v>
      </c>
      <c r="C360" t="s">
        <v>3</v>
      </c>
    </row>
    <row r="361" spans="1:3" x14ac:dyDescent="0.3">
      <c r="A361" s="8" t="s">
        <v>371</v>
      </c>
      <c r="B361" s="8" t="s">
        <v>12</v>
      </c>
      <c r="C361" t="s">
        <v>2</v>
      </c>
    </row>
    <row r="362" spans="1:3" x14ac:dyDescent="0.3">
      <c r="A362" s="8" t="s">
        <v>372</v>
      </c>
      <c r="B362" s="8" t="s">
        <v>12</v>
      </c>
      <c r="C362" t="s">
        <v>2</v>
      </c>
    </row>
    <row r="363" spans="1:3" x14ac:dyDescent="0.3">
      <c r="A363" s="8" t="s">
        <v>373</v>
      </c>
      <c r="B363" s="8" t="s">
        <v>12</v>
      </c>
      <c r="C363" t="s">
        <v>2</v>
      </c>
    </row>
    <row r="364" spans="1:3" x14ac:dyDescent="0.3">
      <c r="A364" s="8" t="s">
        <v>374</v>
      </c>
      <c r="B364" s="8" t="s">
        <v>12</v>
      </c>
      <c r="C364" t="s">
        <v>2</v>
      </c>
    </row>
    <row r="365" spans="1:3" x14ac:dyDescent="0.3">
      <c r="A365" s="8" t="s">
        <v>375</v>
      </c>
      <c r="B365" s="8" t="s">
        <v>12</v>
      </c>
      <c r="C365" t="s">
        <v>2</v>
      </c>
    </row>
    <row r="366" spans="1:3" x14ac:dyDescent="0.3">
      <c r="A366" s="8" t="s">
        <v>376</v>
      </c>
      <c r="B366" s="8" t="s">
        <v>12</v>
      </c>
      <c r="C366" t="s">
        <v>2</v>
      </c>
    </row>
    <row r="367" spans="1:3" x14ac:dyDescent="0.3">
      <c r="A367" s="8" t="s">
        <v>377</v>
      </c>
      <c r="B367" s="8" t="s">
        <v>12</v>
      </c>
      <c r="C367" t="s">
        <v>2</v>
      </c>
    </row>
    <row r="368" spans="1:3" x14ac:dyDescent="0.3">
      <c r="A368" s="8" t="s">
        <v>378</v>
      </c>
      <c r="B368" s="8" t="s">
        <v>12</v>
      </c>
      <c r="C368" t="s">
        <v>2</v>
      </c>
    </row>
    <row r="369" spans="1:3" x14ac:dyDescent="0.3">
      <c r="A369" s="8" t="s">
        <v>379</v>
      </c>
      <c r="B369" s="8" t="s">
        <v>12</v>
      </c>
      <c r="C369" t="s">
        <v>2</v>
      </c>
    </row>
    <row r="370" spans="1:3" x14ac:dyDescent="0.3">
      <c r="A370" s="8" t="s">
        <v>380</v>
      </c>
      <c r="B370" s="8" t="s">
        <v>12</v>
      </c>
      <c r="C370" t="s">
        <v>2</v>
      </c>
    </row>
    <row r="371" spans="1:3" x14ac:dyDescent="0.3">
      <c r="A371" s="8" t="s">
        <v>381</v>
      </c>
      <c r="B371" s="8" t="s">
        <v>12</v>
      </c>
      <c r="C371" t="s">
        <v>2</v>
      </c>
    </row>
    <row r="372" spans="1:3" x14ac:dyDescent="0.3">
      <c r="A372" s="8" t="s">
        <v>382</v>
      </c>
      <c r="B372" s="8" t="s">
        <v>12</v>
      </c>
      <c r="C372" t="s">
        <v>2</v>
      </c>
    </row>
    <row r="373" spans="1:3" x14ac:dyDescent="0.3">
      <c r="A373" s="8" t="s">
        <v>383</v>
      </c>
      <c r="B373" s="8" t="s">
        <v>12</v>
      </c>
      <c r="C373" t="s">
        <v>2</v>
      </c>
    </row>
    <row r="374" spans="1:3" x14ac:dyDescent="0.3">
      <c r="A374" s="8" t="s">
        <v>384</v>
      </c>
      <c r="B374" s="8" t="s">
        <v>12</v>
      </c>
      <c r="C374" t="s">
        <v>2</v>
      </c>
    </row>
    <row r="375" spans="1:3" x14ac:dyDescent="0.3">
      <c r="A375" s="8" t="s">
        <v>385</v>
      </c>
      <c r="B375" s="8" t="s">
        <v>12</v>
      </c>
      <c r="C375" t="s">
        <v>2</v>
      </c>
    </row>
    <row r="376" spans="1:3" x14ac:dyDescent="0.3">
      <c r="A376" s="8" t="s">
        <v>386</v>
      </c>
      <c r="B376" s="8" t="s">
        <v>12</v>
      </c>
      <c r="C376" t="s">
        <v>2</v>
      </c>
    </row>
    <row r="377" spans="1:3" x14ac:dyDescent="0.3">
      <c r="A377" s="8" t="s">
        <v>387</v>
      </c>
      <c r="B377" s="8" t="s">
        <v>12</v>
      </c>
      <c r="C377" t="s">
        <v>2</v>
      </c>
    </row>
    <row r="378" spans="1:3" x14ac:dyDescent="0.3">
      <c r="A378" s="8" t="s">
        <v>388</v>
      </c>
      <c r="B378" s="8" t="s">
        <v>12</v>
      </c>
      <c r="C378" t="s">
        <v>2</v>
      </c>
    </row>
    <row r="379" spans="1:3" x14ac:dyDescent="0.3">
      <c r="A379" s="8" t="s">
        <v>389</v>
      </c>
      <c r="B379" s="8" t="s">
        <v>12</v>
      </c>
      <c r="C379" t="s">
        <v>2</v>
      </c>
    </row>
    <row r="380" spans="1:3" x14ac:dyDescent="0.3">
      <c r="A380" s="8" t="s">
        <v>390</v>
      </c>
      <c r="B380" s="8" t="s">
        <v>12</v>
      </c>
      <c r="C380" t="s">
        <v>2</v>
      </c>
    </row>
    <row r="381" spans="1:3" x14ac:dyDescent="0.3">
      <c r="A381" s="8" t="s">
        <v>391</v>
      </c>
      <c r="B381" s="8" t="s">
        <v>12</v>
      </c>
      <c r="C381" t="s">
        <v>2</v>
      </c>
    </row>
    <row r="382" spans="1:3" x14ac:dyDescent="0.3">
      <c r="A382" s="8" t="s">
        <v>392</v>
      </c>
      <c r="B382" s="8" t="s">
        <v>12</v>
      </c>
      <c r="C382" t="s">
        <v>2</v>
      </c>
    </row>
    <row r="383" spans="1:3" x14ac:dyDescent="0.3">
      <c r="A383" s="8" t="s">
        <v>393</v>
      </c>
      <c r="B383" s="8" t="s">
        <v>12</v>
      </c>
      <c r="C383" t="s">
        <v>2</v>
      </c>
    </row>
    <row r="384" spans="1:3" x14ac:dyDescent="0.3">
      <c r="A384" s="8" t="s">
        <v>394</v>
      </c>
      <c r="B384" s="8" t="s">
        <v>12</v>
      </c>
      <c r="C384" t="s">
        <v>2</v>
      </c>
    </row>
    <row r="385" spans="1:3" x14ac:dyDescent="0.3">
      <c r="A385" s="8" t="s">
        <v>395</v>
      </c>
      <c r="B385" s="8" t="s">
        <v>12</v>
      </c>
      <c r="C385" t="s">
        <v>2</v>
      </c>
    </row>
    <row r="386" spans="1:3" x14ac:dyDescent="0.3">
      <c r="A386" s="8" t="s">
        <v>396</v>
      </c>
      <c r="B386" s="8" t="s">
        <v>12</v>
      </c>
      <c r="C386" t="s">
        <v>2</v>
      </c>
    </row>
    <row r="387" spans="1:3" x14ac:dyDescent="0.3">
      <c r="A387" s="8" t="s">
        <v>397</v>
      </c>
      <c r="B387" s="8" t="s">
        <v>12</v>
      </c>
      <c r="C387" t="s">
        <v>2</v>
      </c>
    </row>
    <row r="388" spans="1:3" x14ac:dyDescent="0.3">
      <c r="A388" s="8" t="s">
        <v>398</v>
      </c>
      <c r="B388" s="8" t="s">
        <v>12</v>
      </c>
      <c r="C388" t="s">
        <v>2</v>
      </c>
    </row>
    <row r="389" spans="1:3" x14ac:dyDescent="0.3">
      <c r="A389" s="8" t="s">
        <v>399</v>
      </c>
      <c r="B389" s="8" t="s">
        <v>12</v>
      </c>
      <c r="C389" t="s">
        <v>2</v>
      </c>
    </row>
    <row r="390" spans="1:3" x14ac:dyDescent="0.3">
      <c r="A390" s="8" t="s">
        <v>400</v>
      </c>
      <c r="B390" s="8" t="s">
        <v>12</v>
      </c>
      <c r="C390" t="s">
        <v>2</v>
      </c>
    </row>
    <row r="391" spans="1:3" x14ac:dyDescent="0.3">
      <c r="A391" s="8" t="s">
        <v>401</v>
      </c>
      <c r="B391" s="8" t="s">
        <v>12</v>
      </c>
      <c r="C391" t="s">
        <v>2</v>
      </c>
    </row>
    <row r="392" spans="1:3" x14ac:dyDescent="0.3">
      <c r="A392" s="8" t="s">
        <v>402</v>
      </c>
      <c r="B392" s="8" t="s">
        <v>12</v>
      </c>
      <c r="C392" t="s">
        <v>2</v>
      </c>
    </row>
    <row r="393" spans="1:3" x14ac:dyDescent="0.3">
      <c r="A393" s="8" t="s">
        <v>403</v>
      </c>
      <c r="B393" s="8" t="s">
        <v>12</v>
      </c>
      <c r="C393" t="s">
        <v>2</v>
      </c>
    </row>
    <row r="394" spans="1:3" x14ac:dyDescent="0.3">
      <c r="A394" s="8" t="s">
        <v>404</v>
      </c>
      <c r="B394" s="8" t="s">
        <v>12</v>
      </c>
      <c r="C394" t="s">
        <v>2</v>
      </c>
    </row>
    <row r="395" spans="1:3" x14ac:dyDescent="0.3">
      <c r="A395" s="8" t="s">
        <v>405</v>
      </c>
      <c r="B395" s="8" t="s">
        <v>12</v>
      </c>
      <c r="C395" t="s">
        <v>2</v>
      </c>
    </row>
    <row r="396" spans="1:3" x14ac:dyDescent="0.3">
      <c r="A396" s="8" t="s">
        <v>406</v>
      </c>
      <c r="B396" s="8" t="s">
        <v>12</v>
      </c>
      <c r="C396" t="s">
        <v>2</v>
      </c>
    </row>
    <row r="397" spans="1:3" x14ac:dyDescent="0.3">
      <c r="A397" s="8" t="s">
        <v>407</v>
      </c>
      <c r="B397" s="8" t="s">
        <v>12</v>
      </c>
      <c r="C397" t="s">
        <v>2</v>
      </c>
    </row>
    <row r="398" spans="1:3" x14ac:dyDescent="0.3">
      <c r="A398" s="8" t="s">
        <v>408</v>
      </c>
      <c r="B398" s="8" t="s">
        <v>12</v>
      </c>
      <c r="C398" t="s">
        <v>2</v>
      </c>
    </row>
    <row r="399" spans="1:3" x14ac:dyDescent="0.3">
      <c r="A399" s="8" t="s">
        <v>409</v>
      </c>
      <c r="B399" s="8" t="s">
        <v>12</v>
      </c>
      <c r="C399" t="s">
        <v>2</v>
      </c>
    </row>
    <row r="400" spans="1:3" x14ac:dyDescent="0.3">
      <c r="A400" s="8" t="s">
        <v>410</v>
      </c>
      <c r="B400" s="8" t="s">
        <v>12</v>
      </c>
      <c r="C400" t="s">
        <v>2</v>
      </c>
    </row>
    <row r="401" spans="1:3" x14ac:dyDescent="0.3">
      <c r="A401" s="8" t="s">
        <v>411</v>
      </c>
      <c r="B401" s="8" t="s">
        <v>12</v>
      </c>
      <c r="C401" t="s">
        <v>2</v>
      </c>
    </row>
    <row r="402" spans="1:3" x14ac:dyDescent="0.3">
      <c r="A402" s="8" t="s">
        <v>412</v>
      </c>
      <c r="B402" s="8" t="s">
        <v>12</v>
      </c>
      <c r="C402" t="s">
        <v>2</v>
      </c>
    </row>
    <row r="403" spans="1:3" x14ac:dyDescent="0.3">
      <c r="A403" s="8" t="s">
        <v>413</v>
      </c>
      <c r="B403" s="8" t="s">
        <v>12</v>
      </c>
      <c r="C403" t="s">
        <v>2</v>
      </c>
    </row>
    <row r="404" spans="1:3" x14ac:dyDescent="0.3">
      <c r="A404" s="8" t="s">
        <v>414</v>
      </c>
      <c r="B404" s="8" t="s">
        <v>12</v>
      </c>
      <c r="C404" t="s">
        <v>2</v>
      </c>
    </row>
    <row r="405" spans="1:3" x14ac:dyDescent="0.3">
      <c r="A405" s="8" t="s">
        <v>415</v>
      </c>
      <c r="B405" s="8" t="s">
        <v>12</v>
      </c>
      <c r="C405" t="s">
        <v>2</v>
      </c>
    </row>
    <row r="406" spans="1:3" x14ac:dyDescent="0.3">
      <c r="A406" s="8" t="s">
        <v>416</v>
      </c>
      <c r="B406" s="8" t="s">
        <v>12</v>
      </c>
      <c r="C406" t="s">
        <v>2</v>
      </c>
    </row>
    <row r="407" spans="1:3" x14ac:dyDescent="0.3">
      <c r="A407" s="8" t="s">
        <v>417</v>
      </c>
      <c r="B407" s="8" t="s">
        <v>12</v>
      </c>
      <c r="C407" t="s">
        <v>2</v>
      </c>
    </row>
    <row r="408" spans="1:3" x14ac:dyDescent="0.3">
      <c r="A408" s="8" t="s">
        <v>418</v>
      </c>
      <c r="B408" s="8" t="s">
        <v>12</v>
      </c>
      <c r="C408" t="s">
        <v>2</v>
      </c>
    </row>
    <row r="409" spans="1:3" x14ac:dyDescent="0.3">
      <c r="A409" s="8" t="s">
        <v>419</v>
      </c>
      <c r="B409" s="8" t="s">
        <v>12</v>
      </c>
      <c r="C409" t="s">
        <v>2</v>
      </c>
    </row>
    <row r="410" spans="1:3" x14ac:dyDescent="0.3">
      <c r="A410" s="8" t="s">
        <v>420</v>
      </c>
      <c r="B410" s="8" t="s">
        <v>12</v>
      </c>
      <c r="C410" t="s">
        <v>3</v>
      </c>
    </row>
    <row r="411" spans="1:3" x14ac:dyDescent="0.3">
      <c r="A411" s="8" t="s">
        <v>421</v>
      </c>
      <c r="B411" s="8" t="s">
        <v>12</v>
      </c>
      <c r="C411" t="s">
        <v>3</v>
      </c>
    </row>
    <row r="412" spans="1:3" x14ac:dyDescent="0.3">
      <c r="A412" s="8" t="s">
        <v>422</v>
      </c>
      <c r="B412" s="8" t="s">
        <v>12</v>
      </c>
      <c r="C412" t="s">
        <v>3</v>
      </c>
    </row>
    <row r="413" spans="1:3" x14ac:dyDescent="0.3">
      <c r="A413" s="8" t="s">
        <v>423</v>
      </c>
      <c r="B413" s="8" t="s">
        <v>12</v>
      </c>
      <c r="C413" t="s">
        <v>3</v>
      </c>
    </row>
    <row r="414" spans="1:3" x14ac:dyDescent="0.3">
      <c r="A414" s="8" t="s">
        <v>424</v>
      </c>
      <c r="B414" s="8" t="s">
        <v>12</v>
      </c>
      <c r="C414" t="s">
        <v>3</v>
      </c>
    </row>
    <row r="415" spans="1:3" x14ac:dyDescent="0.3">
      <c r="A415" s="8" t="s">
        <v>425</v>
      </c>
      <c r="B415" s="8" t="s">
        <v>12</v>
      </c>
      <c r="C415" t="s">
        <v>3</v>
      </c>
    </row>
    <row r="416" spans="1:3" x14ac:dyDescent="0.3">
      <c r="A416" s="8" t="s">
        <v>426</v>
      </c>
      <c r="B416" s="8" t="s">
        <v>12</v>
      </c>
      <c r="C416" t="s">
        <v>3</v>
      </c>
    </row>
    <row r="417" spans="1:3" x14ac:dyDescent="0.3">
      <c r="A417" s="8" t="s">
        <v>427</v>
      </c>
      <c r="B417" s="8" t="s">
        <v>12</v>
      </c>
      <c r="C417" t="s">
        <v>3</v>
      </c>
    </row>
    <row r="418" spans="1:3" x14ac:dyDescent="0.3">
      <c r="A418" s="8" t="s">
        <v>428</v>
      </c>
      <c r="B418" s="8" t="s">
        <v>12</v>
      </c>
      <c r="C418" t="s">
        <v>3</v>
      </c>
    </row>
    <row r="419" spans="1:3" x14ac:dyDescent="0.3">
      <c r="A419" s="8" t="s">
        <v>429</v>
      </c>
      <c r="B419" s="8" t="s">
        <v>12</v>
      </c>
      <c r="C419" t="s">
        <v>3</v>
      </c>
    </row>
    <row r="420" spans="1:3" x14ac:dyDescent="0.3">
      <c r="A420" s="8" t="s">
        <v>430</v>
      </c>
      <c r="B420" s="8" t="s">
        <v>12</v>
      </c>
    </row>
    <row r="421" spans="1:3" x14ac:dyDescent="0.3">
      <c r="A421" s="8" t="s">
        <v>431</v>
      </c>
      <c r="B421" s="8" t="s">
        <v>12</v>
      </c>
    </row>
    <row r="422" spans="1:3" x14ac:dyDescent="0.3">
      <c r="A422" s="8" t="s">
        <v>432</v>
      </c>
      <c r="B422" s="8" t="s">
        <v>12</v>
      </c>
    </row>
    <row r="423" spans="1:3" x14ac:dyDescent="0.3">
      <c r="A423" s="8" t="s">
        <v>433</v>
      </c>
      <c r="B423" s="8" t="s">
        <v>12</v>
      </c>
    </row>
    <row r="424" spans="1:3" x14ac:dyDescent="0.3">
      <c r="A424" s="8" t="s">
        <v>434</v>
      </c>
      <c r="B424" s="8" t="s">
        <v>12</v>
      </c>
      <c r="C424" t="s">
        <v>2</v>
      </c>
    </row>
    <row r="425" spans="1:3" x14ac:dyDescent="0.3">
      <c r="A425" s="8" t="s">
        <v>435</v>
      </c>
      <c r="B425" s="8" t="s">
        <v>12</v>
      </c>
      <c r="C425" t="s">
        <v>2</v>
      </c>
    </row>
    <row r="426" spans="1:3" x14ac:dyDescent="0.3">
      <c r="A426" s="8" t="s">
        <v>436</v>
      </c>
      <c r="B426" s="8" t="s">
        <v>12</v>
      </c>
      <c r="C426" t="s">
        <v>2</v>
      </c>
    </row>
    <row r="427" spans="1:3" x14ac:dyDescent="0.3">
      <c r="A427" s="8" t="s">
        <v>437</v>
      </c>
      <c r="B427" s="8" t="s">
        <v>12</v>
      </c>
      <c r="C427" t="s">
        <v>2</v>
      </c>
    </row>
    <row r="428" spans="1:3" x14ac:dyDescent="0.3">
      <c r="A428" s="8" t="s">
        <v>438</v>
      </c>
      <c r="B428" s="8" t="s">
        <v>12</v>
      </c>
      <c r="C428" t="s">
        <v>2</v>
      </c>
    </row>
    <row r="429" spans="1:3" x14ac:dyDescent="0.3">
      <c r="A429" s="8" t="s">
        <v>439</v>
      </c>
      <c r="B429" s="8" t="s">
        <v>12</v>
      </c>
      <c r="C429" t="s">
        <v>2</v>
      </c>
    </row>
    <row r="430" spans="1:3" x14ac:dyDescent="0.3">
      <c r="A430" s="8" t="s">
        <v>440</v>
      </c>
      <c r="B430" s="8" t="s">
        <v>12</v>
      </c>
      <c r="C430" t="s">
        <v>2</v>
      </c>
    </row>
    <row r="431" spans="1:3" x14ac:dyDescent="0.3">
      <c r="A431" s="8" t="s">
        <v>441</v>
      </c>
      <c r="B431" s="8" t="s">
        <v>12</v>
      </c>
      <c r="C431" t="s">
        <v>3678</v>
      </c>
    </row>
    <row r="432" spans="1:3" x14ac:dyDescent="0.3">
      <c r="A432" s="8" t="s">
        <v>442</v>
      </c>
      <c r="B432" s="8" t="s">
        <v>12</v>
      </c>
      <c r="C432" t="s">
        <v>3678</v>
      </c>
    </row>
    <row r="433" spans="1:3" x14ac:dyDescent="0.3">
      <c r="A433" s="8" t="s">
        <v>443</v>
      </c>
      <c r="B433" s="8" t="s">
        <v>12</v>
      </c>
      <c r="C433" t="s">
        <v>3678</v>
      </c>
    </row>
    <row r="434" spans="1:3" x14ac:dyDescent="0.3">
      <c r="A434" s="8" t="s">
        <v>444</v>
      </c>
      <c r="B434" s="8" t="s">
        <v>12</v>
      </c>
      <c r="C434" t="s">
        <v>2</v>
      </c>
    </row>
    <row r="435" spans="1:3" x14ac:dyDescent="0.3">
      <c r="A435" s="8" t="s">
        <v>445</v>
      </c>
      <c r="B435" s="8" t="s">
        <v>12</v>
      </c>
      <c r="C435" t="s">
        <v>2</v>
      </c>
    </row>
    <row r="436" spans="1:3" x14ac:dyDescent="0.3">
      <c r="A436" s="8" t="s">
        <v>446</v>
      </c>
      <c r="B436" s="8" t="s">
        <v>12</v>
      </c>
      <c r="C436" t="s">
        <v>2</v>
      </c>
    </row>
    <row r="437" spans="1:3" x14ac:dyDescent="0.3">
      <c r="A437" s="8" t="s">
        <v>447</v>
      </c>
      <c r="B437" s="8" t="s">
        <v>12</v>
      </c>
      <c r="C437" t="s">
        <v>2</v>
      </c>
    </row>
    <row r="438" spans="1:3" x14ac:dyDescent="0.3">
      <c r="A438" s="8" t="s">
        <v>448</v>
      </c>
      <c r="B438" s="8" t="s">
        <v>12</v>
      </c>
      <c r="C438" t="s">
        <v>2</v>
      </c>
    </row>
    <row r="439" spans="1:3" x14ac:dyDescent="0.3">
      <c r="A439" s="8" t="s">
        <v>449</v>
      </c>
      <c r="B439" s="8" t="s">
        <v>12</v>
      </c>
      <c r="C439" t="s">
        <v>2</v>
      </c>
    </row>
    <row r="440" spans="1:3" x14ac:dyDescent="0.3">
      <c r="A440" s="8" t="s">
        <v>450</v>
      </c>
      <c r="B440" s="8" t="s">
        <v>12</v>
      </c>
      <c r="C440" t="s">
        <v>2</v>
      </c>
    </row>
    <row r="441" spans="1:3" x14ac:dyDescent="0.3">
      <c r="A441" s="8" t="s">
        <v>451</v>
      </c>
      <c r="B441" s="8" t="s">
        <v>12</v>
      </c>
      <c r="C441" t="s">
        <v>3678</v>
      </c>
    </row>
    <row r="442" spans="1:3" x14ac:dyDescent="0.3">
      <c r="A442" s="8" t="s">
        <v>452</v>
      </c>
      <c r="B442" s="8" t="s">
        <v>12</v>
      </c>
      <c r="C442" t="s">
        <v>3678</v>
      </c>
    </row>
    <row r="443" spans="1:3" x14ac:dyDescent="0.3">
      <c r="A443" s="8" t="s">
        <v>453</v>
      </c>
      <c r="B443" s="8" t="s">
        <v>12</v>
      </c>
      <c r="C443" t="s">
        <v>3678</v>
      </c>
    </row>
    <row r="444" spans="1:3" x14ac:dyDescent="0.3">
      <c r="A444" s="8" t="s">
        <v>454</v>
      </c>
      <c r="B444" s="8" t="s">
        <v>12</v>
      </c>
      <c r="C444" t="s">
        <v>3678</v>
      </c>
    </row>
    <row r="445" spans="1:3" x14ac:dyDescent="0.3">
      <c r="A445" s="8" t="s">
        <v>455</v>
      </c>
      <c r="B445" s="8" t="s">
        <v>12</v>
      </c>
      <c r="C445" t="s">
        <v>3678</v>
      </c>
    </row>
    <row r="446" spans="1:3" x14ac:dyDescent="0.3">
      <c r="A446" s="8" t="s">
        <v>456</v>
      </c>
      <c r="B446" s="8" t="s">
        <v>12</v>
      </c>
      <c r="C446" t="s">
        <v>3678</v>
      </c>
    </row>
    <row r="447" spans="1:3" x14ac:dyDescent="0.3">
      <c r="A447" s="8" t="s">
        <v>457</v>
      </c>
      <c r="B447" s="8" t="s">
        <v>12</v>
      </c>
      <c r="C447" t="s">
        <v>3678</v>
      </c>
    </row>
    <row r="448" spans="1:3" x14ac:dyDescent="0.3">
      <c r="A448" s="8" t="s">
        <v>458</v>
      </c>
      <c r="B448" s="8" t="s">
        <v>12</v>
      </c>
      <c r="C448" t="s">
        <v>2</v>
      </c>
    </row>
    <row r="449" spans="1:3" x14ac:dyDescent="0.3">
      <c r="A449" s="8" t="s">
        <v>459</v>
      </c>
      <c r="B449" s="8" t="s">
        <v>12</v>
      </c>
      <c r="C449" t="s">
        <v>2</v>
      </c>
    </row>
    <row r="450" spans="1:3" x14ac:dyDescent="0.3">
      <c r="A450" s="8" t="s">
        <v>460</v>
      </c>
      <c r="B450" s="8" t="s">
        <v>12</v>
      </c>
      <c r="C450" t="s">
        <v>2</v>
      </c>
    </row>
    <row r="451" spans="1:3" x14ac:dyDescent="0.3">
      <c r="A451" s="8" t="s">
        <v>461</v>
      </c>
      <c r="B451" s="8" t="s">
        <v>12</v>
      </c>
      <c r="C451" t="s">
        <v>2</v>
      </c>
    </row>
    <row r="452" spans="1:3" x14ac:dyDescent="0.3">
      <c r="A452" s="8" t="s">
        <v>462</v>
      </c>
      <c r="B452" s="8" t="s">
        <v>12</v>
      </c>
      <c r="C452" t="s">
        <v>2</v>
      </c>
    </row>
    <row r="453" spans="1:3" x14ac:dyDescent="0.3">
      <c r="A453" s="8" t="s">
        <v>463</v>
      </c>
      <c r="B453" s="8" t="s">
        <v>12</v>
      </c>
      <c r="C453" t="s">
        <v>2</v>
      </c>
    </row>
    <row r="454" spans="1:3" x14ac:dyDescent="0.3">
      <c r="A454" s="8" t="s">
        <v>464</v>
      </c>
      <c r="B454" s="8" t="s">
        <v>12</v>
      </c>
      <c r="C454" t="s">
        <v>2</v>
      </c>
    </row>
    <row r="455" spans="1:3" x14ac:dyDescent="0.3">
      <c r="A455" s="8" t="s">
        <v>465</v>
      </c>
      <c r="B455" s="8" t="s">
        <v>12</v>
      </c>
      <c r="C455" t="s">
        <v>2</v>
      </c>
    </row>
    <row r="456" spans="1:3" x14ac:dyDescent="0.3">
      <c r="A456" s="8" t="s">
        <v>466</v>
      </c>
      <c r="B456" s="8" t="s">
        <v>12</v>
      </c>
      <c r="C456" t="s">
        <v>2</v>
      </c>
    </row>
    <row r="457" spans="1:3" x14ac:dyDescent="0.3">
      <c r="A457" s="8" t="s">
        <v>467</v>
      </c>
      <c r="B457" s="8" t="s">
        <v>12</v>
      </c>
      <c r="C457" t="s">
        <v>2</v>
      </c>
    </row>
    <row r="458" spans="1:3" x14ac:dyDescent="0.3">
      <c r="A458" s="8" t="s">
        <v>468</v>
      </c>
      <c r="B458" s="8" t="s">
        <v>12</v>
      </c>
      <c r="C458" t="s">
        <v>2</v>
      </c>
    </row>
    <row r="459" spans="1:3" x14ac:dyDescent="0.3">
      <c r="A459" s="8" t="s">
        <v>469</v>
      </c>
      <c r="B459" s="8" t="s">
        <v>12</v>
      </c>
      <c r="C459" t="s">
        <v>2</v>
      </c>
    </row>
    <row r="460" spans="1:3" x14ac:dyDescent="0.3">
      <c r="A460" s="8" t="s">
        <v>470</v>
      </c>
      <c r="B460" s="8" t="s">
        <v>12</v>
      </c>
      <c r="C460" t="s">
        <v>2</v>
      </c>
    </row>
    <row r="461" spans="1:3" x14ac:dyDescent="0.3">
      <c r="A461" s="8" t="s">
        <v>471</v>
      </c>
      <c r="B461" s="8" t="s">
        <v>12</v>
      </c>
      <c r="C461" t="s">
        <v>2</v>
      </c>
    </row>
    <row r="462" spans="1:3" x14ac:dyDescent="0.3">
      <c r="A462" s="8" t="s">
        <v>472</v>
      </c>
      <c r="B462" s="8" t="s">
        <v>12</v>
      </c>
      <c r="C462" t="s">
        <v>2</v>
      </c>
    </row>
    <row r="463" spans="1:3" x14ac:dyDescent="0.3">
      <c r="A463" s="8" t="s">
        <v>473</v>
      </c>
      <c r="B463" s="8" t="s">
        <v>12</v>
      </c>
      <c r="C463" t="s">
        <v>2</v>
      </c>
    </row>
    <row r="464" spans="1:3" x14ac:dyDescent="0.3">
      <c r="A464" s="8" t="s">
        <v>474</v>
      </c>
      <c r="B464" s="8" t="s">
        <v>12</v>
      </c>
      <c r="C464" t="s">
        <v>2</v>
      </c>
    </row>
    <row r="465" spans="1:3" x14ac:dyDescent="0.3">
      <c r="A465" s="8" t="s">
        <v>475</v>
      </c>
      <c r="B465" s="8" t="s">
        <v>12</v>
      </c>
      <c r="C465" t="s">
        <v>2</v>
      </c>
    </row>
    <row r="466" spans="1:3" x14ac:dyDescent="0.3">
      <c r="A466" s="8" t="s">
        <v>476</v>
      </c>
      <c r="B466" s="8" t="s">
        <v>12</v>
      </c>
      <c r="C466" t="s">
        <v>2</v>
      </c>
    </row>
    <row r="467" spans="1:3" x14ac:dyDescent="0.3">
      <c r="A467" s="8" t="s">
        <v>477</v>
      </c>
      <c r="B467" s="8" t="s">
        <v>12</v>
      </c>
      <c r="C467" t="s">
        <v>2</v>
      </c>
    </row>
    <row r="468" spans="1:3" x14ac:dyDescent="0.3">
      <c r="A468" s="8" t="s">
        <v>478</v>
      </c>
      <c r="B468" s="8" t="s">
        <v>12</v>
      </c>
      <c r="C468" t="s">
        <v>2</v>
      </c>
    </row>
    <row r="469" spans="1:3" x14ac:dyDescent="0.3">
      <c r="A469" s="8" t="s">
        <v>479</v>
      </c>
      <c r="B469" s="8" t="s">
        <v>12</v>
      </c>
      <c r="C469" t="s">
        <v>2</v>
      </c>
    </row>
    <row r="470" spans="1:3" x14ac:dyDescent="0.3">
      <c r="A470" s="8" t="s">
        <v>480</v>
      </c>
      <c r="B470" s="8" t="s">
        <v>12</v>
      </c>
      <c r="C470" t="s">
        <v>2</v>
      </c>
    </row>
    <row r="471" spans="1:3" x14ac:dyDescent="0.3">
      <c r="A471" s="8" t="s">
        <v>481</v>
      </c>
      <c r="B471" s="8" t="s">
        <v>12</v>
      </c>
      <c r="C471" t="s">
        <v>2</v>
      </c>
    </row>
    <row r="472" spans="1:3" x14ac:dyDescent="0.3">
      <c r="A472" s="8" t="s">
        <v>482</v>
      </c>
      <c r="B472" s="8" t="s">
        <v>12</v>
      </c>
      <c r="C472" t="s">
        <v>2</v>
      </c>
    </row>
    <row r="473" spans="1:3" x14ac:dyDescent="0.3">
      <c r="A473" s="8" t="s">
        <v>483</v>
      </c>
      <c r="B473" s="8" t="s">
        <v>12</v>
      </c>
      <c r="C473" t="s">
        <v>2</v>
      </c>
    </row>
    <row r="474" spans="1:3" x14ac:dyDescent="0.3">
      <c r="A474" s="8" t="s">
        <v>484</v>
      </c>
      <c r="B474" s="8" t="s">
        <v>12</v>
      </c>
      <c r="C474" t="s">
        <v>2</v>
      </c>
    </row>
    <row r="475" spans="1:3" x14ac:dyDescent="0.3">
      <c r="A475" s="8" t="s">
        <v>485</v>
      </c>
      <c r="B475" s="8" t="s">
        <v>12</v>
      </c>
      <c r="C475" t="s">
        <v>2</v>
      </c>
    </row>
    <row r="476" spans="1:3" x14ac:dyDescent="0.3">
      <c r="A476" s="8" t="s">
        <v>486</v>
      </c>
      <c r="B476" s="8" t="s">
        <v>12</v>
      </c>
      <c r="C476" t="s">
        <v>2</v>
      </c>
    </row>
    <row r="477" spans="1:3" x14ac:dyDescent="0.3">
      <c r="A477" s="8" t="s">
        <v>487</v>
      </c>
      <c r="B477" s="8" t="s">
        <v>12</v>
      </c>
      <c r="C477" t="s">
        <v>2</v>
      </c>
    </row>
    <row r="478" spans="1:3" x14ac:dyDescent="0.3">
      <c r="A478" s="8" t="s">
        <v>488</v>
      </c>
      <c r="B478" s="8" t="s">
        <v>12</v>
      </c>
      <c r="C478" t="s">
        <v>2</v>
      </c>
    </row>
    <row r="479" spans="1:3" x14ac:dyDescent="0.3">
      <c r="A479" s="8" t="s">
        <v>489</v>
      </c>
      <c r="B479" s="8" t="s">
        <v>12</v>
      </c>
      <c r="C479" t="s">
        <v>2</v>
      </c>
    </row>
    <row r="480" spans="1:3" x14ac:dyDescent="0.3">
      <c r="A480" s="8" t="s">
        <v>490</v>
      </c>
      <c r="B480" s="8" t="s">
        <v>12</v>
      </c>
      <c r="C480" t="s">
        <v>2</v>
      </c>
    </row>
    <row r="481" spans="1:3" x14ac:dyDescent="0.3">
      <c r="A481" s="8" t="s">
        <v>491</v>
      </c>
      <c r="B481" s="8" t="s">
        <v>12</v>
      </c>
      <c r="C481" t="s">
        <v>2</v>
      </c>
    </row>
    <row r="482" spans="1:3" x14ac:dyDescent="0.3">
      <c r="A482" s="8" t="s">
        <v>492</v>
      </c>
      <c r="B482" s="8" t="s">
        <v>12</v>
      </c>
      <c r="C482" t="s">
        <v>2</v>
      </c>
    </row>
    <row r="483" spans="1:3" x14ac:dyDescent="0.3">
      <c r="A483" s="8" t="s">
        <v>493</v>
      </c>
      <c r="B483" s="8" t="s">
        <v>12</v>
      </c>
      <c r="C483" t="s">
        <v>2</v>
      </c>
    </row>
    <row r="484" spans="1:3" x14ac:dyDescent="0.3">
      <c r="A484" s="8" t="s">
        <v>494</v>
      </c>
      <c r="B484" s="8" t="s">
        <v>12</v>
      </c>
      <c r="C484" t="s">
        <v>2</v>
      </c>
    </row>
    <row r="485" spans="1:3" x14ac:dyDescent="0.3">
      <c r="A485" s="8" t="s">
        <v>495</v>
      </c>
      <c r="B485" s="8" t="s">
        <v>12</v>
      </c>
      <c r="C485" t="s">
        <v>2</v>
      </c>
    </row>
    <row r="486" spans="1:3" x14ac:dyDescent="0.3">
      <c r="A486" s="8" t="s">
        <v>496</v>
      </c>
      <c r="B486" s="8" t="s">
        <v>12</v>
      </c>
      <c r="C486" t="s">
        <v>2</v>
      </c>
    </row>
    <row r="487" spans="1:3" x14ac:dyDescent="0.3">
      <c r="A487" s="8" t="s">
        <v>497</v>
      </c>
      <c r="B487" s="8" t="s">
        <v>12</v>
      </c>
      <c r="C487" t="s">
        <v>2</v>
      </c>
    </row>
    <row r="488" spans="1:3" x14ac:dyDescent="0.3">
      <c r="A488" s="8" t="s">
        <v>498</v>
      </c>
      <c r="B488" s="8" t="s">
        <v>12</v>
      </c>
      <c r="C488" t="s">
        <v>2</v>
      </c>
    </row>
    <row r="489" spans="1:3" x14ac:dyDescent="0.3">
      <c r="A489" s="8" t="s">
        <v>499</v>
      </c>
      <c r="B489" s="8" t="s">
        <v>12</v>
      </c>
      <c r="C489" t="s">
        <v>2</v>
      </c>
    </row>
    <row r="490" spans="1:3" x14ac:dyDescent="0.3">
      <c r="A490" s="8" t="s">
        <v>500</v>
      </c>
      <c r="B490" s="8" t="s">
        <v>12</v>
      </c>
      <c r="C490" t="s">
        <v>2</v>
      </c>
    </row>
    <row r="491" spans="1:3" x14ac:dyDescent="0.3">
      <c r="A491" s="8" t="s">
        <v>501</v>
      </c>
      <c r="B491" s="8" t="s">
        <v>12</v>
      </c>
      <c r="C491" t="s">
        <v>2</v>
      </c>
    </row>
    <row r="492" spans="1:3" x14ac:dyDescent="0.3">
      <c r="A492" s="8" t="s">
        <v>502</v>
      </c>
      <c r="B492" s="8" t="s">
        <v>12</v>
      </c>
      <c r="C492" t="s">
        <v>2</v>
      </c>
    </row>
    <row r="493" spans="1:3" x14ac:dyDescent="0.3">
      <c r="A493" s="8" t="s">
        <v>503</v>
      </c>
      <c r="B493" s="8" t="s">
        <v>12</v>
      </c>
      <c r="C493" t="s">
        <v>2</v>
      </c>
    </row>
    <row r="494" spans="1:3" x14ac:dyDescent="0.3">
      <c r="A494" s="8" t="s">
        <v>504</v>
      </c>
      <c r="B494" s="8" t="s">
        <v>12</v>
      </c>
      <c r="C494" t="s">
        <v>2</v>
      </c>
    </row>
    <row r="495" spans="1:3" x14ac:dyDescent="0.3">
      <c r="A495" s="8" t="s">
        <v>505</v>
      </c>
      <c r="B495" s="8" t="s">
        <v>12</v>
      </c>
      <c r="C495" t="s">
        <v>2</v>
      </c>
    </row>
    <row r="496" spans="1:3" x14ac:dyDescent="0.3">
      <c r="A496" s="8" t="s">
        <v>506</v>
      </c>
      <c r="B496" s="8" t="s">
        <v>12</v>
      </c>
      <c r="C496" t="s">
        <v>2</v>
      </c>
    </row>
    <row r="497" spans="1:3" x14ac:dyDescent="0.3">
      <c r="A497" s="8" t="s">
        <v>507</v>
      </c>
      <c r="B497" s="8" t="s">
        <v>12</v>
      </c>
      <c r="C497" t="s">
        <v>2</v>
      </c>
    </row>
    <row r="498" spans="1:3" x14ac:dyDescent="0.3">
      <c r="A498" s="8" t="s">
        <v>508</v>
      </c>
      <c r="B498" s="8" t="s">
        <v>12</v>
      </c>
      <c r="C498" t="s">
        <v>2</v>
      </c>
    </row>
    <row r="499" spans="1:3" x14ac:dyDescent="0.3">
      <c r="A499" s="8" t="s">
        <v>509</v>
      </c>
      <c r="B499" s="8" t="s">
        <v>12</v>
      </c>
      <c r="C499" t="s">
        <v>2</v>
      </c>
    </row>
    <row r="500" spans="1:3" x14ac:dyDescent="0.3">
      <c r="A500" s="8" t="s">
        <v>510</v>
      </c>
      <c r="B500" s="8" t="s">
        <v>12</v>
      </c>
      <c r="C500" t="s">
        <v>2</v>
      </c>
    </row>
    <row r="501" spans="1:3" x14ac:dyDescent="0.3">
      <c r="A501" s="8" t="s">
        <v>511</v>
      </c>
      <c r="B501" s="8" t="s">
        <v>12</v>
      </c>
      <c r="C501" t="s">
        <v>2</v>
      </c>
    </row>
    <row r="502" spans="1:3" x14ac:dyDescent="0.3">
      <c r="A502" s="8" t="s">
        <v>512</v>
      </c>
      <c r="B502" s="8" t="s">
        <v>12</v>
      </c>
      <c r="C502" t="s">
        <v>3</v>
      </c>
    </row>
    <row r="503" spans="1:3" x14ac:dyDescent="0.3">
      <c r="A503" s="8" t="s">
        <v>513</v>
      </c>
      <c r="B503" s="8" t="s">
        <v>12</v>
      </c>
      <c r="C503" t="s">
        <v>3</v>
      </c>
    </row>
    <row r="504" spans="1:3" x14ac:dyDescent="0.3">
      <c r="A504" s="8" t="s">
        <v>514</v>
      </c>
      <c r="B504" s="8" t="s">
        <v>12</v>
      </c>
      <c r="C504" t="s">
        <v>3</v>
      </c>
    </row>
    <row r="505" spans="1:3" x14ac:dyDescent="0.3">
      <c r="A505" s="8" t="s">
        <v>515</v>
      </c>
      <c r="B505" s="8" t="s">
        <v>12</v>
      </c>
      <c r="C505" t="s">
        <v>3</v>
      </c>
    </row>
    <row r="506" spans="1:3" x14ac:dyDescent="0.3">
      <c r="A506" s="8" t="s">
        <v>516</v>
      </c>
      <c r="B506" s="8" t="s">
        <v>12</v>
      </c>
      <c r="C506" t="s">
        <v>3</v>
      </c>
    </row>
    <row r="507" spans="1:3" x14ac:dyDescent="0.3">
      <c r="A507" s="8" t="s">
        <v>517</v>
      </c>
      <c r="B507" s="8" t="s">
        <v>12</v>
      </c>
      <c r="C507" t="s">
        <v>3</v>
      </c>
    </row>
    <row r="508" spans="1:3" x14ac:dyDescent="0.3">
      <c r="A508" s="8" t="s">
        <v>518</v>
      </c>
      <c r="B508" s="8" t="s">
        <v>12</v>
      </c>
      <c r="C508" t="s">
        <v>3</v>
      </c>
    </row>
    <row r="509" spans="1:3" x14ac:dyDescent="0.3">
      <c r="A509" s="8" t="s">
        <v>519</v>
      </c>
      <c r="B509" s="8" t="s">
        <v>12</v>
      </c>
      <c r="C509" t="s">
        <v>3</v>
      </c>
    </row>
    <row r="510" spans="1:3" x14ac:dyDescent="0.3">
      <c r="A510" s="8" t="s">
        <v>520</v>
      </c>
      <c r="B510" s="8" t="s">
        <v>12</v>
      </c>
      <c r="C510" t="s">
        <v>3</v>
      </c>
    </row>
    <row r="511" spans="1:3" x14ac:dyDescent="0.3">
      <c r="A511" s="8" t="s">
        <v>521</v>
      </c>
      <c r="B511" s="8" t="s">
        <v>12</v>
      </c>
      <c r="C511" t="s">
        <v>3678</v>
      </c>
    </row>
    <row r="512" spans="1:3" x14ac:dyDescent="0.3">
      <c r="A512" s="8" t="s">
        <v>522</v>
      </c>
      <c r="B512" s="8" t="s">
        <v>12</v>
      </c>
      <c r="C512" t="s">
        <v>2</v>
      </c>
    </row>
    <row r="513" spans="1:3" x14ac:dyDescent="0.3">
      <c r="A513" s="8" t="s">
        <v>523</v>
      </c>
      <c r="B513" s="8" t="s">
        <v>12</v>
      </c>
      <c r="C513" t="s">
        <v>2</v>
      </c>
    </row>
    <row r="514" spans="1:3" x14ac:dyDescent="0.3">
      <c r="A514" s="8" t="s">
        <v>524</v>
      </c>
      <c r="B514" s="8" t="s">
        <v>12</v>
      </c>
      <c r="C514" t="s">
        <v>2</v>
      </c>
    </row>
    <row r="515" spans="1:3" x14ac:dyDescent="0.3">
      <c r="A515" s="8" t="s">
        <v>525</v>
      </c>
      <c r="B515" s="8" t="s">
        <v>12</v>
      </c>
      <c r="C515" t="s">
        <v>2</v>
      </c>
    </row>
    <row r="516" spans="1:3" x14ac:dyDescent="0.3">
      <c r="A516" s="8" t="s">
        <v>526</v>
      </c>
      <c r="B516" s="8" t="s">
        <v>12</v>
      </c>
      <c r="C516" t="s">
        <v>2</v>
      </c>
    </row>
    <row r="517" spans="1:3" x14ac:dyDescent="0.3">
      <c r="A517" s="8" t="s">
        <v>527</v>
      </c>
      <c r="B517" s="8" t="s">
        <v>12</v>
      </c>
      <c r="C517" t="s">
        <v>2</v>
      </c>
    </row>
    <row r="518" spans="1:3" x14ac:dyDescent="0.3">
      <c r="A518" s="8" t="s">
        <v>528</v>
      </c>
      <c r="B518" s="8" t="s">
        <v>12</v>
      </c>
      <c r="C518" t="s">
        <v>2</v>
      </c>
    </row>
    <row r="519" spans="1:3" x14ac:dyDescent="0.3">
      <c r="A519" s="8" t="s">
        <v>529</v>
      </c>
      <c r="B519" s="8" t="s">
        <v>12</v>
      </c>
      <c r="C519" t="s">
        <v>2</v>
      </c>
    </row>
    <row r="520" spans="1:3" x14ac:dyDescent="0.3">
      <c r="A520" s="8" t="s">
        <v>530</v>
      </c>
      <c r="B520" s="8" t="s">
        <v>12</v>
      </c>
      <c r="C520" t="s">
        <v>2</v>
      </c>
    </row>
    <row r="521" spans="1:3" x14ac:dyDescent="0.3">
      <c r="A521" s="8" t="s">
        <v>531</v>
      </c>
      <c r="B521" s="8" t="s">
        <v>12</v>
      </c>
      <c r="C521" t="s">
        <v>2</v>
      </c>
    </row>
    <row r="522" spans="1:3" x14ac:dyDescent="0.3">
      <c r="A522" s="8" t="s">
        <v>532</v>
      </c>
      <c r="B522" s="8" t="s">
        <v>12</v>
      </c>
      <c r="C522" t="s">
        <v>2</v>
      </c>
    </row>
    <row r="523" spans="1:3" x14ac:dyDescent="0.3">
      <c r="A523" s="8" t="s">
        <v>533</v>
      </c>
      <c r="B523" s="8" t="s">
        <v>12</v>
      </c>
      <c r="C523" t="s">
        <v>2</v>
      </c>
    </row>
    <row r="524" spans="1:3" x14ac:dyDescent="0.3">
      <c r="A524" s="8" t="s">
        <v>534</v>
      </c>
      <c r="B524" s="8" t="s">
        <v>12</v>
      </c>
      <c r="C524" t="s">
        <v>2</v>
      </c>
    </row>
    <row r="525" spans="1:3" x14ac:dyDescent="0.3">
      <c r="A525" s="8" t="s">
        <v>535</v>
      </c>
      <c r="B525" s="8" t="s">
        <v>12</v>
      </c>
      <c r="C525" t="s">
        <v>2</v>
      </c>
    </row>
    <row r="526" spans="1:3" x14ac:dyDescent="0.3">
      <c r="A526" s="8" t="s">
        <v>536</v>
      </c>
      <c r="B526" s="8" t="s">
        <v>12</v>
      </c>
      <c r="C526" t="s">
        <v>2</v>
      </c>
    </row>
    <row r="527" spans="1:3" x14ac:dyDescent="0.3">
      <c r="A527" s="8" t="s">
        <v>537</v>
      </c>
      <c r="B527" s="8" t="s">
        <v>12</v>
      </c>
      <c r="C527" t="s">
        <v>2</v>
      </c>
    </row>
    <row r="528" spans="1:3" x14ac:dyDescent="0.3">
      <c r="A528" s="8" t="s">
        <v>538</v>
      </c>
      <c r="B528" s="8" t="s">
        <v>12</v>
      </c>
      <c r="C528" t="s">
        <v>2</v>
      </c>
    </row>
    <row r="529" spans="1:3" x14ac:dyDescent="0.3">
      <c r="A529" s="8" t="s">
        <v>539</v>
      </c>
      <c r="B529" s="8" t="s">
        <v>12</v>
      </c>
      <c r="C529" t="s">
        <v>2</v>
      </c>
    </row>
    <row r="530" spans="1:3" x14ac:dyDescent="0.3">
      <c r="A530" s="8" t="s">
        <v>540</v>
      </c>
      <c r="B530" s="8" t="s">
        <v>12</v>
      </c>
      <c r="C530" t="s">
        <v>2</v>
      </c>
    </row>
    <row r="531" spans="1:3" x14ac:dyDescent="0.3">
      <c r="A531" s="8" t="s">
        <v>541</v>
      </c>
      <c r="B531" s="8" t="s">
        <v>12</v>
      </c>
      <c r="C531" t="s">
        <v>2</v>
      </c>
    </row>
    <row r="532" spans="1:3" x14ac:dyDescent="0.3">
      <c r="A532" s="8" t="s">
        <v>542</v>
      </c>
      <c r="B532" s="8" t="s">
        <v>12</v>
      </c>
      <c r="C532" t="s">
        <v>2</v>
      </c>
    </row>
    <row r="533" spans="1:3" x14ac:dyDescent="0.3">
      <c r="A533" s="8" t="s">
        <v>543</v>
      </c>
      <c r="B533" s="8" t="s">
        <v>12</v>
      </c>
      <c r="C533" t="s">
        <v>2</v>
      </c>
    </row>
    <row r="534" spans="1:3" x14ac:dyDescent="0.3">
      <c r="A534" s="8" t="s">
        <v>544</v>
      </c>
      <c r="B534" s="8" t="s">
        <v>12</v>
      </c>
      <c r="C534" t="s">
        <v>2</v>
      </c>
    </row>
    <row r="535" spans="1:3" x14ac:dyDescent="0.3">
      <c r="A535" s="8" t="s">
        <v>545</v>
      </c>
      <c r="B535" s="8" t="s">
        <v>12</v>
      </c>
      <c r="C535" t="s">
        <v>2</v>
      </c>
    </row>
    <row r="536" spans="1:3" x14ac:dyDescent="0.3">
      <c r="A536" s="8" t="s">
        <v>546</v>
      </c>
      <c r="B536" s="8" t="s">
        <v>12</v>
      </c>
      <c r="C536" t="s">
        <v>2</v>
      </c>
    </row>
    <row r="537" spans="1:3" x14ac:dyDescent="0.3">
      <c r="A537" s="8" t="s">
        <v>547</v>
      </c>
      <c r="B537" s="8" t="s">
        <v>12</v>
      </c>
      <c r="C537" t="s">
        <v>2</v>
      </c>
    </row>
    <row r="538" spans="1:3" x14ac:dyDescent="0.3">
      <c r="A538" s="8" t="s">
        <v>548</v>
      </c>
      <c r="B538" s="8" t="s">
        <v>12</v>
      </c>
      <c r="C538" t="s">
        <v>2</v>
      </c>
    </row>
    <row r="539" spans="1:3" x14ac:dyDescent="0.3">
      <c r="A539" s="8" t="s">
        <v>549</v>
      </c>
      <c r="B539" s="8" t="s">
        <v>12</v>
      </c>
      <c r="C539" t="s">
        <v>2</v>
      </c>
    </row>
    <row r="540" spans="1:3" x14ac:dyDescent="0.3">
      <c r="A540" s="8" t="s">
        <v>550</v>
      </c>
      <c r="B540" s="8" t="s">
        <v>12</v>
      </c>
      <c r="C540" t="s">
        <v>2</v>
      </c>
    </row>
    <row r="541" spans="1:3" x14ac:dyDescent="0.3">
      <c r="A541" s="8" t="s">
        <v>551</v>
      </c>
      <c r="B541" s="8" t="s">
        <v>12</v>
      </c>
      <c r="C541" t="s">
        <v>2</v>
      </c>
    </row>
    <row r="542" spans="1:3" x14ac:dyDescent="0.3">
      <c r="A542" s="8" t="s">
        <v>552</v>
      </c>
      <c r="B542" s="8" t="s">
        <v>12</v>
      </c>
      <c r="C542" t="s">
        <v>2</v>
      </c>
    </row>
    <row r="543" spans="1:3" x14ac:dyDescent="0.3">
      <c r="A543" s="8" t="s">
        <v>553</v>
      </c>
      <c r="B543" s="8" t="s">
        <v>12</v>
      </c>
      <c r="C543" t="s">
        <v>2</v>
      </c>
    </row>
    <row r="544" spans="1:3" x14ac:dyDescent="0.3">
      <c r="A544" s="8" t="s">
        <v>554</v>
      </c>
      <c r="B544" s="8" t="s">
        <v>12</v>
      </c>
      <c r="C544" t="s">
        <v>2</v>
      </c>
    </row>
    <row r="545" spans="1:3" x14ac:dyDescent="0.3">
      <c r="A545" s="8" t="s">
        <v>555</v>
      </c>
      <c r="B545" s="8" t="s">
        <v>12</v>
      </c>
      <c r="C545" t="s">
        <v>2</v>
      </c>
    </row>
    <row r="546" spans="1:3" x14ac:dyDescent="0.3">
      <c r="A546" s="8" t="s">
        <v>556</v>
      </c>
      <c r="B546" s="8" t="s">
        <v>12</v>
      </c>
      <c r="C546" t="s">
        <v>2</v>
      </c>
    </row>
    <row r="547" spans="1:3" x14ac:dyDescent="0.3">
      <c r="A547" s="8" t="s">
        <v>557</v>
      </c>
      <c r="B547" s="8" t="s">
        <v>12</v>
      </c>
      <c r="C547" t="s">
        <v>2</v>
      </c>
    </row>
    <row r="548" spans="1:3" x14ac:dyDescent="0.3">
      <c r="A548" s="8" t="s">
        <v>558</v>
      </c>
      <c r="B548" s="8" t="s">
        <v>12</v>
      </c>
      <c r="C548" t="s">
        <v>2</v>
      </c>
    </row>
    <row r="549" spans="1:3" x14ac:dyDescent="0.3">
      <c r="A549" s="8" t="s">
        <v>559</v>
      </c>
      <c r="B549" s="8" t="s">
        <v>12</v>
      </c>
      <c r="C549" t="s">
        <v>2</v>
      </c>
    </row>
    <row r="550" spans="1:3" x14ac:dyDescent="0.3">
      <c r="A550" s="8" t="s">
        <v>560</v>
      </c>
      <c r="B550" s="8" t="s">
        <v>12</v>
      </c>
      <c r="C550" t="s">
        <v>2</v>
      </c>
    </row>
    <row r="551" spans="1:3" x14ac:dyDescent="0.3">
      <c r="A551" s="8" t="s">
        <v>561</v>
      </c>
      <c r="B551" s="8" t="s">
        <v>12</v>
      </c>
      <c r="C551" t="s">
        <v>2</v>
      </c>
    </row>
    <row r="552" spans="1:3" x14ac:dyDescent="0.3">
      <c r="A552" s="8" t="s">
        <v>562</v>
      </c>
      <c r="B552" s="8" t="s">
        <v>12</v>
      </c>
      <c r="C552" t="s">
        <v>2</v>
      </c>
    </row>
    <row r="553" spans="1:3" x14ac:dyDescent="0.3">
      <c r="A553" s="8" t="s">
        <v>563</v>
      </c>
      <c r="B553" s="8" t="s">
        <v>12</v>
      </c>
      <c r="C553" t="s">
        <v>2</v>
      </c>
    </row>
    <row r="554" spans="1:3" x14ac:dyDescent="0.3">
      <c r="A554" s="8" t="s">
        <v>564</v>
      </c>
      <c r="B554" s="8" t="s">
        <v>12</v>
      </c>
      <c r="C554" t="s">
        <v>2</v>
      </c>
    </row>
    <row r="555" spans="1:3" x14ac:dyDescent="0.3">
      <c r="A555" s="8" t="s">
        <v>565</v>
      </c>
      <c r="B555" s="8" t="s">
        <v>12</v>
      </c>
      <c r="C555" t="s">
        <v>2</v>
      </c>
    </row>
    <row r="556" spans="1:3" x14ac:dyDescent="0.3">
      <c r="A556" s="8" t="s">
        <v>566</v>
      </c>
      <c r="B556" s="8" t="s">
        <v>12</v>
      </c>
      <c r="C556" t="s">
        <v>2</v>
      </c>
    </row>
    <row r="557" spans="1:3" x14ac:dyDescent="0.3">
      <c r="A557" s="8" t="s">
        <v>567</v>
      </c>
      <c r="B557" s="8" t="s">
        <v>12</v>
      </c>
      <c r="C557" t="s">
        <v>2</v>
      </c>
    </row>
    <row r="558" spans="1:3" x14ac:dyDescent="0.3">
      <c r="A558" s="8" t="s">
        <v>568</v>
      </c>
      <c r="B558" s="8" t="s">
        <v>12</v>
      </c>
      <c r="C558" t="s">
        <v>2</v>
      </c>
    </row>
    <row r="559" spans="1:3" x14ac:dyDescent="0.3">
      <c r="A559" s="8" t="s">
        <v>569</v>
      </c>
      <c r="B559" s="8" t="s">
        <v>12</v>
      </c>
      <c r="C559" t="s">
        <v>3</v>
      </c>
    </row>
    <row r="560" spans="1:3" x14ac:dyDescent="0.3">
      <c r="A560" s="8" t="s">
        <v>570</v>
      </c>
      <c r="B560" s="8" t="s">
        <v>12</v>
      </c>
      <c r="C560" t="s">
        <v>3</v>
      </c>
    </row>
    <row r="561" spans="1:3" x14ac:dyDescent="0.3">
      <c r="A561" s="8" t="s">
        <v>571</v>
      </c>
      <c r="B561" s="8" t="s">
        <v>12</v>
      </c>
      <c r="C561" t="s">
        <v>3</v>
      </c>
    </row>
    <row r="562" spans="1:3" x14ac:dyDescent="0.3">
      <c r="A562" s="8" t="s">
        <v>572</v>
      </c>
      <c r="B562" s="8" t="s">
        <v>12</v>
      </c>
      <c r="C562" t="s">
        <v>3</v>
      </c>
    </row>
    <row r="563" spans="1:3" x14ac:dyDescent="0.3">
      <c r="A563" s="8" t="s">
        <v>573</v>
      </c>
      <c r="B563" s="8" t="s">
        <v>12</v>
      </c>
      <c r="C563" t="s">
        <v>3</v>
      </c>
    </row>
    <row r="564" spans="1:3" x14ac:dyDescent="0.3">
      <c r="A564" s="8" t="s">
        <v>574</v>
      </c>
      <c r="B564" s="8" t="s">
        <v>12</v>
      </c>
      <c r="C564" t="s">
        <v>3</v>
      </c>
    </row>
    <row r="565" spans="1:3" x14ac:dyDescent="0.3">
      <c r="A565" s="8" t="s">
        <v>575</v>
      </c>
      <c r="B565" s="8" t="s">
        <v>12</v>
      </c>
      <c r="C565" t="s">
        <v>3</v>
      </c>
    </row>
    <row r="566" spans="1:3" x14ac:dyDescent="0.3">
      <c r="A566" s="8" t="s">
        <v>576</v>
      </c>
      <c r="B566" s="8" t="s">
        <v>12</v>
      </c>
      <c r="C566" t="s">
        <v>3</v>
      </c>
    </row>
    <row r="567" spans="1:3" x14ac:dyDescent="0.3">
      <c r="A567" s="8" t="s">
        <v>577</v>
      </c>
      <c r="B567" s="8" t="s">
        <v>12</v>
      </c>
      <c r="C567" t="s">
        <v>3</v>
      </c>
    </row>
    <row r="568" spans="1:3" x14ac:dyDescent="0.3">
      <c r="A568" s="8" t="s">
        <v>578</v>
      </c>
      <c r="B568" s="8" t="s">
        <v>12</v>
      </c>
      <c r="C568" t="s">
        <v>3</v>
      </c>
    </row>
    <row r="569" spans="1:3" x14ac:dyDescent="0.3">
      <c r="A569" s="8" t="s">
        <v>579</v>
      </c>
      <c r="B569" s="8" t="s">
        <v>12</v>
      </c>
      <c r="C569" t="s">
        <v>3</v>
      </c>
    </row>
    <row r="570" spans="1:3" x14ac:dyDescent="0.3">
      <c r="A570" s="8" t="s">
        <v>580</v>
      </c>
      <c r="B570" s="8" t="s">
        <v>12</v>
      </c>
      <c r="C570" t="s">
        <v>3</v>
      </c>
    </row>
    <row r="571" spans="1:3" x14ac:dyDescent="0.3">
      <c r="A571" s="8" t="s">
        <v>581</v>
      </c>
      <c r="B571" s="8" t="s">
        <v>12</v>
      </c>
      <c r="C571" t="s">
        <v>3</v>
      </c>
    </row>
    <row r="572" spans="1:3" x14ac:dyDescent="0.3">
      <c r="A572" s="8" t="s">
        <v>582</v>
      </c>
      <c r="B572" s="8" t="s">
        <v>12</v>
      </c>
      <c r="C572" t="s">
        <v>3</v>
      </c>
    </row>
    <row r="573" spans="1:3" x14ac:dyDescent="0.3">
      <c r="A573" s="8" t="s">
        <v>583</v>
      </c>
      <c r="B573" s="8" t="s">
        <v>12</v>
      </c>
      <c r="C573" t="s">
        <v>2</v>
      </c>
    </row>
    <row r="574" spans="1:3" x14ac:dyDescent="0.3">
      <c r="A574" s="8" t="s">
        <v>584</v>
      </c>
      <c r="B574" s="8" t="s">
        <v>12</v>
      </c>
      <c r="C574" t="s">
        <v>2</v>
      </c>
    </row>
    <row r="575" spans="1:3" x14ac:dyDescent="0.3">
      <c r="A575" s="8" t="s">
        <v>585</v>
      </c>
      <c r="B575" s="8" t="s">
        <v>12</v>
      </c>
      <c r="C575" t="s">
        <v>2</v>
      </c>
    </row>
    <row r="576" spans="1:3" x14ac:dyDescent="0.3">
      <c r="A576" s="8" t="s">
        <v>586</v>
      </c>
      <c r="B576" s="8" t="s">
        <v>12</v>
      </c>
      <c r="C576" t="s">
        <v>2</v>
      </c>
    </row>
    <row r="577" spans="1:3" x14ac:dyDescent="0.3">
      <c r="A577" s="8" t="s">
        <v>587</v>
      </c>
      <c r="B577" s="8" t="s">
        <v>12</v>
      </c>
      <c r="C577" t="s">
        <v>2</v>
      </c>
    </row>
    <row r="578" spans="1:3" x14ac:dyDescent="0.3">
      <c r="A578" s="8" t="s">
        <v>588</v>
      </c>
      <c r="B578" s="8" t="s">
        <v>12</v>
      </c>
      <c r="C578" t="s">
        <v>2</v>
      </c>
    </row>
    <row r="579" spans="1:3" x14ac:dyDescent="0.3">
      <c r="A579" s="8" t="s">
        <v>589</v>
      </c>
      <c r="B579" s="8" t="s">
        <v>12</v>
      </c>
      <c r="C579" t="s">
        <v>2</v>
      </c>
    </row>
    <row r="580" spans="1:3" x14ac:dyDescent="0.3">
      <c r="A580" s="8" t="s">
        <v>590</v>
      </c>
      <c r="B580" s="8" t="s">
        <v>12</v>
      </c>
      <c r="C580" t="s">
        <v>3678</v>
      </c>
    </row>
    <row r="581" spans="1:3" x14ac:dyDescent="0.3">
      <c r="A581" s="8" t="s">
        <v>591</v>
      </c>
      <c r="B581" s="8" t="s">
        <v>12</v>
      </c>
      <c r="C581" t="s">
        <v>3678</v>
      </c>
    </row>
    <row r="582" spans="1:3" x14ac:dyDescent="0.3">
      <c r="A582" s="8" t="s">
        <v>592</v>
      </c>
      <c r="B582" s="8" t="s">
        <v>12</v>
      </c>
      <c r="C582" t="s">
        <v>3678</v>
      </c>
    </row>
    <row r="583" spans="1:3" x14ac:dyDescent="0.3">
      <c r="A583" s="8" t="s">
        <v>593</v>
      </c>
      <c r="B583" s="8" t="s">
        <v>12</v>
      </c>
      <c r="C583" t="s">
        <v>3678</v>
      </c>
    </row>
    <row r="584" spans="1:3" x14ac:dyDescent="0.3">
      <c r="A584" s="8" t="s">
        <v>594</v>
      </c>
      <c r="B584" s="8" t="s">
        <v>12</v>
      </c>
      <c r="C584" t="s">
        <v>3678</v>
      </c>
    </row>
    <row r="585" spans="1:3" x14ac:dyDescent="0.3">
      <c r="A585" s="8" t="s">
        <v>595</v>
      </c>
      <c r="B585" s="8" t="s">
        <v>12</v>
      </c>
      <c r="C585" t="s">
        <v>3678</v>
      </c>
    </row>
    <row r="586" spans="1:3" x14ac:dyDescent="0.3">
      <c r="A586" s="8" t="s">
        <v>596</v>
      </c>
      <c r="B586" s="8" t="s">
        <v>12</v>
      </c>
      <c r="C586" t="s">
        <v>2</v>
      </c>
    </row>
    <row r="587" spans="1:3" x14ac:dyDescent="0.3">
      <c r="A587" s="8" t="s">
        <v>597</v>
      </c>
      <c r="B587" s="8" t="s">
        <v>12</v>
      </c>
      <c r="C587" t="s">
        <v>2</v>
      </c>
    </row>
    <row r="588" spans="1:3" x14ac:dyDescent="0.3">
      <c r="A588" s="8" t="s">
        <v>598</v>
      </c>
      <c r="B588" s="8" t="s">
        <v>12</v>
      </c>
      <c r="C588" t="s">
        <v>2</v>
      </c>
    </row>
    <row r="589" spans="1:3" x14ac:dyDescent="0.3">
      <c r="A589" s="8" t="s">
        <v>599</v>
      </c>
      <c r="B589" s="8" t="s">
        <v>12</v>
      </c>
      <c r="C589" t="s">
        <v>2</v>
      </c>
    </row>
    <row r="590" spans="1:3" x14ac:dyDescent="0.3">
      <c r="A590" s="8" t="s">
        <v>600</v>
      </c>
      <c r="B590" s="8" t="s">
        <v>12</v>
      </c>
      <c r="C590" t="s">
        <v>2</v>
      </c>
    </row>
    <row r="591" spans="1:3" x14ac:dyDescent="0.3">
      <c r="A591" s="8" t="s">
        <v>601</v>
      </c>
      <c r="B591" s="8" t="s">
        <v>12</v>
      </c>
      <c r="C591" t="s">
        <v>2</v>
      </c>
    </row>
    <row r="592" spans="1:3" x14ac:dyDescent="0.3">
      <c r="A592" s="8" t="s">
        <v>602</v>
      </c>
      <c r="B592" s="8" t="s">
        <v>12</v>
      </c>
      <c r="C592" t="s">
        <v>2</v>
      </c>
    </row>
    <row r="593" spans="1:3" x14ac:dyDescent="0.3">
      <c r="A593" s="8" t="s">
        <v>603</v>
      </c>
      <c r="B593" s="8" t="s">
        <v>12</v>
      </c>
      <c r="C593" t="s">
        <v>2</v>
      </c>
    </row>
    <row r="594" spans="1:3" x14ac:dyDescent="0.3">
      <c r="A594" s="8" t="s">
        <v>604</v>
      </c>
      <c r="B594" s="8" t="s">
        <v>12</v>
      </c>
      <c r="C594" t="s">
        <v>2</v>
      </c>
    </row>
    <row r="595" spans="1:3" x14ac:dyDescent="0.3">
      <c r="A595" s="8" t="s">
        <v>605</v>
      </c>
      <c r="B595" s="8" t="s">
        <v>12</v>
      </c>
      <c r="C595" t="s">
        <v>2</v>
      </c>
    </row>
    <row r="596" spans="1:3" x14ac:dyDescent="0.3">
      <c r="A596" s="8" t="s">
        <v>606</v>
      </c>
      <c r="B596" s="8" t="s">
        <v>12</v>
      </c>
      <c r="C596" t="s">
        <v>2</v>
      </c>
    </row>
    <row r="597" spans="1:3" x14ac:dyDescent="0.3">
      <c r="A597" s="8" t="s">
        <v>607</v>
      </c>
      <c r="B597" s="8" t="s">
        <v>12</v>
      </c>
      <c r="C597" t="s">
        <v>2</v>
      </c>
    </row>
    <row r="598" spans="1:3" x14ac:dyDescent="0.3">
      <c r="A598" s="8" t="s">
        <v>608</v>
      </c>
      <c r="B598" s="8" t="s">
        <v>12</v>
      </c>
      <c r="C598" t="s">
        <v>2</v>
      </c>
    </row>
    <row r="599" spans="1:3" x14ac:dyDescent="0.3">
      <c r="A599" s="8" t="s">
        <v>609</v>
      </c>
      <c r="B599" s="8" t="s">
        <v>12</v>
      </c>
      <c r="C599" t="s">
        <v>2</v>
      </c>
    </row>
    <row r="600" spans="1:3" x14ac:dyDescent="0.3">
      <c r="A600" s="8" t="s">
        <v>610</v>
      </c>
      <c r="B600" s="8" t="s">
        <v>12</v>
      </c>
      <c r="C600" t="s">
        <v>2</v>
      </c>
    </row>
    <row r="601" spans="1:3" x14ac:dyDescent="0.3">
      <c r="A601" s="8" t="s">
        <v>611</v>
      </c>
      <c r="B601" s="8" t="s">
        <v>12</v>
      </c>
      <c r="C601" t="s">
        <v>2</v>
      </c>
    </row>
    <row r="602" spans="1:3" x14ac:dyDescent="0.3">
      <c r="A602" s="8" t="s">
        <v>612</v>
      </c>
      <c r="B602" s="8" t="s">
        <v>12</v>
      </c>
      <c r="C602" t="s">
        <v>2</v>
      </c>
    </row>
    <row r="603" spans="1:3" x14ac:dyDescent="0.3">
      <c r="A603" s="8" t="s">
        <v>613</v>
      </c>
      <c r="B603" s="8" t="s">
        <v>12</v>
      </c>
      <c r="C603" t="s">
        <v>2</v>
      </c>
    </row>
    <row r="604" spans="1:3" x14ac:dyDescent="0.3">
      <c r="A604" s="8" t="s">
        <v>614</v>
      </c>
      <c r="B604" s="8" t="s">
        <v>12</v>
      </c>
      <c r="C604" t="s">
        <v>2</v>
      </c>
    </row>
    <row r="605" spans="1:3" x14ac:dyDescent="0.3">
      <c r="A605" s="8" t="s">
        <v>615</v>
      </c>
      <c r="B605" s="8" t="s">
        <v>12</v>
      </c>
      <c r="C605" t="s">
        <v>2</v>
      </c>
    </row>
    <row r="606" spans="1:3" x14ac:dyDescent="0.3">
      <c r="A606" s="8" t="s">
        <v>616</v>
      </c>
      <c r="B606" s="8" t="s">
        <v>12</v>
      </c>
      <c r="C606" t="s">
        <v>2</v>
      </c>
    </row>
    <row r="607" spans="1:3" x14ac:dyDescent="0.3">
      <c r="A607" s="8" t="s">
        <v>617</v>
      </c>
      <c r="B607" s="8" t="s">
        <v>12</v>
      </c>
      <c r="C607" t="s">
        <v>2</v>
      </c>
    </row>
    <row r="608" spans="1:3" x14ac:dyDescent="0.3">
      <c r="A608" s="8" t="s">
        <v>618</v>
      </c>
      <c r="B608" s="8" t="s">
        <v>12</v>
      </c>
      <c r="C608" t="s">
        <v>2</v>
      </c>
    </row>
    <row r="609" spans="1:3" x14ac:dyDescent="0.3">
      <c r="A609" s="8" t="s">
        <v>619</v>
      </c>
      <c r="B609" s="8" t="s">
        <v>12</v>
      </c>
      <c r="C609" t="s">
        <v>2</v>
      </c>
    </row>
    <row r="610" spans="1:3" x14ac:dyDescent="0.3">
      <c r="A610" s="8" t="s">
        <v>620</v>
      </c>
      <c r="B610" s="8" t="s">
        <v>12</v>
      </c>
      <c r="C610" t="s">
        <v>2</v>
      </c>
    </row>
    <row r="611" spans="1:3" x14ac:dyDescent="0.3">
      <c r="A611" s="8" t="s">
        <v>621</v>
      </c>
      <c r="B611" s="8" t="s">
        <v>12</v>
      </c>
      <c r="C611" t="s">
        <v>2</v>
      </c>
    </row>
    <row r="612" spans="1:3" x14ac:dyDescent="0.3">
      <c r="A612" s="8" t="s">
        <v>622</v>
      </c>
      <c r="B612" s="8" t="s">
        <v>12</v>
      </c>
      <c r="C612" t="s">
        <v>2</v>
      </c>
    </row>
    <row r="613" spans="1:3" x14ac:dyDescent="0.3">
      <c r="A613" s="8" t="s">
        <v>623</v>
      </c>
      <c r="B613" s="8" t="s">
        <v>12</v>
      </c>
      <c r="C613" t="s">
        <v>2</v>
      </c>
    </row>
    <row r="614" spans="1:3" x14ac:dyDescent="0.3">
      <c r="A614" s="8" t="s">
        <v>624</v>
      </c>
      <c r="B614" s="8" t="s">
        <v>12</v>
      </c>
      <c r="C614" t="s">
        <v>2</v>
      </c>
    </row>
    <row r="615" spans="1:3" x14ac:dyDescent="0.3">
      <c r="A615" s="8" t="s">
        <v>625</v>
      </c>
      <c r="B615" s="8" t="s">
        <v>12</v>
      </c>
      <c r="C615" t="s">
        <v>2</v>
      </c>
    </row>
    <row r="616" spans="1:3" x14ac:dyDescent="0.3">
      <c r="A616" s="8" t="s">
        <v>626</v>
      </c>
      <c r="B616" s="8" t="s">
        <v>12</v>
      </c>
      <c r="C616" t="s">
        <v>2</v>
      </c>
    </row>
    <row r="617" spans="1:3" x14ac:dyDescent="0.3">
      <c r="A617" s="8" t="s">
        <v>627</v>
      </c>
      <c r="B617" s="8" t="s">
        <v>12</v>
      </c>
      <c r="C617" t="s">
        <v>2</v>
      </c>
    </row>
    <row r="618" spans="1:3" x14ac:dyDescent="0.3">
      <c r="A618" s="8" t="s">
        <v>628</v>
      </c>
      <c r="B618" s="8" t="s">
        <v>12</v>
      </c>
      <c r="C618" t="s">
        <v>2</v>
      </c>
    </row>
    <row r="619" spans="1:3" x14ac:dyDescent="0.3">
      <c r="A619" s="8" t="s">
        <v>629</v>
      </c>
      <c r="B619" s="8" t="s">
        <v>12</v>
      </c>
      <c r="C619" t="s">
        <v>2</v>
      </c>
    </row>
    <row r="620" spans="1:3" x14ac:dyDescent="0.3">
      <c r="A620" s="8" t="s">
        <v>630</v>
      </c>
      <c r="B620" s="8" t="s">
        <v>12</v>
      </c>
      <c r="C620" t="s">
        <v>2</v>
      </c>
    </row>
    <row r="621" spans="1:3" x14ac:dyDescent="0.3">
      <c r="A621" s="8" t="s">
        <v>631</v>
      </c>
      <c r="B621" s="8" t="s">
        <v>12</v>
      </c>
      <c r="C621" t="s">
        <v>2</v>
      </c>
    </row>
    <row r="622" spans="1:3" x14ac:dyDescent="0.3">
      <c r="A622" s="8" t="s">
        <v>632</v>
      </c>
      <c r="B622" s="8" t="s">
        <v>12</v>
      </c>
      <c r="C622" t="s">
        <v>2</v>
      </c>
    </row>
    <row r="623" spans="1:3" x14ac:dyDescent="0.3">
      <c r="A623" s="8" t="s">
        <v>633</v>
      </c>
      <c r="B623" s="8" t="s">
        <v>12</v>
      </c>
      <c r="C623" t="s">
        <v>2</v>
      </c>
    </row>
    <row r="624" spans="1:3" x14ac:dyDescent="0.3">
      <c r="A624" s="8" t="s">
        <v>634</v>
      </c>
      <c r="B624" s="8" t="s">
        <v>12</v>
      </c>
      <c r="C624" t="s">
        <v>2</v>
      </c>
    </row>
    <row r="625" spans="1:3" x14ac:dyDescent="0.3">
      <c r="A625" s="8" t="s">
        <v>635</v>
      </c>
      <c r="B625" s="8" t="s">
        <v>12</v>
      </c>
      <c r="C625" t="s">
        <v>2</v>
      </c>
    </row>
    <row r="626" spans="1:3" x14ac:dyDescent="0.3">
      <c r="A626" s="8" t="s">
        <v>636</v>
      </c>
      <c r="B626" s="8" t="s">
        <v>12</v>
      </c>
      <c r="C626" t="s">
        <v>2</v>
      </c>
    </row>
    <row r="627" spans="1:3" x14ac:dyDescent="0.3">
      <c r="A627" s="8" t="s">
        <v>637</v>
      </c>
      <c r="B627" s="8" t="s">
        <v>12</v>
      </c>
      <c r="C627" t="s">
        <v>2</v>
      </c>
    </row>
    <row r="628" spans="1:3" x14ac:dyDescent="0.3">
      <c r="A628" s="8" t="s">
        <v>638</v>
      </c>
      <c r="B628" s="8" t="s">
        <v>12</v>
      </c>
      <c r="C628" t="s">
        <v>2</v>
      </c>
    </row>
    <row r="629" spans="1:3" x14ac:dyDescent="0.3">
      <c r="A629" s="8" t="s">
        <v>639</v>
      </c>
      <c r="B629" s="8" t="s">
        <v>12</v>
      </c>
      <c r="C629" t="s">
        <v>2</v>
      </c>
    </row>
    <row r="630" spans="1:3" x14ac:dyDescent="0.3">
      <c r="A630" s="8" t="s">
        <v>640</v>
      </c>
      <c r="B630" s="8" t="s">
        <v>12</v>
      </c>
      <c r="C630" t="s">
        <v>3</v>
      </c>
    </row>
    <row r="631" spans="1:3" x14ac:dyDescent="0.3">
      <c r="A631" s="8" t="s">
        <v>641</v>
      </c>
      <c r="B631" s="8" t="s">
        <v>12</v>
      </c>
      <c r="C631" t="s">
        <v>3</v>
      </c>
    </row>
    <row r="632" spans="1:3" x14ac:dyDescent="0.3">
      <c r="A632" s="8" t="s">
        <v>642</v>
      </c>
      <c r="B632" s="8" t="s">
        <v>12</v>
      </c>
      <c r="C632" t="s">
        <v>3</v>
      </c>
    </row>
    <row r="633" spans="1:3" x14ac:dyDescent="0.3">
      <c r="A633" s="8" t="s">
        <v>643</v>
      </c>
      <c r="B633" s="8" t="s">
        <v>12</v>
      </c>
      <c r="C633" t="s">
        <v>3</v>
      </c>
    </row>
    <row r="634" spans="1:3" x14ac:dyDescent="0.3">
      <c r="A634" s="8" t="s">
        <v>644</v>
      </c>
      <c r="B634" s="8" t="s">
        <v>12</v>
      </c>
      <c r="C634" t="s">
        <v>3</v>
      </c>
    </row>
    <row r="635" spans="1:3" x14ac:dyDescent="0.3">
      <c r="A635" s="8" t="s">
        <v>645</v>
      </c>
      <c r="B635" s="8" t="s">
        <v>12</v>
      </c>
      <c r="C635" t="s">
        <v>3</v>
      </c>
    </row>
    <row r="636" spans="1:3" x14ac:dyDescent="0.3">
      <c r="A636" s="8" t="s">
        <v>646</v>
      </c>
      <c r="B636" s="8" t="s">
        <v>12</v>
      </c>
    </row>
    <row r="637" spans="1:3" x14ac:dyDescent="0.3">
      <c r="A637" s="8" t="s">
        <v>647</v>
      </c>
      <c r="B637" s="8" t="s">
        <v>12</v>
      </c>
    </row>
    <row r="638" spans="1:3" x14ac:dyDescent="0.3">
      <c r="A638" s="8" t="s">
        <v>648</v>
      </c>
      <c r="B638" s="8" t="s">
        <v>12</v>
      </c>
    </row>
    <row r="639" spans="1:3" x14ac:dyDescent="0.3">
      <c r="A639" s="8" t="s">
        <v>649</v>
      </c>
      <c r="B639" s="8" t="s">
        <v>12</v>
      </c>
    </row>
    <row r="640" spans="1:3" x14ac:dyDescent="0.3">
      <c r="A640" s="8" t="s">
        <v>650</v>
      </c>
      <c r="B640" s="8" t="s">
        <v>12</v>
      </c>
    </row>
    <row r="641" spans="1:3" x14ac:dyDescent="0.3">
      <c r="A641" s="8" t="s">
        <v>651</v>
      </c>
      <c r="B641" s="8" t="s">
        <v>12</v>
      </c>
    </row>
    <row r="642" spans="1:3" x14ac:dyDescent="0.3">
      <c r="A642" s="8" t="s">
        <v>652</v>
      </c>
      <c r="B642" s="8" t="s">
        <v>12</v>
      </c>
    </row>
    <row r="643" spans="1:3" x14ac:dyDescent="0.3">
      <c r="A643" s="8" t="s">
        <v>653</v>
      </c>
      <c r="B643" s="8" t="s">
        <v>12</v>
      </c>
    </row>
    <row r="644" spans="1:3" x14ac:dyDescent="0.3">
      <c r="A644" s="8" t="s">
        <v>654</v>
      </c>
      <c r="B644" s="8" t="s">
        <v>12</v>
      </c>
    </row>
    <row r="645" spans="1:3" x14ac:dyDescent="0.3">
      <c r="A645" s="8" t="s">
        <v>655</v>
      </c>
      <c r="B645" s="8" t="s">
        <v>12</v>
      </c>
    </row>
    <row r="646" spans="1:3" x14ac:dyDescent="0.3">
      <c r="A646" s="8" t="s">
        <v>656</v>
      </c>
      <c r="B646" s="8" t="s">
        <v>12</v>
      </c>
      <c r="C646" t="s">
        <v>2</v>
      </c>
    </row>
    <row r="647" spans="1:3" x14ac:dyDescent="0.3">
      <c r="A647" s="8" t="s">
        <v>657</v>
      </c>
      <c r="B647" s="8" t="s">
        <v>12</v>
      </c>
      <c r="C647" t="s">
        <v>2</v>
      </c>
    </row>
    <row r="648" spans="1:3" x14ac:dyDescent="0.3">
      <c r="A648" s="8" t="s">
        <v>658</v>
      </c>
      <c r="B648" s="8" t="s">
        <v>12</v>
      </c>
      <c r="C648" t="s">
        <v>2</v>
      </c>
    </row>
    <row r="649" spans="1:3" x14ac:dyDescent="0.3">
      <c r="A649" s="8" t="s">
        <v>659</v>
      </c>
      <c r="B649" s="8" t="s">
        <v>12</v>
      </c>
      <c r="C649" t="s">
        <v>2</v>
      </c>
    </row>
    <row r="650" spans="1:3" x14ac:dyDescent="0.3">
      <c r="A650" s="8" t="s">
        <v>660</v>
      </c>
      <c r="B650" s="8" t="s">
        <v>12</v>
      </c>
      <c r="C650" t="s">
        <v>2</v>
      </c>
    </row>
    <row r="651" spans="1:3" x14ac:dyDescent="0.3">
      <c r="A651" s="8" t="s">
        <v>661</v>
      </c>
      <c r="B651" s="8" t="s">
        <v>12</v>
      </c>
      <c r="C651" t="s">
        <v>2</v>
      </c>
    </row>
    <row r="652" spans="1:3" x14ac:dyDescent="0.3">
      <c r="A652" s="8" t="s">
        <v>662</v>
      </c>
      <c r="B652" s="8" t="s">
        <v>12</v>
      </c>
      <c r="C652" t="s">
        <v>2</v>
      </c>
    </row>
    <row r="653" spans="1:3" x14ac:dyDescent="0.3">
      <c r="A653" s="8" t="s">
        <v>663</v>
      </c>
      <c r="B653" s="8" t="s">
        <v>12</v>
      </c>
      <c r="C653" t="s">
        <v>2</v>
      </c>
    </row>
    <row r="654" spans="1:3" x14ac:dyDescent="0.3">
      <c r="A654" s="8" t="s">
        <v>664</v>
      </c>
      <c r="B654" s="8" t="s">
        <v>12</v>
      </c>
      <c r="C654" t="s">
        <v>2</v>
      </c>
    </row>
    <row r="655" spans="1:3" x14ac:dyDescent="0.3">
      <c r="A655" s="8" t="s">
        <v>665</v>
      </c>
      <c r="B655" s="8" t="s">
        <v>12</v>
      </c>
      <c r="C655" t="s">
        <v>3678</v>
      </c>
    </row>
    <row r="656" spans="1:3" x14ac:dyDescent="0.3">
      <c r="A656" s="8" t="s">
        <v>666</v>
      </c>
      <c r="B656" s="8" t="s">
        <v>12</v>
      </c>
      <c r="C656" t="s">
        <v>3678</v>
      </c>
    </row>
    <row r="657" spans="1:3" x14ac:dyDescent="0.3">
      <c r="A657" s="8" t="s">
        <v>667</v>
      </c>
      <c r="B657" s="8" t="s">
        <v>12</v>
      </c>
      <c r="C657" t="s">
        <v>3678</v>
      </c>
    </row>
    <row r="658" spans="1:3" x14ac:dyDescent="0.3">
      <c r="A658" s="8" t="s">
        <v>668</v>
      </c>
      <c r="B658" s="8" t="s">
        <v>12</v>
      </c>
      <c r="C658" t="s">
        <v>3680</v>
      </c>
    </row>
    <row r="659" spans="1:3" x14ac:dyDescent="0.3">
      <c r="A659" s="8" t="s">
        <v>669</v>
      </c>
      <c r="B659" s="8" t="s">
        <v>12</v>
      </c>
      <c r="C659" t="s">
        <v>2</v>
      </c>
    </row>
    <row r="660" spans="1:3" x14ac:dyDescent="0.3">
      <c r="A660" s="8" t="s">
        <v>670</v>
      </c>
      <c r="B660" s="8" t="s">
        <v>12</v>
      </c>
      <c r="C660" t="s">
        <v>2</v>
      </c>
    </row>
    <row r="661" spans="1:3" x14ac:dyDescent="0.3">
      <c r="A661" s="8" t="s">
        <v>671</v>
      </c>
      <c r="B661" s="8" t="s">
        <v>12</v>
      </c>
      <c r="C661" t="s">
        <v>2</v>
      </c>
    </row>
    <row r="662" spans="1:3" x14ac:dyDescent="0.3">
      <c r="A662" s="8" t="s">
        <v>672</v>
      </c>
      <c r="B662" s="8" t="s">
        <v>12</v>
      </c>
      <c r="C662" t="s">
        <v>2</v>
      </c>
    </row>
    <row r="663" spans="1:3" x14ac:dyDescent="0.3">
      <c r="A663" s="8" t="s">
        <v>673</v>
      </c>
      <c r="B663" s="8" t="s">
        <v>12</v>
      </c>
      <c r="C663" t="s">
        <v>2</v>
      </c>
    </row>
    <row r="664" spans="1:3" x14ac:dyDescent="0.3">
      <c r="A664" s="8" t="s">
        <v>674</v>
      </c>
      <c r="B664" s="8" t="s">
        <v>12</v>
      </c>
      <c r="C664" t="s">
        <v>2</v>
      </c>
    </row>
    <row r="665" spans="1:3" x14ac:dyDescent="0.3">
      <c r="A665" s="8" t="s">
        <v>675</v>
      </c>
      <c r="B665" s="8" t="s">
        <v>12</v>
      </c>
      <c r="C665" t="s">
        <v>2</v>
      </c>
    </row>
    <row r="666" spans="1:3" x14ac:dyDescent="0.3">
      <c r="A666" s="8" t="s">
        <v>676</v>
      </c>
      <c r="B666" s="8" t="s">
        <v>12</v>
      </c>
      <c r="C666" t="s">
        <v>2</v>
      </c>
    </row>
    <row r="667" spans="1:3" x14ac:dyDescent="0.3">
      <c r="A667" s="8" t="s">
        <v>677</v>
      </c>
      <c r="B667" s="8" t="s">
        <v>12</v>
      </c>
      <c r="C667" t="s">
        <v>2</v>
      </c>
    </row>
    <row r="668" spans="1:3" x14ac:dyDescent="0.3">
      <c r="A668" s="8" t="s">
        <v>678</v>
      </c>
      <c r="B668" s="8" t="s">
        <v>12</v>
      </c>
      <c r="C668" t="s">
        <v>2</v>
      </c>
    </row>
    <row r="669" spans="1:3" x14ac:dyDescent="0.3">
      <c r="A669" s="8" t="s">
        <v>679</v>
      </c>
      <c r="B669" s="8" t="s">
        <v>12</v>
      </c>
      <c r="C669" t="s">
        <v>2</v>
      </c>
    </row>
    <row r="670" spans="1:3" x14ac:dyDescent="0.3">
      <c r="A670" s="8" t="s">
        <v>680</v>
      </c>
      <c r="B670" s="8" t="s">
        <v>12</v>
      </c>
      <c r="C670" t="s">
        <v>2</v>
      </c>
    </row>
    <row r="671" spans="1:3" x14ac:dyDescent="0.3">
      <c r="A671" s="8" t="s">
        <v>681</v>
      </c>
      <c r="B671" s="8" t="s">
        <v>12</v>
      </c>
      <c r="C671" t="s">
        <v>2</v>
      </c>
    </row>
    <row r="672" spans="1:3" x14ac:dyDescent="0.3">
      <c r="A672" s="8" t="s">
        <v>682</v>
      </c>
      <c r="B672" s="8" t="s">
        <v>12</v>
      </c>
      <c r="C672" t="s">
        <v>2</v>
      </c>
    </row>
    <row r="673" spans="1:3" x14ac:dyDescent="0.3">
      <c r="A673" s="8" t="s">
        <v>683</v>
      </c>
      <c r="B673" s="8" t="s">
        <v>12</v>
      </c>
      <c r="C673" t="s">
        <v>2</v>
      </c>
    </row>
    <row r="674" spans="1:3" x14ac:dyDescent="0.3">
      <c r="A674" s="8" t="s">
        <v>684</v>
      </c>
      <c r="B674" s="8" t="s">
        <v>12</v>
      </c>
      <c r="C674" t="s">
        <v>2</v>
      </c>
    </row>
    <row r="675" spans="1:3" x14ac:dyDescent="0.3">
      <c r="A675" s="8" t="s">
        <v>685</v>
      </c>
      <c r="B675" s="8" t="s">
        <v>12</v>
      </c>
      <c r="C675" t="s">
        <v>2</v>
      </c>
    </row>
    <row r="676" spans="1:3" x14ac:dyDescent="0.3">
      <c r="A676" s="8" t="s">
        <v>686</v>
      </c>
      <c r="B676" s="8" t="s">
        <v>12</v>
      </c>
      <c r="C676" t="s">
        <v>2</v>
      </c>
    </row>
    <row r="677" spans="1:3" x14ac:dyDescent="0.3">
      <c r="A677" s="8" t="s">
        <v>687</v>
      </c>
      <c r="B677" s="8" t="s">
        <v>12</v>
      </c>
      <c r="C677" t="s">
        <v>2</v>
      </c>
    </row>
    <row r="678" spans="1:3" x14ac:dyDescent="0.3">
      <c r="A678" s="8" t="s">
        <v>688</v>
      </c>
      <c r="B678" s="8" t="s">
        <v>12</v>
      </c>
      <c r="C678" t="s">
        <v>2</v>
      </c>
    </row>
    <row r="679" spans="1:3" x14ac:dyDescent="0.3">
      <c r="A679" s="8" t="s">
        <v>689</v>
      </c>
      <c r="B679" s="8" t="s">
        <v>12</v>
      </c>
      <c r="C679" t="s">
        <v>2</v>
      </c>
    </row>
    <row r="680" spans="1:3" x14ac:dyDescent="0.3">
      <c r="A680" s="8" t="s">
        <v>690</v>
      </c>
      <c r="B680" s="8" t="s">
        <v>12</v>
      </c>
      <c r="C680" t="s">
        <v>2</v>
      </c>
    </row>
    <row r="681" spans="1:3" x14ac:dyDescent="0.3">
      <c r="A681" s="8" t="s">
        <v>691</v>
      </c>
      <c r="B681" s="8" t="s">
        <v>12</v>
      </c>
      <c r="C681" t="s">
        <v>2</v>
      </c>
    </row>
    <row r="682" spans="1:3" x14ac:dyDescent="0.3">
      <c r="A682" s="8" t="s">
        <v>692</v>
      </c>
      <c r="B682" s="8" t="s">
        <v>12</v>
      </c>
      <c r="C682" t="s">
        <v>2</v>
      </c>
    </row>
    <row r="683" spans="1:3" x14ac:dyDescent="0.3">
      <c r="A683" s="8" t="s">
        <v>693</v>
      </c>
      <c r="B683" s="8" t="s">
        <v>12</v>
      </c>
      <c r="C683" t="s">
        <v>2</v>
      </c>
    </row>
    <row r="684" spans="1:3" x14ac:dyDescent="0.3">
      <c r="A684" s="8" t="s">
        <v>694</v>
      </c>
      <c r="B684" s="8" t="s">
        <v>12</v>
      </c>
      <c r="C684" t="s">
        <v>2</v>
      </c>
    </row>
    <row r="685" spans="1:3" x14ac:dyDescent="0.3">
      <c r="A685" s="8" t="s">
        <v>695</v>
      </c>
      <c r="B685" s="8" t="s">
        <v>12</v>
      </c>
      <c r="C685" t="s">
        <v>2</v>
      </c>
    </row>
    <row r="686" spans="1:3" x14ac:dyDescent="0.3">
      <c r="A686" s="8" t="s">
        <v>696</v>
      </c>
      <c r="B686" s="8" t="s">
        <v>12</v>
      </c>
      <c r="C686" t="s">
        <v>2</v>
      </c>
    </row>
    <row r="687" spans="1:3" x14ac:dyDescent="0.3">
      <c r="A687" s="8" t="s">
        <v>697</v>
      </c>
      <c r="B687" s="8" t="s">
        <v>12</v>
      </c>
      <c r="C687" t="s">
        <v>2</v>
      </c>
    </row>
    <row r="688" spans="1:3" x14ac:dyDescent="0.3">
      <c r="A688" s="8" t="s">
        <v>698</v>
      </c>
      <c r="B688" s="8" t="s">
        <v>12</v>
      </c>
      <c r="C688" t="s">
        <v>2</v>
      </c>
    </row>
    <row r="689" spans="1:3" x14ac:dyDescent="0.3">
      <c r="A689" s="8" t="s">
        <v>699</v>
      </c>
      <c r="B689" s="8" t="s">
        <v>12</v>
      </c>
      <c r="C689" t="s">
        <v>2</v>
      </c>
    </row>
    <row r="690" spans="1:3" x14ac:dyDescent="0.3">
      <c r="A690" s="8" t="s">
        <v>700</v>
      </c>
      <c r="B690" s="8" t="s">
        <v>12</v>
      </c>
      <c r="C690" t="s">
        <v>2</v>
      </c>
    </row>
    <row r="691" spans="1:3" x14ac:dyDescent="0.3">
      <c r="A691" s="8" t="s">
        <v>701</v>
      </c>
      <c r="B691" s="8" t="s">
        <v>12</v>
      </c>
      <c r="C691" t="s">
        <v>2</v>
      </c>
    </row>
    <row r="692" spans="1:3" x14ac:dyDescent="0.3">
      <c r="A692" s="8" t="s">
        <v>702</v>
      </c>
      <c r="B692" s="8" t="s">
        <v>12</v>
      </c>
      <c r="C692" t="s">
        <v>2</v>
      </c>
    </row>
    <row r="693" spans="1:3" x14ac:dyDescent="0.3">
      <c r="A693" s="8" t="s">
        <v>703</v>
      </c>
      <c r="B693" s="8" t="s">
        <v>12</v>
      </c>
      <c r="C693" t="s">
        <v>2</v>
      </c>
    </row>
    <row r="694" spans="1:3" x14ac:dyDescent="0.3">
      <c r="A694" s="8" t="s">
        <v>704</v>
      </c>
      <c r="B694" s="8" t="s">
        <v>12</v>
      </c>
      <c r="C694" t="s">
        <v>2</v>
      </c>
    </row>
    <row r="695" spans="1:3" x14ac:dyDescent="0.3">
      <c r="A695" s="8" t="s">
        <v>705</v>
      </c>
      <c r="B695" s="8" t="s">
        <v>12</v>
      </c>
      <c r="C695" t="s">
        <v>2</v>
      </c>
    </row>
    <row r="696" spans="1:3" x14ac:dyDescent="0.3">
      <c r="A696" s="8" t="s">
        <v>706</v>
      </c>
      <c r="B696" s="8" t="s">
        <v>12</v>
      </c>
      <c r="C696" t="s">
        <v>2</v>
      </c>
    </row>
    <row r="697" spans="1:3" x14ac:dyDescent="0.3">
      <c r="A697" s="8" t="s">
        <v>707</v>
      </c>
      <c r="B697" s="8" t="s">
        <v>12</v>
      </c>
      <c r="C697" t="s">
        <v>2</v>
      </c>
    </row>
    <row r="698" spans="1:3" x14ac:dyDescent="0.3">
      <c r="A698" s="8" t="s">
        <v>708</v>
      </c>
      <c r="B698" s="8" t="s">
        <v>12</v>
      </c>
      <c r="C698" t="s">
        <v>2</v>
      </c>
    </row>
    <row r="699" spans="1:3" x14ac:dyDescent="0.3">
      <c r="A699" s="8" t="s">
        <v>709</v>
      </c>
      <c r="B699" s="8" t="s">
        <v>12</v>
      </c>
      <c r="C699" t="s">
        <v>2</v>
      </c>
    </row>
    <row r="700" spans="1:3" x14ac:dyDescent="0.3">
      <c r="A700" s="8" t="s">
        <v>710</v>
      </c>
      <c r="B700" s="8" t="s">
        <v>12</v>
      </c>
      <c r="C700" t="s">
        <v>2</v>
      </c>
    </row>
    <row r="701" spans="1:3" x14ac:dyDescent="0.3">
      <c r="A701" s="8" t="s">
        <v>711</v>
      </c>
      <c r="B701" s="8" t="s">
        <v>12</v>
      </c>
      <c r="C701" t="s">
        <v>2</v>
      </c>
    </row>
    <row r="702" spans="1:3" x14ac:dyDescent="0.3">
      <c r="A702" s="8" t="s">
        <v>712</v>
      </c>
      <c r="B702" s="8" t="s">
        <v>12</v>
      </c>
      <c r="C702" t="s">
        <v>2</v>
      </c>
    </row>
    <row r="703" spans="1:3" x14ac:dyDescent="0.3">
      <c r="A703" s="8" t="s">
        <v>713</v>
      </c>
      <c r="B703" s="8" t="s">
        <v>12</v>
      </c>
      <c r="C703" t="s">
        <v>2</v>
      </c>
    </row>
    <row r="704" spans="1:3" x14ac:dyDescent="0.3">
      <c r="A704" s="8" t="s">
        <v>714</v>
      </c>
      <c r="B704" s="8" t="s">
        <v>12</v>
      </c>
      <c r="C704" t="s">
        <v>2</v>
      </c>
    </row>
    <row r="705" spans="1:3" x14ac:dyDescent="0.3">
      <c r="A705" s="8" t="s">
        <v>715</v>
      </c>
      <c r="B705" s="8" t="s">
        <v>12</v>
      </c>
      <c r="C705" t="s">
        <v>2</v>
      </c>
    </row>
    <row r="706" spans="1:3" x14ac:dyDescent="0.3">
      <c r="A706" s="8" t="s">
        <v>716</v>
      </c>
      <c r="B706" s="8" t="s">
        <v>12</v>
      </c>
      <c r="C706" t="s">
        <v>2</v>
      </c>
    </row>
    <row r="707" spans="1:3" x14ac:dyDescent="0.3">
      <c r="A707" s="8" t="s">
        <v>717</v>
      </c>
      <c r="B707" s="8" t="s">
        <v>12</v>
      </c>
      <c r="C707" t="s">
        <v>2</v>
      </c>
    </row>
    <row r="708" spans="1:3" x14ac:dyDescent="0.3">
      <c r="A708" s="8" t="s">
        <v>718</v>
      </c>
      <c r="B708" s="8" t="s">
        <v>12</v>
      </c>
      <c r="C708" t="s">
        <v>2</v>
      </c>
    </row>
    <row r="709" spans="1:3" x14ac:dyDescent="0.3">
      <c r="A709" s="8" t="s">
        <v>719</v>
      </c>
      <c r="B709" s="8" t="s">
        <v>12</v>
      </c>
      <c r="C709" t="s">
        <v>2</v>
      </c>
    </row>
    <row r="710" spans="1:3" x14ac:dyDescent="0.3">
      <c r="A710" s="8" t="s">
        <v>720</v>
      </c>
      <c r="B710" s="8" t="s">
        <v>12</v>
      </c>
      <c r="C710" t="s">
        <v>2</v>
      </c>
    </row>
    <row r="711" spans="1:3" x14ac:dyDescent="0.3">
      <c r="A711" s="8" t="s">
        <v>721</v>
      </c>
      <c r="B711" s="8" t="s">
        <v>12</v>
      </c>
      <c r="C711" t="s">
        <v>2</v>
      </c>
    </row>
    <row r="712" spans="1:3" x14ac:dyDescent="0.3">
      <c r="A712" s="8" t="s">
        <v>722</v>
      </c>
      <c r="B712" s="8" t="s">
        <v>12</v>
      </c>
      <c r="C712" t="s">
        <v>2</v>
      </c>
    </row>
    <row r="713" spans="1:3" x14ac:dyDescent="0.3">
      <c r="A713" s="8" t="s">
        <v>723</v>
      </c>
      <c r="B713" s="8" t="s">
        <v>12</v>
      </c>
      <c r="C713" t="s">
        <v>2</v>
      </c>
    </row>
    <row r="714" spans="1:3" x14ac:dyDescent="0.3">
      <c r="A714" s="8" t="s">
        <v>724</v>
      </c>
      <c r="B714" s="8" t="s">
        <v>12</v>
      </c>
      <c r="C714" t="s">
        <v>3</v>
      </c>
    </row>
    <row r="715" spans="1:3" x14ac:dyDescent="0.3">
      <c r="A715" s="8" t="s">
        <v>725</v>
      </c>
      <c r="B715" s="8" t="s">
        <v>12</v>
      </c>
    </row>
    <row r="716" spans="1:3" x14ac:dyDescent="0.3">
      <c r="A716" s="8" t="s">
        <v>726</v>
      </c>
      <c r="B716" s="8" t="s">
        <v>12</v>
      </c>
      <c r="C716" t="s">
        <v>2</v>
      </c>
    </row>
    <row r="717" spans="1:3" x14ac:dyDescent="0.3">
      <c r="A717" s="8" t="s">
        <v>727</v>
      </c>
      <c r="B717" s="8" t="s">
        <v>12</v>
      </c>
      <c r="C717" t="s">
        <v>2</v>
      </c>
    </row>
    <row r="718" spans="1:3" x14ac:dyDescent="0.3">
      <c r="A718" s="8" t="s">
        <v>728</v>
      </c>
      <c r="B718" s="8" t="s">
        <v>12</v>
      </c>
      <c r="C718" t="s">
        <v>2</v>
      </c>
    </row>
    <row r="719" spans="1:3" x14ac:dyDescent="0.3">
      <c r="A719" s="8" t="s">
        <v>729</v>
      </c>
      <c r="B719" s="8" t="s">
        <v>12</v>
      </c>
      <c r="C719" t="s">
        <v>2</v>
      </c>
    </row>
    <row r="720" spans="1:3" x14ac:dyDescent="0.3">
      <c r="A720" s="8" t="s">
        <v>730</v>
      </c>
      <c r="B720" s="8" t="s">
        <v>12</v>
      </c>
      <c r="C720" t="s">
        <v>3678</v>
      </c>
    </row>
    <row r="721" spans="1:3" x14ac:dyDescent="0.3">
      <c r="A721" s="8" t="s">
        <v>731</v>
      </c>
      <c r="B721" s="8" t="s">
        <v>12</v>
      </c>
      <c r="C721" t="s">
        <v>3678</v>
      </c>
    </row>
    <row r="722" spans="1:3" x14ac:dyDescent="0.3">
      <c r="A722" s="8" t="s">
        <v>732</v>
      </c>
      <c r="B722" s="8" t="s">
        <v>12</v>
      </c>
      <c r="C722" t="s">
        <v>3678</v>
      </c>
    </row>
    <row r="723" spans="1:3" x14ac:dyDescent="0.3">
      <c r="A723" s="8" t="s">
        <v>733</v>
      </c>
      <c r="B723" s="8" t="s">
        <v>12</v>
      </c>
      <c r="C723" t="s">
        <v>3678</v>
      </c>
    </row>
    <row r="724" spans="1:3" x14ac:dyDescent="0.3">
      <c r="A724" s="8" t="s">
        <v>734</v>
      </c>
      <c r="B724" s="8" t="s">
        <v>12</v>
      </c>
      <c r="C724" t="s">
        <v>3678</v>
      </c>
    </row>
    <row r="725" spans="1:3" x14ac:dyDescent="0.3">
      <c r="A725" s="8" t="s">
        <v>735</v>
      </c>
      <c r="B725" s="8" t="s">
        <v>12</v>
      </c>
      <c r="C725" t="s">
        <v>3678</v>
      </c>
    </row>
    <row r="726" spans="1:3" x14ac:dyDescent="0.3">
      <c r="A726" s="8" t="s">
        <v>736</v>
      </c>
      <c r="B726" s="8" t="s">
        <v>12</v>
      </c>
      <c r="C726" t="s">
        <v>3678</v>
      </c>
    </row>
    <row r="727" spans="1:3" x14ac:dyDescent="0.3">
      <c r="A727" s="8" t="s">
        <v>737</v>
      </c>
      <c r="B727" s="8" t="s">
        <v>12</v>
      </c>
      <c r="C727" t="s">
        <v>3678</v>
      </c>
    </row>
    <row r="728" spans="1:3" x14ac:dyDescent="0.3">
      <c r="A728" s="8" t="s">
        <v>738</v>
      </c>
      <c r="B728" s="8" t="s">
        <v>12</v>
      </c>
      <c r="C728" t="s">
        <v>3678</v>
      </c>
    </row>
    <row r="729" spans="1:3" x14ac:dyDescent="0.3">
      <c r="A729" s="8" t="s">
        <v>739</v>
      </c>
      <c r="B729" s="8" t="s">
        <v>12</v>
      </c>
      <c r="C729" t="s">
        <v>3678</v>
      </c>
    </row>
    <row r="730" spans="1:3" x14ac:dyDescent="0.3">
      <c r="A730" s="8" t="s">
        <v>740</v>
      </c>
      <c r="B730" s="8" t="s">
        <v>12</v>
      </c>
      <c r="C730" t="s">
        <v>2</v>
      </c>
    </row>
    <row r="731" spans="1:3" x14ac:dyDescent="0.3">
      <c r="A731" s="8" t="s">
        <v>741</v>
      </c>
      <c r="B731" s="8" t="s">
        <v>12</v>
      </c>
      <c r="C731" t="s">
        <v>2</v>
      </c>
    </row>
    <row r="732" spans="1:3" x14ac:dyDescent="0.3">
      <c r="A732" s="8" t="s">
        <v>742</v>
      </c>
      <c r="B732" s="8" t="s">
        <v>12</v>
      </c>
      <c r="C732" t="s">
        <v>2</v>
      </c>
    </row>
    <row r="733" spans="1:3" x14ac:dyDescent="0.3">
      <c r="A733" s="8" t="s">
        <v>743</v>
      </c>
      <c r="B733" s="8" t="s">
        <v>12</v>
      </c>
      <c r="C733" t="s">
        <v>2</v>
      </c>
    </row>
    <row r="734" spans="1:3" x14ac:dyDescent="0.3">
      <c r="A734" s="8" t="s">
        <v>744</v>
      </c>
      <c r="B734" s="8" t="s">
        <v>12</v>
      </c>
      <c r="C734" t="s">
        <v>2</v>
      </c>
    </row>
    <row r="735" spans="1:3" x14ac:dyDescent="0.3">
      <c r="A735" s="8" t="s">
        <v>745</v>
      </c>
      <c r="B735" s="8" t="s">
        <v>12</v>
      </c>
      <c r="C735" t="s">
        <v>2</v>
      </c>
    </row>
    <row r="736" spans="1:3" x14ac:dyDescent="0.3">
      <c r="A736" s="8" t="s">
        <v>746</v>
      </c>
      <c r="B736" s="8" t="s">
        <v>12</v>
      </c>
      <c r="C736" t="s">
        <v>2</v>
      </c>
    </row>
    <row r="737" spans="1:3" x14ac:dyDescent="0.3">
      <c r="A737" s="8" t="s">
        <v>747</v>
      </c>
      <c r="B737" s="8" t="s">
        <v>12</v>
      </c>
      <c r="C737" t="s">
        <v>3678</v>
      </c>
    </row>
    <row r="738" spans="1:3" x14ac:dyDescent="0.3">
      <c r="A738" s="8" t="s">
        <v>748</v>
      </c>
      <c r="B738" s="8" t="s">
        <v>12</v>
      </c>
      <c r="C738" t="s">
        <v>3678</v>
      </c>
    </row>
    <row r="739" spans="1:3" x14ac:dyDescent="0.3">
      <c r="A739" s="8" t="s">
        <v>749</v>
      </c>
      <c r="B739" s="8" t="s">
        <v>12</v>
      </c>
      <c r="C739" t="s">
        <v>3678</v>
      </c>
    </row>
    <row r="740" spans="1:3" x14ac:dyDescent="0.3">
      <c r="A740" s="8" t="s">
        <v>750</v>
      </c>
      <c r="B740" s="8" t="s">
        <v>12</v>
      </c>
      <c r="C740" t="s">
        <v>3678</v>
      </c>
    </row>
    <row r="741" spans="1:3" x14ac:dyDescent="0.3">
      <c r="A741" s="8" t="s">
        <v>751</v>
      </c>
      <c r="B741" s="8" t="s">
        <v>12</v>
      </c>
      <c r="C741" t="s">
        <v>3678</v>
      </c>
    </row>
    <row r="742" spans="1:3" x14ac:dyDescent="0.3">
      <c r="A742" s="8" t="s">
        <v>752</v>
      </c>
      <c r="B742" s="8" t="s">
        <v>12</v>
      </c>
      <c r="C742" t="s">
        <v>3678</v>
      </c>
    </row>
    <row r="743" spans="1:3" x14ac:dyDescent="0.3">
      <c r="A743" s="8" t="s">
        <v>753</v>
      </c>
      <c r="B743" s="8" t="s">
        <v>12</v>
      </c>
      <c r="C743" t="s">
        <v>3678</v>
      </c>
    </row>
    <row r="744" spans="1:3" x14ac:dyDescent="0.3">
      <c r="A744" s="8" t="s">
        <v>754</v>
      </c>
      <c r="B744" s="8" t="s">
        <v>12</v>
      </c>
      <c r="C744" t="s">
        <v>2</v>
      </c>
    </row>
    <row r="745" spans="1:3" x14ac:dyDescent="0.3">
      <c r="A745" s="8" t="s">
        <v>755</v>
      </c>
      <c r="B745" s="8" t="s">
        <v>12</v>
      </c>
      <c r="C745" t="s">
        <v>2</v>
      </c>
    </row>
    <row r="746" spans="1:3" x14ac:dyDescent="0.3">
      <c r="A746" s="8" t="s">
        <v>756</v>
      </c>
      <c r="B746" s="8" t="s">
        <v>12</v>
      </c>
      <c r="C746" t="s">
        <v>2</v>
      </c>
    </row>
    <row r="747" spans="1:3" x14ac:dyDescent="0.3">
      <c r="A747" s="8" t="s">
        <v>757</v>
      </c>
      <c r="B747" s="8" t="s">
        <v>12</v>
      </c>
      <c r="C747" t="s">
        <v>2</v>
      </c>
    </row>
    <row r="748" spans="1:3" x14ac:dyDescent="0.3">
      <c r="A748" s="8" t="s">
        <v>758</v>
      </c>
      <c r="B748" s="8" t="s">
        <v>12</v>
      </c>
      <c r="C748" t="s">
        <v>2</v>
      </c>
    </row>
    <row r="749" spans="1:3" x14ac:dyDescent="0.3">
      <c r="A749" s="8" t="s">
        <v>759</v>
      </c>
      <c r="B749" s="8" t="s">
        <v>12</v>
      </c>
      <c r="C749" t="s">
        <v>2</v>
      </c>
    </row>
    <row r="750" spans="1:3" x14ac:dyDescent="0.3">
      <c r="A750" s="8" t="s">
        <v>760</v>
      </c>
      <c r="B750" s="8" t="s">
        <v>12</v>
      </c>
      <c r="C750" t="s">
        <v>2</v>
      </c>
    </row>
    <row r="751" spans="1:3" x14ac:dyDescent="0.3">
      <c r="A751" s="8" t="s">
        <v>761</v>
      </c>
      <c r="B751" s="8" t="s">
        <v>12</v>
      </c>
      <c r="C751" t="s">
        <v>2</v>
      </c>
    </row>
    <row r="752" spans="1:3" x14ac:dyDescent="0.3">
      <c r="A752" s="8" t="s">
        <v>762</v>
      </c>
      <c r="B752" s="8" t="s">
        <v>12</v>
      </c>
      <c r="C752" t="s">
        <v>2</v>
      </c>
    </row>
    <row r="753" spans="1:3" x14ac:dyDescent="0.3">
      <c r="A753" s="8" t="s">
        <v>763</v>
      </c>
      <c r="B753" s="8" t="s">
        <v>12</v>
      </c>
      <c r="C753" t="s">
        <v>2</v>
      </c>
    </row>
    <row r="754" spans="1:3" x14ac:dyDescent="0.3">
      <c r="A754" s="8" t="s">
        <v>764</v>
      </c>
      <c r="B754" s="8" t="s">
        <v>12</v>
      </c>
      <c r="C754" t="s">
        <v>2</v>
      </c>
    </row>
    <row r="755" spans="1:3" x14ac:dyDescent="0.3">
      <c r="A755" s="8" t="s">
        <v>765</v>
      </c>
      <c r="B755" s="8" t="s">
        <v>12</v>
      </c>
      <c r="C755" t="s">
        <v>2</v>
      </c>
    </row>
    <row r="756" spans="1:3" x14ac:dyDescent="0.3">
      <c r="A756" s="8" t="s">
        <v>766</v>
      </c>
      <c r="B756" s="8" t="s">
        <v>12</v>
      </c>
      <c r="C756" t="s">
        <v>2</v>
      </c>
    </row>
    <row r="757" spans="1:3" x14ac:dyDescent="0.3">
      <c r="A757" s="8" t="s">
        <v>767</v>
      </c>
      <c r="B757" s="8" t="s">
        <v>12</v>
      </c>
      <c r="C757" t="s">
        <v>2</v>
      </c>
    </row>
    <row r="758" spans="1:3" x14ac:dyDescent="0.3">
      <c r="A758" s="8" t="s">
        <v>768</v>
      </c>
      <c r="B758" s="8" t="s">
        <v>12</v>
      </c>
      <c r="C758" t="s">
        <v>2</v>
      </c>
    </row>
    <row r="759" spans="1:3" x14ac:dyDescent="0.3">
      <c r="A759" s="8" t="s">
        <v>769</v>
      </c>
      <c r="B759" s="8" t="s">
        <v>12</v>
      </c>
      <c r="C759" t="s">
        <v>2</v>
      </c>
    </row>
    <row r="760" spans="1:3" x14ac:dyDescent="0.3">
      <c r="A760" s="8" t="s">
        <v>770</v>
      </c>
      <c r="B760" s="8" t="s">
        <v>12</v>
      </c>
      <c r="C760" t="s">
        <v>2</v>
      </c>
    </row>
    <row r="761" spans="1:3" x14ac:dyDescent="0.3">
      <c r="A761" s="8" t="s">
        <v>771</v>
      </c>
      <c r="B761" s="8" t="s">
        <v>12</v>
      </c>
      <c r="C761" t="s">
        <v>2</v>
      </c>
    </row>
    <row r="762" spans="1:3" x14ac:dyDescent="0.3">
      <c r="A762" s="8" t="s">
        <v>772</v>
      </c>
      <c r="B762" s="8" t="s">
        <v>12</v>
      </c>
      <c r="C762" t="s">
        <v>2</v>
      </c>
    </row>
    <row r="763" spans="1:3" x14ac:dyDescent="0.3">
      <c r="A763" s="8" t="s">
        <v>773</v>
      </c>
      <c r="B763" s="8" t="s">
        <v>12</v>
      </c>
      <c r="C763" t="s">
        <v>2</v>
      </c>
    </row>
    <row r="764" spans="1:3" x14ac:dyDescent="0.3">
      <c r="A764" s="8" t="s">
        <v>774</v>
      </c>
      <c r="B764" s="8" t="s">
        <v>12</v>
      </c>
      <c r="C764" t="s">
        <v>2</v>
      </c>
    </row>
    <row r="765" spans="1:3" x14ac:dyDescent="0.3">
      <c r="A765" s="8" t="s">
        <v>775</v>
      </c>
      <c r="B765" s="8" t="s">
        <v>12</v>
      </c>
      <c r="C765" t="s">
        <v>2</v>
      </c>
    </row>
    <row r="766" spans="1:3" x14ac:dyDescent="0.3">
      <c r="A766" s="8" t="s">
        <v>776</v>
      </c>
      <c r="B766" s="8" t="s">
        <v>12</v>
      </c>
      <c r="C766" t="s">
        <v>2</v>
      </c>
    </row>
    <row r="767" spans="1:3" x14ac:dyDescent="0.3">
      <c r="A767" s="8" t="s">
        <v>777</v>
      </c>
      <c r="B767" s="8" t="s">
        <v>12</v>
      </c>
      <c r="C767" t="s">
        <v>2</v>
      </c>
    </row>
    <row r="768" spans="1:3" x14ac:dyDescent="0.3">
      <c r="A768" s="8" t="s">
        <v>778</v>
      </c>
      <c r="B768" s="8" t="s">
        <v>12</v>
      </c>
      <c r="C768" t="s">
        <v>2</v>
      </c>
    </row>
    <row r="769" spans="1:3" x14ac:dyDescent="0.3">
      <c r="A769" s="8" t="s">
        <v>779</v>
      </c>
      <c r="B769" s="8" t="s">
        <v>12</v>
      </c>
      <c r="C769" t="s">
        <v>2</v>
      </c>
    </row>
    <row r="770" spans="1:3" x14ac:dyDescent="0.3">
      <c r="A770" s="8" t="s">
        <v>780</v>
      </c>
      <c r="B770" s="8" t="s">
        <v>12</v>
      </c>
      <c r="C770" t="s">
        <v>2</v>
      </c>
    </row>
    <row r="771" spans="1:3" x14ac:dyDescent="0.3">
      <c r="A771" s="8" t="s">
        <v>781</v>
      </c>
      <c r="B771" s="8" t="s">
        <v>12</v>
      </c>
      <c r="C771" t="s">
        <v>2</v>
      </c>
    </row>
    <row r="772" spans="1:3" x14ac:dyDescent="0.3">
      <c r="A772" s="8" t="s">
        <v>782</v>
      </c>
      <c r="B772" s="8" t="s">
        <v>12</v>
      </c>
      <c r="C772" t="s">
        <v>2</v>
      </c>
    </row>
    <row r="773" spans="1:3" x14ac:dyDescent="0.3">
      <c r="A773" s="8" t="s">
        <v>783</v>
      </c>
      <c r="B773" s="8" t="s">
        <v>12</v>
      </c>
      <c r="C773" t="s">
        <v>2</v>
      </c>
    </row>
    <row r="774" spans="1:3" x14ac:dyDescent="0.3">
      <c r="A774" s="8" t="s">
        <v>784</v>
      </c>
      <c r="B774" s="8" t="s">
        <v>12</v>
      </c>
      <c r="C774" t="s">
        <v>2</v>
      </c>
    </row>
    <row r="775" spans="1:3" x14ac:dyDescent="0.3">
      <c r="A775" s="8" t="s">
        <v>785</v>
      </c>
      <c r="B775" s="8" t="s">
        <v>12</v>
      </c>
      <c r="C775" t="s">
        <v>2</v>
      </c>
    </row>
    <row r="776" spans="1:3" x14ac:dyDescent="0.3">
      <c r="A776" s="8" t="s">
        <v>786</v>
      </c>
      <c r="B776" s="8" t="s">
        <v>12</v>
      </c>
      <c r="C776" t="s">
        <v>2</v>
      </c>
    </row>
    <row r="777" spans="1:3" x14ac:dyDescent="0.3">
      <c r="A777" s="8" t="s">
        <v>787</v>
      </c>
      <c r="B777" s="8" t="s">
        <v>12</v>
      </c>
      <c r="C777" t="s">
        <v>2</v>
      </c>
    </row>
    <row r="778" spans="1:3" x14ac:dyDescent="0.3">
      <c r="A778" s="8" t="s">
        <v>788</v>
      </c>
      <c r="B778" s="8" t="s">
        <v>12</v>
      </c>
      <c r="C778" t="s">
        <v>2</v>
      </c>
    </row>
    <row r="779" spans="1:3" x14ac:dyDescent="0.3">
      <c r="A779" s="8" t="s">
        <v>789</v>
      </c>
      <c r="B779" s="8" t="s">
        <v>12</v>
      </c>
      <c r="C779" t="s">
        <v>2</v>
      </c>
    </row>
    <row r="780" spans="1:3" x14ac:dyDescent="0.3">
      <c r="A780" s="8" t="s">
        <v>790</v>
      </c>
      <c r="B780" s="8" t="s">
        <v>12</v>
      </c>
      <c r="C780" t="s">
        <v>2</v>
      </c>
    </row>
    <row r="781" spans="1:3" x14ac:dyDescent="0.3">
      <c r="A781" s="8" t="s">
        <v>791</v>
      </c>
      <c r="B781" s="8" t="s">
        <v>12</v>
      </c>
      <c r="C781" t="s">
        <v>2</v>
      </c>
    </row>
    <row r="782" spans="1:3" x14ac:dyDescent="0.3">
      <c r="A782" s="8" t="s">
        <v>792</v>
      </c>
      <c r="B782" s="8" t="s">
        <v>12</v>
      </c>
      <c r="C782" t="s">
        <v>2</v>
      </c>
    </row>
    <row r="783" spans="1:3" x14ac:dyDescent="0.3">
      <c r="A783" s="8" t="s">
        <v>793</v>
      </c>
      <c r="B783" s="8" t="s">
        <v>12</v>
      </c>
      <c r="C783" t="s">
        <v>2</v>
      </c>
    </row>
    <row r="784" spans="1:3" x14ac:dyDescent="0.3">
      <c r="A784" s="8" t="s">
        <v>794</v>
      </c>
      <c r="B784" s="8" t="s">
        <v>12</v>
      </c>
      <c r="C784" t="s">
        <v>2</v>
      </c>
    </row>
    <row r="785" spans="1:3" x14ac:dyDescent="0.3">
      <c r="A785" s="8" t="s">
        <v>795</v>
      </c>
      <c r="B785" s="8" t="s">
        <v>12</v>
      </c>
      <c r="C785" t="s">
        <v>2</v>
      </c>
    </row>
    <row r="786" spans="1:3" x14ac:dyDescent="0.3">
      <c r="A786" s="8" t="s">
        <v>796</v>
      </c>
      <c r="B786" s="8" t="s">
        <v>12</v>
      </c>
      <c r="C786" t="s">
        <v>2</v>
      </c>
    </row>
    <row r="787" spans="1:3" x14ac:dyDescent="0.3">
      <c r="A787" s="8" t="s">
        <v>797</v>
      </c>
      <c r="B787" s="8" t="s">
        <v>12</v>
      </c>
      <c r="C787" t="s">
        <v>2</v>
      </c>
    </row>
    <row r="788" spans="1:3" x14ac:dyDescent="0.3">
      <c r="A788" s="8" t="s">
        <v>798</v>
      </c>
      <c r="B788" s="8" t="s">
        <v>12</v>
      </c>
      <c r="C788" t="s">
        <v>2</v>
      </c>
    </row>
    <row r="789" spans="1:3" x14ac:dyDescent="0.3">
      <c r="A789" s="8" t="s">
        <v>799</v>
      </c>
      <c r="B789" s="8" t="s">
        <v>12</v>
      </c>
      <c r="C789" t="s">
        <v>2</v>
      </c>
    </row>
    <row r="790" spans="1:3" x14ac:dyDescent="0.3">
      <c r="A790" s="8" t="s">
        <v>800</v>
      </c>
      <c r="B790" s="8" t="s">
        <v>12</v>
      </c>
      <c r="C790" t="s">
        <v>2</v>
      </c>
    </row>
    <row r="791" spans="1:3" x14ac:dyDescent="0.3">
      <c r="A791" s="8" t="s">
        <v>801</v>
      </c>
      <c r="B791" s="8" t="s">
        <v>12</v>
      </c>
      <c r="C791" t="s">
        <v>2</v>
      </c>
    </row>
    <row r="792" spans="1:3" x14ac:dyDescent="0.3">
      <c r="A792" s="8" t="s">
        <v>802</v>
      </c>
      <c r="B792" s="8" t="s">
        <v>12</v>
      </c>
      <c r="C792" t="s">
        <v>2</v>
      </c>
    </row>
    <row r="793" spans="1:3" x14ac:dyDescent="0.3">
      <c r="A793" s="8" t="s">
        <v>803</v>
      </c>
      <c r="B793" s="8" t="s">
        <v>12</v>
      </c>
      <c r="C793" t="s">
        <v>2</v>
      </c>
    </row>
    <row r="794" spans="1:3" x14ac:dyDescent="0.3">
      <c r="A794" s="8" t="s">
        <v>804</v>
      </c>
      <c r="B794" s="8" t="s">
        <v>12</v>
      </c>
      <c r="C794" t="s">
        <v>3</v>
      </c>
    </row>
    <row r="795" spans="1:3" x14ac:dyDescent="0.3">
      <c r="A795" s="8" t="s">
        <v>805</v>
      </c>
      <c r="B795" s="8" t="s">
        <v>12</v>
      </c>
      <c r="C795" t="s">
        <v>3</v>
      </c>
    </row>
    <row r="796" spans="1:3" x14ac:dyDescent="0.3">
      <c r="A796" s="8" t="s">
        <v>806</v>
      </c>
      <c r="B796" s="8" t="s">
        <v>12</v>
      </c>
      <c r="C796" t="s">
        <v>3</v>
      </c>
    </row>
    <row r="797" spans="1:3" x14ac:dyDescent="0.3">
      <c r="A797" s="8" t="s">
        <v>807</v>
      </c>
      <c r="B797" s="8" t="s">
        <v>12</v>
      </c>
      <c r="C797" t="s">
        <v>3</v>
      </c>
    </row>
    <row r="798" spans="1:3" x14ac:dyDescent="0.3">
      <c r="A798" s="8" t="s">
        <v>808</v>
      </c>
      <c r="B798" s="8" t="s">
        <v>12</v>
      </c>
      <c r="C798" t="s">
        <v>3</v>
      </c>
    </row>
    <row r="799" spans="1:3" x14ac:dyDescent="0.3">
      <c r="A799" s="8" t="s">
        <v>809</v>
      </c>
      <c r="B799" s="8" t="s">
        <v>12</v>
      </c>
      <c r="C799" t="s">
        <v>3</v>
      </c>
    </row>
    <row r="800" spans="1:3" x14ac:dyDescent="0.3">
      <c r="A800" s="8" t="s">
        <v>810</v>
      </c>
      <c r="B800" s="8" t="s">
        <v>12</v>
      </c>
      <c r="C800" t="s">
        <v>3</v>
      </c>
    </row>
    <row r="801" spans="1:3" x14ac:dyDescent="0.3">
      <c r="A801" s="8" t="s">
        <v>811</v>
      </c>
      <c r="B801" s="8" t="s">
        <v>12</v>
      </c>
      <c r="C801" t="s">
        <v>2</v>
      </c>
    </row>
    <row r="802" spans="1:3" x14ac:dyDescent="0.3">
      <c r="A802" s="8" t="s">
        <v>812</v>
      </c>
      <c r="B802" s="8" t="s">
        <v>12</v>
      </c>
      <c r="C802" t="s">
        <v>2</v>
      </c>
    </row>
    <row r="803" spans="1:3" x14ac:dyDescent="0.3">
      <c r="A803" s="8" t="s">
        <v>813</v>
      </c>
      <c r="B803" s="8" t="s">
        <v>12</v>
      </c>
      <c r="C803" t="s">
        <v>2</v>
      </c>
    </row>
    <row r="804" spans="1:3" x14ac:dyDescent="0.3">
      <c r="A804" s="8" t="s">
        <v>814</v>
      </c>
      <c r="B804" s="8" t="s">
        <v>12</v>
      </c>
      <c r="C804" t="s">
        <v>2</v>
      </c>
    </row>
    <row r="805" spans="1:3" x14ac:dyDescent="0.3">
      <c r="A805" s="8" t="s">
        <v>815</v>
      </c>
      <c r="B805" s="8" t="s">
        <v>12</v>
      </c>
      <c r="C805" t="s">
        <v>2</v>
      </c>
    </row>
    <row r="806" spans="1:3" x14ac:dyDescent="0.3">
      <c r="A806" s="8" t="s">
        <v>816</v>
      </c>
      <c r="B806" s="8" t="s">
        <v>12</v>
      </c>
      <c r="C806" t="s">
        <v>2</v>
      </c>
    </row>
    <row r="807" spans="1:3" x14ac:dyDescent="0.3">
      <c r="A807" s="8" t="s">
        <v>817</v>
      </c>
      <c r="B807" s="8" t="s">
        <v>12</v>
      </c>
      <c r="C807" t="s">
        <v>2</v>
      </c>
    </row>
    <row r="808" spans="1:3" x14ac:dyDescent="0.3">
      <c r="A808" s="8" t="s">
        <v>818</v>
      </c>
      <c r="B808" s="8" t="s">
        <v>12</v>
      </c>
      <c r="C808" t="s">
        <v>2</v>
      </c>
    </row>
    <row r="809" spans="1:3" x14ac:dyDescent="0.3">
      <c r="A809" s="8" t="s">
        <v>819</v>
      </c>
      <c r="B809" s="8" t="s">
        <v>12</v>
      </c>
      <c r="C809" t="s">
        <v>2</v>
      </c>
    </row>
    <row r="810" spans="1:3" x14ac:dyDescent="0.3">
      <c r="A810" s="8" t="s">
        <v>820</v>
      </c>
      <c r="B810" s="8" t="s">
        <v>12</v>
      </c>
      <c r="C810" t="s">
        <v>2</v>
      </c>
    </row>
    <row r="811" spans="1:3" x14ac:dyDescent="0.3">
      <c r="A811" s="8" t="s">
        <v>821</v>
      </c>
      <c r="B811" s="8" t="s">
        <v>12</v>
      </c>
      <c r="C811" t="s">
        <v>2</v>
      </c>
    </row>
    <row r="812" spans="1:3" x14ac:dyDescent="0.3">
      <c r="A812" s="8" t="s">
        <v>822</v>
      </c>
      <c r="B812" s="8" t="s">
        <v>12</v>
      </c>
      <c r="C812" t="s">
        <v>2</v>
      </c>
    </row>
    <row r="813" spans="1:3" x14ac:dyDescent="0.3">
      <c r="A813" s="8" t="s">
        <v>823</v>
      </c>
      <c r="B813" s="8" t="s">
        <v>12</v>
      </c>
      <c r="C813" t="s">
        <v>2</v>
      </c>
    </row>
    <row r="814" spans="1:3" x14ac:dyDescent="0.3">
      <c r="A814" s="8" t="s">
        <v>824</v>
      </c>
      <c r="B814" s="8" t="s">
        <v>12</v>
      </c>
      <c r="C814" t="s">
        <v>2</v>
      </c>
    </row>
    <row r="815" spans="1:3" x14ac:dyDescent="0.3">
      <c r="A815" s="8" t="s">
        <v>825</v>
      </c>
      <c r="B815" s="8" t="s">
        <v>12</v>
      </c>
      <c r="C815" t="s">
        <v>2</v>
      </c>
    </row>
    <row r="816" spans="1:3" x14ac:dyDescent="0.3">
      <c r="A816" s="8" t="s">
        <v>826</v>
      </c>
      <c r="B816" s="8" t="s">
        <v>12</v>
      </c>
      <c r="C816" t="s">
        <v>2</v>
      </c>
    </row>
    <row r="817" spans="1:3" x14ac:dyDescent="0.3">
      <c r="A817" s="8" t="s">
        <v>827</v>
      </c>
      <c r="B817" s="8" t="s">
        <v>12</v>
      </c>
      <c r="C817" t="s">
        <v>2</v>
      </c>
    </row>
    <row r="818" spans="1:3" x14ac:dyDescent="0.3">
      <c r="A818" s="8" t="s">
        <v>828</v>
      </c>
      <c r="B818" s="8" t="s">
        <v>12</v>
      </c>
      <c r="C818" t="s">
        <v>2</v>
      </c>
    </row>
    <row r="819" spans="1:3" x14ac:dyDescent="0.3">
      <c r="A819" s="8" t="s">
        <v>829</v>
      </c>
      <c r="B819" s="8" t="s">
        <v>12</v>
      </c>
      <c r="C819" t="s">
        <v>2</v>
      </c>
    </row>
    <row r="820" spans="1:3" x14ac:dyDescent="0.3">
      <c r="A820" s="8" t="s">
        <v>830</v>
      </c>
      <c r="B820" s="8" t="s">
        <v>12</v>
      </c>
      <c r="C820" t="s">
        <v>2</v>
      </c>
    </row>
    <row r="821" spans="1:3" x14ac:dyDescent="0.3">
      <c r="A821" s="8" t="s">
        <v>831</v>
      </c>
      <c r="B821" s="8" t="s">
        <v>12</v>
      </c>
      <c r="C821" t="s">
        <v>2</v>
      </c>
    </row>
    <row r="822" spans="1:3" x14ac:dyDescent="0.3">
      <c r="A822" s="8" t="s">
        <v>832</v>
      </c>
      <c r="B822" s="8" t="s">
        <v>12</v>
      </c>
      <c r="C822" t="s">
        <v>2</v>
      </c>
    </row>
    <row r="823" spans="1:3" x14ac:dyDescent="0.3">
      <c r="A823" s="8" t="s">
        <v>833</v>
      </c>
      <c r="B823" s="8" t="s">
        <v>12</v>
      </c>
      <c r="C823" t="s">
        <v>2</v>
      </c>
    </row>
    <row r="824" spans="1:3" x14ac:dyDescent="0.3">
      <c r="A824" s="8" t="s">
        <v>834</v>
      </c>
      <c r="B824" s="8" t="s">
        <v>12</v>
      </c>
      <c r="C824" t="s">
        <v>2</v>
      </c>
    </row>
    <row r="825" spans="1:3" x14ac:dyDescent="0.3">
      <c r="A825" s="8" t="s">
        <v>835</v>
      </c>
      <c r="B825" s="8" t="s">
        <v>12</v>
      </c>
      <c r="C825" t="s">
        <v>2</v>
      </c>
    </row>
    <row r="826" spans="1:3" x14ac:dyDescent="0.3">
      <c r="A826" s="8" t="s">
        <v>836</v>
      </c>
      <c r="B826" s="8" t="s">
        <v>12</v>
      </c>
      <c r="C826" t="s">
        <v>2</v>
      </c>
    </row>
    <row r="827" spans="1:3" x14ac:dyDescent="0.3">
      <c r="A827" s="8" t="s">
        <v>837</v>
      </c>
      <c r="B827" s="8" t="s">
        <v>12</v>
      </c>
      <c r="C827" t="s">
        <v>2</v>
      </c>
    </row>
    <row r="828" spans="1:3" x14ac:dyDescent="0.3">
      <c r="A828" s="8" t="s">
        <v>838</v>
      </c>
      <c r="B828" s="8" t="s">
        <v>12</v>
      </c>
      <c r="C828" t="s">
        <v>2</v>
      </c>
    </row>
    <row r="829" spans="1:3" x14ac:dyDescent="0.3">
      <c r="A829" s="8" t="s">
        <v>839</v>
      </c>
      <c r="B829" s="8" t="s">
        <v>12</v>
      </c>
      <c r="C829" t="s">
        <v>2</v>
      </c>
    </row>
    <row r="830" spans="1:3" x14ac:dyDescent="0.3">
      <c r="A830" s="8" t="s">
        <v>840</v>
      </c>
      <c r="B830" s="8" t="s">
        <v>12</v>
      </c>
      <c r="C830" t="s">
        <v>2</v>
      </c>
    </row>
    <row r="831" spans="1:3" x14ac:dyDescent="0.3">
      <c r="A831" s="8" t="s">
        <v>841</v>
      </c>
      <c r="B831" s="8" t="s">
        <v>12</v>
      </c>
      <c r="C831" t="s">
        <v>2</v>
      </c>
    </row>
    <row r="832" spans="1:3" x14ac:dyDescent="0.3">
      <c r="A832" s="8" t="s">
        <v>842</v>
      </c>
      <c r="B832" s="8" t="s">
        <v>12</v>
      </c>
      <c r="C832" t="s">
        <v>2</v>
      </c>
    </row>
    <row r="833" spans="1:3" x14ac:dyDescent="0.3">
      <c r="A833" s="8" t="s">
        <v>843</v>
      </c>
      <c r="B833" s="8" t="s">
        <v>12</v>
      </c>
      <c r="C833" t="s">
        <v>2</v>
      </c>
    </row>
    <row r="834" spans="1:3" x14ac:dyDescent="0.3">
      <c r="A834" s="8" t="s">
        <v>844</v>
      </c>
      <c r="B834" s="8" t="s">
        <v>12</v>
      </c>
      <c r="C834" t="s">
        <v>2</v>
      </c>
    </row>
    <row r="835" spans="1:3" x14ac:dyDescent="0.3">
      <c r="A835" s="8" t="s">
        <v>845</v>
      </c>
      <c r="B835" s="8" t="s">
        <v>12</v>
      </c>
      <c r="C835" t="s">
        <v>2</v>
      </c>
    </row>
    <row r="836" spans="1:3" x14ac:dyDescent="0.3">
      <c r="A836" s="8" t="s">
        <v>846</v>
      </c>
      <c r="B836" s="8" t="s">
        <v>12</v>
      </c>
      <c r="C836" t="s">
        <v>2</v>
      </c>
    </row>
    <row r="837" spans="1:3" x14ac:dyDescent="0.3">
      <c r="A837" s="8" t="s">
        <v>847</v>
      </c>
      <c r="B837" s="8" t="s">
        <v>12</v>
      </c>
      <c r="C837" t="s">
        <v>2</v>
      </c>
    </row>
    <row r="838" spans="1:3" x14ac:dyDescent="0.3">
      <c r="A838" s="8" t="s">
        <v>848</v>
      </c>
      <c r="B838" s="8" t="s">
        <v>12</v>
      </c>
      <c r="C838" t="s">
        <v>2</v>
      </c>
    </row>
    <row r="839" spans="1:3" x14ac:dyDescent="0.3">
      <c r="A839" s="8" t="s">
        <v>849</v>
      </c>
      <c r="B839" s="8" t="s">
        <v>12</v>
      </c>
      <c r="C839" t="s">
        <v>2</v>
      </c>
    </row>
    <row r="840" spans="1:3" x14ac:dyDescent="0.3">
      <c r="A840" s="8" t="s">
        <v>850</v>
      </c>
      <c r="B840" s="8" t="s">
        <v>12</v>
      </c>
      <c r="C840" t="s">
        <v>2</v>
      </c>
    </row>
    <row r="841" spans="1:3" x14ac:dyDescent="0.3">
      <c r="A841" s="8" t="s">
        <v>851</v>
      </c>
      <c r="B841" s="8" t="s">
        <v>12</v>
      </c>
      <c r="C841" t="s">
        <v>2</v>
      </c>
    </row>
    <row r="842" spans="1:3" x14ac:dyDescent="0.3">
      <c r="A842" s="8" t="s">
        <v>852</v>
      </c>
      <c r="B842" s="8" t="s">
        <v>12</v>
      </c>
      <c r="C842" t="s">
        <v>2</v>
      </c>
    </row>
    <row r="843" spans="1:3" x14ac:dyDescent="0.3">
      <c r="A843" s="8" t="s">
        <v>853</v>
      </c>
      <c r="B843" s="8" t="s">
        <v>12</v>
      </c>
      <c r="C843" t="s">
        <v>2</v>
      </c>
    </row>
    <row r="844" spans="1:3" x14ac:dyDescent="0.3">
      <c r="A844" s="8" t="s">
        <v>854</v>
      </c>
      <c r="B844" s="8" t="s">
        <v>12</v>
      </c>
      <c r="C844" t="s">
        <v>2</v>
      </c>
    </row>
    <row r="845" spans="1:3" x14ac:dyDescent="0.3">
      <c r="A845" s="8" t="s">
        <v>855</v>
      </c>
      <c r="B845" s="8" t="s">
        <v>12</v>
      </c>
      <c r="C845" t="s">
        <v>2</v>
      </c>
    </row>
    <row r="846" spans="1:3" x14ac:dyDescent="0.3">
      <c r="A846" s="8" t="s">
        <v>856</v>
      </c>
      <c r="B846" s="8" t="s">
        <v>12</v>
      </c>
      <c r="C846" t="s">
        <v>2</v>
      </c>
    </row>
    <row r="847" spans="1:3" x14ac:dyDescent="0.3">
      <c r="A847" s="8" t="s">
        <v>857</v>
      </c>
      <c r="B847" s="8" t="s">
        <v>12</v>
      </c>
      <c r="C847" t="s">
        <v>2</v>
      </c>
    </row>
    <row r="848" spans="1:3" x14ac:dyDescent="0.3">
      <c r="A848" s="8" t="s">
        <v>858</v>
      </c>
      <c r="B848" s="8" t="s">
        <v>12</v>
      </c>
      <c r="C848" t="s">
        <v>3</v>
      </c>
    </row>
    <row r="849" spans="1:3" x14ac:dyDescent="0.3">
      <c r="A849" s="8" t="s">
        <v>859</v>
      </c>
      <c r="B849" s="8" t="s">
        <v>12</v>
      </c>
      <c r="C849" t="s">
        <v>3</v>
      </c>
    </row>
    <row r="850" spans="1:3" x14ac:dyDescent="0.3">
      <c r="A850" s="8" t="s">
        <v>860</v>
      </c>
      <c r="B850" s="8" t="s">
        <v>12</v>
      </c>
      <c r="C850" t="s">
        <v>3</v>
      </c>
    </row>
    <row r="851" spans="1:3" x14ac:dyDescent="0.3">
      <c r="A851" s="8" t="s">
        <v>861</v>
      </c>
      <c r="B851" s="8" t="s">
        <v>12</v>
      </c>
      <c r="C851" t="s">
        <v>3</v>
      </c>
    </row>
    <row r="852" spans="1:3" x14ac:dyDescent="0.3">
      <c r="A852" s="8" t="s">
        <v>862</v>
      </c>
      <c r="B852" s="8" t="s">
        <v>12</v>
      </c>
      <c r="C852" t="s">
        <v>2</v>
      </c>
    </row>
    <row r="853" spans="1:3" x14ac:dyDescent="0.3">
      <c r="A853" s="8" t="s">
        <v>863</v>
      </c>
      <c r="B853" s="8" t="s">
        <v>12</v>
      </c>
      <c r="C853" t="s">
        <v>2</v>
      </c>
    </row>
    <row r="854" spans="1:3" x14ac:dyDescent="0.3">
      <c r="A854" s="8" t="s">
        <v>864</v>
      </c>
      <c r="B854" s="8" t="s">
        <v>12</v>
      </c>
      <c r="C854" t="s">
        <v>2</v>
      </c>
    </row>
    <row r="855" spans="1:3" x14ac:dyDescent="0.3">
      <c r="A855" s="8" t="s">
        <v>865</v>
      </c>
      <c r="B855" s="8" t="s">
        <v>12</v>
      </c>
      <c r="C855" t="s">
        <v>2</v>
      </c>
    </row>
    <row r="856" spans="1:3" x14ac:dyDescent="0.3">
      <c r="A856" s="8" t="s">
        <v>866</v>
      </c>
      <c r="B856" s="8" t="s">
        <v>12</v>
      </c>
      <c r="C856" t="s">
        <v>2</v>
      </c>
    </row>
    <row r="857" spans="1:3" x14ac:dyDescent="0.3">
      <c r="A857" s="8" t="s">
        <v>867</v>
      </c>
      <c r="B857" s="8" t="s">
        <v>12</v>
      </c>
      <c r="C857" t="s">
        <v>2</v>
      </c>
    </row>
    <row r="858" spans="1:3" x14ac:dyDescent="0.3">
      <c r="A858" s="8" t="s">
        <v>868</v>
      </c>
      <c r="B858" s="8" t="s">
        <v>12</v>
      </c>
      <c r="C858" t="s">
        <v>2</v>
      </c>
    </row>
    <row r="859" spans="1:3" x14ac:dyDescent="0.3">
      <c r="A859" s="8" t="s">
        <v>869</v>
      </c>
      <c r="B859" s="8" t="s">
        <v>12</v>
      </c>
      <c r="C859" t="s">
        <v>2</v>
      </c>
    </row>
    <row r="860" spans="1:3" x14ac:dyDescent="0.3">
      <c r="A860" s="8" t="s">
        <v>870</v>
      </c>
      <c r="B860" s="8" t="s">
        <v>12</v>
      </c>
      <c r="C860" t="s">
        <v>2</v>
      </c>
    </row>
    <row r="861" spans="1:3" x14ac:dyDescent="0.3">
      <c r="A861" s="8" t="s">
        <v>871</v>
      </c>
      <c r="B861" s="8" t="s">
        <v>12</v>
      </c>
      <c r="C861" t="s">
        <v>2</v>
      </c>
    </row>
    <row r="862" spans="1:3" x14ac:dyDescent="0.3">
      <c r="A862" s="8" t="s">
        <v>872</v>
      </c>
      <c r="B862" s="8" t="s">
        <v>12</v>
      </c>
      <c r="C862" t="s">
        <v>3678</v>
      </c>
    </row>
    <row r="863" spans="1:3" x14ac:dyDescent="0.3">
      <c r="A863" s="8" t="s">
        <v>873</v>
      </c>
      <c r="B863" s="8" t="s">
        <v>12</v>
      </c>
      <c r="C863" t="s">
        <v>3678</v>
      </c>
    </row>
    <row r="864" spans="1:3" x14ac:dyDescent="0.3">
      <c r="A864" s="8" t="s">
        <v>874</v>
      </c>
      <c r="B864" s="8" t="s">
        <v>12</v>
      </c>
      <c r="C864" t="s">
        <v>2</v>
      </c>
    </row>
    <row r="865" spans="1:3" x14ac:dyDescent="0.3">
      <c r="A865" s="8" t="s">
        <v>875</v>
      </c>
      <c r="B865" s="8" t="s">
        <v>12</v>
      </c>
      <c r="C865" t="s">
        <v>2</v>
      </c>
    </row>
    <row r="866" spans="1:3" x14ac:dyDescent="0.3">
      <c r="A866" s="8" t="s">
        <v>876</v>
      </c>
      <c r="B866" s="8" t="s">
        <v>12</v>
      </c>
      <c r="C866" t="s">
        <v>2</v>
      </c>
    </row>
    <row r="867" spans="1:3" x14ac:dyDescent="0.3">
      <c r="A867" s="8" t="s">
        <v>877</v>
      </c>
      <c r="B867" s="8" t="s">
        <v>12</v>
      </c>
      <c r="C867" t="s">
        <v>2</v>
      </c>
    </row>
    <row r="868" spans="1:3" x14ac:dyDescent="0.3">
      <c r="A868" s="8" t="s">
        <v>878</v>
      </c>
      <c r="B868" s="8" t="s">
        <v>12</v>
      </c>
      <c r="C868" t="s">
        <v>2</v>
      </c>
    </row>
    <row r="869" spans="1:3" x14ac:dyDescent="0.3">
      <c r="A869" s="8" t="s">
        <v>879</v>
      </c>
      <c r="B869" s="8" t="s">
        <v>12</v>
      </c>
      <c r="C869" t="s">
        <v>2</v>
      </c>
    </row>
    <row r="870" spans="1:3" x14ac:dyDescent="0.3">
      <c r="A870" s="8" t="s">
        <v>880</v>
      </c>
      <c r="B870" s="8" t="s">
        <v>12</v>
      </c>
      <c r="C870" t="s">
        <v>2</v>
      </c>
    </row>
    <row r="871" spans="1:3" x14ac:dyDescent="0.3">
      <c r="A871" s="8" t="s">
        <v>881</v>
      </c>
      <c r="B871" s="8" t="s">
        <v>12</v>
      </c>
      <c r="C871" t="s">
        <v>2</v>
      </c>
    </row>
    <row r="872" spans="1:3" x14ac:dyDescent="0.3">
      <c r="A872" s="8" t="s">
        <v>882</v>
      </c>
      <c r="B872" s="8" t="s">
        <v>12</v>
      </c>
      <c r="C872" t="s">
        <v>2</v>
      </c>
    </row>
    <row r="873" spans="1:3" x14ac:dyDescent="0.3">
      <c r="A873" s="8" t="s">
        <v>883</v>
      </c>
      <c r="B873" s="8" t="s">
        <v>12</v>
      </c>
      <c r="C873" t="s">
        <v>2</v>
      </c>
    </row>
    <row r="874" spans="1:3" x14ac:dyDescent="0.3">
      <c r="A874" s="8" t="s">
        <v>884</v>
      </c>
      <c r="B874" s="8" t="s">
        <v>12</v>
      </c>
      <c r="C874" t="s">
        <v>2</v>
      </c>
    </row>
    <row r="875" spans="1:3" x14ac:dyDescent="0.3">
      <c r="A875" s="8" t="s">
        <v>885</v>
      </c>
      <c r="B875" s="8" t="s">
        <v>12</v>
      </c>
      <c r="C875" t="s">
        <v>3678</v>
      </c>
    </row>
    <row r="876" spans="1:3" x14ac:dyDescent="0.3">
      <c r="A876" s="8" t="s">
        <v>886</v>
      </c>
      <c r="B876" s="8" t="s">
        <v>12</v>
      </c>
      <c r="C876" t="s">
        <v>3678</v>
      </c>
    </row>
    <row r="877" spans="1:3" x14ac:dyDescent="0.3">
      <c r="A877" s="8" t="s">
        <v>887</v>
      </c>
      <c r="B877" s="8" t="s">
        <v>12</v>
      </c>
      <c r="C877" t="s">
        <v>3678</v>
      </c>
    </row>
    <row r="878" spans="1:3" x14ac:dyDescent="0.3">
      <c r="A878" s="8" t="s">
        <v>888</v>
      </c>
      <c r="B878" s="8" t="s">
        <v>12</v>
      </c>
      <c r="C878" t="s">
        <v>3678</v>
      </c>
    </row>
    <row r="879" spans="1:3" x14ac:dyDescent="0.3">
      <c r="A879" s="8" t="s">
        <v>889</v>
      </c>
      <c r="B879" s="8" t="s">
        <v>12</v>
      </c>
      <c r="C879" t="s">
        <v>3678</v>
      </c>
    </row>
    <row r="880" spans="1:3" x14ac:dyDescent="0.3">
      <c r="A880" s="8" t="s">
        <v>890</v>
      </c>
      <c r="B880" s="8" t="s">
        <v>12</v>
      </c>
      <c r="C880" t="s">
        <v>3678</v>
      </c>
    </row>
    <row r="881" spans="1:3" x14ac:dyDescent="0.3">
      <c r="A881" s="8" t="s">
        <v>891</v>
      </c>
      <c r="B881" s="8" t="s">
        <v>12</v>
      </c>
      <c r="C881" t="s">
        <v>3678</v>
      </c>
    </row>
    <row r="882" spans="1:3" x14ac:dyDescent="0.3">
      <c r="A882" s="8" t="s">
        <v>892</v>
      </c>
      <c r="B882" s="8" t="s">
        <v>12</v>
      </c>
      <c r="C882" t="s">
        <v>3678</v>
      </c>
    </row>
    <row r="883" spans="1:3" x14ac:dyDescent="0.3">
      <c r="A883" s="8" t="s">
        <v>893</v>
      </c>
      <c r="B883" s="8" t="s">
        <v>12</v>
      </c>
      <c r="C883" t="s">
        <v>3678</v>
      </c>
    </row>
    <row r="884" spans="1:3" x14ac:dyDescent="0.3">
      <c r="A884" s="8" t="s">
        <v>894</v>
      </c>
      <c r="B884" s="8" t="s">
        <v>12</v>
      </c>
      <c r="C884" t="s">
        <v>3678</v>
      </c>
    </row>
    <row r="885" spans="1:3" x14ac:dyDescent="0.3">
      <c r="A885" s="8" t="s">
        <v>895</v>
      </c>
      <c r="B885" s="8" t="s">
        <v>12</v>
      </c>
      <c r="C885" t="s">
        <v>3678</v>
      </c>
    </row>
    <row r="886" spans="1:3" x14ac:dyDescent="0.3">
      <c r="A886" s="8" t="s">
        <v>896</v>
      </c>
      <c r="B886" s="8" t="s">
        <v>12</v>
      </c>
      <c r="C886" t="s">
        <v>3678</v>
      </c>
    </row>
    <row r="887" spans="1:3" x14ac:dyDescent="0.3">
      <c r="A887" s="8" t="s">
        <v>897</v>
      </c>
      <c r="B887" s="8" t="s">
        <v>12</v>
      </c>
      <c r="C887" t="s">
        <v>3678</v>
      </c>
    </row>
    <row r="888" spans="1:3" x14ac:dyDescent="0.3">
      <c r="A888" s="8" t="s">
        <v>898</v>
      </c>
      <c r="B888" s="8" t="s">
        <v>12</v>
      </c>
      <c r="C888" t="s">
        <v>3678</v>
      </c>
    </row>
    <row r="889" spans="1:3" x14ac:dyDescent="0.3">
      <c r="A889" s="8" t="s">
        <v>899</v>
      </c>
      <c r="B889" s="8" t="s">
        <v>12</v>
      </c>
      <c r="C889" t="s">
        <v>3678</v>
      </c>
    </row>
    <row r="890" spans="1:3" x14ac:dyDescent="0.3">
      <c r="A890" s="8" t="s">
        <v>900</v>
      </c>
      <c r="B890" s="8" t="s">
        <v>12</v>
      </c>
      <c r="C890" t="s">
        <v>3678</v>
      </c>
    </row>
    <row r="891" spans="1:3" x14ac:dyDescent="0.3">
      <c r="A891" s="8" t="s">
        <v>901</v>
      </c>
      <c r="B891" s="8" t="s">
        <v>12</v>
      </c>
      <c r="C891" t="s">
        <v>3678</v>
      </c>
    </row>
    <row r="892" spans="1:3" x14ac:dyDescent="0.3">
      <c r="A892" s="8" t="s">
        <v>902</v>
      </c>
      <c r="B892" s="8" t="s">
        <v>12</v>
      </c>
      <c r="C892" t="s">
        <v>3678</v>
      </c>
    </row>
    <row r="893" spans="1:3" x14ac:dyDescent="0.3">
      <c r="A893" s="8" t="s">
        <v>903</v>
      </c>
      <c r="B893" s="8" t="s">
        <v>12</v>
      </c>
      <c r="C893" t="s">
        <v>3678</v>
      </c>
    </row>
    <row r="894" spans="1:3" x14ac:dyDescent="0.3">
      <c r="A894" s="8" t="s">
        <v>904</v>
      </c>
      <c r="B894" s="8" t="s">
        <v>12</v>
      </c>
      <c r="C894" t="s">
        <v>3678</v>
      </c>
    </row>
    <row r="895" spans="1:3" x14ac:dyDescent="0.3">
      <c r="A895" s="8" t="s">
        <v>905</v>
      </c>
      <c r="B895" s="8" t="s">
        <v>12</v>
      </c>
      <c r="C895" t="s">
        <v>3678</v>
      </c>
    </row>
    <row r="896" spans="1:3" x14ac:dyDescent="0.3">
      <c r="A896" s="8" t="s">
        <v>906</v>
      </c>
      <c r="B896" s="8" t="s">
        <v>12</v>
      </c>
      <c r="C896" t="s">
        <v>3678</v>
      </c>
    </row>
    <row r="897" spans="1:3" x14ac:dyDescent="0.3">
      <c r="A897" s="8" t="s">
        <v>907</v>
      </c>
      <c r="B897" s="8" t="s">
        <v>12</v>
      </c>
      <c r="C897" t="s">
        <v>3680</v>
      </c>
    </row>
    <row r="898" spans="1:3" x14ac:dyDescent="0.3">
      <c r="A898" s="8" t="s">
        <v>908</v>
      </c>
      <c r="B898" s="8" t="s">
        <v>12</v>
      </c>
      <c r="C898" t="s">
        <v>2</v>
      </c>
    </row>
    <row r="899" spans="1:3" x14ac:dyDescent="0.3">
      <c r="A899" s="8" t="s">
        <v>909</v>
      </c>
      <c r="B899" s="8" t="s">
        <v>12</v>
      </c>
      <c r="C899" t="s">
        <v>2</v>
      </c>
    </row>
    <row r="900" spans="1:3" x14ac:dyDescent="0.3">
      <c r="A900" s="8" t="s">
        <v>910</v>
      </c>
      <c r="B900" s="8" t="s">
        <v>12</v>
      </c>
      <c r="C900" t="s">
        <v>2</v>
      </c>
    </row>
    <row r="901" spans="1:3" x14ac:dyDescent="0.3">
      <c r="A901" s="8" t="s">
        <v>911</v>
      </c>
      <c r="B901" s="8" t="s">
        <v>12</v>
      </c>
      <c r="C901" t="s">
        <v>2</v>
      </c>
    </row>
    <row r="902" spans="1:3" x14ac:dyDescent="0.3">
      <c r="A902" s="8" t="s">
        <v>912</v>
      </c>
      <c r="B902" s="8" t="s">
        <v>12</v>
      </c>
      <c r="C902" t="s">
        <v>2</v>
      </c>
    </row>
    <row r="903" spans="1:3" x14ac:dyDescent="0.3">
      <c r="A903" s="8" t="s">
        <v>913</v>
      </c>
      <c r="B903" s="8" t="s">
        <v>12</v>
      </c>
      <c r="C903" t="s">
        <v>2</v>
      </c>
    </row>
    <row r="904" spans="1:3" x14ac:dyDescent="0.3">
      <c r="A904" s="8" t="s">
        <v>914</v>
      </c>
      <c r="B904" s="8" t="s">
        <v>12</v>
      </c>
      <c r="C904" t="s">
        <v>2</v>
      </c>
    </row>
    <row r="905" spans="1:3" x14ac:dyDescent="0.3">
      <c r="A905" s="8" t="s">
        <v>915</v>
      </c>
      <c r="B905" s="8" t="s">
        <v>12</v>
      </c>
      <c r="C905" t="s">
        <v>2</v>
      </c>
    </row>
    <row r="906" spans="1:3" x14ac:dyDescent="0.3">
      <c r="A906" s="8" t="s">
        <v>916</v>
      </c>
      <c r="B906" s="8" t="s">
        <v>12</v>
      </c>
      <c r="C906" t="s">
        <v>2</v>
      </c>
    </row>
    <row r="907" spans="1:3" x14ac:dyDescent="0.3">
      <c r="A907" s="8" t="s">
        <v>917</v>
      </c>
      <c r="B907" s="8" t="s">
        <v>12</v>
      </c>
      <c r="C907" t="s">
        <v>2</v>
      </c>
    </row>
    <row r="908" spans="1:3" x14ac:dyDescent="0.3">
      <c r="A908" s="8" t="s">
        <v>918</v>
      </c>
      <c r="B908" s="8" t="s">
        <v>12</v>
      </c>
      <c r="C908" t="s">
        <v>2</v>
      </c>
    </row>
    <row r="909" spans="1:3" x14ac:dyDescent="0.3">
      <c r="A909" s="8" t="s">
        <v>919</v>
      </c>
      <c r="B909" s="8" t="s">
        <v>12</v>
      </c>
      <c r="C909" t="s">
        <v>2</v>
      </c>
    </row>
    <row r="910" spans="1:3" x14ac:dyDescent="0.3">
      <c r="A910" s="8" t="s">
        <v>920</v>
      </c>
      <c r="B910" s="8" t="s">
        <v>12</v>
      </c>
      <c r="C910" t="s">
        <v>2</v>
      </c>
    </row>
    <row r="911" spans="1:3" x14ac:dyDescent="0.3">
      <c r="A911" s="8" t="s">
        <v>921</v>
      </c>
      <c r="B911" s="8" t="s">
        <v>12</v>
      </c>
      <c r="C911" t="s">
        <v>2</v>
      </c>
    </row>
    <row r="912" spans="1:3" x14ac:dyDescent="0.3">
      <c r="A912" s="8" t="s">
        <v>922</v>
      </c>
      <c r="B912" s="8" t="s">
        <v>12</v>
      </c>
      <c r="C912" t="s">
        <v>2</v>
      </c>
    </row>
    <row r="913" spans="1:3" x14ac:dyDescent="0.3">
      <c r="A913" s="8" t="s">
        <v>923</v>
      </c>
      <c r="B913" s="8" t="s">
        <v>12</v>
      </c>
      <c r="C913" t="s">
        <v>2</v>
      </c>
    </row>
    <row r="914" spans="1:3" x14ac:dyDescent="0.3">
      <c r="A914" s="8" t="s">
        <v>924</v>
      </c>
      <c r="B914" s="8" t="s">
        <v>12</v>
      </c>
      <c r="C914" t="s">
        <v>2</v>
      </c>
    </row>
    <row r="915" spans="1:3" x14ac:dyDescent="0.3">
      <c r="A915" s="8" t="s">
        <v>925</v>
      </c>
      <c r="B915" s="8" t="s">
        <v>12</v>
      </c>
      <c r="C915" t="s">
        <v>2</v>
      </c>
    </row>
    <row r="916" spans="1:3" x14ac:dyDescent="0.3">
      <c r="A916" s="8" t="s">
        <v>926</v>
      </c>
      <c r="B916" s="8" t="s">
        <v>12</v>
      </c>
      <c r="C916" t="s">
        <v>2</v>
      </c>
    </row>
    <row r="917" spans="1:3" x14ac:dyDescent="0.3">
      <c r="A917" s="8" t="s">
        <v>927</v>
      </c>
      <c r="B917" s="8" t="s">
        <v>12</v>
      </c>
      <c r="C917" t="s">
        <v>2</v>
      </c>
    </row>
    <row r="918" spans="1:3" x14ac:dyDescent="0.3">
      <c r="A918" s="8" t="s">
        <v>928</v>
      </c>
      <c r="B918" s="8" t="s">
        <v>12</v>
      </c>
      <c r="C918" t="s">
        <v>2</v>
      </c>
    </row>
    <row r="919" spans="1:3" x14ac:dyDescent="0.3">
      <c r="A919" s="8" t="s">
        <v>929</v>
      </c>
      <c r="B919" s="8" t="s">
        <v>12</v>
      </c>
      <c r="C919" t="s">
        <v>2</v>
      </c>
    </row>
    <row r="920" spans="1:3" x14ac:dyDescent="0.3">
      <c r="A920" s="8" t="s">
        <v>930</v>
      </c>
      <c r="B920" s="8" t="s">
        <v>12</v>
      </c>
      <c r="C920" t="s">
        <v>2</v>
      </c>
    </row>
    <row r="921" spans="1:3" x14ac:dyDescent="0.3">
      <c r="A921" s="8" t="s">
        <v>931</v>
      </c>
      <c r="B921" s="8" t="s">
        <v>12</v>
      </c>
      <c r="C921" t="s">
        <v>2</v>
      </c>
    </row>
    <row r="922" spans="1:3" x14ac:dyDescent="0.3">
      <c r="A922" s="8" t="s">
        <v>932</v>
      </c>
      <c r="B922" s="8" t="s">
        <v>12</v>
      </c>
      <c r="C922" t="s">
        <v>2</v>
      </c>
    </row>
    <row r="923" spans="1:3" x14ac:dyDescent="0.3">
      <c r="A923" s="8" t="s">
        <v>933</v>
      </c>
      <c r="B923" s="8" t="s">
        <v>12</v>
      </c>
      <c r="C923" t="s">
        <v>2</v>
      </c>
    </row>
    <row r="924" spans="1:3" x14ac:dyDescent="0.3">
      <c r="A924" s="8" t="s">
        <v>934</v>
      </c>
      <c r="B924" s="8" t="s">
        <v>12</v>
      </c>
      <c r="C924" t="s">
        <v>2</v>
      </c>
    </row>
    <row r="925" spans="1:3" x14ac:dyDescent="0.3">
      <c r="A925" s="8" t="s">
        <v>935</v>
      </c>
      <c r="B925" s="8" t="s">
        <v>12</v>
      </c>
      <c r="C925" t="s">
        <v>2</v>
      </c>
    </row>
    <row r="926" spans="1:3" x14ac:dyDescent="0.3">
      <c r="A926" s="8" t="s">
        <v>936</v>
      </c>
      <c r="B926" s="8" t="s">
        <v>12</v>
      </c>
      <c r="C926" t="s">
        <v>2</v>
      </c>
    </row>
    <row r="927" spans="1:3" x14ac:dyDescent="0.3">
      <c r="A927" s="8" t="s">
        <v>937</v>
      </c>
      <c r="B927" s="8" t="s">
        <v>12</v>
      </c>
      <c r="C927" t="s">
        <v>2</v>
      </c>
    </row>
    <row r="928" spans="1:3" x14ac:dyDescent="0.3">
      <c r="A928" s="8" t="s">
        <v>938</v>
      </c>
      <c r="B928" s="8" t="s">
        <v>12</v>
      </c>
      <c r="C928" t="s">
        <v>2</v>
      </c>
    </row>
    <row r="929" spans="1:3" x14ac:dyDescent="0.3">
      <c r="A929" s="8" t="s">
        <v>939</v>
      </c>
      <c r="B929" s="8" t="s">
        <v>12</v>
      </c>
      <c r="C929" t="s">
        <v>2</v>
      </c>
    </row>
    <row r="930" spans="1:3" x14ac:dyDescent="0.3">
      <c r="A930" s="8" t="s">
        <v>940</v>
      </c>
      <c r="B930" s="8" t="s">
        <v>12</v>
      </c>
      <c r="C930" t="s">
        <v>2</v>
      </c>
    </row>
    <row r="931" spans="1:3" x14ac:dyDescent="0.3">
      <c r="A931" s="8" t="s">
        <v>941</v>
      </c>
      <c r="B931" s="8" t="s">
        <v>12</v>
      </c>
      <c r="C931" t="s">
        <v>2</v>
      </c>
    </row>
    <row r="932" spans="1:3" x14ac:dyDescent="0.3">
      <c r="A932" s="8" t="s">
        <v>942</v>
      </c>
      <c r="B932" s="8" t="s">
        <v>12</v>
      </c>
      <c r="C932" t="s">
        <v>2</v>
      </c>
    </row>
    <row r="933" spans="1:3" x14ac:dyDescent="0.3">
      <c r="A933" s="8" t="s">
        <v>943</v>
      </c>
      <c r="B933" s="8" t="s">
        <v>12</v>
      </c>
      <c r="C933" t="s">
        <v>2</v>
      </c>
    </row>
    <row r="934" spans="1:3" x14ac:dyDescent="0.3">
      <c r="A934" s="8" t="s">
        <v>944</v>
      </c>
      <c r="B934" s="8" t="s">
        <v>12</v>
      </c>
      <c r="C934" t="s">
        <v>2</v>
      </c>
    </row>
    <row r="935" spans="1:3" x14ac:dyDescent="0.3">
      <c r="A935" s="8" t="s">
        <v>945</v>
      </c>
      <c r="B935" s="8" t="s">
        <v>12</v>
      </c>
      <c r="C935" t="s">
        <v>2</v>
      </c>
    </row>
    <row r="936" spans="1:3" x14ac:dyDescent="0.3">
      <c r="A936" s="8" t="s">
        <v>946</v>
      </c>
      <c r="B936" s="8" t="s">
        <v>12</v>
      </c>
      <c r="C936" t="s">
        <v>2</v>
      </c>
    </row>
    <row r="937" spans="1:3" x14ac:dyDescent="0.3">
      <c r="A937" s="8" t="s">
        <v>947</v>
      </c>
      <c r="B937" s="8" t="s">
        <v>12</v>
      </c>
      <c r="C937" t="s">
        <v>2</v>
      </c>
    </row>
    <row r="938" spans="1:3" x14ac:dyDescent="0.3">
      <c r="A938" s="8" t="s">
        <v>948</v>
      </c>
      <c r="B938" s="8" t="s">
        <v>12</v>
      </c>
      <c r="C938" t="s">
        <v>2</v>
      </c>
    </row>
    <row r="939" spans="1:3" x14ac:dyDescent="0.3">
      <c r="A939" s="8" t="s">
        <v>949</v>
      </c>
      <c r="B939" s="8" t="s">
        <v>12</v>
      </c>
      <c r="C939" t="s">
        <v>2</v>
      </c>
    </row>
    <row r="940" spans="1:3" x14ac:dyDescent="0.3">
      <c r="A940" s="8" t="s">
        <v>950</v>
      </c>
      <c r="B940" s="8" t="s">
        <v>12</v>
      </c>
      <c r="C940" t="s">
        <v>2</v>
      </c>
    </row>
    <row r="941" spans="1:3" x14ac:dyDescent="0.3">
      <c r="A941" s="8" t="s">
        <v>951</v>
      </c>
      <c r="B941" s="8" t="s">
        <v>12</v>
      </c>
      <c r="C941" t="s">
        <v>2</v>
      </c>
    </row>
    <row r="942" spans="1:3" x14ac:dyDescent="0.3">
      <c r="A942" s="8" t="s">
        <v>952</v>
      </c>
      <c r="B942" s="8" t="s">
        <v>12</v>
      </c>
      <c r="C942" t="s">
        <v>2</v>
      </c>
    </row>
    <row r="943" spans="1:3" x14ac:dyDescent="0.3">
      <c r="A943" s="8" t="s">
        <v>953</v>
      </c>
      <c r="B943" s="8" t="s">
        <v>12</v>
      </c>
      <c r="C943" t="s">
        <v>2</v>
      </c>
    </row>
    <row r="944" spans="1:3" x14ac:dyDescent="0.3">
      <c r="A944" s="8" t="s">
        <v>954</v>
      </c>
      <c r="B944" s="8" t="s">
        <v>12</v>
      </c>
      <c r="C944" t="s">
        <v>2</v>
      </c>
    </row>
    <row r="945" spans="1:3" x14ac:dyDescent="0.3">
      <c r="A945" s="8" t="s">
        <v>955</v>
      </c>
      <c r="B945" s="8" t="s">
        <v>12</v>
      </c>
      <c r="C945" t="s">
        <v>2</v>
      </c>
    </row>
    <row r="946" spans="1:3" x14ac:dyDescent="0.3">
      <c r="A946" s="8" t="s">
        <v>956</v>
      </c>
      <c r="B946" s="8" t="s">
        <v>12</v>
      </c>
      <c r="C946" t="s">
        <v>2</v>
      </c>
    </row>
    <row r="947" spans="1:3" x14ac:dyDescent="0.3">
      <c r="A947" s="8" t="s">
        <v>957</v>
      </c>
      <c r="B947" s="8" t="s">
        <v>12</v>
      </c>
      <c r="C947" t="s">
        <v>2</v>
      </c>
    </row>
    <row r="948" spans="1:3" x14ac:dyDescent="0.3">
      <c r="A948" s="8" t="s">
        <v>958</v>
      </c>
      <c r="B948" s="8" t="s">
        <v>12</v>
      </c>
      <c r="C948" t="s">
        <v>2</v>
      </c>
    </row>
    <row r="949" spans="1:3" x14ac:dyDescent="0.3">
      <c r="A949" s="8" t="s">
        <v>959</v>
      </c>
      <c r="B949" s="8" t="s">
        <v>12</v>
      </c>
      <c r="C949" t="s">
        <v>2</v>
      </c>
    </row>
    <row r="950" spans="1:3" x14ac:dyDescent="0.3">
      <c r="A950" s="8" t="s">
        <v>960</v>
      </c>
      <c r="B950" s="8" t="s">
        <v>12</v>
      </c>
      <c r="C950" t="s">
        <v>3</v>
      </c>
    </row>
    <row r="951" spans="1:3" x14ac:dyDescent="0.3">
      <c r="A951" s="8" t="s">
        <v>961</v>
      </c>
      <c r="B951" s="8" t="s">
        <v>12</v>
      </c>
      <c r="C951" t="s">
        <v>3</v>
      </c>
    </row>
    <row r="952" spans="1:3" x14ac:dyDescent="0.3">
      <c r="A952" s="8" t="s">
        <v>962</v>
      </c>
      <c r="B952" s="8" t="s">
        <v>12</v>
      </c>
      <c r="C952" t="s">
        <v>3</v>
      </c>
    </row>
    <row r="953" spans="1:3" x14ac:dyDescent="0.3">
      <c r="A953" s="8" t="s">
        <v>963</v>
      </c>
      <c r="B953" s="8" t="s">
        <v>12</v>
      </c>
      <c r="C953" t="s">
        <v>3</v>
      </c>
    </row>
    <row r="954" spans="1:3" x14ac:dyDescent="0.3">
      <c r="A954" s="8" t="s">
        <v>964</v>
      </c>
      <c r="B954" s="8" t="s">
        <v>12</v>
      </c>
      <c r="C954" t="s">
        <v>3</v>
      </c>
    </row>
    <row r="955" spans="1:3" x14ac:dyDescent="0.3">
      <c r="A955" s="8" t="s">
        <v>965</v>
      </c>
      <c r="B955" s="8" t="s">
        <v>12</v>
      </c>
      <c r="C955" t="s">
        <v>3</v>
      </c>
    </row>
    <row r="956" spans="1:3" x14ac:dyDescent="0.3">
      <c r="A956" s="8" t="s">
        <v>966</v>
      </c>
      <c r="B956" s="8" t="s">
        <v>12</v>
      </c>
      <c r="C956" t="s">
        <v>3</v>
      </c>
    </row>
    <row r="957" spans="1:3" x14ac:dyDescent="0.3">
      <c r="A957" s="8" t="s">
        <v>967</v>
      </c>
      <c r="B957" s="8" t="s">
        <v>12</v>
      </c>
      <c r="C957" t="s">
        <v>3</v>
      </c>
    </row>
    <row r="958" spans="1:3" x14ac:dyDescent="0.3">
      <c r="A958" s="8" t="s">
        <v>968</v>
      </c>
      <c r="B958" s="8" t="s">
        <v>12</v>
      </c>
      <c r="C958" t="s">
        <v>3</v>
      </c>
    </row>
    <row r="959" spans="1:3" x14ac:dyDescent="0.3">
      <c r="A959" s="8" t="s">
        <v>969</v>
      </c>
      <c r="B959" s="8" t="s">
        <v>12</v>
      </c>
      <c r="C959" t="s">
        <v>2</v>
      </c>
    </row>
    <row r="960" spans="1:3" x14ac:dyDescent="0.3">
      <c r="A960" s="8" t="s">
        <v>970</v>
      </c>
      <c r="B960" s="8" t="s">
        <v>12</v>
      </c>
      <c r="C960" t="s">
        <v>2</v>
      </c>
    </row>
    <row r="961" spans="1:3" x14ac:dyDescent="0.3">
      <c r="A961" s="8" t="s">
        <v>971</v>
      </c>
      <c r="B961" s="8" t="s">
        <v>12</v>
      </c>
      <c r="C961" t="s">
        <v>2</v>
      </c>
    </row>
    <row r="962" spans="1:3" x14ac:dyDescent="0.3">
      <c r="A962" s="8" t="s">
        <v>972</v>
      </c>
      <c r="B962" s="8" t="s">
        <v>12</v>
      </c>
      <c r="C962" t="s">
        <v>2</v>
      </c>
    </row>
    <row r="963" spans="1:3" x14ac:dyDescent="0.3">
      <c r="A963" s="8" t="s">
        <v>973</v>
      </c>
      <c r="B963" s="8" t="s">
        <v>12</v>
      </c>
      <c r="C963" t="s">
        <v>2</v>
      </c>
    </row>
    <row r="964" spans="1:3" x14ac:dyDescent="0.3">
      <c r="A964" s="8" t="s">
        <v>974</v>
      </c>
      <c r="B964" s="8" t="s">
        <v>12</v>
      </c>
      <c r="C964" t="s">
        <v>2</v>
      </c>
    </row>
    <row r="965" spans="1:3" x14ac:dyDescent="0.3">
      <c r="A965" s="8" t="s">
        <v>975</v>
      </c>
      <c r="B965" s="8" t="s">
        <v>12</v>
      </c>
      <c r="C965" t="s">
        <v>2</v>
      </c>
    </row>
    <row r="966" spans="1:3" x14ac:dyDescent="0.3">
      <c r="A966" s="8" t="s">
        <v>976</v>
      </c>
      <c r="B966" s="8" t="s">
        <v>12</v>
      </c>
      <c r="C966" t="s">
        <v>2</v>
      </c>
    </row>
    <row r="967" spans="1:3" x14ac:dyDescent="0.3">
      <c r="A967" s="8" t="s">
        <v>977</v>
      </c>
      <c r="B967" s="8" t="s">
        <v>12</v>
      </c>
      <c r="C967" t="s">
        <v>2</v>
      </c>
    </row>
    <row r="968" spans="1:3" x14ac:dyDescent="0.3">
      <c r="A968" s="8" t="s">
        <v>978</v>
      </c>
      <c r="B968" s="8" t="s">
        <v>12</v>
      </c>
      <c r="C968" t="s">
        <v>2</v>
      </c>
    </row>
    <row r="969" spans="1:3" x14ac:dyDescent="0.3">
      <c r="A969" s="8" t="s">
        <v>979</v>
      </c>
      <c r="B969" s="8" t="s">
        <v>12</v>
      </c>
      <c r="C969" t="s">
        <v>2</v>
      </c>
    </row>
    <row r="970" spans="1:3" x14ac:dyDescent="0.3">
      <c r="A970" s="8" t="s">
        <v>980</v>
      </c>
      <c r="B970" s="8" t="s">
        <v>12</v>
      </c>
      <c r="C970" t="s">
        <v>2</v>
      </c>
    </row>
    <row r="971" spans="1:3" x14ac:dyDescent="0.3">
      <c r="A971" s="8" t="s">
        <v>981</v>
      </c>
      <c r="B971" s="8" t="s">
        <v>12</v>
      </c>
      <c r="C971" t="s">
        <v>2</v>
      </c>
    </row>
    <row r="972" spans="1:3" x14ac:dyDescent="0.3">
      <c r="A972" s="8" t="s">
        <v>982</v>
      </c>
      <c r="B972" s="8" t="s">
        <v>12</v>
      </c>
      <c r="C972" t="s">
        <v>2</v>
      </c>
    </row>
    <row r="973" spans="1:3" x14ac:dyDescent="0.3">
      <c r="A973" s="8" t="s">
        <v>983</v>
      </c>
      <c r="B973" s="8" t="s">
        <v>12</v>
      </c>
      <c r="C973" t="s">
        <v>2</v>
      </c>
    </row>
    <row r="974" spans="1:3" x14ac:dyDescent="0.3">
      <c r="A974" s="8" t="s">
        <v>984</v>
      </c>
      <c r="B974" s="8" t="s">
        <v>12</v>
      </c>
      <c r="C974" t="s">
        <v>2</v>
      </c>
    </row>
    <row r="975" spans="1:3" x14ac:dyDescent="0.3">
      <c r="A975" s="8" t="s">
        <v>985</v>
      </c>
      <c r="B975" s="8" t="s">
        <v>12</v>
      </c>
      <c r="C975" t="s">
        <v>2</v>
      </c>
    </row>
    <row r="976" spans="1:3" x14ac:dyDescent="0.3">
      <c r="A976" s="8" t="s">
        <v>986</v>
      </c>
      <c r="B976" s="8" t="s">
        <v>12</v>
      </c>
      <c r="C976" t="s">
        <v>2</v>
      </c>
    </row>
    <row r="977" spans="1:3" x14ac:dyDescent="0.3">
      <c r="A977" s="8" t="s">
        <v>987</v>
      </c>
      <c r="B977" s="8" t="s">
        <v>12</v>
      </c>
      <c r="C977" t="s">
        <v>2</v>
      </c>
    </row>
    <row r="978" spans="1:3" x14ac:dyDescent="0.3">
      <c r="A978" s="8" t="s">
        <v>988</v>
      </c>
      <c r="B978" s="8" t="s">
        <v>12</v>
      </c>
      <c r="C978" t="s">
        <v>2</v>
      </c>
    </row>
    <row r="979" spans="1:3" x14ac:dyDescent="0.3">
      <c r="A979" s="8" t="s">
        <v>989</v>
      </c>
      <c r="B979" s="8" t="s">
        <v>12</v>
      </c>
      <c r="C979" t="s">
        <v>2</v>
      </c>
    </row>
    <row r="980" spans="1:3" x14ac:dyDescent="0.3">
      <c r="A980" s="8" t="s">
        <v>990</v>
      </c>
      <c r="B980" s="8" t="s">
        <v>12</v>
      </c>
      <c r="C980" t="s">
        <v>2</v>
      </c>
    </row>
    <row r="981" spans="1:3" x14ac:dyDescent="0.3">
      <c r="A981" s="8" t="s">
        <v>991</v>
      </c>
      <c r="B981" s="8" t="s">
        <v>12</v>
      </c>
      <c r="C981" t="s">
        <v>2</v>
      </c>
    </row>
    <row r="982" spans="1:3" x14ac:dyDescent="0.3">
      <c r="A982" s="8" t="s">
        <v>992</v>
      </c>
      <c r="B982" s="8" t="s">
        <v>12</v>
      </c>
      <c r="C982" t="s">
        <v>2</v>
      </c>
    </row>
    <row r="983" spans="1:3" x14ac:dyDescent="0.3">
      <c r="A983" s="8" t="s">
        <v>993</v>
      </c>
      <c r="B983" s="8" t="s">
        <v>12</v>
      </c>
      <c r="C983" t="s">
        <v>2</v>
      </c>
    </row>
    <row r="984" spans="1:3" x14ac:dyDescent="0.3">
      <c r="A984" s="8" t="s">
        <v>994</v>
      </c>
      <c r="B984" s="8" t="s">
        <v>12</v>
      </c>
      <c r="C984" t="s">
        <v>2</v>
      </c>
    </row>
    <row r="985" spans="1:3" x14ac:dyDescent="0.3">
      <c r="A985" s="8" t="s">
        <v>995</v>
      </c>
      <c r="B985" s="8" t="s">
        <v>12</v>
      </c>
      <c r="C985" t="s">
        <v>2</v>
      </c>
    </row>
    <row r="986" spans="1:3" x14ac:dyDescent="0.3">
      <c r="A986" s="8" t="s">
        <v>996</v>
      </c>
      <c r="B986" s="8" t="s">
        <v>12</v>
      </c>
      <c r="C986" t="s">
        <v>2</v>
      </c>
    </row>
    <row r="987" spans="1:3" x14ac:dyDescent="0.3">
      <c r="A987" s="8" t="s">
        <v>997</v>
      </c>
      <c r="B987" s="8" t="s">
        <v>12</v>
      </c>
      <c r="C987" t="s">
        <v>2</v>
      </c>
    </row>
    <row r="988" spans="1:3" x14ac:dyDescent="0.3">
      <c r="A988" s="8" t="s">
        <v>998</v>
      </c>
      <c r="B988" s="8" t="s">
        <v>12</v>
      </c>
      <c r="C988" t="s">
        <v>2</v>
      </c>
    </row>
    <row r="989" spans="1:3" x14ac:dyDescent="0.3">
      <c r="A989" s="8" t="s">
        <v>999</v>
      </c>
      <c r="B989" s="8" t="s">
        <v>12</v>
      </c>
      <c r="C989" t="s">
        <v>2</v>
      </c>
    </row>
    <row r="990" spans="1:3" x14ac:dyDescent="0.3">
      <c r="A990" s="8" t="s">
        <v>1000</v>
      </c>
      <c r="B990" s="8" t="s">
        <v>12</v>
      </c>
      <c r="C990" t="s">
        <v>2</v>
      </c>
    </row>
    <row r="991" spans="1:3" x14ac:dyDescent="0.3">
      <c r="A991" s="8" t="s">
        <v>1001</v>
      </c>
      <c r="B991" s="8" t="s">
        <v>12</v>
      </c>
      <c r="C991" t="s">
        <v>2</v>
      </c>
    </row>
    <row r="992" spans="1:3" x14ac:dyDescent="0.3">
      <c r="A992" s="8" t="s">
        <v>1002</v>
      </c>
      <c r="B992" s="8" t="s">
        <v>12</v>
      </c>
      <c r="C992" t="s">
        <v>2</v>
      </c>
    </row>
    <row r="993" spans="1:3" x14ac:dyDescent="0.3">
      <c r="A993" s="8" t="s">
        <v>1003</v>
      </c>
      <c r="B993" s="8" t="s">
        <v>12</v>
      </c>
      <c r="C993" t="s">
        <v>2</v>
      </c>
    </row>
    <row r="994" spans="1:3" x14ac:dyDescent="0.3">
      <c r="A994" s="8" t="s">
        <v>1004</v>
      </c>
      <c r="B994" s="8" t="s">
        <v>12</v>
      </c>
      <c r="C994" t="s">
        <v>2</v>
      </c>
    </row>
    <row r="995" spans="1:3" x14ac:dyDescent="0.3">
      <c r="A995" s="8" t="s">
        <v>1005</v>
      </c>
      <c r="B995" s="8" t="s">
        <v>12</v>
      </c>
      <c r="C995" t="s">
        <v>2</v>
      </c>
    </row>
    <row r="996" spans="1:3" x14ac:dyDescent="0.3">
      <c r="A996" s="8" t="s">
        <v>1006</v>
      </c>
      <c r="B996" s="8" t="s">
        <v>12</v>
      </c>
      <c r="C996" t="s">
        <v>2</v>
      </c>
    </row>
    <row r="997" spans="1:3" x14ac:dyDescent="0.3">
      <c r="A997" s="8" t="s">
        <v>1007</v>
      </c>
      <c r="B997" s="8" t="s">
        <v>12</v>
      </c>
      <c r="C997" t="s">
        <v>2</v>
      </c>
    </row>
    <row r="998" spans="1:3" x14ac:dyDescent="0.3">
      <c r="A998" s="8" t="s">
        <v>1008</v>
      </c>
      <c r="B998" s="8" t="s">
        <v>12</v>
      </c>
      <c r="C998" t="s">
        <v>2</v>
      </c>
    </row>
    <row r="999" spans="1:3" x14ac:dyDescent="0.3">
      <c r="A999" s="8" t="s">
        <v>1009</v>
      </c>
      <c r="B999" s="8" t="s">
        <v>12</v>
      </c>
      <c r="C999" t="s">
        <v>2</v>
      </c>
    </row>
    <row r="1000" spans="1:3" x14ac:dyDescent="0.3">
      <c r="A1000" s="8" t="s">
        <v>1010</v>
      </c>
      <c r="B1000" s="8" t="s">
        <v>12</v>
      </c>
      <c r="C1000" t="s">
        <v>2</v>
      </c>
    </row>
    <row r="1001" spans="1:3" x14ac:dyDescent="0.3">
      <c r="A1001" s="8" t="s">
        <v>1011</v>
      </c>
      <c r="B1001" s="8" t="s">
        <v>12</v>
      </c>
      <c r="C1001" t="s">
        <v>2</v>
      </c>
    </row>
    <row r="1002" spans="1:3" x14ac:dyDescent="0.3">
      <c r="A1002" s="8" t="s">
        <v>1012</v>
      </c>
      <c r="B1002" s="8" t="s">
        <v>12</v>
      </c>
      <c r="C1002" t="s">
        <v>2</v>
      </c>
    </row>
    <row r="1003" spans="1:3" x14ac:dyDescent="0.3">
      <c r="A1003" s="8" t="s">
        <v>1013</v>
      </c>
      <c r="B1003" s="8" t="s">
        <v>12</v>
      </c>
      <c r="C1003" t="s">
        <v>2</v>
      </c>
    </row>
    <row r="1004" spans="1:3" x14ac:dyDescent="0.3">
      <c r="A1004" s="8" t="s">
        <v>1014</v>
      </c>
      <c r="B1004" s="8" t="s">
        <v>12</v>
      </c>
      <c r="C1004" t="s">
        <v>2</v>
      </c>
    </row>
    <row r="1005" spans="1:3" x14ac:dyDescent="0.3">
      <c r="A1005" s="8" t="s">
        <v>1015</v>
      </c>
      <c r="B1005" s="8" t="s">
        <v>12</v>
      </c>
      <c r="C1005" t="s">
        <v>2</v>
      </c>
    </row>
    <row r="1006" spans="1:3" x14ac:dyDescent="0.3">
      <c r="A1006" s="8" t="s">
        <v>1016</v>
      </c>
      <c r="B1006" s="8" t="s">
        <v>12</v>
      </c>
      <c r="C1006" t="s">
        <v>2</v>
      </c>
    </row>
    <row r="1007" spans="1:3" x14ac:dyDescent="0.3">
      <c r="A1007" s="8" t="s">
        <v>1017</v>
      </c>
      <c r="B1007" s="8" t="s">
        <v>12</v>
      </c>
      <c r="C1007" t="s">
        <v>2</v>
      </c>
    </row>
    <row r="1008" spans="1:3" x14ac:dyDescent="0.3">
      <c r="A1008" s="8" t="s">
        <v>1018</v>
      </c>
      <c r="B1008" s="8" t="s">
        <v>12</v>
      </c>
      <c r="C1008" t="s">
        <v>2</v>
      </c>
    </row>
    <row r="1009" spans="1:3" x14ac:dyDescent="0.3">
      <c r="A1009" s="8" t="s">
        <v>1019</v>
      </c>
      <c r="B1009" s="8" t="s">
        <v>12</v>
      </c>
      <c r="C1009" t="s">
        <v>2</v>
      </c>
    </row>
    <row r="1010" spans="1:3" x14ac:dyDescent="0.3">
      <c r="A1010" s="8" t="s">
        <v>1020</v>
      </c>
      <c r="B1010" s="8" t="s">
        <v>12</v>
      </c>
      <c r="C1010" t="s">
        <v>2</v>
      </c>
    </row>
    <row r="1011" spans="1:3" x14ac:dyDescent="0.3">
      <c r="A1011" s="8" t="s">
        <v>1021</v>
      </c>
      <c r="B1011" s="8" t="s">
        <v>12</v>
      </c>
      <c r="C1011" t="s">
        <v>2</v>
      </c>
    </row>
    <row r="1012" spans="1:3" x14ac:dyDescent="0.3">
      <c r="A1012" s="8" t="s">
        <v>1022</v>
      </c>
      <c r="B1012" s="8" t="s">
        <v>12</v>
      </c>
      <c r="C1012" t="s">
        <v>2</v>
      </c>
    </row>
    <row r="1013" spans="1:3" x14ac:dyDescent="0.3">
      <c r="A1013" s="8" t="s">
        <v>1023</v>
      </c>
      <c r="B1013" s="8" t="s">
        <v>12</v>
      </c>
      <c r="C1013" t="s">
        <v>2</v>
      </c>
    </row>
    <row r="1014" spans="1:3" x14ac:dyDescent="0.3">
      <c r="A1014" s="8" t="s">
        <v>1024</v>
      </c>
      <c r="B1014" s="8" t="s">
        <v>12</v>
      </c>
      <c r="C1014" t="s">
        <v>2</v>
      </c>
    </row>
    <row r="1015" spans="1:3" x14ac:dyDescent="0.3">
      <c r="A1015" s="8" t="s">
        <v>1025</v>
      </c>
      <c r="B1015" s="8" t="s">
        <v>12</v>
      </c>
      <c r="C1015" t="s">
        <v>2</v>
      </c>
    </row>
    <row r="1016" spans="1:3" x14ac:dyDescent="0.3">
      <c r="A1016" s="8" t="s">
        <v>1026</v>
      </c>
      <c r="B1016" s="8" t="s">
        <v>12</v>
      </c>
      <c r="C1016" t="s">
        <v>2</v>
      </c>
    </row>
    <row r="1017" spans="1:3" x14ac:dyDescent="0.3">
      <c r="A1017" s="8" t="s">
        <v>1027</v>
      </c>
      <c r="B1017" s="8" t="s">
        <v>12</v>
      </c>
      <c r="C1017" t="s">
        <v>3</v>
      </c>
    </row>
    <row r="1018" spans="1:3" x14ac:dyDescent="0.3">
      <c r="A1018" s="8" t="s">
        <v>1028</v>
      </c>
      <c r="B1018" s="8" t="s">
        <v>12</v>
      </c>
      <c r="C1018" t="s">
        <v>3</v>
      </c>
    </row>
    <row r="1019" spans="1:3" x14ac:dyDescent="0.3">
      <c r="A1019" s="8" t="s">
        <v>1029</v>
      </c>
      <c r="B1019" s="8" t="s">
        <v>12</v>
      </c>
      <c r="C1019" t="s">
        <v>3</v>
      </c>
    </row>
    <row r="1020" spans="1:3" x14ac:dyDescent="0.3">
      <c r="A1020" s="8" t="s">
        <v>1030</v>
      </c>
      <c r="B1020" s="8" t="s">
        <v>12</v>
      </c>
      <c r="C1020" t="s">
        <v>3</v>
      </c>
    </row>
    <row r="1021" spans="1:3" x14ac:dyDescent="0.3">
      <c r="A1021" s="8" t="s">
        <v>1031</v>
      </c>
      <c r="B1021" s="8" t="s">
        <v>12</v>
      </c>
      <c r="C1021" t="s">
        <v>3</v>
      </c>
    </row>
    <row r="1022" spans="1:3" x14ac:dyDescent="0.3">
      <c r="A1022" s="8" t="s">
        <v>1032</v>
      </c>
      <c r="B1022" s="8" t="s">
        <v>12</v>
      </c>
      <c r="C1022" t="s">
        <v>3</v>
      </c>
    </row>
    <row r="1023" spans="1:3" x14ac:dyDescent="0.3">
      <c r="A1023" s="8" t="s">
        <v>1033</v>
      </c>
      <c r="B1023" s="8" t="s">
        <v>12</v>
      </c>
      <c r="C1023" t="s">
        <v>3</v>
      </c>
    </row>
    <row r="1024" spans="1:3" x14ac:dyDescent="0.3">
      <c r="A1024" s="8" t="s">
        <v>1034</v>
      </c>
      <c r="B1024" s="8" t="s">
        <v>12</v>
      </c>
      <c r="C1024" t="s">
        <v>3</v>
      </c>
    </row>
    <row r="1025" spans="1:3" x14ac:dyDescent="0.3">
      <c r="A1025" s="8" t="s">
        <v>1035</v>
      </c>
      <c r="B1025" s="8" t="s">
        <v>12</v>
      </c>
      <c r="C1025" t="s">
        <v>2</v>
      </c>
    </row>
    <row r="1026" spans="1:3" x14ac:dyDescent="0.3">
      <c r="A1026" s="8" t="s">
        <v>1036</v>
      </c>
      <c r="B1026" s="8" t="s">
        <v>12</v>
      </c>
      <c r="C1026" t="s">
        <v>2</v>
      </c>
    </row>
    <row r="1027" spans="1:3" x14ac:dyDescent="0.3">
      <c r="A1027" s="8" t="s">
        <v>1037</v>
      </c>
      <c r="B1027" s="8" t="s">
        <v>12</v>
      </c>
      <c r="C1027" t="s">
        <v>2</v>
      </c>
    </row>
    <row r="1028" spans="1:3" x14ac:dyDescent="0.3">
      <c r="A1028" s="8" t="s">
        <v>1038</v>
      </c>
      <c r="B1028" s="8" t="s">
        <v>12</v>
      </c>
      <c r="C1028" t="s">
        <v>2</v>
      </c>
    </row>
    <row r="1029" spans="1:3" x14ac:dyDescent="0.3">
      <c r="A1029" s="8" t="s">
        <v>1039</v>
      </c>
      <c r="B1029" s="8" t="s">
        <v>12</v>
      </c>
      <c r="C1029" t="s">
        <v>2</v>
      </c>
    </row>
    <row r="1030" spans="1:3" x14ac:dyDescent="0.3">
      <c r="A1030" s="8" t="s">
        <v>1040</v>
      </c>
      <c r="B1030" s="8" t="s">
        <v>12</v>
      </c>
      <c r="C1030" t="s">
        <v>2</v>
      </c>
    </row>
    <row r="1031" spans="1:3" x14ac:dyDescent="0.3">
      <c r="A1031" s="8" t="s">
        <v>1041</v>
      </c>
      <c r="B1031" s="8" t="s">
        <v>12</v>
      </c>
      <c r="C1031" t="s">
        <v>2</v>
      </c>
    </row>
    <row r="1032" spans="1:3" x14ac:dyDescent="0.3">
      <c r="A1032" s="8" t="s">
        <v>1042</v>
      </c>
      <c r="B1032" s="8" t="s">
        <v>12</v>
      </c>
      <c r="C1032" t="s">
        <v>2</v>
      </c>
    </row>
    <row r="1033" spans="1:3" x14ac:dyDescent="0.3">
      <c r="A1033" s="8" t="s">
        <v>1043</v>
      </c>
      <c r="B1033" s="8" t="s">
        <v>12</v>
      </c>
      <c r="C1033" t="s">
        <v>2</v>
      </c>
    </row>
    <row r="1034" spans="1:3" x14ac:dyDescent="0.3">
      <c r="A1034" s="8" t="s">
        <v>1044</v>
      </c>
      <c r="B1034" s="8" t="s">
        <v>12</v>
      </c>
      <c r="C1034" t="s">
        <v>2</v>
      </c>
    </row>
    <row r="1035" spans="1:3" x14ac:dyDescent="0.3">
      <c r="A1035" s="8" t="s">
        <v>1045</v>
      </c>
      <c r="B1035" s="8" t="s">
        <v>12</v>
      </c>
      <c r="C1035" t="s">
        <v>2</v>
      </c>
    </row>
    <row r="1036" spans="1:3" x14ac:dyDescent="0.3">
      <c r="A1036" s="8" t="s">
        <v>1046</v>
      </c>
      <c r="B1036" s="8" t="s">
        <v>12</v>
      </c>
      <c r="C1036" t="s">
        <v>2</v>
      </c>
    </row>
    <row r="1037" spans="1:3" x14ac:dyDescent="0.3">
      <c r="A1037" s="8" t="s">
        <v>1047</v>
      </c>
      <c r="B1037" s="8" t="s">
        <v>12</v>
      </c>
      <c r="C1037" t="s">
        <v>2</v>
      </c>
    </row>
    <row r="1038" spans="1:3" x14ac:dyDescent="0.3">
      <c r="A1038" s="8" t="s">
        <v>1048</v>
      </c>
      <c r="B1038" s="8" t="s">
        <v>12</v>
      </c>
      <c r="C1038" t="s">
        <v>2</v>
      </c>
    </row>
    <row r="1039" spans="1:3" x14ac:dyDescent="0.3">
      <c r="A1039" s="8" t="s">
        <v>1049</v>
      </c>
      <c r="B1039" s="8" t="s">
        <v>12</v>
      </c>
      <c r="C1039" t="s">
        <v>2</v>
      </c>
    </row>
    <row r="1040" spans="1:3" x14ac:dyDescent="0.3">
      <c r="A1040" s="8" t="s">
        <v>1050</v>
      </c>
      <c r="B1040" s="8" t="s">
        <v>12</v>
      </c>
      <c r="C1040" t="s">
        <v>2</v>
      </c>
    </row>
    <row r="1041" spans="1:3" x14ac:dyDescent="0.3">
      <c r="A1041" s="8" t="s">
        <v>1051</v>
      </c>
      <c r="B1041" s="8" t="s">
        <v>12</v>
      </c>
      <c r="C1041" t="s">
        <v>2</v>
      </c>
    </row>
    <row r="1042" spans="1:3" x14ac:dyDescent="0.3">
      <c r="A1042" s="8" t="s">
        <v>1052</v>
      </c>
      <c r="B1042" s="8" t="s">
        <v>12</v>
      </c>
      <c r="C1042" t="s">
        <v>2</v>
      </c>
    </row>
    <row r="1043" spans="1:3" x14ac:dyDescent="0.3">
      <c r="A1043" s="8" t="s">
        <v>1053</v>
      </c>
      <c r="B1043" s="8" t="s">
        <v>12</v>
      </c>
      <c r="C1043" t="s">
        <v>2</v>
      </c>
    </row>
    <row r="1044" spans="1:3" x14ac:dyDescent="0.3">
      <c r="A1044" s="8" t="s">
        <v>1054</v>
      </c>
      <c r="B1044" s="8" t="s">
        <v>12</v>
      </c>
      <c r="C1044" t="s">
        <v>2</v>
      </c>
    </row>
    <row r="1045" spans="1:3" x14ac:dyDescent="0.3">
      <c r="A1045" s="8" t="s">
        <v>1055</v>
      </c>
      <c r="B1045" s="8" t="s">
        <v>12</v>
      </c>
      <c r="C1045" t="s">
        <v>2</v>
      </c>
    </row>
    <row r="1046" spans="1:3" x14ac:dyDescent="0.3">
      <c r="A1046" s="8" t="s">
        <v>1056</v>
      </c>
      <c r="B1046" s="8" t="s">
        <v>12</v>
      </c>
      <c r="C1046" t="s">
        <v>2</v>
      </c>
    </row>
    <row r="1047" spans="1:3" x14ac:dyDescent="0.3">
      <c r="A1047" s="8" t="s">
        <v>1057</v>
      </c>
      <c r="B1047" s="8" t="s">
        <v>12</v>
      </c>
      <c r="C1047" t="s">
        <v>2</v>
      </c>
    </row>
    <row r="1048" spans="1:3" x14ac:dyDescent="0.3">
      <c r="A1048" s="8" t="s">
        <v>1058</v>
      </c>
      <c r="B1048" s="8" t="s">
        <v>12</v>
      </c>
      <c r="C1048" t="s">
        <v>2</v>
      </c>
    </row>
    <row r="1049" spans="1:3" x14ac:dyDescent="0.3">
      <c r="A1049" s="8" t="s">
        <v>1059</v>
      </c>
      <c r="B1049" s="8" t="s">
        <v>12</v>
      </c>
      <c r="C1049" t="s">
        <v>2</v>
      </c>
    </row>
    <row r="1050" spans="1:3" x14ac:dyDescent="0.3">
      <c r="A1050" s="8" t="s">
        <v>1060</v>
      </c>
      <c r="B1050" s="8" t="s">
        <v>12</v>
      </c>
      <c r="C1050" t="s">
        <v>2</v>
      </c>
    </row>
    <row r="1051" spans="1:3" x14ac:dyDescent="0.3">
      <c r="A1051" s="8" t="s">
        <v>1061</v>
      </c>
      <c r="B1051" s="8" t="s">
        <v>12</v>
      </c>
      <c r="C1051" t="s">
        <v>2</v>
      </c>
    </row>
    <row r="1052" spans="1:3" x14ac:dyDescent="0.3">
      <c r="A1052" s="8" t="s">
        <v>1062</v>
      </c>
      <c r="B1052" s="8" t="s">
        <v>12</v>
      </c>
      <c r="C1052" t="s">
        <v>2</v>
      </c>
    </row>
    <row r="1053" spans="1:3" x14ac:dyDescent="0.3">
      <c r="A1053" s="8" t="s">
        <v>1063</v>
      </c>
      <c r="B1053" s="8" t="s">
        <v>12</v>
      </c>
      <c r="C1053" t="s">
        <v>2</v>
      </c>
    </row>
    <row r="1054" spans="1:3" x14ac:dyDescent="0.3">
      <c r="A1054" s="8" t="s">
        <v>1064</v>
      </c>
      <c r="B1054" s="8" t="s">
        <v>12</v>
      </c>
      <c r="C1054" t="s">
        <v>2</v>
      </c>
    </row>
    <row r="1055" spans="1:3" x14ac:dyDescent="0.3">
      <c r="A1055" s="8" t="s">
        <v>1065</v>
      </c>
      <c r="B1055" s="8" t="s">
        <v>12</v>
      </c>
      <c r="C1055" t="s">
        <v>2</v>
      </c>
    </row>
    <row r="1056" spans="1:3" x14ac:dyDescent="0.3">
      <c r="A1056" s="8" t="s">
        <v>1066</v>
      </c>
      <c r="B1056" s="8" t="s">
        <v>12</v>
      </c>
      <c r="C1056" t="s">
        <v>2</v>
      </c>
    </row>
    <row r="1057" spans="1:3" x14ac:dyDescent="0.3">
      <c r="A1057" s="8" t="s">
        <v>1067</v>
      </c>
      <c r="B1057" s="8" t="s">
        <v>12</v>
      </c>
      <c r="C1057" t="s">
        <v>2</v>
      </c>
    </row>
    <row r="1058" spans="1:3" x14ac:dyDescent="0.3">
      <c r="A1058" s="8" t="s">
        <v>1068</v>
      </c>
      <c r="B1058" s="8" t="s">
        <v>12</v>
      </c>
      <c r="C1058" t="s">
        <v>2</v>
      </c>
    </row>
    <row r="1059" spans="1:3" x14ac:dyDescent="0.3">
      <c r="A1059" s="8" t="s">
        <v>1069</v>
      </c>
      <c r="B1059" s="8" t="s">
        <v>12</v>
      </c>
      <c r="C1059" t="s">
        <v>2</v>
      </c>
    </row>
    <row r="1060" spans="1:3" x14ac:dyDescent="0.3">
      <c r="A1060" s="8" t="s">
        <v>1070</v>
      </c>
      <c r="B1060" s="8" t="s">
        <v>12</v>
      </c>
      <c r="C1060" t="s">
        <v>2</v>
      </c>
    </row>
    <row r="1061" spans="1:3" x14ac:dyDescent="0.3">
      <c r="A1061" s="8" t="s">
        <v>1071</v>
      </c>
      <c r="B1061" s="8" t="s">
        <v>12</v>
      </c>
      <c r="C1061" t="s">
        <v>2</v>
      </c>
    </row>
    <row r="1062" spans="1:3" x14ac:dyDescent="0.3">
      <c r="A1062" s="8" t="s">
        <v>1072</v>
      </c>
      <c r="B1062" s="8" t="s">
        <v>12</v>
      </c>
      <c r="C1062" t="s">
        <v>2</v>
      </c>
    </row>
    <row r="1063" spans="1:3" x14ac:dyDescent="0.3">
      <c r="A1063" s="8" t="s">
        <v>1073</v>
      </c>
      <c r="B1063" s="8" t="s">
        <v>12</v>
      </c>
      <c r="C1063" t="s">
        <v>2</v>
      </c>
    </row>
    <row r="1064" spans="1:3" x14ac:dyDescent="0.3">
      <c r="A1064" s="8" t="s">
        <v>1074</v>
      </c>
      <c r="B1064" s="8" t="s">
        <v>12</v>
      </c>
      <c r="C1064" t="s">
        <v>2</v>
      </c>
    </row>
    <row r="1065" spans="1:3" x14ac:dyDescent="0.3">
      <c r="A1065" s="8" t="s">
        <v>1075</v>
      </c>
      <c r="B1065" s="8" t="s">
        <v>12</v>
      </c>
      <c r="C1065" t="s">
        <v>2</v>
      </c>
    </row>
    <row r="1066" spans="1:3" x14ac:dyDescent="0.3">
      <c r="A1066" s="8" t="s">
        <v>1076</v>
      </c>
      <c r="B1066" s="8" t="s">
        <v>12</v>
      </c>
      <c r="C1066" t="s">
        <v>2</v>
      </c>
    </row>
    <row r="1067" spans="1:3" x14ac:dyDescent="0.3">
      <c r="A1067" s="8" t="s">
        <v>1077</v>
      </c>
      <c r="B1067" s="8" t="s">
        <v>12</v>
      </c>
      <c r="C1067" t="s">
        <v>2</v>
      </c>
    </row>
    <row r="1068" spans="1:3" x14ac:dyDescent="0.3">
      <c r="A1068" s="8" t="s">
        <v>1078</v>
      </c>
      <c r="B1068" s="8" t="s">
        <v>12</v>
      </c>
      <c r="C1068" t="s">
        <v>2</v>
      </c>
    </row>
    <row r="1069" spans="1:3" x14ac:dyDescent="0.3">
      <c r="A1069" s="8" t="s">
        <v>1079</v>
      </c>
      <c r="B1069" s="8" t="s">
        <v>12</v>
      </c>
      <c r="C1069" t="s">
        <v>2</v>
      </c>
    </row>
    <row r="1070" spans="1:3" x14ac:dyDescent="0.3">
      <c r="A1070" s="8" t="s">
        <v>1080</v>
      </c>
      <c r="B1070" s="8" t="s">
        <v>12</v>
      </c>
      <c r="C1070" t="s">
        <v>2</v>
      </c>
    </row>
    <row r="1071" spans="1:3" x14ac:dyDescent="0.3">
      <c r="A1071" s="8" t="s">
        <v>1081</v>
      </c>
      <c r="B1071" s="8" t="s">
        <v>12</v>
      </c>
      <c r="C1071" t="s">
        <v>2</v>
      </c>
    </row>
    <row r="1072" spans="1:3" x14ac:dyDescent="0.3">
      <c r="A1072" s="8" t="s">
        <v>1082</v>
      </c>
      <c r="B1072" s="8" t="s">
        <v>12</v>
      </c>
      <c r="C1072" t="s">
        <v>2</v>
      </c>
    </row>
    <row r="1073" spans="1:3" x14ac:dyDescent="0.3">
      <c r="A1073" s="8" t="s">
        <v>1083</v>
      </c>
      <c r="B1073" s="8" t="s">
        <v>12</v>
      </c>
      <c r="C1073" t="s">
        <v>2</v>
      </c>
    </row>
    <row r="1074" spans="1:3" x14ac:dyDescent="0.3">
      <c r="A1074" s="8" t="s">
        <v>1084</v>
      </c>
      <c r="B1074" s="8" t="s">
        <v>12</v>
      </c>
      <c r="C1074" t="s">
        <v>2</v>
      </c>
    </row>
    <row r="1075" spans="1:3" x14ac:dyDescent="0.3">
      <c r="A1075" s="8" t="s">
        <v>1085</v>
      </c>
      <c r="B1075" s="8" t="s">
        <v>12</v>
      </c>
      <c r="C1075" t="s">
        <v>2</v>
      </c>
    </row>
    <row r="1076" spans="1:3" x14ac:dyDescent="0.3">
      <c r="A1076" s="8" t="s">
        <v>1086</v>
      </c>
      <c r="B1076" s="8" t="s">
        <v>12</v>
      </c>
      <c r="C1076" t="s">
        <v>2</v>
      </c>
    </row>
    <row r="1077" spans="1:3" x14ac:dyDescent="0.3">
      <c r="A1077" s="8" t="s">
        <v>1087</v>
      </c>
      <c r="B1077" s="8" t="s">
        <v>12</v>
      </c>
      <c r="C1077" t="s">
        <v>2</v>
      </c>
    </row>
    <row r="1078" spans="1:3" x14ac:dyDescent="0.3">
      <c r="A1078" s="8" t="s">
        <v>1088</v>
      </c>
      <c r="B1078" s="8" t="s">
        <v>12</v>
      </c>
      <c r="C1078" t="s">
        <v>2</v>
      </c>
    </row>
    <row r="1079" spans="1:3" x14ac:dyDescent="0.3">
      <c r="A1079" s="8" t="s">
        <v>1089</v>
      </c>
      <c r="B1079" s="8" t="s">
        <v>12</v>
      </c>
      <c r="C1079" t="s">
        <v>2</v>
      </c>
    </row>
    <row r="1080" spans="1:3" x14ac:dyDescent="0.3">
      <c r="A1080" s="8" t="s">
        <v>1090</v>
      </c>
      <c r="B1080" s="8" t="s">
        <v>12</v>
      </c>
      <c r="C1080" t="s">
        <v>2</v>
      </c>
    </row>
    <row r="1081" spans="1:3" x14ac:dyDescent="0.3">
      <c r="A1081" s="8" t="s">
        <v>1091</v>
      </c>
      <c r="B1081" s="8" t="s">
        <v>12</v>
      </c>
      <c r="C1081" t="s">
        <v>2</v>
      </c>
    </row>
    <row r="1082" spans="1:3" x14ac:dyDescent="0.3">
      <c r="A1082" s="8" t="s">
        <v>1092</v>
      </c>
      <c r="B1082" s="8" t="s">
        <v>12</v>
      </c>
      <c r="C1082" t="s">
        <v>2</v>
      </c>
    </row>
    <row r="1083" spans="1:3" x14ac:dyDescent="0.3">
      <c r="A1083" s="8" t="s">
        <v>1093</v>
      </c>
      <c r="B1083" s="8" t="s">
        <v>12</v>
      </c>
      <c r="C1083" t="s">
        <v>2</v>
      </c>
    </row>
    <row r="1084" spans="1:3" x14ac:dyDescent="0.3">
      <c r="A1084" s="8" t="s">
        <v>1094</v>
      </c>
      <c r="B1084" s="8" t="s">
        <v>12</v>
      </c>
      <c r="C1084" t="s">
        <v>2</v>
      </c>
    </row>
    <row r="1085" spans="1:3" x14ac:dyDescent="0.3">
      <c r="A1085" s="8" t="s">
        <v>1095</v>
      </c>
      <c r="B1085" s="8" t="s">
        <v>12</v>
      </c>
      <c r="C1085" t="s">
        <v>2</v>
      </c>
    </row>
    <row r="1086" spans="1:3" x14ac:dyDescent="0.3">
      <c r="A1086" s="8" t="s">
        <v>1096</v>
      </c>
      <c r="B1086" s="8" t="s">
        <v>12</v>
      </c>
      <c r="C1086" t="s">
        <v>2</v>
      </c>
    </row>
    <row r="1087" spans="1:3" x14ac:dyDescent="0.3">
      <c r="A1087" s="8" t="s">
        <v>1097</v>
      </c>
      <c r="B1087" s="8" t="s">
        <v>12</v>
      </c>
      <c r="C1087" t="s">
        <v>2</v>
      </c>
    </row>
    <row r="1088" spans="1:3" x14ac:dyDescent="0.3">
      <c r="A1088" s="8" t="s">
        <v>1098</v>
      </c>
      <c r="B1088" s="8" t="s">
        <v>12</v>
      </c>
      <c r="C1088" t="s">
        <v>2</v>
      </c>
    </row>
    <row r="1089" spans="1:3" x14ac:dyDescent="0.3">
      <c r="A1089" s="8" t="s">
        <v>1099</v>
      </c>
      <c r="B1089" s="8" t="s">
        <v>12</v>
      </c>
      <c r="C1089" t="s">
        <v>3</v>
      </c>
    </row>
    <row r="1090" spans="1:3" x14ac:dyDescent="0.3">
      <c r="A1090" s="8" t="s">
        <v>1100</v>
      </c>
      <c r="B1090" s="8" t="s">
        <v>12</v>
      </c>
      <c r="C1090" t="s">
        <v>3</v>
      </c>
    </row>
    <row r="1091" spans="1:3" x14ac:dyDescent="0.3">
      <c r="A1091" s="8" t="s">
        <v>1101</v>
      </c>
      <c r="B1091" s="8" t="s">
        <v>12</v>
      </c>
      <c r="C1091" t="s">
        <v>3</v>
      </c>
    </row>
    <row r="1092" spans="1:3" x14ac:dyDescent="0.3">
      <c r="A1092" s="8" t="s">
        <v>1102</v>
      </c>
      <c r="B1092" s="8" t="s">
        <v>12</v>
      </c>
      <c r="C1092" t="s">
        <v>3</v>
      </c>
    </row>
    <row r="1093" spans="1:3" x14ac:dyDescent="0.3">
      <c r="A1093" s="8" t="s">
        <v>1103</v>
      </c>
      <c r="B1093" s="8" t="s">
        <v>12</v>
      </c>
      <c r="C1093" t="s">
        <v>3</v>
      </c>
    </row>
    <row r="1094" spans="1:3" x14ac:dyDescent="0.3">
      <c r="A1094" s="8" t="s">
        <v>1104</v>
      </c>
      <c r="B1094" s="8" t="s">
        <v>12</v>
      </c>
      <c r="C1094" t="s">
        <v>3</v>
      </c>
    </row>
    <row r="1095" spans="1:3" x14ac:dyDescent="0.3">
      <c r="A1095" s="8" t="s">
        <v>1105</v>
      </c>
      <c r="B1095" s="8" t="s">
        <v>12</v>
      </c>
      <c r="C1095" t="s">
        <v>3</v>
      </c>
    </row>
    <row r="1096" spans="1:3" x14ac:dyDescent="0.3">
      <c r="A1096" s="8" t="s">
        <v>1106</v>
      </c>
      <c r="B1096" s="8" t="s">
        <v>12</v>
      </c>
    </row>
    <row r="1097" spans="1:3" x14ac:dyDescent="0.3">
      <c r="A1097" s="8" t="s">
        <v>1107</v>
      </c>
      <c r="B1097" s="8" t="s">
        <v>12</v>
      </c>
    </row>
    <row r="1098" spans="1:3" x14ac:dyDescent="0.3">
      <c r="A1098" s="8" t="s">
        <v>1108</v>
      </c>
      <c r="B1098" s="8" t="s">
        <v>12</v>
      </c>
    </row>
    <row r="1099" spans="1:3" x14ac:dyDescent="0.3">
      <c r="A1099" s="8" t="s">
        <v>1109</v>
      </c>
      <c r="B1099" s="8" t="s">
        <v>12</v>
      </c>
    </row>
    <row r="1100" spans="1:3" x14ac:dyDescent="0.3">
      <c r="A1100" s="8" t="s">
        <v>1110</v>
      </c>
      <c r="B1100" s="8" t="s">
        <v>12</v>
      </c>
    </row>
    <row r="1101" spans="1:3" x14ac:dyDescent="0.3">
      <c r="A1101" s="8" t="s">
        <v>1111</v>
      </c>
      <c r="B1101" s="8" t="s">
        <v>12</v>
      </c>
    </row>
    <row r="1102" spans="1:3" x14ac:dyDescent="0.3">
      <c r="A1102" s="8" t="s">
        <v>1112</v>
      </c>
      <c r="B1102" s="8" t="s">
        <v>12</v>
      </c>
    </row>
    <row r="1103" spans="1:3" x14ac:dyDescent="0.3">
      <c r="A1103" s="8" t="s">
        <v>1113</v>
      </c>
      <c r="B1103" s="8" t="s">
        <v>12</v>
      </c>
    </row>
    <row r="1104" spans="1:3" x14ac:dyDescent="0.3">
      <c r="A1104" s="8" t="s">
        <v>1114</v>
      </c>
      <c r="B1104" s="8" t="s">
        <v>12</v>
      </c>
    </row>
    <row r="1105" spans="1:3" x14ac:dyDescent="0.3">
      <c r="A1105" s="8" t="s">
        <v>1115</v>
      </c>
      <c r="B1105" s="8" t="s">
        <v>12</v>
      </c>
    </row>
    <row r="1106" spans="1:3" x14ac:dyDescent="0.3">
      <c r="A1106" s="8" t="s">
        <v>1116</v>
      </c>
      <c r="B1106" s="8" t="s">
        <v>12</v>
      </c>
    </row>
    <row r="1107" spans="1:3" x14ac:dyDescent="0.3">
      <c r="A1107" s="8" t="s">
        <v>1117</v>
      </c>
      <c r="B1107" s="8" t="s">
        <v>12</v>
      </c>
    </row>
    <row r="1108" spans="1:3" x14ac:dyDescent="0.3">
      <c r="A1108" s="8" t="s">
        <v>1118</v>
      </c>
      <c r="B1108" s="8" t="s">
        <v>12</v>
      </c>
    </row>
    <row r="1109" spans="1:3" x14ac:dyDescent="0.3">
      <c r="A1109" s="8" t="s">
        <v>1119</v>
      </c>
      <c r="B1109" s="8" t="s">
        <v>12</v>
      </c>
    </row>
    <row r="1110" spans="1:3" x14ac:dyDescent="0.3">
      <c r="A1110" s="8" t="s">
        <v>1120</v>
      </c>
      <c r="B1110" s="8" t="s">
        <v>12</v>
      </c>
    </row>
    <row r="1111" spans="1:3" x14ac:dyDescent="0.3">
      <c r="A1111" s="8" t="s">
        <v>1121</v>
      </c>
      <c r="B1111" s="8" t="s">
        <v>12</v>
      </c>
    </row>
    <row r="1112" spans="1:3" x14ac:dyDescent="0.3">
      <c r="A1112" s="8" t="s">
        <v>1122</v>
      </c>
      <c r="B1112" s="8" t="s">
        <v>12</v>
      </c>
    </row>
    <row r="1113" spans="1:3" x14ac:dyDescent="0.3">
      <c r="A1113" s="8" t="s">
        <v>1123</v>
      </c>
      <c r="B1113" s="8" t="s">
        <v>12</v>
      </c>
      <c r="C1113" t="s">
        <v>2</v>
      </c>
    </row>
    <row r="1114" spans="1:3" x14ac:dyDescent="0.3">
      <c r="A1114" s="8" t="s">
        <v>1124</v>
      </c>
      <c r="B1114" s="8" t="s">
        <v>12</v>
      </c>
      <c r="C1114" t="s">
        <v>3678</v>
      </c>
    </row>
    <row r="1115" spans="1:3" x14ac:dyDescent="0.3">
      <c r="A1115" s="8" t="s">
        <v>1125</v>
      </c>
      <c r="B1115" s="8" t="s">
        <v>12</v>
      </c>
      <c r="C1115" t="s">
        <v>3678</v>
      </c>
    </row>
    <row r="1116" spans="1:3" x14ac:dyDescent="0.3">
      <c r="A1116" s="8" t="s">
        <v>1126</v>
      </c>
      <c r="B1116" s="8" t="s">
        <v>12</v>
      </c>
      <c r="C1116" t="s">
        <v>3678</v>
      </c>
    </row>
    <row r="1117" spans="1:3" x14ac:dyDescent="0.3">
      <c r="A1117" s="8" t="s">
        <v>1127</v>
      </c>
      <c r="B1117" s="8" t="s">
        <v>12</v>
      </c>
      <c r="C1117" t="s">
        <v>3678</v>
      </c>
    </row>
    <row r="1118" spans="1:3" x14ac:dyDescent="0.3">
      <c r="A1118" s="8" t="s">
        <v>1128</v>
      </c>
      <c r="B1118" s="8" t="s">
        <v>12</v>
      </c>
      <c r="C1118" t="s">
        <v>3678</v>
      </c>
    </row>
    <row r="1119" spans="1:3" x14ac:dyDescent="0.3">
      <c r="A1119" s="8" t="s">
        <v>1129</v>
      </c>
      <c r="B1119" s="8" t="s">
        <v>12</v>
      </c>
      <c r="C1119" t="s">
        <v>2</v>
      </c>
    </row>
    <row r="1120" spans="1:3" x14ac:dyDescent="0.3">
      <c r="A1120" s="8" t="s">
        <v>1130</v>
      </c>
      <c r="B1120" s="8" t="s">
        <v>12</v>
      </c>
      <c r="C1120" t="s">
        <v>2</v>
      </c>
    </row>
    <row r="1121" spans="1:3" x14ac:dyDescent="0.3">
      <c r="A1121" s="8" t="s">
        <v>1131</v>
      </c>
      <c r="B1121" s="8" t="s">
        <v>12</v>
      </c>
      <c r="C1121" t="s">
        <v>2</v>
      </c>
    </row>
    <row r="1122" spans="1:3" x14ac:dyDescent="0.3">
      <c r="A1122" s="8" t="s">
        <v>1132</v>
      </c>
      <c r="B1122" s="8" t="s">
        <v>12</v>
      </c>
      <c r="C1122" t="s">
        <v>2</v>
      </c>
    </row>
    <row r="1123" spans="1:3" x14ac:dyDescent="0.3">
      <c r="A1123" s="8" t="s">
        <v>1133</v>
      </c>
      <c r="B1123" s="8" t="s">
        <v>12</v>
      </c>
      <c r="C1123" t="s">
        <v>2</v>
      </c>
    </row>
    <row r="1124" spans="1:3" x14ac:dyDescent="0.3">
      <c r="A1124" s="8" t="s">
        <v>1134</v>
      </c>
      <c r="B1124" s="8" t="s">
        <v>12</v>
      </c>
      <c r="C1124" t="s">
        <v>2</v>
      </c>
    </row>
    <row r="1125" spans="1:3" x14ac:dyDescent="0.3">
      <c r="A1125" s="8" t="s">
        <v>1135</v>
      </c>
      <c r="B1125" s="8" t="s">
        <v>12</v>
      </c>
      <c r="C1125" t="s">
        <v>2</v>
      </c>
    </row>
    <row r="1126" spans="1:3" x14ac:dyDescent="0.3">
      <c r="A1126" s="8" t="s">
        <v>1136</v>
      </c>
      <c r="B1126" s="8" t="s">
        <v>12</v>
      </c>
      <c r="C1126" t="s">
        <v>2</v>
      </c>
    </row>
    <row r="1127" spans="1:3" x14ac:dyDescent="0.3">
      <c r="A1127" s="8" t="s">
        <v>1137</v>
      </c>
      <c r="B1127" s="8" t="s">
        <v>12</v>
      </c>
      <c r="C1127" t="s">
        <v>2</v>
      </c>
    </row>
    <row r="1128" spans="1:3" x14ac:dyDescent="0.3">
      <c r="A1128" s="8" t="s">
        <v>1138</v>
      </c>
      <c r="B1128" s="8" t="s">
        <v>12</v>
      </c>
      <c r="C1128" t="s">
        <v>2</v>
      </c>
    </row>
    <row r="1129" spans="1:3" x14ac:dyDescent="0.3">
      <c r="A1129" s="8" t="s">
        <v>1139</v>
      </c>
      <c r="B1129" s="8" t="s">
        <v>12</v>
      </c>
      <c r="C1129" t="s">
        <v>2</v>
      </c>
    </row>
    <row r="1130" spans="1:3" x14ac:dyDescent="0.3">
      <c r="A1130" s="8" t="s">
        <v>1140</v>
      </c>
      <c r="B1130" s="8" t="s">
        <v>12</v>
      </c>
      <c r="C1130" t="s">
        <v>2</v>
      </c>
    </row>
    <row r="1131" spans="1:3" x14ac:dyDescent="0.3">
      <c r="A1131" s="8" t="s">
        <v>1141</v>
      </c>
      <c r="B1131" s="8" t="s">
        <v>12</v>
      </c>
      <c r="C1131" t="s">
        <v>2</v>
      </c>
    </row>
    <row r="1132" spans="1:3" x14ac:dyDescent="0.3">
      <c r="A1132" s="8" t="s">
        <v>1142</v>
      </c>
      <c r="B1132" s="8" t="s">
        <v>12</v>
      </c>
      <c r="C1132" t="s">
        <v>2</v>
      </c>
    </row>
    <row r="1133" spans="1:3" x14ac:dyDescent="0.3">
      <c r="A1133" s="8" t="s">
        <v>1143</v>
      </c>
      <c r="B1133" s="8" t="s">
        <v>12</v>
      </c>
      <c r="C1133" t="s">
        <v>2</v>
      </c>
    </row>
    <row r="1134" spans="1:3" x14ac:dyDescent="0.3">
      <c r="A1134" s="8" t="s">
        <v>1144</v>
      </c>
      <c r="B1134" s="8" t="s">
        <v>12</v>
      </c>
      <c r="C1134" t="s">
        <v>2</v>
      </c>
    </row>
    <row r="1135" spans="1:3" x14ac:dyDescent="0.3">
      <c r="A1135" s="8" t="s">
        <v>1145</v>
      </c>
      <c r="B1135" s="8" t="s">
        <v>12</v>
      </c>
      <c r="C1135" t="s">
        <v>2</v>
      </c>
    </row>
    <row r="1136" spans="1:3" x14ac:dyDescent="0.3">
      <c r="A1136" s="8" t="s">
        <v>1146</v>
      </c>
      <c r="B1136" s="8" t="s">
        <v>12</v>
      </c>
      <c r="C1136" t="s">
        <v>2</v>
      </c>
    </row>
    <row r="1137" spans="1:3" x14ac:dyDescent="0.3">
      <c r="A1137" s="8" t="s">
        <v>1147</v>
      </c>
      <c r="B1137" s="8" t="s">
        <v>12</v>
      </c>
      <c r="C1137" t="s">
        <v>2</v>
      </c>
    </row>
    <row r="1138" spans="1:3" x14ac:dyDescent="0.3">
      <c r="A1138" s="8" t="s">
        <v>1148</v>
      </c>
      <c r="B1138" s="8" t="s">
        <v>12</v>
      </c>
      <c r="C1138" t="s">
        <v>2</v>
      </c>
    </row>
    <row r="1139" spans="1:3" x14ac:dyDescent="0.3">
      <c r="A1139" s="8" t="s">
        <v>1149</v>
      </c>
      <c r="B1139" s="8" t="s">
        <v>12</v>
      </c>
      <c r="C1139" t="s">
        <v>2</v>
      </c>
    </row>
    <row r="1140" spans="1:3" x14ac:dyDescent="0.3">
      <c r="A1140" s="8" t="s">
        <v>1150</v>
      </c>
      <c r="B1140" s="8" t="s">
        <v>12</v>
      </c>
      <c r="C1140" t="s">
        <v>2</v>
      </c>
    </row>
    <row r="1141" spans="1:3" x14ac:dyDescent="0.3">
      <c r="A1141" s="8" t="s">
        <v>1151</v>
      </c>
      <c r="B1141" s="8" t="s">
        <v>12</v>
      </c>
      <c r="C1141" t="s">
        <v>2</v>
      </c>
    </row>
    <row r="1142" spans="1:3" x14ac:dyDescent="0.3">
      <c r="A1142" s="8" t="s">
        <v>1152</v>
      </c>
      <c r="B1142" s="8" t="s">
        <v>12</v>
      </c>
      <c r="C1142" t="s">
        <v>2</v>
      </c>
    </row>
    <row r="1143" spans="1:3" x14ac:dyDescent="0.3">
      <c r="A1143" s="8" t="s">
        <v>1153</v>
      </c>
      <c r="B1143" s="8" t="s">
        <v>12</v>
      </c>
      <c r="C1143" t="s">
        <v>2</v>
      </c>
    </row>
    <row r="1144" spans="1:3" x14ac:dyDescent="0.3">
      <c r="A1144" s="8" t="s">
        <v>1154</v>
      </c>
      <c r="B1144" s="8" t="s">
        <v>12</v>
      </c>
      <c r="C1144" t="s">
        <v>2</v>
      </c>
    </row>
    <row r="1145" spans="1:3" x14ac:dyDescent="0.3">
      <c r="A1145" s="8" t="s">
        <v>1155</v>
      </c>
      <c r="B1145" s="8" t="s">
        <v>12</v>
      </c>
      <c r="C1145" t="s">
        <v>2</v>
      </c>
    </row>
    <row r="1146" spans="1:3" x14ac:dyDescent="0.3">
      <c r="A1146" s="8" t="s">
        <v>1156</v>
      </c>
      <c r="B1146" s="8" t="s">
        <v>12</v>
      </c>
      <c r="C1146" t="s">
        <v>2</v>
      </c>
    </row>
    <row r="1147" spans="1:3" x14ac:dyDescent="0.3">
      <c r="A1147" s="8" t="s">
        <v>1157</v>
      </c>
      <c r="B1147" s="8" t="s">
        <v>12</v>
      </c>
      <c r="C1147" t="s">
        <v>2</v>
      </c>
    </row>
    <row r="1148" spans="1:3" x14ac:dyDescent="0.3">
      <c r="A1148" s="8" t="s">
        <v>1158</v>
      </c>
      <c r="B1148" s="8" t="s">
        <v>12</v>
      </c>
      <c r="C1148" t="s">
        <v>2</v>
      </c>
    </row>
    <row r="1149" spans="1:3" x14ac:dyDescent="0.3">
      <c r="A1149" s="8" t="s">
        <v>1159</v>
      </c>
      <c r="B1149" s="8" t="s">
        <v>12</v>
      </c>
      <c r="C1149" t="s">
        <v>2</v>
      </c>
    </row>
    <row r="1150" spans="1:3" x14ac:dyDescent="0.3">
      <c r="A1150" s="8" t="s">
        <v>1160</v>
      </c>
      <c r="B1150" s="8" t="s">
        <v>12</v>
      </c>
      <c r="C1150" t="s">
        <v>2</v>
      </c>
    </row>
    <row r="1151" spans="1:3" x14ac:dyDescent="0.3">
      <c r="A1151" s="8" t="s">
        <v>1161</v>
      </c>
      <c r="B1151" s="8" t="s">
        <v>12</v>
      </c>
      <c r="C1151" t="s">
        <v>2</v>
      </c>
    </row>
    <row r="1152" spans="1:3" x14ac:dyDescent="0.3">
      <c r="A1152" s="8" t="s">
        <v>1162</v>
      </c>
      <c r="B1152" s="8" t="s">
        <v>12</v>
      </c>
      <c r="C1152" t="s">
        <v>2</v>
      </c>
    </row>
    <row r="1153" spans="1:3" x14ac:dyDescent="0.3">
      <c r="A1153" s="8" t="s">
        <v>1163</v>
      </c>
      <c r="B1153" s="8" t="s">
        <v>12</v>
      </c>
      <c r="C1153" t="s">
        <v>2</v>
      </c>
    </row>
    <row r="1154" spans="1:3" x14ac:dyDescent="0.3">
      <c r="A1154" s="8" t="s">
        <v>1164</v>
      </c>
      <c r="B1154" s="8" t="s">
        <v>12</v>
      </c>
      <c r="C1154" t="s">
        <v>2</v>
      </c>
    </row>
    <row r="1155" spans="1:3" x14ac:dyDescent="0.3">
      <c r="A1155" s="8" t="s">
        <v>1165</v>
      </c>
      <c r="B1155" s="8" t="s">
        <v>12</v>
      </c>
      <c r="C1155" t="s">
        <v>2</v>
      </c>
    </row>
    <row r="1156" spans="1:3" x14ac:dyDescent="0.3">
      <c r="A1156" s="8" t="s">
        <v>1166</v>
      </c>
      <c r="B1156" s="8" t="s">
        <v>12</v>
      </c>
      <c r="C1156" t="s">
        <v>2</v>
      </c>
    </row>
    <row r="1157" spans="1:3" x14ac:dyDescent="0.3">
      <c r="A1157" s="8" t="s">
        <v>1167</v>
      </c>
      <c r="B1157" s="8" t="s">
        <v>12</v>
      </c>
      <c r="C1157" t="s">
        <v>2</v>
      </c>
    </row>
    <row r="1158" spans="1:3" x14ac:dyDescent="0.3">
      <c r="A1158" s="8" t="s">
        <v>1168</v>
      </c>
      <c r="B1158" s="8" t="s">
        <v>12</v>
      </c>
      <c r="C1158" t="s">
        <v>2</v>
      </c>
    </row>
    <row r="1159" spans="1:3" x14ac:dyDescent="0.3">
      <c r="A1159" s="8" t="s">
        <v>1169</v>
      </c>
      <c r="B1159" s="8" t="s">
        <v>12</v>
      </c>
      <c r="C1159" t="s">
        <v>2</v>
      </c>
    </row>
    <row r="1160" spans="1:3" x14ac:dyDescent="0.3">
      <c r="A1160" s="8" t="s">
        <v>1170</v>
      </c>
      <c r="B1160" s="8" t="s">
        <v>12</v>
      </c>
      <c r="C1160" t="s">
        <v>2</v>
      </c>
    </row>
    <row r="1161" spans="1:3" x14ac:dyDescent="0.3">
      <c r="A1161" s="8" t="s">
        <v>1171</v>
      </c>
      <c r="B1161" s="8" t="s">
        <v>12</v>
      </c>
      <c r="C1161" t="s">
        <v>2</v>
      </c>
    </row>
    <row r="1162" spans="1:3" x14ac:dyDescent="0.3">
      <c r="A1162" s="8" t="s">
        <v>1172</v>
      </c>
      <c r="B1162" s="8" t="s">
        <v>12</v>
      </c>
      <c r="C1162" t="s">
        <v>2</v>
      </c>
    </row>
    <row r="1163" spans="1:3" x14ac:dyDescent="0.3">
      <c r="A1163" s="8" t="s">
        <v>1173</v>
      </c>
      <c r="B1163" s="8" t="s">
        <v>12</v>
      </c>
      <c r="C1163" t="s">
        <v>2</v>
      </c>
    </row>
    <row r="1164" spans="1:3" x14ac:dyDescent="0.3">
      <c r="A1164" s="8" t="s">
        <v>1174</v>
      </c>
      <c r="B1164" s="8" t="s">
        <v>12</v>
      </c>
      <c r="C1164" t="s">
        <v>2</v>
      </c>
    </row>
    <row r="1165" spans="1:3" x14ac:dyDescent="0.3">
      <c r="A1165" s="8" t="s">
        <v>1175</v>
      </c>
      <c r="B1165" s="8" t="s">
        <v>12</v>
      </c>
      <c r="C1165" t="s">
        <v>2</v>
      </c>
    </row>
    <row r="1166" spans="1:3" x14ac:dyDescent="0.3">
      <c r="A1166" s="8" t="s">
        <v>1176</v>
      </c>
      <c r="B1166" s="8" t="s">
        <v>12</v>
      </c>
      <c r="C1166" t="s">
        <v>2</v>
      </c>
    </row>
    <row r="1167" spans="1:3" x14ac:dyDescent="0.3">
      <c r="A1167" s="8" t="s">
        <v>1177</v>
      </c>
      <c r="B1167" s="8" t="s">
        <v>12</v>
      </c>
      <c r="C1167" t="s">
        <v>2</v>
      </c>
    </row>
    <row r="1168" spans="1:3" x14ac:dyDescent="0.3">
      <c r="A1168" s="8" t="s">
        <v>1178</v>
      </c>
      <c r="B1168" s="8" t="s">
        <v>12</v>
      </c>
      <c r="C1168" t="s">
        <v>2</v>
      </c>
    </row>
    <row r="1169" spans="1:3" x14ac:dyDescent="0.3">
      <c r="A1169" s="8" t="s">
        <v>1179</v>
      </c>
      <c r="B1169" s="8" t="s">
        <v>12</v>
      </c>
      <c r="C1169" t="s">
        <v>2</v>
      </c>
    </row>
    <row r="1170" spans="1:3" x14ac:dyDescent="0.3">
      <c r="A1170" s="8" t="s">
        <v>1180</v>
      </c>
      <c r="B1170" s="8" t="s">
        <v>12</v>
      </c>
      <c r="C1170" t="s">
        <v>2</v>
      </c>
    </row>
    <row r="1171" spans="1:3" x14ac:dyDescent="0.3">
      <c r="A1171" s="8" t="s">
        <v>1181</v>
      </c>
      <c r="B1171" s="8" t="s">
        <v>12</v>
      </c>
      <c r="C1171" t="s">
        <v>2</v>
      </c>
    </row>
    <row r="1172" spans="1:3" x14ac:dyDescent="0.3">
      <c r="A1172" s="8" t="s">
        <v>1182</v>
      </c>
      <c r="B1172" s="8" t="s">
        <v>12</v>
      </c>
      <c r="C1172" t="s">
        <v>2</v>
      </c>
    </row>
    <row r="1173" spans="1:3" x14ac:dyDescent="0.3">
      <c r="A1173" s="8" t="s">
        <v>1183</v>
      </c>
      <c r="B1173" s="8" t="s">
        <v>12</v>
      </c>
      <c r="C1173" t="s">
        <v>2</v>
      </c>
    </row>
    <row r="1174" spans="1:3" x14ac:dyDescent="0.3">
      <c r="A1174" s="8" t="s">
        <v>1184</v>
      </c>
      <c r="B1174" s="8" t="s">
        <v>12</v>
      </c>
      <c r="C1174" t="s">
        <v>2</v>
      </c>
    </row>
    <row r="1175" spans="1:3" x14ac:dyDescent="0.3">
      <c r="A1175" s="8" t="s">
        <v>1185</v>
      </c>
      <c r="B1175" s="8" t="s">
        <v>12</v>
      </c>
      <c r="C1175" t="s">
        <v>2</v>
      </c>
    </row>
    <row r="1176" spans="1:3" x14ac:dyDescent="0.3">
      <c r="A1176" s="8" t="s">
        <v>1186</v>
      </c>
      <c r="B1176" s="8" t="s">
        <v>12</v>
      </c>
      <c r="C1176" t="s">
        <v>2</v>
      </c>
    </row>
    <row r="1177" spans="1:3" x14ac:dyDescent="0.3">
      <c r="A1177" s="8" t="s">
        <v>1187</v>
      </c>
      <c r="B1177" s="8" t="s">
        <v>12</v>
      </c>
      <c r="C1177" t="s">
        <v>3</v>
      </c>
    </row>
    <row r="1178" spans="1:3" x14ac:dyDescent="0.3">
      <c r="A1178" s="8" t="s">
        <v>1188</v>
      </c>
      <c r="B1178" s="8" t="s">
        <v>12</v>
      </c>
      <c r="C1178" t="s">
        <v>3</v>
      </c>
    </row>
    <row r="1179" spans="1:3" x14ac:dyDescent="0.3">
      <c r="A1179" s="8" t="s">
        <v>1189</v>
      </c>
      <c r="B1179" s="8" t="s">
        <v>12</v>
      </c>
      <c r="C1179" t="s">
        <v>3</v>
      </c>
    </row>
    <row r="1180" spans="1:3" x14ac:dyDescent="0.3">
      <c r="A1180" s="8" t="s">
        <v>1190</v>
      </c>
      <c r="B1180" s="8" t="s">
        <v>12</v>
      </c>
      <c r="C1180" t="s">
        <v>3</v>
      </c>
    </row>
    <row r="1181" spans="1:3" x14ac:dyDescent="0.3">
      <c r="A1181" s="8" t="s">
        <v>1191</v>
      </c>
      <c r="B1181" s="8" t="s">
        <v>12</v>
      </c>
      <c r="C1181" t="s">
        <v>3</v>
      </c>
    </row>
    <row r="1182" spans="1:3" x14ac:dyDescent="0.3">
      <c r="A1182" s="8" t="s">
        <v>1192</v>
      </c>
      <c r="B1182" s="8" t="s">
        <v>12</v>
      </c>
      <c r="C1182" t="s">
        <v>3</v>
      </c>
    </row>
    <row r="1183" spans="1:3" x14ac:dyDescent="0.3">
      <c r="A1183" s="8" t="s">
        <v>1193</v>
      </c>
      <c r="B1183" s="8" t="s">
        <v>12</v>
      </c>
      <c r="C1183" t="s">
        <v>3</v>
      </c>
    </row>
    <row r="1184" spans="1:3" x14ac:dyDescent="0.3">
      <c r="A1184" s="8" t="s">
        <v>1194</v>
      </c>
      <c r="B1184" s="8" t="s">
        <v>12</v>
      </c>
      <c r="C1184" t="s">
        <v>3</v>
      </c>
    </row>
    <row r="1185" spans="1:3" x14ac:dyDescent="0.3">
      <c r="A1185" s="8" t="s">
        <v>1195</v>
      </c>
      <c r="B1185" s="8" t="s">
        <v>12</v>
      </c>
      <c r="C1185" t="s">
        <v>3</v>
      </c>
    </row>
    <row r="1186" spans="1:3" x14ac:dyDescent="0.3">
      <c r="A1186" s="8" t="s">
        <v>1196</v>
      </c>
      <c r="B1186" s="8" t="s">
        <v>12</v>
      </c>
      <c r="C1186" t="s">
        <v>3</v>
      </c>
    </row>
    <row r="1187" spans="1:3" x14ac:dyDescent="0.3">
      <c r="A1187" s="8" t="s">
        <v>1197</v>
      </c>
      <c r="B1187" s="8" t="s">
        <v>12</v>
      </c>
      <c r="C1187" t="s">
        <v>2</v>
      </c>
    </row>
    <row r="1188" spans="1:3" x14ac:dyDescent="0.3">
      <c r="A1188" s="8" t="s">
        <v>1198</v>
      </c>
      <c r="B1188" s="8" t="s">
        <v>12</v>
      </c>
      <c r="C1188" t="s">
        <v>2</v>
      </c>
    </row>
    <row r="1189" spans="1:3" x14ac:dyDescent="0.3">
      <c r="A1189" s="8" t="s">
        <v>1199</v>
      </c>
      <c r="B1189" s="8" t="s">
        <v>12</v>
      </c>
      <c r="C1189" t="s">
        <v>3678</v>
      </c>
    </row>
    <row r="1190" spans="1:3" x14ac:dyDescent="0.3">
      <c r="A1190" s="8" t="s">
        <v>1200</v>
      </c>
      <c r="B1190" s="8" t="s">
        <v>12</v>
      </c>
      <c r="C1190" t="s">
        <v>2</v>
      </c>
    </row>
    <row r="1191" spans="1:3" x14ac:dyDescent="0.3">
      <c r="A1191" s="8" t="s">
        <v>1201</v>
      </c>
      <c r="B1191" s="8" t="s">
        <v>12</v>
      </c>
      <c r="C1191" t="s">
        <v>2</v>
      </c>
    </row>
    <row r="1192" spans="1:3" x14ac:dyDescent="0.3">
      <c r="A1192" s="8" t="s">
        <v>1202</v>
      </c>
      <c r="B1192" s="8" t="s">
        <v>12</v>
      </c>
      <c r="C1192" t="s">
        <v>2</v>
      </c>
    </row>
    <row r="1193" spans="1:3" x14ac:dyDescent="0.3">
      <c r="A1193" s="8" t="s">
        <v>1203</v>
      </c>
      <c r="B1193" s="8" t="s">
        <v>12</v>
      </c>
      <c r="C1193" t="s">
        <v>2</v>
      </c>
    </row>
    <row r="1194" spans="1:3" x14ac:dyDescent="0.3">
      <c r="A1194" s="8" t="s">
        <v>1204</v>
      </c>
      <c r="B1194" s="8" t="s">
        <v>12</v>
      </c>
      <c r="C1194" t="s">
        <v>2</v>
      </c>
    </row>
    <row r="1195" spans="1:3" x14ac:dyDescent="0.3">
      <c r="A1195" s="8" t="s">
        <v>1205</v>
      </c>
      <c r="B1195" s="8" t="s">
        <v>12</v>
      </c>
      <c r="C1195" t="s">
        <v>2</v>
      </c>
    </row>
    <row r="1196" spans="1:3" x14ac:dyDescent="0.3">
      <c r="A1196" s="8" t="s">
        <v>1206</v>
      </c>
      <c r="B1196" s="8" t="s">
        <v>12</v>
      </c>
      <c r="C1196" t="s">
        <v>3678</v>
      </c>
    </row>
    <row r="1197" spans="1:3" x14ac:dyDescent="0.3">
      <c r="A1197" s="8" t="s">
        <v>1207</v>
      </c>
      <c r="B1197" s="8" t="s">
        <v>12</v>
      </c>
      <c r="C1197" t="s">
        <v>3678</v>
      </c>
    </row>
    <row r="1198" spans="1:3" x14ac:dyDescent="0.3">
      <c r="A1198" s="8" t="s">
        <v>1208</v>
      </c>
      <c r="B1198" s="8" t="s">
        <v>12</v>
      </c>
      <c r="C1198" t="s">
        <v>3678</v>
      </c>
    </row>
    <row r="1199" spans="1:3" x14ac:dyDescent="0.3">
      <c r="A1199" s="8" t="s">
        <v>1209</v>
      </c>
      <c r="B1199" s="8" t="s">
        <v>12</v>
      </c>
      <c r="C1199" t="s">
        <v>3678</v>
      </c>
    </row>
    <row r="1200" spans="1:3" x14ac:dyDescent="0.3">
      <c r="A1200" s="8" t="s">
        <v>1210</v>
      </c>
      <c r="B1200" s="8" t="s">
        <v>12</v>
      </c>
      <c r="C1200" t="s">
        <v>3678</v>
      </c>
    </row>
    <row r="1201" spans="1:3" x14ac:dyDescent="0.3">
      <c r="A1201" s="8" t="s">
        <v>1211</v>
      </c>
      <c r="B1201" s="8" t="s">
        <v>12</v>
      </c>
      <c r="C1201" t="s">
        <v>2</v>
      </c>
    </row>
    <row r="1202" spans="1:3" x14ac:dyDescent="0.3">
      <c r="A1202" s="8" t="s">
        <v>1212</v>
      </c>
      <c r="B1202" s="8" t="s">
        <v>12</v>
      </c>
      <c r="C1202" t="s">
        <v>2</v>
      </c>
    </row>
    <row r="1203" spans="1:3" x14ac:dyDescent="0.3">
      <c r="A1203" s="8" t="s">
        <v>1213</v>
      </c>
      <c r="B1203" s="8" t="s">
        <v>12</v>
      </c>
      <c r="C1203" t="s">
        <v>2</v>
      </c>
    </row>
    <row r="1204" spans="1:3" x14ac:dyDescent="0.3">
      <c r="A1204" s="8" t="s">
        <v>1214</v>
      </c>
      <c r="B1204" s="8" t="s">
        <v>12</v>
      </c>
      <c r="C1204" t="s">
        <v>2</v>
      </c>
    </row>
    <row r="1205" spans="1:3" x14ac:dyDescent="0.3">
      <c r="A1205" s="8" t="s">
        <v>1215</v>
      </c>
      <c r="B1205" s="8" t="s">
        <v>12</v>
      </c>
      <c r="C1205" t="s">
        <v>2</v>
      </c>
    </row>
    <row r="1206" spans="1:3" x14ac:dyDescent="0.3">
      <c r="A1206" s="8" t="s">
        <v>1216</v>
      </c>
      <c r="B1206" s="8" t="s">
        <v>12</v>
      </c>
      <c r="C1206" t="s">
        <v>2</v>
      </c>
    </row>
    <row r="1207" spans="1:3" x14ac:dyDescent="0.3">
      <c r="A1207" s="8" t="s">
        <v>1217</v>
      </c>
      <c r="B1207" s="8" t="s">
        <v>12</v>
      </c>
      <c r="C1207" t="s">
        <v>2</v>
      </c>
    </row>
    <row r="1208" spans="1:3" x14ac:dyDescent="0.3">
      <c r="A1208" s="8" t="s">
        <v>1218</v>
      </c>
      <c r="B1208" s="8" t="s">
        <v>12</v>
      </c>
      <c r="C1208" t="s">
        <v>2</v>
      </c>
    </row>
    <row r="1209" spans="1:3" x14ac:dyDescent="0.3">
      <c r="A1209" s="8" t="s">
        <v>1219</v>
      </c>
      <c r="B1209" s="8" t="s">
        <v>12</v>
      </c>
      <c r="C1209" t="s">
        <v>2</v>
      </c>
    </row>
    <row r="1210" spans="1:3" x14ac:dyDescent="0.3">
      <c r="A1210" s="8" t="s">
        <v>1220</v>
      </c>
      <c r="B1210" s="8" t="s">
        <v>12</v>
      </c>
      <c r="C1210" t="s">
        <v>2</v>
      </c>
    </row>
    <row r="1211" spans="1:3" x14ac:dyDescent="0.3">
      <c r="A1211" s="8" t="s">
        <v>1221</v>
      </c>
      <c r="B1211" s="8" t="s">
        <v>12</v>
      </c>
      <c r="C1211" t="s">
        <v>2</v>
      </c>
    </row>
    <row r="1212" spans="1:3" x14ac:dyDescent="0.3">
      <c r="A1212" s="8" t="s">
        <v>1222</v>
      </c>
      <c r="B1212" s="8" t="s">
        <v>12</v>
      </c>
      <c r="C1212" t="s">
        <v>2</v>
      </c>
    </row>
    <row r="1213" spans="1:3" x14ac:dyDescent="0.3">
      <c r="A1213" s="8" t="s">
        <v>1223</v>
      </c>
      <c r="B1213" s="8" t="s">
        <v>12</v>
      </c>
      <c r="C1213" t="s">
        <v>2</v>
      </c>
    </row>
    <row r="1214" spans="1:3" x14ac:dyDescent="0.3">
      <c r="A1214" s="8" t="s">
        <v>1224</v>
      </c>
      <c r="B1214" s="8" t="s">
        <v>12</v>
      </c>
      <c r="C1214" t="s">
        <v>2</v>
      </c>
    </row>
    <row r="1215" spans="1:3" x14ac:dyDescent="0.3">
      <c r="A1215" s="8" t="s">
        <v>1225</v>
      </c>
      <c r="B1215" s="8" t="s">
        <v>12</v>
      </c>
      <c r="C1215" t="s">
        <v>2</v>
      </c>
    </row>
    <row r="1216" spans="1:3" x14ac:dyDescent="0.3">
      <c r="A1216" s="8" t="s">
        <v>1226</v>
      </c>
      <c r="B1216" s="8" t="s">
        <v>12</v>
      </c>
      <c r="C1216" t="s">
        <v>2</v>
      </c>
    </row>
    <row r="1217" spans="1:3" x14ac:dyDescent="0.3">
      <c r="A1217" s="8" t="s">
        <v>1227</v>
      </c>
      <c r="B1217" s="8" t="s">
        <v>12</v>
      </c>
      <c r="C1217" t="s">
        <v>2</v>
      </c>
    </row>
    <row r="1218" spans="1:3" x14ac:dyDescent="0.3">
      <c r="A1218" s="8" t="s">
        <v>1228</v>
      </c>
      <c r="B1218" s="8" t="s">
        <v>12</v>
      </c>
      <c r="C1218" t="s">
        <v>2</v>
      </c>
    </row>
    <row r="1219" spans="1:3" x14ac:dyDescent="0.3">
      <c r="A1219" s="8" t="s">
        <v>1229</v>
      </c>
      <c r="B1219" s="8" t="s">
        <v>12</v>
      </c>
      <c r="C1219" t="s">
        <v>2</v>
      </c>
    </row>
    <row r="1220" spans="1:3" x14ac:dyDescent="0.3">
      <c r="A1220" s="8" t="s">
        <v>1230</v>
      </c>
      <c r="B1220" s="8" t="s">
        <v>12</v>
      </c>
      <c r="C1220" t="s">
        <v>2</v>
      </c>
    </row>
    <row r="1221" spans="1:3" x14ac:dyDescent="0.3">
      <c r="A1221" s="8" t="s">
        <v>1231</v>
      </c>
      <c r="B1221" s="8" t="s">
        <v>12</v>
      </c>
      <c r="C1221" t="s">
        <v>2</v>
      </c>
    </row>
    <row r="1222" spans="1:3" x14ac:dyDescent="0.3">
      <c r="A1222" s="8" t="s">
        <v>1232</v>
      </c>
      <c r="B1222" s="8" t="s">
        <v>12</v>
      </c>
      <c r="C1222" t="s">
        <v>2</v>
      </c>
    </row>
    <row r="1223" spans="1:3" x14ac:dyDescent="0.3">
      <c r="A1223" s="8" t="s">
        <v>1233</v>
      </c>
      <c r="B1223" s="8" t="s">
        <v>12</v>
      </c>
      <c r="C1223" t="s">
        <v>2</v>
      </c>
    </row>
    <row r="1224" spans="1:3" x14ac:dyDescent="0.3">
      <c r="A1224" s="8" t="s">
        <v>1234</v>
      </c>
      <c r="B1224" s="8" t="s">
        <v>12</v>
      </c>
      <c r="C1224" t="s">
        <v>2</v>
      </c>
    </row>
    <row r="1225" spans="1:3" x14ac:dyDescent="0.3">
      <c r="A1225" s="8" t="s">
        <v>1235</v>
      </c>
      <c r="B1225" s="8" t="s">
        <v>12</v>
      </c>
      <c r="C1225" t="s">
        <v>2</v>
      </c>
    </row>
    <row r="1226" spans="1:3" x14ac:dyDescent="0.3">
      <c r="A1226" s="8" t="s">
        <v>1236</v>
      </c>
      <c r="B1226" s="8" t="s">
        <v>12</v>
      </c>
      <c r="C1226" t="s">
        <v>2</v>
      </c>
    </row>
    <row r="1227" spans="1:3" x14ac:dyDescent="0.3">
      <c r="A1227" s="8" t="s">
        <v>1237</v>
      </c>
      <c r="B1227" s="8" t="s">
        <v>12</v>
      </c>
      <c r="C1227" t="s">
        <v>2</v>
      </c>
    </row>
    <row r="1228" spans="1:3" x14ac:dyDescent="0.3">
      <c r="A1228" s="8" t="s">
        <v>1238</v>
      </c>
      <c r="B1228" s="8" t="s">
        <v>12</v>
      </c>
      <c r="C1228" t="s">
        <v>2</v>
      </c>
    </row>
    <row r="1229" spans="1:3" x14ac:dyDescent="0.3">
      <c r="A1229" s="8" t="s">
        <v>1239</v>
      </c>
      <c r="B1229" s="8" t="s">
        <v>12</v>
      </c>
      <c r="C1229" t="s">
        <v>2</v>
      </c>
    </row>
    <row r="1230" spans="1:3" x14ac:dyDescent="0.3">
      <c r="A1230" s="8" t="s">
        <v>1240</v>
      </c>
      <c r="B1230" s="8" t="s">
        <v>12</v>
      </c>
      <c r="C1230" t="s">
        <v>2</v>
      </c>
    </row>
    <row r="1231" spans="1:3" x14ac:dyDescent="0.3">
      <c r="A1231" s="8" t="s">
        <v>1241</v>
      </c>
      <c r="B1231" s="8" t="s">
        <v>12</v>
      </c>
      <c r="C1231" t="s">
        <v>2</v>
      </c>
    </row>
    <row r="1232" spans="1:3" x14ac:dyDescent="0.3">
      <c r="A1232" s="8" t="s">
        <v>1242</v>
      </c>
      <c r="B1232" s="8" t="s">
        <v>12</v>
      </c>
      <c r="C1232" t="s">
        <v>2</v>
      </c>
    </row>
    <row r="1233" spans="1:3" x14ac:dyDescent="0.3">
      <c r="A1233" s="8" t="s">
        <v>1243</v>
      </c>
      <c r="B1233" s="8" t="s">
        <v>12</v>
      </c>
      <c r="C1233" t="s">
        <v>2</v>
      </c>
    </row>
    <row r="1234" spans="1:3" x14ac:dyDescent="0.3">
      <c r="A1234" s="8" t="s">
        <v>1244</v>
      </c>
      <c r="B1234" s="8" t="s">
        <v>12</v>
      </c>
      <c r="C1234" t="s">
        <v>2</v>
      </c>
    </row>
    <row r="1235" spans="1:3" x14ac:dyDescent="0.3">
      <c r="A1235" s="8" t="s">
        <v>1245</v>
      </c>
      <c r="B1235" s="8" t="s">
        <v>12</v>
      </c>
      <c r="C1235" t="s">
        <v>2</v>
      </c>
    </row>
    <row r="1236" spans="1:3" x14ac:dyDescent="0.3">
      <c r="A1236" s="8" t="s">
        <v>1246</v>
      </c>
      <c r="B1236" s="8" t="s">
        <v>12</v>
      </c>
      <c r="C1236" t="s">
        <v>2</v>
      </c>
    </row>
    <row r="1237" spans="1:3" x14ac:dyDescent="0.3">
      <c r="A1237" s="8" t="s">
        <v>1247</v>
      </c>
      <c r="B1237" s="8" t="s">
        <v>12</v>
      </c>
      <c r="C1237" t="s">
        <v>2</v>
      </c>
    </row>
    <row r="1238" spans="1:3" x14ac:dyDescent="0.3">
      <c r="A1238" s="8" t="s">
        <v>1248</v>
      </c>
      <c r="B1238" s="8" t="s">
        <v>12</v>
      </c>
      <c r="C1238" t="s">
        <v>2</v>
      </c>
    </row>
    <row r="1239" spans="1:3" x14ac:dyDescent="0.3">
      <c r="A1239" s="8" t="s">
        <v>1249</v>
      </c>
      <c r="B1239" s="8" t="s">
        <v>12</v>
      </c>
      <c r="C1239" t="s">
        <v>2</v>
      </c>
    </row>
    <row r="1240" spans="1:3" x14ac:dyDescent="0.3">
      <c r="A1240" s="8" t="s">
        <v>1250</v>
      </c>
      <c r="B1240" s="8" t="s">
        <v>12</v>
      </c>
      <c r="C1240" t="s">
        <v>2</v>
      </c>
    </row>
    <row r="1241" spans="1:3" x14ac:dyDescent="0.3">
      <c r="A1241" s="8" t="s">
        <v>1251</v>
      </c>
      <c r="B1241" s="8" t="s">
        <v>12</v>
      </c>
      <c r="C1241" t="s">
        <v>2</v>
      </c>
    </row>
    <row r="1242" spans="1:3" x14ac:dyDescent="0.3">
      <c r="A1242" s="8" t="s">
        <v>1252</v>
      </c>
      <c r="B1242" s="8" t="s">
        <v>12</v>
      </c>
      <c r="C1242" t="s">
        <v>2</v>
      </c>
    </row>
    <row r="1243" spans="1:3" x14ac:dyDescent="0.3">
      <c r="A1243" s="8" t="s">
        <v>1253</v>
      </c>
      <c r="B1243" s="8" t="s">
        <v>12</v>
      </c>
      <c r="C1243" t="s">
        <v>2</v>
      </c>
    </row>
    <row r="1244" spans="1:3" x14ac:dyDescent="0.3">
      <c r="A1244" s="8" t="s">
        <v>1254</v>
      </c>
      <c r="B1244" s="8" t="s">
        <v>12</v>
      </c>
      <c r="C1244" t="s">
        <v>2</v>
      </c>
    </row>
    <row r="1245" spans="1:3" x14ac:dyDescent="0.3">
      <c r="A1245" s="8" t="s">
        <v>1255</v>
      </c>
      <c r="B1245" s="8" t="s">
        <v>12</v>
      </c>
      <c r="C1245" t="s">
        <v>2</v>
      </c>
    </row>
    <row r="1246" spans="1:3" x14ac:dyDescent="0.3">
      <c r="A1246" s="8" t="s">
        <v>1256</v>
      </c>
      <c r="B1246" s="8" t="s">
        <v>12</v>
      </c>
      <c r="C1246" t="s">
        <v>2</v>
      </c>
    </row>
    <row r="1247" spans="1:3" x14ac:dyDescent="0.3">
      <c r="A1247" s="8" t="s">
        <v>1257</v>
      </c>
      <c r="B1247" s="8" t="s">
        <v>12</v>
      </c>
      <c r="C1247" t="s">
        <v>2</v>
      </c>
    </row>
    <row r="1248" spans="1:3" x14ac:dyDescent="0.3">
      <c r="A1248" s="8" t="s">
        <v>1258</v>
      </c>
      <c r="B1248" s="8" t="s">
        <v>12</v>
      </c>
      <c r="C1248" t="s">
        <v>2</v>
      </c>
    </row>
    <row r="1249" spans="1:3" x14ac:dyDescent="0.3">
      <c r="A1249" s="8" t="s">
        <v>1259</v>
      </c>
      <c r="B1249" s="8" t="s">
        <v>12</v>
      </c>
      <c r="C1249" t="s">
        <v>2</v>
      </c>
    </row>
    <row r="1250" spans="1:3" x14ac:dyDescent="0.3">
      <c r="A1250" s="8" t="s">
        <v>1260</v>
      </c>
      <c r="B1250" s="8" t="s">
        <v>12</v>
      </c>
      <c r="C1250" t="s">
        <v>2</v>
      </c>
    </row>
    <row r="1251" spans="1:3" x14ac:dyDescent="0.3">
      <c r="A1251" s="8" t="s">
        <v>1261</v>
      </c>
      <c r="B1251" s="8" t="s">
        <v>12</v>
      </c>
      <c r="C1251" t="s">
        <v>2</v>
      </c>
    </row>
    <row r="1252" spans="1:3" x14ac:dyDescent="0.3">
      <c r="A1252" s="8" t="s">
        <v>1262</v>
      </c>
      <c r="B1252" s="8" t="s">
        <v>12</v>
      </c>
      <c r="C1252" t="s">
        <v>2</v>
      </c>
    </row>
    <row r="1253" spans="1:3" x14ac:dyDescent="0.3">
      <c r="A1253" s="8" t="s">
        <v>1263</v>
      </c>
      <c r="B1253" s="8" t="s">
        <v>12</v>
      </c>
      <c r="C1253" t="s">
        <v>2</v>
      </c>
    </row>
    <row r="1254" spans="1:3" x14ac:dyDescent="0.3">
      <c r="A1254" s="8" t="s">
        <v>1264</v>
      </c>
      <c r="B1254" s="8" t="s">
        <v>12</v>
      </c>
      <c r="C1254" t="s">
        <v>2</v>
      </c>
    </row>
    <row r="1255" spans="1:3" x14ac:dyDescent="0.3">
      <c r="A1255" s="8" t="s">
        <v>1265</v>
      </c>
      <c r="B1255" s="8" t="s">
        <v>12</v>
      </c>
      <c r="C1255" t="s">
        <v>2</v>
      </c>
    </row>
    <row r="1256" spans="1:3" x14ac:dyDescent="0.3">
      <c r="A1256" s="8" t="s">
        <v>1266</v>
      </c>
      <c r="B1256" s="8" t="s">
        <v>12</v>
      </c>
      <c r="C1256" t="s">
        <v>2</v>
      </c>
    </row>
    <row r="1257" spans="1:3" x14ac:dyDescent="0.3">
      <c r="A1257" s="8" t="s">
        <v>1267</v>
      </c>
      <c r="B1257" s="8" t="s">
        <v>12</v>
      </c>
      <c r="C1257" t="s">
        <v>2</v>
      </c>
    </row>
    <row r="1258" spans="1:3" x14ac:dyDescent="0.3">
      <c r="A1258" s="8" t="s">
        <v>1268</v>
      </c>
      <c r="B1258" s="8" t="s">
        <v>12</v>
      </c>
      <c r="C1258" t="s">
        <v>2</v>
      </c>
    </row>
    <row r="1259" spans="1:3" x14ac:dyDescent="0.3">
      <c r="A1259" s="8" t="s">
        <v>1269</v>
      </c>
      <c r="B1259" s="8" t="s">
        <v>12</v>
      </c>
      <c r="C1259" t="s">
        <v>2</v>
      </c>
    </row>
    <row r="1260" spans="1:3" x14ac:dyDescent="0.3">
      <c r="A1260" s="8" t="s">
        <v>1270</v>
      </c>
      <c r="B1260" s="8" t="s">
        <v>12</v>
      </c>
      <c r="C1260" t="s">
        <v>2</v>
      </c>
    </row>
    <row r="1261" spans="1:3" x14ac:dyDescent="0.3">
      <c r="A1261" s="8" t="s">
        <v>1271</v>
      </c>
      <c r="B1261" s="8" t="s">
        <v>12</v>
      </c>
      <c r="C1261" t="s">
        <v>2</v>
      </c>
    </row>
    <row r="1262" spans="1:3" x14ac:dyDescent="0.3">
      <c r="A1262" s="8" t="s">
        <v>1272</v>
      </c>
      <c r="B1262" s="8" t="s">
        <v>12</v>
      </c>
      <c r="C1262" t="s">
        <v>2</v>
      </c>
    </row>
    <row r="1263" spans="1:3" x14ac:dyDescent="0.3">
      <c r="A1263" s="8" t="s">
        <v>1273</v>
      </c>
      <c r="B1263" s="8" t="s">
        <v>12</v>
      </c>
      <c r="C1263" t="s">
        <v>2</v>
      </c>
    </row>
    <row r="1264" spans="1:3" x14ac:dyDescent="0.3">
      <c r="A1264" s="8" t="s">
        <v>1274</v>
      </c>
      <c r="B1264" s="8" t="s">
        <v>12</v>
      </c>
      <c r="C1264" t="s">
        <v>2</v>
      </c>
    </row>
    <row r="1265" spans="1:3" x14ac:dyDescent="0.3">
      <c r="A1265" s="8" t="s">
        <v>1275</v>
      </c>
      <c r="B1265" s="8" t="s">
        <v>12</v>
      </c>
      <c r="C1265" t="s">
        <v>3</v>
      </c>
    </row>
    <row r="1266" spans="1:3" x14ac:dyDescent="0.3">
      <c r="A1266" s="8" t="s">
        <v>1276</v>
      </c>
      <c r="B1266" s="8" t="s">
        <v>12</v>
      </c>
      <c r="C1266" t="s">
        <v>3</v>
      </c>
    </row>
    <row r="1267" spans="1:3" x14ac:dyDescent="0.3">
      <c r="A1267" s="8" t="s">
        <v>1277</v>
      </c>
      <c r="B1267" s="8" t="s">
        <v>12</v>
      </c>
      <c r="C1267" t="s">
        <v>3</v>
      </c>
    </row>
    <row r="1268" spans="1:3" x14ac:dyDescent="0.3">
      <c r="A1268" s="8" t="s">
        <v>1278</v>
      </c>
      <c r="B1268" s="8" t="s">
        <v>12</v>
      </c>
      <c r="C1268" t="s">
        <v>3</v>
      </c>
    </row>
    <row r="1269" spans="1:3" x14ac:dyDescent="0.3">
      <c r="A1269" s="8" t="s">
        <v>1279</v>
      </c>
      <c r="B1269" s="8" t="s">
        <v>12</v>
      </c>
      <c r="C1269" t="s">
        <v>3</v>
      </c>
    </row>
    <row r="1270" spans="1:3" x14ac:dyDescent="0.3">
      <c r="A1270" s="8" t="s">
        <v>1280</v>
      </c>
      <c r="B1270" s="8" t="s">
        <v>12</v>
      </c>
      <c r="C1270" t="s">
        <v>3</v>
      </c>
    </row>
    <row r="1271" spans="1:3" x14ac:dyDescent="0.3">
      <c r="A1271" s="8" t="s">
        <v>1281</v>
      </c>
      <c r="B1271" s="8" t="s">
        <v>12</v>
      </c>
      <c r="C1271" t="s">
        <v>2</v>
      </c>
    </row>
    <row r="1272" spans="1:3" x14ac:dyDescent="0.3">
      <c r="A1272" s="8" t="s">
        <v>1282</v>
      </c>
      <c r="B1272" s="8" t="s">
        <v>12</v>
      </c>
      <c r="C1272" t="s">
        <v>2</v>
      </c>
    </row>
    <row r="1273" spans="1:3" x14ac:dyDescent="0.3">
      <c r="A1273" s="8" t="s">
        <v>1283</v>
      </c>
      <c r="B1273" s="8" t="s">
        <v>12</v>
      </c>
      <c r="C1273" t="s">
        <v>2</v>
      </c>
    </row>
    <row r="1274" spans="1:3" x14ac:dyDescent="0.3">
      <c r="A1274" s="8" t="s">
        <v>1284</v>
      </c>
      <c r="B1274" s="8" t="s">
        <v>12</v>
      </c>
      <c r="C1274" t="s">
        <v>2</v>
      </c>
    </row>
    <row r="1275" spans="1:3" x14ac:dyDescent="0.3">
      <c r="A1275" s="8" t="s">
        <v>1285</v>
      </c>
      <c r="B1275" s="8" t="s">
        <v>12</v>
      </c>
      <c r="C1275" t="s">
        <v>2</v>
      </c>
    </row>
    <row r="1276" spans="1:3" x14ac:dyDescent="0.3">
      <c r="A1276" s="8" t="s">
        <v>1286</v>
      </c>
      <c r="B1276" s="8" t="s">
        <v>12</v>
      </c>
      <c r="C1276" t="s">
        <v>2</v>
      </c>
    </row>
    <row r="1277" spans="1:3" x14ac:dyDescent="0.3">
      <c r="A1277" s="8" t="s">
        <v>1287</v>
      </c>
      <c r="B1277" s="8" t="s">
        <v>12</v>
      </c>
      <c r="C1277" t="s">
        <v>2</v>
      </c>
    </row>
    <row r="1278" spans="1:3" x14ac:dyDescent="0.3">
      <c r="A1278" s="8" t="s">
        <v>1288</v>
      </c>
      <c r="B1278" s="8" t="s">
        <v>12</v>
      </c>
      <c r="C1278" t="s">
        <v>2</v>
      </c>
    </row>
    <row r="1279" spans="1:3" x14ac:dyDescent="0.3">
      <c r="A1279" s="8" t="s">
        <v>1289</v>
      </c>
      <c r="B1279" s="8" t="s">
        <v>12</v>
      </c>
      <c r="C1279" t="s">
        <v>2</v>
      </c>
    </row>
    <row r="1280" spans="1:3" x14ac:dyDescent="0.3">
      <c r="A1280" s="8" t="s">
        <v>1290</v>
      </c>
      <c r="B1280" s="8" t="s">
        <v>12</v>
      </c>
      <c r="C1280" t="s">
        <v>2</v>
      </c>
    </row>
    <row r="1281" spans="1:3" x14ac:dyDescent="0.3">
      <c r="A1281" s="8" t="s">
        <v>1291</v>
      </c>
      <c r="B1281" s="8" t="s">
        <v>12</v>
      </c>
      <c r="C1281" t="s">
        <v>2</v>
      </c>
    </row>
    <row r="1282" spans="1:3" x14ac:dyDescent="0.3">
      <c r="A1282" s="8" t="s">
        <v>1292</v>
      </c>
      <c r="B1282" s="8" t="s">
        <v>12</v>
      </c>
      <c r="C1282" t="s">
        <v>2</v>
      </c>
    </row>
    <row r="1283" spans="1:3" x14ac:dyDescent="0.3">
      <c r="A1283" s="8" t="s">
        <v>1293</v>
      </c>
      <c r="B1283" s="8" t="s">
        <v>12</v>
      </c>
      <c r="C1283" t="s">
        <v>2</v>
      </c>
    </row>
    <row r="1284" spans="1:3" x14ac:dyDescent="0.3">
      <c r="A1284" s="8" t="s">
        <v>1294</v>
      </c>
      <c r="B1284" s="8" t="s">
        <v>12</v>
      </c>
      <c r="C1284" t="s">
        <v>2</v>
      </c>
    </row>
    <row r="1285" spans="1:3" x14ac:dyDescent="0.3">
      <c r="A1285" s="8" t="s">
        <v>1295</v>
      </c>
      <c r="B1285" s="8" t="s">
        <v>12</v>
      </c>
      <c r="C1285" t="s">
        <v>2</v>
      </c>
    </row>
    <row r="1286" spans="1:3" x14ac:dyDescent="0.3">
      <c r="A1286" s="8" t="s">
        <v>1296</v>
      </c>
      <c r="B1286" s="8" t="s">
        <v>12</v>
      </c>
      <c r="C1286" t="s">
        <v>2</v>
      </c>
    </row>
    <row r="1287" spans="1:3" x14ac:dyDescent="0.3">
      <c r="A1287" s="8" t="s">
        <v>1297</v>
      </c>
      <c r="B1287" s="8" t="s">
        <v>12</v>
      </c>
      <c r="C1287" t="s">
        <v>2</v>
      </c>
    </row>
    <row r="1288" spans="1:3" x14ac:dyDescent="0.3">
      <c r="A1288" s="8" t="s">
        <v>1298</v>
      </c>
      <c r="B1288" s="8" t="s">
        <v>12</v>
      </c>
      <c r="C1288" t="s">
        <v>2</v>
      </c>
    </row>
    <row r="1289" spans="1:3" x14ac:dyDescent="0.3">
      <c r="A1289" s="8" t="s">
        <v>1299</v>
      </c>
      <c r="B1289" s="8" t="s">
        <v>12</v>
      </c>
      <c r="C1289" t="s">
        <v>2</v>
      </c>
    </row>
    <row r="1290" spans="1:3" x14ac:dyDescent="0.3">
      <c r="A1290" s="8" t="s">
        <v>1300</v>
      </c>
      <c r="B1290" s="8" t="s">
        <v>12</v>
      </c>
      <c r="C1290" t="s">
        <v>2</v>
      </c>
    </row>
    <row r="1291" spans="1:3" x14ac:dyDescent="0.3">
      <c r="A1291" s="8" t="s">
        <v>1301</v>
      </c>
      <c r="B1291" s="8" t="s">
        <v>12</v>
      </c>
      <c r="C1291" t="s">
        <v>2</v>
      </c>
    </row>
    <row r="1292" spans="1:3" x14ac:dyDescent="0.3">
      <c r="A1292" s="8" t="s">
        <v>1302</v>
      </c>
      <c r="B1292" s="8" t="s">
        <v>12</v>
      </c>
      <c r="C1292" t="s">
        <v>2</v>
      </c>
    </row>
    <row r="1293" spans="1:3" x14ac:dyDescent="0.3">
      <c r="A1293" s="8" t="s">
        <v>1303</v>
      </c>
      <c r="B1293" s="8" t="s">
        <v>12</v>
      </c>
      <c r="C1293" t="s">
        <v>2</v>
      </c>
    </row>
    <row r="1294" spans="1:3" x14ac:dyDescent="0.3">
      <c r="A1294" s="8" t="s">
        <v>1304</v>
      </c>
      <c r="B1294" s="8" t="s">
        <v>12</v>
      </c>
      <c r="C1294" t="s">
        <v>2</v>
      </c>
    </row>
    <row r="1295" spans="1:3" x14ac:dyDescent="0.3">
      <c r="A1295" s="8" t="s">
        <v>1305</v>
      </c>
      <c r="B1295" s="8" t="s">
        <v>12</v>
      </c>
      <c r="C1295" t="s">
        <v>2</v>
      </c>
    </row>
    <row r="1296" spans="1:3" x14ac:dyDescent="0.3">
      <c r="A1296" s="8" t="s">
        <v>1306</v>
      </c>
      <c r="B1296" s="8" t="s">
        <v>12</v>
      </c>
      <c r="C1296" t="s">
        <v>2</v>
      </c>
    </row>
    <row r="1297" spans="1:3" x14ac:dyDescent="0.3">
      <c r="A1297" s="8" t="s">
        <v>1307</v>
      </c>
      <c r="B1297" s="8" t="s">
        <v>12</v>
      </c>
      <c r="C1297" t="s">
        <v>2</v>
      </c>
    </row>
    <row r="1298" spans="1:3" x14ac:dyDescent="0.3">
      <c r="A1298" s="8" t="s">
        <v>1308</v>
      </c>
      <c r="B1298" s="8" t="s">
        <v>12</v>
      </c>
      <c r="C1298" t="s">
        <v>2</v>
      </c>
    </row>
    <row r="1299" spans="1:3" x14ac:dyDescent="0.3">
      <c r="A1299" s="8" t="s">
        <v>1309</v>
      </c>
      <c r="B1299" s="8" t="s">
        <v>12</v>
      </c>
      <c r="C1299" t="s">
        <v>2</v>
      </c>
    </row>
    <row r="1300" spans="1:3" x14ac:dyDescent="0.3">
      <c r="A1300" s="8" t="s">
        <v>1310</v>
      </c>
      <c r="B1300" s="8" t="s">
        <v>12</v>
      </c>
      <c r="C1300" t="s">
        <v>2</v>
      </c>
    </row>
    <row r="1301" spans="1:3" x14ac:dyDescent="0.3">
      <c r="A1301" s="8" t="s">
        <v>1311</v>
      </c>
      <c r="B1301" s="8" t="s">
        <v>12</v>
      </c>
      <c r="C1301" t="s">
        <v>2</v>
      </c>
    </row>
    <row r="1302" spans="1:3" x14ac:dyDescent="0.3">
      <c r="A1302" s="8" t="s">
        <v>1312</v>
      </c>
      <c r="B1302" s="8" t="s">
        <v>12</v>
      </c>
      <c r="C1302" t="s">
        <v>2</v>
      </c>
    </row>
    <row r="1303" spans="1:3" x14ac:dyDescent="0.3">
      <c r="A1303" s="8" t="s">
        <v>1313</v>
      </c>
      <c r="B1303" s="8" t="s">
        <v>12</v>
      </c>
      <c r="C1303" t="s">
        <v>2</v>
      </c>
    </row>
    <row r="1304" spans="1:3" x14ac:dyDescent="0.3">
      <c r="A1304" s="8" t="s">
        <v>1314</v>
      </c>
      <c r="B1304" s="8" t="s">
        <v>12</v>
      </c>
      <c r="C1304" t="s">
        <v>2</v>
      </c>
    </row>
    <row r="1305" spans="1:3" x14ac:dyDescent="0.3">
      <c r="A1305" s="8" t="s">
        <v>1315</v>
      </c>
      <c r="B1305" s="8" t="s">
        <v>12</v>
      </c>
      <c r="C1305" t="s">
        <v>2</v>
      </c>
    </row>
    <row r="1306" spans="1:3" x14ac:dyDescent="0.3">
      <c r="A1306" s="8" t="s">
        <v>1316</v>
      </c>
      <c r="B1306" s="8" t="s">
        <v>12</v>
      </c>
      <c r="C1306" t="s">
        <v>2</v>
      </c>
    </row>
    <row r="1307" spans="1:3" x14ac:dyDescent="0.3">
      <c r="A1307" s="8" t="s">
        <v>1317</v>
      </c>
      <c r="B1307" s="8" t="s">
        <v>12</v>
      </c>
      <c r="C1307" t="s">
        <v>2</v>
      </c>
    </row>
    <row r="1308" spans="1:3" x14ac:dyDescent="0.3">
      <c r="A1308" s="8" t="s">
        <v>1318</v>
      </c>
      <c r="B1308" s="8" t="s">
        <v>12</v>
      </c>
      <c r="C1308" t="s">
        <v>2</v>
      </c>
    </row>
    <row r="1309" spans="1:3" x14ac:dyDescent="0.3">
      <c r="A1309" s="8" t="s">
        <v>1319</v>
      </c>
      <c r="B1309" s="8" t="s">
        <v>12</v>
      </c>
      <c r="C1309" t="s">
        <v>2</v>
      </c>
    </row>
    <row r="1310" spans="1:3" x14ac:dyDescent="0.3">
      <c r="A1310" s="8" t="s">
        <v>1320</v>
      </c>
      <c r="B1310" s="8" t="s">
        <v>12</v>
      </c>
      <c r="C1310" t="s">
        <v>2</v>
      </c>
    </row>
    <row r="1311" spans="1:3" x14ac:dyDescent="0.3">
      <c r="A1311" s="8" t="s">
        <v>1321</v>
      </c>
      <c r="B1311" s="8" t="s">
        <v>12</v>
      </c>
      <c r="C1311" t="s">
        <v>2</v>
      </c>
    </row>
    <row r="1312" spans="1:3" x14ac:dyDescent="0.3">
      <c r="A1312" s="8" t="s">
        <v>1322</v>
      </c>
      <c r="B1312" s="8" t="s">
        <v>12</v>
      </c>
      <c r="C1312" t="s">
        <v>2</v>
      </c>
    </row>
    <row r="1313" spans="1:3" x14ac:dyDescent="0.3">
      <c r="A1313" s="8" t="s">
        <v>1323</v>
      </c>
      <c r="B1313" s="8" t="s">
        <v>12</v>
      </c>
      <c r="C1313" t="s">
        <v>2</v>
      </c>
    </row>
    <row r="1314" spans="1:3" x14ac:dyDescent="0.3">
      <c r="A1314" s="8" t="s">
        <v>1324</v>
      </c>
      <c r="B1314" s="8" t="s">
        <v>12</v>
      </c>
      <c r="C1314" t="s">
        <v>2</v>
      </c>
    </row>
    <row r="1315" spans="1:3" x14ac:dyDescent="0.3">
      <c r="A1315" s="8" t="s">
        <v>1325</v>
      </c>
      <c r="B1315" s="8" t="s">
        <v>12</v>
      </c>
      <c r="C1315" t="s">
        <v>2</v>
      </c>
    </row>
    <row r="1316" spans="1:3" x14ac:dyDescent="0.3">
      <c r="A1316" s="8" t="s">
        <v>1326</v>
      </c>
      <c r="B1316" s="8" t="s">
        <v>12</v>
      </c>
      <c r="C1316" t="s">
        <v>2</v>
      </c>
    </row>
    <row r="1317" spans="1:3" x14ac:dyDescent="0.3">
      <c r="A1317" s="8" t="s">
        <v>1327</v>
      </c>
      <c r="B1317" s="8" t="s">
        <v>12</v>
      </c>
      <c r="C1317" t="s">
        <v>2</v>
      </c>
    </row>
    <row r="1318" spans="1:3" x14ac:dyDescent="0.3">
      <c r="A1318" s="8" t="s">
        <v>1328</v>
      </c>
      <c r="B1318" s="8" t="s">
        <v>12</v>
      </c>
      <c r="C1318" t="s">
        <v>2</v>
      </c>
    </row>
    <row r="1319" spans="1:3" x14ac:dyDescent="0.3">
      <c r="A1319" s="8" t="s">
        <v>1329</v>
      </c>
      <c r="B1319" s="8" t="s">
        <v>12</v>
      </c>
      <c r="C1319" t="s">
        <v>2</v>
      </c>
    </row>
    <row r="1320" spans="1:3" x14ac:dyDescent="0.3">
      <c r="A1320" s="8" t="s">
        <v>1330</v>
      </c>
      <c r="B1320" s="8" t="s">
        <v>12</v>
      </c>
      <c r="C1320" t="s">
        <v>2</v>
      </c>
    </row>
    <row r="1321" spans="1:3" x14ac:dyDescent="0.3">
      <c r="A1321" s="8" t="s">
        <v>1331</v>
      </c>
      <c r="B1321" s="8" t="s">
        <v>12</v>
      </c>
      <c r="C1321" t="s">
        <v>2</v>
      </c>
    </row>
    <row r="1322" spans="1:3" x14ac:dyDescent="0.3">
      <c r="A1322" s="8" t="s">
        <v>1332</v>
      </c>
      <c r="B1322" s="8" t="s">
        <v>12</v>
      </c>
      <c r="C1322" t="s">
        <v>2</v>
      </c>
    </row>
    <row r="1323" spans="1:3" x14ac:dyDescent="0.3">
      <c r="A1323" s="8" t="s">
        <v>1333</v>
      </c>
      <c r="B1323" s="8" t="s">
        <v>12</v>
      </c>
      <c r="C1323" t="s">
        <v>2</v>
      </c>
    </row>
    <row r="1324" spans="1:3" x14ac:dyDescent="0.3">
      <c r="A1324" s="8" t="s">
        <v>1334</v>
      </c>
      <c r="B1324" s="8" t="s">
        <v>12</v>
      </c>
      <c r="C1324" t="s">
        <v>2</v>
      </c>
    </row>
    <row r="1325" spans="1:3" x14ac:dyDescent="0.3">
      <c r="A1325" s="8" t="s">
        <v>1335</v>
      </c>
      <c r="B1325" s="8" t="s">
        <v>12</v>
      </c>
      <c r="C1325" t="s">
        <v>3</v>
      </c>
    </row>
    <row r="1326" spans="1:3" x14ac:dyDescent="0.3">
      <c r="A1326" s="8" t="s">
        <v>1336</v>
      </c>
      <c r="B1326" s="8" t="s">
        <v>12</v>
      </c>
      <c r="C1326" t="s">
        <v>3</v>
      </c>
    </row>
    <row r="1327" spans="1:3" x14ac:dyDescent="0.3">
      <c r="A1327" s="8" t="s">
        <v>1337</v>
      </c>
      <c r="B1327" s="8" t="s">
        <v>12</v>
      </c>
      <c r="C1327" t="s">
        <v>3</v>
      </c>
    </row>
    <row r="1328" spans="1:3" x14ac:dyDescent="0.3">
      <c r="A1328" s="8" t="s">
        <v>1338</v>
      </c>
      <c r="B1328" s="8" t="s">
        <v>12</v>
      </c>
      <c r="C1328" t="s">
        <v>3</v>
      </c>
    </row>
    <row r="1329" spans="1:3" x14ac:dyDescent="0.3">
      <c r="A1329" s="8" t="s">
        <v>1339</v>
      </c>
      <c r="B1329" s="8" t="s">
        <v>12</v>
      </c>
      <c r="C1329" t="s">
        <v>3</v>
      </c>
    </row>
    <row r="1330" spans="1:3" x14ac:dyDescent="0.3">
      <c r="A1330" s="8" t="s">
        <v>1340</v>
      </c>
      <c r="B1330" s="8" t="s">
        <v>12</v>
      </c>
      <c r="C1330" t="s">
        <v>3</v>
      </c>
    </row>
    <row r="1331" spans="1:3" x14ac:dyDescent="0.3">
      <c r="A1331" s="8" t="s">
        <v>1341</v>
      </c>
      <c r="B1331" s="8" t="s">
        <v>12</v>
      </c>
      <c r="C1331" t="s">
        <v>3</v>
      </c>
    </row>
    <row r="1332" spans="1:3" x14ac:dyDescent="0.3">
      <c r="A1332" s="8" t="s">
        <v>1342</v>
      </c>
      <c r="B1332" s="8" t="s">
        <v>12</v>
      </c>
      <c r="C1332" t="s">
        <v>3</v>
      </c>
    </row>
    <row r="1333" spans="1:3" x14ac:dyDescent="0.3">
      <c r="A1333" s="8" t="s">
        <v>1343</v>
      </c>
      <c r="B1333" s="8" t="s">
        <v>12</v>
      </c>
      <c r="C1333" t="s">
        <v>3</v>
      </c>
    </row>
    <row r="1334" spans="1:3" x14ac:dyDescent="0.3">
      <c r="A1334" s="8" t="s">
        <v>1344</v>
      </c>
      <c r="B1334" s="8" t="s">
        <v>12</v>
      </c>
      <c r="C1334" t="s">
        <v>3</v>
      </c>
    </row>
    <row r="1335" spans="1:3" x14ac:dyDescent="0.3">
      <c r="A1335" s="8" t="s">
        <v>1345</v>
      </c>
      <c r="B1335" s="8" t="s">
        <v>12</v>
      </c>
      <c r="C1335" t="s">
        <v>3</v>
      </c>
    </row>
    <row r="1336" spans="1:3" x14ac:dyDescent="0.3">
      <c r="A1336" s="8" t="s">
        <v>1346</v>
      </c>
      <c r="B1336" s="8" t="s">
        <v>12</v>
      </c>
      <c r="C1336" t="s">
        <v>2</v>
      </c>
    </row>
    <row r="1337" spans="1:3" x14ac:dyDescent="0.3">
      <c r="A1337" s="8" t="s">
        <v>1347</v>
      </c>
      <c r="B1337" s="8" t="s">
        <v>12</v>
      </c>
      <c r="C1337" t="s">
        <v>2</v>
      </c>
    </row>
    <row r="1338" spans="1:3" x14ac:dyDescent="0.3">
      <c r="A1338" s="8" t="s">
        <v>1348</v>
      </c>
      <c r="B1338" s="8" t="s">
        <v>12</v>
      </c>
      <c r="C1338" t="s">
        <v>2</v>
      </c>
    </row>
    <row r="1339" spans="1:3" x14ac:dyDescent="0.3">
      <c r="A1339" s="8" t="s">
        <v>1349</v>
      </c>
      <c r="B1339" s="8" t="s">
        <v>12</v>
      </c>
      <c r="C1339" t="s">
        <v>2</v>
      </c>
    </row>
    <row r="1340" spans="1:3" x14ac:dyDescent="0.3">
      <c r="A1340" s="8" t="s">
        <v>1350</v>
      </c>
      <c r="B1340" s="8" t="s">
        <v>12</v>
      </c>
      <c r="C1340" t="s">
        <v>2</v>
      </c>
    </row>
    <row r="1341" spans="1:3" x14ac:dyDescent="0.3">
      <c r="A1341" s="8" t="s">
        <v>1351</v>
      </c>
      <c r="B1341" s="8" t="s">
        <v>12</v>
      </c>
      <c r="C1341" t="s">
        <v>2</v>
      </c>
    </row>
    <row r="1342" spans="1:3" x14ac:dyDescent="0.3">
      <c r="A1342" s="8" t="s">
        <v>1352</v>
      </c>
      <c r="B1342" s="8" t="s">
        <v>12</v>
      </c>
      <c r="C1342" t="s">
        <v>2</v>
      </c>
    </row>
    <row r="1343" spans="1:3" x14ac:dyDescent="0.3">
      <c r="A1343" s="8" t="s">
        <v>1353</v>
      </c>
      <c r="B1343" s="8" t="s">
        <v>12</v>
      </c>
      <c r="C1343" t="s">
        <v>3678</v>
      </c>
    </row>
    <row r="1344" spans="1:3" x14ac:dyDescent="0.3">
      <c r="A1344" s="8" t="s">
        <v>1354</v>
      </c>
      <c r="B1344" s="8" t="s">
        <v>12</v>
      </c>
      <c r="C1344" t="s">
        <v>3678</v>
      </c>
    </row>
    <row r="1345" spans="1:3" x14ac:dyDescent="0.3">
      <c r="A1345" s="8" t="s">
        <v>1355</v>
      </c>
      <c r="B1345" s="8" t="s">
        <v>12</v>
      </c>
      <c r="C1345" t="s">
        <v>3678</v>
      </c>
    </row>
    <row r="1346" spans="1:3" x14ac:dyDescent="0.3">
      <c r="A1346" s="8" t="s">
        <v>1356</v>
      </c>
      <c r="B1346" s="8" t="s">
        <v>12</v>
      </c>
      <c r="C1346" t="s">
        <v>3678</v>
      </c>
    </row>
    <row r="1347" spans="1:3" x14ac:dyDescent="0.3">
      <c r="A1347" s="8" t="s">
        <v>1357</v>
      </c>
      <c r="B1347" s="8" t="s">
        <v>12</v>
      </c>
      <c r="C1347" t="s">
        <v>2</v>
      </c>
    </row>
    <row r="1348" spans="1:3" x14ac:dyDescent="0.3">
      <c r="A1348" s="8" t="s">
        <v>1358</v>
      </c>
      <c r="B1348" s="8" t="s">
        <v>12</v>
      </c>
      <c r="C1348" t="s">
        <v>2</v>
      </c>
    </row>
    <row r="1349" spans="1:3" x14ac:dyDescent="0.3">
      <c r="A1349" s="8" t="s">
        <v>1359</v>
      </c>
      <c r="B1349" s="8" t="s">
        <v>12</v>
      </c>
      <c r="C1349" t="s">
        <v>2</v>
      </c>
    </row>
    <row r="1350" spans="1:3" x14ac:dyDescent="0.3">
      <c r="A1350" s="8" t="s">
        <v>1360</v>
      </c>
      <c r="B1350" s="8" t="s">
        <v>12</v>
      </c>
      <c r="C1350" t="s">
        <v>2</v>
      </c>
    </row>
    <row r="1351" spans="1:3" x14ac:dyDescent="0.3">
      <c r="A1351" s="8" t="s">
        <v>1361</v>
      </c>
      <c r="B1351" s="8" t="s">
        <v>12</v>
      </c>
      <c r="C1351" t="s">
        <v>2</v>
      </c>
    </row>
    <row r="1352" spans="1:3" x14ac:dyDescent="0.3">
      <c r="A1352" s="8" t="s">
        <v>1362</v>
      </c>
      <c r="B1352" s="8" t="s">
        <v>12</v>
      </c>
      <c r="C1352" t="s">
        <v>3678</v>
      </c>
    </row>
    <row r="1353" spans="1:3" x14ac:dyDescent="0.3">
      <c r="A1353" s="8" t="s">
        <v>1363</v>
      </c>
      <c r="B1353" s="8" t="s">
        <v>12</v>
      </c>
      <c r="C1353" t="s">
        <v>3678</v>
      </c>
    </row>
    <row r="1354" spans="1:3" x14ac:dyDescent="0.3">
      <c r="A1354" s="8" t="s">
        <v>1364</v>
      </c>
      <c r="B1354" s="8" t="s">
        <v>12</v>
      </c>
      <c r="C1354" t="s">
        <v>3678</v>
      </c>
    </row>
    <row r="1355" spans="1:3" x14ac:dyDescent="0.3">
      <c r="A1355" s="8" t="s">
        <v>1365</v>
      </c>
      <c r="B1355" s="8" t="s">
        <v>12</v>
      </c>
      <c r="C1355" t="s">
        <v>3678</v>
      </c>
    </row>
    <row r="1356" spans="1:3" x14ac:dyDescent="0.3">
      <c r="A1356" s="8" t="s">
        <v>1366</v>
      </c>
      <c r="B1356" s="8" t="s">
        <v>12</v>
      </c>
      <c r="C1356" t="s">
        <v>2</v>
      </c>
    </row>
    <row r="1357" spans="1:3" x14ac:dyDescent="0.3">
      <c r="A1357" s="8" t="s">
        <v>1367</v>
      </c>
      <c r="B1357" s="8" t="s">
        <v>12</v>
      </c>
      <c r="C1357" t="s">
        <v>2</v>
      </c>
    </row>
    <row r="1358" spans="1:3" x14ac:dyDescent="0.3">
      <c r="A1358" s="8" t="s">
        <v>1368</v>
      </c>
      <c r="B1358" s="8" t="s">
        <v>12</v>
      </c>
      <c r="C1358" t="s">
        <v>2</v>
      </c>
    </row>
    <row r="1359" spans="1:3" x14ac:dyDescent="0.3">
      <c r="A1359" s="8" t="s">
        <v>1369</v>
      </c>
      <c r="B1359" s="8" t="s">
        <v>12</v>
      </c>
      <c r="C1359" t="s">
        <v>2</v>
      </c>
    </row>
    <row r="1360" spans="1:3" x14ac:dyDescent="0.3">
      <c r="A1360" s="8" t="s">
        <v>1370</v>
      </c>
      <c r="B1360" s="8" t="s">
        <v>12</v>
      </c>
      <c r="C1360" t="s">
        <v>2</v>
      </c>
    </row>
    <row r="1361" spans="1:3" x14ac:dyDescent="0.3">
      <c r="A1361" s="8" t="s">
        <v>1371</v>
      </c>
      <c r="B1361" s="8" t="s">
        <v>12</v>
      </c>
      <c r="C1361" t="s">
        <v>2</v>
      </c>
    </row>
    <row r="1362" spans="1:3" x14ac:dyDescent="0.3">
      <c r="A1362" s="8" t="s">
        <v>1372</v>
      </c>
      <c r="B1362" s="8" t="s">
        <v>12</v>
      </c>
      <c r="C1362" t="s">
        <v>3678</v>
      </c>
    </row>
    <row r="1363" spans="1:3" x14ac:dyDescent="0.3">
      <c r="A1363" s="8" t="s">
        <v>1373</v>
      </c>
      <c r="B1363" s="8" t="s">
        <v>12</v>
      </c>
      <c r="C1363" t="s">
        <v>3678</v>
      </c>
    </row>
    <row r="1364" spans="1:3" x14ac:dyDescent="0.3">
      <c r="A1364" s="8" t="s">
        <v>1374</v>
      </c>
      <c r="B1364" s="8" t="s">
        <v>12</v>
      </c>
      <c r="C1364" t="s">
        <v>3678</v>
      </c>
    </row>
    <row r="1365" spans="1:3" x14ac:dyDescent="0.3">
      <c r="A1365" s="8" t="s">
        <v>1375</v>
      </c>
      <c r="B1365" s="8" t="s">
        <v>12</v>
      </c>
      <c r="C1365" t="s">
        <v>3678</v>
      </c>
    </row>
    <row r="1366" spans="1:3" x14ac:dyDescent="0.3">
      <c r="A1366" s="8" t="s">
        <v>1376</v>
      </c>
      <c r="B1366" s="8" t="s">
        <v>12</v>
      </c>
      <c r="C1366" t="s">
        <v>3678</v>
      </c>
    </row>
    <row r="1367" spans="1:3" x14ac:dyDescent="0.3">
      <c r="A1367" s="8" t="s">
        <v>1377</v>
      </c>
      <c r="B1367" s="8" t="s">
        <v>12</v>
      </c>
      <c r="C1367" t="s">
        <v>3678</v>
      </c>
    </row>
    <row r="1368" spans="1:3" x14ac:dyDescent="0.3">
      <c r="A1368" s="8" t="s">
        <v>1378</v>
      </c>
      <c r="B1368" s="8" t="s">
        <v>12</v>
      </c>
      <c r="C1368" t="s">
        <v>3678</v>
      </c>
    </row>
    <row r="1369" spans="1:3" x14ac:dyDescent="0.3">
      <c r="A1369" s="8" t="s">
        <v>1379</v>
      </c>
      <c r="B1369" s="8" t="s">
        <v>12</v>
      </c>
      <c r="C1369" t="s">
        <v>3678</v>
      </c>
    </row>
    <row r="1370" spans="1:3" x14ac:dyDescent="0.3">
      <c r="A1370" s="8" t="s">
        <v>1380</v>
      </c>
      <c r="B1370" s="8" t="s">
        <v>12</v>
      </c>
      <c r="C1370" t="s">
        <v>2</v>
      </c>
    </row>
    <row r="1371" spans="1:3" x14ac:dyDescent="0.3">
      <c r="A1371" s="8" t="s">
        <v>1381</v>
      </c>
      <c r="B1371" s="8" t="s">
        <v>12</v>
      </c>
      <c r="C1371" t="s">
        <v>2</v>
      </c>
    </row>
    <row r="1372" spans="1:3" x14ac:dyDescent="0.3">
      <c r="A1372" s="8" t="s">
        <v>1382</v>
      </c>
      <c r="B1372" s="8" t="s">
        <v>12</v>
      </c>
      <c r="C1372" t="s">
        <v>2</v>
      </c>
    </row>
    <row r="1373" spans="1:3" x14ac:dyDescent="0.3">
      <c r="A1373" s="8" t="s">
        <v>1383</v>
      </c>
      <c r="B1373" s="8" t="s">
        <v>12</v>
      </c>
      <c r="C1373" t="s">
        <v>2</v>
      </c>
    </row>
    <row r="1374" spans="1:3" x14ac:dyDescent="0.3">
      <c r="A1374" s="8" t="s">
        <v>1384</v>
      </c>
      <c r="B1374" s="8" t="s">
        <v>12</v>
      </c>
      <c r="C1374" t="s">
        <v>2</v>
      </c>
    </row>
    <row r="1375" spans="1:3" x14ac:dyDescent="0.3">
      <c r="A1375" s="8" t="s">
        <v>1385</v>
      </c>
      <c r="B1375" s="8" t="s">
        <v>12</v>
      </c>
      <c r="C1375" t="s">
        <v>2</v>
      </c>
    </row>
    <row r="1376" spans="1:3" x14ac:dyDescent="0.3">
      <c r="A1376" s="8" t="s">
        <v>1386</v>
      </c>
      <c r="B1376" s="8" t="s">
        <v>12</v>
      </c>
      <c r="C1376" t="s">
        <v>2</v>
      </c>
    </row>
    <row r="1377" spans="1:3" x14ac:dyDescent="0.3">
      <c r="A1377" s="8" t="s">
        <v>1387</v>
      </c>
      <c r="B1377" s="8" t="s">
        <v>12</v>
      </c>
      <c r="C1377" t="s">
        <v>2</v>
      </c>
    </row>
    <row r="1378" spans="1:3" x14ac:dyDescent="0.3">
      <c r="A1378" s="8" t="s">
        <v>1388</v>
      </c>
      <c r="B1378" s="8" t="s">
        <v>12</v>
      </c>
      <c r="C1378" t="s">
        <v>2</v>
      </c>
    </row>
    <row r="1379" spans="1:3" x14ac:dyDescent="0.3">
      <c r="A1379" s="8" t="s">
        <v>1389</v>
      </c>
      <c r="B1379" s="8" t="s">
        <v>12</v>
      </c>
      <c r="C1379" t="s">
        <v>2</v>
      </c>
    </row>
    <row r="1380" spans="1:3" x14ac:dyDescent="0.3">
      <c r="A1380" s="8" t="s">
        <v>1390</v>
      </c>
      <c r="B1380" s="8" t="s">
        <v>12</v>
      </c>
      <c r="C1380" t="s">
        <v>2</v>
      </c>
    </row>
    <row r="1381" spans="1:3" x14ac:dyDescent="0.3">
      <c r="A1381" s="8" t="s">
        <v>1391</v>
      </c>
      <c r="B1381" s="8" t="s">
        <v>12</v>
      </c>
      <c r="C1381" t="s">
        <v>2</v>
      </c>
    </row>
    <row r="1382" spans="1:3" x14ac:dyDescent="0.3">
      <c r="A1382" s="8" t="s">
        <v>1392</v>
      </c>
      <c r="B1382" s="8" t="s">
        <v>12</v>
      </c>
      <c r="C1382" t="s">
        <v>2</v>
      </c>
    </row>
    <row r="1383" spans="1:3" x14ac:dyDescent="0.3">
      <c r="A1383" s="8" t="s">
        <v>1393</v>
      </c>
      <c r="B1383" s="8" t="s">
        <v>12</v>
      </c>
      <c r="C1383" t="s">
        <v>2</v>
      </c>
    </row>
    <row r="1384" spans="1:3" x14ac:dyDescent="0.3">
      <c r="A1384" s="8" t="s">
        <v>1394</v>
      </c>
      <c r="B1384" s="8" t="s">
        <v>12</v>
      </c>
      <c r="C1384" t="s">
        <v>2</v>
      </c>
    </row>
    <row r="1385" spans="1:3" x14ac:dyDescent="0.3">
      <c r="A1385" s="8" t="s">
        <v>1395</v>
      </c>
      <c r="B1385" s="8" t="s">
        <v>12</v>
      </c>
      <c r="C1385" t="s">
        <v>2</v>
      </c>
    </row>
    <row r="1386" spans="1:3" x14ac:dyDescent="0.3">
      <c r="A1386" s="8" t="s">
        <v>1396</v>
      </c>
      <c r="B1386" s="8" t="s">
        <v>12</v>
      </c>
      <c r="C1386" t="s">
        <v>2</v>
      </c>
    </row>
    <row r="1387" spans="1:3" x14ac:dyDescent="0.3">
      <c r="A1387" s="8" t="s">
        <v>1397</v>
      </c>
      <c r="B1387" s="8" t="s">
        <v>12</v>
      </c>
      <c r="C1387" t="s">
        <v>2</v>
      </c>
    </row>
    <row r="1388" spans="1:3" x14ac:dyDescent="0.3">
      <c r="A1388" s="8" t="s">
        <v>1398</v>
      </c>
      <c r="B1388" s="8" t="s">
        <v>12</v>
      </c>
      <c r="C1388" t="s">
        <v>2</v>
      </c>
    </row>
    <row r="1389" spans="1:3" x14ac:dyDescent="0.3">
      <c r="A1389" s="8" t="s">
        <v>1399</v>
      </c>
      <c r="B1389" s="8" t="s">
        <v>12</v>
      </c>
      <c r="C1389" t="s">
        <v>2</v>
      </c>
    </row>
    <row r="1390" spans="1:3" x14ac:dyDescent="0.3">
      <c r="A1390" s="8" t="s">
        <v>1400</v>
      </c>
      <c r="B1390" s="8" t="s">
        <v>12</v>
      </c>
      <c r="C1390" t="s">
        <v>2</v>
      </c>
    </row>
    <row r="1391" spans="1:3" x14ac:dyDescent="0.3">
      <c r="A1391" s="8" t="s">
        <v>1401</v>
      </c>
      <c r="B1391" s="8" t="s">
        <v>12</v>
      </c>
      <c r="C1391" t="s">
        <v>2</v>
      </c>
    </row>
    <row r="1392" spans="1:3" x14ac:dyDescent="0.3">
      <c r="A1392" s="8" t="s">
        <v>1402</v>
      </c>
      <c r="B1392" s="8" t="s">
        <v>12</v>
      </c>
      <c r="C1392" t="s">
        <v>2</v>
      </c>
    </row>
    <row r="1393" spans="1:3" x14ac:dyDescent="0.3">
      <c r="A1393" s="8" t="s">
        <v>1403</v>
      </c>
      <c r="B1393" s="8" t="s">
        <v>12</v>
      </c>
      <c r="C1393" t="s">
        <v>2</v>
      </c>
    </row>
    <row r="1394" spans="1:3" x14ac:dyDescent="0.3">
      <c r="A1394" s="8" t="s">
        <v>1404</v>
      </c>
      <c r="B1394" s="8" t="s">
        <v>12</v>
      </c>
      <c r="C1394" t="s">
        <v>2</v>
      </c>
    </row>
    <row r="1395" spans="1:3" x14ac:dyDescent="0.3">
      <c r="A1395" s="8" t="s">
        <v>1405</v>
      </c>
      <c r="B1395" s="8" t="s">
        <v>12</v>
      </c>
      <c r="C1395" t="s">
        <v>2</v>
      </c>
    </row>
    <row r="1396" spans="1:3" x14ac:dyDescent="0.3">
      <c r="A1396" s="8" t="s">
        <v>1406</v>
      </c>
      <c r="B1396" s="8" t="s">
        <v>12</v>
      </c>
      <c r="C1396" t="s">
        <v>2</v>
      </c>
    </row>
    <row r="1397" spans="1:3" x14ac:dyDescent="0.3">
      <c r="A1397" s="8" t="s">
        <v>1407</v>
      </c>
      <c r="B1397" s="8" t="s">
        <v>12</v>
      </c>
      <c r="C1397" t="s">
        <v>2</v>
      </c>
    </row>
    <row r="1398" spans="1:3" x14ac:dyDescent="0.3">
      <c r="A1398" s="8" t="s">
        <v>1408</v>
      </c>
      <c r="B1398" s="8" t="s">
        <v>12</v>
      </c>
      <c r="C1398" t="s">
        <v>2</v>
      </c>
    </row>
    <row r="1399" spans="1:3" x14ac:dyDescent="0.3">
      <c r="A1399" s="8" t="s">
        <v>1409</v>
      </c>
      <c r="B1399" s="8" t="s">
        <v>12</v>
      </c>
      <c r="C1399" t="s">
        <v>2</v>
      </c>
    </row>
    <row r="1400" spans="1:3" x14ac:dyDescent="0.3">
      <c r="A1400" s="8" t="s">
        <v>1410</v>
      </c>
      <c r="B1400" s="8" t="s">
        <v>12</v>
      </c>
      <c r="C1400" t="s">
        <v>2</v>
      </c>
    </row>
    <row r="1401" spans="1:3" x14ac:dyDescent="0.3">
      <c r="A1401" s="8" t="s">
        <v>1411</v>
      </c>
      <c r="B1401" s="8" t="s">
        <v>12</v>
      </c>
      <c r="C1401" t="s">
        <v>2</v>
      </c>
    </row>
    <row r="1402" spans="1:3" x14ac:dyDescent="0.3">
      <c r="A1402" s="8" t="s">
        <v>1412</v>
      </c>
      <c r="B1402" s="8" t="s">
        <v>12</v>
      </c>
      <c r="C1402" t="s">
        <v>2</v>
      </c>
    </row>
    <row r="1403" spans="1:3" x14ac:dyDescent="0.3">
      <c r="A1403" s="8" t="s">
        <v>1413</v>
      </c>
      <c r="B1403" s="8" t="s">
        <v>12</v>
      </c>
      <c r="C1403" t="s">
        <v>2</v>
      </c>
    </row>
    <row r="1404" spans="1:3" x14ac:dyDescent="0.3">
      <c r="A1404" s="8" t="s">
        <v>1414</v>
      </c>
      <c r="B1404" s="8" t="s">
        <v>12</v>
      </c>
      <c r="C1404" t="s">
        <v>2</v>
      </c>
    </row>
    <row r="1405" spans="1:3" x14ac:dyDescent="0.3">
      <c r="A1405" s="8" t="s">
        <v>1415</v>
      </c>
      <c r="B1405" s="8" t="s">
        <v>12</v>
      </c>
      <c r="C1405" t="s">
        <v>2</v>
      </c>
    </row>
    <row r="1406" spans="1:3" x14ac:dyDescent="0.3">
      <c r="A1406" s="8" t="s">
        <v>1416</v>
      </c>
      <c r="B1406" s="8" t="s">
        <v>12</v>
      </c>
      <c r="C1406" t="s">
        <v>2</v>
      </c>
    </row>
    <row r="1407" spans="1:3" x14ac:dyDescent="0.3">
      <c r="A1407" s="8" t="s">
        <v>1417</v>
      </c>
      <c r="B1407" s="8" t="s">
        <v>12</v>
      </c>
      <c r="C1407" t="s">
        <v>3</v>
      </c>
    </row>
    <row r="1408" spans="1:3" x14ac:dyDescent="0.3">
      <c r="A1408" s="8" t="s">
        <v>1418</v>
      </c>
      <c r="B1408" s="8" t="s">
        <v>12</v>
      </c>
      <c r="C1408" t="s">
        <v>3</v>
      </c>
    </row>
    <row r="1409" spans="1:3" x14ac:dyDescent="0.3">
      <c r="A1409" s="8" t="s">
        <v>1419</v>
      </c>
      <c r="B1409" s="8" t="s">
        <v>12</v>
      </c>
      <c r="C1409" t="s">
        <v>3</v>
      </c>
    </row>
    <row r="1410" spans="1:3" x14ac:dyDescent="0.3">
      <c r="A1410" s="8" t="s">
        <v>1420</v>
      </c>
      <c r="B1410" s="8" t="s">
        <v>12</v>
      </c>
      <c r="C1410" t="s">
        <v>3</v>
      </c>
    </row>
    <row r="1411" spans="1:3" x14ac:dyDescent="0.3">
      <c r="A1411" s="8" t="s">
        <v>1421</v>
      </c>
      <c r="B1411" s="8" t="s">
        <v>12</v>
      </c>
      <c r="C1411" t="s">
        <v>3</v>
      </c>
    </row>
    <row r="1412" spans="1:3" x14ac:dyDescent="0.3">
      <c r="A1412" s="8" t="s">
        <v>1422</v>
      </c>
      <c r="B1412" s="8" t="s">
        <v>12</v>
      </c>
      <c r="C1412" t="s">
        <v>2</v>
      </c>
    </row>
    <row r="1413" spans="1:3" x14ac:dyDescent="0.3">
      <c r="A1413" s="8" t="s">
        <v>1423</v>
      </c>
      <c r="B1413" s="8" t="s">
        <v>12</v>
      </c>
      <c r="C1413" t="s">
        <v>2</v>
      </c>
    </row>
    <row r="1414" spans="1:3" x14ac:dyDescent="0.3">
      <c r="A1414" s="8" t="s">
        <v>1424</v>
      </c>
      <c r="B1414" s="8" t="s">
        <v>12</v>
      </c>
      <c r="C1414" t="s">
        <v>2</v>
      </c>
    </row>
    <row r="1415" spans="1:3" x14ac:dyDescent="0.3">
      <c r="A1415" s="8" t="s">
        <v>1425</v>
      </c>
      <c r="B1415" s="8" t="s">
        <v>12</v>
      </c>
      <c r="C1415" t="s">
        <v>2</v>
      </c>
    </row>
    <row r="1416" spans="1:3" x14ac:dyDescent="0.3">
      <c r="A1416" s="8" t="s">
        <v>1426</v>
      </c>
      <c r="B1416" s="8" t="s">
        <v>12</v>
      </c>
      <c r="C1416" t="s">
        <v>2</v>
      </c>
    </row>
    <row r="1417" spans="1:3" x14ac:dyDescent="0.3">
      <c r="A1417" s="8" t="s">
        <v>1427</v>
      </c>
      <c r="B1417" s="8" t="s">
        <v>12</v>
      </c>
      <c r="C1417" t="s">
        <v>2</v>
      </c>
    </row>
    <row r="1418" spans="1:3" x14ac:dyDescent="0.3">
      <c r="A1418" s="8" t="s">
        <v>1428</v>
      </c>
      <c r="B1418" s="8" t="s">
        <v>12</v>
      </c>
      <c r="C1418" t="s">
        <v>2</v>
      </c>
    </row>
    <row r="1419" spans="1:3" x14ac:dyDescent="0.3">
      <c r="A1419" s="8" t="s">
        <v>1429</v>
      </c>
      <c r="B1419" s="8" t="s">
        <v>12</v>
      </c>
      <c r="C1419" t="s">
        <v>2</v>
      </c>
    </row>
    <row r="1420" spans="1:3" x14ac:dyDescent="0.3">
      <c r="A1420" s="8" t="s">
        <v>1430</v>
      </c>
      <c r="B1420" s="8" t="s">
        <v>12</v>
      </c>
      <c r="C1420" t="s">
        <v>2</v>
      </c>
    </row>
    <row r="1421" spans="1:3" x14ac:dyDescent="0.3">
      <c r="A1421" s="8" t="s">
        <v>1431</v>
      </c>
      <c r="B1421" s="8" t="s">
        <v>12</v>
      </c>
      <c r="C1421" t="s">
        <v>2</v>
      </c>
    </row>
    <row r="1422" spans="1:3" x14ac:dyDescent="0.3">
      <c r="A1422" s="8" t="s">
        <v>1432</v>
      </c>
      <c r="B1422" s="8" t="s">
        <v>12</v>
      </c>
      <c r="C1422" t="s">
        <v>2</v>
      </c>
    </row>
    <row r="1423" spans="1:3" x14ac:dyDescent="0.3">
      <c r="A1423" s="8" t="s">
        <v>1433</v>
      </c>
      <c r="B1423" s="8" t="s">
        <v>12</v>
      </c>
      <c r="C1423" t="s">
        <v>2</v>
      </c>
    </row>
    <row r="1424" spans="1:3" x14ac:dyDescent="0.3">
      <c r="A1424" s="8" t="s">
        <v>1434</v>
      </c>
      <c r="B1424" s="8" t="s">
        <v>12</v>
      </c>
      <c r="C1424" t="s">
        <v>2</v>
      </c>
    </row>
    <row r="1425" spans="1:3" x14ac:dyDescent="0.3">
      <c r="A1425" s="8" t="s">
        <v>1435</v>
      </c>
      <c r="B1425" s="8" t="s">
        <v>12</v>
      </c>
      <c r="C1425" t="s">
        <v>2</v>
      </c>
    </row>
    <row r="1426" spans="1:3" x14ac:dyDescent="0.3">
      <c r="A1426" s="8" t="s">
        <v>1436</v>
      </c>
      <c r="B1426" s="8" t="s">
        <v>12</v>
      </c>
      <c r="C1426" t="s">
        <v>2</v>
      </c>
    </row>
    <row r="1427" spans="1:3" x14ac:dyDescent="0.3">
      <c r="A1427" s="8" t="s">
        <v>1437</v>
      </c>
      <c r="B1427" s="8" t="s">
        <v>12</v>
      </c>
      <c r="C1427" t="s">
        <v>2</v>
      </c>
    </row>
    <row r="1428" spans="1:3" x14ac:dyDescent="0.3">
      <c r="A1428" s="8" t="s">
        <v>1438</v>
      </c>
      <c r="B1428" s="8" t="s">
        <v>12</v>
      </c>
      <c r="C1428" t="s">
        <v>2</v>
      </c>
    </row>
    <row r="1429" spans="1:3" x14ac:dyDescent="0.3">
      <c r="A1429" s="8" t="s">
        <v>1439</v>
      </c>
      <c r="B1429" s="8" t="s">
        <v>12</v>
      </c>
      <c r="C1429" t="s">
        <v>2</v>
      </c>
    </row>
    <row r="1430" spans="1:3" x14ac:dyDescent="0.3">
      <c r="A1430" s="8" t="s">
        <v>1440</v>
      </c>
      <c r="B1430" s="8" t="s">
        <v>12</v>
      </c>
      <c r="C1430" t="s">
        <v>2</v>
      </c>
    </row>
    <row r="1431" spans="1:3" x14ac:dyDescent="0.3">
      <c r="A1431" s="8" t="s">
        <v>1441</v>
      </c>
      <c r="B1431" s="8" t="s">
        <v>12</v>
      </c>
      <c r="C1431" t="s">
        <v>2</v>
      </c>
    </row>
    <row r="1432" spans="1:3" x14ac:dyDescent="0.3">
      <c r="A1432" s="8" t="s">
        <v>1442</v>
      </c>
      <c r="B1432" s="8" t="s">
        <v>12</v>
      </c>
      <c r="C1432" t="s">
        <v>2</v>
      </c>
    </row>
    <row r="1433" spans="1:3" x14ac:dyDescent="0.3">
      <c r="A1433" s="8" t="s">
        <v>1443</v>
      </c>
      <c r="B1433" s="8" t="s">
        <v>12</v>
      </c>
      <c r="C1433" t="s">
        <v>2</v>
      </c>
    </row>
    <row r="1434" spans="1:3" x14ac:dyDescent="0.3">
      <c r="A1434" s="8" t="s">
        <v>1444</v>
      </c>
      <c r="B1434" s="8" t="s">
        <v>12</v>
      </c>
      <c r="C1434" t="s">
        <v>2</v>
      </c>
    </row>
    <row r="1435" spans="1:3" x14ac:dyDescent="0.3">
      <c r="A1435" s="8" t="s">
        <v>1445</v>
      </c>
      <c r="B1435" s="8" t="s">
        <v>12</v>
      </c>
      <c r="C1435" t="s">
        <v>2</v>
      </c>
    </row>
    <row r="1436" spans="1:3" x14ac:dyDescent="0.3">
      <c r="A1436" s="8" t="s">
        <v>1446</v>
      </c>
      <c r="B1436" s="8" t="s">
        <v>12</v>
      </c>
      <c r="C1436" t="s">
        <v>2</v>
      </c>
    </row>
    <row r="1437" spans="1:3" x14ac:dyDescent="0.3">
      <c r="A1437" s="8" t="s">
        <v>1447</v>
      </c>
      <c r="B1437" s="8" t="s">
        <v>12</v>
      </c>
      <c r="C1437" t="s">
        <v>2</v>
      </c>
    </row>
    <row r="1438" spans="1:3" x14ac:dyDescent="0.3">
      <c r="A1438" s="8" t="s">
        <v>1448</v>
      </c>
      <c r="B1438" s="8" t="s">
        <v>12</v>
      </c>
      <c r="C1438" t="s">
        <v>2</v>
      </c>
    </row>
    <row r="1439" spans="1:3" x14ac:dyDescent="0.3">
      <c r="A1439" s="8" t="s">
        <v>1449</v>
      </c>
      <c r="B1439" s="8" t="s">
        <v>12</v>
      </c>
      <c r="C1439" t="s">
        <v>2</v>
      </c>
    </row>
    <row r="1440" spans="1:3" x14ac:dyDescent="0.3">
      <c r="A1440" s="8" t="s">
        <v>1450</v>
      </c>
      <c r="B1440" s="8" t="s">
        <v>12</v>
      </c>
      <c r="C1440" t="s">
        <v>2</v>
      </c>
    </row>
    <row r="1441" spans="1:3" x14ac:dyDescent="0.3">
      <c r="A1441" s="8" t="s">
        <v>1451</v>
      </c>
      <c r="B1441" s="8" t="s">
        <v>12</v>
      </c>
      <c r="C1441" t="s">
        <v>2</v>
      </c>
    </row>
    <row r="1442" spans="1:3" x14ac:dyDescent="0.3">
      <c r="A1442" s="8" t="s">
        <v>1452</v>
      </c>
      <c r="B1442" s="8" t="s">
        <v>12</v>
      </c>
      <c r="C1442" t="s">
        <v>2</v>
      </c>
    </row>
    <row r="1443" spans="1:3" x14ac:dyDescent="0.3">
      <c r="A1443" s="8" t="s">
        <v>1453</v>
      </c>
      <c r="B1443" s="8" t="s">
        <v>12</v>
      </c>
      <c r="C1443" t="s">
        <v>2</v>
      </c>
    </row>
    <row r="1444" spans="1:3" x14ac:dyDescent="0.3">
      <c r="A1444" s="8" t="s">
        <v>1454</v>
      </c>
      <c r="B1444" s="8" t="s">
        <v>12</v>
      </c>
      <c r="C1444" t="s">
        <v>2</v>
      </c>
    </row>
    <row r="1445" spans="1:3" x14ac:dyDescent="0.3">
      <c r="A1445" s="8" t="s">
        <v>1455</v>
      </c>
      <c r="B1445" s="8" t="s">
        <v>12</v>
      </c>
      <c r="C1445" t="s">
        <v>2</v>
      </c>
    </row>
    <row r="1446" spans="1:3" x14ac:dyDescent="0.3">
      <c r="A1446" s="8" t="s">
        <v>1456</v>
      </c>
      <c r="B1446" s="8" t="s">
        <v>12</v>
      </c>
      <c r="C1446" t="s">
        <v>2</v>
      </c>
    </row>
    <row r="1447" spans="1:3" x14ac:dyDescent="0.3">
      <c r="A1447" s="8" t="s">
        <v>1457</v>
      </c>
      <c r="B1447" s="8" t="s">
        <v>12</v>
      </c>
      <c r="C1447" t="s">
        <v>2</v>
      </c>
    </row>
    <row r="1448" spans="1:3" x14ac:dyDescent="0.3">
      <c r="A1448" s="8" t="s">
        <v>1458</v>
      </c>
      <c r="B1448" s="8" t="s">
        <v>12</v>
      </c>
      <c r="C1448" t="s">
        <v>2</v>
      </c>
    </row>
    <row r="1449" spans="1:3" x14ac:dyDescent="0.3">
      <c r="A1449" s="8" t="s">
        <v>1459</v>
      </c>
      <c r="B1449" s="8" t="s">
        <v>12</v>
      </c>
      <c r="C1449" t="s">
        <v>2</v>
      </c>
    </row>
    <row r="1450" spans="1:3" x14ac:dyDescent="0.3">
      <c r="A1450" s="8" t="s">
        <v>1460</v>
      </c>
      <c r="B1450" s="8" t="s">
        <v>12</v>
      </c>
      <c r="C1450" t="s">
        <v>2</v>
      </c>
    </row>
    <row r="1451" spans="1:3" x14ac:dyDescent="0.3">
      <c r="A1451" s="8" t="s">
        <v>1461</v>
      </c>
      <c r="B1451" s="8" t="s">
        <v>12</v>
      </c>
      <c r="C1451" t="s">
        <v>2</v>
      </c>
    </row>
    <row r="1452" spans="1:3" x14ac:dyDescent="0.3">
      <c r="A1452" s="8" t="s">
        <v>1462</v>
      </c>
      <c r="B1452" s="8" t="s">
        <v>12</v>
      </c>
      <c r="C1452" t="s">
        <v>2</v>
      </c>
    </row>
    <row r="1453" spans="1:3" x14ac:dyDescent="0.3">
      <c r="A1453" s="8" t="s">
        <v>1463</v>
      </c>
      <c r="B1453" s="8" t="s">
        <v>12</v>
      </c>
      <c r="C1453" t="s">
        <v>2</v>
      </c>
    </row>
    <row r="1454" spans="1:3" x14ac:dyDescent="0.3">
      <c r="A1454" s="8" t="s">
        <v>1464</v>
      </c>
      <c r="B1454" s="8" t="s">
        <v>12</v>
      </c>
      <c r="C1454" t="s">
        <v>2</v>
      </c>
    </row>
    <row r="1455" spans="1:3" x14ac:dyDescent="0.3">
      <c r="A1455" s="8" t="s">
        <v>1465</v>
      </c>
      <c r="B1455" s="8" t="s">
        <v>12</v>
      </c>
      <c r="C1455" t="s">
        <v>3</v>
      </c>
    </row>
    <row r="1456" spans="1:3" x14ac:dyDescent="0.3">
      <c r="A1456" s="8" t="s">
        <v>1466</v>
      </c>
      <c r="B1456" s="8" t="s">
        <v>12</v>
      </c>
      <c r="C1456" t="s">
        <v>3</v>
      </c>
    </row>
    <row r="1457" spans="1:3" x14ac:dyDescent="0.3">
      <c r="A1457" s="8" t="s">
        <v>1467</v>
      </c>
      <c r="B1457" s="8" t="s">
        <v>12</v>
      </c>
      <c r="C1457" t="s">
        <v>3</v>
      </c>
    </row>
    <row r="1458" spans="1:3" x14ac:dyDescent="0.3">
      <c r="A1458" s="8" t="s">
        <v>1468</v>
      </c>
      <c r="B1458" s="8" t="s">
        <v>12</v>
      </c>
      <c r="C1458" t="s">
        <v>3</v>
      </c>
    </row>
    <row r="1459" spans="1:3" x14ac:dyDescent="0.3">
      <c r="A1459" s="8" t="s">
        <v>1469</v>
      </c>
      <c r="B1459" s="8" t="s">
        <v>12</v>
      </c>
      <c r="C1459" t="s">
        <v>3</v>
      </c>
    </row>
    <row r="1460" spans="1:3" x14ac:dyDescent="0.3">
      <c r="A1460" s="8" t="s">
        <v>1470</v>
      </c>
      <c r="B1460" s="8" t="s">
        <v>12</v>
      </c>
      <c r="C1460" t="s">
        <v>3</v>
      </c>
    </row>
    <row r="1461" spans="1:3" x14ac:dyDescent="0.3">
      <c r="A1461" s="8" t="s">
        <v>1471</v>
      </c>
      <c r="B1461" s="8" t="s">
        <v>12</v>
      </c>
      <c r="C1461" t="s">
        <v>3</v>
      </c>
    </row>
    <row r="1462" spans="1:3" x14ac:dyDescent="0.3">
      <c r="A1462" s="8" t="s">
        <v>1472</v>
      </c>
      <c r="B1462" s="8" t="s">
        <v>12</v>
      </c>
      <c r="C1462" t="s">
        <v>3</v>
      </c>
    </row>
    <row r="1463" spans="1:3" x14ac:dyDescent="0.3">
      <c r="A1463" s="8" t="s">
        <v>1473</v>
      </c>
      <c r="B1463" s="8" t="s">
        <v>12</v>
      </c>
      <c r="C1463" t="s">
        <v>2</v>
      </c>
    </row>
    <row r="1464" spans="1:3" x14ac:dyDescent="0.3">
      <c r="A1464" s="8" t="s">
        <v>1474</v>
      </c>
      <c r="B1464" s="8" t="s">
        <v>12</v>
      </c>
      <c r="C1464" t="s">
        <v>2</v>
      </c>
    </row>
    <row r="1465" spans="1:3" x14ac:dyDescent="0.3">
      <c r="A1465" s="8" t="s">
        <v>1475</v>
      </c>
      <c r="B1465" s="8" t="s">
        <v>12</v>
      </c>
      <c r="C1465" t="s">
        <v>2</v>
      </c>
    </row>
    <row r="1466" spans="1:3" x14ac:dyDescent="0.3">
      <c r="A1466" s="8" t="s">
        <v>1476</v>
      </c>
      <c r="B1466" s="8" t="s">
        <v>12</v>
      </c>
      <c r="C1466" t="s">
        <v>2</v>
      </c>
    </row>
    <row r="1467" spans="1:3" x14ac:dyDescent="0.3">
      <c r="A1467" s="8" t="s">
        <v>1477</v>
      </c>
      <c r="B1467" s="8" t="s">
        <v>12</v>
      </c>
      <c r="C1467" t="s">
        <v>2</v>
      </c>
    </row>
    <row r="1468" spans="1:3" x14ac:dyDescent="0.3">
      <c r="A1468" s="8" t="s">
        <v>1478</v>
      </c>
      <c r="B1468" s="8" t="s">
        <v>12</v>
      </c>
      <c r="C1468" t="s">
        <v>2</v>
      </c>
    </row>
    <row r="1469" spans="1:3" x14ac:dyDescent="0.3">
      <c r="A1469" s="8" t="s">
        <v>1479</v>
      </c>
      <c r="B1469" s="8" t="s">
        <v>12</v>
      </c>
      <c r="C1469" t="s">
        <v>2</v>
      </c>
    </row>
    <row r="1470" spans="1:3" x14ac:dyDescent="0.3">
      <c r="A1470" s="8" t="s">
        <v>1480</v>
      </c>
      <c r="B1470" s="8" t="s">
        <v>12</v>
      </c>
      <c r="C1470" t="s">
        <v>2</v>
      </c>
    </row>
    <row r="1471" spans="1:3" x14ac:dyDescent="0.3">
      <c r="A1471" s="8" t="s">
        <v>1481</v>
      </c>
      <c r="B1471" s="8" t="s">
        <v>12</v>
      </c>
      <c r="C1471" t="s">
        <v>2</v>
      </c>
    </row>
    <row r="1472" spans="1:3" x14ac:dyDescent="0.3">
      <c r="A1472" s="8" t="s">
        <v>1482</v>
      </c>
      <c r="B1472" s="8" t="s">
        <v>12</v>
      </c>
      <c r="C1472" t="s">
        <v>2</v>
      </c>
    </row>
    <row r="1473" spans="1:3" x14ac:dyDescent="0.3">
      <c r="A1473" s="8" t="s">
        <v>1483</v>
      </c>
      <c r="B1473" s="8" t="s">
        <v>12</v>
      </c>
      <c r="C1473" t="s">
        <v>2</v>
      </c>
    </row>
    <row r="1474" spans="1:3" x14ac:dyDescent="0.3">
      <c r="A1474" s="8" t="s">
        <v>1484</v>
      </c>
      <c r="B1474" s="8" t="s">
        <v>12</v>
      </c>
      <c r="C1474" t="s">
        <v>2</v>
      </c>
    </row>
    <row r="1475" spans="1:3" x14ac:dyDescent="0.3">
      <c r="A1475" s="8" t="s">
        <v>1485</v>
      </c>
      <c r="B1475" s="8" t="s">
        <v>12</v>
      </c>
      <c r="C1475" t="s">
        <v>2</v>
      </c>
    </row>
    <row r="1476" spans="1:3" x14ac:dyDescent="0.3">
      <c r="A1476" s="8" t="s">
        <v>1486</v>
      </c>
      <c r="B1476" s="8" t="s">
        <v>12</v>
      </c>
      <c r="C1476" t="s">
        <v>2</v>
      </c>
    </row>
    <row r="1477" spans="1:3" x14ac:dyDescent="0.3">
      <c r="A1477" s="8" t="s">
        <v>1487</v>
      </c>
      <c r="B1477" s="8" t="s">
        <v>12</v>
      </c>
      <c r="C1477" t="s">
        <v>2</v>
      </c>
    </row>
    <row r="1478" spans="1:3" x14ac:dyDescent="0.3">
      <c r="A1478" s="8" t="s">
        <v>1488</v>
      </c>
      <c r="B1478" s="8" t="s">
        <v>12</v>
      </c>
      <c r="C1478" t="s">
        <v>2</v>
      </c>
    </row>
    <row r="1479" spans="1:3" x14ac:dyDescent="0.3">
      <c r="A1479" s="8" t="s">
        <v>1489</v>
      </c>
      <c r="B1479" s="8" t="s">
        <v>12</v>
      </c>
      <c r="C1479" t="s">
        <v>2</v>
      </c>
    </row>
    <row r="1480" spans="1:3" x14ac:dyDescent="0.3">
      <c r="A1480" s="8" t="s">
        <v>1490</v>
      </c>
      <c r="B1480" s="8" t="s">
        <v>12</v>
      </c>
      <c r="C1480" t="s">
        <v>2</v>
      </c>
    </row>
    <row r="1481" spans="1:3" x14ac:dyDescent="0.3">
      <c r="A1481" s="8" t="s">
        <v>1491</v>
      </c>
      <c r="B1481" s="8" t="s">
        <v>12</v>
      </c>
      <c r="C1481" t="s">
        <v>2</v>
      </c>
    </row>
    <row r="1482" spans="1:3" x14ac:dyDescent="0.3">
      <c r="A1482" s="8" t="s">
        <v>1492</v>
      </c>
      <c r="B1482" s="8" t="s">
        <v>12</v>
      </c>
      <c r="C1482" t="s">
        <v>2</v>
      </c>
    </row>
    <row r="1483" spans="1:3" x14ac:dyDescent="0.3">
      <c r="A1483" s="8" t="s">
        <v>1493</v>
      </c>
      <c r="B1483" s="8" t="s">
        <v>12</v>
      </c>
      <c r="C1483" t="s">
        <v>2</v>
      </c>
    </row>
    <row r="1484" spans="1:3" x14ac:dyDescent="0.3">
      <c r="A1484" s="8" t="s">
        <v>1494</v>
      </c>
      <c r="B1484" s="8" t="s">
        <v>12</v>
      </c>
      <c r="C1484" t="s">
        <v>2</v>
      </c>
    </row>
    <row r="1485" spans="1:3" x14ac:dyDescent="0.3">
      <c r="A1485" s="8" t="s">
        <v>1495</v>
      </c>
      <c r="B1485" s="8" t="s">
        <v>12</v>
      </c>
      <c r="C1485" t="s">
        <v>2</v>
      </c>
    </row>
    <row r="1486" spans="1:3" x14ac:dyDescent="0.3">
      <c r="A1486" s="8" t="s">
        <v>1496</v>
      </c>
      <c r="B1486" s="8" t="s">
        <v>12</v>
      </c>
      <c r="C1486" t="s">
        <v>2</v>
      </c>
    </row>
    <row r="1487" spans="1:3" x14ac:dyDescent="0.3">
      <c r="A1487" s="8" t="s">
        <v>1497</v>
      </c>
      <c r="B1487" s="8" t="s">
        <v>12</v>
      </c>
      <c r="C1487" t="s">
        <v>2</v>
      </c>
    </row>
    <row r="1488" spans="1:3" x14ac:dyDescent="0.3">
      <c r="A1488" s="8" t="s">
        <v>1498</v>
      </c>
      <c r="B1488" s="8" t="s">
        <v>12</v>
      </c>
      <c r="C1488" t="s">
        <v>2</v>
      </c>
    </row>
    <row r="1489" spans="1:3" x14ac:dyDescent="0.3">
      <c r="A1489" s="8" t="s">
        <v>1499</v>
      </c>
      <c r="B1489" s="8" t="s">
        <v>12</v>
      </c>
      <c r="C1489" t="s">
        <v>2</v>
      </c>
    </row>
    <row r="1490" spans="1:3" x14ac:dyDescent="0.3">
      <c r="A1490" s="8" t="s">
        <v>1500</v>
      </c>
      <c r="B1490" s="8" t="s">
        <v>12</v>
      </c>
      <c r="C1490" t="s">
        <v>2</v>
      </c>
    </row>
    <row r="1491" spans="1:3" x14ac:dyDescent="0.3">
      <c r="A1491" s="8" t="s">
        <v>1501</v>
      </c>
      <c r="B1491" s="8" t="s">
        <v>12</v>
      </c>
      <c r="C1491" t="s">
        <v>2</v>
      </c>
    </row>
    <row r="1492" spans="1:3" x14ac:dyDescent="0.3">
      <c r="A1492" s="8" t="s">
        <v>1502</v>
      </c>
      <c r="B1492" s="8" t="s">
        <v>12</v>
      </c>
      <c r="C1492" t="s">
        <v>2</v>
      </c>
    </row>
    <row r="1493" spans="1:3" x14ac:dyDescent="0.3">
      <c r="A1493" s="8" t="s">
        <v>1503</v>
      </c>
      <c r="B1493" s="8" t="s">
        <v>12</v>
      </c>
      <c r="C1493" t="s">
        <v>2</v>
      </c>
    </row>
    <row r="1494" spans="1:3" x14ac:dyDescent="0.3">
      <c r="A1494" s="8" t="s">
        <v>1504</v>
      </c>
      <c r="B1494" s="8" t="s">
        <v>12</v>
      </c>
      <c r="C1494" t="s">
        <v>2</v>
      </c>
    </row>
    <row r="1495" spans="1:3" x14ac:dyDescent="0.3">
      <c r="A1495" s="8" t="s">
        <v>1505</v>
      </c>
      <c r="B1495" s="8" t="s">
        <v>12</v>
      </c>
      <c r="C1495" t="s">
        <v>2</v>
      </c>
    </row>
    <row r="1496" spans="1:3" x14ac:dyDescent="0.3">
      <c r="A1496" s="8" t="s">
        <v>1506</v>
      </c>
      <c r="B1496" s="8" t="s">
        <v>12</v>
      </c>
      <c r="C1496" t="s">
        <v>2</v>
      </c>
    </row>
    <row r="1497" spans="1:3" x14ac:dyDescent="0.3">
      <c r="A1497" s="8" t="s">
        <v>1507</v>
      </c>
      <c r="B1497" s="8" t="s">
        <v>12</v>
      </c>
      <c r="C1497" t="s">
        <v>2</v>
      </c>
    </row>
    <row r="1498" spans="1:3" x14ac:dyDescent="0.3">
      <c r="A1498" s="8" t="s">
        <v>1508</v>
      </c>
      <c r="B1498" s="8" t="s">
        <v>12</v>
      </c>
      <c r="C1498" t="s">
        <v>2</v>
      </c>
    </row>
    <row r="1499" spans="1:3" x14ac:dyDescent="0.3">
      <c r="A1499" s="8" t="s">
        <v>1509</v>
      </c>
      <c r="B1499" s="8" t="s">
        <v>12</v>
      </c>
      <c r="C1499" t="s">
        <v>2</v>
      </c>
    </row>
    <row r="1500" spans="1:3" x14ac:dyDescent="0.3">
      <c r="A1500" s="8" t="s">
        <v>1510</v>
      </c>
      <c r="B1500" s="8" t="s">
        <v>12</v>
      </c>
      <c r="C1500" t="s">
        <v>2</v>
      </c>
    </row>
    <row r="1501" spans="1:3" x14ac:dyDescent="0.3">
      <c r="A1501" s="8" t="s">
        <v>1511</v>
      </c>
      <c r="B1501" s="8" t="s">
        <v>12</v>
      </c>
      <c r="C1501" t="s">
        <v>2</v>
      </c>
    </row>
    <row r="1502" spans="1:3" x14ac:dyDescent="0.3">
      <c r="A1502" s="8" t="s">
        <v>1512</v>
      </c>
      <c r="B1502" s="8" t="s">
        <v>12</v>
      </c>
      <c r="C1502" t="s">
        <v>2</v>
      </c>
    </row>
    <row r="1503" spans="1:3" x14ac:dyDescent="0.3">
      <c r="A1503" s="8" t="s">
        <v>1513</v>
      </c>
      <c r="B1503" s="8" t="s">
        <v>12</v>
      </c>
      <c r="C1503" t="s">
        <v>2</v>
      </c>
    </row>
    <row r="1504" spans="1:3" x14ac:dyDescent="0.3">
      <c r="A1504" s="8" t="s">
        <v>1514</v>
      </c>
      <c r="B1504" s="8" t="s">
        <v>12</v>
      </c>
      <c r="C1504" t="s">
        <v>2</v>
      </c>
    </row>
    <row r="1505" spans="1:3" x14ac:dyDescent="0.3">
      <c r="A1505" s="8" t="s">
        <v>1515</v>
      </c>
      <c r="B1505" s="8" t="s">
        <v>12</v>
      </c>
      <c r="C1505" t="s">
        <v>2</v>
      </c>
    </row>
    <row r="1506" spans="1:3" x14ac:dyDescent="0.3">
      <c r="A1506" s="8" t="s">
        <v>1516</v>
      </c>
      <c r="B1506" s="8" t="s">
        <v>12</v>
      </c>
      <c r="C1506" t="s">
        <v>2</v>
      </c>
    </row>
    <row r="1507" spans="1:3" x14ac:dyDescent="0.3">
      <c r="A1507" s="8" t="s">
        <v>1517</v>
      </c>
      <c r="B1507" s="8" t="s">
        <v>12</v>
      </c>
      <c r="C1507" t="s">
        <v>2</v>
      </c>
    </row>
    <row r="1508" spans="1:3" x14ac:dyDescent="0.3">
      <c r="A1508" s="8" t="s">
        <v>1518</v>
      </c>
      <c r="B1508" s="8" t="s">
        <v>12</v>
      </c>
      <c r="C1508" t="s">
        <v>3</v>
      </c>
    </row>
    <row r="1509" spans="1:3" x14ac:dyDescent="0.3">
      <c r="A1509" s="8" t="s">
        <v>1519</v>
      </c>
      <c r="B1509" s="8" t="s">
        <v>12</v>
      </c>
      <c r="C1509" t="s">
        <v>3</v>
      </c>
    </row>
    <row r="1510" spans="1:3" x14ac:dyDescent="0.3">
      <c r="A1510" s="8" t="s">
        <v>1520</v>
      </c>
      <c r="B1510" s="8" t="s">
        <v>12</v>
      </c>
      <c r="C1510" t="s">
        <v>3</v>
      </c>
    </row>
    <row r="1511" spans="1:3" x14ac:dyDescent="0.3">
      <c r="A1511" s="8" t="s">
        <v>1521</v>
      </c>
      <c r="B1511" s="8" t="s">
        <v>12</v>
      </c>
      <c r="C1511" t="s">
        <v>3</v>
      </c>
    </row>
    <row r="1512" spans="1:3" x14ac:dyDescent="0.3">
      <c r="A1512" s="8" t="s">
        <v>1522</v>
      </c>
      <c r="B1512" s="8" t="s">
        <v>12</v>
      </c>
      <c r="C1512" t="s">
        <v>3</v>
      </c>
    </row>
    <row r="1513" spans="1:3" x14ac:dyDescent="0.3">
      <c r="A1513" s="8" t="s">
        <v>1523</v>
      </c>
      <c r="B1513" s="8" t="s">
        <v>12</v>
      </c>
      <c r="C1513" t="s">
        <v>3</v>
      </c>
    </row>
    <row r="1514" spans="1:3" x14ac:dyDescent="0.3">
      <c r="A1514" s="8" t="s">
        <v>1524</v>
      </c>
      <c r="B1514" s="8" t="s">
        <v>12</v>
      </c>
      <c r="C1514" t="s">
        <v>3</v>
      </c>
    </row>
    <row r="1515" spans="1:3" x14ac:dyDescent="0.3">
      <c r="A1515" s="8" t="s">
        <v>1525</v>
      </c>
      <c r="B1515" s="8" t="s">
        <v>12</v>
      </c>
      <c r="C1515" t="s">
        <v>3</v>
      </c>
    </row>
    <row r="1516" spans="1:3" x14ac:dyDescent="0.3">
      <c r="A1516" s="8" t="s">
        <v>1526</v>
      </c>
      <c r="B1516" s="8" t="s">
        <v>12</v>
      </c>
      <c r="C1516" t="s">
        <v>3</v>
      </c>
    </row>
    <row r="1517" spans="1:3" x14ac:dyDescent="0.3">
      <c r="A1517" s="8" t="s">
        <v>1527</v>
      </c>
      <c r="B1517" s="8" t="s">
        <v>12</v>
      </c>
      <c r="C1517" t="s">
        <v>3</v>
      </c>
    </row>
    <row r="1518" spans="1:3" x14ac:dyDescent="0.3">
      <c r="A1518" s="8" t="s">
        <v>1528</v>
      </c>
      <c r="B1518" s="8" t="s">
        <v>12</v>
      </c>
      <c r="C1518" t="s">
        <v>3</v>
      </c>
    </row>
    <row r="1519" spans="1:3" x14ac:dyDescent="0.3">
      <c r="A1519" s="8" t="s">
        <v>1529</v>
      </c>
      <c r="B1519" s="8" t="s">
        <v>12</v>
      </c>
      <c r="C1519" t="s">
        <v>3</v>
      </c>
    </row>
    <row r="1520" spans="1:3" x14ac:dyDescent="0.3">
      <c r="A1520" s="8" t="s">
        <v>1530</v>
      </c>
      <c r="B1520" s="8" t="s">
        <v>12</v>
      </c>
      <c r="C1520" t="s">
        <v>3</v>
      </c>
    </row>
    <row r="1521" spans="1:3" x14ac:dyDescent="0.3">
      <c r="A1521" s="8" t="s">
        <v>1531</v>
      </c>
      <c r="B1521" s="8" t="s">
        <v>12</v>
      </c>
      <c r="C1521" t="s">
        <v>3</v>
      </c>
    </row>
    <row r="1522" spans="1:3" x14ac:dyDescent="0.3">
      <c r="A1522" s="8" t="s">
        <v>1532</v>
      </c>
      <c r="B1522" s="8" t="s">
        <v>12</v>
      </c>
      <c r="C1522" t="s">
        <v>3</v>
      </c>
    </row>
    <row r="1523" spans="1:3" x14ac:dyDescent="0.3">
      <c r="A1523" s="8" t="s">
        <v>1533</v>
      </c>
      <c r="B1523" s="8" t="s">
        <v>12</v>
      </c>
      <c r="C1523" t="s">
        <v>2</v>
      </c>
    </row>
    <row r="1524" spans="1:3" x14ac:dyDescent="0.3">
      <c r="A1524" s="8" t="s">
        <v>1534</v>
      </c>
      <c r="B1524" s="8" t="s">
        <v>12</v>
      </c>
      <c r="C1524" t="s">
        <v>3</v>
      </c>
    </row>
    <row r="1525" spans="1:3" x14ac:dyDescent="0.3">
      <c r="A1525" s="8" t="s">
        <v>1535</v>
      </c>
      <c r="B1525" s="8" t="s">
        <v>12</v>
      </c>
      <c r="C1525" t="s">
        <v>3</v>
      </c>
    </row>
    <row r="1526" spans="1:3" x14ac:dyDescent="0.3">
      <c r="A1526" s="8" t="s">
        <v>1536</v>
      </c>
      <c r="B1526" s="8" t="s">
        <v>12</v>
      </c>
      <c r="C1526" t="s">
        <v>3</v>
      </c>
    </row>
    <row r="1527" spans="1:3" x14ac:dyDescent="0.3">
      <c r="A1527" s="8" t="s">
        <v>1537</v>
      </c>
      <c r="B1527" s="8" t="s">
        <v>12</v>
      </c>
      <c r="C1527" t="s">
        <v>3</v>
      </c>
    </row>
    <row r="1528" spans="1:3" x14ac:dyDescent="0.3">
      <c r="A1528" s="8" t="s">
        <v>1538</v>
      </c>
      <c r="B1528" s="8" t="s">
        <v>12</v>
      </c>
      <c r="C1528" t="s">
        <v>3</v>
      </c>
    </row>
    <row r="1529" spans="1:3" x14ac:dyDescent="0.3">
      <c r="A1529" s="8" t="s">
        <v>1539</v>
      </c>
      <c r="B1529" s="8" t="s">
        <v>12</v>
      </c>
      <c r="C1529" t="s">
        <v>3</v>
      </c>
    </row>
    <row r="1530" spans="1:3" x14ac:dyDescent="0.3">
      <c r="A1530" s="8" t="s">
        <v>1540</v>
      </c>
      <c r="B1530" s="8" t="s">
        <v>12</v>
      </c>
      <c r="C1530" t="s">
        <v>3</v>
      </c>
    </row>
    <row r="1531" spans="1:3" x14ac:dyDescent="0.3">
      <c r="A1531" s="8" t="s">
        <v>1541</v>
      </c>
      <c r="B1531" s="8" t="s">
        <v>12</v>
      </c>
      <c r="C1531" t="s">
        <v>3</v>
      </c>
    </row>
    <row r="1532" spans="1:3" x14ac:dyDescent="0.3">
      <c r="A1532" s="8" t="s">
        <v>1542</v>
      </c>
      <c r="B1532" s="8" t="s">
        <v>12</v>
      </c>
    </row>
    <row r="1533" spans="1:3" x14ac:dyDescent="0.3">
      <c r="A1533" s="8" t="s">
        <v>1543</v>
      </c>
      <c r="B1533" s="8" t="s">
        <v>12</v>
      </c>
      <c r="C1533" t="s">
        <v>3</v>
      </c>
    </row>
    <row r="1534" spans="1:3" x14ac:dyDescent="0.3">
      <c r="A1534" s="8" t="s">
        <v>1544</v>
      </c>
      <c r="B1534" s="8" t="s">
        <v>12</v>
      </c>
      <c r="C1534" t="s">
        <v>3</v>
      </c>
    </row>
    <row r="1535" spans="1:3" x14ac:dyDescent="0.3">
      <c r="A1535" s="8" t="s">
        <v>1545</v>
      </c>
      <c r="B1535" s="8" t="s">
        <v>12</v>
      </c>
      <c r="C1535" t="s">
        <v>2</v>
      </c>
    </row>
    <row r="1536" spans="1:3" x14ac:dyDescent="0.3">
      <c r="A1536" s="8" t="s">
        <v>1546</v>
      </c>
      <c r="B1536" s="8" t="s">
        <v>12</v>
      </c>
    </row>
    <row r="1537" spans="1:3" x14ac:dyDescent="0.3">
      <c r="A1537" s="8" t="s">
        <v>1547</v>
      </c>
      <c r="B1537" s="8" t="s">
        <v>12</v>
      </c>
      <c r="C1537" t="s">
        <v>3</v>
      </c>
    </row>
    <row r="1538" spans="1:3" x14ac:dyDescent="0.3">
      <c r="A1538" s="8" t="s">
        <v>1548</v>
      </c>
      <c r="B1538" s="8" t="s">
        <v>12</v>
      </c>
    </row>
    <row r="1539" spans="1:3" x14ac:dyDescent="0.3">
      <c r="A1539" s="8" t="s">
        <v>1549</v>
      </c>
      <c r="B1539" s="8" t="s">
        <v>12</v>
      </c>
    </row>
    <row r="1540" spans="1:3" x14ac:dyDescent="0.3">
      <c r="A1540" s="8" t="s">
        <v>1550</v>
      </c>
      <c r="B1540" s="8" t="s">
        <v>12</v>
      </c>
      <c r="C1540" t="s">
        <v>2</v>
      </c>
    </row>
    <row r="1541" spans="1:3" x14ac:dyDescent="0.3">
      <c r="A1541" s="8" t="s">
        <v>1551</v>
      </c>
      <c r="B1541" s="8" t="s">
        <v>12</v>
      </c>
      <c r="C1541" t="s">
        <v>2</v>
      </c>
    </row>
    <row r="1542" spans="1:3" x14ac:dyDescent="0.3">
      <c r="A1542" s="8" t="s">
        <v>1552</v>
      </c>
      <c r="B1542" s="8" t="s">
        <v>12</v>
      </c>
      <c r="C1542" t="s">
        <v>2</v>
      </c>
    </row>
    <row r="1543" spans="1:3" x14ac:dyDescent="0.3">
      <c r="A1543" s="8" t="s">
        <v>1553</v>
      </c>
      <c r="B1543" s="8" t="s">
        <v>12</v>
      </c>
      <c r="C1543" t="s">
        <v>2</v>
      </c>
    </row>
    <row r="1544" spans="1:3" x14ac:dyDescent="0.3">
      <c r="A1544" s="8" t="s">
        <v>1554</v>
      </c>
      <c r="B1544" s="8" t="s">
        <v>12</v>
      </c>
      <c r="C1544" t="s">
        <v>2</v>
      </c>
    </row>
    <row r="1545" spans="1:3" x14ac:dyDescent="0.3">
      <c r="A1545" s="8" t="s">
        <v>1555</v>
      </c>
      <c r="B1545" s="8" t="s">
        <v>12</v>
      </c>
      <c r="C1545" t="s">
        <v>2</v>
      </c>
    </row>
    <row r="1546" spans="1:3" x14ac:dyDescent="0.3">
      <c r="A1546" s="8" t="s">
        <v>1556</v>
      </c>
      <c r="B1546" s="8" t="s">
        <v>12</v>
      </c>
      <c r="C1546" t="s">
        <v>2</v>
      </c>
    </row>
    <row r="1547" spans="1:3" x14ac:dyDescent="0.3">
      <c r="A1547" s="8" t="s">
        <v>1557</v>
      </c>
      <c r="B1547" s="8" t="s">
        <v>12</v>
      </c>
      <c r="C1547" t="s">
        <v>2</v>
      </c>
    </row>
    <row r="1548" spans="1:3" x14ac:dyDescent="0.3">
      <c r="A1548" s="8" t="s">
        <v>1558</v>
      </c>
      <c r="B1548" s="8" t="s">
        <v>12</v>
      </c>
      <c r="C1548" t="s">
        <v>3678</v>
      </c>
    </row>
    <row r="1549" spans="1:3" x14ac:dyDescent="0.3">
      <c r="A1549" s="8" t="s">
        <v>1559</v>
      </c>
      <c r="B1549" s="8" t="s">
        <v>12</v>
      </c>
      <c r="C1549" t="s">
        <v>2</v>
      </c>
    </row>
    <row r="1550" spans="1:3" x14ac:dyDescent="0.3">
      <c r="A1550" s="8" t="s">
        <v>1560</v>
      </c>
      <c r="B1550" s="8" t="s">
        <v>12</v>
      </c>
      <c r="C1550" t="s">
        <v>2</v>
      </c>
    </row>
    <row r="1551" spans="1:3" x14ac:dyDescent="0.3">
      <c r="A1551" s="8" t="s">
        <v>1561</v>
      </c>
      <c r="B1551" s="8" t="s">
        <v>12</v>
      </c>
      <c r="C1551" t="s">
        <v>2</v>
      </c>
    </row>
    <row r="1552" spans="1:3" x14ac:dyDescent="0.3">
      <c r="A1552" s="8" t="s">
        <v>1562</v>
      </c>
      <c r="B1552" s="8" t="s">
        <v>12</v>
      </c>
      <c r="C1552" t="s">
        <v>2</v>
      </c>
    </row>
    <row r="1553" spans="1:3" x14ac:dyDescent="0.3">
      <c r="A1553" s="8" t="s">
        <v>1563</v>
      </c>
      <c r="B1553" s="8" t="s">
        <v>12</v>
      </c>
      <c r="C1553" t="s">
        <v>2</v>
      </c>
    </row>
    <row r="1554" spans="1:3" x14ac:dyDescent="0.3">
      <c r="A1554" s="8" t="s">
        <v>1564</v>
      </c>
      <c r="B1554" s="8" t="s">
        <v>12</v>
      </c>
      <c r="C1554" t="s">
        <v>2</v>
      </c>
    </row>
    <row r="1555" spans="1:3" x14ac:dyDescent="0.3">
      <c r="A1555" s="8" t="s">
        <v>1565</v>
      </c>
      <c r="B1555" s="8" t="s">
        <v>12</v>
      </c>
      <c r="C1555" t="s">
        <v>2</v>
      </c>
    </row>
    <row r="1556" spans="1:3" x14ac:dyDescent="0.3">
      <c r="A1556" s="8" t="s">
        <v>1566</v>
      </c>
      <c r="B1556" s="8" t="s">
        <v>12</v>
      </c>
      <c r="C1556" t="s">
        <v>2</v>
      </c>
    </row>
    <row r="1557" spans="1:3" x14ac:dyDescent="0.3">
      <c r="A1557" s="8" t="s">
        <v>1567</v>
      </c>
      <c r="B1557" s="8" t="s">
        <v>12</v>
      </c>
      <c r="C1557" t="s">
        <v>2</v>
      </c>
    </row>
    <row r="1558" spans="1:3" x14ac:dyDescent="0.3">
      <c r="A1558" s="8" t="s">
        <v>1568</v>
      </c>
      <c r="B1558" s="8" t="s">
        <v>12</v>
      </c>
      <c r="C1558" t="s">
        <v>2</v>
      </c>
    </row>
    <row r="1559" spans="1:3" x14ac:dyDescent="0.3">
      <c r="A1559" s="8" t="s">
        <v>1569</v>
      </c>
      <c r="B1559" s="8" t="s">
        <v>12</v>
      </c>
      <c r="C1559" t="s">
        <v>2</v>
      </c>
    </row>
    <row r="1560" spans="1:3" x14ac:dyDescent="0.3">
      <c r="A1560" s="8" t="s">
        <v>1570</v>
      </c>
      <c r="B1560" s="8" t="s">
        <v>12</v>
      </c>
      <c r="C1560" t="s">
        <v>2</v>
      </c>
    </row>
    <row r="1561" spans="1:3" x14ac:dyDescent="0.3">
      <c r="A1561" s="8" t="s">
        <v>1571</v>
      </c>
      <c r="B1561" s="8" t="s">
        <v>12</v>
      </c>
      <c r="C1561" t="s">
        <v>2</v>
      </c>
    </row>
    <row r="1562" spans="1:3" x14ac:dyDescent="0.3">
      <c r="A1562" s="8" t="s">
        <v>1572</v>
      </c>
      <c r="B1562" s="8" t="s">
        <v>12</v>
      </c>
      <c r="C1562" t="s">
        <v>2</v>
      </c>
    </row>
    <row r="1563" spans="1:3" x14ac:dyDescent="0.3">
      <c r="A1563" s="8" t="s">
        <v>1573</v>
      </c>
      <c r="B1563" s="8" t="s">
        <v>12</v>
      </c>
      <c r="C1563" t="s">
        <v>2</v>
      </c>
    </row>
    <row r="1564" spans="1:3" x14ac:dyDescent="0.3">
      <c r="A1564" s="8" t="s">
        <v>1574</v>
      </c>
      <c r="B1564" s="8" t="s">
        <v>12</v>
      </c>
      <c r="C1564" t="s">
        <v>2</v>
      </c>
    </row>
    <row r="1565" spans="1:3" x14ac:dyDescent="0.3">
      <c r="A1565" s="8" t="s">
        <v>1575</v>
      </c>
      <c r="B1565" s="8" t="s">
        <v>12</v>
      </c>
      <c r="C1565" t="s">
        <v>2</v>
      </c>
    </row>
    <row r="1566" spans="1:3" x14ac:dyDescent="0.3">
      <c r="A1566" s="8" t="s">
        <v>1576</v>
      </c>
      <c r="B1566" s="8" t="s">
        <v>12</v>
      </c>
      <c r="C1566" t="s">
        <v>2</v>
      </c>
    </row>
    <row r="1567" spans="1:3" x14ac:dyDescent="0.3">
      <c r="A1567" s="8" t="s">
        <v>1577</v>
      </c>
      <c r="B1567" s="8" t="s">
        <v>12</v>
      </c>
      <c r="C1567" t="s">
        <v>2</v>
      </c>
    </row>
    <row r="1568" spans="1:3" x14ac:dyDescent="0.3">
      <c r="A1568" s="8" t="s">
        <v>1578</v>
      </c>
      <c r="B1568" s="8" t="s">
        <v>12</v>
      </c>
      <c r="C1568" t="s">
        <v>2</v>
      </c>
    </row>
    <row r="1569" spans="1:3" x14ac:dyDescent="0.3">
      <c r="A1569" s="8" t="s">
        <v>1579</v>
      </c>
      <c r="B1569" s="8" t="s">
        <v>12</v>
      </c>
      <c r="C1569" t="s">
        <v>2</v>
      </c>
    </row>
    <row r="1570" spans="1:3" x14ac:dyDescent="0.3">
      <c r="A1570" s="8" t="s">
        <v>1580</v>
      </c>
      <c r="B1570" s="8" t="s">
        <v>12</v>
      </c>
      <c r="C1570" t="s">
        <v>2</v>
      </c>
    </row>
    <row r="1571" spans="1:3" x14ac:dyDescent="0.3">
      <c r="A1571" s="8" t="s">
        <v>1581</v>
      </c>
      <c r="B1571" s="8" t="s">
        <v>12</v>
      </c>
      <c r="C1571" t="s">
        <v>2</v>
      </c>
    </row>
    <row r="1572" spans="1:3" x14ac:dyDescent="0.3">
      <c r="A1572" s="8" t="s">
        <v>1582</v>
      </c>
      <c r="B1572" s="8" t="s">
        <v>12</v>
      </c>
      <c r="C1572" t="s">
        <v>2</v>
      </c>
    </row>
    <row r="1573" spans="1:3" x14ac:dyDescent="0.3">
      <c r="A1573" s="8" t="s">
        <v>1583</v>
      </c>
      <c r="B1573" s="8" t="s">
        <v>12</v>
      </c>
      <c r="C1573" t="s">
        <v>2</v>
      </c>
    </row>
    <row r="1574" spans="1:3" x14ac:dyDescent="0.3">
      <c r="A1574" s="8" t="s">
        <v>1584</v>
      </c>
      <c r="B1574" s="8" t="s">
        <v>12</v>
      </c>
      <c r="C1574" t="s">
        <v>2</v>
      </c>
    </row>
    <row r="1575" spans="1:3" x14ac:dyDescent="0.3">
      <c r="A1575" s="8" t="s">
        <v>1585</v>
      </c>
      <c r="B1575" s="8" t="s">
        <v>12</v>
      </c>
      <c r="C1575" t="s">
        <v>2</v>
      </c>
    </row>
    <row r="1576" spans="1:3" x14ac:dyDescent="0.3">
      <c r="A1576" s="8" t="s">
        <v>1586</v>
      </c>
      <c r="B1576" s="8" t="s">
        <v>12</v>
      </c>
      <c r="C1576" t="s">
        <v>2</v>
      </c>
    </row>
    <row r="1577" spans="1:3" x14ac:dyDescent="0.3">
      <c r="A1577" s="8" t="s">
        <v>1587</v>
      </c>
      <c r="B1577" s="8" t="s">
        <v>12</v>
      </c>
      <c r="C1577" t="s">
        <v>2</v>
      </c>
    </row>
    <row r="1578" spans="1:3" x14ac:dyDescent="0.3">
      <c r="A1578" s="8" t="s">
        <v>1588</v>
      </c>
      <c r="B1578" s="8" t="s">
        <v>12</v>
      </c>
      <c r="C1578" t="s">
        <v>2</v>
      </c>
    </row>
    <row r="1579" spans="1:3" x14ac:dyDescent="0.3">
      <c r="A1579" s="8" t="s">
        <v>1589</v>
      </c>
      <c r="B1579" s="8" t="s">
        <v>12</v>
      </c>
      <c r="C1579" t="s">
        <v>2</v>
      </c>
    </row>
    <row r="1580" spans="1:3" x14ac:dyDescent="0.3">
      <c r="A1580" s="8" t="s">
        <v>1590</v>
      </c>
      <c r="B1580" s="8" t="s">
        <v>12</v>
      </c>
      <c r="C1580" t="s">
        <v>2</v>
      </c>
    </row>
    <row r="1581" spans="1:3" x14ac:dyDescent="0.3">
      <c r="A1581" s="8" t="s">
        <v>1591</v>
      </c>
      <c r="B1581" s="8" t="s">
        <v>12</v>
      </c>
      <c r="C1581" t="s">
        <v>2</v>
      </c>
    </row>
    <row r="1582" spans="1:3" x14ac:dyDescent="0.3">
      <c r="A1582" s="8" t="s">
        <v>1592</v>
      </c>
      <c r="B1582" s="8" t="s">
        <v>12</v>
      </c>
      <c r="C1582" t="s">
        <v>2</v>
      </c>
    </row>
    <row r="1583" spans="1:3" x14ac:dyDescent="0.3">
      <c r="A1583" s="8" t="s">
        <v>1593</v>
      </c>
      <c r="B1583" s="8" t="s">
        <v>12</v>
      </c>
      <c r="C1583" t="s">
        <v>2</v>
      </c>
    </row>
    <row r="1584" spans="1:3" x14ac:dyDescent="0.3">
      <c r="A1584" s="8" t="s">
        <v>1594</v>
      </c>
      <c r="B1584" s="8" t="s">
        <v>12</v>
      </c>
      <c r="C1584" t="s">
        <v>2</v>
      </c>
    </row>
    <row r="1585" spans="1:3" x14ac:dyDescent="0.3">
      <c r="A1585" s="8" t="s">
        <v>1595</v>
      </c>
      <c r="B1585" s="8" t="s">
        <v>12</v>
      </c>
      <c r="C1585" t="s">
        <v>2</v>
      </c>
    </row>
    <row r="1586" spans="1:3" x14ac:dyDescent="0.3">
      <c r="A1586" s="8" t="s">
        <v>1596</v>
      </c>
      <c r="B1586" s="8" t="s">
        <v>12</v>
      </c>
      <c r="C1586" t="s">
        <v>2</v>
      </c>
    </row>
    <row r="1587" spans="1:3" x14ac:dyDescent="0.3">
      <c r="A1587" s="8" t="s">
        <v>1597</v>
      </c>
      <c r="B1587" s="8" t="s">
        <v>12</v>
      </c>
      <c r="C1587" t="s">
        <v>2</v>
      </c>
    </row>
    <row r="1588" spans="1:3" x14ac:dyDescent="0.3">
      <c r="A1588" s="8" t="s">
        <v>1598</v>
      </c>
      <c r="B1588" s="8" t="s">
        <v>12</v>
      </c>
      <c r="C1588" t="s">
        <v>2</v>
      </c>
    </row>
    <row r="1589" spans="1:3" x14ac:dyDescent="0.3">
      <c r="A1589" s="8" t="s">
        <v>1599</v>
      </c>
      <c r="B1589" s="8" t="s">
        <v>12</v>
      </c>
      <c r="C1589" t="s">
        <v>2</v>
      </c>
    </row>
    <row r="1590" spans="1:3" x14ac:dyDescent="0.3">
      <c r="A1590" s="8" t="s">
        <v>1600</v>
      </c>
      <c r="B1590" s="8" t="s">
        <v>12</v>
      </c>
      <c r="C1590" t="s">
        <v>2</v>
      </c>
    </row>
    <row r="1591" spans="1:3" x14ac:dyDescent="0.3">
      <c r="A1591" s="8" t="s">
        <v>1601</v>
      </c>
      <c r="B1591" s="8" t="s">
        <v>12</v>
      </c>
      <c r="C1591" t="s">
        <v>2</v>
      </c>
    </row>
    <row r="1592" spans="1:3" x14ac:dyDescent="0.3">
      <c r="A1592" s="8" t="s">
        <v>1602</v>
      </c>
      <c r="B1592" s="8" t="s">
        <v>12</v>
      </c>
      <c r="C1592" t="s">
        <v>2</v>
      </c>
    </row>
    <row r="1593" spans="1:3" x14ac:dyDescent="0.3">
      <c r="A1593" s="8" t="s">
        <v>1603</v>
      </c>
      <c r="B1593" s="8" t="s">
        <v>12</v>
      </c>
      <c r="C1593" t="s">
        <v>2</v>
      </c>
    </row>
    <row r="1594" spans="1:3" x14ac:dyDescent="0.3">
      <c r="A1594" s="8" t="s">
        <v>1604</v>
      </c>
      <c r="B1594" s="8" t="s">
        <v>12</v>
      </c>
      <c r="C1594" t="s">
        <v>2</v>
      </c>
    </row>
    <row r="1595" spans="1:3" x14ac:dyDescent="0.3">
      <c r="A1595" s="8" t="s">
        <v>1605</v>
      </c>
      <c r="B1595" s="8" t="s">
        <v>12</v>
      </c>
      <c r="C1595" t="s">
        <v>2</v>
      </c>
    </row>
    <row r="1596" spans="1:3" x14ac:dyDescent="0.3">
      <c r="A1596" s="8" t="s">
        <v>1606</v>
      </c>
      <c r="B1596" s="8" t="s">
        <v>12</v>
      </c>
      <c r="C1596" t="s">
        <v>2</v>
      </c>
    </row>
    <row r="1597" spans="1:3" x14ac:dyDescent="0.3">
      <c r="A1597" s="8" t="s">
        <v>1607</v>
      </c>
      <c r="B1597" s="8" t="s">
        <v>12</v>
      </c>
      <c r="C1597" t="s">
        <v>3</v>
      </c>
    </row>
    <row r="1598" spans="1:3" x14ac:dyDescent="0.3">
      <c r="A1598" s="8" t="s">
        <v>1608</v>
      </c>
      <c r="B1598" s="8" t="s">
        <v>12</v>
      </c>
      <c r="C1598" t="s">
        <v>3</v>
      </c>
    </row>
    <row r="1599" spans="1:3" x14ac:dyDescent="0.3">
      <c r="A1599" s="8" t="s">
        <v>1609</v>
      </c>
      <c r="B1599" s="8" t="s">
        <v>12</v>
      </c>
      <c r="C1599" t="s">
        <v>3</v>
      </c>
    </row>
    <row r="1600" spans="1:3" x14ac:dyDescent="0.3">
      <c r="A1600" s="8" t="s">
        <v>1610</v>
      </c>
      <c r="B1600" s="8" t="s">
        <v>12</v>
      </c>
      <c r="C1600" t="s">
        <v>3</v>
      </c>
    </row>
    <row r="1601" spans="1:3" x14ac:dyDescent="0.3">
      <c r="A1601" s="8" t="s">
        <v>1611</v>
      </c>
      <c r="B1601" s="8" t="s">
        <v>12</v>
      </c>
      <c r="C1601" t="s">
        <v>3</v>
      </c>
    </row>
    <row r="1602" spans="1:3" x14ac:dyDescent="0.3">
      <c r="A1602" s="8" t="s">
        <v>1612</v>
      </c>
      <c r="B1602" s="8" t="s">
        <v>12</v>
      </c>
      <c r="C1602" t="s">
        <v>3</v>
      </c>
    </row>
    <row r="1603" spans="1:3" x14ac:dyDescent="0.3">
      <c r="A1603" s="8" t="s">
        <v>1613</v>
      </c>
      <c r="B1603" s="8" t="s">
        <v>12</v>
      </c>
      <c r="C1603" t="s">
        <v>3</v>
      </c>
    </row>
    <row r="1604" spans="1:3" x14ac:dyDescent="0.3">
      <c r="A1604" s="8" t="s">
        <v>1614</v>
      </c>
      <c r="B1604" s="8" t="s">
        <v>12</v>
      </c>
      <c r="C1604" t="s">
        <v>3</v>
      </c>
    </row>
    <row r="1605" spans="1:3" x14ac:dyDescent="0.3">
      <c r="A1605" s="8" t="s">
        <v>1615</v>
      </c>
      <c r="B1605" s="8" t="s">
        <v>12</v>
      </c>
      <c r="C1605" t="s">
        <v>3</v>
      </c>
    </row>
    <row r="1606" spans="1:3" x14ac:dyDescent="0.3">
      <c r="A1606" s="8" t="s">
        <v>1616</v>
      </c>
      <c r="B1606" s="8" t="s">
        <v>12</v>
      </c>
      <c r="C1606" t="s">
        <v>3</v>
      </c>
    </row>
    <row r="1607" spans="1:3" x14ac:dyDescent="0.3">
      <c r="A1607" s="8" t="s">
        <v>1617</v>
      </c>
      <c r="B1607" s="8" t="s">
        <v>12</v>
      </c>
      <c r="C1607" t="s">
        <v>3</v>
      </c>
    </row>
    <row r="1608" spans="1:3" x14ac:dyDescent="0.3">
      <c r="A1608" s="8" t="s">
        <v>1618</v>
      </c>
      <c r="B1608" s="8" t="s">
        <v>12</v>
      </c>
      <c r="C1608" t="s">
        <v>3</v>
      </c>
    </row>
    <row r="1609" spans="1:3" x14ac:dyDescent="0.3">
      <c r="A1609" s="8" t="s">
        <v>1619</v>
      </c>
      <c r="B1609" s="8" t="s">
        <v>12</v>
      </c>
      <c r="C1609" t="s">
        <v>3</v>
      </c>
    </row>
    <row r="1610" spans="1:3" x14ac:dyDescent="0.3">
      <c r="A1610" s="8" t="s">
        <v>1620</v>
      </c>
      <c r="B1610" s="8" t="s">
        <v>12</v>
      </c>
      <c r="C1610" t="s">
        <v>2</v>
      </c>
    </row>
    <row r="1611" spans="1:3" x14ac:dyDescent="0.3">
      <c r="A1611" s="8" t="s">
        <v>1621</v>
      </c>
      <c r="B1611" s="8" t="s">
        <v>12</v>
      </c>
      <c r="C1611" t="s">
        <v>2</v>
      </c>
    </row>
    <row r="1612" spans="1:3" x14ac:dyDescent="0.3">
      <c r="A1612" s="8" t="s">
        <v>1622</v>
      </c>
      <c r="B1612" s="8" t="s">
        <v>12</v>
      </c>
      <c r="C1612" t="s">
        <v>2</v>
      </c>
    </row>
    <row r="1613" spans="1:3" x14ac:dyDescent="0.3">
      <c r="A1613" s="8" t="s">
        <v>1623</v>
      </c>
      <c r="B1613" s="8" t="s">
        <v>12</v>
      </c>
      <c r="C1613" t="s">
        <v>3678</v>
      </c>
    </row>
    <row r="1614" spans="1:3" x14ac:dyDescent="0.3">
      <c r="A1614" s="8" t="s">
        <v>1624</v>
      </c>
      <c r="B1614" s="8" t="s">
        <v>12</v>
      </c>
      <c r="C1614" t="s">
        <v>3678</v>
      </c>
    </row>
    <row r="1615" spans="1:3" x14ac:dyDescent="0.3">
      <c r="A1615" s="8" t="s">
        <v>1625</v>
      </c>
      <c r="B1615" s="8" t="s">
        <v>12</v>
      </c>
      <c r="C1615" t="s">
        <v>3678</v>
      </c>
    </row>
    <row r="1616" spans="1:3" x14ac:dyDescent="0.3">
      <c r="A1616" s="8" t="s">
        <v>1626</v>
      </c>
      <c r="B1616" s="8" t="s">
        <v>12</v>
      </c>
      <c r="C1616" t="s">
        <v>3678</v>
      </c>
    </row>
    <row r="1617" spans="1:3" x14ac:dyDescent="0.3">
      <c r="A1617" s="8" t="s">
        <v>1627</v>
      </c>
      <c r="B1617" s="8" t="s">
        <v>12</v>
      </c>
      <c r="C1617" t="s">
        <v>3678</v>
      </c>
    </row>
    <row r="1618" spans="1:3" x14ac:dyDescent="0.3">
      <c r="A1618" s="8" t="s">
        <v>1628</v>
      </c>
      <c r="B1618" s="8" t="s">
        <v>12</v>
      </c>
      <c r="C1618" t="s">
        <v>3678</v>
      </c>
    </row>
    <row r="1619" spans="1:3" x14ac:dyDescent="0.3">
      <c r="A1619" s="8" t="s">
        <v>1629</v>
      </c>
      <c r="B1619" s="8" t="s">
        <v>12</v>
      </c>
      <c r="C1619" t="s">
        <v>3678</v>
      </c>
    </row>
    <row r="1620" spans="1:3" x14ac:dyDescent="0.3">
      <c r="A1620" s="8" t="s">
        <v>1630</v>
      </c>
      <c r="B1620" s="8" t="s">
        <v>12</v>
      </c>
      <c r="C1620" t="s">
        <v>3678</v>
      </c>
    </row>
    <row r="1621" spans="1:3" x14ac:dyDescent="0.3">
      <c r="A1621" s="8" t="s">
        <v>1631</v>
      </c>
      <c r="B1621" s="8" t="s">
        <v>12</v>
      </c>
      <c r="C1621" t="s">
        <v>2</v>
      </c>
    </row>
    <row r="1622" spans="1:3" x14ac:dyDescent="0.3">
      <c r="A1622" s="8" t="s">
        <v>1632</v>
      </c>
      <c r="B1622" s="8" t="s">
        <v>12</v>
      </c>
      <c r="C1622" t="s">
        <v>2</v>
      </c>
    </row>
    <row r="1623" spans="1:3" x14ac:dyDescent="0.3">
      <c r="A1623" s="8" t="s">
        <v>1633</v>
      </c>
      <c r="B1623" s="8" t="s">
        <v>12</v>
      </c>
      <c r="C1623" t="s">
        <v>2</v>
      </c>
    </row>
    <row r="1624" spans="1:3" x14ac:dyDescent="0.3">
      <c r="A1624" s="8" t="s">
        <v>1634</v>
      </c>
      <c r="B1624" s="8" t="s">
        <v>12</v>
      </c>
      <c r="C1624" t="s">
        <v>2</v>
      </c>
    </row>
    <row r="1625" spans="1:3" x14ac:dyDescent="0.3">
      <c r="A1625" s="8" t="s">
        <v>1635</v>
      </c>
      <c r="B1625" s="8" t="s">
        <v>12</v>
      </c>
      <c r="C1625" t="s">
        <v>2</v>
      </c>
    </row>
    <row r="1626" spans="1:3" x14ac:dyDescent="0.3">
      <c r="A1626" s="8" t="s">
        <v>1636</v>
      </c>
      <c r="B1626" s="8" t="s">
        <v>12</v>
      </c>
      <c r="C1626" t="s">
        <v>2</v>
      </c>
    </row>
    <row r="1627" spans="1:3" x14ac:dyDescent="0.3">
      <c r="A1627" s="8" t="s">
        <v>1637</v>
      </c>
      <c r="B1627" s="8" t="s">
        <v>12</v>
      </c>
      <c r="C1627" t="s">
        <v>2</v>
      </c>
    </row>
    <row r="1628" spans="1:3" x14ac:dyDescent="0.3">
      <c r="A1628" s="8" t="s">
        <v>1638</v>
      </c>
      <c r="B1628" s="8" t="s">
        <v>12</v>
      </c>
      <c r="C1628" t="s">
        <v>2</v>
      </c>
    </row>
    <row r="1629" spans="1:3" x14ac:dyDescent="0.3">
      <c r="A1629" s="8" t="s">
        <v>1639</v>
      </c>
      <c r="B1629" s="8" t="s">
        <v>12</v>
      </c>
      <c r="C1629" t="s">
        <v>2</v>
      </c>
    </row>
    <row r="1630" spans="1:3" x14ac:dyDescent="0.3">
      <c r="A1630" s="8" t="s">
        <v>1640</v>
      </c>
      <c r="B1630" s="8" t="s">
        <v>12</v>
      </c>
      <c r="C1630" t="s">
        <v>2</v>
      </c>
    </row>
    <row r="1631" spans="1:3" x14ac:dyDescent="0.3">
      <c r="A1631" s="8" t="s">
        <v>1641</v>
      </c>
      <c r="B1631" s="8" t="s">
        <v>12</v>
      </c>
      <c r="C1631" t="s">
        <v>2</v>
      </c>
    </row>
    <row r="1632" spans="1:3" x14ac:dyDescent="0.3">
      <c r="A1632" s="8" t="s">
        <v>1642</v>
      </c>
      <c r="B1632" s="8" t="s">
        <v>12</v>
      </c>
      <c r="C1632" t="s">
        <v>2</v>
      </c>
    </row>
    <row r="1633" spans="1:3" x14ac:dyDescent="0.3">
      <c r="A1633" s="8" t="s">
        <v>1643</v>
      </c>
      <c r="B1633" s="8" t="s">
        <v>12</v>
      </c>
      <c r="C1633" t="s">
        <v>2</v>
      </c>
    </row>
    <row r="1634" spans="1:3" x14ac:dyDescent="0.3">
      <c r="A1634" s="8" t="s">
        <v>1644</v>
      </c>
      <c r="B1634" s="8" t="s">
        <v>12</v>
      </c>
      <c r="C1634" t="s">
        <v>2</v>
      </c>
    </row>
    <row r="1635" spans="1:3" x14ac:dyDescent="0.3">
      <c r="A1635" s="8" t="s">
        <v>1645</v>
      </c>
      <c r="B1635" s="8" t="s">
        <v>12</v>
      </c>
      <c r="C1635" t="s">
        <v>2</v>
      </c>
    </row>
    <row r="1636" spans="1:3" x14ac:dyDescent="0.3">
      <c r="A1636" s="8" t="s">
        <v>1646</v>
      </c>
      <c r="B1636" s="8" t="s">
        <v>12</v>
      </c>
      <c r="C1636" t="s">
        <v>2</v>
      </c>
    </row>
    <row r="1637" spans="1:3" x14ac:dyDescent="0.3">
      <c r="A1637" s="8" t="s">
        <v>1647</v>
      </c>
      <c r="B1637" s="8" t="s">
        <v>12</v>
      </c>
      <c r="C1637" t="s">
        <v>2</v>
      </c>
    </row>
    <row r="1638" spans="1:3" x14ac:dyDescent="0.3">
      <c r="A1638" s="8" t="s">
        <v>1648</v>
      </c>
      <c r="B1638" s="8" t="s">
        <v>12</v>
      </c>
      <c r="C1638" t="s">
        <v>2</v>
      </c>
    </row>
    <row r="1639" spans="1:3" x14ac:dyDescent="0.3">
      <c r="A1639" s="8" t="s">
        <v>1649</v>
      </c>
      <c r="B1639" s="8" t="s">
        <v>12</v>
      </c>
      <c r="C1639" t="s">
        <v>2</v>
      </c>
    </row>
    <row r="1640" spans="1:3" x14ac:dyDescent="0.3">
      <c r="A1640" s="8" t="s">
        <v>1650</v>
      </c>
      <c r="B1640" s="8" t="s">
        <v>12</v>
      </c>
      <c r="C1640" t="s">
        <v>2</v>
      </c>
    </row>
    <row r="1641" spans="1:3" x14ac:dyDescent="0.3">
      <c r="A1641" s="8" t="s">
        <v>1651</v>
      </c>
      <c r="B1641" s="8" t="s">
        <v>12</v>
      </c>
      <c r="C1641" t="s">
        <v>2</v>
      </c>
    </row>
    <row r="1642" spans="1:3" x14ac:dyDescent="0.3">
      <c r="A1642" s="8" t="s">
        <v>1652</v>
      </c>
      <c r="B1642" s="8" t="s">
        <v>12</v>
      </c>
      <c r="C1642" t="s">
        <v>2</v>
      </c>
    </row>
    <row r="1643" spans="1:3" x14ac:dyDescent="0.3">
      <c r="A1643" s="8" t="s">
        <v>1653</v>
      </c>
      <c r="B1643" s="8" t="s">
        <v>12</v>
      </c>
      <c r="C1643" t="s">
        <v>2</v>
      </c>
    </row>
    <row r="1644" spans="1:3" x14ac:dyDescent="0.3">
      <c r="A1644" s="8" t="s">
        <v>1654</v>
      </c>
      <c r="B1644" s="8" t="s">
        <v>12</v>
      </c>
      <c r="C1644" t="s">
        <v>2</v>
      </c>
    </row>
    <row r="1645" spans="1:3" x14ac:dyDescent="0.3">
      <c r="A1645" s="8" t="s">
        <v>1655</v>
      </c>
      <c r="B1645" s="8" t="s">
        <v>12</v>
      </c>
      <c r="C1645" t="s">
        <v>2</v>
      </c>
    </row>
    <row r="1646" spans="1:3" x14ac:dyDescent="0.3">
      <c r="A1646" s="8" t="s">
        <v>1656</v>
      </c>
      <c r="B1646" s="8" t="s">
        <v>12</v>
      </c>
      <c r="C1646" t="s">
        <v>2</v>
      </c>
    </row>
    <row r="1647" spans="1:3" x14ac:dyDescent="0.3">
      <c r="A1647" s="8" t="s">
        <v>1657</v>
      </c>
      <c r="B1647" s="8" t="s">
        <v>12</v>
      </c>
      <c r="C1647" t="s">
        <v>2</v>
      </c>
    </row>
    <row r="1648" spans="1:3" x14ac:dyDescent="0.3">
      <c r="A1648" s="8" t="s">
        <v>1658</v>
      </c>
      <c r="B1648" s="8" t="s">
        <v>12</v>
      </c>
      <c r="C1648" t="s">
        <v>2</v>
      </c>
    </row>
    <row r="1649" spans="1:3" x14ac:dyDescent="0.3">
      <c r="A1649" s="8" t="s">
        <v>1659</v>
      </c>
      <c r="B1649" s="8" t="s">
        <v>12</v>
      </c>
      <c r="C1649" t="s">
        <v>2</v>
      </c>
    </row>
    <row r="1650" spans="1:3" x14ac:dyDescent="0.3">
      <c r="A1650" s="8" t="s">
        <v>1660</v>
      </c>
      <c r="B1650" s="8" t="s">
        <v>12</v>
      </c>
      <c r="C1650" t="s">
        <v>2</v>
      </c>
    </row>
    <row r="1651" spans="1:3" x14ac:dyDescent="0.3">
      <c r="A1651" s="8" t="s">
        <v>1661</v>
      </c>
      <c r="B1651" s="8" t="s">
        <v>12</v>
      </c>
      <c r="C1651" t="s">
        <v>2</v>
      </c>
    </row>
    <row r="1652" spans="1:3" x14ac:dyDescent="0.3">
      <c r="A1652" s="8" t="s">
        <v>1662</v>
      </c>
      <c r="B1652" s="8" t="s">
        <v>12</v>
      </c>
      <c r="C1652" t="s">
        <v>2</v>
      </c>
    </row>
    <row r="1653" spans="1:3" x14ac:dyDescent="0.3">
      <c r="A1653" s="8" t="s">
        <v>1663</v>
      </c>
      <c r="B1653" s="8" t="s">
        <v>12</v>
      </c>
      <c r="C1653" t="s">
        <v>2</v>
      </c>
    </row>
    <row r="1654" spans="1:3" x14ac:dyDescent="0.3">
      <c r="A1654" s="8" t="s">
        <v>1664</v>
      </c>
      <c r="B1654" s="8" t="s">
        <v>12</v>
      </c>
      <c r="C1654" t="s">
        <v>2</v>
      </c>
    </row>
    <row r="1655" spans="1:3" x14ac:dyDescent="0.3">
      <c r="A1655" s="8" t="s">
        <v>1665</v>
      </c>
      <c r="B1655" s="8" t="s">
        <v>12</v>
      </c>
      <c r="C1655" t="s">
        <v>2</v>
      </c>
    </row>
    <row r="1656" spans="1:3" x14ac:dyDescent="0.3">
      <c r="A1656" s="8" t="s">
        <v>1666</v>
      </c>
      <c r="B1656" s="8" t="s">
        <v>12</v>
      </c>
      <c r="C1656" t="s">
        <v>2</v>
      </c>
    </row>
    <row r="1657" spans="1:3" x14ac:dyDescent="0.3">
      <c r="A1657" s="8" t="s">
        <v>1667</v>
      </c>
      <c r="B1657" s="8" t="s">
        <v>12</v>
      </c>
      <c r="C1657" t="s">
        <v>2</v>
      </c>
    </row>
    <row r="1658" spans="1:3" x14ac:dyDescent="0.3">
      <c r="A1658" s="8" t="s">
        <v>1668</v>
      </c>
      <c r="B1658" s="8" t="s">
        <v>12</v>
      </c>
      <c r="C1658" t="s">
        <v>2</v>
      </c>
    </row>
    <row r="1659" spans="1:3" x14ac:dyDescent="0.3">
      <c r="A1659" s="8" t="s">
        <v>1669</v>
      </c>
      <c r="B1659" s="8" t="s">
        <v>12</v>
      </c>
      <c r="C1659" t="s">
        <v>2</v>
      </c>
    </row>
    <row r="1660" spans="1:3" x14ac:dyDescent="0.3">
      <c r="A1660" s="8" t="s">
        <v>1670</v>
      </c>
      <c r="B1660" s="8" t="s">
        <v>12</v>
      </c>
      <c r="C1660" t="s">
        <v>2</v>
      </c>
    </row>
    <row r="1661" spans="1:3" x14ac:dyDescent="0.3">
      <c r="A1661" s="8" t="s">
        <v>1671</v>
      </c>
      <c r="B1661" s="8" t="s">
        <v>12</v>
      </c>
      <c r="C1661" t="s">
        <v>2</v>
      </c>
    </row>
    <row r="1662" spans="1:3" x14ac:dyDescent="0.3">
      <c r="A1662" s="8" t="s">
        <v>1672</v>
      </c>
      <c r="B1662" s="8" t="s">
        <v>12</v>
      </c>
      <c r="C1662" t="s">
        <v>2</v>
      </c>
    </row>
    <row r="1663" spans="1:3" x14ac:dyDescent="0.3">
      <c r="A1663" s="8" t="s">
        <v>1673</v>
      </c>
      <c r="B1663" s="8" t="s">
        <v>12</v>
      </c>
      <c r="C1663" t="s">
        <v>2</v>
      </c>
    </row>
    <row r="1664" spans="1:3" x14ac:dyDescent="0.3">
      <c r="A1664" s="8" t="s">
        <v>1674</v>
      </c>
      <c r="B1664" s="8" t="s">
        <v>12</v>
      </c>
      <c r="C1664" t="s">
        <v>3</v>
      </c>
    </row>
    <row r="1665" spans="1:3" x14ac:dyDescent="0.3">
      <c r="A1665" s="8" t="s">
        <v>1675</v>
      </c>
      <c r="B1665" s="8" t="s">
        <v>12</v>
      </c>
      <c r="C1665" t="s">
        <v>3</v>
      </c>
    </row>
    <row r="1666" spans="1:3" x14ac:dyDescent="0.3">
      <c r="A1666" s="8" t="s">
        <v>1676</v>
      </c>
      <c r="B1666" s="8" t="s">
        <v>12</v>
      </c>
      <c r="C1666" t="s">
        <v>3</v>
      </c>
    </row>
    <row r="1667" spans="1:3" x14ac:dyDescent="0.3">
      <c r="A1667" s="8" t="s">
        <v>1677</v>
      </c>
      <c r="B1667" s="8" t="s">
        <v>12</v>
      </c>
      <c r="C1667" t="s">
        <v>3</v>
      </c>
    </row>
    <row r="1668" spans="1:3" x14ac:dyDescent="0.3">
      <c r="A1668" s="8" t="s">
        <v>1678</v>
      </c>
      <c r="B1668" s="8" t="s">
        <v>12</v>
      </c>
      <c r="C1668" t="s">
        <v>3</v>
      </c>
    </row>
    <row r="1669" spans="1:3" x14ac:dyDescent="0.3">
      <c r="A1669" s="8" t="s">
        <v>1679</v>
      </c>
      <c r="B1669" s="8" t="s">
        <v>12</v>
      </c>
      <c r="C1669" t="s">
        <v>3</v>
      </c>
    </row>
    <row r="1670" spans="1:3" x14ac:dyDescent="0.3">
      <c r="A1670" s="8" t="s">
        <v>1680</v>
      </c>
      <c r="B1670" s="8" t="s">
        <v>12</v>
      </c>
      <c r="C1670" t="s">
        <v>3</v>
      </c>
    </row>
    <row r="1671" spans="1:3" x14ac:dyDescent="0.3">
      <c r="A1671" s="8" t="s">
        <v>1681</v>
      </c>
      <c r="B1671" s="8" t="s">
        <v>12</v>
      </c>
      <c r="C1671" t="s">
        <v>3</v>
      </c>
    </row>
    <row r="1672" spans="1:3" x14ac:dyDescent="0.3">
      <c r="A1672" s="8" t="s">
        <v>1682</v>
      </c>
      <c r="B1672" s="8" t="s">
        <v>12</v>
      </c>
      <c r="C1672" t="s">
        <v>3</v>
      </c>
    </row>
    <row r="1673" spans="1:3" x14ac:dyDescent="0.3">
      <c r="A1673" s="8" t="s">
        <v>1683</v>
      </c>
      <c r="B1673" s="8" t="s">
        <v>12</v>
      </c>
      <c r="C1673" t="s">
        <v>2</v>
      </c>
    </row>
    <row r="1674" spans="1:3" x14ac:dyDescent="0.3">
      <c r="A1674" s="8" t="s">
        <v>1684</v>
      </c>
      <c r="B1674" s="8" t="s">
        <v>12</v>
      </c>
      <c r="C1674" t="s">
        <v>2</v>
      </c>
    </row>
    <row r="1675" spans="1:3" x14ac:dyDescent="0.3">
      <c r="A1675" s="8" t="s">
        <v>1685</v>
      </c>
      <c r="B1675" s="8" t="s">
        <v>12</v>
      </c>
      <c r="C1675" t="s">
        <v>2</v>
      </c>
    </row>
    <row r="1676" spans="1:3" x14ac:dyDescent="0.3">
      <c r="A1676" s="8" t="s">
        <v>1686</v>
      </c>
      <c r="B1676" s="8" t="s">
        <v>12</v>
      </c>
      <c r="C1676" t="s">
        <v>2</v>
      </c>
    </row>
    <row r="1677" spans="1:3" x14ac:dyDescent="0.3">
      <c r="A1677" s="8" t="s">
        <v>1687</v>
      </c>
      <c r="B1677" s="8" t="s">
        <v>12</v>
      </c>
      <c r="C1677" t="s">
        <v>2</v>
      </c>
    </row>
    <row r="1678" spans="1:3" x14ac:dyDescent="0.3">
      <c r="A1678" s="8" t="s">
        <v>1688</v>
      </c>
      <c r="B1678" s="8" t="s">
        <v>12</v>
      </c>
      <c r="C1678" t="s">
        <v>2</v>
      </c>
    </row>
    <row r="1679" spans="1:3" x14ac:dyDescent="0.3">
      <c r="A1679" s="8" t="s">
        <v>1689</v>
      </c>
      <c r="B1679" s="8" t="s">
        <v>12</v>
      </c>
      <c r="C1679" t="s">
        <v>3678</v>
      </c>
    </row>
    <row r="1680" spans="1:3" x14ac:dyDescent="0.3">
      <c r="A1680" s="8" t="s">
        <v>1690</v>
      </c>
      <c r="B1680" s="8" t="s">
        <v>12</v>
      </c>
      <c r="C1680" t="s">
        <v>3678</v>
      </c>
    </row>
    <row r="1681" spans="1:3" x14ac:dyDescent="0.3">
      <c r="A1681" s="8" t="s">
        <v>1691</v>
      </c>
      <c r="B1681" s="8" t="s">
        <v>12</v>
      </c>
      <c r="C1681" t="s">
        <v>3678</v>
      </c>
    </row>
    <row r="1682" spans="1:3" x14ac:dyDescent="0.3">
      <c r="A1682" s="8" t="s">
        <v>1692</v>
      </c>
      <c r="B1682" s="8" t="s">
        <v>12</v>
      </c>
      <c r="C1682" t="s">
        <v>3678</v>
      </c>
    </row>
    <row r="1683" spans="1:3" x14ac:dyDescent="0.3">
      <c r="A1683" s="8" t="s">
        <v>1693</v>
      </c>
      <c r="B1683" s="8" t="s">
        <v>12</v>
      </c>
      <c r="C1683" t="s">
        <v>3678</v>
      </c>
    </row>
    <row r="1684" spans="1:3" x14ac:dyDescent="0.3">
      <c r="A1684" s="8" t="s">
        <v>1694</v>
      </c>
      <c r="B1684" s="8" t="s">
        <v>12</v>
      </c>
      <c r="C1684" t="s">
        <v>3678</v>
      </c>
    </row>
    <row r="1685" spans="1:3" x14ac:dyDescent="0.3">
      <c r="A1685" s="8" t="s">
        <v>1695</v>
      </c>
      <c r="B1685" s="8" t="s">
        <v>12</v>
      </c>
      <c r="C1685" t="s">
        <v>3678</v>
      </c>
    </row>
    <row r="1686" spans="1:3" x14ac:dyDescent="0.3">
      <c r="A1686" s="8" t="s">
        <v>1696</v>
      </c>
      <c r="B1686" s="8" t="s">
        <v>12</v>
      </c>
      <c r="C1686" t="s">
        <v>3678</v>
      </c>
    </row>
    <row r="1687" spans="1:3" x14ac:dyDescent="0.3">
      <c r="A1687" s="8" t="s">
        <v>1697</v>
      </c>
      <c r="B1687" s="8" t="s">
        <v>12</v>
      </c>
      <c r="C1687" t="s">
        <v>3678</v>
      </c>
    </row>
    <row r="1688" spans="1:3" x14ac:dyDescent="0.3">
      <c r="A1688" s="8" t="s">
        <v>1698</v>
      </c>
      <c r="B1688" s="8" t="s">
        <v>12</v>
      </c>
      <c r="C1688" t="s">
        <v>3678</v>
      </c>
    </row>
    <row r="1689" spans="1:3" x14ac:dyDescent="0.3">
      <c r="A1689" s="8" t="s">
        <v>1699</v>
      </c>
      <c r="B1689" s="8" t="s">
        <v>12</v>
      </c>
      <c r="C1689" t="s">
        <v>3678</v>
      </c>
    </row>
    <row r="1690" spans="1:3" x14ac:dyDescent="0.3">
      <c r="A1690" s="8" t="s">
        <v>1700</v>
      </c>
      <c r="B1690" s="8" t="s">
        <v>12</v>
      </c>
      <c r="C1690" t="s">
        <v>2</v>
      </c>
    </row>
    <row r="1691" spans="1:3" x14ac:dyDescent="0.3">
      <c r="A1691" s="8" t="s">
        <v>1701</v>
      </c>
      <c r="B1691" s="8" t="s">
        <v>12</v>
      </c>
      <c r="C1691" t="s">
        <v>2</v>
      </c>
    </row>
    <row r="1692" spans="1:3" x14ac:dyDescent="0.3">
      <c r="A1692" s="8" t="s">
        <v>1702</v>
      </c>
      <c r="B1692" s="8" t="s">
        <v>12</v>
      </c>
      <c r="C1692" t="s">
        <v>2</v>
      </c>
    </row>
    <row r="1693" spans="1:3" x14ac:dyDescent="0.3">
      <c r="A1693" s="8" t="s">
        <v>1703</v>
      </c>
      <c r="B1693" s="8" t="s">
        <v>12</v>
      </c>
      <c r="C1693" t="s">
        <v>2</v>
      </c>
    </row>
    <row r="1694" spans="1:3" x14ac:dyDescent="0.3">
      <c r="A1694" s="8" t="s">
        <v>1704</v>
      </c>
      <c r="B1694" s="8" t="s">
        <v>12</v>
      </c>
      <c r="C1694" t="s">
        <v>2</v>
      </c>
    </row>
    <row r="1695" spans="1:3" x14ac:dyDescent="0.3">
      <c r="A1695" s="8" t="s">
        <v>1705</v>
      </c>
      <c r="B1695" s="8" t="s">
        <v>12</v>
      </c>
      <c r="C1695" t="s">
        <v>2</v>
      </c>
    </row>
    <row r="1696" spans="1:3" x14ac:dyDescent="0.3">
      <c r="A1696" s="8" t="s">
        <v>1706</v>
      </c>
      <c r="B1696" s="8" t="s">
        <v>12</v>
      </c>
      <c r="C1696" t="s">
        <v>2</v>
      </c>
    </row>
    <row r="1697" spans="1:3" x14ac:dyDescent="0.3">
      <c r="A1697" s="8" t="s">
        <v>1707</v>
      </c>
      <c r="B1697" s="8" t="s">
        <v>12</v>
      </c>
      <c r="C1697" t="s">
        <v>2</v>
      </c>
    </row>
    <row r="1698" spans="1:3" x14ac:dyDescent="0.3">
      <c r="A1698" s="8" t="s">
        <v>1708</v>
      </c>
      <c r="B1698" s="8" t="s">
        <v>12</v>
      </c>
      <c r="C1698" t="s">
        <v>2</v>
      </c>
    </row>
    <row r="1699" spans="1:3" x14ac:dyDescent="0.3">
      <c r="A1699" s="8" t="s">
        <v>1709</v>
      </c>
      <c r="B1699" s="8" t="s">
        <v>12</v>
      </c>
      <c r="C1699" t="s">
        <v>2</v>
      </c>
    </row>
    <row r="1700" spans="1:3" x14ac:dyDescent="0.3">
      <c r="A1700" s="8" t="s">
        <v>1710</v>
      </c>
      <c r="B1700" s="8" t="s">
        <v>12</v>
      </c>
      <c r="C1700" t="s">
        <v>2</v>
      </c>
    </row>
    <row r="1701" spans="1:3" x14ac:dyDescent="0.3">
      <c r="A1701" s="8" t="s">
        <v>1711</v>
      </c>
      <c r="B1701" s="8" t="s">
        <v>12</v>
      </c>
      <c r="C1701" t="s">
        <v>2</v>
      </c>
    </row>
    <row r="1702" spans="1:3" x14ac:dyDescent="0.3">
      <c r="A1702" s="8" t="s">
        <v>1712</v>
      </c>
      <c r="B1702" s="8" t="s">
        <v>12</v>
      </c>
      <c r="C1702" t="s">
        <v>2</v>
      </c>
    </row>
    <row r="1703" spans="1:3" x14ac:dyDescent="0.3">
      <c r="A1703" s="8" t="s">
        <v>1713</v>
      </c>
      <c r="B1703" s="8" t="s">
        <v>12</v>
      </c>
      <c r="C1703" t="s">
        <v>2</v>
      </c>
    </row>
    <row r="1704" spans="1:3" x14ac:dyDescent="0.3">
      <c r="A1704" s="8" t="s">
        <v>1714</v>
      </c>
      <c r="B1704" s="8" t="s">
        <v>12</v>
      </c>
      <c r="C1704" t="s">
        <v>2</v>
      </c>
    </row>
    <row r="1705" spans="1:3" x14ac:dyDescent="0.3">
      <c r="A1705" s="8" t="s">
        <v>1715</v>
      </c>
      <c r="B1705" s="8" t="s">
        <v>12</v>
      </c>
      <c r="C1705" t="s">
        <v>2</v>
      </c>
    </row>
    <row r="1706" spans="1:3" x14ac:dyDescent="0.3">
      <c r="A1706" s="8" t="s">
        <v>1716</v>
      </c>
      <c r="B1706" s="8" t="s">
        <v>12</v>
      </c>
      <c r="C1706" t="s">
        <v>2</v>
      </c>
    </row>
    <row r="1707" spans="1:3" x14ac:dyDescent="0.3">
      <c r="A1707" s="8" t="s">
        <v>1717</v>
      </c>
      <c r="B1707" s="8" t="s">
        <v>12</v>
      </c>
      <c r="C1707" t="s">
        <v>2</v>
      </c>
    </row>
    <row r="1708" spans="1:3" x14ac:dyDescent="0.3">
      <c r="A1708" s="8" t="s">
        <v>1718</v>
      </c>
      <c r="B1708" s="8" t="s">
        <v>12</v>
      </c>
      <c r="C1708" t="s">
        <v>2</v>
      </c>
    </row>
    <row r="1709" spans="1:3" x14ac:dyDescent="0.3">
      <c r="A1709" s="8" t="s">
        <v>1719</v>
      </c>
      <c r="B1709" s="8" t="s">
        <v>12</v>
      </c>
      <c r="C1709" t="s">
        <v>2</v>
      </c>
    </row>
    <row r="1710" spans="1:3" x14ac:dyDescent="0.3">
      <c r="A1710" s="8" t="s">
        <v>1720</v>
      </c>
      <c r="B1710" s="8" t="s">
        <v>12</v>
      </c>
      <c r="C1710" t="s">
        <v>2</v>
      </c>
    </row>
    <row r="1711" spans="1:3" x14ac:dyDescent="0.3">
      <c r="A1711" s="8" t="s">
        <v>1721</v>
      </c>
      <c r="B1711" s="8" t="s">
        <v>12</v>
      </c>
      <c r="C1711" t="s">
        <v>2</v>
      </c>
    </row>
    <row r="1712" spans="1:3" x14ac:dyDescent="0.3">
      <c r="A1712" s="8" t="s">
        <v>1722</v>
      </c>
      <c r="B1712" s="8" t="s">
        <v>12</v>
      </c>
      <c r="C1712" t="s">
        <v>2</v>
      </c>
    </row>
    <row r="1713" spans="1:3" x14ac:dyDescent="0.3">
      <c r="A1713" s="8" t="s">
        <v>1723</v>
      </c>
      <c r="B1713" s="8" t="s">
        <v>12</v>
      </c>
      <c r="C1713" t="s">
        <v>2</v>
      </c>
    </row>
    <row r="1714" spans="1:3" x14ac:dyDescent="0.3">
      <c r="A1714" s="8" t="s">
        <v>1724</v>
      </c>
      <c r="B1714" s="8" t="s">
        <v>12</v>
      </c>
      <c r="C1714" t="s">
        <v>2</v>
      </c>
    </row>
    <row r="1715" spans="1:3" x14ac:dyDescent="0.3">
      <c r="A1715" s="8" t="s">
        <v>1725</v>
      </c>
      <c r="B1715" s="8" t="s">
        <v>12</v>
      </c>
      <c r="C1715" t="s">
        <v>2</v>
      </c>
    </row>
    <row r="1716" spans="1:3" x14ac:dyDescent="0.3">
      <c r="A1716" s="8" t="s">
        <v>1726</v>
      </c>
      <c r="B1716" s="8" t="s">
        <v>12</v>
      </c>
      <c r="C1716" t="s">
        <v>2</v>
      </c>
    </row>
    <row r="1717" spans="1:3" x14ac:dyDescent="0.3">
      <c r="A1717" s="8" t="s">
        <v>1727</v>
      </c>
      <c r="B1717" s="8" t="s">
        <v>12</v>
      </c>
      <c r="C1717" t="s">
        <v>2</v>
      </c>
    </row>
    <row r="1718" spans="1:3" x14ac:dyDescent="0.3">
      <c r="A1718" s="8" t="s">
        <v>1728</v>
      </c>
      <c r="B1718" s="8" t="s">
        <v>12</v>
      </c>
      <c r="C1718" t="s">
        <v>2</v>
      </c>
    </row>
    <row r="1719" spans="1:3" x14ac:dyDescent="0.3">
      <c r="A1719" s="8" t="s">
        <v>1729</v>
      </c>
      <c r="B1719" s="8" t="s">
        <v>12</v>
      </c>
      <c r="C1719" t="s">
        <v>2</v>
      </c>
    </row>
    <row r="1720" spans="1:3" x14ac:dyDescent="0.3">
      <c r="A1720" s="8" t="s">
        <v>1730</v>
      </c>
      <c r="B1720" s="8" t="s">
        <v>12</v>
      </c>
      <c r="C1720" t="s">
        <v>2</v>
      </c>
    </row>
    <row r="1721" spans="1:3" x14ac:dyDescent="0.3">
      <c r="A1721" s="8" t="s">
        <v>1731</v>
      </c>
      <c r="B1721" s="8" t="s">
        <v>12</v>
      </c>
      <c r="C1721" t="s">
        <v>2</v>
      </c>
    </row>
    <row r="1722" spans="1:3" x14ac:dyDescent="0.3">
      <c r="A1722" s="8" t="s">
        <v>1732</v>
      </c>
      <c r="B1722" s="8" t="s">
        <v>12</v>
      </c>
      <c r="C1722" t="s">
        <v>2</v>
      </c>
    </row>
    <row r="1723" spans="1:3" x14ac:dyDescent="0.3">
      <c r="A1723" s="8" t="s">
        <v>1733</v>
      </c>
      <c r="B1723" s="8" t="s">
        <v>12</v>
      </c>
      <c r="C1723" t="s">
        <v>2</v>
      </c>
    </row>
    <row r="1724" spans="1:3" x14ac:dyDescent="0.3">
      <c r="A1724" s="8" t="s">
        <v>1734</v>
      </c>
      <c r="B1724" s="8" t="s">
        <v>12</v>
      </c>
      <c r="C1724" t="s">
        <v>2</v>
      </c>
    </row>
    <row r="1725" spans="1:3" x14ac:dyDescent="0.3">
      <c r="A1725" s="8" t="s">
        <v>1735</v>
      </c>
      <c r="B1725" s="8" t="s">
        <v>12</v>
      </c>
      <c r="C1725" t="s">
        <v>2</v>
      </c>
    </row>
    <row r="1726" spans="1:3" x14ac:dyDescent="0.3">
      <c r="A1726" s="8" t="s">
        <v>1736</v>
      </c>
      <c r="B1726" s="8" t="s">
        <v>12</v>
      </c>
      <c r="C1726" t="s">
        <v>3</v>
      </c>
    </row>
    <row r="1727" spans="1:3" x14ac:dyDescent="0.3">
      <c r="A1727" s="8" t="s">
        <v>1737</v>
      </c>
      <c r="B1727" s="8" t="s">
        <v>12</v>
      </c>
      <c r="C1727" t="s">
        <v>3</v>
      </c>
    </row>
    <row r="1728" spans="1:3" x14ac:dyDescent="0.3">
      <c r="A1728" s="8" t="s">
        <v>1738</v>
      </c>
      <c r="B1728" s="8" t="s">
        <v>12</v>
      </c>
    </row>
    <row r="1729" spans="1:3" x14ac:dyDescent="0.3">
      <c r="A1729" s="8" t="s">
        <v>1739</v>
      </c>
      <c r="B1729" s="8" t="s">
        <v>12</v>
      </c>
      <c r="C1729" t="s">
        <v>2</v>
      </c>
    </row>
    <row r="1730" spans="1:3" x14ac:dyDescent="0.3">
      <c r="A1730" s="8" t="s">
        <v>1740</v>
      </c>
      <c r="B1730" s="8" t="s">
        <v>12</v>
      </c>
      <c r="C1730" t="s">
        <v>2</v>
      </c>
    </row>
    <row r="1731" spans="1:3" x14ac:dyDescent="0.3">
      <c r="A1731" s="8" t="s">
        <v>1741</v>
      </c>
      <c r="B1731" s="8" t="s">
        <v>12</v>
      </c>
      <c r="C1731" t="s">
        <v>2</v>
      </c>
    </row>
    <row r="1732" spans="1:3" x14ac:dyDescent="0.3">
      <c r="A1732" s="8" t="s">
        <v>1742</v>
      </c>
      <c r="B1732" s="8" t="s">
        <v>12</v>
      </c>
      <c r="C1732" t="s">
        <v>2</v>
      </c>
    </row>
    <row r="1733" spans="1:3" x14ac:dyDescent="0.3">
      <c r="A1733" s="8" t="s">
        <v>1743</v>
      </c>
      <c r="B1733" s="8" t="s">
        <v>12</v>
      </c>
      <c r="C1733" t="s">
        <v>2</v>
      </c>
    </row>
    <row r="1734" spans="1:3" x14ac:dyDescent="0.3">
      <c r="A1734" s="8" t="s">
        <v>1744</v>
      </c>
      <c r="B1734" s="8" t="s">
        <v>12</v>
      </c>
      <c r="C1734" t="s">
        <v>2</v>
      </c>
    </row>
    <row r="1735" spans="1:3" x14ac:dyDescent="0.3">
      <c r="A1735" s="8" t="s">
        <v>1745</v>
      </c>
      <c r="B1735" s="8" t="s">
        <v>12</v>
      </c>
      <c r="C1735" t="s">
        <v>2</v>
      </c>
    </row>
    <row r="1736" spans="1:3" x14ac:dyDescent="0.3">
      <c r="A1736" s="8" t="s">
        <v>1746</v>
      </c>
      <c r="B1736" s="8" t="s">
        <v>12</v>
      </c>
      <c r="C1736" t="s">
        <v>3678</v>
      </c>
    </row>
    <row r="1737" spans="1:3" x14ac:dyDescent="0.3">
      <c r="A1737" s="8" t="s">
        <v>1747</v>
      </c>
      <c r="B1737" s="8" t="s">
        <v>12</v>
      </c>
      <c r="C1737" t="s">
        <v>3678</v>
      </c>
    </row>
    <row r="1738" spans="1:3" x14ac:dyDescent="0.3">
      <c r="A1738" s="8" t="s">
        <v>1748</v>
      </c>
      <c r="B1738" s="8" t="s">
        <v>12</v>
      </c>
      <c r="C1738" t="s">
        <v>3678</v>
      </c>
    </row>
    <row r="1739" spans="1:3" x14ac:dyDescent="0.3">
      <c r="A1739" s="8" t="s">
        <v>1749</v>
      </c>
      <c r="B1739" s="8" t="s">
        <v>12</v>
      </c>
      <c r="C1739" t="s">
        <v>3678</v>
      </c>
    </row>
    <row r="1740" spans="1:3" x14ac:dyDescent="0.3">
      <c r="A1740" s="8" t="s">
        <v>1750</v>
      </c>
      <c r="B1740" s="8" t="s">
        <v>12</v>
      </c>
      <c r="C1740" t="s">
        <v>3678</v>
      </c>
    </row>
    <row r="1741" spans="1:3" x14ac:dyDescent="0.3">
      <c r="A1741" s="8" t="s">
        <v>1751</v>
      </c>
      <c r="B1741" s="8" t="s">
        <v>12</v>
      </c>
      <c r="C1741" t="s">
        <v>3678</v>
      </c>
    </row>
    <row r="1742" spans="1:3" x14ac:dyDescent="0.3">
      <c r="A1742" s="8" t="s">
        <v>1752</v>
      </c>
      <c r="B1742" s="8" t="s">
        <v>12</v>
      </c>
      <c r="C1742" t="s">
        <v>3680</v>
      </c>
    </row>
    <row r="1743" spans="1:3" x14ac:dyDescent="0.3">
      <c r="A1743" s="8" t="s">
        <v>1753</v>
      </c>
      <c r="B1743" s="8" t="s">
        <v>12</v>
      </c>
      <c r="C1743" t="s">
        <v>2</v>
      </c>
    </row>
    <row r="1744" spans="1:3" x14ac:dyDescent="0.3">
      <c r="A1744" s="8" t="s">
        <v>1754</v>
      </c>
      <c r="B1744" s="8" t="s">
        <v>12</v>
      </c>
      <c r="C1744" t="s">
        <v>2</v>
      </c>
    </row>
    <row r="1745" spans="1:3" x14ac:dyDescent="0.3">
      <c r="A1745" s="8" t="s">
        <v>1755</v>
      </c>
      <c r="B1745" s="8" t="s">
        <v>12</v>
      </c>
      <c r="C1745" t="s">
        <v>2</v>
      </c>
    </row>
    <row r="1746" spans="1:3" x14ac:dyDescent="0.3">
      <c r="A1746" s="8" t="s">
        <v>1756</v>
      </c>
      <c r="B1746" s="8" t="s">
        <v>12</v>
      </c>
      <c r="C1746" t="s">
        <v>2</v>
      </c>
    </row>
    <row r="1747" spans="1:3" x14ac:dyDescent="0.3">
      <c r="A1747" s="8" t="s">
        <v>1757</v>
      </c>
      <c r="B1747" s="8" t="s">
        <v>12</v>
      </c>
      <c r="C1747" t="s">
        <v>2</v>
      </c>
    </row>
    <row r="1748" spans="1:3" x14ac:dyDescent="0.3">
      <c r="A1748" s="8" t="s">
        <v>1758</v>
      </c>
      <c r="B1748" s="8" t="s">
        <v>12</v>
      </c>
      <c r="C1748" t="s">
        <v>2</v>
      </c>
    </row>
    <row r="1749" spans="1:3" x14ac:dyDescent="0.3">
      <c r="A1749" s="8" t="s">
        <v>1759</v>
      </c>
      <c r="B1749" s="8" t="s">
        <v>12</v>
      </c>
      <c r="C1749" t="s">
        <v>2</v>
      </c>
    </row>
    <row r="1750" spans="1:3" x14ac:dyDescent="0.3">
      <c r="A1750" s="8" t="s">
        <v>1760</v>
      </c>
      <c r="B1750" s="8" t="s">
        <v>12</v>
      </c>
      <c r="C1750" t="s">
        <v>2</v>
      </c>
    </row>
    <row r="1751" spans="1:3" x14ac:dyDescent="0.3">
      <c r="A1751" s="8" t="s">
        <v>1761</v>
      </c>
      <c r="B1751" s="8" t="s">
        <v>12</v>
      </c>
      <c r="C1751" t="s">
        <v>2</v>
      </c>
    </row>
    <row r="1752" spans="1:3" x14ac:dyDescent="0.3">
      <c r="A1752" s="8" t="s">
        <v>1762</v>
      </c>
      <c r="B1752" s="8" t="s">
        <v>12</v>
      </c>
      <c r="C1752" t="s">
        <v>2</v>
      </c>
    </row>
    <row r="1753" spans="1:3" x14ac:dyDescent="0.3">
      <c r="A1753" s="8" t="s">
        <v>1763</v>
      </c>
      <c r="B1753" s="8" t="s">
        <v>12</v>
      </c>
      <c r="C1753" t="s">
        <v>2</v>
      </c>
    </row>
    <row r="1754" spans="1:3" x14ac:dyDescent="0.3">
      <c r="A1754" s="8" t="s">
        <v>1764</v>
      </c>
      <c r="B1754" s="8" t="s">
        <v>12</v>
      </c>
      <c r="C1754" t="s">
        <v>2</v>
      </c>
    </row>
    <row r="1755" spans="1:3" x14ac:dyDescent="0.3">
      <c r="A1755" s="8" t="s">
        <v>1765</v>
      </c>
      <c r="B1755" s="8" t="s">
        <v>12</v>
      </c>
      <c r="C1755" t="s">
        <v>2</v>
      </c>
    </row>
    <row r="1756" spans="1:3" x14ac:dyDescent="0.3">
      <c r="A1756" s="8" t="s">
        <v>1766</v>
      </c>
      <c r="B1756" s="8" t="s">
        <v>12</v>
      </c>
      <c r="C1756" t="s">
        <v>2</v>
      </c>
    </row>
    <row r="1757" spans="1:3" x14ac:dyDescent="0.3">
      <c r="A1757" s="8" t="s">
        <v>1767</v>
      </c>
      <c r="B1757" s="8" t="s">
        <v>12</v>
      </c>
      <c r="C1757" t="s">
        <v>2</v>
      </c>
    </row>
    <row r="1758" spans="1:3" x14ac:dyDescent="0.3">
      <c r="A1758" s="8" t="s">
        <v>1768</v>
      </c>
      <c r="B1758" s="8" t="s">
        <v>12</v>
      </c>
      <c r="C1758" t="s">
        <v>2</v>
      </c>
    </row>
    <row r="1759" spans="1:3" x14ac:dyDescent="0.3">
      <c r="A1759" s="8" t="s">
        <v>1769</v>
      </c>
      <c r="B1759" s="8" t="s">
        <v>12</v>
      </c>
      <c r="C1759" t="s">
        <v>2</v>
      </c>
    </row>
    <row r="1760" spans="1:3" x14ac:dyDescent="0.3">
      <c r="A1760" s="8" t="s">
        <v>1770</v>
      </c>
      <c r="B1760" s="8" t="s">
        <v>12</v>
      </c>
      <c r="C1760" t="s">
        <v>2</v>
      </c>
    </row>
    <row r="1761" spans="1:3" x14ac:dyDescent="0.3">
      <c r="A1761" s="8" t="s">
        <v>1771</v>
      </c>
      <c r="B1761" s="8" t="s">
        <v>12</v>
      </c>
      <c r="C1761" t="s">
        <v>2</v>
      </c>
    </row>
    <row r="1762" spans="1:3" x14ac:dyDescent="0.3">
      <c r="A1762" s="8" t="s">
        <v>1772</v>
      </c>
      <c r="B1762" s="8" t="s">
        <v>12</v>
      </c>
      <c r="C1762" t="s">
        <v>2</v>
      </c>
    </row>
    <row r="1763" spans="1:3" x14ac:dyDescent="0.3">
      <c r="A1763" s="8" t="s">
        <v>1773</v>
      </c>
      <c r="B1763" s="8" t="s">
        <v>12</v>
      </c>
      <c r="C1763" t="s">
        <v>2</v>
      </c>
    </row>
    <row r="1764" spans="1:3" x14ac:dyDescent="0.3">
      <c r="A1764" s="8" t="s">
        <v>1774</v>
      </c>
      <c r="B1764" s="8" t="s">
        <v>12</v>
      </c>
      <c r="C1764" t="s">
        <v>2</v>
      </c>
    </row>
    <row r="1765" spans="1:3" x14ac:dyDescent="0.3">
      <c r="A1765" s="8" t="s">
        <v>1775</v>
      </c>
      <c r="B1765" s="8" t="s">
        <v>12</v>
      </c>
      <c r="C1765" t="s">
        <v>2</v>
      </c>
    </row>
    <row r="1766" spans="1:3" x14ac:dyDescent="0.3">
      <c r="A1766" s="8" t="s">
        <v>1776</v>
      </c>
      <c r="B1766" s="8" t="s">
        <v>12</v>
      </c>
      <c r="C1766" t="s">
        <v>2</v>
      </c>
    </row>
    <row r="1767" spans="1:3" x14ac:dyDescent="0.3">
      <c r="A1767" s="8" t="s">
        <v>1777</v>
      </c>
      <c r="B1767" s="8" t="s">
        <v>12</v>
      </c>
      <c r="C1767" t="s">
        <v>2</v>
      </c>
    </row>
    <row r="1768" spans="1:3" x14ac:dyDescent="0.3">
      <c r="A1768" s="8" t="s">
        <v>1778</v>
      </c>
      <c r="B1768" s="8" t="s">
        <v>12</v>
      </c>
      <c r="C1768" t="s">
        <v>2</v>
      </c>
    </row>
    <row r="1769" spans="1:3" x14ac:dyDescent="0.3">
      <c r="A1769" s="8" t="s">
        <v>1779</v>
      </c>
      <c r="B1769" s="8" t="s">
        <v>12</v>
      </c>
      <c r="C1769" t="s">
        <v>2</v>
      </c>
    </row>
    <row r="1770" spans="1:3" x14ac:dyDescent="0.3">
      <c r="A1770" s="8" t="s">
        <v>1780</v>
      </c>
      <c r="B1770" s="8" t="s">
        <v>12</v>
      </c>
      <c r="C1770" t="s">
        <v>2</v>
      </c>
    </row>
    <row r="1771" spans="1:3" x14ac:dyDescent="0.3">
      <c r="A1771" s="8" t="s">
        <v>1781</v>
      </c>
      <c r="B1771" s="8" t="s">
        <v>12</v>
      </c>
      <c r="C1771" t="s">
        <v>2</v>
      </c>
    </row>
    <row r="1772" spans="1:3" x14ac:dyDescent="0.3">
      <c r="A1772" s="8" t="s">
        <v>1782</v>
      </c>
      <c r="B1772" s="8" t="s">
        <v>12</v>
      </c>
      <c r="C1772" t="s">
        <v>2</v>
      </c>
    </row>
    <row r="1773" spans="1:3" x14ac:dyDescent="0.3">
      <c r="A1773" s="8" t="s">
        <v>1783</v>
      </c>
      <c r="B1773" s="8" t="s">
        <v>12</v>
      </c>
      <c r="C1773" t="s">
        <v>2</v>
      </c>
    </row>
    <row r="1774" spans="1:3" x14ac:dyDescent="0.3">
      <c r="A1774" s="8" t="s">
        <v>1784</v>
      </c>
      <c r="B1774" s="8" t="s">
        <v>12</v>
      </c>
      <c r="C1774" t="s">
        <v>2</v>
      </c>
    </row>
    <row r="1775" spans="1:3" x14ac:dyDescent="0.3">
      <c r="A1775" s="8" t="s">
        <v>1785</v>
      </c>
      <c r="B1775" s="8" t="s">
        <v>12</v>
      </c>
      <c r="C1775" t="s">
        <v>2</v>
      </c>
    </row>
    <row r="1776" spans="1:3" x14ac:dyDescent="0.3">
      <c r="A1776" s="8" t="s">
        <v>1786</v>
      </c>
      <c r="B1776" s="8" t="s">
        <v>12</v>
      </c>
      <c r="C1776" t="s">
        <v>2</v>
      </c>
    </row>
    <row r="1777" spans="1:3" x14ac:dyDescent="0.3">
      <c r="A1777" s="8" t="s">
        <v>1787</v>
      </c>
      <c r="B1777" s="8" t="s">
        <v>12</v>
      </c>
      <c r="C1777" t="s">
        <v>2</v>
      </c>
    </row>
    <row r="1778" spans="1:3" x14ac:dyDescent="0.3">
      <c r="A1778" s="8" t="s">
        <v>1788</v>
      </c>
      <c r="B1778" s="8" t="s">
        <v>12</v>
      </c>
      <c r="C1778" t="s">
        <v>2</v>
      </c>
    </row>
    <row r="1779" spans="1:3" x14ac:dyDescent="0.3">
      <c r="A1779" s="8" t="s">
        <v>1789</v>
      </c>
      <c r="B1779" s="8" t="s">
        <v>12</v>
      </c>
      <c r="C1779" t="s">
        <v>2</v>
      </c>
    </row>
    <row r="1780" spans="1:3" x14ac:dyDescent="0.3">
      <c r="A1780" s="8" t="s">
        <v>1790</v>
      </c>
      <c r="B1780" s="8" t="s">
        <v>12</v>
      </c>
      <c r="C1780" t="s">
        <v>2</v>
      </c>
    </row>
    <row r="1781" spans="1:3" x14ac:dyDescent="0.3">
      <c r="A1781" s="8" t="s">
        <v>1791</v>
      </c>
      <c r="B1781" s="8" t="s">
        <v>12</v>
      </c>
      <c r="C1781" t="s">
        <v>2</v>
      </c>
    </row>
    <row r="1782" spans="1:3" x14ac:dyDescent="0.3">
      <c r="A1782" s="8" t="s">
        <v>1792</v>
      </c>
      <c r="B1782" s="8" t="s">
        <v>12</v>
      </c>
      <c r="C1782" t="s">
        <v>3</v>
      </c>
    </row>
    <row r="1783" spans="1:3" x14ac:dyDescent="0.3">
      <c r="A1783" s="8" t="s">
        <v>1793</v>
      </c>
      <c r="B1783" s="8" t="s">
        <v>12</v>
      </c>
      <c r="C1783" t="s">
        <v>3</v>
      </c>
    </row>
    <row r="1784" spans="1:3" x14ac:dyDescent="0.3">
      <c r="A1784" s="8" t="s">
        <v>1794</v>
      </c>
      <c r="B1784" s="8" t="s">
        <v>12</v>
      </c>
      <c r="C1784" t="s">
        <v>3</v>
      </c>
    </row>
    <row r="1785" spans="1:3" x14ac:dyDescent="0.3">
      <c r="A1785" s="8" t="s">
        <v>1795</v>
      </c>
      <c r="B1785" s="8" t="s">
        <v>12</v>
      </c>
      <c r="C1785" t="s">
        <v>3</v>
      </c>
    </row>
    <row r="1786" spans="1:3" x14ac:dyDescent="0.3">
      <c r="A1786" s="8" t="s">
        <v>1796</v>
      </c>
      <c r="B1786" s="8" t="s">
        <v>12</v>
      </c>
      <c r="C1786" t="s">
        <v>3</v>
      </c>
    </row>
    <row r="1787" spans="1:3" x14ac:dyDescent="0.3">
      <c r="A1787" s="8" t="s">
        <v>1797</v>
      </c>
      <c r="B1787" s="8" t="s">
        <v>12</v>
      </c>
      <c r="C1787" t="s">
        <v>3</v>
      </c>
    </row>
    <row r="1788" spans="1:3" x14ac:dyDescent="0.3">
      <c r="A1788" s="8" t="s">
        <v>1798</v>
      </c>
      <c r="B1788" s="8" t="s">
        <v>12</v>
      </c>
      <c r="C1788" t="s">
        <v>3</v>
      </c>
    </row>
    <row r="1789" spans="1:3" x14ac:dyDescent="0.3">
      <c r="A1789" s="8" t="s">
        <v>1799</v>
      </c>
      <c r="B1789" s="8" t="s">
        <v>12</v>
      </c>
      <c r="C1789" t="s">
        <v>3</v>
      </c>
    </row>
    <row r="1790" spans="1:3" x14ac:dyDescent="0.3">
      <c r="A1790" s="8" t="s">
        <v>1800</v>
      </c>
      <c r="B1790" s="8" t="s">
        <v>12</v>
      </c>
    </row>
    <row r="1791" spans="1:3" x14ac:dyDescent="0.3">
      <c r="A1791" s="8" t="s">
        <v>1801</v>
      </c>
      <c r="B1791" s="8" t="s">
        <v>12</v>
      </c>
    </row>
    <row r="1792" spans="1:3" x14ac:dyDescent="0.3">
      <c r="A1792" s="8" t="s">
        <v>1802</v>
      </c>
      <c r="B1792" s="8" t="s">
        <v>12</v>
      </c>
    </row>
    <row r="1793" spans="1:3" x14ac:dyDescent="0.3">
      <c r="A1793" s="8" t="s">
        <v>1803</v>
      </c>
      <c r="B1793" s="8" t="s">
        <v>12</v>
      </c>
    </row>
    <row r="1794" spans="1:3" x14ac:dyDescent="0.3">
      <c r="A1794" s="8" t="s">
        <v>1804</v>
      </c>
      <c r="B1794" s="8" t="s">
        <v>12</v>
      </c>
      <c r="C1794" t="s">
        <v>2</v>
      </c>
    </row>
    <row r="1795" spans="1:3" x14ac:dyDescent="0.3">
      <c r="A1795" s="8" t="s">
        <v>1805</v>
      </c>
      <c r="B1795" s="8" t="s">
        <v>12</v>
      </c>
      <c r="C1795" t="s">
        <v>2</v>
      </c>
    </row>
    <row r="1796" spans="1:3" x14ac:dyDescent="0.3">
      <c r="A1796" s="8" t="s">
        <v>1806</v>
      </c>
      <c r="B1796" s="8" t="s">
        <v>12</v>
      </c>
      <c r="C1796" t="s">
        <v>2</v>
      </c>
    </row>
    <row r="1797" spans="1:3" x14ac:dyDescent="0.3">
      <c r="A1797" s="8" t="s">
        <v>1807</v>
      </c>
      <c r="B1797" s="8" t="s">
        <v>12</v>
      </c>
      <c r="C1797" t="s">
        <v>2</v>
      </c>
    </row>
    <row r="1798" spans="1:3" x14ac:dyDescent="0.3">
      <c r="A1798" s="8" t="s">
        <v>1808</v>
      </c>
      <c r="B1798" s="8" t="s">
        <v>12</v>
      </c>
      <c r="C1798" t="s">
        <v>2</v>
      </c>
    </row>
    <row r="1799" spans="1:3" x14ac:dyDescent="0.3">
      <c r="A1799" s="8" t="s">
        <v>1809</v>
      </c>
      <c r="B1799" s="8" t="s">
        <v>12</v>
      </c>
      <c r="C1799" t="s">
        <v>2</v>
      </c>
    </row>
    <row r="1800" spans="1:3" x14ac:dyDescent="0.3">
      <c r="A1800" s="8" t="s">
        <v>1810</v>
      </c>
      <c r="B1800" s="8" t="s">
        <v>12</v>
      </c>
      <c r="C1800" t="s">
        <v>2</v>
      </c>
    </row>
    <row r="1801" spans="1:3" x14ac:dyDescent="0.3">
      <c r="A1801" s="8" t="s">
        <v>1811</v>
      </c>
      <c r="B1801" s="8" t="s">
        <v>12</v>
      </c>
      <c r="C1801" t="s">
        <v>3678</v>
      </c>
    </row>
    <row r="1802" spans="1:3" x14ac:dyDescent="0.3">
      <c r="A1802" s="8" t="s">
        <v>1812</v>
      </c>
      <c r="B1802" s="8" t="s">
        <v>12</v>
      </c>
      <c r="C1802" t="s">
        <v>3678</v>
      </c>
    </row>
    <row r="1803" spans="1:3" x14ac:dyDescent="0.3">
      <c r="A1803" s="8" t="s">
        <v>1813</v>
      </c>
      <c r="B1803" s="8" t="s">
        <v>12</v>
      </c>
      <c r="C1803" t="s">
        <v>3678</v>
      </c>
    </row>
    <row r="1804" spans="1:3" x14ac:dyDescent="0.3">
      <c r="A1804" s="8" t="s">
        <v>1814</v>
      </c>
      <c r="B1804" s="8" t="s">
        <v>12</v>
      </c>
      <c r="C1804" t="s">
        <v>3678</v>
      </c>
    </row>
    <row r="1805" spans="1:3" x14ac:dyDescent="0.3">
      <c r="A1805" s="8" t="s">
        <v>1815</v>
      </c>
      <c r="B1805" s="8" t="s">
        <v>12</v>
      </c>
      <c r="C1805" t="s">
        <v>3678</v>
      </c>
    </row>
    <row r="1806" spans="1:3" x14ac:dyDescent="0.3">
      <c r="A1806" s="8" t="s">
        <v>1816</v>
      </c>
      <c r="B1806" s="8" t="s">
        <v>12</v>
      </c>
      <c r="C1806" t="s">
        <v>3678</v>
      </c>
    </row>
    <row r="1807" spans="1:3" x14ac:dyDescent="0.3">
      <c r="A1807" s="8" t="s">
        <v>1817</v>
      </c>
      <c r="B1807" s="8" t="s">
        <v>12</v>
      </c>
      <c r="C1807" t="s">
        <v>3678</v>
      </c>
    </row>
    <row r="1808" spans="1:3" x14ac:dyDescent="0.3">
      <c r="A1808" s="8" t="s">
        <v>1818</v>
      </c>
      <c r="B1808" s="8" t="s">
        <v>12</v>
      </c>
      <c r="C1808" t="s">
        <v>2</v>
      </c>
    </row>
    <row r="1809" spans="1:3" x14ac:dyDescent="0.3">
      <c r="A1809" s="8" t="s">
        <v>1819</v>
      </c>
      <c r="B1809" s="8" t="s">
        <v>12</v>
      </c>
      <c r="C1809" t="s">
        <v>2</v>
      </c>
    </row>
    <row r="1810" spans="1:3" x14ac:dyDescent="0.3">
      <c r="A1810" s="8" t="s">
        <v>1820</v>
      </c>
      <c r="B1810" s="8" t="s">
        <v>12</v>
      </c>
      <c r="C1810" t="s">
        <v>2</v>
      </c>
    </row>
    <row r="1811" spans="1:3" x14ac:dyDescent="0.3">
      <c r="A1811" s="8" t="s">
        <v>1821</v>
      </c>
      <c r="B1811" s="8" t="s">
        <v>12</v>
      </c>
      <c r="C1811" t="s">
        <v>2</v>
      </c>
    </row>
    <row r="1812" spans="1:3" x14ac:dyDescent="0.3">
      <c r="A1812" s="8" t="s">
        <v>1822</v>
      </c>
      <c r="B1812" s="8" t="s">
        <v>12</v>
      </c>
      <c r="C1812" t="s">
        <v>2</v>
      </c>
    </row>
    <row r="1813" spans="1:3" x14ac:dyDescent="0.3">
      <c r="A1813" s="8" t="s">
        <v>1823</v>
      </c>
      <c r="B1813" s="8" t="s">
        <v>12</v>
      </c>
      <c r="C1813" t="s">
        <v>2</v>
      </c>
    </row>
    <row r="1814" spans="1:3" x14ac:dyDescent="0.3">
      <c r="A1814" s="8" t="s">
        <v>1824</v>
      </c>
      <c r="B1814" s="8" t="s">
        <v>12</v>
      </c>
      <c r="C1814" t="s">
        <v>2</v>
      </c>
    </row>
    <row r="1815" spans="1:3" x14ac:dyDescent="0.3">
      <c r="A1815" s="8" t="s">
        <v>1825</v>
      </c>
      <c r="B1815" s="8" t="s">
        <v>12</v>
      </c>
      <c r="C1815" t="s">
        <v>2</v>
      </c>
    </row>
    <row r="1816" spans="1:3" x14ac:dyDescent="0.3">
      <c r="A1816" s="8" t="s">
        <v>1826</v>
      </c>
      <c r="B1816" s="8" t="s">
        <v>12</v>
      </c>
      <c r="C1816" t="s">
        <v>2</v>
      </c>
    </row>
    <row r="1817" spans="1:3" x14ac:dyDescent="0.3">
      <c r="A1817" s="8" t="s">
        <v>1827</v>
      </c>
      <c r="B1817" s="8" t="s">
        <v>12</v>
      </c>
      <c r="C1817" t="s">
        <v>2</v>
      </c>
    </row>
    <row r="1818" spans="1:3" x14ac:dyDescent="0.3">
      <c r="A1818" s="8" t="s">
        <v>1828</v>
      </c>
      <c r="B1818" s="8" t="s">
        <v>12</v>
      </c>
      <c r="C1818" t="s">
        <v>2</v>
      </c>
    </row>
    <row r="1819" spans="1:3" x14ac:dyDescent="0.3">
      <c r="A1819" s="8" t="s">
        <v>1829</v>
      </c>
      <c r="B1819" s="8" t="s">
        <v>12</v>
      </c>
      <c r="C1819" t="s">
        <v>2</v>
      </c>
    </row>
    <row r="1820" spans="1:3" x14ac:dyDescent="0.3">
      <c r="A1820" s="8" t="s">
        <v>1830</v>
      </c>
      <c r="B1820" s="8" t="s">
        <v>12</v>
      </c>
      <c r="C1820" t="s">
        <v>2</v>
      </c>
    </row>
    <row r="1821" spans="1:3" x14ac:dyDescent="0.3">
      <c r="A1821" s="8" t="s">
        <v>1831</v>
      </c>
      <c r="B1821" s="8" t="s">
        <v>12</v>
      </c>
      <c r="C1821" t="s">
        <v>2</v>
      </c>
    </row>
    <row r="1822" spans="1:3" x14ac:dyDescent="0.3">
      <c r="A1822" s="8" t="s">
        <v>1832</v>
      </c>
      <c r="B1822" s="8" t="s">
        <v>12</v>
      </c>
      <c r="C1822" t="s">
        <v>2</v>
      </c>
    </row>
    <row r="1823" spans="1:3" x14ac:dyDescent="0.3">
      <c r="A1823" s="8" t="s">
        <v>1833</v>
      </c>
      <c r="B1823" s="8" t="s">
        <v>12</v>
      </c>
      <c r="C1823" t="s">
        <v>2</v>
      </c>
    </row>
    <row r="1824" spans="1:3" x14ac:dyDescent="0.3">
      <c r="A1824" s="8" t="s">
        <v>1834</v>
      </c>
      <c r="B1824" s="8" t="s">
        <v>12</v>
      </c>
      <c r="C1824" t="s">
        <v>2</v>
      </c>
    </row>
    <row r="1825" spans="1:3" x14ac:dyDescent="0.3">
      <c r="A1825" s="8" t="s">
        <v>1835</v>
      </c>
      <c r="B1825" s="8" t="s">
        <v>12</v>
      </c>
      <c r="C1825" t="s">
        <v>2</v>
      </c>
    </row>
    <row r="1826" spans="1:3" x14ac:dyDescent="0.3">
      <c r="A1826" s="8" t="s">
        <v>1836</v>
      </c>
      <c r="B1826" s="8" t="s">
        <v>12</v>
      </c>
      <c r="C1826" t="s">
        <v>2</v>
      </c>
    </row>
    <row r="1827" spans="1:3" x14ac:dyDescent="0.3">
      <c r="A1827" s="8" t="s">
        <v>1837</v>
      </c>
      <c r="B1827" s="8" t="s">
        <v>12</v>
      </c>
      <c r="C1827" t="s">
        <v>2</v>
      </c>
    </row>
    <row r="1828" spans="1:3" x14ac:dyDescent="0.3">
      <c r="A1828" s="8" t="s">
        <v>1838</v>
      </c>
      <c r="B1828" s="8" t="s">
        <v>12</v>
      </c>
      <c r="C1828" t="s">
        <v>2</v>
      </c>
    </row>
    <row r="1829" spans="1:3" x14ac:dyDescent="0.3">
      <c r="A1829" s="8" t="s">
        <v>1839</v>
      </c>
      <c r="B1829" s="8" t="s">
        <v>12</v>
      </c>
      <c r="C1829" t="s">
        <v>2</v>
      </c>
    </row>
    <row r="1830" spans="1:3" x14ac:dyDescent="0.3">
      <c r="A1830" s="8" t="s">
        <v>1840</v>
      </c>
      <c r="B1830" s="8" t="s">
        <v>12</v>
      </c>
      <c r="C1830" t="s">
        <v>2</v>
      </c>
    </row>
    <row r="1831" spans="1:3" x14ac:dyDescent="0.3">
      <c r="A1831" s="8" t="s">
        <v>1841</v>
      </c>
      <c r="B1831" s="8" t="s">
        <v>12</v>
      </c>
      <c r="C1831" t="s">
        <v>2</v>
      </c>
    </row>
    <row r="1832" spans="1:3" x14ac:dyDescent="0.3">
      <c r="A1832" s="8" t="s">
        <v>1842</v>
      </c>
      <c r="B1832" s="8" t="s">
        <v>12</v>
      </c>
      <c r="C1832" t="s">
        <v>2</v>
      </c>
    </row>
    <row r="1833" spans="1:3" x14ac:dyDescent="0.3">
      <c r="A1833" s="8" t="s">
        <v>1843</v>
      </c>
      <c r="B1833" s="8" t="s">
        <v>12</v>
      </c>
      <c r="C1833" t="s">
        <v>2</v>
      </c>
    </row>
    <row r="1834" spans="1:3" x14ac:dyDescent="0.3">
      <c r="A1834" s="8" t="s">
        <v>1844</v>
      </c>
      <c r="B1834" s="8" t="s">
        <v>12</v>
      </c>
      <c r="C1834" t="s">
        <v>2</v>
      </c>
    </row>
    <row r="1835" spans="1:3" x14ac:dyDescent="0.3">
      <c r="A1835" s="8" t="s">
        <v>1845</v>
      </c>
      <c r="B1835" s="8" t="s">
        <v>12</v>
      </c>
      <c r="C1835" t="s">
        <v>2</v>
      </c>
    </row>
    <row r="1836" spans="1:3" x14ac:dyDescent="0.3">
      <c r="A1836" s="8" t="s">
        <v>1846</v>
      </c>
      <c r="B1836" s="8" t="s">
        <v>12</v>
      </c>
      <c r="C1836" t="s">
        <v>2</v>
      </c>
    </row>
    <row r="1837" spans="1:3" x14ac:dyDescent="0.3">
      <c r="A1837" s="8" t="s">
        <v>1847</v>
      </c>
      <c r="B1837" s="8" t="s">
        <v>12</v>
      </c>
      <c r="C1837" t="s">
        <v>2</v>
      </c>
    </row>
    <row r="1838" spans="1:3" x14ac:dyDescent="0.3">
      <c r="A1838" s="8" t="s">
        <v>1848</v>
      </c>
      <c r="B1838" s="8" t="s">
        <v>12</v>
      </c>
      <c r="C1838" t="s">
        <v>2</v>
      </c>
    </row>
    <row r="1839" spans="1:3" x14ac:dyDescent="0.3">
      <c r="A1839" s="8" t="s">
        <v>1849</v>
      </c>
      <c r="B1839" s="8" t="s">
        <v>12</v>
      </c>
      <c r="C1839" t="s">
        <v>2</v>
      </c>
    </row>
    <row r="1840" spans="1:3" x14ac:dyDescent="0.3">
      <c r="A1840" s="8" t="s">
        <v>1850</v>
      </c>
      <c r="B1840" s="8" t="s">
        <v>12</v>
      </c>
      <c r="C1840" t="s">
        <v>2</v>
      </c>
    </row>
    <row r="1841" spans="1:3" x14ac:dyDescent="0.3">
      <c r="A1841" s="8" t="s">
        <v>1851</v>
      </c>
      <c r="B1841" s="8" t="s">
        <v>12</v>
      </c>
      <c r="C1841" t="s">
        <v>2</v>
      </c>
    </row>
    <row r="1842" spans="1:3" x14ac:dyDescent="0.3">
      <c r="A1842" s="8" t="s">
        <v>1852</v>
      </c>
      <c r="B1842" s="8" t="s">
        <v>12</v>
      </c>
      <c r="C1842" t="s">
        <v>2</v>
      </c>
    </row>
    <row r="1843" spans="1:3" x14ac:dyDescent="0.3">
      <c r="A1843" s="8" t="s">
        <v>1853</v>
      </c>
      <c r="B1843" s="8" t="s">
        <v>12</v>
      </c>
      <c r="C1843" t="s">
        <v>2</v>
      </c>
    </row>
    <row r="1844" spans="1:3" x14ac:dyDescent="0.3">
      <c r="A1844" s="8" t="s">
        <v>1854</v>
      </c>
      <c r="B1844" s="8" t="s">
        <v>12</v>
      </c>
      <c r="C1844" t="s">
        <v>2</v>
      </c>
    </row>
    <row r="1845" spans="1:3" x14ac:dyDescent="0.3">
      <c r="A1845" s="8" t="s">
        <v>1855</v>
      </c>
      <c r="B1845" s="8" t="s">
        <v>12</v>
      </c>
      <c r="C1845" t="s">
        <v>2</v>
      </c>
    </row>
    <row r="1846" spans="1:3" x14ac:dyDescent="0.3">
      <c r="A1846" s="8" t="s">
        <v>1856</v>
      </c>
      <c r="B1846" s="8" t="s">
        <v>12</v>
      </c>
      <c r="C1846" t="s">
        <v>2</v>
      </c>
    </row>
    <row r="1847" spans="1:3" x14ac:dyDescent="0.3">
      <c r="A1847" s="8" t="s">
        <v>1857</v>
      </c>
      <c r="B1847" s="8" t="s">
        <v>12</v>
      </c>
      <c r="C1847" t="s">
        <v>2</v>
      </c>
    </row>
    <row r="1848" spans="1:3" x14ac:dyDescent="0.3">
      <c r="A1848" s="8" t="s">
        <v>1858</v>
      </c>
      <c r="B1848" s="8" t="s">
        <v>12</v>
      </c>
      <c r="C1848" t="s">
        <v>2</v>
      </c>
    </row>
    <row r="1849" spans="1:3" x14ac:dyDescent="0.3">
      <c r="A1849" s="8" t="s">
        <v>1859</v>
      </c>
      <c r="B1849" s="8" t="s">
        <v>12</v>
      </c>
      <c r="C1849" t="s">
        <v>2</v>
      </c>
    </row>
    <row r="1850" spans="1:3" x14ac:dyDescent="0.3">
      <c r="A1850" s="8" t="s">
        <v>1860</v>
      </c>
      <c r="B1850" s="8" t="s">
        <v>12</v>
      </c>
      <c r="C1850" t="s">
        <v>2</v>
      </c>
    </row>
    <row r="1851" spans="1:3" x14ac:dyDescent="0.3">
      <c r="A1851" s="8" t="s">
        <v>1861</v>
      </c>
      <c r="B1851" s="8" t="s">
        <v>12</v>
      </c>
      <c r="C1851" t="s">
        <v>2</v>
      </c>
    </row>
    <row r="1852" spans="1:3" x14ac:dyDescent="0.3">
      <c r="A1852" s="8" t="s">
        <v>1862</v>
      </c>
      <c r="B1852" s="8" t="s">
        <v>12</v>
      </c>
      <c r="C1852" t="s">
        <v>2</v>
      </c>
    </row>
    <row r="1853" spans="1:3" x14ac:dyDescent="0.3">
      <c r="A1853" s="8" t="s">
        <v>1863</v>
      </c>
      <c r="B1853" s="8" t="s">
        <v>12</v>
      </c>
      <c r="C1853" t="s">
        <v>2</v>
      </c>
    </row>
    <row r="1854" spans="1:3" x14ac:dyDescent="0.3">
      <c r="A1854" s="8" t="s">
        <v>1864</v>
      </c>
      <c r="B1854" s="8" t="s">
        <v>12</v>
      </c>
      <c r="C1854" t="s">
        <v>2</v>
      </c>
    </row>
    <row r="1855" spans="1:3" x14ac:dyDescent="0.3">
      <c r="A1855" s="8" t="s">
        <v>1865</v>
      </c>
      <c r="B1855" s="8" t="s">
        <v>12</v>
      </c>
      <c r="C1855" t="s">
        <v>2</v>
      </c>
    </row>
    <row r="1856" spans="1:3" x14ac:dyDescent="0.3">
      <c r="A1856" s="8" t="s">
        <v>1866</v>
      </c>
      <c r="B1856" s="8" t="s">
        <v>12</v>
      </c>
      <c r="C1856" t="s">
        <v>2</v>
      </c>
    </row>
    <row r="1857" spans="1:3" x14ac:dyDescent="0.3">
      <c r="A1857" s="8" t="s">
        <v>1867</v>
      </c>
      <c r="B1857" s="8" t="s">
        <v>12</v>
      </c>
      <c r="C1857" t="s">
        <v>2</v>
      </c>
    </row>
    <row r="1858" spans="1:3" x14ac:dyDescent="0.3">
      <c r="A1858" s="8" t="s">
        <v>1868</v>
      </c>
      <c r="B1858" s="8" t="s">
        <v>12</v>
      </c>
      <c r="C1858" t="s">
        <v>2</v>
      </c>
    </row>
    <row r="1859" spans="1:3" x14ac:dyDescent="0.3">
      <c r="A1859" s="8" t="s">
        <v>1869</v>
      </c>
      <c r="B1859" s="8" t="s">
        <v>12</v>
      </c>
      <c r="C1859" t="s">
        <v>2</v>
      </c>
    </row>
    <row r="1860" spans="1:3" x14ac:dyDescent="0.3">
      <c r="A1860" s="8" t="s">
        <v>1870</v>
      </c>
      <c r="B1860" s="8" t="s">
        <v>12</v>
      </c>
      <c r="C1860" t="s">
        <v>2</v>
      </c>
    </row>
    <row r="1861" spans="1:3" x14ac:dyDescent="0.3">
      <c r="A1861" s="8" t="s">
        <v>1871</v>
      </c>
      <c r="B1861" s="8" t="s">
        <v>12</v>
      </c>
      <c r="C1861" t="s">
        <v>2</v>
      </c>
    </row>
    <row r="1862" spans="1:3" x14ac:dyDescent="0.3">
      <c r="A1862" s="8" t="s">
        <v>1872</v>
      </c>
      <c r="B1862" s="8" t="s">
        <v>12</v>
      </c>
      <c r="C1862" t="s">
        <v>3</v>
      </c>
    </row>
    <row r="1863" spans="1:3" x14ac:dyDescent="0.3">
      <c r="A1863" s="8" t="s">
        <v>1873</v>
      </c>
      <c r="B1863" s="8" t="s">
        <v>12</v>
      </c>
      <c r="C1863" t="s">
        <v>3</v>
      </c>
    </row>
    <row r="1864" spans="1:3" x14ac:dyDescent="0.3">
      <c r="A1864" s="8" t="s">
        <v>1874</v>
      </c>
      <c r="B1864" s="8" t="s">
        <v>12</v>
      </c>
      <c r="C1864" t="s">
        <v>3</v>
      </c>
    </row>
    <row r="1865" spans="1:3" x14ac:dyDescent="0.3">
      <c r="A1865" s="8" t="s">
        <v>1875</v>
      </c>
      <c r="B1865" s="8" t="s">
        <v>12</v>
      </c>
      <c r="C1865" t="s">
        <v>3</v>
      </c>
    </row>
    <row r="1866" spans="1:3" x14ac:dyDescent="0.3">
      <c r="A1866" s="8" t="s">
        <v>1876</v>
      </c>
      <c r="B1866" s="8" t="s">
        <v>12</v>
      </c>
      <c r="C1866" t="s">
        <v>3</v>
      </c>
    </row>
    <row r="1867" spans="1:3" x14ac:dyDescent="0.3">
      <c r="A1867" s="8" t="s">
        <v>1877</v>
      </c>
      <c r="B1867" s="8" t="s">
        <v>12</v>
      </c>
      <c r="C1867" t="s">
        <v>3</v>
      </c>
    </row>
    <row r="1868" spans="1:3" x14ac:dyDescent="0.3">
      <c r="A1868" s="8" t="s">
        <v>1878</v>
      </c>
      <c r="B1868" s="8" t="s">
        <v>12</v>
      </c>
      <c r="C1868" t="s">
        <v>3</v>
      </c>
    </row>
    <row r="1869" spans="1:3" x14ac:dyDescent="0.3">
      <c r="A1869" s="8" t="s">
        <v>1879</v>
      </c>
      <c r="B1869" s="8" t="s">
        <v>12</v>
      </c>
      <c r="C1869" t="s">
        <v>3</v>
      </c>
    </row>
    <row r="1870" spans="1:3" x14ac:dyDescent="0.3">
      <c r="A1870" s="8" t="s">
        <v>1880</v>
      </c>
      <c r="B1870" s="8" t="s">
        <v>12</v>
      </c>
    </row>
    <row r="1871" spans="1:3" x14ac:dyDescent="0.3">
      <c r="A1871" s="8" t="s">
        <v>1881</v>
      </c>
      <c r="B1871" s="8" t="s">
        <v>12</v>
      </c>
    </row>
    <row r="1872" spans="1:3" x14ac:dyDescent="0.3">
      <c r="A1872" s="8" t="s">
        <v>1882</v>
      </c>
      <c r="B1872" s="8" t="s">
        <v>12</v>
      </c>
      <c r="C1872" t="s">
        <v>2</v>
      </c>
    </row>
    <row r="1873" spans="1:3" x14ac:dyDescent="0.3">
      <c r="A1873" s="8" t="s">
        <v>1883</v>
      </c>
      <c r="B1873" s="8" t="s">
        <v>12</v>
      </c>
      <c r="C1873" t="s">
        <v>2</v>
      </c>
    </row>
    <row r="1874" spans="1:3" x14ac:dyDescent="0.3">
      <c r="A1874" s="8" t="s">
        <v>1884</v>
      </c>
      <c r="B1874" s="8" t="s">
        <v>12</v>
      </c>
      <c r="C1874" t="s">
        <v>2</v>
      </c>
    </row>
    <row r="1875" spans="1:3" x14ac:dyDescent="0.3">
      <c r="A1875" s="8" t="s">
        <v>1885</v>
      </c>
      <c r="B1875" s="8" t="s">
        <v>12</v>
      </c>
      <c r="C1875" t="s">
        <v>2</v>
      </c>
    </row>
    <row r="1876" spans="1:3" x14ac:dyDescent="0.3">
      <c r="A1876" s="8" t="s">
        <v>1886</v>
      </c>
      <c r="B1876" s="8" t="s">
        <v>12</v>
      </c>
      <c r="C1876" t="s">
        <v>2</v>
      </c>
    </row>
    <row r="1877" spans="1:3" x14ac:dyDescent="0.3">
      <c r="A1877" s="8" t="s">
        <v>1887</v>
      </c>
      <c r="B1877" s="8" t="s">
        <v>12</v>
      </c>
      <c r="C1877" t="s">
        <v>2</v>
      </c>
    </row>
    <row r="1878" spans="1:3" x14ac:dyDescent="0.3">
      <c r="A1878" s="8" t="s">
        <v>1888</v>
      </c>
      <c r="B1878" s="8" t="s">
        <v>12</v>
      </c>
      <c r="C1878" t="s">
        <v>3678</v>
      </c>
    </row>
    <row r="1879" spans="1:3" x14ac:dyDescent="0.3">
      <c r="A1879" s="8" t="s">
        <v>1889</v>
      </c>
      <c r="B1879" s="8" t="s">
        <v>12</v>
      </c>
      <c r="C1879" t="s">
        <v>3678</v>
      </c>
    </row>
    <row r="1880" spans="1:3" x14ac:dyDescent="0.3">
      <c r="A1880" s="8" t="s">
        <v>1890</v>
      </c>
      <c r="B1880" s="8" t="s">
        <v>12</v>
      </c>
      <c r="C1880" t="s">
        <v>3678</v>
      </c>
    </row>
    <row r="1881" spans="1:3" x14ac:dyDescent="0.3">
      <c r="A1881" s="8" t="s">
        <v>1891</v>
      </c>
      <c r="B1881" s="8" t="s">
        <v>12</v>
      </c>
      <c r="C1881" t="s">
        <v>3678</v>
      </c>
    </row>
    <row r="1882" spans="1:3" x14ac:dyDescent="0.3">
      <c r="A1882" s="8" t="s">
        <v>1892</v>
      </c>
      <c r="B1882" s="8" t="s">
        <v>12</v>
      </c>
      <c r="C1882" t="s">
        <v>3678</v>
      </c>
    </row>
    <row r="1883" spans="1:3" x14ac:dyDescent="0.3">
      <c r="A1883" s="8" t="s">
        <v>1893</v>
      </c>
      <c r="B1883" s="8" t="s">
        <v>12</v>
      </c>
      <c r="C1883" t="s">
        <v>3678</v>
      </c>
    </row>
    <row r="1884" spans="1:3" x14ac:dyDescent="0.3">
      <c r="A1884" s="8" t="s">
        <v>1894</v>
      </c>
      <c r="B1884" s="8" t="s">
        <v>12</v>
      </c>
      <c r="C1884" t="s">
        <v>3678</v>
      </c>
    </row>
    <row r="1885" spans="1:3" x14ac:dyDescent="0.3">
      <c r="A1885" s="8" t="s">
        <v>1895</v>
      </c>
      <c r="B1885" s="8" t="s">
        <v>12</v>
      </c>
      <c r="C1885" t="s">
        <v>2</v>
      </c>
    </row>
    <row r="1886" spans="1:3" x14ac:dyDescent="0.3">
      <c r="A1886" s="8" t="s">
        <v>1896</v>
      </c>
      <c r="B1886" s="8" t="s">
        <v>12</v>
      </c>
      <c r="C1886" t="s">
        <v>2</v>
      </c>
    </row>
    <row r="1887" spans="1:3" x14ac:dyDescent="0.3">
      <c r="A1887" s="8" t="s">
        <v>1897</v>
      </c>
      <c r="B1887" s="8" t="s">
        <v>12</v>
      </c>
      <c r="C1887" t="s">
        <v>2</v>
      </c>
    </row>
    <row r="1888" spans="1:3" x14ac:dyDescent="0.3">
      <c r="A1888" s="8" t="s">
        <v>1898</v>
      </c>
      <c r="B1888" s="8" t="s">
        <v>12</v>
      </c>
      <c r="C1888" t="s">
        <v>2</v>
      </c>
    </row>
    <row r="1889" spans="1:3" x14ac:dyDescent="0.3">
      <c r="A1889" s="8" t="s">
        <v>1899</v>
      </c>
      <c r="B1889" s="8" t="s">
        <v>12</v>
      </c>
      <c r="C1889" t="s">
        <v>2</v>
      </c>
    </row>
    <row r="1890" spans="1:3" x14ac:dyDescent="0.3">
      <c r="A1890" s="8" t="s">
        <v>1900</v>
      </c>
      <c r="B1890" s="8" t="s">
        <v>12</v>
      </c>
      <c r="C1890" t="s">
        <v>2</v>
      </c>
    </row>
    <row r="1891" spans="1:3" x14ac:dyDescent="0.3">
      <c r="A1891" s="8" t="s">
        <v>1901</v>
      </c>
      <c r="B1891" s="8" t="s">
        <v>12</v>
      </c>
      <c r="C1891" t="s">
        <v>2</v>
      </c>
    </row>
    <row r="1892" spans="1:3" x14ac:dyDescent="0.3">
      <c r="A1892" s="8" t="s">
        <v>1902</v>
      </c>
      <c r="B1892" s="8" t="s">
        <v>12</v>
      </c>
      <c r="C1892" t="s">
        <v>2</v>
      </c>
    </row>
    <row r="1893" spans="1:3" x14ac:dyDescent="0.3">
      <c r="A1893" s="8" t="s">
        <v>1903</v>
      </c>
      <c r="B1893" s="8" t="s">
        <v>12</v>
      </c>
      <c r="C1893" t="s">
        <v>2</v>
      </c>
    </row>
    <row r="1894" spans="1:3" x14ac:dyDescent="0.3">
      <c r="A1894" s="8" t="s">
        <v>1904</v>
      </c>
      <c r="B1894" s="8" t="s">
        <v>12</v>
      </c>
      <c r="C1894" t="s">
        <v>2</v>
      </c>
    </row>
    <row r="1895" spans="1:3" x14ac:dyDescent="0.3">
      <c r="A1895" s="8" t="s">
        <v>1905</v>
      </c>
      <c r="B1895" s="8" t="s">
        <v>12</v>
      </c>
      <c r="C1895" t="s">
        <v>2</v>
      </c>
    </row>
    <row r="1896" spans="1:3" x14ac:dyDescent="0.3">
      <c r="A1896" s="8" t="s">
        <v>1906</v>
      </c>
      <c r="B1896" s="8" t="s">
        <v>12</v>
      </c>
      <c r="C1896" t="s">
        <v>2</v>
      </c>
    </row>
    <row r="1897" spans="1:3" x14ac:dyDescent="0.3">
      <c r="A1897" s="8" t="s">
        <v>1907</v>
      </c>
      <c r="B1897" s="8" t="s">
        <v>12</v>
      </c>
      <c r="C1897" t="s">
        <v>2</v>
      </c>
    </row>
    <row r="1898" spans="1:3" x14ac:dyDescent="0.3">
      <c r="A1898" s="8" t="s">
        <v>1908</v>
      </c>
      <c r="B1898" s="8" t="s">
        <v>12</v>
      </c>
      <c r="C1898" t="s">
        <v>2</v>
      </c>
    </row>
    <row r="1899" spans="1:3" x14ac:dyDescent="0.3">
      <c r="A1899" s="8" t="s">
        <v>1909</v>
      </c>
      <c r="B1899" s="8" t="s">
        <v>12</v>
      </c>
      <c r="C1899" t="s">
        <v>2</v>
      </c>
    </row>
    <row r="1900" spans="1:3" x14ac:dyDescent="0.3">
      <c r="A1900" s="8" t="s">
        <v>1910</v>
      </c>
      <c r="B1900" s="8" t="s">
        <v>12</v>
      </c>
      <c r="C1900" t="s">
        <v>2</v>
      </c>
    </row>
    <row r="1901" spans="1:3" x14ac:dyDescent="0.3">
      <c r="A1901" s="8" t="s">
        <v>1911</v>
      </c>
      <c r="B1901" s="8" t="s">
        <v>12</v>
      </c>
      <c r="C1901" t="s">
        <v>2</v>
      </c>
    </row>
    <row r="1902" spans="1:3" x14ac:dyDescent="0.3">
      <c r="A1902" s="8" t="s">
        <v>1912</v>
      </c>
      <c r="B1902" s="8" t="s">
        <v>12</v>
      </c>
      <c r="C1902" t="s">
        <v>2</v>
      </c>
    </row>
    <row r="1903" spans="1:3" x14ac:dyDescent="0.3">
      <c r="A1903" s="8" t="s">
        <v>1913</v>
      </c>
      <c r="B1903" s="8" t="s">
        <v>12</v>
      </c>
      <c r="C1903" t="s">
        <v>2</v>
      </c>
    </row>
    <row r="1904" spans="1:3" x14ac:dyDescent="0.3">
      <c r="A1904" s="8" t="s">
        <v>1914</v>
      </c>
      <c r="B1904" s="8" t="s">
        <v>12</v>
      </c>
      <c r="C1904" t="s">
        <v>2</v>
      </c>
    </row>
    <row r="1905" spans="1:3" x14ac:dyDescent="0.3">
      <c r="A1905" s="8" t="s">
        <v>1915</v>
      </c>
      <c r="B1905" s="8" t="s">
        <v>12</v>
      </c>
      <c r="C1905" t="s">
        <v>2</v>
      </c>
    </row>
    <row r="1906" spans="1:3" x14ac:dyDescent="0.3">
      <c r="A1906" s="8" t="s">
        <v>1916</v>
      </c>
      <c r="B1906" s="8" t="s">
        <v>12</v>
      </c>
      <c r="C1906" t="s">
        <v>2</v>
      </c>
    </row>
    <row r="1907" spans="1:3" x14ac:dyDescent="0.3">
      <c r="A1907" s="8" t="s">
        <v>1917</v>
      </c>
      <c r="B1907" s="8" t="s">
        <v>12</v>
      </c>
      <c r="C1907" t="s">
        <v>2</v>
      </c>
    </row>
    <row r="1908" spans="1:3" x14ac:dyDescent="0.3">
      <c r="A1908" s="8" t="s">
        <v>1918</v>
      </c>
      <c r="B1908" s="8" t="s">
        <v>12</v>
      </c>
      <c r="C1908" t="s">
        <v>2</v>
      </c>
    </row>
    <row r="1909" spans="1:3" x14ac:dyDescent="0.3">
      <c r="A1909" s="8" t="s">
        <v>1919</v>
      </c>
      <c r="B1909" s="8" t="s">
        <v>12</v>
      </c>
      <c r="C1909" t="s">
        <v>2</v>
      </c>
    </row>
    <row r="1910" spans="1:3" x14ac:dyDescent="0.3">
      <c r="A1910" s="8" t="s">
        <v>1920</v>
      </c>
      <c r="B1910" s="8" t="s">
        <v>12</v>
      </c>
      <c r="C1910" t="s">
        <v>2</v>
      </c>
    </row>
    <row r="1911" spans="1:3" x14ac:dyDescent="0.3">
      <c r="A1911" s="8" t="s">
        <v>1921</v>
      </c>
      <c r="B1911" s="8" t="s">
        <v>12</v>
      </c>
      <c r="C1911" t="s">
        <v>2</v>
      </c>
    </row>
    <row r="1912" spans="1:3" x14ac:dyDescent="0.3">
      <c r="A1912" s="8" t="s">
        <v>1922</v>
      </c>
      <c r="B1912" s="8" t="s">
        <v>12</v>
      </c>
      <c r="C1912" t="s">
        <v>2</v>
      </c>
    </row>
    <row r="1913" spans="1:3" x14ac:dyDescent="0.3">
      <c r="A1913" s="8" t="s">
        <v>1923</v>
      </c>
      <c r="B1913" s="8" t="s">
        <v>12</v>
      </c>
      <c r="C1913" t="s">
        <v>2</v>
      </c>
    </row>
    <row r="1914" spans="1:3" x14ac:dyDescent="0.3">
      <c r="A1914" s="8" t="s">
        <v>1924</v>
      </c>
      <c r="B1914" s="8" t="s">
        <v>12</v>
      </c>
      <c r="C1914" t="s">
        <v>2</v>
      </c>
    </row>
    <row r="1915" spans="1:3" x14ac:dyDescent="0.3">
      <c r="A1915" s="8" t="s">
        <v>1925</v>
      </c>
      <c r="B1915" s="8" t="s">
        <v>12</v>
      </c>
      <c r="C1915" t="s">
        <v>2</v>
      </c>
    </row>
    <row r="1916" spans="1:3" x14ac:dyDescent="0.3">
      <c r="A1916" s="8" t="s">
        <v>1926</v>
      </c>
      <c r="B1916" s="8" t="s">
        <v>12</v>
      </c>
      <c r="C1916" t="s">
        <v>2</v>
      </c>
    </row>
    <row r="1917" spans="1:3" x14ac:dyDescent="0.3">
      <c r="A1917" s="8" t="s">
        <v>1927</v>
      </c>
      <c r="B1917" s="8" t="s">
        <v>12</v>
      </c>
      <c r="C1917" t="s">
        <v>2</v>
      </c>
    </row>
    <row r="1918" spans="1:3" x14ac:dyDescent="0.3">
      <c r="A1918" s="8" t="s">
        <v>1928</v>
      </c>
      <c r="B1918" s="8" t="s">
        <v>12</v>
      </c>
      <c r="C1918" t="s">
        <v>2</v>
      </c>
    </row>
    <row r="1919" spans="1:3" x14ac:dyDescent="0.3">
      <c r="A1919" s="8" t="s">
        <v>1929</v>
      </c>
      <c r="B1919" s="8" t="s">
        <v>12</v>
      </c>
      <c r="C1919" t="s">
        <v>2</v>
      </c>
    </row>
    <row r="1920" spans="1:3" x14ac:dyDescent="0.3">
      <c r="A1920" s="8" t="s">
        <v>1930</v>
      </c>
      <c r="B1920" s="8" t="s">
        <v>12</v>
      </c>
      <c r="C1920" t="s">
        <v>2</v>
      </c>
    </row>
    <row r="1921" spans="1:3" x14ac:dyDescent="0.3">
      <c r="A1921" s="8" t="s">
        <v>1931</v>
      </c>
      <c r="B1921" s="8" t="s">
        <v>12</v>
      </c>
      <c r="C1921" t="s">
        <v>2</v>
      </c>
    </row>
    <row r="1922" spans="1:3" x14ac:dyDescent="0.3">
      <c r="A1922" s="8" t="s">
        <v>1932</v>
      </c>
      <c r="B1922" s="8" t="s">
        <v>12</v>
      </c>
      <c r="C1922" t="s">
        <v>2</v>
      </c>
    </row>
    <row r="1923" spans="1:3" x14ac:dyDescent="0.3">
      <c r="A1923" s="8" t="s">
        <v>1933</v>
      </c>
      <c r="B1923" s="8" t="s">
        <v>12</v>
      </c>
      <c r="C1923" t="s">
        <v>2</v>
      </c>
    </row>
    <row r="1924" spans="1:3" x14ac:dyDescent="0.3">
      <c r="A1924" s="8" t="s">
        <v>1934</v>
      </c>
      <c r="B1924" s="8" t="s">
        <v>12</v>
      </c>
      <c r="C1924" t="s">
        <v>2</v>
      </c>
    </row>
    <row r="1925" spans="1:3" x14ac:dyDescent="0.3">
      <c r="A1925" s="8" t="s">
        <v>1935</v>
      </c>
      <c r="B1925" s="8" t="s">
        <v>12</v>
      </c>
      <c r="C1925" t="s">
        <v>2</v>
      </c>
    </row>
    <row r="1926" spans="1:3" x14ac:dyDescent="0.3">
      <c r="A1926" s="8" t="s">
        <v>1936</v>
      </c>
      <c r="B1926" s="8" t="s">
        <v>12</v>
      </c>
      <c r="C1926" t="s">
        <v>2</v>
      </c>
    </row>
    <row r="1927" spans="1:3" x14ac:dyDescent="0.3">
      <c r="A1927" s="8" t="s">
        <v>1937</v>
      </c>
      <c r="B1927" s="8" t="s">
        <v>12</v>
      </c>
      <c r="C1927" t="s">
        <v>2</v>
      </c>
    </row>
    <row r="1928" spans="1:3" x14ac:dyDescent="0.3">
      <c r="A1928" s="8" t="s">
        <v>1938</v>
      </c>
      <c r="B1928" s="8" t="s">
        <v>12</v>
      </c>
      <c r="C1928" t="s">
        <v>2</v>
      </c>
    </row>
    <row r="1929" spans="1:3" x14ac:dyDescent="0.3">
      <c r="A1929" s="8" t="s">
        <v>1939</v>
      </c>
      <c r="B1929" s="8" t="s">
        <v>12</v>
      </c>
      <c r="C1929" t="s">
        <v>2</v>
      </c>
    </row>
    <row r="1930" spans="1:3" x14ac:dyDescent="0.3">
      <c r="A1930" s="8" t="s">
        <v>1940</v>
      </c>
      <c r="B1930" s="8" t="s">
        <v>12</v>
      </c>
      <c r="C1930" t="s">
        <v>2</v>
      </c>
    </row>
    <row r="1931" spans="1:3" x14ac:dyDescent="0.3">
      <c r="A1931" s="8" t="s">
        <v>1941</v>
      </c>
      <c r="B1931" s="8" t="s">
        <v>12</v>
      </c>
      <c r="C1931" t="s">
        <v>2</v>
      </c>
    </row>
    <row r="1932" spans="1:3" x14ac:dyDescent="0.3">
      <c r="A1932" s="8" t="s">
        <v>1942</v>
      </c>
      <c r="B1932" s="8" t="s">
        <v>12</v>
      </c>
      <c r="C1932" t="s">
        <v>2</v>
      </c>
    </row>
    <row r="1933" spans="1:3" x14ac:dyDescent="0.3">
      <c r="A1933" s="8" t="s">
        <v>1943</v>
      </c>
      <c r="B1933" s="8" t="s">
        <v>12</v>
      </c>
      <c r="C1933" t="s">
        <v>2</v>
      </c>
    </row>
    <row r="1934" spans="1:3" x14ac:dyDescent="0.3">
      <c r="A1934" s="8" t="s">
        <v>1944</v>
      </c>
      <c r="B1934" s="8" t="s">
        <v>12</v>
      </c>
      <c r="C1934" t="s">
        <v>2</v>
      </c>
    </row>
    <row r="1935" spans="1:3" x14ac:dyDescent="0.3">
      <c r="A1935" s="8" t="s">
        <v>1945</v>
      </c>
      <c r="B1935" s="8" t="s">
        <v>12</v>
      </c>
      <c r="C1935" t="s">
        <v>2</v>
      </c>
    </row>
    <row r="1936" spans="1:3" x14ac:dyDescent="0.3">
      <c r="A1936" s="8" t="s">
        <v>1946</v>
      </c>
      <c r="B1936" s="8" t="s">
        <v>12</v>
      </c>
      <c r="C1936" t="s">
        <v>3</v>
      </c>
    </row>
    <row r="1937" spans="1:3" x14ac:dyDescent="0.3">
      <c r="A1937" s="8" t="s">
        <v>1947</v>
      </c>
      <c r="B1937" s="8" t="s">
        <v>12</v>
      </c>
      <c r="C1937" t="s">
        <v>3</v>
      </c>
    </row>
    <row r="1938" spans="1:3" x14ac:dyDescent="0.3">
      <c r="A1938" s="8" t="s">
        <v>1948</v>
      </c>
      <c r="B1938" s="8" t="s">
        <v>12</v>
      </c>
      <c r="C1938" t="s">
        <v>3</v>
      </c>
    </row>
    <row r="1939" spans="1:3" x14ac:dyDescent="0.3">
      <c r="A1939" s="8" t="s">
        <v>1949</v>
      </c>
      <c r="B1939" s="8" t="s">
        <v>12</v>
      </c>
      <c r="C1939" t="s">
        <v>3</v>
      </c>
    </row>
    <row r="1940" spans="1:3" x14ac:dyDescent="0.3">
      <c r="A1940" s="8" t="s">
        <v>1950</v>
      </c>
      <c r="B1940" s="8" t="s">
        <v>12</v>
      </c>
      <c r="C1940" t="s">
        <v>3</v>
      </c>
    </row>
    <row r="1941" spans="1:3" x14ac:dyDescent="0.3">
      <c r="A1941" s="8" t="s">
        <v>1951</v>
      </c>
      <c r="B1941" s="8" t="s">
        <v>12</v>
      </c>
      <c r="C1941" t="s">
        <v>3</v>
      </c>
    </row>
    <row r="1942" spans="1:3" x14ac:dyDescent="0.3">
      <c r="A1942" s="8" t="s">
        <v>1952</v>
      </c>
      <c r="B1942" s="8" t="s">
        <v>12</v>
      </c>
      <c r="C1942" t="s">
        <v>2</v>
      </c>
    </row>
    <row r="1943" spans="1:3" x14ac:dyDescent="0.3">
      <c r="A1943" s="8" t="s">
        <v>1953</v>
      </c>
      <c r="B1943" s="8" t="s">
        <v>12</v>
      </c>
      <c r="C1943" t="s">
        <v>2</v>
      </c>
    </row>
    <row r="1944" spans="1:3" x14ac:dyDescent="0.3">
      <c r="A1944" s="8" t="s">
        <v>1954</v>
      </c>
      <c r="B1944" s="8" t="s">
        <v>12</v>
      </c>
      <c r="C1944" t="s">
        <v>2</v>
      </c>
    </row>
    <row r="1945" spans="1:3" x14ac:dyDescent="0.3">
      <c r="A1945" s="8" t="s">
        <v>1955</v>
      </c>
      <c r="B1945" s="8" t="s">
        <v>12</v>
      </c>
      <c r="C1945" t="s">
        <v>2</v>
      </c>
    </row>
    <row r="1946" spans="1:3" x14ac:dyDescent="0.3">
      <c r="A1946" s="8" t="s">
        <v>1956</v>
      </c>
      <c r="B1946" s="8" t="s">
        <v>12</v>
      </c>
      <c r="C1946" t="s">
        <v>2</v>
      </c>
    </row>
    <row r="1947" spans="1:3" x14ac:dyDescent="0.3">
      <c r="A1947" s="8" t="s">
        <v>1957</v>
      </c>
      <c r="B1947" s="8" t="s">
        <v>12</v>
      </c>
      <c r="C1947" t="s">
        <v>2</v>
      </c>
    </row>
    <row r="1948" spans="1:3" x14ac:dyDescent="0.3">
      <c r="A1948" s="8" t="s">
        <v>1958</v>
      </c>
      <c r="B1948" s="8" t="s">
        <v>12</v>
      </c>
      <c r="C1948" t="s">
        <v>3678</v>
      </c>
    </row>
    <row r="1949" spans="1:3" x14ac:dyDescent="0.3">
      <c r="A1949" s="8" t="s">
        <v>1959</v>
      </c>
      <c r="B1949" s="8" t="s">
        <v>12</v>
      </c>
      <c r="C1949" t="s">
        <v>3678</v>
      </c>
    </row>
    <row r="1950" spans="1:3" x14ac:dyDescent="0.3">
      <c r="A1950" s="8" t="s">
        <v>1960</v>
      </c>
      <c r="B1950" s="8" t="s">
        <v>12</v>
      </c>
      <c r="C1950" t="s">
        <v>3678</v>
      </c>
    </row>
    <row r="1951" spans="1:3" x14ac:dyDescent="0.3">
      <c r="A1951" s="8" t="s">
        <v>1961</v>
      </c>
      <c r="B1951" s="8" t="s">
        <v>12</v>
      </c>
      <c r="C1951" t="s">
        <v>3678</v>
      </c>
    </row>
    <row r="1952" spans="1:3" x14ac:dyDescent="0.3">
      <c r="A1952" s="8" t="s">
        <v>1962</v>
      </c>
      <c r="B1952" s="8" t="s">
        <v>12</v>
      </c>
      <c r="C1952" t="s">
        <v>3679</v>
      </c>
    </row>
    <row r="1953" spans="1:3" x14ac:dyDescent="0.3">
      <c r="A1953" s="8" t="s">
        <v>1963</v>
      </c>
      <c r="B1953" s="8" t="s">
        <v>12</v>
      </c>
      <c r="C1953" t="s">
        <v>2</v>
      </c>
    </row>
    <row r="1954" spans="1:3" x14ac:dyDescent="0.3">
      <c r="A1954" s="8" t="s">
        <v>1964</v>
      </c>
      <c r="B1954" s="8" t="s">
        <v>12</v>
      </c>
      <c r="C1954" t="s">
        <v>2</v>
      </c>
    </row>
    <row r="1955" spans="1:3" x14ac:dyDescent="0.3">
      <c r="A1955" s="8" t="s">
        <v>1965</v>
      </c>
      <c r="B1955" s="8" t="s">
        <v>12</v>
      </c>
      <c r="C1955" t="s">
        <v>2</v>
      </c>
    </row>
    <row r="1956" spans="1:3" x14ac:dyDescent="0.3">
      <c r="A1956" s="8" t="s">
        <v>1966</v>
      </c>
      <c r="B1956" s="8" t="s">
        <v>12</v>
      </c>
      <c r="C1956" t="s">
        <v>2</v>
      </c>
    </row>
    <row r="1957" spans="1:3" x14ac:dyDescent="0.3">
      <c r="A1957" s="8" t="s">
        <v>1967</v>
      </c>
      <c r="B1957" s="8" t="s">
        <v>12</v>
      </c>
      <c r="C1957" t="s">
        <v>2</v>
      </c>
    </row>
    <row r="1958" spans="1:3" x14ac:dyDescent="0.3">
      <c r="A1958" s="8" t="s">
        <v>1968</v>
      </c>
      <c r="B1958" s="8" t="s">
        <v>12</v>
      </c>
      <c r="C1958" t="s">
        <v>2</v>
      </c>
    </row>
    <row r="1959" spans="1:3" x14ac:dyDescent="0.3">
      <c r="A1959" s="8" t="s">
        <v>1969</v>
      </c>
      <c r="B1959" s="8" t="s">
        <v>12</v>
      </c>
      <c r="C1959" t="s">
        <v>2</v>
      </c>
    </row>
    <row r="1960" spans="1:3" x14ac:dyDescent="0.3">
      <c r="A1960" s="8" t="s">
        <v>1970</v>
      </c>
      <c r="B1960" s="8" t="s">
        <v>12</v>
      </c>
      <c r="C1960" t="s">
        <v>2</v>
      </c>
    </row>
    <row r="1961" spans="1:3" x14ac:dyDescent="0.3">
      <c r="A1961" s="8" t="s">
        <v>1971</v>
      </c>
      <c r="B1961" s="8" t="s">
        <v>12</v>
      </c>
      <c r="C1961" t="s">
        <v>2</v>
      </c>
    </row>
    <row r="1962" spans="1:3" x14ac:dyDescent="0.3">
      <c r="A1962" s="8" t="s">
        <v>1972</v>
      </c>
      <c r="B1962" s="8" t="s">
        <v>12</v>
      </c>
      <c r="C1962" t="s">
        <v>2</v>
      </c>
    </row>
    <row r="1963" spans="1:3" x14ac:dyDescent="0.3">
      <c r="A1963" s="8" t="s">
        <v>1973</v>
      </c>
      <c r="B1963" s="8" t="s">
        <v>12</v>
      </c>
      <c r="C1963" t="s">
        <v>2</v>
      </c>
    </row>
    <row r="1964" spans="1:3" x14ac:dyDescent="0.3">
      <c r="A1964" s="8" t="s">
        <v>1974</v>
      </c>
      <c r="B1964" s="8" t="s">
        <v>12</v>
      </c>
      <c r="C1964" t="s">
        <v>2</v>
      </c>
    </row>
    <row r="1965" spans="1:3" x14ac:dyDescent="0.3">
      <c r="A1965" s="8" t="s">
        <v>1975</v>
      </c>
      <c r="B1965" s="8" t="s">
        <v>12</v>
      </c>
      <c r="C1965" t="s">
        <v>2</v>
      </c>
    </row>
    <row r="1966" spans="1:3" x14ac:dyDescent="0.3">
      <c r="A1966" s="8" t="s">
        <v>1976</v>
      </c>
      <c r="B1966" s="8" t="s">
        <v>12</v>
      </c>
      <c r="C1966" t="s">
        <v>2</v>
      </c>
    </row>
    <row r="1967" spans="1:3" x14ac:dyDescent="0.3">
      <c r="A1967" s="8" t="s">
        <v>1977</v>
      </c>
      <c r="B1967" s="8" t="s">
        <v>12</v>
      </c>
      <c r="C1967" t="s">
        <v>2</v>
      </c>
    </row>
    <row r="1968" spans="1:3" x14ac:dyDescent="0.3">
      <c r="A1968" s="8" t="s">
        <v>1978</v>
      </c>
      <c r="B1968" s="8" t="s">
        <v>12</v>
      </c>
      <c r="C1968" t="s">
        <v>2</v>
      </c>
    </row>
    <row r="1969" spans="1:3" x14ac:dyDescent="0.3">
      <c r="A1969" s="8" t="s">
        <v>1979</v>
      </c>
      <c r="B1969" s="8" t="s">
        <v>12</v>
      </c>
      <c r="C1969" t="s">
        <v>2</v>
      </c>
    </row>
    <row r="1970" spans="1:3" x14ac:dyDescent="0.3">
      <c r="A1970" s="8" t="s">
        <v>1980</v>
      </c>
      <c r="B1970" s="8" t="s">
        <v>12</v>
      </c>
      <c r="C1970" t="s">
        <v>2</v>
      </c>
    </row>
    <row r="1971" spans="1:3" x14ac:dyDescent="0.3">
      <c r="A1971" s="8" t="s">
        <v>1981</v>
      </c>
      <c r="B1971" s="8" t="s">
        <v>12</v>
      </c>
      <c r="C1971" t="s">
        <v>2</v>
      </c>
    </row>
    <row r="1972" spans="1:3" x14ac:dyDescent="0.3">
      <c r="A1972" s="8" t="s">
        <v>1982</v>
      </c>
      <c r="B1972" s="8" t="s">
        <v>12</v>
      </c>
      <c r="C1972" t="s">
        <v>2</v>
      </c>
    </row>
    <row r="1973" spans="1:3" x14ac:dyDescent="0.3">
      <c r="A1973" s="8" t="s">
        <v>1983</v>
      </c>
      <c r="B1973" s="8" t="s">
        <v>12</v>
      </c>
      <c r="C1973" t="s">
        <v>2</v>
      </c>
    </row>
    <row r="1974" spans="1:3" x14ac:dyDescent="0.3">
      <c r="A1974" s="8" t="s">
        <v>1984</v>
      </c>
      <c r="B1974" s="8" t="s">
        <v>12</v>
      </c>
      <c r="C1974" t="s">
        <v>2</v>
      </c>
    </row>
    <row r="1975" spans="1:3" x14ac:dyDescent="0.3">
      <c r="A1975" s="8" t="s">
        <v>1985</v>
      </c>
      <c r="B1975" s="8" t="s">
        <v>12</v>
      </c>
      <c r="C1975" t="s">
        <v>2</v>
      </c>
    </row>
    <row r="1976" spans="1:3" x14ac:dyDescent="0.3">
      <c r="A1976" s="8" t="s">
        <v>1986</v>
      </c>
      <c r="B1976" s="8" t="s">
        <v>12</v>
      </c>
      <c r="C1976" t="s">
        <v>2</v>
      </c>
    </row>
    <row r="1977" spans="1:3" x14ac:dyDescent="0.3">
      <c r="A1977" s="8" t="s">
        <v>1987</v>
      </c>
      <c r="B1977" s="8" t="s">
        <v>12</v>
      </c>
      <c r="C1977" t="s">
        <v>2</v>
      </c>
    </row>
    <row r="1978" spans="1:3" x14ac:dyDescent="0.3">
      <c r="A1978" s="8" t="s">
        <v>1988</v>
      </c>
      <c r="B1978" s="8" t="s">
        <v>12</v>
      </c>
      <c r="C1978" t="s">
        <v>2</v>
      </c>
    </row>
    <row r="1979" spans="1:3" x14ac:dyDescent="0.3">
      <c r="A1979" s="8" t="s">
        <v>1989</v>
      </c>
      <c r="B1979" s="8" t="s">
        <v>12</v>
      </c>
      <c r="C1979" t="s">
        <v>2</v>
      </c>
    </row>
    <row r="1980" spans="1:3" x14ac:dyDescent="0.3">
      <c r="A1980" s="8" t="s">
        <v>1990</v>
      </c>
      <c r="B1980" s="8" t="s">
        <v>12</v>
      </c>
      <c r="C1980" t="s">
        <v>2</v>
      </c>
    </row>
    <row r="1981" spans="1:3" x14ac:dyDescent="0.3">
      <c r="A1981" s="8" t="s">
        <v>1991</v>
      </c>
      <c r="B1981" s="8" t="s">
        <v>12</v>
      </c>
      <c r="C1981" t="s">
        <v>2</v>
      </c>
    </row>
    <row r="1982" spans="1:3" x14ac:dyDescent="0.3">
      <c r="A1982" s="8" t="s">
        <v>1992</v>
      </c>
      <c r="B1982" s="8" t="s">
        <v>12</v>
      </c>
      <c r="C1982" t="s">
        <v>2</v>
      </c>
    </row>
    <row r="1983" spans="1:3" x14ac:dyDescent="0.3">
      <c r="A1983" s="8" t="s">
        <v>1993</v>
      </c>
      <c r="B1983" s="8" t="s">
        <v>12</v>
      </c>
      <c r="C1983" t="s">
        <v>2</v>
      </c>
    </row>
    <row r="1984" spans="1:3" x14ac:dyDescent="0.3">
      <c r="A1984" s="8" t="s">
        <v>1994</v>
      </c>
      <c r="B1984" s="8" t="s">
        <v>12</v>
      </c>
      <c r="C1984" t="s">
        <v>2</v>
      </c>
    </row>
    <row r="1985" spans="1:3" x14ac:dyDescent="0.3">
      <c r="A1985" s="8" t="s">
        <v>1995</v>
      </c>
      <c r="B1985" s="8" t="s">
        <v>12</v>
      </c>
      <c r="C1985" t="s">
        <v>2</v>
      </c>
    </row>
    <row r="1986" spans="1:3" x14ac:dyDescent="0.3">
      <c r="A1986" s="8" t="s">
        <v>1996</v>
      </c>
      <c r="B1986" s="8" t="s">
        <v>12</v>
      </c>
      <c r="C1986" t="s">
        <v>2</v>
      </c>
    </row>
    <row r="1987" spans="1:3" x14ac:dyDescent="0.3">
      <c r="A1987" s="8" t="s">
        <v>1997</v>
      </c>
      <c r="B1987" s="8" t="s">
        <v>12</v>
      </c>
      <c r="C1987" t="s">
        <v>2</v>
      </c>
    </row>
    <row r="1988" spans="1:3" x14ac:dyDescent="0.3">
      <c r="A1988" s="8" t="s">
        <v>1998</v>
      </c>
      <c r="B1988" s="8" t="s">
        <v>12</v>
      </c>
      <c r="C1988" t="s">
        <v>2</v>
      </c>
    </row>
    <row r="1989" spans="1:3" x14ac:dyDescent="0.3">
      <c r="A1989" s="8" t="s">
        <v>1999</v>
      </c>
      <c r="B1989" s="8" t="s">
        <v>12</v>
      </c>
      <c r="C1989" t="s">
        <v>2</v>
      </c>
    </row>
    <row r="1990" spans="1:3" x14ac:dyDescent="0.3">
      <c r="A1990" s="8" t="s">
        <v>2000</v>
      </c>
      <c r="B1990" s="8" t="s">
        <v>12</v>
      </c>
      <c r="C1990" t="s">
        <v>2</v>
      </c>
    </row>
    <row r="1991" spans="1:3" x14ac:dyDescent="0.3">
      <c r="A1991" s="8" t="s">
        <v>2001</v>
      </c>
      <c r="B1991" s="8" t="s">
        <v>12</v>
      </c>
      <c r="C1991" t="s">
        <v>2</v>
      </c>
    </row>
    <row r="1992" spans="1:3" x14ac:dyDescent="0.3">
      <c r="A1992" s="8" t="s">
        <v>2002</v>
      </c>
      <c r="B1992" s="8" t="s">
        <v>12</v>
      </c>
      <c r="C1992" t="s">
        <v>2</v>
      </c>
    </row>
    <row r="1993" spans="1:3" x14ac:dyDescent="0.3">
      <c r="A1993" s="8" t="s">
        <v>2003</v>
      </c>
      <c r="B1993" s="8" t="s">
        <v>12</v>
      </c>
      <c r="C1993" t="s">
        <v>2</v>
      </c>
    </row>
    <row r="1994" spans="1:3" x14ac:dyDescent="0.3">
      <c r="A1994" s="8" t="s">
        <v>2004</v>
      </c>
      <c r="B1994" s="8" t="s">
        <v>12</v>
      </c>
      <c r="C1994" t="s">
        <v>2</v>
      </c>
    </row>
    <row r="1995" spans="1:3" x14ac:dyDescent="0.3">
      <c r="A1995" s="8" t="s">
        <v>2005</v>
      </c>
      <c r="B1995" s="8" t="s">
        <v>12</v>
      </c>
      <c r="C1995" t="s">
        <v>2</v>
      </c>
    </row>
    <row r="1996" spans="1:3" x14ac:dyDescent="0.3">
      <c r="A1996" s="8" t="s">
        <v>2006</v>
      </c>
      <c r="B1996" s="8" t="s">
        <v>12</v>
      </c>
      <c r="C1996" t="s">
        <v>2</v>
      </c>
    </row>
    <row r="1997" spans="1:3" x14ac:dyDescent="0.3">
      <c r="A1997" s="8" t="s">
        <v>2007</v>
      </c>
      <c r="B1997" s="8" t="s">
        <v>12</v>
      </c>
      <c r="C1997" t="s">
        <v>2</v>
      </c>
    </row>
    <row r="1998" spans="1:3" x14ac:dyDescent="0.3">
      <c r="A1998" s="8" t="s">
        <v>2008</v>
      </c>
      <c r="B1998" s="8" t="s">
        <v>12</v>
      </c>
      <c r="C1998" t="s">
        <v>2</v>
      </c>
    </row>
    <row r="1999" spans="1:3" x14ac:dyDescent="0.3">
      <c r="A1999" s="8" t="s">
        <v>2009</v>
      </c>
      <c r="B1999" s="8" t="s">
        <v>12</v>
      </c>
      <c r="C1999" t="s">
        <v>2</v>
      </c>
    </row>
    <row r="2000" spans="1:3" x14ac:dyDescent="0.3">
      <c r="A2000" s="8" t="s">
        <v>2010</v>
      </c>
      <c r="B2000" s="8" t="s">
        <v>12</v>
      </c>
      <c r="C2000" t="s">
        <v>2</v>
      </c>
    </row>
    <row r="2001" spans="1:3" x14ac:dyDescent="0.3">
      <c r="A2001" s="8" t="s">
        <v>2011</v>
      </c>
      <c r="B2001" s="8" t="s">
        <v>12</v>
      </c>
      <c r="C2001" t="s">
        <v>2</v>
      </c>
    </row>
    <row r="2002" spans="1:3" x14ac:dyDescent="0.3">
      <c r="A2002" s="8" t="s">
        <v>2012</v>
      </c>
      <c r="B2002" s="8" t="s">
        <v>12</v>
      </c>
      <c r="C2002" t="s">
        <v>2</v>
      </c>
    </row>
    <row r="2003" spans="1:3" x14ac:dyDescent="0.3">
      <c r="A2003" s="8" t="s">
        <v>2013</v>
      </c>
      <c r="B2003" s="8" t="s">
        <v>12</v>
      </c>
      <c r="C2003" t="s">
        <v>2</v>
      </c>
    </row>
    <row r="2004" spans="1:3" x14ac:dyDescent="0.3">
      <c r="A2004" s="8" t="s">
        <v>2014</v>
      </c>
      <c r="B2004" s="8" t="s">
        <v>12</v>
      </c>
      <c r="C2004" t="s">
        <v>2</v>
      </c>
    </row>
    <row r="2005" spans="1:3" x14ac:dyDescent="0.3">
      <c r="A2005" s="8" t="s">
        <v>2015</v>
      </c>
      <c r="B2005" s="8" t="s">
        <v>12</v>
      </c>
      <c r="C2005" t="s">
        <v>2</v>
      </c>
    </row>
    <row r="2006" spans="1:3" x14ac:dyDescent="0.3">
      <c r="A2006" s="8" t="s">
        <v>2016</v>
      </c>
      <c r="B2006" s="8" t="s">
        <v>12</v>
      </c>
      <c r="C2006" t="s">
        <v>2</v>
      </c>
    </row>
    <row r="2007" spans="1:3" x14ac:dyDescent="0.3">
      <c r="A2007" s="8" t="s">
        <v>2017</v>
      </c>
      <c r="B2007" s="8" t="s">
        <v>12</v>
      </c>
      <c r="C2007" t="s">
        <v>2</v>
      </c>
    </row>
    <row r="2008" spans="1:3" x14ac:dyDescent="0.3">
      <c r="A2008" s="8" t="s">
        <v>2018</v>
      </c>
      <c r="B2008" s="8" t="s">
        <v>12</v>
      </c>
      <c r="C2008" t="s">
        <v>2</v>
      </c>
    </row>
    <row r="2009" spans="1:3" x14ac:dyDescent="0.3">
      <c r="A2009" s="8" t="s">
        <v>2019</v>
      </c>
      <c r="B2009" s="8" t="s">
        <v>12</v>
      </c>
      <c r="C2009" t="s">
        <v>2</v>
      </c>
    </row>
    <row r="2010" spans="1:3" x14ac:dyDescent="0.3">
      <c r="A2010" s="8" t="s">
        <v>2020</v>
      </c>
      <c r="B2010" s="8" t="s">
        <v>12</v>
      </c>
      <c r="C2010" t="s">
        <v>2</v>
      </c>
    </row>
    <row r="2011" spans="1:3" x14ac:dyDescent="0.3">
      <c r="A2011" s="8" t="s">
        <v>2021</v>
      </c>
      <c r="B2011" s="8" t="s">
        <v>12</v>
      </c>
      <c r="C2011" t="s">
        <v>2</v>
      </c>
    </row>
    <row r="2012" spans="1:3" x14ac:dyDescent="0.3">
      <c r="A2012" s="8" t="s">
        <v>2022</v>
      </c>
      <c r="B2012" s="8" t="s">
        <v>12</v>
      </c>
      <c r="C2012" t="s">
        <v>3</v>
      </c>
    </row>
    <row r="2013" spans="1:3" x14ac:dyDescent="0.3">
      <c r="A2013" s="8" t="s">
        <v>2023</v>
      </c>
      <c r="B2013" s="8" t="s">
        <v>12</v>
      </c>
      <c r="C2013" t="s">
        <v>3</v>
      </c>
    </row>
    <row r="2014" spans="1:3" x14ac:dyDescent="0.3">
      <c r="A2014" s="8" t="s">
        <v>2024</v>
      </c>
      <c r="B2014" s="8" t="s">
        <v>12</v>
      </c>
      <c r="C2014" t="s">
        <v>3</v>
      </c>
    </row>
    <row r="2015" spans="1:3" x14ac:dyDescent="0.3">
      <c r="A2015" s="8" t="s">
        <v>2025</v>
      </c>
      <c r="B2015" s="8" t="s">
        <v>12</v>
      </c>
      <c r="C2015" t="s">
        <v>3</v>
      </c>
    </row>
    <row r="2016" spans="1:3" x14ac:dyDescent="0.3">
      <c r="A2016" s="8" t="s">
        <v>2026</v>
      </c>
      <c r="B2016" s="8" t="s">
        <v>12</v>
      </c>
      <c r="C2016" t="s">
        <v>3678</v>
      </c>
    </row>
    <row r="2017" spans="1:3" x14ac:dyDescent="0.3">
      <c r="A2017" s="8" t="s">
        <v>2027</v>
      </c>
      <c r="B2017" s="8" t="s">
        <v>12</v>
      </c>
      <c r="C2017" t="s">
        <v>3678</v>
      </c>
    </row>
    <row r="2018" spans="1:3" x14ac:dyDescent="0.3">
      <c r="A2018" s="8" t="s">
        <v>2028</v>
      </c>
      <c r="B2018" s="8" t="s">
        <v>12</v>
      </c>
      <c r="C2018" t="s">
        <v>3678</v>
      </c>
    </row>
    <row r="2019" spans="1:3" x14ac:dyDescent="0.3">
      <c r="A2019" s="8" t="s">
        <v>2029</v>
      </c>
      <c r="B2019" s="8" t="s">
        <v>12</v>
      </c>
      <c r="C2019" t="s">
        <v>3678</v>
      </c>
    </row>
    <row r="2020" spans="1:3" x14ac:dyDescent="0.3">
      <c r="A2020" s="8" t="s">
        <v>2030</v>
      </c>
      <c r="B2020" s="8" t="s">
        <v>12</v>
      </c>
      <c r="C2020" t="s">
        <v>3678</v>
      </c>
    </row>
    <row r="2021" spans="1:3" x14ac:dyDescent="0.3">
      <c r="A2021" s="8" t="s">
        <v>2031</v>
      </c>
      <c r="B2021" s="8" t="s">
        <v>12</v>
      </c>
      <c r="C2021" t="s">
        <v>3678</v>
      </c>
    </row>
    <row r="2022" spans="1:3" x14ac:dyDescent="0.3">
      <c r="A2022" s="8" t="s">
        <v>2032</v>
      </c>
      <c r="B2022" s="8" t="s">
        <v>12</v>
      </c>
      <c r="C2022" t="s">
        <v>3678</v>
      </c>
    </row>
    <row r="2023" spans="1:3" x14ac:dyDescent="0.3">
      <c r="A2023" s="8" t="s">
        <v>2033</v>
      </c>
      <c r="B2023" s="8" t="s">
        <v>12</v>
      </c>
      <c r="C2023" t="s">
        <v>3678</v>
      </c>
    </row>
    <row r="2024" spans="1:3" x14ac:dyDescent="0.3">
      <c r="A2024" s="8" t="s">
        <v>2034</v>
      </c>
      <c r="B2024" s="8" t="s">
        <v>12</v>
      </c>
      <c r="C2024" t="s">
        <v>3678</v>
      </c>
    </row>
    <row r="2025" spans="1:3" x14ac:dyDescent="0.3">
      <c r="A2025" s="8" t="s">
        <v>2035</v>
      </c>
      <c r="B2025" s="8" t="s">
        <v>12</v>
      </c>
      <c r="C2025" t="s">
        <v>2</v>
      </c>
    </row>
    <row r="2026" spans="1:3" x14ac:dyDescent="0.3">
      <c r="A2026" s="8" t="s">
        <v>2036</v>
      </c>
      <c r="B2026" s="8" t="s">
        <v>12</v>
      </c>
      <c r="C2026" t="s">
        <v>2</v>
      </c>
    </row>
    <row r="2027" spans="1:3" x14ac:dyDescent="0.3">
      <c r="A2027" s="8" t="s">
        <v>2037</v>
      </c>
      <c r="B2027" s="8" t="s">
        <v>12</v>
      </c>
      <c r="C2027" t="s">
        <v>2</v>
      </c>
    </row>
    <row r="2028" spans="1:3" x14ac:dyDescent="0.3">
      <c r="A2028" s="8" t="s">
        <v>2038</v>
      </c>
      <c r="B2028" s="8" t="s">
        <v>12</v>
      </c>
      <c r="C2028" t="s">
        <v>2</v>
      </c>
    </row>
    <row r="2029" spans="1:3" x14ac:dyDescent="0.3">
      <c r="A2029" s="8" t="s">
        <v>2039</v>
      </c>
      <c r="B2029" s="8" t="s">
        <v>12</v>
      </c>
      <c r="C2029" t="s">
        <v>2</v>
      </c>
    </row>
    <row r="2030" spans="1:3" x14ac:dyDescent="0.3">
      <c r="A2030" s="8" t="s">
        <v>2040</v>
      </c>
      <c r="B2030" s="8" t="s">
        <v>12</v>
      </c>
      <c r="C2030" t="s">
        <v>2</v>
      </c>
    </row>
    <row r="2031" spans="1:3" x14ac:dyDescent="0.3">
      <c r="A2031" s="8" t="s">
        <v>2041</v>
      </c>
      <c r="B2031" s="8" t="s">
        <v>12</v>
      </c>
      <c r="C2031" t="s">
        <v>2</v>
      </c>
    </row>
    <row r="2032" spans="1:3" x14ac:dyDescent="0.3">
      <c r="A2032" s="8" t="s">
        <v>2042</v>
      </c>
      <c r="B2032" s="8" t="s">
        <v>12</v>
      </c>
      <c r="C2032" t="s">
        <v>2</v>
      </c>
    </row>
    <row r="2033" spans="1:3" x14ac:dyDescent="0.3">
      <c r="A2033" s="8" t="s">
        <v>2043</v>
      </c>
      <c r="B2033" s="8" t="s">
        <v>12</v>
      </c>
      <c r="C2033" t="s">
        <v>2</v>
      </c>
    </row>
    <row r="2034" spans="1:3" x14ac:dyDescent="0.3">
      <c r="A2034" s="8" t="s">
        <v>2044</v>
      </c>
      <c r="B2034" s="8" t="s">
        <v>12</v>
      </c>
      <c r="C2034" t="s">
        <v>2</v>
      </c>
    </row>
    <row r="2035" spans="1:3" x14ac:dyDescent="0.3">
      <c r="A2035" s="8" t="s">
        <v>2045</v>
      </c>
      <c r="B2035" s="8" t="s">
        <v>12</v>
      </c>
      <c r="C2035" t="s">
        <v>2</v>
      </c>
    </row>
    <row r="2036" spans="1:3" x14ac:dyDescent="0.3">
      <c r="A2036" s="8" t="s">
        <v>2046</v>
      </c>
      <c r="B2036" s="8" t="s">
        <v>12</v>
      </c>
      <c r="C2036" t="s">
        <v>2</v>
      </c>
    </row>
    <row r="2037" spans="1:3" x14ac:dyDescent="0.3">
      <c r="A2037" s="8" t="s">
        <v>2047</v>
      </c>
      <c r="B2037" s="8" t="s">
        <v>12</v>
      </c>
      <c r="C2037" t="s">
        <v>2</v>
      </c>
    </row>
    <row r="2038" spans="1:3" x14ac:dyDescent="0.3">
      <c r="A2038" s="8" t="s">
        <v>2048</v>
      </c>
      <c r="B2038" s="8" t="s">
        <v>12</v>
      </c>
      <c r="C2038" t="s">
        <v>2</v>
      </c>
    </row>
    <row r="2039" spans="1:3" x14ac:dyDescent="0.3">
      <c r="A2039" s="8" t="s">
        <v>2049</v>
      </c>
      <c r="B2039" s="8" t="s">
        <v>12</v>
      </c>
      <c r="C2039" t="s">
        <v>2</v>
      </c>
    </row>
    <row r="2040" spans="1:3" x14ac:dyDescent="0.3">
      <c r="A2040" s="8" t="s">
        <v>2050</v>
      </c>
      <c r="B2040" s="8" t="s">
        <v>12</v>
      </c>
      <c r="C2040" t="s">
        <v>2</v>
      </c>
    </row>
    <row r="2041" spans="1:3" x14ac:dyDescent="0.3">
      <c r="A2041" s="8" t="s">
        <v>2051</v>
      </c>
      <c r="B2041" s="8" t="s">
        <v>12</v>
      </c>
      <c r="C2041" t="s">
        <v>2</v>
      </c>
    </row>
    <row r="2042" spans="1:3" x14ac:dyDescent="0.3">
      <c r="A2042" s="8" t="s">
        <v>2052</v>
      </c>
      <c r="B2042" s="8" t="s">
        <v>12</v>
      </c>
      <c r="C2042" t="s">
        <v>2</v>
      </c>
    </row>
    <row r="2043" spans="1:3" x14ac:dyDescent="0.3">
      <c r="A2043" s="8" t="s">
        <v>2053</v>
      </c>
      <c r="B2043" s="8" t="s">
        <v>12</v>
      </c>
      <c r="C2043" t="s">
        <v>2</v>
      </c>
    </row>
    <row r="2044" spans="1:3" x14ac:dyDescent="0.3">
      <c r="A2044" s="8" t="s">
        <v>2054</v>
      </c>
      <c r="B2044" s="8" t="s">
        <v>12</v>
      </c>
      <c r="C2044" t="s">
        <v>2</v>
      </c>
    </row>
    <row r="2045" spans="1:3" x14ac:dyDescent="0.3">
      <c r="A2045" s="8" t="s">
        <v>2055</v>
      </c>
      <c r="B2045" s="8" t="s">
        <v>12</v>
      </c>
      <c r="C2045" t="s">
        <v>2</v>
      </c>
    </row>
    <row r="2046" spans="1:3" x14ac:dyDescent="0.3">
      <c r="A2046" s="8" t="s">
        <v>2056</v>
      </c>
      <c r="B2046" s="8" t="s">
        <v>12</v>
      </c>
      <c r="C2046" t="s">
        <v>2</v>
      </c>
    </row>
    <row r="2047" spans="1:3" x14ac:dyDescent="0.3">
      <c r="A2047" s="8" t="s">
        <v>2057</v>
      </c>
      <c r="B2047" s="8" t="s">
        <v>12</v>
      </c>
      <c r="C2047" t="s">
        <v>2</v>
      </c>
    </row>
    <row r="2048" spans="1:3" x14ac:dyDescent="0.3">
      <c r="A2048" s="8" t="s">
        <v>2058</v>
      </c>
      <c r="B2048" s="8" t="s">
        <v>12</v>
      </c>
      <c r="C2048" t="s">
        <v>2</v>
      </c>
    </row>
    <row r="2049" spans="1:3" x14ac:dyDescent="0.3">
      <c r="A2049" s="8" t="s">
        <v>2059</v>
      </c>
      <c r="B2049" s="8" t="s">
        <v>12</v>
      </c>
      <c r="C2049" t="s">
        <v>2</v>
      </c>
    </row>
    <row r="2050" spans="1:3" x14ac:dyDescent="0.3">
      <c r="A2050" s="8" t="s">
        <v>2060</v>
      </c>
      <c r="B2050" s="8" t="s">
        <v>12</v>
      </c>
      <c r="C2050" t="s">
        <v>2</v>
      </c>
    </row>
    <row r="2051" spans="1:3" x14ac:dyDescent="0.3">
      <c r="A2051" s="8" t="s">
        <v>2061</v>
      </c>
      <c r="B2051" s="8" t="s">
        <v>12</v>
      </c>
      <c r="C2051" t="s">
        <v>2</v>
      </c>
    </row>
    <row r="2052" spans="1:3" x14ac:dyDescent="0.3">
      <c r="A2052" s="8" t="s">
        <v>2062</v>
      </c>
      <c r="B2052" s="8" t="s">
        <v>12</v>
      </c>
      <c r="C2052" t="s">
        <v>2</v>
      </c>
    </row>
    <row r="2053" spans="1:3" x14ac:dyDescent="0.3">
      <c r="A2053" s="8" t="s">
        <v>2063</v>
      </c>
      <c r="B2053" s="8" t="s">
        <v>12</v>
      </c>
      <c r="C2053" t="s">
        <v>2</v>
      </c>
    </row>
    <row r="2054" spans="1:3" x14ac:dyDescent="0.3">
      <c r="A2054" s="8" t="s">
        <v>2064</v>
      </c>
      <c r="B2054" s="8" t="s">
        <v>12</v>
      </c>
      <c r="C2054" t="s">
        <v>2</v>
      </c>
    </row>
    <row r="2055" spans="1:3" x14ac:dyDescent="0.3">
      <c r="A2055" s="8" t="s">
        <v>2065</v>
      </c>
      <c r="B2055" s="8" t="s">
        <v>12</v>
      </c>
      <c r="C2055" t="s">
        <v>2</v>
      </c>
    </row>
    <row r="2056" spans="1:3" x14ac:dyDescent="0.3">
      <c r="A2056" s="8" t="s">
        <v>2066</v>
      </c>
      <c r="B2056" s="8" t="s">
        <v>12</v>
      </c>
      <c r="C2056" t="s">
        <v>2</v>
      </c>
    </row>
    <row r="2057" spans="1:3" x14ac:dyDescent="0.3">
      <c r="A2057" s="8" t="s">
        <v>2067</v>
      </c>
      <c r="B2057" s="8" t="s">
        <v>12</v>
      </c>
      <c r="C2057" t="s">
        <v>2</v>
      </c>
    </row>
    <row r="2058" spans="1:3" x14ac:dyDescent="0.3">
      <c r="A2058" s="8" t="s">
        <v>2068</v>
      </c>
      <c r="B2058" s="8" t="s">
        <v>12</v>
      </c>
      <c r="C2058" t="s">
        <v>2</v>
      </c>
    </row>
    <row r="2059" spans="1:3" x14ac:dyDescent="0.3">
      <c r="A2059" s="8" t="s">
        <v>2069</v>
      </c>
      <c r="B2059" s="8" t="s">
        <v>12</v>
      </c>
      <c r="C2059" t="s">
        <v>2</v>
      </c>
    </row>
    <row r="2060" spans="1:3" x14ac:dyDescent="0.3">
      <c r="A2060" s="8" t="s">
        <v>2070</v>
      </c>
      <c r="B2060" s="8" t="s">
        <v>12</v>
      </c>
      <c r="C2060" t="s">
        <v>2</v>
      </c>
    </row>
    <row r="2061" spans="1:3" x14ac:dyDescent="0.3">
      <c r="A2061" s="8" t="s">
        <v>2071</v>
      </c>
      <c r="B2061" s="8" t="s">
        <v>12</v>
      </c>
      <c r="C2061" t="s">
        <v>2</v>
      </c>
    </row>
    <row r="2062" spans="1:3" x14ac:dyDescent="0.3">
      <c r="A2062" s="8" t="s">
        <v>2072</v>
      </c>
      <c r="B2062" s="8" t="s">
        <v>12</v>
      </c>
      <c r="C2062" t="s">
        <v>2</v>
      </c>
    </row>
    <row r="2063" spans="1:3" x14ac:dyDescent="0.3">
      <c r="A2063" s="8" t="s">
        <v>2073</v>
      </c>
      <c r="B2063" s="8" t="s">
        <v>12</v>
      </c>
      <c r="C2063" t="s">
        <v>2</v>
      </c>
    </row>
    <row r="2064" spans="1:3" x14ac:dyDescent="0.3">
      <c r="A2064" s="8" t="s">
        <v>2074</v>
      </c>
      <c r="B2064" s="8" t="s">
        <v>12</v>
      </c>
      <c r="C2064" t="s">
        <v>2</v>
      </c>
    </row>
    <row r="2065" spans="1:3" x14ac:dyDescent="0.3">
      <c r="A2065" s="8" t="s">
        <v>2075</v>
      </c>
      <c r="B2065" s="8" t="s">
        <v>12</v>
      </c>
      <c r="C2065" t="s">
        <v>2</v>
      </c>
    </row>
    <row r="2066" spans="1:3" x14ac:dyDescent="0.3">
      <c r="A2066" s="8" t="s">
        <v>2076</v>
      </c>
      <c r="B2066" s="8" t="s">
        <v>12</v>
      </c>
      <c r="C2066" t="s">
        <v>2</v>
      </c>
    </row>
    <row r="2067" spans="1:3" x14ac:dyDescent="0.3">
      <c r="A2067" s="8" t="s">
        <v>2077</v>
      </c>
      <c r="B2067" s="8" t="s">
        <v>12</v>
      </c>
      <c r="C2067" t="s">
        <v>2</v>
      </c>
    </row>
    <row r="2068" spans="1:3" x14ac:dyDescent="0.3">
      <c r="A2068" s="8" t="s">
        <v>2078</v>
      </c>
      <c r="B2068" s="8" t="s">
        <v>12</v>
      </c>
      <c r="C2068" t="s">
        <v>2</v>
      </c>
    </row>
    <row r="2069" spans="1:3" x14ac:dyDescent="0.3">
      <c r="A2069" s="8" t="s">
        <v>2079</v>
      </c>
      <c r="B2069" s="8" t="s">
        <v>12</v>
      </c>
      <c r="C2069" t="s">
        <v>2</v>
      </c>
    </row>
    <row r="2070" spans="1:3" x14ac:dyDescent="0.3">
      <c r="A2070" s="8" t="s">
        <v>2080</v>
      </c>
      <c r="B2070" s="8" t="s">
        <v>12</v>
      </c>
      <c r="C2070" t="s">
        <v>2</v>
      </c>
    </row>
    <row r="2071" spans="1:3" x14ac:dyDescent="0.3">
      <c r="A2071" s="8" t="s">
        <v>2081</v>
      </c>
      <c r="B2071" s="8" t="s">
        <v>12</v>
      </c>
      <c r="C2071" t="s">
        <v>3</v>
      </c>
    </row>
    <row r="2072" spans="1:3" x14ac:dyDescent="0.3">
      <c r="A2072" s="8" t="s">
        <v>2082</v>
      </c>
      <c r="B2072" s="8" t="s">
        <v>12</v>
      </c>
      <c r="C2072" t="s">
        <v>3</v>
      </c>
    </row>
    <row r="2073" spans="1:3" x14ac:dyDescent="0.3">
      <c r="A2073" s="8" t="s">
        <v>2083</v>
      </c>
      <c r="B2073" s="8" t="s">
        <v>12</v>
      </c>
      <c r="C2073" t="s">
        <v>3</v>
      </c>
    </row>
    <row r="2074" spans="1:3" x14ac:dyDescent="0.3">
      <c r="A2074" s="8" t="s">
        <v>2084</v>
      </c>
      <c r="B2074" s="8" t="s">
        <v>12</v>
      </c>
      <c r="C2074" t="s">
        <v>3</v>
      </c>
    </row>
    <row r="2075" spans="1:3" x14ac:dyDescent="0.3">
      <c r="A2075" s="8" t="s">
        <v>2085</v>
      </c>
      <c r="B2075" s="8" t="s">
        <v>12</v>
      </c>
      <c r="C2075" t="s">
        <v>3</v>
      </c>
    </row>
    <row r="2076" spans="1:3" x14ac:dyDescent="0.3">
      <c r="A2076" s="8" t="s">
        <v>2086</v>
      </c>
      <c r="B2076" s="8" t="s">
        <v>12</v>
      </c>
      <c r="C2076" t="s">
        <v>3</v>
      </c>
    </row>
    <row r="2077" spans="1:3" x14ac:dyDescent="0.3">
      <c r="A2077" s="8" t="s">
        <v>2087</v>
      </c>
      <c r="B2077" s="8" t="s">
        <v>12</v>
      </c>
      <c r="C2077" t="s">
        <v>3</v>
      </c>
    </row>
    <row r="2078" spans="1:3" x14ac:dyDescent="0.3">
      <c r="A2078" s="8" t="s">
        <v>2088</v>
      </c>
      <c r="B2078" s="8" t="s">
        <v>12</v>
      </c>
      <c r="C2078" t="s">
        <v>3</v>
      </c>
    </row>
    <row r="2079" spans="1:3" x14ac:dyDescent="0.3">
      <c r="A2079" s="8" t="s">
        <v>2089</v>
      </c>
      <c r="B2079" s="8" t="s">
        <v>12</v>
      </c>
      <c r="C2079" t="s">
        <v>3</v>
      </c>
    </row>
    <row r="2080" spans="1:3" x14ac:dyDescent="0.3">
      <c r="A2080" s="8" t="s">
        <v>2090</v>
      </c>
      <c r="B2080" s="8" t="s">
        <v>12</v>
      </c>
      <c r="C2080" t="s">
        <v>3</v>
      </c>
    </row>
    <row r="2081" spans="1:3" x14ac:dyDescent="0.3">
      <c r="A2081" s="8" t="s">
        <v>2091</v>
      </c>
      <c r="B2081" s="8" t="s">
        <v>12</v>
      </c>
      <c r="C2081" t="s">
        <v>3</v>
      </c>
    </row>
    <row r="2082" spans="1:3" x14ac:dyDescent="0.3">
      <c r="A2082" s="8" t="s">
        <v>2092</v>
      </c>
      <c r="B2082" s="8" t="s">
        <v>12</v>
      </c>
      <c r="C2082" t="s">
        <v>3</v>
      </c>
    </row>
    <row r="2083" spans="1:3" x14ac:dyDescent="0.3">
      <c r="A2083" s="8" t="s">
        <v>2093</v>
      </c>
      <c r="B2083" s="8" t="s">
        <v>12</v>
      </c>
      <c r="C2083" t="s">
        <v>3</v>
      </c>
    </row>
    <row r="2084" spans="1:3" x14ac:dyDescent="0.3">
      <c r="A2084" s="8" t="s">
        <v>2094</v>
      </c>
      <c r="B2084" s="8" t="s">
        <v>12</v>
      </c>
      <c r="C2084" t="s">
        <v>3</v>
      </c>
    </row>
    <row r="2085" spans="1:3" x14ac:dyDescent="0.3">
      <c r="A2085" s="8" t="s">
        <v>2095</v>
      </c>
      <c r="B2085" s="8" t="s">
        <v>12</v>
      </c>
    </row>
    <row r="2086" spans="1:3" x14ac:dyDescent="0.3">
      <c r="A2086" s="8" t="s">
        <v>2096</v>
      </c>
      <c r="B2086" s="8" t="s">
        <v>12</v>
      </c>
    </row>
    <row r="2087" spans="1:3" x14ac:dyDescent="0.3">
      <c r="A2087" s="8" t="s">
        <v>2097</v>
      </c>
      <c r="B2087" s="8" t="s">
        <v>12</v>
      </c>
    </row>
    <row r="2088" spans="1:3" x14ac:dyDescent="0.3">
      <c r="A2088" s="8" t="s">
        <v>2098</v>
      </c>
      <c r="B2088" s="8" t="s">
        <v>12</v>
      </c>
      <c r="C2088" t="s">
        <v>2</v>
      </c>
    </row>
    <row r="2089" spans="1:3" x14ac:dyDescent="0.3">
      <c r="A2089" s="8" t="s">
        <v>2099</v>
      </c>
      <c r="B2089" s="8" t="s">
        <v>12</v>
      </c>
      <c r="C2089" t="s">
        <v>2</v>
      </c>
    </row>
    <row r="2090" spans="1:3" x14ac:dyDescent="0.3">
      <c r="A2090" s="8" t="s">
        <v>2100</v>
      </c>
      <c r="B2090" s="8" t="s">
        <v>12</v>
      </c>
      <c r="C2090" t="s">
        <v>2</v>
      </c>
    </row>
    <row r="2091" spans="1:3" x14ac:dyDescent="0.3">
      <c r="A2091" s="8" t="s">
        <v>2101</v>
      </c>
      <c r="B2091" s="8" t="s">
        <v>12</v>
      </c>
      <c r="C2091" t="s">
        <v>2</v>
      </c>
    </row>
    <row r="2092" spans="1:3" x14ac:dyDescent="0.3">
      <c r="A2092" s="8" t="s">
        <v>2102</v>
      </c>
      <c r="B2092" s="8" t="s">
        <v>12</v>
      </c>
      <c r="C2092" t="s">
        <v>2</v>
      </c>
    </row>
    <row r="2093" spans="1:3" x14ac:dyDescent="0.3">
      <c r="A2093" s="8" t="s">
        <v>2103</v>
      </c>
      <c r="B2093" s="8" t="s">
        <v>12</v>
      </c>
      <c r="C2093" t="s">
        <v>3678</v>
      </c>
    </row>
    <row r="2094" spans="1:3" x14ac:dyDescent="0.3">
      <c r="A2094" s="8" t="s">
        <v>2104</v>
      </c>
      <c r="B2094" s="8" t="s">
        <v>12</v>
      </c>
      <c r="C2094" t="s">
        <v>3678</v>
      </c>
    </row>
    <row r="2095" spans="1:3" x14ac:dyDescent="0.3">
      <c r="A2095" s="8" t="s">
        <v>2105</v>
      </c>
      <c r="B2095" s="8" t="s">
        <v>12</v>
      </c>
      <c r="C2095" t="s">
        <v>3678</v>
      </c>
    </row>
    <row r="2096" spans="1:3" x14ac:dyDescent="0.3">
      <c r="A2096" s="8" t="s">
        <v>2106</v>
      </c>
      <c r="B2096" s="8" t="s">
        <v>12</v>
      </c>
      <c r="C2096" t="s">
        <v>3678</v>
      </c>
    </row>
    <row r="2097" spans="1:3" x14ac:dyDescent="0.3">
      <c r="A2097" s="8" t="s">
        <v>2107</v>
      </c>
      <c r="B2097" s="8" t="s">
        <v>12</v>
      </c>
      <c r="C2097" t="s">
        <v>3678</v>
      </c>
    </row>
    <row r="2098" spans="1:3" x14ac:dyDescent="0.3">
      <c r="A2098" s="8" t="s">
        <v>2108</v>
      </c>
      <c r="B2098" s="8" t="s">
        <v>12</v>
      </c>
      <c r="C2098" t="s">
        <v>3678</v>
      </c>
    </row>
    <row r="2099" spans="1:3" x14ac:dyDescent="0.3">
      <c r="A2099" s="8" t="s">
        <v>2109</v>
      </c>
      <c r="B2099" s="8" t="s">
        <v>12</v>
      </c>
      <c r="C2099" t="s">
        <v>3678</v>
      </c>
    </row>
    <row r="2100" spans="1:3" x14ac:dyDescent="0.3">
      <c r="A2100" s="8" t="s">
        <v>2110</v>
      </c>
      <c r="B2100" s="8" t="s">
        <v>12</v>
      </c>
      <c r="C2100" t="s">
        <v>2</v>
      </c>
    </row>
    <row r="2101" spans="1:3" x14ac:dyDescent="0.3">
      <c r="A2101" s="8" t="s">
        <v>2111</v>
      </c>
      <c r="B2101" s="8" t="s">
        <v>12</v>
      </c>
      <c r="C2101" t="s">
        <v>2</v>
      </c>
    </row>
    <row r="2102" spans="1:3" x14ac:dyDescent="0.3">
      <c r="A2102" s="8" t="s">
        <v>2112</v>
      </c>
      <c r="B2102" s="8" t="s">
        <v>12</v>
      </c>
      <c r="C2102" t="s">
        <v>2</v>
      </c>
    </row>
    <row r="2103" spans="1:3" x14ac:dyDescent="0.3">
      <c r="A2103" s="8" t="s">
        <v>2113</v>
      </c>
      <c r="B2103" s="8" t="s">
        <v>12</v>
      </c>
      <c r="C2103" t="s">
        <v>2</v>
      </c>
    </row>
    <row r="2104" spans="1:3" x14ac:dyDescent="0.3">
      <c r="A2104" s="8" t="s">
        <v>2114</v>
      </c>
      <c r="B2104" s="8" t="s">
        <v>12</v>
      </c>
      <c r="C2104" t="s">
        <v>2</v>
      </c>
    </row>
    <row r="2105" spans="1:3" x14ac:dyDescent="0.3">
      <c r="A2105" s="8" t="s">
        <v>2115</v>
      </c>
      <c r="B2105" s="8" t="s">
        <v>12</v>
      </c>
      <c r="C2105" t="s">
        <v>3678</v>
      </c>
    </row>
    <row r="2106" spans="1:3" x14ac:dyDescent="0.3">
      <c r="A2106" s="8" t="s">
        <v>2116</v>
      </c>
      <c r="B2106" s="8" t="s">
        <v>12</v>
      </c>
      <c r="C2106" t="s">
        <v>3678</v>
      </c>
    </row>
    <row r="2107" spans="1:3" x14ac:dyDescent="0.3">
      <c r="A2107" s="8" t="s">
        <v>2117</v>
      </c>
      <c r="B2107" s="8" t="s">
        <v>12</v>
      </c>
      <c r="C2107" t="s">
        <v>3678</v>
      </c>
    </row>
    <row r="2108" spans="1:3" x14ac:dyDescent="0.3">
      <c r="A2108" s="8" t="s">
        <v>2118</v>
      </c>
      <c r="B2108" s="8" t="s">
        <v>12</v>
      </c>
      <c r="C2108" t="s">
        <v>3678</v>
      </c>
    </row>
    <row r="2109" spans="1:3" x14ac:dyDescent="0.3">
      <c r="A2109" s="8" t="s">
        <v>2119</v>
      </c>
      <c r="B2109" s="8" t="s">
        <v>12</v>
      </c>
      <c r="C2109" t="s">
        <v>3678</v>
      </c>
    </row>
    <row r="2110" spans="1:3" x14ac:dyDescent="0.3">
      <c r="A2110" s="8" t="s">
        <v>2120</v>
      </c>
      <c r="B2110" s="8" t="s">
        <v>12</v>
      </c>
      <c r="C2110" t="s">
        <v>2</v>
      </c>
    </row>
    <row r="2111" spans="1:3" x14ac:dyDescent="0.3">
      <c r="A2111" s="8" t="s">
        <v>2121</v>
      </c>
      <c r="B2111" s="8" t="s">
        <v>12</v>
      </c>
      <c r="C2111" t="s">
        <v>2</v>
      </c>
    </row>
    <row r="2112" spans="1:3" x14ac:dyDescent="0.3">
      <c r="A2112" s="8" t="s">
        <v>2122</v>
      </c>
      <c r="B2112" s="8" t="s">
        <v>12</v>
      </c>
      <c r="C2112" t="s">
        <v>2</v>
      </c>
    </row>
    <row r="2113" spans="1:3" x14ac:dyDescent="0.3">
      <c r="A2113" s="8" t="s">
        <v>2123</v>
      </c>
      <c r="B2113" s="8" t="s">
        <v>12</v>
      </c>
      <c r="C2113" t="s">
        <v>2</v>
      </c>
    </row>
    <row r="2114" spans="1:3" x14ac:dyDescent="0.3">
      <c r="A2114" s="8" t="s">
        <v>2124</v>
      </c>
      <c r="B2114" s="8" t="s">
        <v>12</v>
      </c>
      <c r="C2114" t="s">
        <v>2</v>
      </c>
    </row>
    <row r="2115" spans="1:3" x14ac:dyDescent="0.3">
      <c r="A2115" s="8" t="s">
        <v>2125</v>
      </c>
      <c r="B2115" s="8" t="s">
        <v>12</v>
      </c>
      <c r="C2115" t="s">
        <v>2</v>
      </c>
    </row>
    <row r="2116" spans="1:3" x14ac:dyDescent="0.3">
      <c r="A2116" s="8" t="s">
        <v>2126</v>
      </c>
      <c r="B2116" s="8" t="s">
        <v>12</v>
      </c>
      <c r="C2116" t="s">
        <v>2</v>
      </c>
    </row>
    <row r="2117" spans="1:3" x14ac:dyDescent="0.3">
      <c r="A2117" s="8" t="s">
        <v>2127</v>
      </c>
      <c r="B2117" s="8" t="s">
        <v>12</v>
      </c>
      <c r="C2117" t="s">
        <v>2</v>
      </c>
    </row>
    <row r="2118" spans="1:3" x14ac:dyDescent="0.3">
      <c r="A2118" s="8" t="s">
        <v>2128</v>
      </c>
      <c r="B2118" s="8" t="s">
        <v>12</v>
      </c>
      <c r="C2118" t="s">
        <v>2</v>
      </c>
    </row>
    <row r="2119" spans="1:3" x14ac:dyDescent="0.3">
      <c r="A2119" s="8" t="s">
        <v>2129</v>
      </c>
      <c r="B2119" s="8" t="s">
        <v>12</v>
      </c>
      <c r="C2119" t="s">
        <v>2</v>
      </c>
    </row>
    <row r="2120" spans="1:3" x14ac:dyDescent="0.3">
      <c r="A2120" s="8" t="s">
        <v>2130</v>
      </c>
      <c r="B2120" s="8" t="s">
        <v>12</v>
      </c>
      <c r="C2120" t="s">
        <v>2</v>
      </c>
    </row>
    <row r="2121" spans="1:3" x14ac:dyDescent="0.3">
      <c r="A2121" s="8" t="s">
        <v>2131</v>
      </c>
      <c r="B2121" s="8" t="s">
        <v>12</v>
      </c>
      <c r="C2121" t="s">
        <v>2</v>
      </c>
    </row>
    <row r="2122" spans="1:3" x14ac:dyDescent="0.3">
      <c r="A2122" s="8" t="s">
        <v>2132</v>
      </c>
      <c r="B2122" s="8" t="s">
        <v>12</v>
      </c>
      <c r="C2122" t="s">
        <v>2</v>
      </c>
    </row>
    <row r="2123" spans="1:3" x14ac:dyDescent="0.3">
      <c r="A2123" s="8" t="s">
        <v>2133</v>
      </c>
      <c r="B2123" s="8" t="s">
        <v>12</v>
      </c>
      <c r="C2123" t="s">
        <v>2</v>
      </c>
    </row>
    <row r="2124" spans="1:3" x14ac:dyDescent="0.3">
      <c r="A2124" s="8" t="s">
        <v>2134</v>
      </c>
      <c r="B2124" s="8" t="s">
        <v>12</v>
      </c>
      <c r="C2124" t="s">
        <v>2</v>
      </c>
    </row>
    <row r="2125" spans="1:3" x14ac:dyDescent="0.3">
      <c r="A2125" s="8" t="s">
        <v>2135</v>
      </c>
      <c r="B2125" s="8" t="s">
        <v>12</v>
      </c>
      <c r="C2125" t="s">
        <v>2</v>
      </c>
    </row>
    <row r="2126" spans="1:3" x14ac:dyDescent="0.3">
      <c r="A2126" s="8" t="s">
        <v>2136</v>
      </c>
      <c r="B2126" s="8" t="s">
        <v>12</v>
      </c>
      <c r="C2126" t="s">
        <v>2</v>
      </c>
    </row>
    <row r="2127" spans="1:3" x14ac:dyDescent="0.3">
      <c r="A2127" s="8" t="s">
        <v>2137</v>
      </c>
      <c r="B2127" s="8" t="s">
        <v>12</v>
      </c>
      <c r="C2127" t="s">
        <v>2</v>
      </c>
    </row>
    <row r="2128" spans="1:3" x14ac:dyDescent="0.3">
      <c r="A2128" s="8" t="s">
        <v>2138</v>
      </c>
      <c r="B2128" s="8" t="s">
        <v>12</v>
      </c>
      <c r="C2128" t="s">
        <v>2</v>
      </c>
    </row>
    <row r="2129" spans="1:3" x14ac:dyDescent="0.3">
      <c r="A2129" s="8" t="s">
        <v>2139</v>
      </c>
      <c r="B2129" s="8" t="s">
        <v>12</v>
      </c>
      <c r="C2129" t="s">
        <v>2</v>
      </c>
    </row>
    <row r="2130" spans="1:3" x14ac:dyDescent="0.3">
      <c r="A2130" s="8" t="s">
        <v>2140</v>
      </c>
      <c r="B2130" s="8" t="s">
        <v>12</v>
      </c>
      <c r="C2130" t="s">
        <v>2</v>
      </c>
    </row>
    <row r="2131" spans="1:3" x14ac:dyDescent="0.3">
      <c r="A2131" s="8" t="s">
        <v>2141</v>
      </c>
      <c r="B2131" s="8" t="s">
        <v>12</v>
      </c>
      <c r="C2131" t="s">
        <v>2</v>
      </c>
    </row>
    <row r="2132" spans="1:3" x14ac:dyDescent="0.3">
      <c r="A2132" s="8" t="s">
        <v>2142</v>
      </c>
      <c r="B2132" s="8" t="s">
        <v>12</v>
      </c>
      <c r="C2132" t="s">
        <v>2</v>
      </c>
    </row>
    <row r="2133" spans="1:3" x14ac:dyDescent="0.3">
      <c r="A2133" s="8" t="s">
        <v>2143</v>
      </c>
      <c r="B2133" s="8" t="s">
        <v>12</v>
      </c>
      <c r="C2133" t="s">
        <v>2</v>
      </c>
    </row>
    <row r="2134" spans="1:3" x14ac:dyDescent="0.3">
      <c r="A2134" s="8" t="s">
        <v>2144</v>
      </c>
      <c r="B2134" s="8" t="s">
        <v>12</v>
      </c>
      <c r="C2134" t="s">
        <v>2</v>
      </c>
    </row>
    <row r="2135" spans="1:3" x14ac:dyDescent="0.3">
      <c r="A2135" s="8" t="s">
        <v>2145</v>
      </c>
      <c r="B2135" s="8" t="s">
        <v>12</v>
      </c>
      <c r="C2135" t="s">
        <v>2</v>
      </c>
    </row>
    <row r="2136" spans="1:3" x14ac:dyDescent="0.3">
      <c r="A2136" s="8" t="s">
        <v>2146</v>
      </c>
      <c r="B2136" s="8" t="s">
        <v>12</v>
      </c>
      <c r="C2136" t="s">
        <v>2</v>
      </c>
    </row>
    <row r="2137" spans="1:3" x14ac:dyDescent="0.3">
      <c r="A2137" s="8" t="s">
        <v>2147</v>
      </c>
      <c r="B2137" s="8" t="s">
        <v>12</v>
      </c>
      <c r="C2137" t="s">
        <v>2</v>
      </c>
    </row>
    <row r="2138" spans="1:3" x14ac:dyDescent="0.3">
      <c r="A2138" s="8" t="s">
        <v>2148</v>
      </c>
      <c r="B2138" s="8" t="s">
        <v>12</v>
      </c>
      <c r="C2138" t="s">
        <v>2</v>
      </c>
    </row>
    <row r="2139" spans="1:3" x14ac:dyDescent="0.3">
      <c r="A2139" s="8" t="s">
        <v>2149</v>
      </c>
      <c r="B2139" s="8" t="s">
        <v>12</v>
      </c>
      <c r="C2139" t="s">
        <v>2</v>
      </c>
    </row>
    <row r="2140" spans="1:3" x14ac:dyDescent="0.3">
      <c r="A2140" s="8" t="s">
        <v>2150</v>
      </c>
      <c r="B2140" s="8" t="s">
        <v>12</v>
      </c>
      <c r="C2140" t="s">
        <v>2</v>
      </c>
    </row>
    <row r="2141" spans="1:3" x14ac:dyDescent="0.3">
      <c r="A2141" s="8" t="s">
        <v>2151</v>
      </c>
      <c r="B2141" s="8" t="s">
        <v>12</v>
      </c>
      <c r="C2141" t="s">
        <v>2</v>
      </c>
    </row>
    <row r="2142" spans="1:3" x14ac:dyDescent="0.3">
      <c r="A2142" s="8" t="s">
        <v>2152</v>
      </c>
      <c r="B2142" s="8" t="s">
        <v>12</v>
      </c>
      <c r="C2142" t="s">
        <v>2</v>
      </c>
    </row>
    <row r="2143" spans="1:3" x14ac:dyDescent="0.3">
      <c r="A2143" s="8" t="s">
        <v>2153</v>
      </c>
      <c r="B2143" s="8" t="s">
        <v>12</v>
      </c>
      <c r="C2143" t="s">
        <v>2</v>
      </c>
    </row>
    <row r="2144" spans="1:3" x14ac:dyDescent="0.3">
      <c r="A2144" s="8" t="s">
        <v>2154</v>
      </c>
      <c r="B2144" s="8" t="s">
        <v>12</v>
      </c>
      <c r="C2144" t="s">
        <v>2</v>
      </c>
    </row>
    <row r="2145" spans="1:3" x14ac:dyDescent="0.3">
      <c r="A2145" s="8" t="s">
        <v>2155</v>
      </c>
      <c r="B2145" s="8" t="s">
        <v>12</v>
      </c>
      <c r="C2145" t="s">
        <v>2</v>
      </c>
    </row>
    <row r="2146" spans="1:3" x14ac:dyDescent="0.3">
      <c r="A2146" s="8" t="s">
        <v>2156</v>
      </c>
      <c r="B2146" s="8" t="s">
        <v>12</v>
      </c>
      <c r="C2146" t="s">
        <v>2</v>
      </c>
    </row>
    <row r="2147" spans="1:3" x14ac:dyDescent="0.3">
      <c r="A2147" s="8" t="s">
        <v>2157</v>
      </c>
      <c r="B2147" s="8" t="s">
        <v>12</v>
      </c>
      <c r="C2147" t="s">
        <v>2</v>
      </c>
    </row>
    <row r="2148" spans="1:3" x14ac:dyDescent="0.3">
      <c r="A2148" s="8" t="s">
        <v>2158</v>
      </c>
      <c r="B2148" s="8" t="s">
        <v>12</v>
      </c>
      <c r="C2148" t="s">
        <v>2</v>
      </c>
    </row>
    <row r="2149" spans="1:3" x14ac:dyDescent="0.3">
      <c r="A2149" s="8" t="s">
        <v>2159</v>
      </c>
      <c r="B2149" s="8" t="s">
        <v>12</v>
      </c>
      <c r="C2149" t="s">
        <v>2</v>
      </c>
    </row>
    <row r="2150" spans="1:3" x14ac:dyDescent="0.3">
      <c r="A2150" s="8" t="s">
        <v>2160</v>
      </c>
      <c r="B2150" s="8" t="s">
        <v>12</v>
      </c>
      <c r="C2150" t="s">
        <v>2</v>
      </c>
    </row>
    <row r="2151" spans="1:3" x14ac:dyDescent="0.3">
      <c r="A2151" s="8" t="s">
        <v>2161</v>
      </c>
      <c r="B2151" s="8" t="s">
        <v>12</v>
      </c>
      <c r="C2151" t="s">
        <v>2</v>
      </c>
    </row>
    <row r="2152" spans="1:3" x14ac:dyDescent="0.3">
      <c r="A2152" s="8" t="s">
        <v>2162</v>
      </c>
      <c r="B2152" s="8" t="s">
        <v>12</v>
      </c>
      <c r="C2152" t="s">
        <v>2</v>
      </c>
    </row>
    <row r="2153" spans="1:3" x14ac:dyDescent="0.3">
      <c r="A2153" s="8" t="s">
        <v>2163</v>
      </c>
      <c r="B2153" s="8" t="s">
        <v>12</v>
      </c>
      <c r="C2153" t="s">
        <v>2</v>
      </c>
    </row>
    <row r="2154" spans="1:3" x14ac:dyDescent="0.3">
      <c r="A2154" s="8" t="s">
        <v>2164</v>
      </c>
      <c r="B2154" s="8" t="s">
        <v>12</v>
      </c>
      <c r="C2154" t="s">
        <v>2</v>
      </c>
    </row>
    <row r="2155" spans="1:3" x14ac:dyDescent="0.3">
      <c r="A2155" s="8" t="s">
        <v>2165</v>
      </c>
      <c r="B2155" s="8" t="s">
        <v>12</v>
      </c>
      <c r="C2155" t="s">
        <v>2</v>
      </c>
    </row>
    <row r="2156" spans="1:3" x14ac:dyDescent="0.3">
      <c r="A2156" s="8" t="s">
        <v>2166</v>
      </c>
      <c r="B2156" s="8" t="s">
        <v>12</v>
      </c>
      <c r="C2156" t="s">
        <v>2</v>
      </c>
    </row>
    <row r="2157" spans="1:3" x14ac:dyDescent="0.3">
      <c r="A2157" s="8" t="s">
        <v>2167</v>
      </c>
      <c r="B2157" s="8" t="s">
        <v>12</v>
      </c>
      <c r="C2157" t="s">
        <v>2</v>
      </c>
    </row>
    <row r="2158" spans="1:3" x14ac:dyDescent="0.3">
      <c r="A2158" s="8" t="s">
        <v>2168</v>
      </c>
      <c r="B2158" s="8" t="s">
        <v>12</v>
      </c>
      <c r="C2158" t="s">
        <v>2</v>
      </c>
    </row>
    <row r="2159" spans="1:3" x14ac:dyDescent="0.3">
      <c r="A2159" s="8" t="s">
        <v>2169</v>
      </c>
      <c r="B2159" s="8" t="s">
        <v>12</v>
      </c>
      <c r="C2159" t="s">
        <v>3</v>
      </c>
    </row>
    <row r="2160" spans="1:3" x14ac:dyDescent="0.3">
      <c r="A2160" s="8" t="s">
        <v>2170</v>
      </c>
      <c r="B2160" s="8" t="s">
        <v>12</v>
      </c>
      <c r="C2160" t="s">
        <v>3</v>
      </c>
    </row>
    <row r="2161" spans="1:3" x14ac:dyDescent="0.3">
      <c r="A2161" s="8" t="s">
        <v>2171</v>
      </c>
      <c r="B2161" s="8" t="s">
        <v>12</v>
      </c>
      <c r="C2161" t="s">
        <v>3</v>
      </c>
    </row>
    <row r="2162" spans="1:3" x14ac:dyDescent="0.3">
      <c r="A2162" s="8" t="s">
        <v>2172</v>
      </c>
      <c r="B2162" s="8" t="s">
        <v>12</v>
      </c>
      <c r="C2162" t="s">
        <v>3</v>
      </c>
    </row>
    <row r="2163" spans="1:3" x14ac:dyDescent="0.3">
      <c r="A2163" s="8" t="s">
        <v>2173</v>
      </c>
      <c r="B2163" s="8" t="s">
        <v>12</v>
      </c>
      <c r="C2163" t="s">
        <v>3</v>
      </c>
    </row>
    <row r="2164" spans="1:3" x14ac:dyDescent="0.3">
      <c r="A2164" s="8" t="s">
        <v>2174</v>
      </c>
      <c r="B2164" s="8" t="s">
        <v>12</v>
      </c>
      <c r="C2164" t="s">
        <v>3</v>
      </c>
    </row>
    <row r="2165" spans="1:3" x14ac:dyDescent="0.3">
      <c r="A2165" s="8" t="s">
        <v>2175</v>
      </c>
      <c r="B2165" s="8" t="s">
        <v>12</v>
      </c>
      <c r="C2165" t="s">
        <v>3</v>
      </c>
    </row>
    <row r="2166" spans="1:3" x14ac:dyDescent="0.3">
      <c r="A2166" s="8" t="s">
        <v>2176</v>
      </c>
      <c r="B2166" s="8" t="s">
        <v>12</v>
      </c>
      <c r="C2166" t="s">
        <v>3</v>
      </c>
    </row>
    <row r="2167" spans="1:3" x14ac:dyDescent="0.3">
      <c r="A2167" s="8" t="s">
        <v>2177</v>
      </c>
      <c r="B2167" s="8" t="s">
        <v>12</v>
      </c>
      <c r="C2167" t="s">
        <v>3</v>
      </c>
    </row>
    <row r="2168" spans="1:3" x14ac:dyDescent="0.3">
      <c r="A2168" s="8" t="s">
        <v>2178</v>
      </c>
      <c r="B2168" s="8" t="s">
        <v>12</v>
      </c>
      <c r="C2168" t="s">
        <v>3</v>
      </c>
    </row>
    <row r="2169" spans="1:3" x14ac:dyDescent="0.3">
      <c r="A2169" s="8" t="s">
        <v>2179</v>
      </c>
      <c r="B2169" s="8" t="s">
        <v>12</v>
      </c>
      <c r="C2169" t="s">
        <v>3</v>
      </c>
    </row>
    <row r="2170" spans="1:3" x14ac:dyDescent="0.3">
      <c r="A2170" s="8" t="s">
        <v>2180</v>
      </c>
      <c r="B2170" s="8" t="s">
        <v>12</v>
      </c>
      <c r="C2170" t="s">
        <v>3</v>
      </c>
    </row>
    <row r="2171" spans="1:3" x14ac:dyDescent="0.3">
      <c r="A2171" s="8" t="s">
        <v>2181</v>
      </c>
      <c r="B2171" s="8" t="s">
        <v>12</v>
      </c>
      <c r="C2171" t="s">
        <v>3</v>
      </c>
    </row>
    <row r="2172" spans="1:3" x14ac:dyDescent="0.3">
      <c r="A2172" s="8" t="s">
        <v>2182</v>
      </c>
      <c r="B2172" s="8" t="s">
        <v>12</v>
      </c>
      <c r="C2172" t="s">
        <v>2</v>
      </c>
    </row>
    <row r="2173" spans="1:3" x14ac:dyDescent="0.3">
      <c r="A2173" s="8" t="s">
        <v>2183</v>
      </c>
      <c r="B2173" s="8" t="s">
        <v>12</v>
      </c>
      <c r="C2173" t="s">
        <v>2</v>
      </c>
    </row>
    <row r="2174" spans="1:3" x14ac:dyDescent="0.3">
      <c r="A2174" s="8" t="s">
        <v>2184</v>
      </c>
      <c r="B2174" s="8" t="s">
        <v>12</v>
      </c>
      <c r="C2174" t="s">
        <v>2</v>
      </c>
    </row>
    <row r="2175" spans="1:3" x14ac:dyDescent="0.3">
      <c r="A2175" s="8" t="s">
        <v>2185</v>
      </c>
      <c r="B2175" s="8" t="s">
        <v>12</v>
      </c>
      <c r="C2175" t="s">
        <v>2</v>
      </c>
    </row>
    <row r="2176" spans="1:3" x14ac:dyDescent="0.3">
      <c r="A2176" s="8" t="s">
        <v>2186</v>
      </c>
      <c r="B2176" s="8" t="s">
        <v>12</v>
      </c>
      <c r="C2176" t="s">
        <v>2</v>
      </c>
    </row>
    <row r="2177" spans="1:3" x14ac:dyDescent="0.3">
      <c r="A2177" s="8" t="s">
        <v>2187</v>
      </c>
      <c r="B2177" s="8" t="s">
        <v>12</v>
      </c>
      <c r="C2177" t="s">
        <v>2</v>
      </c>
    </row>
    <row r="2178" spans="1:3" x14ac:dyDescent="0.3">
      <c r="A2178" s="8" t="s">
        <v>2188</v>
      </c>
      <c r="B2178" s="8" t="s">
        <v>12</v>
      </c>
      <c r="C2178" t="s">
        <v>2</v>
      </c>
    </row>
    <row r="2179" spans="1:3" x14ac:dyDescent="0.3">
      <c r="A2179" s="8" t="s">
        <v>2189</v>
      </c>
      <c r="B2179" s="8" t="s">
        <v>12</v>
      </c>
      <c r="C2179" t="s">
        <v>2</v>
      </c>
    </row>
    <row r="2180" spans="1:3" x14ac:dyDescent="0.3">
      <c r="A2180" s="8" t="s">
        <v>2190</v>
      </c>
      <c r="B2180" s="8" t="s">
        <v>12</v>
      </c>
      <c r="C2180" t="s">
        <v>2</v>
      </c>
    </row>
    <row r="2181" spans="1:3" x14ac:dyDescent="0.3">
      <c r="A2181" s="8" t="s">
        <v>2191</v>
      </c>
      <c r="B2181" s="8" t="s">
        <v>12</v>
      </c>
      <c r="C2181" t="s">
        <v>2</v>
      </c>
    </row>
    <row r="2182" spans="1:3" x14ac:dyDescent="0.3">
      <c r="A2182" s="8" t="s">
        <v>2192</v>
      </c>
      <c r="B2182" s="8" t="s">
        <v>12</v>
      </c>
      <c r="C2182" t="s">
        <v>2</v>
      </c>
    </row>
    <row r="2183" spans="1:3" x14ac:dyDescent="0.3">
      <c r="A2183" s="8" t="s">
        <v>2193</v>
      </c>
      <c r="B2183" s="8" t="s">
        <v>12</v>
      </c>
      <c r="C2183" t="s">
        <v>2</v>
      </c>
    </row>
    <row r="2184" spans="1:3" x14ac:dyDescent="0.3">
      <c r="A2184" s="8" t="s">
        <v>2194</v>
      </c>
      <c r="B2184" s="8" t="s">
        <v>12</v>
      </c>
      <c r="C2184" t="s">
        <v>2</v>
      </c>
    </row>
    <row r="2185" spans="1:3" x14ac:dyDescent="0.3">
      <c r="A2185" s="8" t="s">
        <v>2195</v>
      </c>
      <c r="B2185" s="8" t="s">
        <v>12</v>
      </c>
      <c r="C2185" t="s">
        <v>2</v>
      </c>
    </row>
    <row r="2186" spans="1:3" x14ac:dyDescent="0.3">
      <c r="A2186" s="8" t="s">
        <v>2196</v>
      </c>
      <c r="B2186" s="8" t="s">
        <v>12</v>
      </c>
      <c r="C2186" t="s">
        <v>2</v>
      </c>
    </row>
    <row r="2187" spans="1:3" x14ac:dyDescent="0.3">
      <c r="A2187" s="8" t="s">
        <v>2197</v>
      </c>
      <c r="B2187" s="8" t="s">
        <v>12</v>
      </c>
      <c r="C2187" t="s">
        <v>2</v>
      </c>
    </row>
    <row r="2188" spans="1:3" x14ac:dyDescent="0.3">
      <c r="A2188" s="8" t="s">
        <v>2198</v>
      </c>
      <c r="B2188" s="8" t="s">
        <v>12</v>
      </c>
      <c r="C2188" t="s">
        <v>2</v>
      </c>
    </row>
    <row r="2189" spans="1:3" x14ac:dyDescent="0.3">
      <c r="A2189" s="8" t="s">
        <v>2199</v>
      </c>
      <c r="B2189" s="8" t="s">
        <v>12</v>
      </c>
      <c r="C2189" t="s">
        <v>2</v>
      </c>
    </row>
    <row r="2190" spans="1:3" x14ac:dyDescent="0.3">
      <c r="A2190" s="8" t="s">
        <v>2200</v>
      </c>
      <c r="B2190" s="8" t="s">
        <v>12</v>
      </c>
      <c r="C2190" t="s">
        <v>2</v>
      </c>
    </row>
    <row r="2191" spans="1:3" x14ac:dyDescent="0.3">
      <c r="A2191" s="8" t="s">
        <v>2201</v>
      </c>
      <c r="B2191" s="8" t="s">
        <v>12</v>
      </c>
      <c r="C2191" t="s">
        <v>2</v>
      </c>
    </row>
    <row r="2192" spans="1:3" x14ac:dyDescent="0.3">
      <c r="A2192" s="8" t="s">
        <v>2202</v>
      </c>
      <c r="B2192" s="8" t="s">
        <v>12</v>
      </c>
      <c r="C2192" t="s">
        <v>2</v>
      </c>
    </row>
    <row r="2193" spans="1:3" x14ac:dyDescent="0.3">
      <c r="A2193" s="8" t="s">
        <v>2203</v>
      </c>
      <c r="B2193" s="8" t="s">
        <v>12</v>
      </c>
      <c r="C2193" t="s">
        <v>2</v>
      </c>
    </row>
    <row r="2194" spans="1:3" x14ac:dyDescent="0.3">
      <c r="A2194" s="8" t="s">
        <v>2204</v>
      </c>
      <c r="B2194" s="8" t="s">
        <v>12</v>
      </c>
      <c r="C2194" t="s">
        <v>2</v>
      </c>
    </row>
    <row r="2195" spans="1:3" x14ac:dyDescent="0.3">
      <c r="A2195" s="8" t="s">
        <v>2205</v>
      </c>
      <c r="B2195" s="8" t="s">
        <v>12</v>
      </c>
      <c r="C2195" t="s">
        <v>2</v>
      </c>
    </row>
    <row r="2196" spans="1:3" x14ac:dyDescent="0.3">
      <c r="A2196" s="8" t="s">
        <v>2206</v>
      </c>
      <c r="B2196" s="8" t="s">
        <v>12</v>
      </c>
      <c r="C2196" t="s">
        <v>2</v>
      </c>
    </row>
    <row r="2197" spans="1:3" x14ac:dyDescent="0.3">
      <c r="A2197" s="8" t="s">
        <v>2207</v>
      </c>
      <c r="B2197" s="8" t="s">
        <v>12</v>
      </c>
      <c r="C2197" t="s">
        <v>2</v>
      </c>
    </row>
    <row r="2198" spans="1:3" x14ac:dyDescent="0.3">
      <c r="A2198" s="8" t="s">
        <v>2208</v>
      </c>
      <c r="B2198" s="8" t="s">
        <v>12</v>
      </c>
      <c r="C2198" t="s">
        <v>2</v>
      </c>
    </row>
    <row r="2199" spans="1:3" x14ac:dyDescent="0.3">
      <c r="A2199" s="8" t="s">
        <v>2209</v>
      </c>
      <c r="B2199" s="8" t="s">
        <v>12</v>
      </c>
      <c r="C2199" t="s">
        <v>2</v>
      </c>
    </row>
    <row r="2200" spans="1:3" x14ac:dyDescent="0.3">
      <c r="A2200" s="8" t="s">
        <v>2210</v>
      </c>
      <c r="B2200" s="8" t="s">
        <v>12</v>
      </c>
      <c r="C2200" t="s">
        <v>2</v>
      </c>
    </row>
    <row r="2201" spans="1:3" x14ac:dyDescent="0.3">
      <c r="A2201" s="8" t="s">
        <v>2211</v>
      </c>
      <c r="B2201" s="8" t="s">
        <v>12</v>
      </c>
      <c r="C2201" t="s">
        <v>2</v>
      </c>
    </row>
    <row r="2202" spans="1:3" x14ac:dyDescent="0.3">
      <c r="A2202" s="8" t="s">
        <v>2212</v>
      </c>
      <c r="B2202" s="8" t="s">
        <v>12</v>
      </c>
      <c r="C2202" t="s">
        <v>2</v>
      </c>
    </row>
    <row r="2203" spans="1:3" x14ac:dyDescent="0.3">
      <c r="A2203" s="8" t="s">
        <v>2213</v>
      </c>
      <c r="B2203" s="8" t="s">
        <v>12</v>
      </c>
      <c r="C2203" t="s">
        <v>2</v>
      </c>
    </row>
    <row r="2204" spans="1:3" x14ac:dyDescent="0.3">
      <c r="A2204" s="8" t="s">
        <v>2214</v>
      </c>
      <c r="B2204" s="8" t="s">
        <v>12</v>
      </c>
      <c r="C2204" t="s">
        <v>2</v>
      </c>
    </row>
    <row r="2205" spans="1:3" x14ac:dyDescent="0.3">
      <c r="A2205" s="8" t="s">
        <v>2215</v>
      </c>
      <c r="B2205" s="8" t="s">
        <v>12</v>
      </c>
      <c r="C2205" t="s">
        <v>2</v>
      </c>
    </row>
    <row r="2206" spans="1:3" x14ac:dyDescent="0.3">
      <c r="A2206" s="8" t="s">
        <v>2216</v>
      </c>
      <c r="B2206" s="8" t="s">
        <v>12</v>
      </c>
      <c r="C2206" t="s">
        <v>2</v>
      </c>
    </row>
    <row r="2207" spans="1:3" x14ac:dyDescent="0.3">
      <c r="A2207" s="8" t="s">
        <v>2217</v>
      </c>
      <c r="B2207" s="8" t="s">
        <v>12</v>
      </c>
      <c r="C2207" t="s">
        <v>2</v>
      </c>
    </row>
    <row r="2208" spans="1:3" x14ac:dyDescent="0.3">
      <c r="A2208" s="8" t="s">
        <v>2218</v>
      </c>
      <c r="B2208" s="8" t="s">
        <v>12</v>
      </c>
      <c r="C2208" t="s">
        <v>2</v>
      </c>
    </row>
    <row r="2209" spans="1:3" x14ac:dyDescent="0.3">
      <c r="A2209" s="8" t="s">
        <v>2219</v>
      </c>
      <c r="B2209" s="8" t="s">
        <v>12</v>
      </c>
      <c r="C2209" t="s">
        <v>2</v>
      </c>
    </row>
    <row r="2210" spans="1:3" x14ac:dyDescent="0.3">
      <c r="A2210" s="8" t="s">
        <v>2220</v>
      </c>
      <c r="B2210" s="8" t="s">
        <v>12</v>
      </c>
      <c r="C2210" t="s">
        <v>2</v>
      </c>
    </row>
    <row r="2211" spans="1:3" x14ac:dyDescent="0.3">
      <c r="A2211" s="8" t="s">
        <v>2221</v>
      </c>
      <c r="B2211" s="8" t="s">
        <v>12</v>
      </c>
      <c r="C2211" t="s">
        <v>2</v>
      </c>
    </row>
    <row r="2212" spans="1:3" x14ac:dyDescent="0.3">
      <c r="A2212" s="8" t="s">
        <v>2222</v>
      </c>
      <c r="B2212" s="8" t="s">
        <v>12</v>
      </c>
      <c r="C2212" t="s">
        <v>2</v>
      </c>
    </row>
    <row r="2213" spans="1:3" x14ac:dyDescent="0.3">
      <c r="A2213" s="8" t="s">
        <v>2223</v>
      </c>
      <c r="B2213" s="8" t="s">
        <v>12</v>
      </c>
      <c r="C2213" t="s">
        <v>2</v>
      </c>
    </row>
    <row r="2214" spans="1:3" x14ac:dyDescent="0.3">
      <c r="A2214" s="8" t="s">
        <v>2224</v>
      </c>
      <c r="B2214" s="8" t="s">
        <v>12</v>
      </c>
      <c r="C2214" t="s">
        <v>2</v>
      </c>
    </row>
    <row r="2215" spans="1:3" x14ac:dyDescent="0.3">
      <c r="A2215" s="8" t="s">
        <v>2225</v>
      </c>
      <c r="B2215" s="8" t="s">
        <v>12</v>
      </c>
      <c r="C2215" t="s">
        <v>2</v>
      </c>
    </row>
    <row r="2216" spans="1:3" x14ac:dyDescent="0.3">
      <c r="A2216" s="8" t="s">
        <v>2226</v>
      </c>
      <c r="B2216" s="8" t="s">
        <v>12</v>
      </c>
      <c r="C2216" t="s">
        <v>2</v>
      </c>
    </row>
    <row r="2217" spans="1:3" x14ac:dyDescent="0.3">
      <c r="A2217" s="8" t="s">
        <v>2227</v>
      </c>
      <c r="B2217" s="8" t="s">
        <v>12</v>
      </c>
      <c r="C2217" t="s">
        <v>2</v>
      </c>
    </row>
    <row r="2218" spans="1:3" x14ac:dyDescent="0.3">
      <c r="A2218" s="8" t="s">
        <v>2228</v>
      </c>
      <c r="B2218" s="8" t="s">
        <v>12</v>
      </c>
      <c r="C2218" t="s">
        <v>2</v>
      </c>
    </row>
    <row r="2219" spans="1:3" x14ac:dyDescent="0.3">
      <c r="A2219" s="8" t="s">
        <v>2229</v>
      </c>
      <c r="B2219" s="8" t="s">
        <v>12</v>
      </c>
      <c r="C2219" t="s">
        <v>2</v>
      </c>
    </row>
    <row r="2220" spans="1:3" x14ac:dyDescent="0.3">
      <c r="A2220" s="8" t="s">
        <v>2230</v>
      </c>
      <c r="B2220" s="8" t="s">
        <v>12</v>
      </c>
      <c r="C2220" t="s">
        <v>2</v>
      </c>
    </row>
    <row r="2221" spans="1:3" x14ac:dyDescent="0.3">
      <c r="A2221" s="8" t="s">
        <v>2231</v>
      </c>
      <c r="B2221" s="8" t="s">
        <v>12</v>
      </c>
      <c r="C2221" t="s">
        <v>2</v>
      </c>
    </row>
    <row r="2222" spans="1:3" x14ac:dyDescent="0.3">
      <c r="A2222" s="8" t="s">
        <v>2232</v>
      </c>
      <c r="B2222" s="8" t="s">
        <v>12</v>
      </c>
      <c r="C2222" t="s">
        <v>2</v>
      </c>
    </row>
    <row r="2223" spans="1:3" x14ac:dyDescent="0.3">
      <c r="A2223" s="8" t="s">
        <v>2233</v>
      </c>
      <c r="B2223" s="8" t="s">
        <v>12</v>
      </c>
      <c r="C2223" t="s">
        <v>3</v>
      </c>
    </row>
    <row r="2224" spans="1:3" x14ac:dyDescent="0.3">
      <c r="A2224" s="8" t="s">
        <v>2234</v>
      </c>
      <c r="B2224" s="8" t="s">
        <v>12</v>
      </c>
      <c r="C2224" t="s">
        <v>3</v>
      </c>
    </row>
    <row r="2225" spans="1:3" x14ac:dyDescent="0.3">
      <c r="A2225" s="8" t="s">
        <v>2235</v>
      </c>
      <c r="B2225" s="8" t="s">
        <v>12</v>
      </c>
      <c r="C2225" t="s">
        <v>3</v>
      </c>
    </row>
    <row r="2226" spans="1:3" x14ac:dyDescent="0.3">
      <c r="A2226" s="8" t="s">
        <v>2236</v>
      </c>
      <c r="B2226" s="8" t="s">
        <v>12</v>
      </c>
      <c r="C2226" t="s">
        <v>3</v>
      </c>
    </row>
    <row r="2227" spans="1:3" x14ac:dyDescent="0.3">
      <c r="A2227" s="8" t="s">
        <v>2237</v>
      </c>
      <c r="B2227" s="8" t="s">
        <v>12</v>
      </c>
      <c r="C2227" t="s">
        <v>3</v>
      </c>
    </row>
    <row r="2228" spans="1:3" x14ac:dyDescent="0.3">
      <c r="A2228" s="8" t="s">
        <v>2238</v>
      </c>
      <c r="B2228" s="8" t="s">
        <v>12</v>
      </c>
      <c r="C2228" t="s">
        <v>2</v>
      </c>
    </row>
    <row r="2229" spans="1:3" x14ac:dyDescent="0.3">
      <c r="A2229" s="8" t="s">
        <v>2239</v>
      </c>
      <c r="B2229" s="8" t="s">
        <v>12</v>
      </c>
      <c r="C2229" t="s">
        <v>2</v>
      </c>
    </row>
    <row r="2230" spans="1:3" x14ac:dyDescent="0.3">
      <c r="A2230" s="8" t="s">
        <v>2240</v>
      </c>
      <c r="B2230" s="8" t="s">
        <v>12</v>
      </c>
      <c r="C2230" t="s">
        <v>2</v>
      </c>
    </row>
    <row r="2231" spans="1:3" x14ac:dyDescent="0.3">
      <c r="A2231" s="8" t="s">
        <v>2241</v>
      </c>
      <c r="B2231" s="8" t="s">
        <v>12</v>
      </c>
      <c r="C2231" t="s">
        <v>2</v>
      </c>
    </row>
    <row r="2232" spans="1:3" x14ac:dyDescent="0.3">
      <c r="A2232" s="8" t="s">
        <v>2242</v>
      </c>
      <c r="B2232" s="8" t="s">
        <v>12</v>
      </c>
      <c r="C2232" t="s">
        <v>2</v>
      </c>
    </row>
    <row r="2233" spans="1:3" x14ac:dyDescent="0.3">
      <c r="A2233" s="8" t="s">
        <v>2243</v>
      </c>
      <c r="B2233" s="8" t="s">
        <v>12</v>
      </c>
      <c r="C2233" t="s">
        <v>2</v>
      </c>
    </row>
    <row r="2234" spans="1:3" x14ac:dyDescent="0.3">
      <c r="A2234" s="8" t="s">
        <v>2244</v>
      </c>
      <c r="B2234" s="8" t="s">
        <v>12</v>
      </c>
      <c r="C2234" t="s">
        <v>2</v>
      </c>
    </row>
    <row r="2235" spans="1:3" x14ac:dyDescent="0.3">
      <c r="A2235" s="8" t="s">
        <v>2245</v>
      </c>
      <c r="B2235" s="8" t="s">
        <v>12</v>
      </c>
      <c r="C2235" t="s">
        <v>3678</v>
      </c>
    </row>
    <row r="2236" spans="1:3" x14ac:dyDescent="0.3">
      <c r="A2236" s="8" t="s">
        <v>2246</v>
      </c>
      <c r="B2236" s="8" t="s">
        <v>12</v>
      </c>
      <c r="C2236" t="s">
        <v>3678</v>
      </c>
    </row>
    <row r="2237" spans="1:3" x14ac:dyDescent="0.3">
      <c r="A2237" s="8" t="s">
        <v>2247</v>
      </c>
      <c r="B2237" s="8" t="s">
        <v>12</v>
      </c>
      <c r="C2237" t="s">
        <v>3678</v>
      </c>
    </row>
    <row r="2238" spans="1:3" x14ac:dyDescent="0.3">
      <c r="A2238" s="8" t="s">
        <v>2248</v>
      </c>
      <c r="B2238" s="8" t="s">
        <v>12</v>
      </c>
      <c r="C2238" t="s">
        <v>3678</v>
      </c>
    </row>
    <row r="2239" spans="1:3" x14ac:dyDescent="0.3">
      <c r="A2239" s="8" t="s">
        <v>2249</v>
      </c>
      <c r="B2239" s="8" t="s">
        <v>12</v>
      </c>
      <c r="C2239" t="s">
        <v>3678</v>
      </c>
    </row>
    <row r="2240" spans="1:3" x14ac:dyDescent="0.3">
      <c r="A2240" s="8" t="s">
        <v>2250</v>
      </c>
      <c r="B2240" s="8" t="s">
        <v>12</v>
      </c>
      <c r="C2240" t="s">
        <v>2</v>
      </c>
    </row>
    <row r="2241" spans="1:3" x14ac:dyDescent="0.3">
      <c r="A2241" s="8" t="s">
        <v>2251</v>
      </c>
      <c r="B2241" s="8" t="s">
        <v>12</v>
      </c>
      <c r="C2241" t="s">
        <v>2</v>
      </c>
    </row>
    <row r="2242" spans="1:3" x14ac:dyDescent="0.3">
      <c r="A2242" s="8" t="s">
        <v>2252</v>
      </c>
      <c r="B2242" s="8" t="s">
        <v>12</v>
      </c>
      <c r="C2242" t="s">
        <v>2</v>
      </c>
    </row>
    <row r="2243" spans="1:3" x14ac:dyDescent="0.3">
      <c r="A2243" s="8" t="s">
        <v>2253</v>
      </c>
      <c r="B2243" s="8" t="s">
        <v>12</v>
      </c>
      <c r="C2243" t="s">
        <v>2</v>
      </c>
    </row>
    <row r="2244" spans="1:3" x14ac:dyDescent="0.3">
      <c r="A2244" s="8" t="s">
        <v>2254</v>
      </c>
      <c r="B2244" s="8" t="s">
        <v>12</v>
      </c>
      <c r="C2244" t="s">
        <v>2</v>
      </c>
    </row>
    <row r="2245" spans="1:3" x14ac:dyDescent="0.3">
      <c r="A2245" s="8" t="s">
        <v>2255</v>
      </c>
      <c r="B2245" s="8" t="s">
        <v>12</v>
      </c>
      <c r="C2245" t="s">
        <v>2</v>
      </c>
    </row>
    <row r="2246" spans="1:3" x14ac:dyDescent="0.3">
      <c r="A2246" s="8" t="s">
        <v>2256</v>
      </c>
      <c r="B2246" s="8" t="s">
        <v>12</v>
      </c>
      <c r="C2246" t="s">
        <v>2</v>
      </c>
    </row>
    <row r="2247" spans="1:3" x14ac:dyDescent="0.3">
      <c r="A2247" s="8" t="s">
        <v>2257</v>
      </c>
      <c r="B2247" s="8" t="s">
        <v>12</v>
      </c>
      <c r="C2247" t="s">
        <v>2</v>
      </c>
    </row>
    <row r="2248" spans="1:3" x14ac:dyDescent="0.3">
      <c r="A2248" s="8" t="s">
        <v>2258</v>
      </c>
      <c r="B2248" s="8" t="s">
        <v>12</v>
      </c>
      <c r="C2248" t="s">
        <v>2</v>
      </c>
    </row>
    <row r="2249" spans="1:3" x14ac:dyDescent="0.3">
      <c r="A2249" s="8" t="s">
        <v>2259</v>
      </c>
      <c r="B2249" s="8" t="s">
        <v>12</v>
      </c>
      <c r="C2249" t="s">
        <v>2</v>
      </c>
    </row>
    <row r="2250" spans="1:3" x14ac:dyDescent="0.3">
      <c r="A2250" s="8" t="s">
        <v>2260</v>
      </c>
      <c r="B2250" s="8" t="s">
        <v>12</v>
      </c>
      <c r="C2250" t="s">
        <v>2</v>
      </c>
    </row>
    <row r="2251" spans="1:3" x14ac:dyDescent="0.3">
      <c r="A2251" s="8" t="s">
        <v>2261</v>
      </c>
      <c r="B2251" s="8" t="s">
        <v>12</v>
      </c>
      <c r="C2251" t="s">
        <v>2</v>
      </c>
    </row>
    <row r="2252" spans="1:3" x14ac:dyDescent="0.3">
      <c r="A2252" s="8" t="s">
        <v>2262</v>
      </c>
      <c r="B2252" s="8" t="s">
        <v>12</v>
      </c>
      <c r="C2252" t="s">
        <v>2</v>
      </c>
    </row>
    <row r="2253" spans="1:3" x14ac:dyDescent="0.3">
      <c r="A2253" s="8" t="s">
        <v>2263</v>
      </c>
      <c r="B2253" s="8" t="s">
        <v>12</v>
      </c>
      <c r="C2253" t="s">
        <v>2</v>
      </c>
    </row>
    <row r="2254" spans="1:3" x14ac:dyDescent="0.3">
      <c r="A2254" s="8" t="s">
        <v>2264</v>
      </c>
      <c r="B2254" s="8" t="s">
        <v>12</v>
      </c>
      <c r="C2254" t="s">
        <v>2</v>
      </c>
    </row>
    <row r="2255" spans="1:3" x14ac:dyDescent="0.3">
      <c r="A2255" s="8" t="s">
        <v>2265</v>
      </c>
      <c r="B2255" s="8" t="s">
        <v>12</v>
      </c>
      <c r="C2255" t="s">
        <v>2</v>
      </c>
    </row>
    <row r="2256" spans="1:3" x14ac:dyDescent="0.3">
      <c r="A2256" s="8" t="s">
        <v>2266</v>
      </c>
      <c r="B2256" s="8" t="s">
        <v>12</v>
      </c>
      <c r="C2256" t="s">
        <v>2</v>
      </c>
    </row>
    <row r="2257" spans="1:3" x14ac:dyDescent="0.3">
      <c r="A2257" s="8" t="s">
        <v>2267</v>
      </c>
      <c r="B2257" s="8" t="s">
        <v>12</v>
      </c>
      <c r="C2257" t="s">
        <v>2</v>
      </c>
    </row>
    <row r="2258" spans="1:3" x14ac:dyDescent="0.3">
      <c r="A2258" s="8" t="s">
        <v>2268</v>
      </c>
      <c r="B2258" s="8" t="s">
        <v>12</v>
      </c>
      <c r="C2258" t="s">
        <v>2</v>
      </c>
    </row>
    <row r="2259" spans="1:3" x14ac:dyDescent="0.3">
      <c r="A2259" s="8" t="s">
        <v>2269</v>
      </c>
      <c r="B2259" s="8" t="s">
        <v>12</v>
      </c>
      <c r="C2259" t="s">
        <v>2</v>
      </c>
    </row>
    <row r="2260" spans="1:3" x14ac:dyDescent="0.3">
      <c r="A2260" s="8" t="s">
        <v>2270</v>
      </c>
      <c r="B2260" s="8" t="s">
        <v>12</v>
      </c>
      <c r="C2260" t="s">
        <v>2</v>
      </c>
    </row>
    <row r="2261" spans="1:3" x14ac:dyDescent="0.3">
      <c r="A2261" s="8" t="s">
        <v>2271</v>
      </c>
      <c r="B2261" s="8" t="s">
        <v>12</v>
      </c>
      <c r="C2261" t="s">
        <v>2</v>
      </c>
    </row>
    <row r="2262" spans="1:3" x14ac:dyDescent="0.3">
      <c r="A2262" s="8" t="s">
        <v>2272</v>
      </c>
      <c r="B2262" s="8" t="s">
        <v>12</v>
      </c>
      <c r="C2262" t="s">
        <v>2</v>
      </c>
    </row>
    <row r="2263" spans="1:3" x14ac:dyDescent="0.3">
      <c r="A2263" s="8" t="s">
        <v>2273</v>
      </c>
      <c r="B2263" s="8" t="s">
        <v>12</v>
      </c>
      <c r="C2263" t="s">
        <v>2</v>
      </c>
    </row>
    <row r="2264" spans="1:3" x14ac:dyDescent="0.3">
      <c r="A2264" s="8" t="s">
        <v>2274</v>
      </c>
      <c r="B2264" s="8" t="s">
        <v>12</v>
      </c>
      <c r="C2264" t="s">
        <v>2</v>
      </c>
    </row>
    <row r="2265" spans="1:3" x14ac:dyDescent="0.3">
      <c r="A2265" s="8" t="s">
        <v>2275</v>
      </c>
      <c r="B2265" s="8" t="s">
        <v>12</v>
      </c>
      <c r="C2265" t="s">
        <v>2</v>
      </c>
    </row>
    <row r="2266" spans="1:3" x14ac:dyDescent="0.3">
      <c r="A2266" s="8" t="s">
        <v>2276</v>
      </c>
      <c r="B2266" s="8" t="s">
        <v>12</v>
      </c>
      <c r="C2266" t="s">
        <v>2</v>
      </c>
    </row>
    <row r="2267" spans="1:3" x14ac:dyDescent="0.3">
      <c r="A2267" s="8" t="s">
        <v>2277</v>
      </c>
      <c r="B2267" s="8" t="s">
        <v>12</v>
      </c>
      <c r="C2267" t="s">
        <v>2</v>
      </c>
    </row>
    <row r="2268" spans="1:3" x14ac:dyDescent="0.3">
      <c r="A2268" s="8" t="s">
        <v>2278</v>
      </c>
      <c r="B2268" s="8" t="s">
        <v>12</v>
      </c>
      <c r="C2268" t="s">
        <v>2</v>
      </c>
    </row>
    <row r="2269" spans="1:3" x14ac:dyDescent="0.3">
      <c r="A2269" s="8" t="s">
        <v>2279</v>
      </c>
      <c r="B2269" s="8" t="s">
        <v>12</v>
      </c>
      <c r="C2269" t="s">
        <v>2</v>
      </c>
    </row>
    <row r="2270" spans="1:3" x14ac:dyDescent="0.3">
      <c r="A2270" s="8" t="s">
        <v>2280</v>
      </c>
      <c r="B2270" s="8" t="s">
        <v>12</v>
      </c>
      <c r="C2270" t="s">
        <v>2</v>
      </c>
    </row>
    <row r="2271" spans="1:3" x14ac:dyDescent="0.3">
      <c r="A2271" s="8" t="s">
        <v>2281</v>
      </c>
      <c r="B2271" s="8" t="s">
        <v>12</v>
      </c>
      <c r="C2271" t="s">
        <v>2</v>
      </c>
    </row>
    <row r="2272" spans="1:3" x14ac:dyDescent="0.3">
      <c r="A2272" s="8" t="s">
        <v>2282</v>
      </c>
      <c r="B2272" s="8" t="s">
        <v>12</v>
      </c>
      <c r="C2272" t="s">
        <v>2</v>
      </c>
    </row>
    <row r="2273" spans="1:3" x14ac:dyDescent="0.3">
      <c r="A2273" s="8" t="s">
        <v>2283</v>
      </c>
      <c r="B2273" s="8" t="s">
        <v>12</v>
      </c>
      <c r="C2273" t="s">
        <v>2</v>
      </c>
    </row>
    <row r="2274" spans="1:3" x14ac:dyDescent="0.3">
      <c r="A2274" s="8" t="s">
        <v>2284</v>
      </c>
      <c r="B2274" s="8" t="s">
        <v>12</v>
      </c>
      <c r="C2274" t="s">
        <v>2</v>
      </c>
    </row>
    <row r="2275" spans="1:3" x14ac:dyDescent="0.3">
      <c r="A2275" s="8" t="s">
        <v>2285</v>
      </c>
      <c r="B2275" s="8" t="s">
        <v>12</v>
      </c>
      <c r="C2275" t="s">
        <v>2</v>
      </c>
    </row>
    <row r="2276" spans="1:3" x14ac:dyDescent="0.3">
      <c r="A2276" s="8" t="s">
        <v>2286</v>
      </c>
      <c r="B2276" s="8" t="s">
        <v>12</v>
      </c>
      <c r="C2276" t="s">
        <v>2</v>
      </c>
    </row>
    <row r="2277" spans="1:3" x14ac:dyDescent="0.3">
      <c r="A2277" s="8" t="s">
        <v>2287</v>
      </c>
      <c r="B2277" s="8" t="s">
        <v>12</v>
      </c>
      <c r="C2277" t="s">
        <v>2</v>
      </c>
    </row>
    <row r="2278" spans="1:3" x14ac:dyDescent="0.3">
      <c r="A2278" s="8" t="s">
        <v>2288</v>
      </c>
      <c r="B2278" s="8" t="s">
        <v>12</v>
      </c>
      <c r="C2278" t="s">
        <v>2</v>
      </c>
    </row>
    <row r="2279" spans="1:3" x14ac:dyDescent="0.3">
      <c r="A2279" s="8" t="s">
        <v>2289</v>
      </c>
      <c r="B2279" s="8" t="s">
        <v>12</v>
      </c>
      <c r="C2279" t="s">
        <v>2</v>
      </c>
    </row>
    <row r="2280" spans="1:3" x14ac:dyDescent="0.3">
      <c r="A2280" s="8" t="s">
        <v>2290</v>
      </c>
      <c r="B2280" s="8" t="s">
        <v>12</v>
      </c>
      <c r="C2280" t="s">
        <v>2</v>
      </c>
    </row>
    <row r="2281" spans="1:3" x14ac:dyDescent="0.3">
      <c r="A2281" s="8" t="s">
        <v>2291</v>
      </c>
      <c r="B2281" s="8" t="s">
        <v>12</v>
      </c>
      <c r="C2281" t="s">
        <v>2</v>
      </c>
    </row>
    <row r="2282" spans="1:3" x14ac:dyDescent="0.3">
      <c r="A2282" s="8" t="s">
        <v>2292</v>
      </c>
      <c r="B2282" s="8" t="s">
        <v>12</v>
      </c>
      <c r="C2282" t="s">
        <v>2</v>
      </c>
    </row>
    <row r="2283" spans="1:3" x14ac:dyDescent="0.3">
      <c r="A2283" s="8" t="s">
        <v>2293</v>
      </c>
      <c r="B2283" s="8" t="s">
        <v>12</v>
      </c>
      <c r="C2283" t="s">
        <v>2</v>
      </c>
    </row>
    <row r="2284" spans="1:3" x14ac:dyDescent="0.3">
      <c r="A2284" s="8" t="s">
        <v>2294</v>
      </c>
      <c r="B2284" s="8" t="s">
        <v>12</v>
      </c>
      <c r="C2284" t="s">
        <v>2</v>
      </c>
    </row>
    <row r="2285" spans="1:3" x14ac:dyDescent="0.3">
      <c r="A2285" s="8" t="s">
        <v>2295</v>
      </c>
      <c r="B2285" s="8" t="s">
        <v>12</v>
      </c>
      <c r="C2285" t="s">
        <v>2</v>
      </c>
    </row>
    <row r="2286" spans="1:3" x14ac:dyDescent="0.3">
      <c r="A2286" s="8" t="s">
        <v>2296</v>
      </c>
      <c r="B2286" s="8" t="s">
        <v>12</v>
      </c>
      <c r="C2286" t="s">
        <v>2</v>
      </c>
    </row>
    <row r="2287" spans="1:3" x14ac:dyDescent="0.3">
      <c r="A2287" s="8" t="s">
        <v>2297</v>
      </c>
      <c r="B2287" s="8" t="s">
        <v>12</v>
      </c>
      <c r="C2287" t="s">
        <v>2</v>
      </c>
    </row>
    <row r="2288" spans="1:3" x14ac:dyDescent="0.3">
      <c r="A2288" s="8" t="s">
        <v>2298</v>
      </c>
      <c r="B2288" s="8" t="s">
        <v>12</v>
      </c>
      <c r="C2288" t="s">
        <v>2</v>
      </c>
    </row>
    <row r="2289" spans="1:3" x14ac:dyDescent="0.3">
      <c r="A2289" s="8" t="s">
        <v>2299</v>
      </c>
      <c r="B2289" s="8" t="s">
        <v>12</v>
      </c>
      <c r="C2289" t="s">
        <v>3</v>
      </c>
    </row>
    <row r="2290" spans="1:3" x14ac:dyDescent="0.3">
      <c r="A2290" s="8" t="s">
        <v>2300</v>
      </c>
      <c r="B2290" s="8" t="s">
        <v>12</v>
      </c>
      <c r="C2290" t="s">
        <v>3</v>
      </c>
    </row>
    <row r="2291" spans="1:3" x14ac:dyDescent="0.3">
      <c r="A2291" s="8" t="s">
        <v>2301</v>
      </c>
      <c r="B2291" s="8" t="s">
        <v>12</v>
      </c>
      <c r="C2291" t="s">
        <v>3</v>
      </c>
    </row>
    <row r="2292" spans="1:3" x14ac:dyDescent="0.3">
      <c r="A2292" s="8" t="s">
        <v>2302</v>
      </c>
      <c r="B2292" s="8" t="s">
        <v>12</v>
      </c>
      <c r="C2292" t="s">
        <v>3</v>
      </c>
    </row>
    <row r="2293" spans="1:3" x14ac:dyDescent="0.3">
      <c r="A2293" s="8" t="s">
        <v>2303</v>
      </c>
      <c r="B2293" s="8" t="s">
        <v>12</v>
      </c>
    </row>
    <row r="2294" spans="1:3" x14ac:dyDescent="0.3">
      <c r="A2294" s="8" t="s">
        <v>2304</v>
      </c>
      <c r="B2294" s="8" t="s">
        <v>12</v>
      </c>
    </row>
    <row r="2295" spans="1:3" x14ac:dyDescent="0.3">
      <c r="A2295" s="8" t="s">
        <v>2305</v>
      </c>
      <c r="B2295" s="8" t="s">
        <v>12</v>
      </c>
    </row>
    <row r="2296" spans="1:3" x14ac:dyDescent="0.3">
      <c r="A2296" s="8" t="s">
        <v>2306</v>
      </c>
      <c r="B2296" s="8" t="s">
        <v>12</v>
      </c>
    </row>
    <row r="2297" spans="1:3" x14ac:dyDescent="0.3">
      <c r="A2297" s="8" t="s">
        <v>2307</v>
      </c>
      <c r="B2297" s="8" t="s">
        <v>12</v>
      </c>
    </row>
    <row r="2298" spans="1:3" x14ac:dyDescent="0.3">
      <c r="A2298" s="8" t="s">
        <v>2308</v>
      </c>
      <c r="B2298" s="8" t="s">
        <v>12</v>
      </c>
    </row>
    <row r="2299" spans="1:3" x14ac:dyDescent="0.3">
      <c r="A2299" s="8" t="s">
        <v>2309</v>
      </c>
      <c r="B2299" s="8" t="s">
        <v>12</v>
      </c>
    </row>
    <row r="2300" spans="1:3" x14ac:dyDescent="0.3">
      <c r="A2300" s="8" t="s">
        <v>2310</v>
      </c>
      <c r="B2300" s="8" t="s">
        <v>12</v>
      </c>
    </row>
    <row r="2301" spans="1:3" x14ac:dyDescent="0.3">
      <c r="A2301" s="8" t="s">
        <v>2311</v>
      </c>
      <c r="B2301" s="8" t="s">
        <v>12</v>
      </c>
    </row>
    <row r="2302" spans="1:3" x14ac:dyDescent="0.3">
      <c r="A2302" s="8" t="s">
        <v>2312</v>
      </c>
      <c r="B2302" s="8" t="s">
        <v>12</v>
      </c>
      <c r="C2302" t="s">
        <v>2</v>
      </c>
    </row>
    <row r="2303" spans="1:3" x14ac:dyDescent="0.3">
      <c r="A2303" s="8" t="s">
        <v>2313</v>
      </c>
      <c r="B2303" s="8" t="s">
        <v>12</v>
      </c>
      <c r="C2303" t="s">
        <v>2</v>
      </c>
    </row>
    <row r="2304" spans="1:3" x14ac:dyDescent="0.3">
      <c r="A2304" s="8" t="s">
        <v>2314</v>
      </c>
      <c r="B2304" s="8" t="s">
        <v>12</v>
      </c>
      <c r="C2304" t="s">
        <v>2</v>
      </c>
    </row>
    <row r="2305" spans="1:3" x14ac:dyDescent="0.3">
      <c r="A2305" s="8" t="s">
        <v>2315</v>
      </c>
      <c r="B2305" s="8" t="s">
        <v>12</v>
      </c>
      <c r="C2305" t="s">
        <v>2</v>
      </c>
    </row>
    <row r="2306" spans="1:3" x14ac:dyDescent="0.3">
      <c r="A2306" s="8" t="s">
        <v>2316</v>
      </c>
      <c r="B2306" s="8" t="s">
        <v>12</v>
      </c>
      <c r="C2306" t="s">
        <v>2</v>
      </c>
    </row>
    <row r="2307" spans="1:3" x14ac:dyDescent="0.3">
      <c r="A2307" s="8" t="s">
        <v>2317</v>
      </c>
      <c r="B2307" s="8" t="s">
        <v>12</v>
      </c>
      <c r="C2307" t="s">
        <v>2</v>
      </c>
    </row>
    <row r="2308" spans="1:3" x14ac:dyDescent="0.3">
      <c r="A2308" s="8" t="s">
        <v>2318</v>
      </c>
      <c r="B2308" s="8" t="s">
        <v>12</v>
      </c>
      <c r="C2308" t="s">
        <v>2</v>
      </c>
    </row>
    <row r="2309" spans="1:3" x14ac:dyDescent="0.3">
      <c r="A2309" s="8" t="s">
        <v>2319</v>
      </c>
      <c r="B2309" s="8" t="s">
        <v>12</v>
      </c>
      <c r="C2309" t="s">
        <v>2</v>
      </c>
    </row>
    <row r="2310" spans="1:3" x14ac:dyDescent="0.3">
      <c r="A2310" s="8" t="s">
        <v>2320</v>
      </c>
      <c r="B2310" s="8" t="s">
        <v>12</v>
      </c>
      <c r="C2310" t="s">
        <v>2</v>
      </c>
    </row>
    <row r="2311" spans="1:3" x14ac:dyDescent="0.3">
      <c r="A2311" s="8" t="s">
        <v>2321</v>
      </c>
      <c r="B2311" s="8" t="s">
        <v>12</v>
      </c>
      <c r="C2311" t="s">
        <v>3678</v>
      </c>
    </row>
    <row r="2312" spans="1:3" x14ac:dyDescent="0.3">
      <c r="A2312" s="8" t="s">
        <v>2322</v>
      </c>
      <c r="B2312" s="8" t="s">
        <v>12</v>
      </c>
      <c r="C2312" t="s">
        <v>3678</v>
      </c>
    </row>
    <row r="2313" spans="1:3" x14ac:dyDescent="0.3">
      <c r="A2313" s="8" t="s">
        <v>2323</v>
      </c>
      <c r="B2313" s="8" t="s">
        <v>12</v>
      </c>
      <c r="C2313" t="s">
        <v>3678</v>
      </c>
    </row>
    <row r="2314" spans="1:3" x14ac:dyDescent="0.3">
      <c r="A2314" s="8" t="s">
        <v>2324</v>
      </c>
      <c r="B2314" s="8" t="s">
        <v>12</v>
      </c>
      <c r="C2314" t="s">
        <v>3678</v>
      </c>
    </row>
    <row r="2315" spans="1:3" x14ac:dyDescent="0.3">
      <c r="A2315" s="8" t="s">
        <v>2325</v>
      </c>
      <c r="B2315" s="8" t="s">
        <v>12</v>
      </c>
      <c r="C2315" t="s">
        <v>3678</v>
      </c>
    </row>
    <row r="2316" spans="1:3" x14ac:dyDescent="0.3">
      <c r="A2316" s="8" t="s">
        <v>2326</v>
      </c>
      <c r="B2316" s="8" t="s">
        <v>12</v>
      </c>
      <c r="C2316" t="s">
        <v>2</v>
      </c>
    </row>
    <row r="2317" spans="1:3" x14ac:dyDescent="0.3">
      <c r="A2317" s="8" t="s">
        <v>2327</v>
      </c>
      <c r="B2317" s="8" t="s">
        <v>12</v>
      </c>
      <c r="C2317" t="s">
        <v>2</v>
      </c>
    </row>
    <row r="2318" spans="1:3" x14ac:dyDescent="0.3">
      <c r="A2318" s="8" t="s">
        <v>2328</v>
      </c>
      <c r="B2318" s="8" t="s">
        <v>12</v>
      </c>
      <c r="C2318" t="s">
        <v>2</v>
      </c>
    </row>
    <row r="2319" spans="1:3" x14ac:dyDescent="0.3">
      <c r="A2319" s="8" t="s">
        <v>2329</v>
      </c>
      <c r="B2319" s="8" t="s">
        <v>12</v>
      </c>
      <c r="C2319" t="s">
        <v>2</v>
      </c>
    </row>
    <row r="2320" spans="1:3" x14ac:dyDescent="0.3">
      <c r="A2320" s="8" t="s">
        <v>2330</v>
      </c>
      <c r="B2320" s="8" t="s">
        <v>12</v>
      </c>
      <c r="C2320" t="s">
        <v>2</v>
      </c>
    </row>
    <row r="2321" spans="1:3" x14ac:dyDescent="0.3">
      <c r="A2321" s="8" t="s">
        <v>2331</v>
      </c>
      <c r="B2321" s="8" t="s">
        <v>12</v>
      </c>
      <c r="C2321" t="s">
        <v>2</v>
      </c>
    </row>
    <row r="2322" spans="1:3" x14ac:dyDescent="0.3">
      <c r="A2322" s="8" t="s">
        <v>2332</v>
      </c>
      <c r="B2322" s="8" t="s">
        <v>12</v>
      </c>
      <c r="C2322" t="s">
        <v>2</v>
      </c>
    </row>
    <row r="2323" spans="1:3" x14ac:dyDescent="0.3">
      <c r="A2323" s="8" t="s">
        <v>2333</v>
      </c>
      <c r="B2323" s="8" t="s">
        <v>12</v>
      </c>
      <c r="C2323" t="s">
        <v>2</v>
      </c>
    </row>
    <row r="2324" spans="1:3" x14ac:dyDescent="0.3">
      <c r="A2324" s="8" t="s">
        <v>2334</v>
      </c>
      <c r="B2324" s="8" t="s">
        <v>12</v>
      </c>
      <c r="C2324" t="s">
        <v>2</v>
      </c>
    </row>
    <row r="2325" spans="1:3" x14ac:dyDescent="0.3">
      <c r="A2325" s="8" t="s">
        <v>2335</v>
      </c>
      <c r="B2325" s="8" t="s">
        <v>12</v>
      </c>
      <c r="C2325" t="s">
        <v>2</v>
      </c>
    </row>
    <row r="2326" spans="1:3" x14ac:dyDescent="0.3">
      <c r="A2326" s="8" t="s">
        <v>2336</v>
      </c>
      <c r="B2326" s="8" t="s">
        <v>12</v>
      </c>
      <c r="C2326" t="s">
        <v>2</v>
      </c>
    </row>
    <row r="2327" spans="1:3" x14ac:dyDescent="0.3">
      <c r="A2327" s="8" t="s">
        <v>2337</v>
      </c>
      <c r="B2327" s="8" t="s">
        <v>12</v>
      </c>
      <c r="C2327" t="s">
        <v>2</v>
      </c>
    </row>
    <row r="2328" spans="1:3" x14ac:dyDescent="0.3">
      <c r="A2328" s="8" t="s">
        <v>2338</v>
      </c>
      <c r="B2328" s="8" t="s">
        <v>12</v>
      </c>
      <c r="C2328" t="s">
        <v>2</v>
      </c>
    </row>
    <row r="2329" spans="1:3" x14ac:dyDescent="0.3">
      <c r="A2329" s="8" t="s">
        <v>2339</v>
      </c>
      <c r="B2329" s="8" t="s">
        <v>12</v>
      </c>
      <c r="C2329" t="s">
        <v>2</v>
      </c>
    </row>
    <row r="2330" spans="1:3" x14ac:dyDescent="0.3">
      <c r="A2330" s="8" t="s">
        <v>2340</v>
      </c>
      <c r="B2330" s="8" t="s">
        <v>12</v>
      </c>
      <c r="C2330" t="s">
        <v>2</v>
      </c>
    </row>
    <row r="2331" spans="1:3" x14ac:dyDescent="0.3">
      <c r="A2331" s="8" t="s">
        <v>2341</v>
      </c>
      <c r="B2331" s="8" t="s">
        <v>12</v>
      </c>
      <c r="C2331" t="s">
        <v>2</v>
      </c>
    </row>
    <row r="2332" spans="1:3" x14ac:dyDescent="0.3">
      <c r="A2332" s="8" t="s">
        <v>2342</v>
      </c>
      <c r="B2332" s="8" t="s">
        <v>12</v>
      </c>
      <c r="C2332" t="s">
        <v>2</v>
      </c>
    </row>
    <row r="2333" spans="1:3" x14ac:dyDescent="0.3">
      <c r="A2333" s="8" t="s">
        <v>2343</v>
      </c>
      <c r="B2333" s="8" t="s">
        <v>12</v>
      </c>
      <c r="C2333" t="s">
        <v>2</v>
      </c>
    </row>
    <row r="2334" spans="1:3" x14ac:dyDescent="0.3">
      <c r="A2334" s="8" t="s">
        <v>2344</v>
      </c>
      <c r="B2334" s="8" t="s">
        <v>12</v>
      </c>
      <c r="C2334" t="s">
        <v>2</v>
      </c>
    </row>
    <row r="2335" spans="1:3" x14ac:dyDescent="0.3">
      <c r="A2335" s="8" t="s">
        <v>2345</v>
      </c>
      <c r="B2335" s="8" t="s">
        <v>12</v>
      </c>
      <c r="C2335" t="s">
        <v>2</v>
      </c>
    </row>
    <row r="2336" spans="1:3" x14ac:dyDescent="0.3">
      <c r="A2336" s="8" t="s">
        <v>2346</v>
      </c>
      <c r="B2336" s="8" t="s">
        <v>12</v>
      </c>
      <c r="C2336" t="s">
        <v>2</v>
      </c>
    </row>
    <row r="2337" spans="1:3" x14ac:dyDescent="0.3">
      <c r="A2337" s="8" t="s">
        <v>2347</v>
      </c>
      <c r="B2337" s="8" t="s">
        <v>12</v>
      </c>
      <c r="C2337" t="s">
        <v>2</v>
      </c>
    </row>
    <row r="2338" spans="1:3" x14ac:dyDescent="0.3">
      <c r="A2338" s="8" t="s">
        <v>2348</v>
      </c>
      <c r="B2338" s="8" t="s">
        <v>12</v>
      </c>
      <c r="C2338" t="s">
        <v>2</v>
      </c>
    </row>
    <row r="2339" spans="1:3" x14ac:dyDescent="0.3">
      <c r="A2339" s="8" t="s">
        <v>2349</v>
      </c>
      <c r="B2339" s="8" t="s">
        <v>12</v>
      </c>
      <c r="C2339" t="s">
        <v>2</v>
      </c>
    </row>
    <row r="2340" spans="1:3" x14ac:dyDescent="0.3">
      <c r="A2340" s="8" t="s">
        <v>2350</v>
      </c>
      <c r="B2340" s="8" t="s">
        <v>12</v>
      </c>
      <c r="C2340" t="s">
        <v>2</v>
      </c>
    </row>
    <row r="2341" spans="1:3" x14ac:dyDescent="0.3">
      <c r="A2341" s="8" t="s">
        <v>2351</v>
      </c>
      <c r="B2341" s="8" t="s">
        <v>12</v>
      </c>
      <c r="C2341" t="s">
        <v>2</v>
      </c>
    </row>
    <row r="2342" spans="1:3" x14ac:dyDescent="0.3">
      <c r="A2342" s="8" t="s">
        <v>2352</v>
      </c>
      <c r="B2342" s="8" t="s">
        <v>12</v>
      </c>
      <c r="C2342" t="s">
        <v>2</v>
      </c>
    </row>
    <row r="2343" spans="1:3" x14ac:dyDescent="0.3">
      <c r="A2343" s="8" t="s">
        <v>2353</v>
      </c>
      <c r="B2343" s="8" t="s">
        <v>12</v>
      </c>
      <c r="C2343" t="s">
        <v>2</v>
      </c>
    </row>
    <row r="2344" spans="1:3" x14ac:dyDescent="0.3">
      <c r="A2344" s="8" t="s">
        <v>2354</v>
      </c>
      <c r="B2344" s="8" t="s">
        <v>12</v>
      </c>
      <c r="C2344" t="s">
        <v>2</v>
      </c>
    </row>
    <row r="2345" spans="1:3" x14ac:dyDescent="0.3">
      <c r="A2345" s="8" t="s">
        <v>2355</v>
      </c>
      <c r="B2345" s="8" t="s">
        <v>12</v>
      </c>
      <c r="C2345" t="s">
        <v>2</v>
      </c>
    </row>
    <row r="2346" spans="1:3" x14ac:dyDescent="0.3">
      <c r="A2346" s="8" t="s">
        <v>2356</v>
      </c>
      <c r="B2346" s="8" t="s">
        <v>12</v>
      </c>
      <c r="C2346" t="s">
        <v>2</v>
      </c>
    </row>
    <row r="2347" spans="1:3" x14ac:dyDescent="0.3">
      <c r="A2347" s="8" t="s">
        <v>2357</v>
      </c>
      <c r="B2347" s="8" t="s">
        <v>12</v>
      </c>
      <c r="C2347" t="s">
        <v>2</v>
      </c>
    </row>
    <row r="2348" spans="1:3" x14ac:dyDescent="0.3">
      <c r="A2348" s="8" t="s">
        <v>2358</v>
      </c>
      <c r="B2348" s="8" t="s">
        <v>12</v>
      </c>
      <c r="C2348" t="s">
        <v>2</v>
      </c>
    </row>
    <row r="2349" spans="1:3" x14ac:dyDescent="0.3">
      <c r="A2349" s="8" t="s">
        <v>2359</v>
      </c>
      <c r="B2349" s="8" t="s">
        <v>12</v>
      </c>
      <c r="C2349" t="s">
        <v>2</v>
      </c>
    </row>
    <row r="2350" spans="1:3" x14ac:dyDescent="0.3">
      <c r="A2350" s="8" t="s">
        <v>2360</v>
      </c>
      <c r="B2350" s="8" t="s">
        <v>12</v>
      </c>
      <c r="C2350" t="s">
        <v>2</v>
      </c>
    </row>
    <row r="2351" spans="1:3" x14ac:dyDescent="0.3">
      <c r="A2351" s="8" t="s">
        <v>2361</v>
      </c>
      <c r="B2351" s="8" t="s">
        <v>12</v>
      </c>
      <c r="C2351" t="s">
        <v>2</v>
      </c>
    </row>
    <row r="2352" spans="1:3" x14ac:dyDescent="0.3">
      <c r="A2352" s="8" t="s">
        <v>2362</v>
      </c>
      <c r="B2352" s="8" t="s">
        <v>12</v>
      </c>
      <c r="C2352" t="s">
        <v>2</v>
      </c>
    </row>
    <row r="2353" spans="1:3" x14ac:dyDescent="0.3">
      <c r="A2353" s="8" t="s">
        <v>2363</v>
      </c>
      <c r="B2353" s="8" t="s">
        <v>12</v>
      </c>
      <c r="C2353" t="s">
        <v>2</v>
      </c>
    </row>
    <row r="2354" spans="1:3" x14ac:dyDescent="0.3">
      <c r="A2354" s="8" t="s">
        <v>2364</v>
      </c>
      <c r="B2354" s="8" t="s">
        <v>12</v>
      </c>
      <c r="C2354" t="s">
        <v>2</v>
      </c>
    </row>
    <row r="2355" spans="1:3" x14ac:dyDescent="0.3">
      <c r="A2355" s="8" t="s">
        <v>2365</v>
      </c>
      <c r="B2355" s="8" t="s">
        <v>12</v>
      </c>
      <c r="C2355" t="s">
        <v>2</v>
      </c>
    </row>
    <row r="2356" spans="1:3" x14ac:dyDescent="0.3">
      <c r="A2356" s="8" t="s">
        <v>2366</v>
      </c>
      <c r="B2356" s="8" t="s">
        <v>12</v>
      </c>
      <c r="C2356" t="s">
        <v>2</v>
      </c>
    </row>
    <row r="2357" spans="1:3" x14ac:dyDescent="0.3">
      <c r="A2357" s="8" t="s">
        <v>2367</v>
      </c>
      <c r="B2357" s="8" t="s">
        <v>12</v>
      </c>
      <c r="C2357" t="s">
        <v>2</v>
      </c>
    </row>
    <row r="2358" spans="1:3" x14ac:dyDescent="0.3">
      <c r="A2358" s="8" t="s">
        <v>2368</v>
      </c>
      <c r="B2358" s="8" t="s">
        <v>12</v>
      </c>
      <c r="C2358" t="s">
        <v>2</v>
      </c>
    </row>
    <row r="2359" spans="1:3" x14ac:dyDescent="0.3">
      <c r="A2359" s="8" t="s">
        <v>2369</v>
      </c>
      <c r="B2359" s="8" t="s">
        <v>12</v>
      </c>
      <c r="C2359" t="s">
        <v>2</v>
      </c>
    </row>
    <row r="2360" spans="1:3" x14ac:dyDescent="0.3">
      <c r="A2360" s="8" t="s">
        <v>2370</v>
      </c>
      <c r="B2360" s="8" t="s">
        <v>12</v>
      </c>
      <c r="C2360" t="s">
        <v>2</v>
      </c>
    </row>
    <row r="2361" spans="1:3" x14ac:dyDescent="0.3">
      <c r="A2361" s="8" t="s">
        <v>2371</v>
      </c>
      <c r="B2361" s="8" t="s">
        <v>12</v>
      </c>
      <c r="C2361" t="s">
        <v>2</v>
      </c>
    </row>
    <row r="2362" spans="1:3" x14ac:dyDescent="0.3">
      <c r="A2362" s="8" t="s">
        <v>2372</v>
      </c>
      <c r="B2362" s="8" t="s">
        <v>12</v>
      </c>
      <c r="C2362" t="s">
        <v>2</v>
      </c>
    </row>
    <row r="2363" spans="1:3" x14ac:dyDescent="0.3">
      <c r="A2363" s="8" t="s">
        <v>2373</v>
      </c>
      <c r="B2363" s="8" t="s">
        <v>12</v>
      </c>
      <c r="C2363" t="s">
        <v>2</v>
      </c>
    </row>
    <row r="2364" spans="1:3" x14ac:dyDescent="0.3">
      <c r="A2364" s="8" t="s">
        <v>2374</v>
      </c>
      <c r="B2364" s="8" t="s">
        <v>12</v>
      </c>
      <c r="C2364" t="s">
        <v>2</v>
      </c>
    </row>
    <row r="2365" spans="1:3" x14ac:dyDescent="0.3">
      <c r="A2365" s="8" t="s">
        <v>2375</v>
      </c>
      <c r="B2365" s="8" t="s">
        <v>12</v>
      </c>
      <c r="C2365" t="s">
        <v>2</v>
      </c>
    </row>
    <row r="2366" spans="1:3" x14ac:dyDescent="0.3">
      <c r="A2366" s="8" t="s">
        <v>2376</v>
      </c>
      <c r="B2366" s="8" t="s">
        <v>12</v>
      </c>
      <c r="C2366" t="s">
        <v>3</v>
      </c>
    </row>
    <row r="2367" spans="1:3" x14ac:dyDescent="0.3">
      <c r="A2367" s="8" t="s">
        <v>2377</v>
      </c>
      <c r="B2367" s="8" t="s">
        <v>12</v>
      </c>
      <c r="C2367" t="s">
        <v>3</v>
      </c>
    </row>
    <row r="2368" spans="1:3" x14ac:dyDescent="0.3">
      <c r="A2368" s="8" t="s">
        <v>2378</v>
      </c>
      <c r="B2368" s="8" t="s">
        <v>12</v>
      </c>
      <c r="C2368" t="s">
        <v>3</v>
      </c>
    </row>
    <row r="2369" spans="1:3" x14ac:dyDescent="0.3">
      <c r="A2369" s="8" t="s">
        <v>2379</v>
      </c>
      <c r="B2369" s="8" t="s">
        <v>12</v>
      </c>
      <c r="C2369" t="s">
        <v>3</v>
      </c>
    </row>
    <row r="2370" spans="1:3" x14ac:dyDescent="0.3">
      <c r="A2370" s="8" t="s">
        <v>2380</v>
      </c>
      <c r="B2370" s="8" t="s">
        <v>12</v>
      </c>
      <c r="C2370" t="s">
        <v>3</v>
      </c>
    </row>
    <row r="2371" spans="1:3" x14ac:dyDescent="0.3">
      <c r="A2371" s="8" t="s">
        <v>2381</v>
      </c>
      <c r="B2371" s="8" t="s">
        <v>12</v>
      </c>
      <c r="C2371" t="s">
        <v>3</v>
      </c>
    </row>
    <row r="2372" spans="1:3" x14ac:dyDescent="0.3">
      <c r="A2372" s="8" t="s">
        <v>2382</v>
      </c>
      <c r="B2372" s="8" t="s">
        <v>12</v>
      </c>
      <c r="C2372" t="s">
        <v>3</v>
      </c>
    </row>
    <row r="2373" spans="1:3" x14ac:dyDescent="0.3">
      <c r="A2373" s="8" t="s">
        <v>2383</v>
      </c>
      <c r="B2373" s="8" t="s">
        <v>12</v>
      </c>
      <c r="C2373" t="s">
        <v>3</v>
      </c>
    </row>
    <row r="2374" spans="1:3" x14ac:dyDescent="0.3">
      <c r="A2374" s="8" t="s">
        <v>2384</v>
      </c>
      <c r="B2374" s="8" t="s">
        <v>12</v>
      </c>
      <c r="C2374" t="s">
        <v>3</v>
      </c>
    </row>
    <row r="2375" spans="1:3" x14ac:dyDescent="0.3">
      <c r="A2375" s="8" t="s">
        <v>2385</v>
      </c>
      <c r="B2375" s="8" t="s">
        <v>12</v>
      </c>
      <c r="C2375" t="s">
        <v>3</v>
      </c>
    </row>
    <row r="2376" spans="1:3" x14ac:dyDescent="0.3">
      <c r="A2376" s="8" t="s">
        <v>2386</v>
      </c>
      <c r="B2376" s="8" t="s">
        <v>12</v>
      </c>
      <c r="C2376" t="s">
        <v>3</v>
      </c>
    </row>
    <row r="2377" spans="1:3" x14ac:dyDescent="0.3">
      <c r="A2377" s="8" t="s">
        <v>2387</v>
      </c>
      <c r="B2377" s="8" t="s">
        <v>12</v>
      </c>
      <c r="C2377" t="s">
        <v>3</v>
      </c>
    </row>
    <row r="2378" spans="1:3" x14ac:dyDescent="0.3">
      <c r="A2378" s="8" t="s">
        <v>2388</v>
      </c>
      <c r="B2378" s="8" t="s">
        <v>12</v>
      </c>
      <c r="C2378" t="s">
        <v>2</v>
      </c>
    </row>
    <row r="2379" spans="1:3" x14ac:dyDescent="0.3">
      <c r="A2379" s="8" t="s">
        <v>2389</v>
      </c>
      <c r="B2379" s="8" t="s">
        <v>12</v>
      </c>
      <c r="C2379" t="s">
        <v>2</v>
      </c>
    </row>
    <row r="2380" spans="1:3" x14ac:dyDescent="0.3">
      <c r="A2380" s="8" t="s">
        <v>2390</v>
      </c>
      <c r="B2380" s="8" t="s">
        <v>12</v>
      </c>
      <c r="C2380" t="s">
        <v>2</v>
      </c>
    </row>
    <row r="2381" spans="1:3" x14ac:dyDescent="0.3">
      <c r="A2381" s="8" t="s">
        <v>2391</v>
      </c>
      <c r="B2381" s="8" t="s">
        <v>12</v>
      </c>
      <c r="C2381" t="s">
        <v>2</v>
      </c>
    </row>
    <row r="2382" spans="1:3" x14ac:dyDescent="0.3">
      <c r="A2382" s="8" t="s">
        <v>2392</v>
      </c>
      <c r="B2382" s="8" t="s">
        <v>12</v>
      </c>
      <c r="C2382" t="s">
        <v>2</v>
      </c>
    </row>
    <row r="2383" spans="1:3" x14ac:dyDescent="0.3">
      <c r="A2383" s="8" t="s">
        <v>2393</v>
      </c>
      <c r="B2383" s="8" t="s">
        <v>12</v>
      </c>
      <c r="C2383" t="s">
        <v>2</v>
      </c>
    </row>
    <row r="2384" spans="1:3" x14ac:dyDescent="0.3">
      <c r="A2384" s="8" t="s">
        <v>2394</v>
      </c>
      <c r="B2384" s="8" t="s">
        <v>12</v>
      </c>
      <c r="C2384" t="s">
        <v>2</v>
      </c>
    </row>
    <row r="2385" spans="1:3" x14ac:dyDescent="0.3">
      <c r="A2385" s="8" t="s">
        <v>2395</v>
      </c>
      <c r="B2385" s="8" t="s">
        <v>12</v>
      </c>
      <c r="C2385" t="s">
        <v>2</v>
      </c>
    </row>
    <row r="2386" spans="1:3" x14ac:dyDescent="0.3">
      <c r="A2386" s="8" t="s">
        <v>2396</v>
      </c>
      <c r="B2386" s="8" t="s">
        <v>12</v>
      </c>
      <c r="C2386" t="s">
        <v>3678</v>
      </c>
    </row>
    <row r="2387" spans="1:3" x14ac:dyDescent="0.3">
      <c r="A2387" s="8" t="s">
        <v>2397</v>
      </c>
      <c r="B2387" s="8" t="s">
        <v>12</v>
      </c>
      <c r="C2387" t="s">
        <v>2</v>
      </c>
    </row>
    <row r="2388" spans="1:3" x14ac:dyDescent="0.3">
      <c r="A2388" s="8" t="s">
        <v>2398</v>
      </c>
      <c r="B2388" s="8" t="s">
        <v>12</v>
      </c>
      <c r="C2388" t="s">
        <v>2</v>
      </c>
    </row>
    <row r="2389" spans="1:3" x14ac:dyDescent="0.3">
      <c r="A2389" s="8" t="s">
        <v>2399</v>
      </c>
      <c r="B2389" s="8" t="s">
        <v>12</v>
      </c>
      <c r="C2389" t="s">
        <v>2</v>
      </c>
    </row>
    <row r="2390" spans="1:3" x14ac:dyDescent="0.3">
      <c r="A2390" s="8" t="s">
        <v>2400</v>
      </c>
      <c r="B2390" s="8" t="s">
        <v>12</v>
      </c>
      <c r="C2390" t="s">
        <v>2</v>
      </c>
    </row>
    <row r="2391" spans="1:3" x14ac:dyDescent="0.3">
      <c r="A2391" s="8" t="s">
        <v>2401</v>
      </c>
      <c r="B2391" s="8" t="s">
        <v>12</v>
      </c>
      <c r="C2391" t="s">
        <v>2</v>
      </c>
    </row>
    <row r="2392" spans="1:3" x14ac:dyDescent="0.3">
      <c r="A2392" s="8" t="s">
        <v>2402</v>
      </c>
      <c r="B2392" s="8" t="s">
        <v>12</v>
      </c>
      <c r="C2392" t="s">
        <v>2</v>
      </c>
    </row>
    <row r="2393" spans="1:3" x14ac:dyDescent="0.3">
      <c r="A2393" s="8" t="s">
        <v>2403</v>
      </c>
      <c r="B2393" s="8" t="s">
        <v>12</v>
      </c>
      <c r="C2393" t="s">
        <v>2</v>
      </c>
    </row>
    <row r="2394" spans="1:3" x14ac:dyDescent="0.3">
      <c r="A2394" s="8" t="s">
        <v>2404</v>
      </c>
      <c r="B2394" s="8" t="s">
        <v>12</v>
      </c>
      <c r="C2394" t="s">
        <v>2</v>
      </c>
    </row>
    <row r="2395" spans="1:3" x14ac:dyDescent="0.3">
      <c r="A2395" s="8" t="s">
        <v>2405</v>
      </c>
      <c r="B2395" s="8" t="s">
        <v>12</v>
      </c>
      <c r="C2395" t="s">
        <v>3678</v>
      </c>
    </row>
    <row r="2396" spans="1:3" x14ac:dyDescent="0.3">
      <c r="A2396" s="8" t="s">
        <v>2406</v>
      </c>
      <c r="B2396" s="8" t="s">
        <v>12</v>
      </c>
      <c r="C2396" t="s">
        <v>2</v>
      </c>
    </row>
    <row r="2397" spans="1:3" x14ac:dyDescent="0.3">
      <c r="A2397" s="8" t="s">
        <v>2407</v>
      </c>
      <c r="B2397" s="8" t="s">
        <v>12</v>
      </c>
      <c r="C2397" t="s">
        <v>2</v>
      </c>
    </row>
    <row r="2398" spans="1:3" x14ac:dyDescent="0.3">
      <c r="A2398" s="8" t="s">
        <v>2408</v>
      </c>
      <c r="B2398" s="8" t="s">
        <v>12</v>
      </c>
      <c r="C2398" t="s">
        <v>2</v>
      </c>
    </row>
    <row r="2399" spans="1:3" x14ac:dyDescent="0.3">
      <c r="A2399" s="8" t="s">
        <v>2409</v>
      </c>
      <c r="B2399" s="8" t="s">
        <v>12</v>
      </c>
      <c r="C2399" t="s">
        <v>2</v>
      </c>
    </row>
    <row r="2400" spans="1:3" x14ac:dyDescent="0.3">
      <c r="A2400" s="8" t="s">
        <v>2410</v>
      </c>
      <c r="B2400" s="8" t="s">
        <v>12</v>
      </c>
      <c r="C2400" t="s">
        <v>2</v>
      </c>
    </row>
    <row r="2401" spans="1:3" x14ac:dyDescent="0.3">
      <c r="A2401" s="8" t="s">
        <v>2411</v>
      </c>
      <c r="B2401" s="8" t="s">
        <v>12</v>
      </c>
      <c r="C2401" t="s">
        <v>2</v>
      </c>
    </row>
    <row r="2402" spans="1:3" x14ac:dyDescent="0.3">
      <c r="A2402" s="8" t="s">
        <v>2412</v>
      </c>
      <c r="B2402" s="8" t="s">
        <v>12</v>
      </c>
      <c r="C2402" t="s">
        <v>2</v>
      </c>
    </row>
    <row r="2403" spans="1:3" x14ac:dyDescent="0.3">
      <c r="A2403" s="8" t="s">
        <v>2413</v>
      </c>
      <c r="B2403" s="8" t="s">
        <v>12</v>
      </c>
      <c r="C2403" t="s">
        <v>2</v>
      </c>
    </row>
    <row r="2404" spans="1:3" x14ac:dyDescent="0.3">
      <c r="A2404" s="8" t="s">
        <v>2414</v>
      </c>
      <c r="B2404" s="8" t="s">
        <v>12</v>
      </c>
      <c r="C2404" t="s">
        <v>2</v>
      </c>
    </row>
    <row r="2405" spans="1:3" x14ac:dyDescent="0.3">
      <c r="A2405" s="8" t="s">
        <v>2415</v>
      </c>
      <c r="B2405" s="8" t="s">
        <v>12</v>
      </c>
      <c r="C2405" t="s">
        <v>2</v>
      </c>
    </row>
    <row r="2406" spans="1:3" x14ac:dyDescent="0.3">
      <c r="A2406" s="8" t="s">
        <v>2416</v>
      </c>
      <c r="B2406" s="8" t="s">
        <v>12</v>
      </c>
      <c r="C2406" t="s">
        <v>2</v>
      </c>
    </row>
    <row r="2407" spans="1:3" x14ac:dyDescent="0.3">
      <c r="A2407" s="8" t="s">
        <v>2417</v>
      </c>
      <c r="B2407" s="8" t="s">
        <v>12</v>
      </c>
      <c r="C2407" t="s">
        <v>2</v>
      </c>
    </row>
    <row r="2408" spans="1:3" x14ac:dyDescent="0.3">
      <c r="A2408" s="8" t="s">
        <v>2418</v>
      </c>
      <c r="B2408" s="8" t="s">
        <v>12</v>
      </c>
      <c r="C2408" t="s">
        <v>2</v>
      </c>
    </row>
    <row r="2409" spans="1:3" x14ac:dyDescent="0.3">
      <c r="A2409" s="8" t="s">
        <v>2419</v>
      </c>
      <c r="B2409" s="8" t="s">
        <v>12</v>
      </c>
      <c r="C2409" t="s">
        <v>2</v>
      </c>
    </row>
    <row r="2410" spans="1:3" x14ac:dyDescent="0.3">
      <c r="A2410" s="8" t="s">
        <v>2420</v>
      </c>
      <c r="B2410" s="8" t="s">
        <v>12</v>
      </c>
      <c r="C2410" t="s">
        <v>2</v>
      </c>
    </row>
    <row r="2411" spans="1:3" x14ac:dyDescent="0.3">
      <c r="A2411" s="8" t="s">
        <v>2421</v>
      </c>
      <c r="B2411" s="8" t="s">
        <v>12</v>
      </c>
      <c r="C2411" t="s">
        <v>2</v>
      </c>
    </row>
    <row r="2412" spans="1:3" x14ac:dyDescent="0.3">
      <c r="A2412" s="8" t="s">
        <v>2422</v>
      </c>
      <c r="B2412" s="8" t="s">
        <v>12</v>
      </c>
      <c r="C2412" t="s">
        <v>3678</v>
      </c>
    </row>
    <row r="2413" spans="1:3" x14ac:dyDescent="0.3">
      <c r="A2413" s="8" t="s">
        <v>2423</v>
      </c>
      <c r="B2413" s="8" t="s">
        <v>12</v>
      </c>
      <c r="C2413" t="s">
        <v>3678</v>
      </c>
    </row>
    <row r="2414" spans="1:3" x14ac:dyDescent="0.3">
      <c r="A2414" s="8" t="s">
        <v>2424</v>
      </c>
      <c r="B2414" s="8" t="s">
        <v>12</v>
      </c>
      <c r="C2414" t="s">
        <v>3678</v>
      </c>
    </row>
    <row r="2415" spans="1:3" x14ac:dyDescent="0.3">
      <c r="A2415" s="8" t="s">
        <v>2425</v>
      </c>
      <c r="B2415" s="8" t="s">
        <v>12</v>
      </c>
      <c r="C2415" t="s">
        <v>3678</v>
      </c>
    </row>
    <row r="2416" spans="1:3" x14ac:dyDescent="0.3">
      <c r="A2416" s="8" t="s">
        <v>2426</v>
      </c>
      <c r="B2416" s="8" t="s">
        <v>12</v>
      </c>
      <c r="C2416" t="s">
        <v>3678</v>
      </c>
    </row>
    <row r="2417" spans="1:3" x14ac:dyDescent="0.3">
      <c r="A2417" s="8" t="s">
        <v>2427</v>
      </c>
      <c r="B2417" s="8" t="s">
        <v>12</v>
      </c>
      <c r="C2417" t="s">
        <v>3678</v>
      </c>
    </row>
    <row r="2418" spans="1:3" x14ac:dyDescent="0.3">
      <c r="A2418" s="8" t="s">
        <v>2428</v>
      </c>
      <c r="B2418" s="8" t="s">
        <v>12</v>
      </c>
      <c r="C2418" t="s">
        <v>3678</v>
      </c>
    </row>
    <row r="2419" spans="1:3" x14ac:dyDescent="0.3">
      <c r="A2419" s="8" t="s">
        <v>2429</v>
      </c>
      <c r="B2419" s="8" t="s">
        <v>12</v>
      </c>
      <c r="C2419" t="s">
        <v>3678</v>
      </c>
    </row>
    <row r="2420" spans="1:3" x14ac:dyDescent="0.3">
      <c r="A2420" s="8" t="s">
        <v>2430</v>
      </c>
      <c r="B2420" s="8" t="s">
        <v>12</v>
      </c>
      <c r="C2420" t="s">
        <v>3678</v>
      </c>
    </row>
    <row r="2421" spans="1:3" x14ac:dyDescent="0.3">
      <c r="A2421" s="8" t="s">
        <v>2431</v>
      </c>
      <c r="B2421" s="8" t="s">
        <v>12</v>
      </c>
      <c r="C2421" t="s">
        <v>3678</v>
      </c>
    </row>
    <row r="2422" spans="1:3" x14ac:dyDescent="0.3">
      <c r="A2422" s="8" t="s">
        <v>2432</v>
      </c>
      <c r="B2422" s="8" t="s">
        <v>12</v>
      </c>
      <c r="C2422" t="s">
        <v>3678</v>
      </c>
    </row>
    <row r="2423" spans="1:3" x14ac:dyDescent="0.3">
      <c r="A2423" s="8" t="s">
        <v>2433</v>
      </c>
      <c r="B2423" s="8" t="s">
        <v>12</v>
      </c>
      <c r="C2423" t="s">
        <v>3678</v>
      </c>
    </row>
    <row r="2424" spans="1:3" x14ac:dyDescent="0.3">
      <c r="A2424" s="8" t="s">
        <v>2434</v>
      </c>
      <c r="B2424" s="8" t="s">
        <v>12</v>
      </c>
      <c r="C2424" t="s">
        <v>3678</v>
      </c>
    </row>
    <row r="2425" spans="1:3" x14ac:dyDescent="0.3">
      <c r="A2425" s="8" t="s">
        <v>2435</v>
      </c>
      <c r="B2425" s="8" t="s">
        <v>12</v>
      </c>
      <c r="C2425" t="s">
        <v>3678</v>
      </c>
    </row>
    <row r="2426" spans="1:3" x14ac:dyDescent="0.3">
      <c r="A2426" s="8" t="s">
        <v>2436</v>
      </c>
      <c r="B2426" s="8" t="s">
        <v>12</v>
      </c>
      <c r="C2426" t="s">
        <v>3678</v>
      </c>
    </row>
    <row r="2427" spans="1:3" x14ac:dyDescent="0.3">
      <c r="A2427" s="8" t="s">
        <v>2437</v>
      </c>
      <c r="B2427" s="8" t="s">
        <v>12</v>
      </c>
      <c r="C2427" t="s">
        <v>3678</v>
      </c>
    </row>
    <row r="2428" spans="1:3" x14ac:dyDescent="0.3">
      <c r="A2428" s="8" t="s">
        <v>2438</v>
      </c>
      <c r="B2428" s="8" t="s">
        <v>12</v>
      </c>
      <c r="C2428" t="s">
        <v>3678</v>
      </c>
    </row>
    <row r="2429" spans="1:3" x14ac:dyDescent="0.3">
      <c r="A2429" s="8" t="s">
        <v>2439</v>
      </c>
      <c r="B2429" s="8" t="s">
        <v>12</v>
      </c>
      <c r="C2429" t="s">
        <v>3678</v>
      </c>
    </row>
    <row r="2430" spans="1:3" x14ac:dyDescent="0.3">
      <c r="A2430" s="8" t="s">
        <v>2440</v>
      </c>
      <c r="B2430" s="8" t="s">
        <v>12</v>
      </c>
      <c r="C2430" t="s">
        <v>3678</v>
      </c>
    </row>
    <row r="2431" spans="1:3" x14ac:dyDescent="0.3">
      <c r="A2431" s="8" t="s">
        <v>2441</v>
      </c>
      <c r="B2431" s="8" t="s">
        <v>12</v>
      </c>
      <c r="C2431" t="s">
        <v>3678</v>
      </c>
    </row>
    <row r="2432" spans="1:3" x14ac:dyDescent="0.3">
      <c r="A2432" s="8" t="s">
        <v>2442</v>
      </c>
      <c r="B2432" s="8" t="s">
        <v>12</v>
      </c>
      <c r="C2432" t="s">
        <v>3678</v>
      </c>
    </row>
    <row r="2433" spans="1:3" x14ac:dyDescent="0.3">
      <c r="A2433" s="8" t="s">
        <v>2443</v>
      </c>
      <c r="B2433" s="8" t="s">
        <v>12</v>
      </c>
      <c r="C2433" t="s">
        <v>3678</v>
      </c>
    </row>
    <row r="2434" spans="1:3" x14ac:dyDescent="0.3">
      <c r="A2434" s="8" t="s">
        <v>2444</v>
      </c>
      <c r="B2434" s="8" t="s">
        <v>12</v>
      </c>
      <c r="C2434" t="s">
        <v>3678</v>
      </c>
    </row>
    <row r="2435" spans="1:3" x14ac:dyDescent="0.3">
      <c r="A2435" s="8" t="s">
        <v>2445</v>
      </c>
      <c r="B2435" s="8" t="s">
        <v>12</v>
      </c>
      <c r="C2435" t="s">
        <v>3678</v>
      </c>
    </row>
    <row r="2436" spans="1:3" x14ac:dyDescent="0.3">
      <c r="A2436" s="8" t="s">
        <v>2446</v>
      </c>
      <c r="B2436" s="8" t="s">
        <v>12</v>
      </c>
      <c r="C2436" t="s">
        <v>3678</v>
      </c>
    </row>
    <row r="2437" spans="1:3" x14ac:dyDescent="0.3">
      <c r="A2437" s="8" t="s">
        <v>2447</v>
      </c>
      <c r="B2437" s="8" t="s">
        <v>12</v>
      </c>
      <c r="C2437" t="s">
        <v>3678</v>
      </c>
    </row>
    <row r="2438" spans="1:3" x14ac:dyDescent="0.3">
      <c r="A2438" s="8" t="s">
        <v>2448</v>
      </c>
      <c r="B2438" s="8" t="s">
        <v>12</v>
      </c>
      <c r="C2438" t="s">
        <v>3678</v>
      </c>
    </row>
    <row r="2439" spans="1:3" x14ac:dyDescent="0.3">
      <c r="A2439" s="8" t="s">
        <v>2449</v>
      </c>
      <c r="B2439" s="8" t="s">
        <v>12</v>
      </c>
      <c r="C2439" t="s">
        <v>3678</v>
      </c>
    </row>
    <row r="2440" spans="1:3" x14ac:dyDescent="0.3">
      <c r="A2440" s="8" t="s">
        <v>2450</v>
      </c>
      <c r="B2440" s="8" t="s">
        <v>12</v>
      </c>
      <c r="C2440" t="s">
        <v>3678</v>
      </c>
    </row>
    <row r="2441" spans="1:3" x14ac:dyDescent="0.3">
      <c r="A2441" s="8" t="s">
        <v>2451</v>
      </c>
      <c r="B2441" s="8" t="s">
        <v>12</v>
      </c>
      <c r="C2441" t="s">
        <v>3678</v>
      </c>
    </row>
    <row r="2442" spans="1:3" x14ac:dyDescent="0.3">
      <c r="A2442" s="8" t="s">
        <v>2452</v>
      </c>
      <c r="B2442" s="8" t="s">
        <v>12</v>
      </c>
      <c r="C2442" t="s">
        <v>3678</v>
      </c>
    </row>
    <row r="2443" spans="1:3" x14ac:dyDescent="0.3">
      <c r="A2443" s="8" t="s">
        <v>2453</v>
      </c>
      <c r="B2443" s="8" t="s">
        <v>12</v>
      </c>
      <c r="C2443" t="s">
        <v>3678</v>
      </c>
    </row>
    <row r="2444" spans="1:3" x14ac:dyDescent="0.3">
      <c r="A2444" s="8" t="s">
        <v>2454</v>
      </c>
      <c r="B2444" s="8" t="s">
        <v>12</v>
      </c>
      <c r="C2444" t="s">
        <v>3678</v>
      </c>
    </row>
    <row r="2445" spans="1:3" x14ac:dyDescent="0.3">
      <c r="A2445" s="8" t="s">
        <v>2455</v>
      </c>
      <c r="B2445" s="8" t="s">
        <v>12</v>
      </c>
      <c r="C2445" t="s">
        <v>2</v>
      </c>
    </row>
    <row r="2446" spans="1:3" x14ac:dyDescent="0.3">
      <c r="A2446" s="8" t="s">
        <v>2456</v>
      </c>
      <c r="B2446" s="8" t="s">
        <v>12</v>
      </c>
      <c r="C2446" t="s">
        <v>2</v>
      </c>
    </row>
    <row r="2447" spans="1:3" x14ac:dyDescent="0.3">
      <c r="A2447" s="8" t="s">
        <v>2457</v>
      </c>
      <c r="B2447" s="8" t="s">
        <v>12</v>
      </c>
      <c r="C2447" t="s">
        <v>2</v>
      </c>
    </row>
    <row r="2448" spans="1:3" x14ac:dyDescent="0.3">
      <c r="A2448" s="8" t="s">
        <v>2458</v>
      </c>
      <c r="B2448" s="8" t="s">
        <v>12</v>
      </c>
      <c r="C2448" t="s">
        <v>2</v>
      </c>
    </row>
    <row r="2449" spans="1:3" x14ac:dyDescent="0.3">
      <c r="A2449" s="8" t="s">
        <v>2459</v>
      </c>
      <c r="B2449" s="8" t="s">
        <v>12</v>
      </c>
      <c r="C2449" t="s">
        <v>2</v>
      </c>
    </row>
    <row r="2450" spans="1:3" x14ac:dyDescent="0.3">
      <c r="A2450" s="8" t="s">
        <v>2460</v>
      </c>
      <c r="B2450" s="8" t="s">
        <v>12</v>
      </c>
      <c r="C2450" t="s">
        <v>2</v>
      </c>
    </row>
    <row r="2451" spans="1:3" x14ac:dyDescent="0.3">
      <c r="A2451" s="8" t="s">
        <v>2461</v>
      </c>
      <c r="B2451" s="8" t="s">
        <v>12</v>
      </c>
      <c r="C2451" t="s">
        <v>2</v>
      </c>
    </row>
    <row r="2452" spans="1:3" x14ac:dyDescent="0.3">
      <c r="A2452" s="8" t="s">
        <v>2462</v>
      </c>
      <c r="B2452" s="8" t="s">
        <v>12</v>
      </c>
      <c r="C2452" t="s">
        <v>2</v>
      </c>
    </row>
    <row r="2453" spans="1:3" x14ac:dyDescent="0.3">
      <c r="A2453" s="8" t="s">
        <v>2463</v>
      </c>
      <c r="B2453" s="8" t="s">
        <v>12</v>
      </c>
      <c r="C2453" t="s">
        <v>2</v>
      </c>
    </row>
    <row r="2454" spans="1:3" x14ac:dyDescent="0.3">
      <c r="A2454" s="8" t="s">
        <v>2464</v>
      </c>
      <c r="B2454" s="8" t="s">
        <v>12</v>
      </c>
      <c r="C2454" t="s">
        <v>2</v>
      </c>
    </row>
    <row r="2455" spans="1:3" x14ac:dyDescent="0.3">
      <c r="A2455" s="8" t="s">
        <v>2465</v>
      </c>
      <c r="B2455" s="8" t="s">
        <v>12</v>
      </c>
      <c r="C2455" t="s">
        <v>2</v>
      </c>
    </row>
    <row r="2456" spans="1:3" x14ac:dyDescent="0.3">
      <c r="A2456" s="8" t="s">
        <v>2466</v>
      </c>
      <c r="B2456" s="8" t="s">
        <v>12</v>
      </c>
      <c r="C2456" t="s">
        <v>2</v>
      </c>
    </row>
    <row r="2457" spans="1:3" x14ac:dyDescent="0.3">
      <c r="A2457" s="8" t="s">
        <v>2467</v>
      </c>
      <c r="B2457" s="8" t="s">
        <v>12</v>
      </c>
      <c r="C2457" t="s">
        <v>2</v>
      </c>
    </row>
    <row r="2458" spans="1:3" x14ac:dyDescent="0.3">
      <c r="A2458" s="8" t="s">
        <v>2468</v>
      </c>
      <c r="B2458" s="8" t="s">
        <v>12</v>
      </c>
      <c r="C2458" t="s">
        <v>2</v>
      </c>
    </row>
    <row r="2459" spans="1:3" x14ac:dyDescent="0.3">
      <c r="A2459" s="8" t="s">
        <v>2469</v>
      </c>
      <c r="B2459" s="8" t="s">
        <v>12</v>
      </c>
      <c r="C2459" t="s">
        <v>2</v>
      </c>
    </row>
    <row r="2460" spans="1:3" x14ac:dyDescent="0.3">
      <c r="A2460" s="8" t="s">
        <v>2470</v>
      </c>
      <c r="B2460" s="8" t="s">
        <v>12</v>
      </c>
      <c r="C2460" t="s">
        <v>2</v>
      </c>
    </row>
    <row r="2461" spans="1:3" x14ac:dyDescent="0.3">
      <c r="A2461" s="8" t="s">
        <v>2471</v>
      </c>
      <c r="B2461" s="8" t="s">
        <v>12</v>
      </c>
      <c r="C2461" t="s">
        <v>2</v>
      </c>
    </row>
    <row r="2462" spans="1:3" x14ac:dyDescent="0.3">
      <c r="A2462" s="8" t="s">
        <v>2472</v>
      </c>
      <c r="B2462" s="8" t="s">
        <v>12</v>
      </c>
      <c r="C2462" t="s">
        <v>2</v>
      </c>
    </row>
    <row r="2463" spans="1:3" x14ac:dyDescent="0.3">
      <c r="A2463" s="8" t="s">
        <v>2473</v>
      </c>
      <c r="B2463" s="8" t="s">
        <v>12</v>
      </c>
      <c r="C2463" t="s">
        <v>2</v>
      </c>
    </row>
    <row r="2464" spans="1:3" x14ac:dyDescent="0.3">
      <c r="A2464" s="8" t="s">
        <v>2474</v>
      </c>
      <c r="B2464" s="8" t="s">
        <v>12</v>
      </c>
      <c r="C2464" t="s">
        <v>2</v>
      </c>
    </row>
    <row r="2465" spans="1:3" x14ac:dyDescent="0.3">
      <c r="A2465" s="8" t="s">
        <v>2475</v>
      </c>
      <c r="B2465" s="8" t="s">
        <v>12</v>
      </c>
      <c r="C2465" t="s">
        <v>2</v>
      </c>
    </row>
    <row r="2466" spans="1:3" x14ac:dyDescent="0.3">
      <c r="A2466" s="8" t="s">
        <v>2476</v>
      </c>
      <c r="B2466" s="8" t="s">
        <v>12</v>
      </c>
      <c r="C2466" t="s">
        <v>2</v>
      </c>
    </row>
    <row r="2467" spans="1:3" x14ac:dyDescent="0.3">
      <c r="A2467" s="8" t="s">
        <v>2477</v>
      </c>
      <c r="B2467" s="8" t="s">
        <v>12</v>
      </c>
      <c r="C2467" t="s">
        <v>2</v>
      </c>
    </row>
    <row r="2468" spans="1:3" x14ac:dyDescent="0.3">
      <c r="A2468" s="8" t="s">
        <v>2478</v>
      </c>
      <c r="B2468" s="8" t="s">
        <v>12</v>
      </c>
      <c r="C2468" t="s">
        <v>2</v>
      </c>
    </row>
    <row r="2469" spans="1:3" x14ac:dyDescent="0.3">
      <c r="A2469" s="8" t="s">
        <v>2479</v>
      </c>
      <c r="B2469" s="8" t="s">
        <v>12</v>
      </c>
      <c r="C2469" t="s">
        <v>2</v>
      </c>
    </row>
    <row r="2470" spans="1:3" x14ac:dyDescent="0.3">
      <c r="A2470" s="8" t="s">
        <v>2480</v>
      </c>
      <c r="B2470" s="8" t="s">
        <v>12</v>
      </c>
      <c r="C2470" t="s">
        <v>2</v>
      </c>
    </row>
    <row r="2471" spans="1:3" x14ac:dyDescent="0.3">
      <c r="A2471" s="8" t="s">
        <v>2481</v>
      </c>
      <c r="B2471" s="8" t="s">
        <v>12</v>
      </c>
      <c r="C2471" t="s">
        <v>2</v>
      </c>
    </row>
    <row r="2472" spans="1:3" x14ac:dyDescent="0.3">
      <c r="A2472" s="8" t="s">
        <v>2482</v>
      </c>
      <c r="B2472" s="8" t="s">
        <v>12</v>
      </c>
      <c r="C2472" t="s">
        <v>2</v>
      </c>
    </row>
    <row r="2473" spans="1:3" x14ac:dyDescent="0.3">
      <c r="A2473" s="8" t="s">
        <v>2483</v>
      </c>
      <c r="B2473" s="8" t="s">
        <v>12</v>
      </c>
      <c r="C2473" t="s">
        <v>2</v>
      </c>
    </row>
    <row r="2474" spans="1:3" x14ac:dyDescent="0.3">
      <c r="A2474" s="8" t="s">
        <v>2484</v>
      </c>
      <c r="B2474" s="8" t="s">
        <v>12</v>
      </c>
      <c r="C2474" t="s">
        <v>2</v>
      </c>
    </row>
    <row r="2475" spans="1:3" x14ac:dyDescent="0.3">
      <c r="A2475" s="8" t="s">
        <v>2485</v>
      </c>
      <c r="B2475" s="8" t="s">
        <v>12</v>
      </c>
      <c r="C2475" t="s">
        <v>2</v>
      </c>
    </row>
    <row r="2476" spans="1:3" x14ac:dyDescent="0.3">
      <c r="A2476" s="8" t="s">
        <v>2486</v>
      </c>
      <c r="B2476" s="8" t="s">
        <v>12</v>
      </c>
      <c r="C2476" t="s">
        <v>2</v>
      </c>
    </row>
    <row r="2477" spans="1:3" x14ac:dyDescent="0.3">
      <c r="A2477" s="8" t="s">
        <v>2487</v>
      </c>
      <c r="B2477" s="8" t="s">
        <v>12</v>
      </c>
      <c r="C2477" t="s">
        <v>2</v>
      </c>
    </row>
    <row r="2478" spans="1:3" x14ac:dyDescent="0.3">
      <c r="A2478" s="8" t="s">
        <v>2488</v>
      </c>
      <c r="B2478" s="8" t="s">
        <v>12</v>
      </c>
      <c r="C2478" t="s">
        <v>2</v>
      </c>
    </row>
    <row r="2479" spans="1:3" x14ac:dyDescent="0.3">
      <c r="A2479" s="8" t="s">
        <v>2489</v>
      </c>
      <c r="B2479" s="8" t="s">
        <v>12</v>
      </c>
      <c r="C2479" t="s">
        <v>2</v>
      </c>
    </row>
    <row r="2480" spans="1:3" x14ac:dyDescent="0.3">
      <c r="A2480" s="8" t="s">
        <v>2490</v>
      </c>
      <c r="B2480" s="8" t="s">
        <v>12</v>
      </c>
      <c r="C2480" t="s">
        <v>2</v>
      </c>
    </row>
    <row r="2481" spans="1:3" x14ac:dyDescent="0.3">
      <c r="A2481" s="8" t="s">
        <v>2491</v>
      </c>
      <c r="B2481" s="8" t="s">
        <v>12</v>
      </c>
      <c r="C2481" t="s">
        <v>2</v>
      </c>
    </row>
    <row r="2482" spans="1:3" x14ac:dyDescent="0.3">
      <c r="A2482" s="8" t="s">
        <v>2492</v>
      </c>
      <c r="B2482" s="8" t="s">
        <v>12</v>
      </c>
      <c r="C2482" t="s">
        <v>2</v>
      </c>
    </row>
    <row r="2483" spans="1:3" x14ac:dyDescent="0.3">
      <c r="A2483" s="8" t="s">
        <v>2493</v>
      </c>
      <c r="B2483" s="8" t="s">
        <v>12</v>
      </c>
      <c r="C2483" t="s">
        <v>2</v>
      </c>
    </row>
    <row r="2484" spans="1:3" x14ac:dyDescent="0.3">
      <c r="A2484" s="8" t="s">
        <v>2494</v>
      </c>
      <c r="B2484" s="8" t="s">
        <v>12</v>
      </c>
      <c r="C2484" t="s">
        <v>2</v>
      </c>
    </row>
    <row r="2485" spans="1:3" x14ac:dyDescent="0.3">
      <c r="A2485" s="8" t="s">
        <v>2495</v>
      </c>
      <c r="B2485" s="8" t="s">
        <v>12</v>
      </c>
      <c r="C2485" t="s">
        <v>2</v>
      </c>
    </row>
    <row r="2486" spans="1:3" x14ac:dyDescent="0.3">
      <c r="A2486" s="8" t="s">
        <v>2496</v>
      </c>
      <c r="B2486" s="8" t="s">
        <v>12</v>
      </c>
      <c r="C2486" t="s">
        <v>2</v>
      </c>
    </row>
    <row r="2487" spans="1:3" x14ac:dyDescent="0.3">
      <c r="A2487" s="8" t="s">
        <v>2497</v>
      </c>
      <c r="B2487" s="8" t="s">
        <v>12</v>
      </c>
      <c r="C2487" t="s">
        <v>2</v>
      </c>
    </row>
    <row r="2488" spans="1:3" x14ac:dyDescent="0.3">
      <c r="A2488" s="8" t="s">
        <v>2498</v>
      </c>
      <c r="B2488" s="8" t="s">
        <v>12</v>
      </c>
      <c r="C2488" t="s">
        <v>3</v>
      </c>
    </row>
    <row r="2489" spans="1:3" x14ac:dyDescent="0.3">
      <c r="A2489" s="8" t="s">
        <v>2499</v>
      </c>
      <c r="B2489" s="8" t="s">
        <v>12</v>
      </c>
      <c r="C2489" t="s">
        <v>3</v>
      </c>
    </row>
    <row r="2490" spans="1:3" x14ac:dyDescent="0.3">
      <c r="A2490" s="8" t="s">
        <v>2500</v>
      </c>
      <c r="B2490" s="8" t="s">
        <v>12</v>
      </c>
      <c r="C2490" t="s">
        <v>3</v>
      </c>
    </row>
    <row r="2491" spans="1:3" x14ac:dyDescent="0.3">
      <c r="A2491" s="8" t="s">
        <v>2501</v>
      </c>
      <c r="B2491" s="8" t="s">
        <v>12</v>
      </c>
      <c r="C2491" t="s">
        <v>3</v>
      </c>
    </row>
    <row r="2492" spans="1:3" x14ac:dyDescent="0.3">
      <c r="A2492" s="8" t="s">
        <v>2502</v>
      </c>
      <c r="B2492" s="8" t="s">
        <v>12</v>
      </c>
      <c r="C2492" t="s">
        <v>3</v>
      </c>
    </row>
    <row r="2493" spans="1:3" x14ac:dyDescent="0.3">
      <c r="A2493" s="8" t="s">
        <v>2503</v>
      </c>
      <c r="B2493" s="8" t="s">
        <v>12</v>
      </c>
      <c r="C2493" t="s">
        <v>3</v>
      </c>
    </row>
    <row r="2494" spans="1:3" x14ac:dyDescent="0.3">
      <c r="A2494" s="8" t="s">
        <v>2504</v>
      </c>
      <c r="B2494" s="8" t="s">
        <v>12</v>
      </c>
      <c r="C2494" t="s">
        <v>3</v>
      </c>
    </row>
    <row r="2495" spans="1:3" x14ac:dyDescent="0.3">
      <c r="A2495" s="8" t="s">
        <v>2505</v>
      </c>
      <c r="B2495" s="8" t="s">
        <v>12</v>
      </c>
      <c r="C2495" t="s">
        <v>2</v>
      </c>
    </row>
    <row r="2496" spans="1:3" x14ac:dyDescent="0.3">
      <c r="A2496" s="8" t="s">
        <v>2506</v>
      </c>
      <c r="B2496" s="8" t="s">
        <v>12</v>
      </c>
      <c r="C2496" t="s">
        <v>2</v>
      </c>
    </row>
    <row r="2497" spans="1:3" x14ac:dyDescent="0.3">
      <c r="A2497" s="8" t="s">
        <v>2507</v>
      </c>
      <c r="B2497" s="8" t="s">
        <v>12</v>
      </c>
      <c r="C2497" t="s">
        <v>2</v>
      </c>
    </row>
    <row r="2498" spans="1:3" x14ac:dyDescent="0.3">
      <c r="A2498" s="8" t="s">
        <v>2508</v>
      </c>
      <c r="B2498" s="8" t="s">
        <v>12</v>
      </c>
      <c r="C2498" t="s">
        <v>2</v>
      </c>
    </row>
    <row r="2499" spans="1:3" x14ac:dyDescent="0.3">
      <c r="A2499" s="8" t="s">
        <v>2509</v>
      </c>
      <c r="B2499" s="8" t="s">
        <v>12</v>
      </c>
      <c r="C2499" t="s">
        <v>2</v>
      </c>
    </row>
    <row r="2500" spans="1:3" x14ac:dyDescent="0.3">
      <c r="A2500" s="8" t="s">
        <v>2510</v>
      </c>
      <c r="B2500" s="8" t="s">
        <v>12</v>
      </c>
      <c r="C2500" t="s">
        <v>2</v>
      </c>
    </row>
    <row r="2501" spans="1:3" x14ac:dyDescent="0.3">
      <c r="A2501" s="8" t="s">
        <v>2511</v>
      </c>
      <c r="B2501" s="8" t="s">
        <v>12</v>
      </c>
      <c r="C2501" t="s">
        <v>2</v>
      </c>
    </row>
    <row r="2502" spans="1:3" x14ac:dyDescent="0.3">
      <c r="A2502" s="8" t="s">
        <v>2512</v>
      </c>
      <c r="B2502" s="8" t="s">
        <v>12</v>
      </c>
      <c r="C2502" t="s">
        <v>2</v>
      </c>
    </row>
    <row r="2503" spans="1:3" x14ac:dyDescent="0.3">
      <c r="A2503" s="8" t="s">
        <v>2513</v>
      </c>
      <c r="B2503" s="8" t="s">
        <v>12</v>
      </c>
      <c r="C2503" t="s">
        <v>2</v>
      </c>
    </row>
    <row r="2504" spans="1:3" x14ac:dyDescent="0.3">
      <c r="A2504" s="8" t="s">
        <v>2514</v>
      </c>
      <c r="B2504" s="8" t="s">
        <v>12</v>
      </c>
      <c r="C2504" t="s">
        <v>2</v>
      </c>
    </row>
    <row r="2505" spans="1:3" x14ac:dyDescent="0.3">
      <c r="A2505" s="8" t="s">
        <v>2515</v>
      </c>
      <c r="B2505" s="8" t="s">
        <v>12</v>
      </c>
      <c r="C2505" t="s">
        <v>2</v>
      </c>
    </row>
    <row r="2506" spans="1:3" x14ac:dyDescent="0.3">
      <c r="A2506" s="8" t="s">
        <v>2516</v>
      </c>
      <c r="B2506" s="8" t="s">
        <v>12</v>
      </c>
      <c r="C2506" t="s">
        <v>2</v>
      </c>
    </row>
    <row r="2507" spans="1:3" x14ac:dyDescent="0.3">
      <c r="A2507" s="8" t="s">
        <v>2517</v>
      </c>
      <c r="B2507" s="8" t="s">
        <v>12</v>
      </c>
      <c r="C2507" t="s">
        <v>2</v>
      </c>
    </row>
    <row r="2508" spans="1:3" x14ac:dyDescent="0.3">
      <c r="A2508" s="8" t="s">
        <v>2518</v>
      </c>
      <c r="B2508" s="8" t="s">
        <v>12</v>
      </c>
      <c r="C2508" t="s">
        <v>2</v>
      </c>
    </row>
    <row r="2509" spans="1:3" x14ac:dyDescent="0.3">
      <c r="A2509" s="8" t="s">
        <v>2519</v>
      </c>
      <c r="B2509" s="8" t="s">
        <v>12</v>
      </c>
      <c r="C2509" t="s">
        <v>2</v>
      </c>
    </row>
    <row r="2510" spans="1:3" x14ac:dyDescent="0.3">
      <c r="A2510" s="8" t="s">
        <v>2520</v>
      </c>
      <c r="B2510" s="8" t="s">
        <v>12</v>
      </c>
      <c r="C2510" t="s">
        <v>2</v>
      </c>
    </row>
    <row r="2511" spans="1:3" x14ac:dyDescent="0.3">
      <c r="A2511" s="8" t="s">
        <v>2521</v>
      </c>
      <c r="B2511" s="8" t="s">
        <v>12</v>
      </c>
      <c r="C2511" t="s">
        <v>2</v>
      </c>
    </row>
    <row r="2512" spans="1:3" x14ac:dyDescent="0.3">
      <c r="A2512" s="8" t="s">
        <v>2522</v>
      </c>
      <c r="B2512" s="8" t="s">
        <v>12</v>
      </c>
      <c r="C2512" t="s">
        <v>2</v>
      </c>
    </row>
    <row r="2513" spans="1:3" x14ac:dyDescent="0.3">
      <c r="A2513" s="8" t="s">
        <v>2523</v>
      </c>
      <c r="B2513" s="8" t="s">
        <v>12</v>
      </c>
      <c r="C2513" t="s">
        <v>2</v>
      </c>
    </row>
    <row r="2514" spans="1:3" x14ac:dyDescent="0.3">
      <c r="A2514" s="8" t="s">
        <v>2524</v>
      </c>
      <c r="B2514" s="8" t="s">
        <v>12</v>
      </c>
      <c r="C2514" t="s">
        <v>2</v>
      </c>
    </row>
    <row r="2515" spans="1:3" x14ac:dyDescent="0.3">
      <c r="A2515" s="8" t="s">
        <v>2525</v>
      </c>
      <c r="B2515" s="8" t="s">
        <v>12</v>
      </c>
      <c r="C2515" t="s">
        <v>2</v>
      </c>
    </row>
    <row r="2516" spans="1:3" x14ac:dyDescent="0.3">
      <c r="A2516" s="8" t="s">
        <v>2526</v>
      </c>
      <c r="B2516" s="8" t="s">
        <v>12</v>
      </c>
      <c r="C2516" t="s">
        <v>2</v>
      </c>
    </row>
    <row r="2517" spans="1:3" x14ac:dyDescent="0.3">
      <c r="A2517" s="8" t="s">
        <v>2527</v>
      </c>
      <c r="B2517" s="8" t="s">
        <v>12</v>
      </c>
      <c r="C2517" t="s">
        <v>2</v>
      </c>
    </row>
    <row r="2518" spans="1:3" x14ac:dyDescent="0.3">
      <c r="A2518" s="8" t="s">
        <v>2528</v>
      </c>
      <c r="B2518" s="8" t="s">
        <v>12</v>
      </c>
      <c r="C2518" t="s">
        <v>2</v>
      </c>
    </row>
    <row r="2519" spans="1:3" x14ac:dyDescent="0.3">
      <c r="A2519" s="8" t="s">
        <v>2529</v>
      </c>
      <c r="B2519" s="8" t="s">
        <v>12</v>
      </c>
      <c r="C2519" t="s">
        <v>2</v>
      </c>
    </row>
    <row r="2520" spans="1:3" x14ac:dyDescent="0.3">
      <c r="A2520" s="8" t="s">
        <v>2530</v>
      </c>
      <c r="B2520" s="8" t="s">
        <v>12</v>
      </c>
      <c r="C2520" t="s">
        <v>2</v>
      </c>
    </row>
    <row r="2521" spans="1:3" x14ac:dyDescent="0.3">
      <c r="A2521" s="8" t="s">
        <v>2531</v>
      </c>
      <c r="B2521" s="8" t="s">
        <v>12</v>
      </c>
      <c r="C2521" t="s">
        <v>2</v>
      </c>
    </row>
    <row r="2522" spans="1:3" x14ac:dyDescent="0.3">
      <c r="A2522" s="8" t="s">
        <v>2532</v>
      </c>
      <c r="B2522" s="8" t="s">
        <v>12</v>
      </c>
      <c r="C2522" t="s">
        <v>2</v>
      </c>
    </row>
    <row r="2523" spans="1:3" x14ac:dyDescent="0.3">
      <c r="A2523" s="8" t="s">
        <v>2533</v>
      </c>
      <c r="B2523" s="8" t="s">
        <v>12</v>
      </c>
      <c r="C2523" t="s">
        <v>2</v>
      </c>
    </row>
    <row r="2524" spans="1:3" x14ac:dyDescent="0.3">
      <c r="A2524" s="8" t="s">
        <v>2534</v>
      </c>
      <c r="B2524" s="8" t="s">
        <v>12</v>
      </c>
      <c r="C2524" t="s">
        <v>2</v>
      </c>
    </row>
    <row r="2525" spans="1:3" x14ac:dyDescent="0.3">
      <c r="A2525" s="8" t="s">
        <v>2535</v>
      </c>
      <c r="B2525" s="8" t="s">
        <v>12</v>
      </c>
      <c r="C2525" t="s">
        <v>2</v>
      </c>
    </row>
    <row r="2526" spans="1:3" x14ac:dyDescent="0.3">
      <c r="A2526" s="8" t="s">
        <v>2536</v>
      </c>
      <c r="B2526" s="8" t="s">
        <v>12</v>
      </c>
      <c r="C2526" t="s">
        <v>2</v>
      </c>
    </row>
    <row r="2527" spans="1:3" x14ac:dyDescent="0.3">
      <c r="A2527" s="8" t="s">
        <v>2537</v>
      </c>
      <c r="B2527" s="8" t="s">
        <v>12</v>
      </c>
      <c r="C2527" t="s">
        <v>2</v>
      </c>
    </row>
    <row r="2528" spans="1:3" x14ac:dyDescent="0.3">
      <c r="A2528" s="8" t="s">
        <v>2538</v>
      </c>
      <c r="B2528" s="8" t="s">
        <v>12</v>
      </c>
      <c r="C2528" t="s">
        <v>2</v>
      </c>
    </row>
    <row r="2529" spans="1:3" x14ac:dyDescent="0.3">
      <c r="A2529" s="8" t="s">
        <v>2539</v>
      </c>
      <c r="B2529" s="8" t="s">
        <v>12</v>
      </c>
      <c r="C2529" t="s">
        <v>2</v>
      </c>
    </row>
    <row r="2530" spans="1:3" x14ac:dyDescent="0.3">
      <c r="A2530" s="8" t="s">
        <v>2540</v>
      </c>
      <c r="B2530" s="8" t="s">
        <v>12</v>
      </c>
      <c r="C2530" t="s">
        <v>2</v>
      </c>
    </row>
    <row r="2531" spans="1:3" x14ac:dyDescent="0.3">
      <c r="A2531" s="8" t="s">
        <v>2541</v>
      </c>
      <c r="B2531" s="8" t="s">
        <v>12</v>
      </c>
      <c r="C2531" t="s">
        <v>2</v>
      </c>
    </row>
    <row r="2532" spans="1:3" x14ac:dyDescent="0.3">
      <c r="A2532" s="8" t="s">
        <v>2542</v>
      </c>
      <c r="B2532" s="8" t="s">
        <v>12</v>
      </c>
      <c r="C2532" t="s">
        <v>2</v>
      </c>
    </row>
    <row r="2533" spans="1:3" x14ac:dyDescent="0.3">
      <c r="A2533" s="8" t="s">
        <v>2543</v>
      </c>
      <c r="B2533" s="8" t="s">
        <v>12</v>
      </c>
      <c r="C2533" t="s">
        <v>2</v>
      </c>
    </row>
    <row r="2534" spans="1:3" x14ac:dyDescent="0.3">
      <c r="A2534" s="8" t="s">
        <v>2544</v>
      </c>
      <c r="B2534" s="8" t="s">
        <v>12</v>
      </c>
      <c r="C2534" t="s">
        <v>2</v>
      </c>
    </row>
    <row r="2535" spans="1:3" x14ac:dyDescent="0.3">
      <c r="A2535" s="8" t="s">
        <v>2545</v>
      </c>
      <c r="B2535" s="8" t="s">
        <v>12</v>
      </c>
      <c r="C2535" t="s">
        <v>2</v>
      </c>
    </row>
    <row r="2536" spans="1:3" x14ac:dyDescent="0.3">
      <c r="A2536" s="8" t="s">
        <v>2546</v>
      </c>
      <c r="B2536" s="8" t="s">
        <v>12</v>
      </c>
      <c r="C2536" t="s">
        <v>2</v>
      </c>
    </row>
    <row r="2537" spans="1:3" x14ac:dyDescent="0.3">
      <c r="A2537" s="8" t="s">
        <v>2547</v>
      </c>
      <c r="B2537" s="8" t="s">
        <v>12</v>
      </c>
      <c r="C2537" t="s">
        <v>2</v>
      </c>
    </row>
    <row r="2538" spans="1:3" x14ac:dyDescent="0.3">
      <c r="A2538" s="8" t="s">
        <v>2548</v>
      </c>
      <c r="B2538" s="8" t="s">
        <v>12</v>
      </c>
      <c r="C2538" t="s">
        <v>2</v>
      </c>
    </row>
    <row r="2539" spans="1:3" x14ac:dyDescent="0.3">
      <c r="A2539" s="8" t="s">
        <v>2549</v>
      </c>
      <c r="B2539" s="8" t="s">
        <v>12</v>
      </c>
      <c r="C2539" t="s">
        <v>2</v>
      </c>
    </row>
    <row r="2540" spans="1:3" x14ac:dyDescent="0.3">
      <c r="A2540" s="8" t="s">
        <v>2550</v>
      </c>
      <c r="B2540" s="8" t="s">
        <v>12</v>
      </c>
      <c r="C2540" t="s">
        <v>2</v>
      </c>
    </row>
    <row r="2541" spans="1:3" x14ac:dyDescent="0.3">
      <c r="A2541" s="8" t="s">
        <v>2551</v>
      </c>
      <c r="B2541" s="8" t="s">
        <v>12</v>
      </c>
      <c r="C2541" t="s">
        <v>2</v>
      </c>
    </row>
    <row r="2542" spans="1:3" x14ac:dyDescent="0.3">
      <c r="A2542" s="8" t="s">
        <v>2552</v>
      </c>
      <c r="B2542" s="8" t="s">
        <v>12</v>
      </c>
      <c r="C2542" t="s">
        <v>2</v>
      </c>
    </row>
    <row r="2543" spans="1:3" x14ac:dyDescent="0.3">
      <c r="A2543" s="8" t="s">
        <v>2553</v>
      </c>
      <c r="B2543" s="8" t="s">
        <v>12</v>
      </c>
      <c r="C2543" t="s">
        <v>2</v>
      </c>
    </row>
    <row r="2544" spans="1:3" x14ac:dyDescent="0.3">
      <c r="A2544" s="8" t="s">
        <v>2554</v>
      </c>
      <c r="B2544" s="8" t="s">
        <v>12</v>
      </c>
      <c r="C2544" t="s">
        <v>2</v>
      </c>
    </row>
    <row r="2545" spans="1:3" x14ac:dyDescent="0.3">
      <c r="A2545" s="8" t="s">
        <v>2555</v>
      </c>
      <c r="B2545" s="8" t="s">
        <v>12</v>
      </c>
      <c r="C2545" t="s">
        <v>2</v>
      </c>
    </row>
    <row r="2546" spans="1:3" x14ac:dyDescent="0.3">
      <c r="A2546" s="8" t="s">
        <v>2556</v>
      </c>
      <c r="B2546" s="8" t="s">
        <v>12</v>
      </c>
      <c r="C2546" t="s">
        <v>2</v>
      </c>
    </row>
    <row r="2547" spans="1:3" x14ac:dyDescent="0.3">
      <c r="A2547" s="8" t="s">
        <v>2557</v>
      </c>
      <c r="B2547" s="8" t="s">
        <v>12</v>
      </c>
      <c r="C2547" t="s">
        <v>2</v>
      </c>
    </row>
    <row r="2548" spans="1:3" x14ac:dyDescent="0.3">
      <c r="A2548" s="8" t="s">
        <v>2558</v>
      </c>
      <c r="B2548" s="8" t="s">
        <v>12</v>
      </c>
      <c r="C2548" t="s">
        <v>2</v>
      </c>
    </row>
    <row r="2549" spans="1:3" x14ac:dyDescent="0.3">
      <c r="A2549" s="8" t="s">
        <v>2559</v>
      </c>
      <c r="B2549" s="8" t="s">
        <v>12</v>
      </c>
      <c r="C2549" t="s">
        <v>2</v>
      </c>
    </row>
    <row r="2550" spans="1:3" x14ac:dyDescent="0.3">
      <c r="A2550" s="8" t="s">
        <v>2560</v>
      </c>
      <c r="B2550" s="8" t="s">
        <v>12</v>
      </c>
      <c r="C2550" t="s">
        <v>2</v>
      </c>
    </row>
    <row r="2551" spans="1:3" x14ac:dyDescent="0.3">
      <c r="A2551" s="8" t="s">
        <v>2561</v>
      </c>
      <c r="B2551" s="8" t="s">
        <v>12</v>
      </c>
      <c r="C2551" t="s">
        <v>3</v>
      </c>
    </row>
    <row r="2552" spans="1:3" x14ac:dyDescent="0.3">
      <c r="A2552" s="8" t="s">
        <v>2562</v>
      </c>
      <c r="B2552" s="8" t="s">
        <v>12</v>
      </c>
      <c r="C2552" t="s">
        <v>3</v>
      </c>
    </row>
    <row r="2553" spans="1:3" x14ac:dyDescent="0.3">
      <c r="A2553" s="8" t="s">
        <v>2563</v>
      </c>
      <c r="B2553" s="8" t="s">
        <v>12</v>
      </c>
      <c r="C2553" t="s">
        <v>3</v>
      </c>
    </row>
    <row r="2554" spans="1:3" x14ac:dyDescent="0.3">
      <c r="A2554" s="8" t="s">
        <v>2564</v>
      </c>
      <c r="B2554" s="8" t="s">
        <v>12</v>
      </c>
      <c r="C2554" t="s">
        <v>3</v>
      </c>
    </row>
    <row r="2555" spans="1:3" x14ac:dyDescent="0.3">
      <c r="A2555" s="8" t="s">
        <v>2565</v>
      </c>
      <c r="B2555" s="8" t="s">
        <v>12</v>
      </c>
      <c r="C2555" t="s">
        <v>2</v>
      </c>
    </row>
    <row r="2556" spans="1:3" x14ac:dyDescent="0.3">
      <c r="A2556" s="8" t="s">
        <v>2566</v>
      </c>
      <c r="B2556" s="8" t="s">
        <v>12</v>
      </c>
      <c r="C2556" t="s">
        <v>2</v>
      </c>
    </row>
    <row r="2557" spans="1:3" x14ac:dyDescent="0.3">
      <c r="A2557" s="8" t="s">
        <v>2567</v>
      </c>
      <c r="B2557" s="8" t="s">
        <v>12</v>
      </c>
      <c r="C2557" t="s">
        <v>2</v>
      </c>
    </row>
    <row r="2558" spans="1:3" x14ac:dyDescent="0.3">
      <c r="A2558" s="8" t="s">
        <v>2568</v>
      </c>
      <c r="B2558" s="8" t="s">
        <v>12</v>
      </c>
      <c r="C2558" t="s">
        <v>2</v>
      </c>
    </row>
    <row r="2559" spans="1:3" x14ac:dyDescent="0.3">
      <c r="A2559" s="8" t="s">
        <v>2569</v>
      </c>
      <c r="B2559" s="8" t="s">
        <v>12</v>
      </c>
      <c r="C2559" t="s">
        <v>2</v>
      </c>
    </row>
    <row r="2560" spans="1:3" x14ac:dyDescent="0.3">
      <c r="A2560" s="8" t="s">
        <v>2570</v>
      </c>
      <c r="B2560" s="8" t="s">
        <v>12</v>
      </c>
      <c r="C2560" t="s">
        <v>2</v>
      </c>
    </row>
    <row r="2561" spans="1:3" x14ac:dyDescent="0.3">
      <c r="A2561" s="8" t="s">
        <v>2571</v>
      </c>
      <c r="B2561" s="8" t="s">
        <v>12</v>
      </c>
      <c r="C2561" t="s">
        <v>2</v>
      </c>
    </row>
    <row r="2562" spans="1:3" x14ac:dyDescent="0.3">
      <c r="A2562" s="8" t="s">
        <v>2572</v>
      </c>
      <c r="B2562" s="8" t="s">
        <v>12</v>
      </c>
      <c r="C2562" t="s">
        <v>2</v>
      </c>
    </row>
    <row r="2563" spans="1:3" x14ac:dyDescent="0.3">
      <c r="A2563" s="8" t="s">
        <v>2573</v>
      </c>
      <c r="B2563" s="8" t="s">
        <v>12</v>
      </c>
      <c r="C2563" t="s">
        <v>2</v>
      </c>
    </row>
    <row r="2564" spans="1:3" x14ac:dyDescent="0.3">
      <c r="A2564" s="8" t="s">
        <v>2574</v>
      </c>
      <c r="B2564" s="8" t="s">
        <v>12</v>
      </c>
      <c r="C2564" t="s">
        <v>3678</v>
      </c>
    </row>
    <row r="2565" spans="1:3" x14ac:dyDescent="0.3">
      <c r="A2565" s="8" t="s">
        <v>2575</v>
      </c>
      <c r="B2565" s="8" t="s">
        <v>12</v>
      </c>
      <c r="C2565" t="s">
        <v>2</v>
      </c>
    </row>
    <row r="2566" spans="1:3" x14ac:dyDescent="0.3">
      <c r="A2566" s="8" t="s">
        <v>2576</v>
      </c>
      <c r="B2566" s="8" t="s">
        <v>12</v>
      </c>
      <c r="C2566" t="s">
        <v>2</v>
      </c>
    </row>
    <row r="2567" spans="1:3" x14ac:dyDescent="0.3">
      <c r="A2567" s="8" t="s">
        <v>2577</v>
      </c>
      <c r="B2567" s="8" t="s">
        <v>12</v>
      </c>
      <c r="C2567" t="s">
        <v>2</v>
      </c>
    </row>
    <row r="2568" spans="1:3" x14ac:dyDescent="0.3">
      <c r="A2568" s="8" t="s">
        <v>2578</v>
      </c>
      <c r="B2568" s="8" t="s">
        <v>12</v>
      </c>
      <c r="C2568" t="s">
        <v>2</v>
      </c>
    </row>
    <row r="2569" spans="1:3" x14ac:dyDescent="0.3">
      <c r="A2569" s="8" t="s">
        <v>2579</v>
      </c>
      <c r="B2569" s="8" t="s">
        <v>12</v>
      </c>
      <c r="C2569" t="s">
        <v>2</v>
      </c>
    </row>
    <row r="2570" spans="1:3" x14ac:dyDescent="0.3">
      <c r="A2570" s="8" t="s">
        <v>2580</v>
      </c>
      <c r="B2570" s="8" t="s">
        <v>12</v>
      </c>
      <c r="C2570" t="s">
        <v>2</v>
      </c>
    </row>
    <row r="2571" spans="1:3" x14ac:dyDescent="0.3">
      <c r="A2571" s="8" t="s">
        <v>2581</v>
      </c>
      <c r="B2571" s="8" t="s">
        <v>12</v>
      </c>
      <c r="C2571" t="s">
        <v>2</v>
      </c>
    </row>
    <row r="2572" spans="1:3" x14ac:dyDescent="0.3">
      <c r="A2572" s="8" t="s">
        <v>2582</v>
      </c>
      <c r="B2572" s="8" t="s">
        <v>12</v>
      </c>
      <c r="C2572" t="s">
        <v>2</v>
      </c>
    </row>
    <row r="2573" spans="1:3" x14ac:dyDescent="0.3">
      <c r="A2573" s="8" t="s">
        <v>2583</v>
      </c>
      <c r="B2573" s="8" t="s">
        <v>12</v>
      </c>
      <c r="C2573" t="s">
        <v>2</v>
      </c>
    </row>
    <row r="2574" spans="1:3" x14ac:dyDescent="0.3">
      <c r="A2574" s="8" t="s">
        <v>2584</v>
      </c>
      <c r="B2574" s="8" t="s">
        <v>12</v>
      </c>
      <c r="C2574" t="s">
        <v>2</v>
      </c>
    </row>
    <row r="2575" spans="1:3" x14ac:dyDescent="0.3">
      <c r="A2575" s="8" t="s">
        <v>2585</v>
      </c>
      <c r="B2575" s="8" t="s">
        <v>12</v>
      </c>
      <c r="C2575" t="s">
        <v>2</v>
      </c>
    </row>
    <row r="2576" spans="1:3" x14ac:dyDescent="0.3">
      <c r="A2576" s="8" t="s">
        <v>2586</v>
      </c>
      <c r="B2576" s="8" t="s">
        <v>12</v>
      </c>
      <c r="C2576" t="s">
        <v>2</v>
      </c>
    </row>
    <row r="2577" spans="1:3" x14ac:dyDescent="0.3">
      <c r="A2577" s="8" t="s">
        <v>2587</v>
      </c>
      <c r="B2577" s="8" t="s">
        <v>12</v>
      </c>
      <c r="C2577" t="s">
        <v>2</v>
      </c>
    </row>
    <row r="2578" spans="1:3" x14ac:dyDescent="0.3">
      <c r="A2578" s="8" t="s">
        <v>2588</v>
      </c>
      <c r="B2578" s="8" t="s">
        <v>12</v>
      </c>
      <c r="C2578" t="s">
        <v>2</v>
      </c>
    </row>
    <row r="2579" spans="1:3" x14ac:dyDescent="0.3">
      <c r="A2579" s="8" t="s">
        <v>2589</v>
      </c>
      <c r="B2579" s="8" t="s">
        <v>12</v>
      </c>
      <c r="C2579" t="s">
        <v>2</v>
      </c>
    </row>
    <row r="2580" spans="1:3" x14ac:dyDescent="0.3">
      <c r="A2580" s="8" t="s">
        <v>2590</v>
      </c>
      <c r="B2580" s="8" t="s">
        <v>12</v>
      </c>
      <c r="C2580" t="s">
        <v>2</v>
      </c>
    </row>
    <row r="2581" spans="1:3" x14ac:dyDescent="0.3">
      <c r="A2581" s="8" t="s">
        <v>2591</v>
      </c>
      <c r="B2581" s="8" t="s">
        <v>12</v>
      </c>
      <c r="C2581" t="s">
        <v>2</v>
      </c>
    </row>
    <row r="2582" spans="1:3" x14ac:dyDescent="0.3">
      <c r="A2582" s="8" t="s">
        <v>2592</v>
      </c>
      <c r="B2582" s="8" t="s">
        <v>12</v>
      </c>
      <c r="C2582" t="s">
        <v>2</v>
      </c>
    </row>
    <row r="2583" spans="1:3" x14ac:dyDescent="0.3">
      <c r="A2583" s="8" t="s">
        <v>2593</v>
      </c>
      <c r="B2583" s="8" t="s">
        <v>12</v>
      </c>
      <c r="C2583" t="s">
        <v>2</v>
      </c>
    </row>
    <row r="2584" spans="1:3" x14ac:dyDescent="0.3">
      <c r="A2584" s="8" t="s">
        <v>2594</v>
      </c>
      <c r="B2584" s="8" t="s">
        <v>12</v>
      </c>
      <c r="C2584" t="s">
        <v>2</v>
      </c>
    </row>
    <row r="2585" spans="1:3" x14ac:dyDescent="0.3">
      <c r="A2585" s="8" t="s">
        <v>2595</v>
      </c>
      <c r="B2585" s="8" t="s">
        <v>12</v>
      </c>
      <c r="C2585" t="s">
        <v>2</v>
      </c>
    </row>
    <row r="2586" spans="1:3" x14ac:dyDescent="0.3">
      <c r="A2586" s="8" t="s">
        <v>2596</v>
      </c>
      <c r="B2586" s="8" t="s">
        <v>12</v>
      </c>
      <c r="C2586" t="s">
        <v>2</v>
      </c>
    </row>
    <row r="2587" spans="1:3" x14ac:dyDescent="0.3">
      <c r="A2587" s="8" t="s">
        <v>2597</v>
      </c>
      <c r="B2587" s="8" t="s">
        <v>12</v>
      </c>
      <c r="C2587" t="s">
        <v>2</v>
      </c>
    </row>
    <row r="2588" spans="1:3" x14ac:dyDescent="0.3">
      <c r="A2588" s="8" t="s">
        <v>2598</v>
      </c>
      <c r="B2588" s="8" t="s">
        <v>12</v>
      </c>
      <c r="C2588" t="s">
        <v>2</v>
      </c>
    </row>
    <row r="2589" spans="1:3" x14ac:dyDescent="0.3">
      <c r="A2589" s="8" t="s">
        <v>2599</v>
      </c>
      <c r="B2589" s="8" t="s">
        <v>12</v>
      </c>
      <c r="C2589" t="s">
        <v>2</v>
      </c>
    </row>
    <row r="2590" spans="1:3" x14ac:dyDescent="0.3">
      <c r="A2590" s="8" t="s">
        <v>2600</v>
      </c>
      <c r="B2590" s="8" t="s">
        <v>12</v>
      </c>
      <c r="C2590" t="s">
        <v>2</v>
      </c>
    </row>
    <row r="2591" spans="1:3" x14ac:dyDescent="0.3">
      <c r="A2591" s="8" t="s">
        <v>2601</v>
      </c>
      <c r="B2591" s="8" t="s">
        <v>12</v>
      </c>
      <c r="C2591" t="s">
        <v>2</v>
      </c>
    </row>
    <row r="2592" spans="1:3" x14ac:dyDescent="0.3">
      <c r="A2592" s="8" t="s">
        <v>2602</v>
      </c>
      <c r="B2592" s="8" t="s">
        <v>12</v>
      </c>
      <c r="C2592" t="s">
        <v>2</v>
      </c>
    </row>
    <row r="2593" spans="1:3" x14ac:dyDescent="0.3">
      <c r="A2593" s="8" t="s">
        <v>2603</v>
      </c>
      <c r="B2593" s="8" t="s">
        <v>12</v>
      </c>
      <c r="C2593" t="s">
        <v>2</v>
      </c>
    </row>
    <row r="2594" spans="1:3" x14ac:dyDescent="0.3">
      <c r="A2594" s="8" t="s">
        <v>2604</v>
      </c>
      <c r="B2594" s="8" t="s">
        <v>12</v>
      </c>
      <c r="C2594" t="s">
        <v>2</v>
      </c>
    </row>
    <row r="2595" spans="1:3" x14ac:dyDescent="0.3">
      <c r="A2595" s="8" t="s">
        <v>2605</v>
      </c>
      <c r="B2595" s="8" t="s">
        <v>12</v>
      </c>
      <c r="C2595" t="s">
        <v>2</v>
      </c>
    </row>
    <row r="2596" spans="1:3" x14ac:dyDescent="0.3">
      <c r="A2596" s="8" t="s">
        <v>2606</v>
      </c>
      <c r="B2596" s="8" t="s">
        <v>12</v>
      </c>
      <c r="C2596" t="s">
        <v>2</v>
      </c>
    </row>
    <row r="2597" spans="1:3" x14ac:dyDescent="0.3">
      <c r="A2597" s="8" t="s">
        <v>2607</v>
      </c>
      <c r="B2597" s="8" t="s">
        <v>12</v>
      </c>
      <c r="C2597" t="s">
        <v>2</v>
      </c>
    </row>
    <row r="2598" spans="1:3" x14ac:dyDescent="0.3">
      <c r="A2598" s="8" t="s">
        <v>2608</v>
      </c>
      <c r="B2598" s="8" t="s">
        <v>12</v>
      </c>
      <c r="C2598" t="s">
        <v>2</v>
      </c>
    </row>
    <row r="2599" spans="1:3" x14ac:dyDescent="0.3">
      <c r="A2599" s="8" t="s">
        <v>2609</v>
      </c>
      <c r="B2599" s="8" t="s">
        <v>12</v>
      </c>
      <c r="C2599" t="s">
        <v>2</v>
      </c>
    </row>
    <row r="2600" spans="1:3" x14ac:dyDescent="0.3">
      <c r="A2600" s="8" t="s">
        <v>2610</v>
      </c>
      <c r="B2600" s="8" t="s">
        <v>12</v>
      </c>
      <c r="C2600" t="s">
        <v>2</v>
      </c>
    </row>
    <row r="2601" spans="1:3" x14ac:dyDescent="0.3">
      <c r="A2601" s="8" t="s">
        <v>2611</v>
      </c>
      <c r="B2601" s="8" t="s">
        <v>12</v>
      </c>
      <c r="C2601" t="s">
        <v>2</v>
      </c>
    </row>
    <row r="2602" spans="1:3" x14ac:dyDescent="0.3">
      <c r="A2602" s="8" t="s">
        <v>2612</v>
      </c>
      <c r="B2602" s="8" t="s">
        <v>12</v>
      </c>
      <c r="C2602" t="s">
        <v>2</v>
      </c>
    </row>
    <row r="2603" spans="1:3" x14ac:dyDescent="0.3">
      <c r="A2603" s="8" t="s">
        <v>2613</v>
      </c>
      <c r="B2603" s="8" t="s">
        <v>12</v>
      </c>
      <c r="C2603" t="s">
        <v>2</v>
      </c>
    </row>
    <row r="2604" spans="1:3" x14ac:dyDescent="0.3">
      <c r="A2604" s="8" t="s">
        <v>2614</v>
      </c>
      <c r="B2604" s="8" t="s">
        <v>12</v>
      </c>
      <c r="C2604" t="s">
        <v>2</v>
      </c>
    </row>
    <row r="2605" spans="1:3" x14ac:dyDescent="0.3">
      <c r="A2605" s="8" t="s">
        <v>2615</v>
      </c>
      <c r="B2605" s="8" t="s">
        <v>12</v>
      </c>
      <c r="C2605" t="s">
        <v>2</v>
      </c>
    </row>
    <row r="2606" spans="1:3" x14ac:dyDescent="0.3">
      <c r="A2606" s="8" t="s">
        <v>2616</v>
      </c>
      <c r="B2606" s="8" t="s">
        <v>12</v>
      </c>
      <c r="C2606" t="s">
        <v>2</v>
      </c>
    </row>
    <row r="2607" spans="1:3" x14ac:dyDescent="0.3">
      <c r="A2607" s="8" t="s">
        <v>2617</v>
      </c>
      <c r="B2607" s="8" t="s">
        <v>12</v>
      </c>
      <c r="C2607" t="s">
        <v>2</v>
      </c>
    </row>
    <row r="2608" spans="1:3" x14ac:dyDescent="0.3">
      <c r="A2608" s="8" t="s">
        <v>2618</v>
      </c>
      <c r="B2608" s="8" t="s">
        <v>12</v>
      </c>
      <c r="C2608" t="s">
        <v>2</v>
      </c>
    </row>
    <row r="2609" spans="1:3" x14ac:dyDescent="0.3">
      <c r="A2609" s="8" t="s">
        <v>2619</v>
      </c>
      <c r="B2609" s="8" t="s">
        <v>12</v>
      </c>
      <c r="C2609" t="s">
        <v>2</v>
      </c>
    </row>
    <row r="2610" spans="1:3" x14ac:dyDescent="0.3">
      <c r="A2610" s="8" t="s">
        <v>2620</v>
      </c>
      <c r="B2610" s="8" t="s">
        <v>12</v>
      </c>
      <c r="C2610" t="s">
        <v>2</v>
      </c>
    </row>
    <row r="2611" spans="1:3" x14ac:dyDescent="0.3">
      <c r="A2611" s="8" t="s">
        <v>2621</v>
      </c>
      <c r="B2611" s="8" t="s">
        <v>12</v>
      </c>
      <c r="C2611" t="s">
        <v>2</v>
      </c>
    </row>
    <row r="2612" spans="1:3" x14ac:dyDescent="0.3">
      <c r="A2612" s="8" t="s">
        <v>2622</v>
      </c>
      <c r="B2612" s="8" t="s">
        <v>12</v>
      </c>
      <c r="C2612" t="s">
        <v>2</v>
      </c>
    </row>
    <row r="2613" spans="1:3" x14ac:dyDescent="0.3">
      <c r="A2613" s="8" t="s">
        <v>2623</v>
      </c>
      <c r="B2613" s="8" t="s">
        <v>12</v>
      </c>
      <c r="C2613" t="s">
        <v>2</v>
      </c>
    </row>
    <row r="2614" spans="1:3" x14ac:dyDescent="0.3">
      <c r="A2614" s="8" t="s">
        <v>2624</v>
      </c>
      <c r="B2614" s="8" t="s">
        <v>12</v>
      </c>
      <c r="C2614" t="s">
        <v>2</v>
      </c>
    </row>
    <row r="2615" spans="1:3" x14ac:dyDescent="0.3">
      <c r="A2615" s="8" t="s">
        <v>2625</v>
      </c>
      <c r="B2615" s="8" t="s">
        <v>12</v>
      </c>
      <c r="C2615" t="s">
        <v>2</v>
      </c>
    </row>
    <row r="2616" spans="1:3" x14ac:dyDescent="0.3">
      <c r="A2616" s="8" t="s">
        <v>2626</v>
      </c>
      <c r="B2616" s="8" t="s">
        <v>12</v>
      </c>
      <c r="C2616" t="s">
        <v>2</v>
      </c>
    </row>
    <row r="2617" spans="1:3" x14ac:dyDescent="0.3">
      <c r="A2617" s="8" t="s">
        <v>2627</v>
      </c>
      <c r="B2617" s="8" t="s">
        <v>12</v>
      </c>
      <c r="C2617" t="s">
        <v>2</v>
      </c>
    </row>
    <row r="2618" spans="1:3" x14ac:dyDescent="0.3">
      <c r="A2618" s="8" t="s">
        <v>2628</v>
      </c>
      <c r="B2618" s="8" t="s">
        <v>12</v>
      </c>
      <c r="C2618" t="s">
        <v>2</v>
      </c>
    </row>
    <row r="2619" spans="1:3" x14ac:dyDescent="0.3">
      <c r="A2619" s="8" t="s">
        <v>2629</v>
      </c>
      <c r="B2619" s="8" t="s">
        <v>12</v>
      </c>
      <c r="C2619" t="s">
        <v>2</v>
      </c>
    </row>
    <row r="2620" spans="1:3" x14ac:dyDescent="0.3">
      <c r="A2620" s="8" t="s">
        <v>2630</v>
      </c>
      <c r="B2620" s="8" t="s">
        <v>12</v>
      </c>
      <c r="C2620" t="s">
        <v>2</v>
      </c>
    </row>
    <row r="2621" spans="1:3" x14ac:dyDescent="0.3">
      <c r="A2621" s="8" t="s">
        <v>2631</v>
      </c>
      <c r="B2621" s="8" t="s">
        <v>12</v>
      </c>
      <c r="C2621" t="s">
        <v>2</v>
      </c>
    </row>
    <row r="2622" spans="1:3" x14ac:dyDescent="0.3">
      <c r="A2622" s="8" t="s">
        <v>2632</v>
      </c>
      <c r="B2622" s="8" t="s">
        <v>12</v>
      </c>
      <c r="C2622" t="s">
        <v>2</v>
      </c>
    </row>
    <row r="2623" spans="1:3" x14ac:dyDescent="0.3">
      <c r="A2623" s="8" t="s">
        <v>2633</v>
      </c>
      <c r="B2623" s="8" t="s">
        <v>12</v>
      </c>
      <c r="C2623" t="s">
        <v>2</v>
      </c>
    </row>
    <row r="2624" spans="1:3" x14ac:dyDescent="0.3">
      <c r="A2624" s="8" t="s">
        <v>2634</v>
      </c>
      <c r="B2624" s="8" t="s">
        <v>12</v>
      </c>
      <c r="C2624" t="s">
        <v>2</v>
      </c>
    </row>
    <row r="2625" spans="1:3" x14ac:dyDescent="0.3">
      <c r="A2625" s="8" t="s">
        <v>2635</v>
      </c>
      <c r="B2625" s="8" t="s">
        <v>12</v>
      </c>
      <c r="C2625" t="s">
        <v>2</v>
      </c>
    </row>
    <row r="2626" spans="1:3" x14ac:dyDescent="0.3">
      <c r="A2626" s="8" t="s">
        <v>2636</v>
      </c>
      <c r="B2626" s="8" t="s">
        <v>12</v>
      </c>
      <c r="C2626" t="s">
        <v>2</v>
      </c>
    </row>
    <row r="2627" spans="1:3" x14ac:dyDescent="0.3">
      <c r="A2627" s="8" t="s">
        <v>2637</v>
      </c>
      <c r="B2627" s="8" t="s">
        <v>12</v>
      </c>
      <c r="C2627" t="s">
        <v>2</v>
      </c>
    </row>
    <row r="2628" spans="1:3" x14ac:dyDescent="0.3">
      <c r="A2628" s="8" t="s">
        <v>2638</v>
      </c>
      <c r="B2628" s="8" t="s">
        <v>12</v>
      </c>
      <c r="C2628" t="s">
        <v>2</v>
      </c>
    </row>
    <row r="2629" spans="1:3" x14ac:dyDescent="0.3">
      <c r="A2629" s="8" t="s">
        <v>2639</v>
      </c>
      <c r="B2629" s="8" t="s">
        <v>12</v>
      </c>
      <c r="C2629" t="s">
        <v>2</v>
      </c>
    </row>
    <row r="2630" spans="1:3" x14ac:dyDescent="0.3">
      <c r="A2630" s="8" t="s">
        <v>2640</v>
      </c>
      <c r="B2630" s="8" t="s">
        <v>12</v>
      </c>
      <c r="C2630" t="s">
        <v>2</v>
      </c>
    </row>
    <row r="2631" spans="1:3" x14ac:dyDescent="0.3">
      <c r="A2631" s="8" t="s">
        <v>2641</v>
      </c>
      <c r="B2631" s="8" t="s">
        <v>12</v>
      </c>
      <c r="C2631" t="s">
        <v>2</v>
      </c>
    </row>
    <row r="2632" spans="1:3" x14ac:dyDescent="0.3">
      <c r="A2632" s="8" t="s">
        <v>2642</v>
      </c>
      <c r="B2632" s="8" t="s">
        <v>12</v>
      </c>
      <c r="C2632" t="s">
        <v>3</v>
      </c>
    </row>
    <row r="2633" spans="1:3" x14ac:dyDescent="0.3">
      <c r="A2633" s="8" t="s">
        <v>2643</v>
      </c>
      <c r="B2633" s="8" t="s">
        <v>12</v>
      </c>
      <c r="C2633" t="s">
        <v>3</v>
      </c>
    </row>
    <row r="2634" spans="1:3" x14ac:dyDescent="0.3">
      <c r="A2634" s="8" t="s">
        <v>2644</v>
      </c>
      <c r="B2634" s="8" t="s">
        <v>12</v>
      </c>
      <c r="C2634" t="s">
        <v>3</v>
      </c>
    </row>
    <row r="2635" spans="1:3" x14ac:dyDescent="0.3">
      <c r="A2635" s="8" t="s">
        <v>2645</v>
      </c>
      <c r="B2635" s="8" t="s">
        <v>12</v>
      </c>
      <c r="C2635" t="s">
        <v>3</v>
      </c>
    </row>
    <row r="2636" spans="1:3" x14ac:dyDescent="0.3">
      <c r="A2636" s="8" t="s">
        <v>2646</v>
      </c>
      <c r="B2636" s="8" t="s">
        <v>12</v>
      </c>
      <c r="C2636" t="s">
        <v>3</v>
      </c>
    </row>
    <row r="2637" spans="1:3" x14ac:dyDescent="0.3">
      <c r="A2637" s="8" t="s">
        <v>2647</v>
      </c>
      <c r="B2637" s="8" t="s">
        <v>12</v>
      </c>
      <c r="C2637" t="s">
        <v>3</v>
      </c>
    </row>
    <row r="2638" spans="1:3" x14ac:dyDescent="0.3">
      <c r="A2638" s="8" t="s">
        <v>2648</v>
      </c>
      <c r="B2638" s="8" t="s">
        <v>12</v>
      </c>
      <c r="C2638" t="s">
        <v>3</v>
      </c>
    </row>
    <row r="2639" spans="1:3" x14ac:dyDescent="0.3">
      <c r="A2639" s="8" t="s">
        <v>2649</v>
      </c>
      <c r="B2639" s="8" t="s">
        <v>12</v>
      </c>
      <c r="C2639" t="s">
        <v>3</v>
      </c>
    </row>
    <row r="2640" spans="1:3" x14ac:dyDescent="0.3">
      <c r="A2640" s="8" t="s">
        <v>2650</v>
      </c>
      <c r="B2640" s="8" t="s">
        <v>12</v>
      </c>
      <c r="C2640" t="s">
        <v>3</v>
      </c>
    </row>
    <row r="2641" spans="1:3" x14ac:dyDescent="0.3">
      <c r="A2641" s="8" t="s">
        <v>2651</v>
      </c>
      <c r="B2641" s="8" t="s">
        <v>12</v>
      </c>
      <c r="C2641" t="s">
        <v>3</v>
      </c>
    </row>
    <row r="2642" spans="1:3" x14ac:dyDescent="0.3">
      <c r="A2642" s="8" t="s">
        <v>2652</v>
      </c>
      <c r="B2642" s="8" t="s">
        <v>12</v>
      </c>
      <c r="C2642" t="s">
        <v>3</v>
      </c>
    </row>
    <row r="2643" spans="1:3" x14ac:dyDescent="0.3">
      <c r="A2643" s="8" t="s">
        <v>2653</v>
      </c>
      <c r="B2643" s="8" t="s">
        <v>12</v>
      </c>
      <c r="C2643" t="s">
        <v>2</v>
      </c>
    </row>
    <row r="2644" spans="1:3" x14ac:dyDescent="0.3">
      <c r="A2644" s="8" t="s">
        <v>2654</v>
      </c>
      <c r="B2644" s="8" t="s">
        <v>12</v>
      </c>
      <c r="C2644" t="s">
        <v>2</v>
      </c>
    </row>
    <row r="2645" spans="1:3" x14ac:dyDescent="0.3">
      <c r="A2645" s="8" t="s">
        <v>2655</v>
      </c>
      <c r="B2645" s="8" t="s">
        <v>12</v>
      </c>
      <c r="C2645" t="s">
        <v>2</v>
      </c>
    </row>
    <row r="2646" spans="1:3" x14ac:dyDescent="0.3">
      <c r="A2646" s="8" t="s">
        <v>2656</v>
      </c>
      <c r="B2646" s="8" t="s">
        <v>12</v>
      </c>
      <c r="C2646" t="s">
        <v>2</v>
      </c>
    </row>
    <row r="2647" spans="1:3" x14ac:dyDescent="0.3">
      <c r="A2647" s="8" t="s">
        <v>2657</v>
      </c>
      <c r="B2647" s="8" t="s">
        <v>12</v>
      </c>
      <c r="C2647" t="s">
        <v>2</v>
      </c>
    </row>
    <row r="2648" spans="1:3" x14ac:dyDescent="0.3">
      <c r="A2648" s="8" t="s">
        <v>2658</v>
      </c>
      <c r="B2648" s="8" t="s">
        <v>12</v>
      </c>
      <c r="C2648" t="s">
        <v>2</v>
      </c>
    </row>
    <row r="2649" spans="1:3" x14ac:dyDescent="0.3">
      <c r="A2649" s="8" t="s">
        <v>2659</v>
      </c>
      <c r="B2649" s="8" t="s">
        <v>12</v>
      </c>
      <c r="C2649" t="s">
        <v>2</v>
      </c>
    </row>
    <row r="2650" spans="1:3" x14ac:dyDescent="0.3">
      <c r="A2650" s="8" t="s">
        <v>2660</v>
      </c>
      <c r="B2650" s="8" t="s">
        <v>12</v>
      </c>
      <c r="C2650" t="s">
        <v>2</v>
      </c>
    </row>
    <row r="2651" spans="1:3" x14ac:dyDescent="0.3">
      <c r="A2651" s="8" t="s">
        <v>2661</v>
      </c>
      <c r="B2651" s="8" t="s">
        <v>12</v>
      </c>
      <c r="C2651" t="s">
        <v>2</v>
      </c>
    </row>
    <row r="2652" spans="1:3" x14ac:dyDescent="0.3">
      <c r="A2652" s="8" t="s">
        <v>2662</v>
      </c>
      <c r="B2652" s="8" t="s">
        <v>12</v>
      </c>
      <c r="C2652" t="s">
        <v>2</v>
      </c>
    </row>
    <row r="2653" spans="1:3" x14ac:dyDescent="0.3">
      <c r="A2653" s="8" t="s">
        <v>2663</v>
      </c>
      <c r="B2653" s="8" t="s">
        <v>12</v>
      </c>
      <c r="C2653" t="s">
        <v>2</v>
      </c>
    </row>
    <row r="2654" spans="1:3" x14ac:dyDescent="0.3">
      <c r="A2654" s="8" t="s">
        <v>2664</v>
      </c>
      <c r="B2654" s="8" t="s">
        <v>12</v>
      </c>
      <c r="C2654" t="s">
        <v>2</v>
      </c>
    </row>
    <row r="2655" spans="1:3" x14ac:dyDescent="0.3">
      <c r="A2655" s="8" t="s">
        <v>2665</v>
      </c>
      <c r="B2655" s="8" t="s">
        <v>12</v>
      </c>
      <c r="C2655" t="s">
        <v>2</v>
      </c>
    </row>
    <row r="2656" spans="1:3" x14ac:dyDescent="0.3">
      <c r="A2656" s="8" t="s">
        <v>2666</v>
      </c>
      <c r="B2656" s="8" t="s">
        <v>12</v>
      </c>
      <c r="C2656" t="s">
        <v>2</v>
      </c>
    </row>
    <row r="2657" spans="1:3" x14ac:dyDescent="0.3">
      <c r="A2657" s="8" t="s">
        <v>2667</v>
      </c>
      <c r="B2657" s="8" t="s">
        <v>12</v>
      </c>
      <c r="C2657" t="s">
        <v>2</v>
      </c>
    </row>
    <row r="2658" spans="1:3" x14ac:dyDescent="0.3">
      <c r="A2658" s="8" t="s">
        <v>2668</v>
      </c>
      <c r="B2658" s="8" t="s">
        <v>12</v>
      </c>
      <c r="C2658" t="s">
        <v>2</v>
      </c>
    </row>
    <row r="2659" spans="1:3" x14ac:dyDescent="0.3">
      <c r="A2659" s="8" t="s">
        <v>2669</v>
      </c>
      <c r="B2659" s="8" t="s">
        <v>12</v>
      </c>
      <c r="C2659" t="s">
        <v>2</v>
      </c>
    </row>
    <row r="2660" spans="1:3" x14ac:dyDescent="0.3">
      <c r="A2660" s="8" t="s">
        <v>2670</v>
      </c>
      <c r="B2660" s="8" t="s">
        <v>12</v>
      </c>
      <c r="C2660" t="s">
        <v>2</v>
      </c>
    </row>
    <row r="2661" spans="1:3" x14ac:dyDescent="0.3">
      <c r="A2661" s="8" t="s">
        <v>2671</v>
      </c>
      <c r="B2661" s="8" t="s">
        <v>12</v>
      </c>
      <c r="C2661" t="s">
        <v>2</v>
      </c>
    </row>
    <row r="2662" spans="1:3" x14ac:dyDescent="0.3">
      <c r="A2662" s="8" t="s">
        <v>2672</v>
      </c>
      <c r="B2662" s="8" t="s">
        <v>12</v>
      </c>
      <c r="C2662" t="s">
        <v>2</v>
      </c>
    </row>
    <row r="2663" spans="1:3" x14ac:dyDescent="0.3">
      <c r="A2663" s="8" t="s">
        <v>2673</v>
      </c>
      <c r="B2663" s="8" t="s">
        <v>12</v>
      </c>
      <c r="C2663" t="s">
        <v>2</v>
      </c>
    </row>
    <row r="2664" spans="1:3" x14ac:dyDescent="0.3">
      <c r="A2664" s="8" t="s">
        <v>2674</v>
      </c>
      <c r="B2664" s="8" t="s">
        <v>12</v>
      </c>
      <c r="C2664" t="s">
        <v>2</v>
      </c>
    </row>
    <row r="2665" spans="1:3" x14ac:dyDescent="0.3">
      <c r="A2665" s="8" t="s">
        <v>2675</v>
      </c>
      <c r="B2665" s="8" t="s">
        <v>12</v>
      </c>
      <c r="C2665" t="s">
        <v>2</v>
      </c>
    </row>
    <row r="2666" spans="1:3" x14ac:dyDescent="0.3">
      <c r="A2666" s="8" t="s">
        <v>2676</v>
      </c>
      <c r="B2666" s="8" t="s">
        <v>12</v>
      </c>
      <c r="C2666" t="s">
        <v>2</v>
      </c>
    </row>
    <row r="2667" spans="1:3" x14ac:dyDescent="0.3">
      <c r="A2667" s="8" t="s">
        <v>2677</v>
      </c>
      <c r="B2667" s="8" t="s">
        <v>12</v>
      </c>
      <c r="C2667" t="s">
        <v>2</v>
      </c>
    </row>
    <row r="2668" spans="1:3" x14ac:dyDescent="0.3">
      <c r="A2668" s="8" t="s">
        <v>2678</v>
      </c>
      <c r="B2668" s="8" t="s">
        <v>12</v>
      </c>
      <c r="C2668" t="s">
        <v>2</v>
      </c>
    </row>
    <row r="2669" spans="1:3" x14ac:dyDescent="0.3">
      <c r="A2669" s="8" t="s">
        <v>2679</v>
      </c>
      <c r="B2669" s="8" t="s">
        <v>12</v>
      </c>
      <c r="C2669" t="s">
        <v>2</v>
      </c>
    </row>
    <row r="2670" spans="1:3" x14ac:dyDescent="0.3">
      <c r="A2670" s="8" t="s">
        <v>2680</v>
      </c>
      <c r="B2670" s="8" t="s">
        <v>12</v>
      </c>
      <c r="C2670" t="s">
        <v>2</v>
      </c>
    </row>
    <row r="2671" spans="1:3" x14ac:dyDescent="0.3">
      <c r="A2671" s="8" t="s">
        <v>2681</v>
      </c>
      <c r="B2671" s="8" t="s">
        <v>12</v>
      </c>
      <c r="C2671" t="s">
        <v>2</v>
      </c>
    </row>
    <row r="2672" spans="1:3" x14ac:dyDescent="0.3">
      <c r="A2672" s="8" t="s">
        <v>2682</v>
      </c>
      <c r="B2672" s="8" t="s">
        <v>12</v>
      </c>
      <c r="C2672" t="s">
        <v>2</v>
      </c>
    </row>
    <row r="2673" spans="1:3" x14ac:dyDescent="0.3">
      <c r="A2673" s="8" t="s">
        <v>2683</v>
      </c>
      <c r="B2673" s="8" t="s">
        <v>12</v>
      </c>
      <c r="C2673" t="s">
        <v>2</v>
      </c>
    </row>
    <row r="2674" spans="1:3" x14ac:dyDescent="0.3">
      <c r="A2674" s="8" t="s">
        <v>2684</v>
      </c>
      <c r="B2674" s="8" t="s">
        <v>12</v>
      </c>
      <c r="C2674" t="s">
        <v>2</v>
      </c>
    </row>
    <row r="2675" spans="1:3" x14ac:dyDescent="0.3">
      <c r="A2675" s="8" t="s">
        <v>2685</v>
      </c>
      <c r="B2675" s="8" t="s">
        <v>12</v>
      </c>
      <c r="C2675" t="s">
        <v>2</v>
      </c>
    </row>
    <row r="2676" spans="1:3" x14ac:dyDescent="0.3">
      <c r="A2676" s="8" t="s">
        <v>2686</v>
      </c>
      <c r="B2676" s="8" t="s">
        <v>12</v>
      </c>
      <c r="C2676" t="s">
        <v>2</v>
      </c>
    </row>
    <row r="2677" spans="1:3" x14ac:dyDescent="0.3">
      <c r="A2677" s="8" t="s">
        <v>2687</v>
      </c>
      <c r="B2677" s="8" t="s">
        <v>12</v>
      </c>
      <c r="C2677" t="s">
        <v>2</v>
      </c>
    </row>
    <row r="2678" spans="1:3" x14ac:dyDescent="0.3">
      <c r="A2678" s="8" t="s">
        <v>2688</v>
      </c>
      <c r="B2678" s="8" t="s">
        <v>12</v>
      </c>
      <c r="C2678" t="s">
        <v>2</v>
      </c>
    </row>
    <row r="2679" spans="1:3" x14ac:dyDescent="0.3">
      <c r="A2679" s="8" t="s">
        <v>2689</v>
      </c>
      <c r="B2679" s="8" t="s">
        <v>12</v>
      </c>
      <c r="C2679" t="s">
        <v>2</v>
      </c>
    </row>
    <row r="2680" spans="1:3" x14ac:dyDescent="0.3">
      <c r="A2680" s="8" t="s">
        <v>2690</v>
      </c>
      <c r="B2680" s="8" t="s">
        <v>12</v>
      </c>
      <c r="C2680" t="s">
        <v>2</v>
      </c>
    </row>
    <row r="2681" spans="1:3" x14ac:dyDescent="0.3">
      <c r="A2681" s="8" t="s">
        <v>2691</v>
      </c>
      <c r="B2681" s="8" t="s">
        <v>12</v>
      </c>
      <c r="C2681" t="s">
        <v>2</v>
      </c>
    </row>
    <row r="2682" spans="1:3" x14ac:dyDescent="0.3">
      <c r="A2682" s="8" t="s">
        <v>2692</v>
      </c>
      <c r="B2682" s="8" t="s">
        <v>12</v>
      </c>
      <c r="C2682" t="s">
        <v>2</v>
      </c>
    </row>
    <row r="2683" spans="1:3" x14ac:dyDescent="0.3">
      <c r="A2683" s="8" t="s">
        <v>2693</v>
      </c>
      <c r="B2683" s="8" t="s">
        <v>12</v>
      </c>
      <c r="C2683" t="s">
        <v>2</v>
      </c>
    </row>
    <row r="2684" spans="1:3" x14ac:dyDescent="0.3">
      <c r="A2684" s="8" t="s">
        <v>2694</v>
      </c>
      <c r="B2684" s="8" t="s">
        <v>12</v>
      </c>
      <c r="C2684" t="s">
        <v>2</v>
      </c>
    </row>
    <row r="2685" spans="1:3" x14ac:dyDescent="0.3">
      <c r="A2685" s="8" t="s">
        <v>2695</v>
      </c>
      <c r="B2685" s="8" t="s">
        <v>12</v>
      </c>
      <c r="C2685" t="s">
        <v>2</v>
      </c>
    </row>
    <row r="2686" spans="1:3" x14ac:dyDescent="0.3">
      <c r="A2686" s="8" t="s">
        <v>2696</v>
      </c>
      <c r="B2686" s="8" t="s">
        <v>12</v>
      </c>
      <c r="C2686" t="s">
        <v>2</v>
      </c>
    </row>
    <row r="2687" spans="1:3" x14ac:dyDescent="0.3">
      <c r="A2687" s="8" t="s">
        <v>2697</v>
      </c>
      <c r="B2687" s="8" t="s">
        <v>12</v>
      </c>
      <c r="C2687" t="s">
        <v>2</v>
      </c>
    </row>
    <row r="2688" spans="1:3" x14ac:dyDescent="0.3">
      <c r="A2688" s="8" t="s">
        <v>2698</v>
      </c>
      <c r="B2688" s="8" t="s">
        <v>12</v>
      </c>
      <c r="C2688" t="s">
        <v>2</v>
      </c>
    </row>
    <row r="2689" spans="1:3" x14ac:dyDescent="0.3">
      <c r="A2689" s="8" t="s">
        <v>2699</v>
      </c>
      <c r="B2689" s="8" t="s">
        <v>12</v>
      </c>
      <c r="C2689" t="s">
        <v>2</v>
      </c>
    </row>
    <row r="2690" spans="1:3" x14ac:dyDescent="0.3">
      <c r="A2690" s="8" t="s">
        <v>2700</v>
      </c>
      <c r="B2690" s="8" t="s">
        <v>12</v>
      </c>
      <c r="C2690" t="s">
        <v>2</v>
      </c>
    </row>
    <row r="2691" spans="1:3" x14ac:dyDescent="0.3">
      <c r="A2691" s="8" t="s">
        <v>2701</v>
      </c>
      <c r="B2691" s="8" t="s">
        <v>12</v>
      </c>
      <c r="C2691" t="s">
        <v>2</v>
      </c>
    </row>
    <row r="2692" spans="1:3" x14ac:dyDescent="0.3">
      <c r="A2692" s="8" t="s">
        <v>2702</v>
      </c>
      <c r="B2692" s="8" t="s">
        <v>12</v>
      </c>
      <c r="C2692" t="s">
        <v>2</v>
      </c>
    </row>
    <row r="2693" spans="1:3" x14ac:dyDescent="0.3">
      <c r="A2693" s="8" t="s">
        <v>2703</v>
      </c>
      <c r="B2693" s="8" t="s">
        <v>12</v>
      </c>
      <c r="C2693" t="s">
        <v>2</v>
      </c>
    </row>
    <row r="2694" spans="1:3" x14ac:dyDescent="0.3">
      <c r="A2694" s="8" t="s">
        <v>2704</v>
      </c>
      <c r="B2694" s="8" t="s">
        <v>12</v>
      </c>
      <c r="C2694" t="s">
        <v>2</v>
      </c>
    </row>
    <row r="2695" spans="1:3" x14ac:dyDescent="0.3">
      <c r="A2695" s="8" t="s">
        <v>2705</v>
      </c>
      <c r="B2695" s="8" t="s">
        <v>12</v>
      </c>
      <c r="C2695" t="s">
        <v>2</v>
      </c>
    </row>
    <row r="2696" spans="1:3" x14ac:dyDescent="0.3">
      <c r="A2696" s="8" t="s">
        <v>2706</v>
      </c>
      <c r="B2696" s="8" t="s">
        <v>12</v>
      </c>
      <c r="C2696" t="s">
        <v>2</v>
      </c>
    </row>
    <row r="2697" spans="1:3" x14ac:dyDescent="0.3">
      <c r="A2697" s="8" t="s">
        <v>2707</v>
      </c>
      <c r="B2697" s="8" t="s">
        <v>12</v>
      </c>
      <c r="C2697" t="s">
        <v>2</v>
      </c>
    </row>
    <row r="2698" spans="1:3" x14ac:dyDescent="0.3">
      <c r="A2698" s="8" t="s">
        <v>2708</v>
      </c>
      <c r="B2698" s="8" t="s">
        <v>12</v>
      </c>
      <c r="C2698" t="s">
        <v>3</v>
      </c>
    </row>
    <row r="2699" spans="1:3" x14ac:dyDescent="0.3">
      <c r="A2699" s="8" t="s">
        <v>2709</v>
      </c>
      <c r="B2699" s="8" t="s">
        <v>12</v>
      </c>
      <c r="C2699" t="s">
        <v>3</v>
      </c>
    </row>
    <row r="2700" spans="1:3" x14ac:dyDescent="0.3">
      <c r="A2700" s="8" t="s">
        <v>2710</v>
      </c>
      <c r="B2700" s="8" t="s">
        <v>12</v>
      </c>
      <c r="C2700" t="s">
        <v>3</v>
      </c>
    </row>
    <row r="2701" spans="1:3" x14ac:dyDescent="0.3">
      <c r="A2701" s="8" t="s">
        <v>2711</v>
      </c>
      <c r="B2701" s="8" t="s">
        <v>12</v>
      </c>
      <c r="C2701" t="s">
        <v>3</v>
      </c>
    </row>
    <row r="2702" spans="1:3" x14ac:dyDescent="0.3">
      <c r="A2702" s="8" t="s">
        <v>2712</v>
      </c>
      <c r="B2702" s="8" t="s">
        <v>12</v>
      </c>
      <c r="C2702" t="s">
        <v>3</v>
      </c>
    </row>
    <row r="2703" spans="1:3" x14ac:dyDescent="0.3">
      <c r="A2703" s="8" t="s">
        <v>2713</v>
      </c>
      <c r="B2703" s="8" t="s">
        <v>12</v>
      </c>
      <c r="C2703" t="s">
        <v>3</v>
      </c>
    </row>
    <row r="2704" spans="1:3" x14ac:dyDescent="0.3">
      <c r="A2704" s="8" t="s">
        <v>2714</v>
      </c>
      <c r="B2704" s="8" t="s">
        <v>12</v>
      </c>
      <c r="C2704" t="s">
        <v>3</v>
      </c>
    </row>
    <row r="2705" spans="1:3" x14ac:dyDescent="0.3">
      <c r="A2705" s="8" t="s">
        <v>2715</v>
      </c>
      <c r="B2705" s="8" t="s">
        <v>12</v>
      </c>
      <c r="C2705" t="s">
        <v>3678</v>
      </c>
    </row>
    <row r="2706" spans="1:3" x14ac:dyDescent="0.3">
      <c r="A2706" s="8" t="s">
        <v>2716</v>
      </c>
      <c r="B2706" s="8" t="s">
        <v>12</v>
      </c>
      <c r="C2706" t="s">
        <v>3678</v>
      </c>
    </row>
    <row r="2707" spans="1:3" x14ac:dyDescent="0.3">
      <c r="A2707" s="8" t="s">
        <v>2717</v>
      </c>
      <c r="B2707" s="8" t="s">
        <v>12</v>
      </c>
      <c r="C2707" t="s">
        <v>3678</v>
      </c>
    </row>
    <row r="2708" spans="1:3" x14ac:dyDescent="0.3">
      <c r="A2708" s="8" t="s">
        <v>2718</v>
      </c>
      <c r="B2708" s="8" t="s">
        <v>12</v>
      </c>
      <c r="C2708" t="s">
        <v>3678</v>
      </c>
    </row>
    <row r="2709" spans="1:3" x14ac:dyDescent="0.3">
      <c r="A2709" s="8" t="s">
        <v>2719</v>
      </c>
      <c r="B2709" s="8" t="s">
        <v>12</v>
      </c>
      <c r="C2709" t="s">
        <v>3678</v>
      </c>
    </row>
    <row r="2710" spans="1:3" x14ac:dyDescent="0.3">
      <c r="A2710" s="8" t="s">
        <v>2720</v>
      </c>
      <c r="B2710" s="8" t="s">
        <v>12</v>
      </c>
      <c r="C2710" t="s">
        <v>2</v>
      </c>
    </row>
    <row r="2711" spans="1:3" x14ac:dyDescent="0.3">
      <c r="A2711" s="8" t="s">
        <v>2721</v>
      </c>
      <c r="B2711" s="8" t="s">
        <v>12</v>
      </c>
      <c r="C2711" t="s">
        <v>2</v>
      </c>
    </row>
    <row r="2712" spans="1:3" x14ac:dyDescent="0.3">
      <c r="A2712" s="8" t="s">
        <v>2722</v>
      </c>
      <c r="B2712" s="8" t="s">
        <v>12</v>
      </c>
      <c r="C2712" t="s">
        <v>2</v>
      </c>
    </row>
    <row r="2713" spans="1:3" x14ac:dyDescent="0.3">
      <c r="A2713" s="8" t="s">
        <v>2723</v>
      </c>
      <c r="B2713" s="8" t="s">
        <v>12</v>
      </c>
      <c r="C2713" t="s">
        <v>2</v>
      </c>
    </row>
    <row r="2714" spans="1:3" x14ac:dyDescent="0.3">
      <c r="A2714" s="8" t="s">
        <v>2724</v>
      </c>
      <c r="B2714" s="8" t="s">
        <v>12</v>
      </c>
      <c r="C2714" t="s">
        <v>2</v>
      </c>
    </row>
    <row r="2715" spans="1:3" x14ac:dyDescent="0.3">
      <c r="A2715" s="8" t="s">
        <v>2725</v>
      </c>
      <c r="B2715" s="8" t="s">
        <v>12</v>
      </c>
      <c r="C2715" t="s">
        <v>2</v>
      </c>
    </row>
    <row r="2716" spans="1:3" x14ac:dyDescent="0.3">
      <c r="A2716" s="8" t="s">
        <v>2726</v>
      </c>
      <c r="B2716" s="8" t="s">
        <v>12</v>
      </c>
      <c r="C2716" t="s">
        <v>2</v>
      </c>
    </row>
    <row r="2717" spans="1:3" x14ac:dyDescent="0.3">
      <c r="A2717" s="8" t="s">
        <v>2727</v>
      </c>
      <c r="B2717" s="8" t="s">
        <v>12</v>
      </c>
      <c r="C2717" t="s">
        <v>2</v>
      </c>
    </row>
    <row r="2718" spans="1:3" x14ac:dyDescent="0.3">
      <c r="A2718" s="8" t="s">
        <v>2728</v>
      </c>
      <c r="B2718" s="8" t="s">
        <v>12</v>
      </c>
      <c r="C2718" t="s">
        <v>2</v>
      </c>
    </row>
    <row r="2719" spans="1:3" x14ac:dyDescent="0.3">
      <c r="A2719" s="8" t="s">
        <v>2729</v>
      </c>
      <c r="B2719" s="8" t="s">
        <v>12</v>
      </c>
      <c r="C2719" t="s">
        <v>2</v>
      </c>
    </row>
    <row r="2720" spans="1:3" x14ac:dyDescent="0.3">
      <c r="A2720" s="8" t="s">
        <v>2730</v>
      </c>
      <c r="B2720" s="8" t="s">
        <v>12</v>
      </c>
      <c r="C2720" t="s">
        <v>2</v>
      </c>
    </row>
    <row r="2721" spans="1:3" x14ac:dyDescent="0.3">
      <c r="A2721" s="8" t="s">
        <v>2731</v>
      </c>
      <c r="B2721" s="8" t="s">
        <v>12</v>
      </c>
      <c r="C2721" t="s">
        <v>2</v>
      </c>
    </row>
    <row r="2722" spans="1:3" x14ac:dyDescent="0.3">
      <c r="A2722" s="8" t="s">
        <v>2732</v>
      </c>
      <c r="B2722" s="8" t="s">
        <v>12</v>
      </c>
      <c r="C2722" t="s">
        <v>2</v>
      </c>
    </row>
    <row r="2723" spans="1:3" x14ac:dyDescent="0.3">
      <c r="A2723" s="8" t="s">
        <v>2733</v>
      </c>
      <c r="B2723" s="8" t="s">
        <v>12</v>
      </c>
      <c r="C2723" t="s">
        <v>2</v>
      </c>
    </row>
    <row r="2724" spans="1:3" x14ac:dyDescent="0.3">
      <c r="A2724" s="8" t="s">
        <v>2734</v>
      </c>
      <c r="B2724" s="8" t="s">
        <v>12</v>
      </c>
      <c r="C2724" t="s">
        <v>2</v>
      </c>
    </row>
    <row r="2725" spans="1:3" x14ac:dyDescent="0.3">
      <c r="A2725" s="8" t="s">
        <v>2735</v>
      </c>
      <c r="B2725" s="8" t="s">
        <v>12</v>
      </c>
      <c r="C2725" t="s">
        <v>2</v>
      </c>
    </row>
    <row r="2726" spans="1:3" x14ac:dyDescent="0.3">
      <c r="A2726" s="8" t="s">
        <v>2736</v>
      </c>
      <c r="B2726" s="8" t="s">
        <v>12</v>
      </c>
      <c r="C2726" t="s">
        <v>2</v>
      </c>
    </row>
    <row r="2727" spans="1:3" x14ac:dyDescent="0.3">
      <c r="A2727" s="8" t="s">
        <v>2737</v>
      </c>
      <c r="B2727" s="8" t="s">
        <v>12</v>
      </c>
      <c r="C2727" t="s">
        <v>2</v>
      </c>
    </row>
    <row r="2728" spans="1:3" x14ac:dyDescent="0.3">
      <c r="A2728" s="8" t="s">
        <v>2738</v>
      </c>
      <c r="B2728" s="8" t="s">
        <v>12</v>
      </c>
      <c r="C2728" t="s">
        <v>2</v>
      </c>
    </row>
    <row r="2729" spans="1:3" x14ac:dyDescent="0.3">
      <c r="A2729" s="8" t="s">
        <v>2739</v>
      </c>
      <c r="B2729" s="8" t="s">
        <v>12</v>
      </c>
      <c r="C2729" t="s">
        <v>2</v>
      </c>
    </row>
    <row r="2730" spans="1:3" x14ac:dyDescent="0.3">
      <c r="A2730" s="8" t="s">
        <v>2740</v>
      </c>
      <c r="B2730" s="8" t="s">
        <v>12</v>
      </c>
      <c r="C2730" t="s">
        <v>2</v>
      </c>
    </row>
    <row r="2731" spans="1:3" x14ac:dyDescent="0.3">
      <c r="A2731" s="8" t="s">
        <v>2741</v>
      </c>
      <c r="B2731" s="8" t="s">
        <v>12</v>
      </c>
      <c r="C2731" t="s">
        <v>2</v>
      </c>
    </row>
    <row r="2732" spans="1:3" x14ac:dyDescent="0.3">
      <c r="A2732" s="8" t="s">
        <v>2742</v>
      </c>
      <c r="B2732" s="8" t="s">
        <v>12</v>
      </c>
      <c r="C2732" t="s">
        <v>2</v>
      </c>
    </row>
    <row r="2733" spans="1:3" x14ac:dyDescent="0.3">
      <c r="A2733" s="8" t="s">
        <v>2743</v>
      </c>
      <c r="B2733" s="8" t="s">
        <v>12</v>
      </c>
      <c r="C2733" t="s">
        <v>2</v>
      </c>
    </row>
    <row r="2734" spans="1:3" x14ac:dyDescent="0.3">
      <c r="A2734" s="8" t="s">
        <v>2744</v>
      </c>
      <c r="B2734" s="8" t="s">
        <v>12</v>
      </c>
      <c r="C2734" t="s">
        <v>2</v>
      </c>
    </row>
    <row r="2735" spans="1:3" x14ac:dyDescent="0.3">
      <c r="A2735" s="8" t="s">
        <v>2745</v>
      </c>
      <c r="B2735" s="8" t="s">
        <v>12</v>
      </c>
      <c r="C2735" t="s">
        <v>2</v>
      </c>
    </row>
    <row r="2736" spans="1:3" x14ac:dyDescent="0.3">
      <c r="A2736" s="8" t="s">
        <v>2746</v>
      </c>
      <c r="B2736" s="8" t="s">
        <v>12</v>
      </c>
      <c r="C2736" t="s">
        <v>2</v>
      </c>
    </row>
    <row r="2737" spans="1:3" x14ac:dyDescent="0.3">
      <c r="A2737" s="8" t="s">
        <v>2747</v>
      </c>
      <c r="B2737" s="8" t="s">
        <v>12</v>
      </c>
      <c r="C2737" t="s">
        <v>2</v>
      </c>
    </row>
    <row r="2738" spans="1:3" x14ac:dyDescent="0.3">
      <c r="A2738" s="8" t="s">
        <v>2748</v>
      </c>
      <c r="B2738" s="8" t="s">
        <v>12</v>
      </c>
      <c r="C2738" t="s">
        <v>2</v>
      </c>
    </row>
    <row r="2739" spans="1:3" x14ac:dyDescent="0.3">
      <c r="A2739" s="8" t="s">
        <v>2749</v>
      </c>
      <c r="B2739" s="8" t="s">
        <v>12</v>
      </c>
      <c r="C2739" t="s">
        <v>2</v>
      </c>
    </row>
    <row r="2740" spans="1:3" x14ac:dyDescent="0.3">
      <c r="A2740" s="8" t="s">
        <v>2750</v>
      </c>
      <c r="B2740" s="8" t="s">
        <v>12</v>
      </c>
      <c r="C2740" t="s">
        <v>2</v>
      </c>
    </row>
    <row r="2741" spans="1:3" x14ac:dyDescent="0.3">
      <c r="A2741" s="8" t="s">
        <v>2751</v>
      </c>
      <c r="B2741" s="8" t="s">
        <v>12</v>
      </c>
      <c r="C2741" t="s">
        <v>2</v>
      </c>
    </row>
    <row r="2742" spans="1:3" x14ac:dyDescent="0.3">
      <c r="A2742" s="8" t="s">
        <v>2752</v>
      </c>
      <c r="B2742" s="8" t="s">
        <v>12</v>
      </c>
      <c r="C2742" t="s">
        <v>2</v>
      </c>
    </row>
    <row r="2743" spans="1:3" x14ac:dyDescent="0.3">
      <c r="A2743" s="8" t="s">
        <v>2753</v>
      </c>
      <c r="B2743" s="8" t="s">
        <v>12</v>
      </c>
      <c r="C2743" t="s">
        <v>2</v>
      </c>
    </row>
    <row r="2744" spans="1:3" x14ac:dyDescent="0.3">
      <c r="A2744" s="8" t="s">
        <v>2754</v>
      </c>
      <c r="B2744" s="8" t="s">
        <v>12</v>
      </c>
      <c r="C2744" t="s">
        <v>2</v>
      </c>
    </row>
    <row r="2745" spans="1:3" x14ac:dyDescent="0.3">
      <c r="A2745" s="8" t="s">
        <v>2755</v>
      </c>
      <c r="B2745" s="8" t="s">
        <v>12</v>
      </c>
      <c r="C2745" t="s">
        <v>2</v>
      </c>
    </row>
    <row r="2746" spans="1:3" x14ac:dyDescent="0.3">
      <c r="A2746" s="8" t="s">
        <v>2756</v>
      </c>
      <c r="B2746" s="8" t="s">
        <v>12</v>
      </c>
      <c r="C2746" t="s">
        <v>2</v>
      </c>
    </row>
    <row r="2747" spans="1:3" x14ac:dyDescent="0.3">
      <c r="A2747" s="8" t="s">
        <v>2757</v>
      </c>
      <c r="B2747" s="8" t="s">
        <v>12</v>
      </c>
      <c r="C2747" t="s">
        <v>2</v>
      </c>
    </row>
    <row r="2748" spans="1:3" x14ac:dyDescent="0.3">
      <c r="A2748" s="8" t="s">
        <v>2758</v>
      </c>
      <c r="B2748" s="8" t="s">
        <v>12</v>
      </c>
      <c r="C2748" t="s">
        <v>2</v>
      </c>
    </row>
    <row r="2749" spans="1:3" x14ac:dyDescent="0.3">
      <c r="A2749" s="8" t="s">
        <v>2759</v>
      </c>
      <c r="B2749" s="8" t="s">
        <v>12</v>
      </c>
      <c r="C2749" t="s">
        <v>2</v>
      </c>
    </row>
    <row r="2750" spans="1:3" x14ac:dyDescent="0.3">
      <c r="A2750" s="8" t="s">
        <v>2760</v>
      </c>
      <c r="B2750" s="8" t="s">
        <v>12</v>
      </c>
      <c r="C2750" t="s">
        <v>2</v>
      </c>
    </row>
    <row r="2751" spans="1:3" x14ac:dyDescent="0.3">
      <c r="A2751" s="8" t="s">
        <v>2761</v>
      </c>
      <c r="B2751" s="8" t="s">
        <v>12</v>
      </c>
      <c r="C2751" t="s">
        <v>2</v>
      </c>
    </row>
    <row r="2752" spans="1:3" x14ac:dyDescent="0.3">
      <c r="A2752" s="8" t="s">
        <v>2762</v>
      </c>
      <c r="B2752" s="8" t="s">
        <v>12</v>
      </c>
      <c r="C2752" t="s">
        <v>2</v>
      </c>
    </row>
    <row r="2753" spans="1:3" x14ac:dyDescent="0.3">
      <c r="A2753" s="8" t="s">
        <v>2763</v>
      </c>
      <c r="B2753" s="8" t="s">
        <v>12</v>
      </c>
      <c r="C2753" t="s">
        <v>2</v>
      </c>
    </row>
    <row r="2754" spans="1:3" x14ac:dyDescent="0.3">
      <c r="A2754" s="8" t="s">
        <v>2764</v>
      </c>
      <c r="B2754" s="8" t="s">
        <v>12</v>
      </c>
      <c r="C2754" t="s">
        <v>2</v>
      </c>
    </row>
    <row r="2755" spans="1:3" x14ac:dyDescent="0.3">
      <c r="A2755" s="8" t="s">
        <v>2765</v>
      </c>
      <c r="B2755" s="8" t="s">
        <v>12</v>
      </c>
      <c r="C2755" t="s">
        <v>2</v>
      </c>
    </row>
    <row r="2756" spans="1:3" x14ac:dyDescent="0.3">
      <c r="A2756" s="8" t="s">
        <v>2766</v>
      </c>
      <c r="B2756" s="8" t="s">
        <v>12</v>
      </c>
      <c r="C2756" t="s">
        <v>2</v>
      </c>
    </row>
    <row r="2757" spans="1:3" x14ac:dyDescent="0.3">
      <c r="A2757" s="8" t="s">
        <v>2767</v>
      </c>
      <c r="B2757" s="8" t="s">
        <v>12</v>
      </c>
      <c r="C2757" t="s">
        <v>2</v>
      </c>
    </row>
    <row r="2758" spans="1:3" x14ac:dyDescent="0.3">
      <c r="A2758" s="8" t="s">
        <v>2768</v>
      </c>
      <c r="B2758" s="8" t="s">
        <v>12</v>
      </c>
      <c r="C2758" t="s">
        <v>3</v>
      </c>
    </row>
    <row r="2759" spans="1:3" x14ac:dyDescent="0.3">
      <c r="A2759" s="8" t="s">
        <v>2769</v>
      </c>
      <c r="B2759" s="8" t="s">
        <v>12</v>
      </c>
      <c r="C2759" t="s">
        <v>3</v>
      </c>
    </row>
    <row r="2760" spans="1:3" x14ac:dyDescent="0.3">
      <c r="A2760" s="8" t="s">
        <v>2770</v>
      </c>
      <c r="B2760" s="8" t="s">
        <v>12</v>
      </c>
      <c r="C2760" t="s">
        <v>2</v>
      </c>
    </row>
    <row r="2761" spans="1:3" x14ac:dyDescent="0.3">
      <c r="A2761" s="8" t="s">
        <v>2771</v>
      </c>
      <c r="B2761" s="8" t="s">
        <v>12</v>
      </c>
      <c r="C2761" t="s">
        <v>2</v>
      </c>
    </row>
    <row r="2762" spans="1:3" x14ac:dyDescent="0.3">
      <c r="A2762" s="8" t="s">
        <v>2772</v>
      </c>
      <c r="B2762" s="8" t="s">
        <v>12</v>
      </c>
      <c r="C2762" t="s">
        <v>2</v>
      </c>
    </row>
    <row r="2763" spans="1:3" x14ac:dyDescent="0.3">
      <c r="A2763" s="8" t="s">
        <v>2773</v>
      </c>
      <c r="B2763" s="8" t="s">
        <v>12</v>
      </c>
      <c r="C2763" t="s">
        <v>2</v>
      </c>
    </row>
    <row r="2764" spans="1:3" x14ac:dyDescent="0.3">
      <c r="A2764" s="8" t="s">
        <v>2774</v>
      </c>
      <c r="B2764" s="8" t="s">
        <v>12</v>
      </c>
      <c r="C2764" t="s">
        <v>2</v>
      </c>
    </row>
    <row r="2765" spans="1:3" x14ac:dyDescent="0.3">
      <c r="A2765" s="8" t="s">
        <v>2775</v>
      </c>
      <c r="B2765" s="8" t="s">
        <v>12</v>
      </c>
      <c r="C2765" t="s">
        <v>2</v>
      </c>
    </row>
    <row r="2766" spans="1:3" x14ac:dyDescent="0.3">
      <c r="A2766" s="8" t="s">
        <v>2776</v>
      </c>
      <c r="B2766" s="8" t="s">
        <v>12</v>
      </c>
      <c r="C2766" t="s">
        <v>3678</v>
      </c>
    </row>
    <row r="2767" spans="1:3" x14ac:dyDescent="0.3">
      <c r="A2767" s="8" t="s">
        <v>2777</v>
      </c>
      <c r="B2767" s="8" t="s">
        <v>12</v>
      </c>
      <c r="C2767" t="s">
        <v>3678</v>
      </c>
    </row>
    <row r="2768" spans="1:3" x14ac:dyDescent="0.3">
      <c r="A2768" s="8" t="s">
        <v>2778</v>
      </c>
      <c r="B2768" s="8" t="s">
        <v>12</v>
      </c>
      <c r="C2768" t="s">
        <v>3678</v>
      </c>
    </row>
    <row r="2769" spans="1:3" x14ac:dyDescent="0.3">
      <c r="A2769" s="8" t="s">
        <v>2779</v>
      </c>
      <c r="B2769" s="8" t="s">
        <v>12</v>
      </c>
      <c r="C2769" t="s">
        <v>3678</v>
      </c>
    </row>
    <row r="2770" spans="1:3" x14ac:dyDescent="0.3">
      <c r="A2770" s="8" t="s">
        <v>2780</v>
      </c>
      <c r="B2770" s="8" t="s">
        <v>12</v>
      </c>
      <c r="C2770" t="s">
        <v>3678</v>
      </c>
    </row>
    <row r="2771" spans="1:3" x14ac:dyDescent="0.3">
      <c r="A2771" s="8" t="s">
        <v>2781</v>
      </c>
      <c r="B2771" s="8" t="s">
        <v>12</v>
      </c>
      <c r="C2771" t="s">
        <v>3678</v>
      </c>
    </row>
    <row r="2772" spans="1:3" x14ac:dyDescent="0.3">
      <c r="A2772" s="8" t="s">
        <v>2782</v>
      </c>
      <c r="B2772" s="8" t="s">
        <v>12</v>
      </c>
      <c r="C2772" t="s">
        <v>3678</v>
      </c>
    </row>
    <row r="2773" spans="1:3" x14ac:dyDescent="0.3">
      <c r="A2773" s="8" t="s">
        <v>2783</v>
      </c>
      <c r="B2773" s="8" t="s">
        <v>12</v>
      </c>
      <c r="C2773" t="s">
        <v>3678</v>
      </c>
    </row>
    <row r="2774" spans="1:3" x14ac:dyDescent="0.3">
      <c r="A2774" s="8" t="s">
        <v>2784</v>
      </c>
      <c r="B2774" s="8" t="s">
        <v>12</v>
      </c>
      <c r="C2774" t="s">
        <v>3678</v>
      </c>
    </row>
    <row r="2775" spans="1:3" x14ac:dyDescent="0.3">
      <c r="A2775" s="8" t="s">
        <v>2785</v>
      </c>
      <c r="B2775" s="8" t="s">
        <v>12</v>
      </c>
      <c r="C2775" t="s">
        <v>3678</v>
      </c>
    </row>
    <row r="2776" spans="1:3" x14ac:dyDescent="0.3">
      <c r="A2776" s="8" t="s">
        <v>2786</v>
      </c>
      <c r="B2776" s="8" t="s">
        <v>12</v>
      </c>
      <c r="C2776" t="s">
        <v>3678</v>
      </c>
    </row>
    <row r="2777" spans="1:3" x14ac:dyDescent="0.3">
      <c r="A2777" s="8" t="s">
        <v>2787</v>
      </c>
      <c r="B2777" s="8" t="s">
        <v>12</v>
      </c>
      <c r="C2777" t="s">
        <v>3678</v>
      </c>
    </row>
    <row r="2778" spans="1:3" x14ac:dyDescent="0.3">
      <c r="A2778" s="8" t="s">
        <v>2788</v>
      </c>
      <c r="B2778" s="8" t="s">
        <v>12</v>
      </c>
      <c r="C2778" t="s">
        <v>3678</v>
      </c>
    </row>
    <row r="2779" spans="1:3" x14ac:dyDescent="0.3">
      <c r="A2779" s="8" t="s">
        <v>2789</v>
      </c>
      <c r="B2779" s="8" t="s">
        <v>12</v>
      </c>
      <c r="C2779" t="s">
        <v>3678</v>
      </c>
    </row>
    <row r="2780" spans="1:3" x14ac:dyDescent="0.3">
      <c r="A2780" s="8" t="s">
        <v>2790</v>
      </c>
      <c r="B2780" s="8" t="s">
        <v>12</v>
      </c>
      <c r="C2780" t="s">
        <v>2</v>
      </c>
    </row>
    <row r="2781" spans="1:3" x14ac:dyDescent="0.3">
      <c r="A2781" s="8" t="s">
        <v>2791</v>
      </c>
      <c r="B2781" s="8" t="s">
        <v>12</v>
      </c>
      <c r="C2781" t="s">
        <v>2</v>
      </c>
    </row>
    <row r="2782" spans="1:3" x14ac:dyDescent="0.3">
      <c r="A2782" s="8" t="s">
        <v>2792</v>
      </c>
      <c r="B2782" s="8" t="s">
        <v>12</v>
      </c>
      <c r="C2782" t="s">
        <v>2</v>
      </c>
    </row>
    <row r="2783" spans="1:3" x14ac:dyDescent="0.3">
      <c r="A2783" s="8" t="s">
        <v>2793</v>
      </c>
      <c r="B2783" s="8" t="s">
        <v>12</v>
      </c>
      <c r="C2783" t="s">
        <v>2</v>
      </c>
    </row>
    <row r="2784" spans="1:3" x14ac:dyDescent="0.3">
      <c r="A2784" s="8" t="s">
        <v>2794</v>
      </c>
      <c r="B2784" s="8" t="s">
        <v>12</v>
      </c>
      <c r="C2784" t="s">
        <v>2</v>
      </c>
    </row>
    <row r="2785" spans="1:3" x14ac:dyDescent="0.3">
      <c r="A2785" s="8" t="s">
        <v>2795</v>
      </c>
      <c r="B2785" s="8" t="s">
        <v>12</v>
      </c>
      <c r="C2785" t="s">
        <v>2</v>
      </c>
    </row>
    <row r="2786" spans="1:3" x14ac:dyDescent="0.3">
      <c r="A2786" s="8" t="s">
        <v>2796</v>
      </c>
      <c r="B2786" s="8" t="s">
        <v>12</v>
      </c>
      <c r="C2786" t="s">
        <v>2</v>
      </c>
    </row>
    <row r="2787" spans="1:3" x14ac:dyDescent="0.3">
      <c r="A2787" s="8" t="s">
        <v>2797</v>
      </c>
      <c r="B2787" s="8" t="s">
        <v>12</v>
      </c>
      <c r="C2787" t="s">
        <v>2</v>
      </c>
    </row>
    <row r="2788" spans="1:3" x14ac:dyDescent="0.3">
      <c r="A2788" s="8" t="s">
        <v>2798</v>
      </c>
      <c r="B2788" s="8" t="s">
        <v>12</v>
      </c>
      <c r="C2788" t="s">
        <v>2</v>
      </c>
    </row>
    <row r="2789" spans="1:3" x14ac:dyDescent="0.3">
      <c r="A2789" s="8" t="s">
        <v>2799</v>
      </c>
      <c r="B2789" s="8" t="s">
        <v>12</v>
      </c>
      <c r="C2789" t="s">
        <v>2</v>
      </c>
    </row>
    <row r="2790" spans="1:3" x14ac:dyDescent="0.3">
      <c r="A2790" s="8" t="s">
        <v>2800</v>
      </c>
      <c r="B2790" s="8" t="s">
        <v>12</v>
      </c>
      <c r="C2790" t="s">
        <v>2</v>
      </c>
    </row>
    <row r="2791" spans="1:3" x14ac:dyDescent="0.3">
      <c r="A2791" s="8" t="s">
        <v>2801</v>
      </c>
      <c r="B2791" s="8" t="s">
        <v>12</v>
      </c>
      <c r="C2791" t="s">
        <v>2</v>
      </c>
    </row>
    <row r="2792" spans="1:3" x14ac:dyDescent="0.3">
      <c r="A2792" s="8" t="s">
        <v>2802</v>
      </c>
      <c r="B2792" s="8" t="s">
        <v>12</v>
      </c>
      <c r="C2792" t="s">
        <v>2</v>
      </c>
    </row>
    <row r="2793" spans="1:3" x14ac:dyDescent="0.3">
      <c r="A2793" s="8" t="s">
        <v>2803</v>
      </c>
      <c r="B2793" s="8" t="s">
        <v>12</v>
      </c>
      <c r="C2793" t="s">
        <v>2</v>
      </c>
    </row>
    <row r="2794" spans="1:3" x14ac:dyDescent="0.3">
      <c r="A2794" s="8" t="s">
        <v>2804</v>
      </c>
      <c r="B2794" s="8" t="s">
        <v>12</v>
      </c>
      <c r="C2794" t="s">
        <v>2</v>
      </c>
    </row>
    <row r="2795" spans="1:3" x14ac:dyDescent="0.3">
      <c r="A2795" s="8" t="s">
        <v>2805</v>
      </c>
      <c r="B2795" s="8" t="s">
        <v>12</v>
      </c>
      <c r="C2795" t="s">
        <v>2</v>
      </c>
    </row>
    <row r="2796" spans="1:3" x14ac:dyDescent="0.3">
      <c r="A2796" s="8" t="s">
        <v>2806</v>
      </c>
      <c r="B2796" s="8" t="s">
        <v>12</v>
      </c>
      <c r="C2796" t="s">
        <v>2</v>
      </c>
    </row>
    <row r="2797" spans="1:3" x14ac:dyDescent="0.3">
      <c r="A2797" s="8" t="s">
        <v>2807</v>
      </c>
      <c r="B2797" s="8" t="s">
        <v>12</v>
      </c>
      <c r="C2797" t="s">
        <v>2</v>
      </c>
    </row>
    <row r="2798" spans="1:3" x14ac:dyDescent="0.3">
      <c r="A2798" s="8" t="s">
        <v>2808</v>
      </c>
      <c r="B2798" s="8" t="s">
        <v>12</v>
      </c>
      <c r="C2798" t="s">
        <v>2</v>
      </c>
    </row>
    <row r="2799" spans="1:3" x14ac:dyDescent="0.3">
      <c r="A2799" s="8" t="s">
        <v>2809</v>
      </c>
      <c r="B2799" s="8" t="s">
        <v>12</v>
      </c>
      <c r="C2799" t="s">
        <v>2</v>
      </c>
    </row>
    <row r="2800" spans="1:3" x14ac:dyDescent="0.3">
      <c r="A2800" s="8" t="s">
        <v>2810</v>
      </c>
      <c r="B2800" s="8" t="s">
        <v>12</v>
      </c>
      <c r="C2800" t="s">
        <v>2</v>
      </c>
    </row>
    <row r="2801" spans="1:3" x14ac:dyDescent="0.3">
      <c r="A2801" s="8" t="s">
        <v>2811</v>
      </c>
      <c r="B2801" s="8" t="s">
        <v>12</v>
      </c>
      <c r="C2801" t="s">
        <v>2</v>
      </c>
    </row>
    <row r="2802" spans="1:3" x14ac:dyDescent="0.3">
      <c r="A2802" s="8" t="s">
        <v>2812</v>
      </c>
      <c r="B2802" s="8" t="s">
        <v>12</v>
      </c>
      <c r="C2802" t="s">
        <v>2</v>
      </c>
    </row>
    <row r="2803" spans="1:3" x14ac:dyDescent="0.3">
      <c r="A2803" s="8" t="s">
        <v>2813</v>
      </c>
      <c r="B2803" s="8" t="s">
        <v>12</v>
      </c>
      <c r="C2803" t="s">
        <v>2</v>
      </c>
    </row>
    <row r="2804" spans="1:3" x14ac:dyDescent="0.3">
      <c r="A2804" s="8" t="s">
        <v>2814</v>
      </c>
      <c r="B2804" s="8" t="s">
        <v>12</v>
      </c>
      <c r="C2804" t="s">
        <v>2</v>
      </c>
    </row>
    <row r="2805" spans="1:3" x14ac:dyDescent="0.3">
      <c r="A2805" s="8" t="s">
        <v>2815</v>
      </c>
      <c r="B2805" s="8" t="s">
        <v>12</v>
      </c>
      <c r="C2805" t="s">
        <v>2</v>
      </c>
    </row>
    <row r="2806" spans="1:3" x14ac:dyDescent="0.3">
      <c r="A2806" s="8" t="s">
        <v>2816</v>
      </c>
      <c r="B2806" s="8" t="s">
        <v>12</v>
      </c>
      <c r="C2806" t="s">
        <v>2</v>
      </c>
    </row>
    <row r="2807" spans="1:3" x14ac:dyDescent="0.3">
      <c r="A2807" s="8" t="s">
        <v>2817</v>
      </c>
      <c r="B2807" s="8" t="s">
        <v>12</v>
      </c>
      <c r="C2807" t="s">
        <v>2</v>
      </c>
    </row>
    <row r="2808" spans="1:3" x14ac:dyDescent="0.3">
      <c r="A2808" s="8" t="s">
        <v>2818</v>
      </c>
      <c r="B2808" s="8" t="s">
        <v>12</v>
      </c>
      <c r="C2808" t="s">
        <v>2</v>
      </c>
    </row>
    <row r="2809" spans="1:3" x14ac:dyDescent="0.3">
      <c r="A2809" s="8" t="s">
        <v>2819</v>
      </c>
      <c r="B2809" s="8" t="s">
        <v>12</v>
      </c>
      <c r="C2809" t="s">
        <v>2</v>
      </c>
    </row>
    <row r="2810" spans="1:3" x14ac:dyDescent="0.3">
      <c r="A2810" s="8" t="s">
        <v>2820</v>
      </c>
      <c r="B2810" s="8" t="s">
        <v>12</v>
      </c>
      <c r="C2810" t="s">
        <v>2</v>
      </c>
    </row>
    <row r="2811" spans="1:3" x14ac:dyDescent="0.3">
      <c r="A2811" s="8" t="s">
        <v>2821</v>
      </c>
      <c r="B2811" s="8" t="s">
        <v>12</v>
      </c>
      <c r="C2811" t="s">
        <v>2</v>
      </c>
    </row>
    <row r="2812" spans="1:3" x14ac:dyDescent="0.3">
      <c r="A2812" s="8" t="s">
        <v>2822</v>
      </c>
      <c r="B2812" s="8" t="s">
        <v>12</v>
      </c>
      <c r="C2812" t="s">
        <v>2</v>
      </c>
    </row>
    <row r="2813" spans="1:3" x14ac:dyDescent="0.3">
      <c r="A2813" s="8" t="s">
        <v>2823</v>
      </c>
      <c r="B2813" s="8" t="s">
        <v>12</v>
      </c>
      <c r="C2813" t="s">
        <v>2</v>
      </c>
    </row>
    <row r="2814" spans="1:3" x14ac:dyDescent="0.3">
      <c r="A2814" s="8" t="s">
        <v>2824</v>
      </c>
      <c r="B2814" s="8" t="s">
        <v>12</v>
      </c>
      <c r="C2814" t="s">
        <v>2</v>
      </c>
    </row>
    <row r="2815" spans="1:3" x14ac:dyDescent="0.3">
      <c r="A2815" s="8" t="s">
        <v>2825</v>
      </c>
      <c r="B2815" s="8" t="s">
        <v>12</v>
      </c>
      <c r="C2815" t="s">
        <v>2</v>
      </c>
    </row>
    <row r="2816" spans="1:3" x14ac:dyDescent="0.3">
      <c r="A2816" s="8" t="s">
        <v>2826</v>
      </c>
      <c r="B2816" s="8" t="s">
        <v>12</v>
      </c>
      <c r="C2816" t="s">
        <v>2</v>
      </c>
    </row>
    <row r="2817" spans="1:3" x14ac:dyDescent="0.3">
      <c r="A2817" s="8" t="s">
        <v>2827</v>
      </c>
      <c r="B2817" s="8" t="s">
        <v>12</v>
      </c>
      <c r="C2817" t="s">
        <v>2</v>
      </c>
    </row>
    <row r="2818" spans="1:3" x14ac:dyDescent="0.3">
      <c r="A2818" s="8" t="s">
        <v>2828</v>
      </c>
      <c r="B2818" s="8" t="s">
        <v>12</v>
      </c>
      <c r="C2818" t="s">
        <v>2</v>
      </c>
    </row>
    <row r="2819" spans="1:3" x14ac:dyDescent="0.3">
      <c r="A2819" s="8" t="s">
        <v>2829</v>
      </c>
      <c r="B2819" s="8" t="s">
        <v>12</v>
      </c>
      <c r="C2819" t="s">
        <v>2</v>
      </c>
    </row>
    <row r="2820" spans="1:3" x14ac:dyDescent="0.3">
      <c r="A2820" s="8" t="s">
        <v>2830</v>
      </c>
      <c r="B2820" s="8" t="s">
        <v>12</v>
      </c>
      <c r="C2820" t="s">
        <v>2</v>
      </c>
    </row>
    <row r="2821" spans="1:3" x14ac:dyDescent="0.3">
      <c r="A2821" s="8" t="s">
        <v>2831</v>
      </c>
      <c r="B2821" s="8" t="s">
        <v>12</v>
      </c>
      <c r="C2821" t="s">
        <v>2</v>
      </c>
    </row>
    <row r="2822" spans="1:3" x14ac:dyDescent="0.3">
      <c r="A2822" s="8" t="s">
        <v>2832</v>
      </c>
      <c r="B2822" s="8" t="s">
        <v>12</v>
      </c>
      <c r="C2822" t="s">
        <v>2</v>
      </c>
    </row>
    <row r="2823" spans="1:3" x14ac:dyDescent="0.3">
      <c r="A2823" s="8" t="s">
        <v>2833</v>
      </c>
      <c r="B2823" s="8" t="s">
        <v>12</v>
      </c>
      <c r="C2823" t="s">
        <v>2</v>
      </c>
    </row>
    <row r="2824" spans="1:3" x14ac:dyDescent="0.3">
      <c r="A2824" s="8" t="s">
        <v>2834</v>
      </c>
      <c r="B2824" s="8" t="s">
        <v>12</v>
      </c>
      <c r="C2824" t="s">
        <v>2</v>
      </c>
    </row>
    <row r="2825" spans="1:3" x14ac:dyDescent="0.3">
      <c r="A2825" s="8" t="s">
        <v>2835</v>
      </c>
      <c r="B2825" s="8" t="s">
        <v>12</v>
      </c>
      <c r="C2825" t="s">
        <v>2</v>
      </c>
    </row>
    <row r="2826" spans="1:3" x14ac:dyDescent="0.3">
      <c r="A2826" s="8" t="s">
        <v>2836</v>
      </c>
      <c r="B2826" s="8" t="s">
        <v>12</v>
      </c>
      <c r="C2826" t="s">
        <v>2</v>
      </c>
    </row>
    <row r="2827" spans="1:3" x14ac:dyDescent="0.3">
      <c r="A2827" s="8" t="s">
        <v>2837</v>
      </c>
      <c r="B2827" s="8" t="s">
        <v>12</v>
      </c>
      <c r="C2827" t="s">
        <v>2</v>
      </c>
    </row>
    <row r="2828" spans="1:3" x14ac:dyDescent="0.3">
      <c r="A2828" s="8" t="s">
        <v>2838</v>
      </c>
      <c r="B2828" s="8" t="s">
        <v>12</v>
      </c>
      <c r="C2828" t="s">
        <v>2</v>
      </c>
    </row>
    <row r="2829" spans="1:3" x14ac:dyDescent="0.3">
      <c r="A2829" s="8" t="s">
        <v>2839</v>
      </c>
      <c r="B2829" s="8" t="s">
        <v>12</v>
      </c>
      <c r="C2829" t="s">
        <v>2</v>
      </c>
    </row>
    <row r="2830" spans="1:3" x14ac:dyDescent="0.3">
      <c r="A2830" s="8" t="s">
        <v>2840</v>
      </c>
      <c r="B2830" s="8" t="s">
        <v>12</v>
      </c>
      <c r="C2830" t="s">
        <v>2</v>
      </c>
    </row>
    <row r="2831" spans="1:3" x14ac:dyDescent="0.3">
      <c r="A2831" s="8" t="s">
        <v>2841</v>
      </c>
      <c r="B2831" s="8" t="s">
        <v>12</v>
      </c>
      <c r="C2831" t="s">
        <v>2</v>
      </c>
    </row>
    <row r="2832" spans="1:3" x14ac:dyDescent="0.3">
      <c r="A2832" s="8" t="s">
        <v>2842</v>
      </c>
      <c r="B2832" s="8" t="s">
        <v>12</v>
      </c>
      <c r="C2832" t="s">
        <v>2</v>
      </c>
    </row>
    <row r="2833" spans="1:3" x14ac:dyDescent="0.3">
      <c r="A2833" s="8" t="s">
        <v>2843</v>
      </c>
      <c r="B2833" s="8" t="s">
        <v>12</v>
      </c>
      <c r="C2833" t="s">
        <v>2</v>
      </c>
    </row>
    <row r="2834" spans="1:3" x14ac:dyDescent="0.3">
      <c r="A2834" s="8" t="s">
        <v>2844</v>
      </c>
      <c r="B2834" s="8" t="s">
        <v>12</v>
      </c>
      <c r="C2834" t="s">
        <v>2</v>
      </c>
    </row>
    <row r="2835" spans="1:3" x14ac:dyDescent="0.3">
      <c r="A2835" s="8" t="s">
        <v>2845</v>
      </c>
      <c r="B2835" s="8" t="s">
        <v>12</v>
      </c>
      <c r="C2835" t="s">
        <v>2</v>
      </c>
    </row>
    <row r="2836" spans="1:3" x14ac:dyDescent="0.3">
      <c r="A2836" s="8" t="s">
        <v>2846</v>
      </c>
      <c r="B2836" s="8" t="s">
        <v>12</v>
      </c>
      <c r="C2836" t="s">
        <v>2</v>
      </c>
    </row>
    <row r="2837" spans="1:3" x14ac:dyDescent="0.3">
      <c r="A2837" s="8" t="s">
        <v>2847</v>
      </c>
      <c r="B2837" s="8" t="s">
        <v>12</v>
      </c>
      <c r="C2837" t="s">
        <v>3</v>
      </c>
    </row>
    <row r="2838" spans="1:3" x14ac:dyDescent="0.3">
      <c r="A2838" s="8" t="s">
        <v>2848</v>
      </c>
      <c r="B2838" s="8" t="s">
        <v>12</v>
      </c>
      <c r="C2838" t="s">
        <v>3</v>
      </c>
    </row>
    <row r="2839" spans="1:3" x14ac:dyDescent="0.3">
      <c r="A2839" s="8" t="s">
        <v>2849</v>
      </c>
      <c r="B2839" s="8" t="s">
        <v>12</v>
      </c>
      <c r="C2839" t="s">
        <v>3</v>
      </c>
    </row>
    <row r="2840" spans="1:3" x14ac:dyDescent="0.3">
      <c r="A2840" s="8" t="s">
        <v>2850</v>
      </c>
      <c r="B2840" s="8" t="s">
        <v>12</v>
      </c>
      <c r="C2840" t="s">
        <v>3</v>
      </c>
    </row>
    <row r="2841" spans="1:3" x14ac:dyDescent="0.3">
      <c r="A2841" s="8" t="s">
        <v>2851</v>
      </c>
      <c r="B2841" s="8" t="s">
        <v>12</v>
      </c>
      <c r="C2841" t="s">
        <v>3</v>
      </c>
    </row>
    <row r="2842" spans="1:3" x14ac:dyDescent="0.3">
      <c r="A2842" s="8" t="s">
        <v>2852</v>
      </c>
      <c r="B2842" s="8" t="s">
        <v>12</v>
      </c>
      <c r="C2842" t="s">
        <v>3</v>
      </c>
    </row>
    <row r="2843" spans="1:3" x14ac:dyDescent="0.3">
      <c r="A2843" s="8" t="s">
        <v>2853</v>
      </c>
      <c r="B2843" s="8" t="s">
        <v>12</v>
      </c>
      <c r="C2843" t="s">
        <v>3</v>
      </c>
    </row>
    <row r="2844" spans="1:3" x14ac:dyDescent="0.3">
      <c r="A2844" s="8" t="s">
        <v>2854</v>
      </c>
      <c r="B2844" s="8" t="s">
        <v>12</v>
      </c>
      <c r="C2844" t="s">
        <v>3</v>
      </c>
    </row>
    <row r="2845" spans="1:3" x14ac:dyDescent="0.3">
      <c r="A2845" s="8" t="s">
        <v>2855</v>
      </c>
      <c r="B2845" s="8" t="s">
        <v>12</v>
      </c>
      <c r="C2845" t="s">
        <v>3</v>
      </c>
    </row>
    <row r="2846" spans="1:3" x14ac:dyDescent="0.3">
      <c r="A2846" s="8" t="s">
        <v>2856</v>
      </c>
      <c r="B2846" s="8" t="s">
        <v>12</v>
      </c>
      <c r="C2846" t="s">
        <v>3</v>
      </c>
    </row>
    <row r="2847" spans="1:3" x14ac:dyDescent="0.3">
      <c r="A2847" s="8" t="s">
        <v>2857</v>
      </c>
      <c r="B2847" s="8" t="s">
        <v>12</v>
      </c>
      <c r="C2847" t="s">
        <v>2</v>
      </c>
    </row>
    <row r="2848" spans="1:3" x14ac:dyDescent="0.3">
      <c r="A2848" s="8" t="s">
        <v>2858</v>
      </c>
      <c r="B2848" s="8" t="s">
        <v>12</v>
      </c>
      <c r="C2848" t="s">
        <v>3</v>
      </c>
    </row>
    <row r="2849" spans="1:3" x14ac:dyDescent="0.3">
      <c r="A2849" s="8" t="s">
        <v>2859</v>
      </c>
      <c r="B2849" s="8" t="s">
        <v>12</v>
      </c>
      <c r="C2849" t="s">
        <v>2</v>
      </c>
    </row>
    <row r="2850" spans="1:3" x14ac:dyDescent="0.3">
      <c r="A2850" s="8" t="s">
        <v>2860</v>
      </c>
      <c r="B2850" s="8" t="s">
        <v>12</v>
      </c>
      <c r="C2850" t="s">
        <v>3</v>
      </c>
    </row>
    <row r="2851" spans="1:3" x14ac:dyDescent="0.3">
      <c r="A2851" s="8" t="s">
        <v>2861</v>
      </c>
      <c r="B2851" s="8" t="s">
        <v>12</v>
      </c>
    </row>
    <row r="2852" spans="1:3" x14ac:dyDescent="0.3">
      <c r="A2852" s="8" t="s">
        <v>2862</v>
      </c>
      <c r="B2852" s="8" t="s">
        <v>12</v>
      </c>
      <c r="C2852" t="s">
        <v>3</v>
      </c>
    </row>
    <row r="2853" spans="1:3" x14ac:dyDescent="0.3">
      <c r="A2853" s="8" t="s">
        <v>2863</v>
      </c>
      <c r="B2853" s="8" t="s">
        <v>12</v>
      </c>
      <c r="C2853" t="s">
        <v>3</v>
      </c>
    </row>
    <row r="2854" spans="1:3" x14ac:dyDescent="0.3">
      <c r="A2854" s="8" t="s">
        <v>2864</v>
      </c>
      <c r="B2854" s="8" t="s">
        <v>12</v>
      </c>
      <c r="C2854" t="s">
        <v>3</v>
      </c>
    </row>
    <row r="2855" spans="1:3" x14ac:dyDescent="0.3">
      <c r="A2855" s="8" t="s">
        <v>2865</v>
      </c>
      <c r="B2855" s="8" t="s">
        <v>12</v>
      </c>
    </row>
    <row r="2856" spans="1:3" x14ac:dyDescent="0.3">
      <c r="A2856" s="8" t="s">
        <v>2866</v>
      </c>
      <c r="B2856" s="8" t="s">
        <v>12</v>
      </c>
    </row>
    <row r="2857" spans="1:3" x14ac:dyDescent="0.3">
      <c r="A2857" s="8" t="s">
        <v>2867</v>
      </c>
      <c r="B2857" s="8" t="s">
        <v>12</v>
      </c>
      <c r="C2857" t="s">
        <v>2</v>
      </c>
    </row>
    <row r="2858" spans="1:3" x14ac:dyDescent="0.3">
      <c r="A2858" s="8" t="s">
        <v>2868</v>
      </c>
      <c r="B2858" s="8" t="s">
        <v>12</v>
      </c>
      <c r="C2858" t="s">
        <v>2</v>
      </c>
    </row>
    <row r="2859" spans="1:3" x14ac:dyDescent="0.3">
      <c r="A2859" s="8" t="s">
        <v>2869</v>
      </c>
      <c r="B2859" s="8" t="s">
        <v>12</v>
      </c>
      <c r="C2859" t="s">
        <v>2</v>
      </c>
    </row>
    <row r="2860" spans="1:3" x14ac:dyDescent="0.3">
      <c r="A2860" s="8" t="s">
        <v>2870</v>
      </c>
      <c r="B2860" s="8" t="s">
        <v>12</v>
      </c>
      <c r="C2860" t="s">
        <v>2</v>
      </c>
    </row>
    <row r="2861" spans="1:3" x14ac:dyDescent="0.3">
      <c r="A2861" s="8" t="s">
        <v>2871</v>
      </c>
      <c r="B2861" s="8" t="s">
        <v>12</v>
      </c>
      <c r="C2861" t="s">
        <v>2</v>
      </c>
    </row>
    <row r="2862" spans="1:3" x14ac:dyDescent="0.3">
      <c r="A2862" s="8" t="s">
        <v>2872</v>
      </c>
      <c r="B2862" s="8" t="s">
        <v>12</v>
      </c>
      <c r="C2862" t="s">
        <v>2</v>
      </c>
    </row>
    <row r="2863" spans="1:3" x14ac:dyDescent="0.3">
      <c r="A2863" s="8" t="s">
        <v>2873</v>
      </c>
      <c r="B2863" s="8" t="s">
        <v>12</v>
      </c>
      <c r="C2863" t="s">
        <v>2</v>
      </c>
    </row>
    <row r="2864" spans="1:3" x14ac:dyDescent="0.3">
      <c r="A2864" s="8" t="s">
        <v>2874</v>
      </c>
      <c r="B2864" s="8" t="s">
        <v>12</v>
      </c>
      <c r="C2864" t="s">
        <v>2</v>
      </c>
    </row>
    <row r="2865" spans="1:3" x14ac:dyDescent="0.3">
      <c r="A2865" s="8" t="s">
        <v>2875</v>
      </c>
      <c r="B2865" s="8" t="s">
        <v>12</v>
      </c>
      <c r="C2865" t="s">
        <v>2</v>
      </c>
    </row>
    <row r="2866" spans="1:3" x14ac:dyDescent="0.3">
      <c r="A2866" s="8" t="s">
        <v>2876</v>
      </c>
      <c r="B2866" s="8" t="s">
        <v>12</v>
      </c>
      <c r="C2866" t="s">
        <v>2</v>
      </c>
    </row>
    <row r="2867" spans="1:3" x14ac:dyDescent="0.3">
      <c r="A2867" s="8" t="s">
        <v>2877</v>
      </c>
      <c r="B2867" s="8" t="s">
        <v>12</v>
      </c>
    </row>
    <row r="2868" spans="1:3" x14ac:dyDescent="0.3">
      <c r="A2868" s="8" t="s">
        <v>2878</v>
      </c>
      <c r="B2868" s="8" t="s">
        <v>12</v>
      </c>
      <c r="C2868" t="s">
        <v>3678</v>
      </c>
    </row>
    <row r="2869" spans="1:3" x14ac:dyDescent="0.3">
      <c r="A2869" s="8" t="s">
        <v>2879</v>
      </c>
      <c r="B2869" s="8" t="s">
        <v>12</v>
      </c>
      <c r="C2869" t="s">
        <v>3678</v>
      </c>
    </row>
    <row r="2870" spans="1:3" x14ac:dyDescent="0.3">
      <c r="A2870" s="8" t="s">
        <v>2880</v>
      </c>
      <c r="B2870" s="8" t="s">
        <v>12</v>
      </c>
      <c r="C2870" t="s">
        <v>3678</v>
      </c>
    </row>
    <row r="2871" spans="1:3" x14ac:dyDescent="0.3">
      <c r="A2871" s="8" t="s">
        <v>2881</v>
      </c>
      <c r="B2871" s="8" t="s">
        <v>12</v>
      </c>
      <c r="C2871" t="s">
        <v>3678</v>
      </c>
    </row>
    <row r="2872" spans="1:3" x14ac:dyDescent="0.3">
      <c r="A2872" s="8" t="s">
        <v>2882</v>
      </c>
      <c r="B2872" s="8" t="s">
        <v>12</v>
      </c>
      <c r="C2872" t="s">
        <v>3678</v>
      </c>
    </row>
    <row r="2873" spans="1:3" x14ac:dyDescent="0.3">
      <c r="A2873" s="8" t="s">
        <v>2883</v>
      </c>
      <c r="B2873" s="8" t="s">
        <v>12</v>
      </c>
      <c r="C2873" t="s">
        <v>3678</v>
      </c>
    </row>
    <row r="2874" spans="1:3" x14ac:dyDescent="0.3">
      <c r="A2874" s="8" t="s">
        <v>2884</v>
      </c>
      <c r="B2874" s="8" t="s">
        <v>12</v>
      </c>
      <c r="C2874" t="s">
        <v>3678</v>
      </c>
    </row>
    <row r="2875" spans="1:3" x14ac:dyDescent="0.3">
      <c r="A2875" s="8" t="s">
        <v>2885</v>
      </c>
      <c r="B2875" s="8" t="s">
        <v>12</v>
      </c>
      <c r="C2875" t="s">
        <v>3678</v>
      </c>
    </row>
    <row r="2876" spans="1:3" x14ac:dyDescent="0.3">
      <c r="A2876" s="8" t="s">
        <v>2886</v>
      </c>
      <c r="B2876" s="8" t="s">
        <v>12</v>
      </c>
      <c r="C2876" t="s">
        <v>3678</v>
      </c>
    </row>
    <row r="2877" spans="1:3" x14ac:dyDescent="0.3">
      <c r="A2877" s="8" t="s">
        <v>2887</v>
      </c>
      <c r="B2877" s="8" t="s">
        <v>12</v>
      </c>
      <c r="C2877" t="s">
        <v>3</v>
      </c>
    </row>
    <row r="2878" spans="1:3" x14ac:dyDescent="0.3">
      <c r="A2878" s="8" t="s">
        <v>2888</v>
      </c>
      <c r="B2878" s="8" t="s">
        <v>12</v>
      </c>
      <c r="C2878" t="s">
        <v>2</v>
      </c>
    </row>
    <row r="2879" spans="1:3" x14ac:dyDescent="0.3">
      <c r="A2879" s="8" t="s">
        <v>2889</v>
      </c>
      <c r="B2879" s="8" t="s">
        <v>12</v>
      </c>
      <c r="C2879" t="s">
        <v>2</v>
      </c>
    </row>
    <row r="2880" spans="1:3" x14ac:dyDescent="0.3">
      <c r="A2880" s="8" t="s">
        <v>2890</v>
      </c>
      <c r="B2880" s="8" t="s">
        <v>12</v>
      </c>
      <c r="C2880" t="s">
        <v>2</v>
      </c>
    </row>
    <row r="2881" spans="1:3" x14ac:dyDescent="0.3">
      <c r="A2881" s="8" t="s">
        <v>2891</v>
      </c>
      <c r="B2881" s="8" t="s">
        <v>12</v>
      </c>
      <c r="C2881" t="s">
        <v>2</v>
      </c>
    </row>
    <row r="2882" spans="1:3" x14ac:dyDescent="0.3">
      <c r="A2882" s="8" t="s">
        <v>2892</v>
      </c>
      <c r="B2882" s="8" t="s">
        <v>12</v>
      </c>
      <c r="C2882" t="s">
        <v>2</v>
      </c>
    </row>
    <row r="2883" spans="1:3" x14ac:dyDescent="0.3">
      <c r="A2883" s="8" t="s">
        <v>2893</v>
      </c>
      <c r="B2883" s="8" t="s">
        <v>12</v>
      </c>
      <c r="C2883" t="s">
        <v>2</v>
      </c>
    </row>
    <row r="2884" spans="1:3" x14ac:dyDescent="0.3">
      <c r="A2884" s="8" t="s">
        <v>2894</v>
      </c>
      <c r="B2884" s="8" t="s">
        <v>12</v>
      </c>
      <c r="C2884" t="s">
        <v>2</v>
      </c>
    </row>
    <row r="2885" spans="1:3" x14ac:dyDescent="0.3">
      <c r="A2885" s="8" t="s">
        <v>2895</v>
      </c>
      <c r="B2885" s="8" t="s">
        <v>12</v>
      </c>
      <c r="C2885" t="s">
        <v>2</v>
      </c>
    </row>
    <row r="2886" spans="1:3" x14ac:dyDescent="0.3">
      <c r="A2886" s="8" t="s">
        <v>2896</v>
      </c>
      <c r="B2886" s="8" t="s">
        <v>12</v>
      </c>
      <c r="C2886" t="s">
        <v>2</v>
      </c>
    </row>
    <row r="2887" spans="1:3" x14ac:dyDescent="0.3">
      <c r="A2887" s="8" t="s">
        <v>2897</v>
      </c>
      <c r="B2887" s="8" t="s">
        <v>12</v>
      </c>
      <c r="C2887" t="s">
        <v>2</v>
      </c>
    </row>
    <row r="2888" spans="1:3" x14ac:dyDescent="0.3">
      <c r="A2888" s="8" t="s">
        <v>2898</v>
      </c>
      <c r="B2888" s="8" t="s">
        <v>12</v>
      </c>
      <c r="C2888" t="s">
        <v>2</v>
      </c>
    </row>
    <row r="2889" spans="1:3" x14ac:dyDescent="0.3">
      <c r="A2889" s="8" t="s">
        <v>2899</v>
      </c>
      <c r="B2889" s="8" t="s">
        <v>12</v>
      </c>
      <c r="C2889" t="s">
        <v>2</v>
      </c>
    </row>
    <row r="2890" spans="1:3" x14ac:dyDescent="0.3">
      <c r="A2890" s="8" t="s">
        <v>2900</v>
      </c>
      <c r="B2890" s="8" t="s">
        <v>12</v>
      </c>
      <c r="C2890" t="s">
        <v>2</v>
      </c>
    </row>
    <row r="2891" spans="1:3" x14ac:dyDescent="0.3">
      <c r="A2891" s="8" t="s">
        <v>2901</v>
      </c>
      <c r="B2891" s="8" t="s">
        <v>12</v>
      </c>
      <c r="C2891" t="s">
        <v>2</v>
      </c>
    </row>
    <row r="2892" spans="1:3" x14ac:dyDescent="0.3">
      <c r="A2892" s="8" t="s">
        <v>2902</v>
      </c>
      <c r="B2892" s="8" t="s">
        <v>12</v>
      </c>
      <c r="C2892" t="s">
        <v>2</v>
      </c>
    </row>
    <row r="2893" spans="1:3" x14ac:dyDescent="0.3">
      <c r="A2893" s="8" t="s">
        <v>2903</v>
      </c>
      <c r="B2893" s="8" t="s">
        <v>12</v>
      </c>
      <c r="C2893" t="s">
        <v>2</v>
      </c>
    </row>
    <row r="2894" spans="1:3" x14ac:dyDescent="0.3">
      <c r="A2894" s="8" t="s">
        <v>2904</v>
      </c>
      <c r="B2894" s="8" t="s">
        <v>12</v>
      </c>
      <c r="C2894" t="s">
        <v>2</v>
      </c>
    </row>
    <row r="2895" spans="1:3" x14ac:dyDescent="0.3">
      <c r="A2895" s="8" t="s">
        <v>2905</v>
      </c>
      <c r="B2895" s="8" t="s">
        <v>12</v>
      </c>
      <c r="C2895" t="s">
        <v>2</v>
      </c>
    </row>
    <row r="2896" spans="1:3" x14ac:dyDescent="0.3">
      <c r="A2896" s="8" t="s">
        <v>2906</v>
      </c>
      <c r="B2896" s="8" t="s">
        <v>12</v>
      </c>
      <c r="C2896" t="s">
        <v>2</v>
      </c>
    </row>
    <row r="2897" spans="1:3" x14ac:dyDescent="0.3">
      <c r="A2897" s="8" t="s">
        <v>2907</v>
      </c>
      <c r="B2897" s="8" t="s">
        <v>12</v>
      </c>
      <c r="C2897" t="s">
        <v>2</v>
      </c>
    </row>
    <row r="2898" spans="1:3" x14ac:dyDescent="0.3">
      <c r="A2898" s="8" t="s">
        <v>2908</v>
      </c>
      <c r="B2898" s="8" t="s">
        <v>12</v>
      </c>
      <c r="C2898" t="s">
        <v>2</v>
      </c>
    </row>
    <row r="2899" spans="1:3" x14ac:dyDescent="0.3">
      <c r="A2899" s="8" t="s">
        <v>2909</v>
      </c>
      <c r="B2899" s="8" t="s">
        <v>12</v>
      </c>
      <c r="C2899" t="s">
        <v>2</v>
      </c>
    </row>
    <row r="2900" spans="1:3" x14ac:dyDescent="0.3">
      <c r="A2900" s="8" t="s">
        <v>2910</v>
      </c>
      <c r="B2900" s="8" t="s">
        <v>12</v>
      </c>
      <c r="C2900" t="s">
        <v>2</v>
      </c>
    </row>
    <row r="2901" spans="1:3" x14ac:dyDescent="0.3">
      <c r="A2901" s="8" t="s">
        <v>2911</v>
      </c>
      <c r="B2901" s="8" t="s">
        <v>12</v>
      </c>
      <c r="C2901" t="s">
        <v>2</v>
      </c>
    </row>
    <row r="2902" spans="1:3" x14ac:dyDescent="0.3">
      <c r="A2902" s="8" t="s">
        <v>2912</v>
      </c>
      <c r="B2902" s="8" t="s">
        <v>12</v>
      </c>
      <c r="C2902" t="s">
        <v>2</v>
      </c>
    </row>
    <row r="2903" spans="1:3" x14ac:dyDescent="0.3">
      <c r="A2903" s="8" t="s">
        <v>2913</v>
      </c>
      <c r="B2903" s="8" t="s">
        <v>12</v>
      </c>
      <c r="C2903" t="s">
        <v>2</v>
      </c>
    </row>
    <row r="2904" spans="1:3" x14ac:dyDescent="0.3">
      <c r="A2904" s="8" t="s">
        <v>2914</v>
      </c>
      <c r="B2904" s="8" t="s">
        <v>12</v>
      </c>
      <c r="C2904" t="s">
        <v>2</v>
      </c>
    </row>
    <row r="2905" spans="1:3" x14ac:dyDescent="0.3">
      <c r="A2905" s="8" t="s">
        <v>2915</v>
      </c>
      <c r="B2905" s="8" t="s">
        <v>12</v>
      </c>
      <c r="C2905" t="s">
        <v>2</v>
      </c>
    </row>
    <row r="2906" spans="1:3" x14ac:dyDescent="0.3">
      <c r="A2906" s="8" t="s">
        <v>2916</v>
      </c>
      <c r="B2906" s="8" t="s">
        <v>12</v>
      </c>
      <c r="C2906" t="s">
        <v>2</v>
      </c>
    </row>
    <row r="2907" spans="1:3" x14ac:dyDescent="0.3">
      <c r="A2907" s="8" t="s">
        <v>2917</v>
      </c>
      <c r="B2907" s="8" t="s">
        <v>12</v>
      </c>
      <c r="C2907" t="s">
        <v>2</v>
      </c>
    </row>
    <row r="2908" spans="1:3" x14ac:dyDescent="0.3">
      <c r="A2908" s="8" t="s">
        <v>2918</v>
      </c>
      <c r="B2908" s="8" t="s">
        <v>12</v>
      </c>
      <c r="C2908" t="s">
        <v>2</v>
      </c>
    </row>
    <row r="2909" spans="1:3" x14ac:dyDescent="0.3">
      <c r="A2909" s="8" t="s">
        <v>2919</v>
      </c>
      <c r="B2909" s="8" t="s">
        <v>12</v>
      </c>
      <c r="C2909" t="s">
        <v>2</v>
      </c>
    </row>
    <row r="2910" spans="1:3" x14ac:dyDescent="0.3">
      <c r="A2910" s="8" t="s">
        <v>2920</v>
      </c>
      <c r="B2910" s="8" t="s">
        <v>12</v>
      </c>
      <c r="C2910" t="s">
        <v>2</v>
      </c>
    </row>
    <row r="2911" spans="1:3" x14ac:dyDescent="0.3">
      <c r="A2911" s="8" t="s">
        <v>2921</v>
      </c>
      <c r="B2911" s="8" t="s">
        <v>12</v>
      </c>
      <c r="C2911" t="s">
        <v>2</v>
      </c>
    </row>
    <row r="2912" spans="1:3" x14ac:dyDescent="0.3">
      <c r="A2912" s="8" t="s">
        <v>2922</v>
      </c>
      <c r="B2912" s="8" t="s">
        <v>12</v>
      </c>
      <c r="C2912" t="s">
        <v>2</v>
      </c>
    </row>
    <row r="2913" spans="1:3" x14ac:dyDescent="0.3">
      <c r="A2913" s="8" t="s">
        <v>2923</v>
      </c>
      <c r="B2913" s="8" t="s">
        <v>12</v>
      </c>
      <c r="C2913" t="s">
        <v>2</v>
      </c>
    </row>
    <row r="2914" spans="1:3" x14ac:dyDescent="0.3">
      <c r="A2914" s="8" t="s">
        <v>2924</v>
      </c>
      <c r="B2914" s="8" t="s">
        <v>12</v>
      </c>
      <c r="C2914" t="s">
        <v>2</v>
      </c>
    </row>
    <row r="2915" spans="1:3" x14ac:dyDescent="0.3">
      <c r="A2915" s="8" t="s">
        <v>2925</v>
      </c>
      <c r="B2915" s="8" t="s">
        <v>12</v>
      </c>
      <c r="C2915" t="s">
        <v>2</v>
      </c>
    </row>
    <row r="2916" spans="1:3" x14ac:dyDescent="0.3">
      <c r="A2916" s="8" t="s">
        <v>2926</v>
      </c>
      <c r="B2916" s="8" t="s">
        <v>12</v>
      </c>
      <c r="C2916" t="s">
        <v>2</v>
      </c>
    </row>
    <row r="2917" spans="1:3" x14ac:dyDescent="0.3">
      <c r="A2917" s="8" t="s">
        <v>2927</v>
      </c>
      <c r="B2917" s="8" t="s">
        <v>12</v>
      </c>
      <c r="C2917" t="s">
        <v>2</v>
      </c>
    </row>
    <row r="2918" spans="1:3" x14ac:dyDescent="0.3">
      <c r="A2918" s="8" t="s">
        <v>2928</v>
      </c>
      <c r="B2918" s="8" t="s">
        <v>12</v>
      </c>
      <c r="C2918" t="s">
        <v>2</v>
      </c>
    </row>
    <row r="2919" spans="1:3" x14ac:dyDescent="0.3">
      <c r="A2919" s="8" t="s">
        <v>2929</v>
      </c>
      <c r="B2919" s="8" t="s">
        <v>12</v>
      </c>
      <c r="C2919" t="s">
        <v>2</v>
      </c>
    </row>
    <row r="2920" spans="1:3" x14ac:dyDescent="0.3">
      <c r="A2920" s="8" t="s">
        <v>2930</v>
      </c>
      <c r="B2920" s="8" t="s">
        <v>12</v>
      </c>
      <c r="C2920" t="s">
        <v>2</v>
      </c>
    </row>
    <row r="2921" spans="1:3" x14ac:dyDescent="0.3">
      <c r="A2921" s="8" t="s">
        <v>2931</v>
      </c>
      <c r="B2921" s="8" t="s">
        <v>12</v>
      </c>
      <c r="C2921" t="s">
        <v>2</v>
      </c>
    </row>
    <row r="2922" spans="1:3" x14ac:dyDescent="0.3">
      <c r="A2922" s="8" t="s">
        <v>2932</v>
      </c>
      <c r="B2922" s="8" t="s">
        <v>12</v>
      </c>
      <c r="C2922" t="s">
        <v>2</v>
      </c>
    </row>
    <row r="2923" spans="1:3" x14ac:dyDescent="0.3">
      <c r="A2923" s="8" t="s">
        <v>2933</v>
      </c>
      <c r="B2923" s="8" t="s">
        <v>12</v>
      </c>
      <c r="C2923" t="s">
        <v>2</v>
      </c>
    </row>
    <row r="2924" spans="1:3" x14ac:dyDescent="0.3">
      <c r="A2924" s="8" t="s">
        <v>2934</v>
      </c>
      <c r="B2924" s="8" t="s">
        <v>12</v>
      </c>
      <c r="C2924" t="s">
        <v>2</v>
      </c>
    </row>
    <row r="2925" spans="1:3" x14ac:dyDescent="0.3">
      <c r="A2925" s="8" t="s">
        <v>2935</v>
      </c>
      <c r="B2925" s="8" t="s">
        <v>12</v>
      </c>
      <c r="C2925" t="s">
        <v>2</v>
      </c>
    </row>
    <row r="2926" spans="1:3" x14ac:dyDescent="0.3">
      <c r="A2926" s="8" t="s">
        <v>2936</v>
      </c>
      <c r="B2926" s="8" t="s">
        <v>12</v>
      </c>
      <c r="C2926" t="s">
        <v>3</v>
      </c>
    </row>
    <row r="2927" spans="1:3" x14ac:dyDescent="0.3">
      <c r="A2927" s="8" t="s">
        <v>2937</v>
      </c>
      <c r="B2927" s="8" t="s">
        <v>12</v>
      </c>
      <c r="C2927" t="s">
        <v>3</v>
      </c>
    </row>
    <row r="2928" spans="1:3" x14ac:dyDescent="0.3">
      <c r="A2928" s="8" t="s">
        <v>2938</v>
      </c>
      <c r="B2928" s="8" t="s">
        <v>12</v>
      </c>
      <c r="C2928" t="s">
        <v>3</v>
      </c>
    </row>
    <row r="2929" spans="1:3" x14ac:dyDescent="0.3">
      <c r="A2929" s="8" t="s">
        <v>2939</v>
      </c>
      <c r="B2929" s="8" t="s">
        <v>12</v>
      </c>
      <c r="C2929" t="s">
        <v>3</v>
      </c>
    </row>
    <row r="2930" spans="1:3" x14ac:dyDescent="0.3">
      <c r="A2930" s="8" t="s">
        <v>2940</v>
      </c>
      <c r="B2930" s="8" t="s">
        <v>12</v>
      </c>
      <c r="C2930" t="s">
        <v>3</v>
      </c>
    </row>
    <row r="2931" spans="1:3" x14ac:dyDescent="0.3">
      <c r="A2931" s="8" t="s">
        <v>2941</v>
      </c>
      <c r="B2931" s="8" t="s">
        <v>12</v>
      </c>
      <c r="C2931" t="s">
        <v>3</v>
      </c>
    </row>
    <row r="2932" spans="1:3" x14ac:dyDescent="0.3">
      <c r="A2932" s="8" t="s">
        <v>2942</v>
      </c>
      <c r="B2932" s="8" t="s">
        <v>12</v>
      </c>
      <c r="C2932" t="s">
        <v>3</v>
      </c>
    </row>
    <row r="2933" spans="1:3" x14ac:dyDescent="0.3">
      <c r="A2933" s="8" t="s">
        <v>2943</v>
      </c>
      <c r="B2933" s="8" t="s">
        <v>12</v>
      </c>
    </row>
    <row r="2934" spans="1:3" x14ac:dyDescent="0.3">
      <c r="A2934" s="8" t="s">
        <v>2944</v>
      </c>
      <c r="B2934" s="8" t="s">
        <v>12</v>
      </c>
      <c r="C2934" t="s">
        <v>2</v>
      </c>
    </row>
    <row r="2935" spans="1:3" x14ac:dyDescent="0.3">
      <c r="A2935" s="8" t="s">
        <v>2945</v>
      </c>
      <c r="B2935" s="8" t="s">
        <v>12</v>
      </c>
      <c r="C2935" t="s">
        <v>2</v>
      </c>
    </row>
    <row r="2936" spans="1:3" x14ac:dyDescent="0.3">
      <c r="A2936" s="8" t="s">
        <v>2946</v>
      </c>
      <c r="B2936" s="8" t="s">
        <v>12</v>
      </c>
      <c r="C2936" t="s">
        <v>2</v>
      </c>
    </row>
    <row r="2937" spans="1:3" x14ac:dyDescent="0.3">
      <c r="A2937" s="8" t="s">
        <v>2947</v>
      </c>
      <c r="B2937" s="8" t="s">
        <v>12</v>
      </c>
      <c r="C2937" t="s">
        <v>2</v>
      </c>
    </row>
    <row r="2938" spans="1:3" x14ac:dyDescent="0.3">
      <c r="A2938" s="8" t="s">
        <v>2948</v>
      </c>
      <c r="B2938" s="8" t="s">
        <v>12</v>
      </c>
      <c r="C2938" t="s">
        <v>2</v>
      </c>
    </row>
    <row r="2939" spans="1:3" x14ac:dyDescent="0.3">
      <c r="A2939" s="8" t="s">
        <v>2949</v>
      </c>
      <c r="B2939" s="8" t="s">
        <v>12</v>
      </c>
      <c r="C2939" t="s">
        <v>2</v>
      </c>
    </row>
    <row r="2940" spans="1:3" x14ac:dyDescent="0.3">
      <c r="A2940" s="8" t="s">
        <v>2950</v>
      </c>
      <c r="B2940" s="8" t="s">
        <v>12</v>
      </c>
      <c r="C2940" t="s">
        <v>3678</v>
      </c>
    </row>
    <row r="2941" spans="1:3" x14ac:dyDescent="0.3">
      <c r="A2941" s="8" t="s">
        <v>2951</v>
      </c>
      <c r="B2941" s="8" t="s">
        <v>12</v>
      </c>
      <c r="C2941" t="s">
        <v>3678</v>
      </c>
    </row>
    <row r="2942" spans="1:3" x14ac:dyDescent="0.3">
      <c r="A2942" s="8" t="s">
        <v>2952</v>
      </c>
      <c r="B2942" s="8" t="s">
        <v>12</v>
      </c>
      <c r="C2942" t="s">
        <v>3678</v>
      </c>
    </row>
    <row r="2943" spans="1:3" x14ac:dyDescent="0.3">
      <c r="A2943" s="8" t="s">
        <v>2953</v>
      </c>
      <c r="B2943" s="8" t="s">
        <v>12</v>
      </c>
      <c r="C2943" t="s">
        <v>3678</v>
      </c>
    </row>
    <row r="2944" spans="1:3" x14ac:dyDescent="0.3">
      <c r="A2944" s="8" t="s">
        <v>2954</v>
      </c>
      <c r="B2944" s="8" t="s">
        <v>12</v>
      </c>
      <c r="C2944" t="s">
        <v>3678</v>
      </c>
    </row>
    <row r="2945" spans="1:3" x14ac:dyDescent="0.3">
      <c r="A2945" s="8" t="s">
        <v>2955</v>
      </c>
      <c r="B2945" s="8" t="s">
        <v>12</v>
      </c>
      <c r="C2945" t="s">
        <v>3678</v>
      </c>
    </row>
    <row r="2946" spans="1:3" x14ac:dyDescent="0.3">
      <c r="A2946" s="8" t="s">
        <v>2956</v>
      </c>
      <c r="B2946" s="8" t="s">
        <v>12</v>
      </c>
      <c r="C2946" t="s">
        <v>3678</v>
      </c>
    </row>
    <row r="2947" spans="1:3" x14ac:dyDescent="0.3">
      <c r="A2947" s="8" t="s">
        <v>2957</v>
      </c>
      <c r="B2947" s="8" t="s">
        <v>12</v>
      </c>
      <c r="C2947" t="s">
        <v>3678</v>
      </c>
    </row>
    <row r="2948" spans="1:3" x14ac:dyDescent="0.3">
      <c r="A2948" s="8" t="s">
        <v>2958</v>
      </c>
      <c r="B2948" s="8" t="s">
        <v>12</v>
      </c>
      <c r="C2948" t="s">
        <v>3678</v>
      </c>
    </row>
    <row r="2949" spans="1:3" x14ac:dyDescent="0.3">
      <c r="A2949" s="8" t="s">
        <v>2959</v>
      </c>
      <c r="B2949" s="8" t="s">
        <v>12</v>
      </c>
      <c r="C2949" t="s">
        <v>3678</v>
      </c>
    </row>
    <row r="2950" spans="1:3" x14ac:dyDescent="0.3">
      <c r="A2950" s="8" t="s">
        <v>2960</v>
      </c>
      <c r="B2950" s="8" t="s">
        <v>12</v>
      </c>
      <c r="C2950" t="s">
        <v>3678</v>
      </c>
    </row>
    <row r="2951" spans="1:3" x14ac:dyDescent="0.3">
      <c r="A2951" s="8" t="s">
        <v>2961</v>
      </c>
      <c r="B2951" s="8" t="s">
        <v>12</v>
      </c>
      <c r="C2951" t="s">
        <v>3680</v>
      </c>
    </row>
    <row r="2952" spans="1:3" x14ac:dyDescent="0.3">
      <c r="A2952" s="8" t="s">
        <v>2962</v>
      </c>
      <c r="B2952" s="8" t="s">
        <v>12</v>
      </c>
      <c r="C2952" t="s">
        <v>3680</v>
      </c>
    </row>
    <row r="2953" spans="1:3" x14ac:dyDescent="0.3">
      <c r="A2953" s="8" t="s">
        <v>2963</v>
      </c>
      <c r="B2953" s="8" t="s">
        <v>12</v>
      </c>
      <c r="C2953" t="s">
        <v>2</v>
      </c>
    </row>
    <row r="2954" spans="1:3" x14ac:dyDescent="0.3">
      <c r="A2954" s="8" t="s">
        <v>2964</v>
      </c>
      <c r="B2954" s="8" t="s">
        <v>12</v>
      </c>
      <c r="C2954" t="s">
        <v>2</v>
      </c>
    </row>
    <row r="2955" spans="1:3" x14ac:dyDescent="0.3">
      <c r="A2955" s="8" t="s">
        <v>2965</v>
      </c>
      <c r="B2955" s="8" t="s">
        <v>12</v>
      </c>
      <c r="C2955" t="s">
        <v>2</v>
      </c>
    </row>
    <row r="2956" spans="1:3" x14ac:dyDescent="0.3">
      <c r="A2956" s="8" t="s">
        <v>2966</v>
      </c>
      <c r="B2956" s="8" t="s">
        <v>12</v>
      </c>
      <c r="C2956" t="s">
        <v>2</v>
      </c>
    </row>
    <row r="2957" spans="1:3" x14ac:dyDescent="0.3">
      <c r="A2957" s="8" t="s">
        <v>2967</v>
      </c>
      <c r="B2957" s="8" t="s">
        <v>12</v>
      </c>
      <c r="C2957" t="s">
        <v>2</v>
      </c>
    </row>
    <row r="2958" spans="1:3" x14ac:dyDescent="0.3">
      <c r="A2958" s="8" t="s">
        <v>2968</v>
      </c>
      <c r="B2958" s="8" t="s">
        <v>12</v>
      </c>
      <c r="C2958" t="s">
        <v>2</v>
      </c>
    </row>
    <row r="2959" spans="1:3" x14ac:dyDescent="0.3">
      <c r="A2959" s="8" t="s">
        <v>2969</v>
      </c>
      <c r="B2959" s="8" t="s">
        <v>12</v>
      </c>
      <c r="C2959" t="s">
        <v>2</v>
      </c>
    </row>
    <row r="2960" spans="1:3" x14ac:dyDescent="0.3">
      <c r="A2960" s="8" t="s">
        <v>2970</v>
      </c>
      <c r="B2960" s="8" t="s">
        <v>12</v>
      </c>
      <c r="C2960" t="s">
        <v>2</v>
      </c>
    </row>
    <row r="2961" spans="1:3" x14ac:dyDescent="0.3">
      <c r="A2961" s="8" t="s">
        <v>2971</v>
      </c>
      <c r="B2961" s="8" t="s">
        <v>12</v>
      </c>
      <c r="C2961" t="s">
        <v>2</v>
      </c>
    </row>
    <row r="2962" spans="1:3" x14ac:dyDescent="0.3">
      <c r="A2962" s="8" t="s">
        <v>2972</v>
      </c>
      <c r="B2962" s="8" t="s">
        <v>12</v>
      </c>
      <c r="C2962" t="s">
        <v>2</v>
      </c>
    </row>
    <row r="2963" spans="1:3" x14ac:dyDescent="0.3">
      <c r="A2963" s="8" t="s">
        <v>2973</v>
      </c>
      <c r="B2963" s="8" t="s">
        <v>12</v>
      </c>
      <c r="C2963" t="s">
        <v>2</v>
      </c>
    </row>
    <row r="2964" spans="1:3" x14ac:dyDescent="0.3">
      <c r="A2964" s="8" t="s">
        <v>2974</v>
      </c>
      <c r="B2964" s="8" t="s">
        <v>12</v>
      </c>
      <c r="C2964" t="s">
        <v>2</v>
      </c>
    </row>
    <row r="2965" spans="1:3" x14ac:dyDescent="0.3">
      <c r="A2965" s="8" t="s">
        <v>2975</v>
      </c>
      <c r="B2965" s="8" t="s">
        <v>12</v>
      </c>
      <c r="C2965" t="s">
        <v>2</v>
      </c>
    </row>
    <row r="2966" spans="1:3" x14ac:dyDescent="0.3">
      <c r="A2966" s="8" t="s">
        <v>2976</v>
      </c>
      <c r="B2966" s="8" t="s">
        <v>12</v>
      </c>
      <c r="C2966" t="s">
        <v>2</v>
      </c>
    </row>
    <row r="2967" spans="1:3" x14ac:dyDescent="0.3">
      <c r="A2967" s="8" t="s">
        <v>2977</v>
      </c>
      <c r="B2967" s="8" t="s">
        <v>12</v>
      </c>
      <c r="C2967" t="s">
        <v>2</v>
      </c>
    </row>
    <row r="2968" spans="1:3" x14ac:dyDescent="0.3">
      <c r="A2968" s="8" t="s">
        <v>2978</v>
      </c>
      <c r="B2968" s="8" t="s">
        <v>12</v>
      </c>
      <c r="C2968" t="s">
        <v>2</v>
      </c>
    </row>
    <row r="2969" spans="1:3" x14ac:dyDescent="0.3">
      <c r="A2969" s="8" t="s">
        <v>2979</v>
      </c>
      <c r="B2969" s="8" t="s">
        <v>12</v>
      </c>
      <c r="C2969" t="s">
        <v>2</v>
      </c>
    </row>
    <row r="2970" spans="1:3" x14ac:dyDescent="0.3">
      <c r="A2970" s="8" t="s">
        <v>2980</v>
      </c>
      <c r="B2970" s="8" t="s">
        <v>12</v>
      </c>
      <c r="C2970" t="s">
        <v>2</v>
      </c>
    </row>
    <row r="2971" spans="1:3" x14ac:dyDescent="0.3">
      <c r="A2971" s="8" t="s">
        <v>2981</v>
      </c>
      <c r="B2971" s="8" t="s">
        <v>12</v>
      </c>
      <c r="C2971" t="s">
        <v>2</v>
      </c>
    </row>
    <row r="2972" spans="1:3" x14ac:dyDescent="0.3">
      <c r="A2972" s="8" t="s">
        <v>2982</v>
      </c>
      <c r="B2972" s="8" t="s">
        <v>12</v>
      </c>
      <c r="C2972" t="s">
        <v>2</v>
      </c>
    </row>
    <row r="2973" spans="1:3" x14ac:dyDescent="0.3">
      <c r="A2973" s="8" t="s">
        <v>2983</v>
      </c>
      <c r="B2973" s="8" t="s">
        <v>12</v>
      </c>
      <c r="C2973" t="s">
        <v>2</v>
      </c>
    </row>
    <row r="2974" spans="1:3" x14ac:dyDescent="0.3">
      <c r="A2974" s="8" t="s">
        <v>2984</v>
      </c>
      <c r="B2974" s="8" t="s">
        <v>12</v>
      </c>
      <c r="C2974" t="s">
        <v>2</v>
      </c>
    </row>
    <row r="2975" spans="1:3" x14ac:dyDescent="0.3">
      <c r="A2975" s="8" t="s">
        <v>2985</v>
      </c>
      <c r="B2975" s="8" t="s">
        <v>12</v>
      </c>
      <c r="C2975" t="s">
        <v>2</v>
      </c>
    </row>
    <row r="2976" spans="1:3" x14ac:dyDescent="0.3">
      <c r="A2976" s="8" t="s">
        <v>2986</v>
      </c>
      <c r="B2976" s="8" t="s">
        <v>12</v>
      </c>
      <c r="C2976" t="s">
        <v>2</v>
      </c>
    </row>
    <row r="2977" spans="1:3" x14ac:dyDescent="0.3">
      <c r="A2977" s="8" t="s">
        <v>2987</v>
      </c>
      <c r="B2977" s="8" t="s">
        <v>12</v>
      </c>
      <c r="C2977" t="s">
        <v>2</v>
      </c>
    </row>
    <row r="2978" spans="1:3" x14ac:dyDescent="0.3">
      <c r="A2978" s="8" t="s">
        <v>2988</v>
      </c>
      <c r="B2978" s="8" t="s">
        <v>12</v>
      </c>
      <c r="C2978" t="s">
        <v>2</v>
      </c>
    </row>
    <row r="2979" spans="1:3" x14ac:dyDescent="0.3">
      <c r="A2979" s="8" t="s">
        <v>2989</v>
      </c>
      <c r="B2979" s="8" t="s">
        <v>12</v>
      </c>
      <c r="C2979" t="s">
        <v>2</v>
      </c>
    </row>
    <row r="2980" spans="1:3" x14ac:dyDescent="0.3">
      <c r="A2980" s="8" t="s">
        <v>2990</v>
      </c>
      <c r="B2980" s="8" t="s">
        <v>12</v>
      </c>
      <c r="C2980" t="s">
        <v>2</v>
      </c>
    </row>
    <row r="2981" spans="1:3" x14ac:dyDescent="0.3">
      <c r="A2981" s="8" t="s">
        <v>2991</v>
      </c>
      <c r="B2981" s="8" t="s">
        <v>12</v>
      </c>
      <c r="C2981" t="s">
        <v>2</v>
      </c>
    </row>
    <row r="2982" spans="1:3" x14ac:dyDescent="0.3">
      <c r="A2982" s="8" t="s">
        <v>2992</v>
      </c>
      <c r="B2982" s="8" t="s">
        <v>12</v>
      </c>
      <c r="C2982" t="s">
        <v>2</v>
      </c>
    </row>
    <row r="2983" spans="1:3" x14ac:dyDescent="0.3">
      <c r="A2983" s="8" t="s">
        <v>2993</v>
      </c>
      <c r="B2983" s="8" t="s">
        <v>12</v>
      </c>
      <c r="C2983" t="s">
        <v>2</v>
      </c>
    </row>
    <row r="2984" spans="1:3" x14ac:dyDescent="0.3">
      <c r="A2984" s="8" t="s">
        <v>2994</v>
      </c>
      <c r="B2984" s="8" t="s">
        <v>12</v>
      </c>
      <c r="C2984" t="s">
        <v>2</v>
      </c>
    </row>
    <row r="2985" spans="1:3" x14ac:dyDescent="0.3">
      <c r="A2985" s="8" t="s">
        <v>2995</v>
      </c>
      <c r="B2985" s="8" t="s">
        <v>12</v>
      </c>
      <c r="C2985" t="s">
        <v>2</v>
      </c>
    </row>
    <row r="2986" spans="1:3" x14ac:dyDescent="0.3">
      <c r="A2986" s="8" t="s">
        <v>2996</v>
      </c>
      <c r="B2986" s="8" t="s">
        <v>12</v>
      </c>
      <c r="C2986" t="s">
        <v>2</v>
      </c>
    </row>
    <row r="2987" spans="1:3" x14ac:dyDescent="0.3">
      <c r="A2987" s="8" t="s">
        <v>2997</v>
      </c>
      <c r="B2987" s="8" t="s">
        <v>12</v>
      </c>
      <c r="C2987" t="s">
        <v>2</v>
      </c>
    </row>
    <row r="2988" spans="1:3" x14ac:dyDescent="0.3">
      <c r="A2988" s="8" t="s">
        <v>2998</v>
      </c>
      <c r="B2988" s="8" t="s">
        <v>12</v>
      </c>
      <c r="C2988" t="s">
        <v>2</v>
      </c>
    </row>
    <row r="2989" spans="1:3" x14ac:dyDescent="0.3">
      <c r="A2989" s="8" t="s">
        <v>2999</v>
      </c>
      <c r="B2989" s="8" t="s">
        <v>12</v>
      </c>
      <c r="C2989" t="s">
        <v>2</v>
      </c>
    </row>
    <row r="2990" spans="1:3" x14ac:dyDescent="0.3">
      <c r="A2990" s="8" t="s">
        <v>3000</v>
      </c>
      <c r="B2990" s="8" t="s">
        <v>12</v>
      </c>
      <c r="C2990" t="s">
        <v>2</v>
      </c>
    </row>
    <row r="2991" spans="1:3" x14ac:dyDescent="0.3">
      <c r="A2991" s="8" t="s">
        <v>3001</v>
      </c>
      <c r="B2991" s="8" t="s">
        <v>12</v>
      </c>
      <c r="C2991" t="s">
        <v>2</v>
      </c>
    </row>
    <row r="2992" spans="1:3" x14ac:dyDescent="0.3">
      <c r="A2992" s="8" t="s">
        <v>3002</v>
      </c>
      <c r="B2992" s="8" t="s">
        <v>12</v>
      </c>
      <c r="C2992" t="s">
        <v>2</v>
      </c>
    </row>
    <row r="2993" spans="1:3" x14ac:dyDescent="0.3">
      <c r="A2993" s="8" t="s">
        <v>3003</v>
      </c>
      <c r="B2993" s="8" t="s">
        <v>12</v>
      </c>
      <c r="C2993" t="s">
        <v>2</v>
      </c>
    </row>
    <row r="2994" spans="1:3" x14ac:dyDescent="0.3">
      <c r="A2994" s="8" t="s">
        <v>3004</v>
      </c>
      <c r="B2994" s="8" t="s">
        <v>12</v>
      </c>
      <c r="C2994" t="s">
        <v>2</v>
      </c>
    </row>
    <row r="2995" spans="1:3" x14ac:dyDescent="0.3">
      <c r="A2995" s="8" t="s">
        <v>3005</v>
      </c>
      <c r="B2995" s="8" t="s">
        <v>12</v>
      </c>
      <c r="C2995" t="s">
        <v>2</v>
      </c>
    </row>
    <row r="2996" spans="1:3" x14ac:dyDescent="0.3">
      <c r="A2996" s="8" t="s">
        <v>3006</v>
      </c>
      <c r="B2996" s="8" t="s">
        <v>12</v>
      </c>
      <c r="C2996" t="s">
        <v>2</v>
      </c>
    </row>
    <row r="2997" spans="1:3" x14ac:dyDescent="0.3">
      <c r="A2997" s="8" t="s">
        <v>3007</v>
      </c>
      <c r="B2997" s="8" t="s">
        <v>12</v>
      </c>
      <c r="C2997" t="s">
        <v>2</v>
      </c>
    </row>
    <row r="2998" spans="1:3" x14ac:dyDescent="0.3">
      <c r="A2998" s="8" t="s">
        <v>3008</v>
      </c>
      <c r="B2998" s="8" t="s">
        <v>12</v>
      </c>
      <c r="C2998" t="s">
        <v>2</v>
      </c>
    </row>
    <row r="2999" spans="1:3" x14ac:dyDescent="0.3">
      <c r="A2999" s="8" t="s">
        <v>3009</v>
      </c>
      <c r="B2999" s="8" t="s">
        <v>12</v>
      </c>
      <c r="C2999" t="s">
        <v>2</v>
      </c>
    </row>
    <row r="3000" spans="1:3" x14ac:dyDescent="0.3">
      <c r="A3000" s="8" t="s">
        <v>3010</v>
      </c>
      <c r="B3000" s="8" t="s">
        <v>12</v>
      </c>
      <c r="C3000" t="s">
        <v>3</v>
      </c>
    </row>
    <row r="3001" spans="1:3" x14ac:dyDescent="0.3">
      <c r="A3001" s="8" t="s">
        <v>3011</v>
      </c>
      <c r="B3001" s="8" t="s">
        <v>12</v>
      </c>
      <c r="C3001" t="s">
        <v>3</v>
      </c>
    </row>
    <row r="3002" spans="1:3" x14ac:dyDescent="0.3">
      <c r="A3002" s="8" t="s">
        <v>3012</v>
      </c>
      <c r="B3002" s="8" t="s">
        <v>12</v>
      </c>
      <c r="C3002" t="s">
        <v>3</v>
      </c>
    </row>
    <row r="3003" spans="1:3" x14ac:dyDescent="0.3">
      <c r="A3003" s="8" t="s">
        <v>3013</v>
      </c>
      <c r="B3003" s="8" t="s">
        <v>12</v>
      </c>
      <c r="C3003" t="s">
        <v>3</v>
      </c>
    </row>
    <row r="3004" spans="1:3" x14ac:dyDescent="0.3">
      <c r="A3004" s="8" t="s">
        <v>3014</v>
      </c>
      <c r="B3004" s="8" t="s">
        <v>12</v>
      </c>
      <c r="C3004" t="s">
        <v>3</v>
      </c>
    </row>
    <row r="3005" spans="1:3" x14ac:dyDescent="0.3">
      <c r="A3005" s="8" t="s">
        <v>3015</v>
      </c>
      <c r="B3005" s="8" t="s">
        <v>12</v>
      </c>
      <c r="C3005" t="s">
        <v>3</v>
      </c>
    </row>
    <row r="3006" spans="1:3" x14ac:dyDescent="0.3">
      <c r="A3006" s="8" t="s">
        <v>3016</v>
      </c>
      <c r="B3006" s="8" t="s">
        <v>12</v>
      </c>
      <c r="C3006" t="s">
        <v>3</v>
      </c>
    </row>
    <row r="3007" spans="1:3" x14ac:dyDescent="0.3">
      <c r="A3007" s="8" t="s">
        <v>3017</v>
      </c>
      <c r="B3007" s="8" t="s">
        <v>12</v>
      </c>
      <c r="C3007" t="s">
        <v>2</v>
      </c>
    </row>
    <row r="3008" spans="1:3" x14ac:dyDescent="0.3">
      <c r="A3008" s="8" t="s">
        <v>3018</v>
      </c>
      <c r="B3008" s="8" t="s">
        <v>12</v>
      </c>
      <c r="C3008" t="s">
        <v>2</v>
      </c>
    </row>
    <row r="3009" spans="1:3" x14ac:dyDescent="0.3">
      <c r="A3009" s="8" t="s">
        <v>3019</v>
      </c>
      <c r="B3009" s="8" t="s">
        <v>12</v>
      </c>
      <c r="C3009" t="s">
        <v>2</v>
      </c>
    </row>
    <row r="3010" spans="1:3" x14ac:dyDescent="0.3">
      <c r="A3010" s="8" t="s">
        <v>3020</v>
      </c>
      <c r="B3010" s="8" t="s">
        <v>12</v>
      </c>
      <c r="C3010" t="s">
        <v>2</v>
      </c>
    </row>
    <row r="3011" spans="1:3" x14ac:dyDescent="0.3">
      <c r="A3011" s="8" t="s">
        <v>3021</v>
      </c>
      <c r="B3011" s="8" t="s">
        <v>12</v>
      </c>
      <c r="C3011" t="s">
        <v>2</v>
      </c>
    </row>
    <row r="3012" spans="1:3" x14ac:dyDescent="0.3">
      <c r="A3012" s="8" t="s">
        <v>3022</v>
      </c>
      <c r="B3012" s="8" t="s">
        <v>12</v>
      </c>
      <c r="C3012" t="s">
        <v>3678</v>
      </c>
    </row>
    <row r="3013" spans="1:3" x14ac:dyDescent="0.3">
      <c r="A3013" s="8" t="s">
        <v>3023</v>
      </c>
      <c r="B3013" s="8" t="s">
        <v>12</v>
      </c>
      <c r="C3013" t="s">
        <v>3678</v>
      </c>
    </row>
    <row r="3014" spans="1:3" x14ac:dyDescent="0.3">
      <c r="A3014" s="8" t="s">
        <v>3024</v>
      </c>
      <c r="B3014" s="8" t="s">
        <v>12</v>
      </c>
      <c r="C3014" t="s">
        <v>3678</v>
      </c>
    </row>
    <row r="3015" spans="1:3" x14ac:dyDescent="0.3">
      <c r="A3015" s="8" t="s">
        <v>3025</v>
      </c>
      <c r="B3015" s="8" t="s">
        <v>12</v>
      </c>
      <c r="C3015" t="s">
        <v>3678</v>
      </c>
    </row>
    <row r="3016" spans="1:3" x14ac:dyDescent="0.3">
      <c r="A3016" s="8" t="s">
        <v>3026</v>
      </c>
      <c r="B3016" s="8" t="s">
        <v>12</v>
      </c>
      <c r="C3016" t="s">
        <v>2</v>
      </c>
    </row>
    <row r="3017" spans="1:3" x14ac:dyDescent="0.3">
      <c r="A3017" s="8" t="s">
        <v>3027</v>
      </c>
      <c r="B3017" s="8" t="s">
        <v>12</v>
      </c>
      <c r="C3017" t="s">
        <v>2</v>
      </c>
    </row>
    <row r="3018" spans="1:3" x14ac:dyDescent="0.3">
      <c r="A3018" s="8" t="s">
        <v>3028</v>
      </c>
      <c r="B3018" s="8" t="s">
        <v>12</v>
      </c>
      <c r="C3018" t="s">
        <v>2</v>
      </c>
    </row>
    <row r="3019" spans="1:3" x14ac:dyDescent="0.3">
      <c r="A3019" s="8" t="s">
        <v>3029</v>
      </c>
      <c r="B3019" s="8" t="s">
        <v>12</v>
      </c>
      <c r="C3019" t="s">
        <v>2</v>
      </c>
    </row>
    <row r="3020" spans="1:3" x14ac:dyDescent="0.3">
      <c r="A3020" s="8" t="s">
        <v>3030</v>
      </c>
      <c r="B3020" s="8" t="s">
        <v>12</v>
      </c>
      <c r="C3020" t="s">
        <v>2</v>
      </c>
    </row>
    <row r="3021" spans="1:3" x14ac:dyDescent="0.3">
      <c r="A3021" s="8" t="s">
        <v>3031</v>
      </c>
      <c r="B3021" s="8" t="s">
        <v>12</v>
      </c>
      <c r="C3021" t="s">
        <v>2</v>
      </c>
    </row>
    <row r="3022" spans="1:3" x14ac:dyDescent="0.3">
      <c r="A3022" s="8" t="s">
        <v>3032</v>
      </c>
      <c r="B3022" s="8" t="s">
        <v>12</v>
      </c>
      <c r="C3022" t="s">
        <v>2</v>
      </c>
    </row>
    <row r="3023" spans="1:3" x14ac:dyDescent="0.3">
      <c r="A3023" s="8" t="s">
        <v>3033</v>
      </c>
      <c r="B3023" s="8" t="s">
        <v>12</v>
      </c>
      <c r="C3023" t="s">
        <v>2</v>
      </c>
    </row>
    <row r="3024" spans="1:3" x14ac:dyDescent="0.3">
      <c r="A3024" s="8" t="s">
        <v>3034</v>
      </c>
      <c r="B3024" s="8" t="s">
        <v>12</v>
      </c>
      <c r="C3024" t="s">
        <v>3678</v>
      </c>
    </row>
    <row r="3025" spans="1:3" x14ac:dyDescent="0.3">
      <c r="A3025" s="8" t="s">
        <v>3035</v>
      </c>
      <c r="B3025" s="8" t="s">
        <v>12</v>
      </c>
      <c r="C3025" t="s">
        <v>3678</v>
      </c>
    </row>
    <row r="3026" spans="1:3" x14ac:dyDescent="0.3">
      <c r="A3026" s="8" t="s">
        <v>3036</v>
      </c>
      <c r="B3026" s="8" t="s">
        <v>12</v>
      </c>
      <c r="C3026" t="s">
        <v>3678</v>
      </c>
    </row>
    <row r="3027" spans="1:3" x14ac:dyDescent="0.3">
      <c r="A3027" s="8" t="s">
        <v>3037</v>
      </c>
      <c r="B3027" s="8" t="s">
        <v>12</v>
      </c>
      <c r="C3027" t="s">
        <v>3678</v>
      </c>
    </row>
    <row r="3028" spans="1:3" x14ac:dyDescent="0.3">
      <c r="A3028" s="8" t="s">
        <v>3038</v>
      </c>
      <c r="B3028" s="8" t="s">
        <v>12</v>
      </c>
      <c r="C3028" t="s">
        <v>3678</v>
      </c>
    </row>
    <row r="3029" spans="1:3" x14ac:dyDescent="0.3">
      <c r="A3029" s="8" t="s">
        <v>3039</v>
      </c>
      <c r="B3029" s="8" t="s">
        <v>12</v>
      </c>
      <c r="C3029" t="s">
        <v>3680</v>
      </c>
    </row>
    <row r="3030" spans="1:3" x14ac:dyDescent="0.3">
      <c r="A3030" s="8" t="s">
        <v>3040</v>
      </c>
      <c r="B3030" s="8" t="s">
        <v>12</v>
      </c>
      <c r="C3030" t="s">
        <v>2</v>
      </c>
    </row>
    <row r="3031" spans="1:3" x14ac:dyDescent="0.3">
      <c r="A3031" s="8" t="s">
        <v>3041</v>
      </c>
      <c r="B3031" s="8" t="s">
        <v>12</v>
      </c>
      <c r="C3031" t="s">
        <v>2</v>
      </c>
    </row>
    <row r="3032" spans="1:3" x14ac:dyDescent="0.3">
      <c r="A3032" s="8" t="s">
        <v>3042</v>
      </c>
      <c r="B3032" s="8" t="s">
        <v>12</v>
      </c>
      <c r="C3032" t="s">
        <v>2</v>
      </c>
    </row>
    <row r="3033" spans="1:3" x14ac:dyDescent="0.3">
      <c r="A3033" s="8" t="s">
        <v>3043</v>
      </c>
      <c r="B3033" s="8" t="s">
        <v>12</v>
      </c>
      <c r="C3033" t="s">
        <v>2</v>
      </c>
    </row>
    <row r="3034" spans="1:3" x14ac:dyDescent="0.3">
      <c r="A3034" s="8" t="s">
        <v>3044</v>
      </c>
      <c r="B3034" s="8" t="s">
        <v>12</v>
      </c>
      <c r="C3034" t="s">
        <v>2</v>
      </c>
    </row>
    <row r="3035" spans="1:3" x14ac:dyDescent="0.3">
      <c r="A3035" s="8" t="s">
        <v>3045</v>
      </c>
      <c r="B3035" s="8" t="s">
        <v>12</v>
      </c>
      <c r="C3035" t="s">
        <v>2</v>
      </c>
    </row>
    <row r="3036" spans="1:3" x14ac:dyDescent="0.3">
      <c r="A3036" s="8" t="s">
        <v>3046</v>
      </c>
      <c r="B3036" s="8" t="s">
        <v>12</v>
      </c>
      <c r="C3036" t="s">
        <v>2</v>
      </c>
    </row>
    <row r="3037" spans="1:3" x14ac:dyDescent="0.3">
      <c r="A3037" s="8" t="s">
        <v>3047</v>
      </c>
      <c r="B3037" s="8" t="s">
        <v>12</v>
      </c>
      <c r="C3037" t="s">
        <v>2</v>
      </c>
    </row>
    <row r="3038" spans="1:3" x14ac:dyDescent="0.3">
      <c r="A3038" s="8" t="s">
        <v>3048</v>
      </c>
      <c r="B3038" s="8" t="s">
        <v>12</v>
      </c>
      <c r="C3038" t="s">
        <v>2</v>
      </c>
    </row>
    <row r="3039" spans="1:3" x14ac:dyDescent="0.3">
      <c r="A3039" s="8" t="s">
        <v>3049</v>
      </c>
      <c r="B3039" s="8" t="s">
        <v>12</v>
      </c>
      <c r="C3039" t="s">
        <v>2</v>
      </c>
    </row>
    <row r="3040" spans="1:3" x14ac:dyDescent="0.3">
      <c r="A3040" s="8" t="s">
        <v>3050</v>
      </c>
      <c r="B3040" s="8" t="s">
        <v>12</v>
      </c>
      <c r="C3040" t="s">
        <v>2</v>
      </c>
    </row>
    <row r="3041" spans="1:3" x14ac:dyDescent="0.3">
      <c r="A3041" s="8" t="s">
        <v>3051</v>
      </c>
      <c r="B3041" s="8" t="s">
        <v>12</v>
      </c>
      <c r="C3041" t="s">
        <v>2</v>
      </c>
    </row>
    <row r="3042" spans="1:3" x14ac:dyDescent="0.3">
      <c r="A3042" s="8" t="s">
        <v>3052</v>
      </c>
      <c r="B3042" s="8" t="s">
        <v>12</v>
      </c>
      <c r="C3042" t="s">
        <v>2</v>
      </c>
    </row>
    <row r="3043" spans="1:3" x14ac:dyDescent="0.3">
      <c r="A3043" s="8" t="s">
        <v>3053</v>
      </c>
      <c r="B3043" s="8" t="s">
        <v>12</v>
      </c>
      <c r="C3043" t="s">
        <v>2</v>
      </c>
    </row>
    <row r="3044" spans="1:3" x14ac:dyDescent="0.3">
      <c r="A3044" s="8" t="s">
        <v>3054</v>
      </c>
      <c r="B3044" s="8" t="s">
        <v>12</v>
      </c>
      <c r="C3044" t="s">
        <v>2</v>
      </c>
    </row>
    <row r="3045" spans="1:3" x14ac:dyDescent="0.3">
      <c r="A3045" s="8" t="s">
        <v>3055</v>
      </c>
      <c r="B3045" s="8" t="s">
        <v>12</v>
      </c>
      <c r="C3045" t="s">
        <v>2</v>
      </c>
    </row>
    <row r="3046" spans="1:3" x14ac:dyDescent="0.3">
      <c r="A3046" s="8" t="s">
        <v>3056</v>
      </c>
      <c r="B3046" s="8" t="s">
        <v>12</v>
      </c>
      <c r="C3046" t="s">
        <v>2</v>
      </c>
    </row>
    <row r="3047" spans="1:3" x14ac:dyDescent="0.3">
      <c r="A3047" s="8" t="s">
        <v>3057</v>
      </c>
      <c r="B3047" s="8" t="s">
        <v>12</v>
      </c>
      <c r="C3047" t="s">
        <v>2</v>
      </c>
    </row>
    <row r="3048" spans="1:3" x14ac:dyDescent="0.3">
      <c r="A3048" s="8" t="s">
        <v>3058</v>
      </c>
      <c r="B3048" s="8" t="s">
        <v>12</v>
      </c>
      <c r="C3048" t="s">
        <v>2</v>
      </c>
    </row>
    <row r="3049" spans="1:3" x14ac:dyDescent="0.3">
      <c r="A3049" s="8" t="s">
        <v>3059</v>
      </c>
      <c r="B3049" s="8" t="s">
        <v>12</v>
      </c>
      <c r="C3049" t="s">
        <v>2</v>
      </c>
    </row>
    <row r="3050" spans="1:3" x14ac:dyDescent="0.3">
      <c r="A3050" s="8" t="s">
        <v>3060</v>
      </c>
      <c r="B3050" s="8" t="s">
        <v>12</v>
      </c>
      <c r="C3050" t="s">
        <v>2</v>
      </c>
    </row>
    <row r="3051" spans="1:3" x14ac:dyDescent="0.3">
      <c r="A3051" s="8" t="s">
        <v>3061</v>
      </c>
      <c r="B3051" s="8" t="s">
        <v>12</v>
      </c>
      <c r="C3051" t="s">
        <v>2</v>
      </c>
    </row>
    <row r="3052" spans="1:3" x14ac:dyDescent="0.3">
      <c r="A3052" s="8" t="s">
        <v>3062</v>
      </c>
      <c r="B3052" s="8" t="s">
        <v>12</v>
      </c>
      <c r="C3052" t="s">
        <v>2</v>
      </c>
    </row>
    <row r="3053" spans="1:3" x14ac:dyDescent="0.3">
      <c r="A3053" s="8" t="s">
        <v>3063</v>
      </c>
      <c r="B3053" s="8" t="s">
        <v>12</v>
      </c>
      <c r="C3053" t="s">
        <v>2</v>
      </c>
    </row>
    <row r="3054" spans="1:3" x14ac:dyDescent="0.3">
      <c r="A3054" s="8" t="s">
        <v>3064</v>
      </c>
      <c r="B3054" s="8" t="s">
        <v>12</v>
      </c>
      <c r="C3054" t="s">
        <v>2</v>
      </c>
    </row>
    <row r="3055" spans="1:3" x14ac:dyDescent="0.3">
      <c r="A3055" s="8" t="s">
        <v>3065</v>
      </c>
      <c r="B3055" s="8" t="s">
        <v>12</v>
      </c>
      <c r="C3055" t="s">
        <v>2</v>
      </c>
    </row>
    <row r="3056" spans="1:3" x14ac:dyDescent="0.3">
      <c r="A3056" s="8" t="s">
        <v>3066</v>
      </c>
      <c r="B3056" s="8" t="s">
        <v>12</v>
      </c>
      <c r="C3056" t="s">
        <v>2</v>
      </c>
    </row>
    <row r="3057" spans="1:3" x14ac:dyDescent="0.3">
      <c r="A3057" s="8" t="s">
        <v>3067</v>
      </c>
      <c r="B3057" s="8" t="s">
        <v>12</v>
      </c>
      <c r="C3057" t="s">
        <v>2</v>
      </c>
    </row>
    <row r="3058" spans="1:3" x14ac:dyDescent="0.3">
      <c r="A3058" s="8" t="s">
        <v>3068</v>
      </c>
      <c r="B3058" s="8" t="s">
        <v>12</v>
      </c>
      <c r="C3058" t="s">
        <v>2</v>
      </c>
    </row>
    <row r="3059" spans="1:3" x14ac:dyDescent="0.3">
      <c r="A3059" s="8" t="s">
        <v>3069</v>
      </c>
      <c r="B3059" s="8" t="s">
        <v>12</v>
      </c>
      <c r="C3059" t="s">
        <v>2</v>
      </c>
    </row>
    <row r="3060" spans="1:3" x14ac:dyDescent="0.3">
      <c r="A3060" s="8" t="s">
        <v>3070</v>
      </c>
      <c r="B3060" s="8" t="s">
        <v>12</v>
      </c>
      <c r="C3060" t="s">
        <v>2</v>
      </c>
    </row>
    <row r="3061" spans="1:3" x14ac:dyDescent="0.3">
      <c r="A3061" s="8" t="s">
        <v>3071</v>
      </c>
      <c r="B3061" s="8" t="s">
        <v>12</v>
      </c>
      <c r="C3061" t="s">
        <v>2</v>
      </c>
    </row>
    <row r="3062" spans="1:3" x14ac:dyDescent="0.3">
      <c r="A3062" s="8" t="s">
        <v>3072</v>
      </c>
      <c r="B3062" s="8" t="s">
        <v>12</v>
      </c>
      <c r="C3062" t="s">
        <v>2</v>
      </c>
    </row>
    <row r="3063" spans="1:3" x14ac:dyDescent="0.3">
      <c r="A3063" s="8" t="s">
        <v>3073</v>
      </c>
      <c r="B3063" s="8" t="s">
        <v>12</v>
      </c>
      <c r="C3063" t="s">
        <v>2</v>
      </c>
    </row>
    <row r="3064" spans="1:3" x14ac:dyDescent="0.3">
      <c r="A3064" s="8" t="s">
        <v>3074</v>
      </c>
      <c r="B3064" s="8" t="s">
        <v>12</v>
      </c>
      <c r="C3064" t="s">
        <v>2</v>
      </c>
    </row>
    <row r="3065" spans="1:3" x14ac:dyDescent="0.3">
      <c r="A3065" s="8" t="s">
        <v>3075</v>
      </c>
      <c r="B3065" s="8" t="s">
        <v>12</v>
      </c>
      <c r="C3065" t="s">
        <v>2</v>
      </c>
    </row>
    <row r="3066" spans="1:3" x14ac:dyDescent="0.3">
      <c r="A3066" s="8" t="s">
        <v>3076</v>
      </c>
      <c r="B3066" s="8" t="s">
        <v>12</v>
      </c>
      <c r="C3066" t="s">
        <v>2</v>
      </c>
    </row>
    <row r="3067" spans="1:3" x14ac:dyDescent="0.3">
      <c r="A3067" s="8" t="s">
        <v>3077</v>
      </c>
      <c r="B3067" s="8" t="s">
        <v>12</v>
      </c>
      <c r="C3067" t="s">
        <v>2</v>
      </c>
    </row>
    <row r="3068" spans="1:3" x14ac:dyDescent="0.3">
      <c r="A3068" s="8" t="s">
        <v>3078</v>
      </c>
      <c r="B3068" s="8" t="s">
        <v>12</v>
      </c>
      <c r="C3068" t="s">
        <v>2</v>
      </c>
    </row>
    <row r="3069" spans="1:3" x14ac:dyDescent="0.3">
      <c r="A3069" s="8" t="s">
        <v>3079</v>
      </c>
      <c r="B3069" s="8" t="s">
        <v>12</v>
      </c>
      <c r="C3069" t="s">
        <v>2</v>
      </c>
    </row>
    <row r="3070" spans="1:3" x14ac:dyDescent="0.3">
      <c r="A3070" s="8" t="s">
        <v>3080</v>
      </c>
      <c r="B3070" s="8" t="s">
        <v>12</v>
      </c>
      <c r="C3070" t="s">
        <v>2</v>
      </c>
    </row>
    <row r="3071" spans="1:3" x14ac:dyDescent="0.3">
      <c r="A3071" s="8" t="s">
        <v>3081</v>
      </c>
      <c r="B3071" s="8" t="s">
        <v>12</v>
      </c>
      <c r="C3071" t="s">
        <v>2</v>
      </c>
    </row>
    <row r="3072" spans="1:3" x14ac:dyDescent="0.3">
      <c r="A3072" s="8" t="s">
        <v>3082</v>
      </c>
      <c r="B3072" s="8" t="s">
        <v>12</v>
      </c>
      <c r="C3072" t="s">
        <v>2</v>
      </c>
    </row>
    <row r="3073" spans="1:3" x14ac:dyDescent="0.3">
      <c r="A3073" s="8" t="s">
        <v>3083</v>
      </c>
      <c r="B3073" s="8" t="s">
        <v>12</v>
      </c>
      <c r="C3073" t="s">
        <v>2</v>
      </c>
    </row>
    <row r="3074" spans="1:3" x14ac:dyDescent="0.3">
      <c r="A3074" s="8" t="s">
        <v>3084</v>
      </c>
      <c r="B3074" s="8" t="s">
        <v>12</v>
      </c>
      <c r="C3074" t="s">
        <v>2</v>
      </c>
    </row>
    <row r="3075" spans="1:3" x14ac:dyDescent="0.3">
      <c r="A3075" s="8" t="s">
        <v>3085</v>
      </c>
      <c r="B3075" s="8" t="s">
        <v>12</v>
      </c>
      <c r="C3075" t="s">
        <v>2</v>
      </c>
    </row>
    <row r="3076" spans="1:3" x14ac:dyDescent="0.3">
      <c r="A3076" s="8" t="s">
        <v>3086</v>
      </c>
      <c r="B3076" s="8" t="s">
        <v>12</v>
      </c>
      <c r="C3076" t="s">
        <v>2</v>
      </c>
    </row>
    <row r="3077" spans="1:3" x14ac:dyDescent="0.3">
      <c r="A3077" s="8" t="s">
        <v>3087</v>
      </c>
      <c r="B3077" s="8" t="s">
        <v>12</v>
      </c>
      <c r="C3077" t="s">
        <v>2</v>
      </c>
    </row>
    <row r="3078" spans="1:3" x14ac:dyDescent="0.3">
      <c r="A3078" s="8" t="s">
        <v>3088</v>
      </c>
      <c r="B3078" s="8" t="s">
        <v>12</v>
      </c>
      <c r="C3078" t="s">
        <v>2</v>
      </c>
    </row>
    <row r="3079" spans="1:3" x14ac:dyDescent="0.3">
      <c r="A3079" s="8" t="s">
        <v>3089</v>
      </c>
      <c r="B3079" s="8" t="s">
        <v>12</v>
      </c>
      <c r="C3079" t="s">
        <v>2</v>
      </c>
    </row>
    <row r="3080" spans="1:3" x14ac:dyDescent="0.3">
      <c r="A3080" s="8" t="s">
        <v>3090</v>
      </c>
      <c r="B3080" s="8" t="s">
        <v>12</v>
      </c>
      <c r="C3080" t="s">
        <v>2</v>
      </c>
    </row>
    <row r="3081" spans="1:3" x14ac:dyDescent="0.3">
      <c r="A3081" s="8" t="s">
        <v>3091</v>
      </c>
      <c r="B3081" s="8" t="s">
        <v>12</v>
      </c>
      <c r="C3081" t="s">
        <v>2</v>
      </c>
    </row>
    <row r="3082" spans="1:3" x14ac:dyDescent="0.3">
      <c r="A3082" s="8" t="s">
        <v>3092</v>
      </c>
      <c r="B3082" s="8" t="s">
        <v>12</v>
      </c>
      <c r="C3082" t="s">
        <v>2</v>
      </c>
    </row>
    <row r="3083" spans="1:3" x14ac:dyDescent="0.3">
      <c r="A3083" s="8" t="s">
        <v>3093</v>
      </c>
      <c r="B3083" s="8" t="s">
        <v>12</v>
      </c>
      <c r="C3083" t="s">
        <v>2</v>
      </c>
    </row>
    <row r="3084" spans="1:3" x14ac:dyDescent="0.3">
      <c r="A3084" s="8" t="s">
        <v>3094</v>
      </c>
      <c r="B3084" s="8" t="s">
        <v>12</v>
      </c>
      <c r="C3084" t="s">
        <v>2</v>
      </c>
    </row>
    <row r="3085" spans="1:3" x14ac:dyDescent="0.3">
      <c r="A3085" s="8" t="s">
        <v>3095</v>
      </c>
      <c r="B3085" s="8" t="s">
        <v>12</v>
      </c>
      <c r="C3085" t="s">
        <v>2</v>
      </c>
    </row>
    <row r="3086" spans="1:3" x14ac:dyDescent="0.3">
      <c r="A3086" s="8" t="s">
        <v>3096</v>
      </c>
      <c r="B3086" s="8" t="s">
        <v>12</v>
      </c>
      <c r="C3086" t="s">
        <v>2</v>
      </c>
    </row>
    <row r="3087" spans="1:3" x14ac:dyDescent="0.3">
      <c r="A3087" s="8" t="s">
        <v>3097</v>
      </c>
      <c r="B3087" s="8" t="s">
        <v>12</v>
      </c>
      <c r="C3087" t="s">
        <v>2</v>
      </c>
    </row>
    <row r="3088" spans="1:3" x14ac:dyDescent="0.3">
      <c r="A3088" s="8" t="s">
        <v>3098</v>
      </c>
      <c r="B3088" s="8" t="s">
        <v>12</v>
      </c>
      <c r="C3088" t="s">
        <v>2</v>
      </c>
    </row>
    <row r="3089" spans="1:3" x14ac:dyDescent="0.3">
      <c r="A3089" s="8" t="s">
        <v>3099</v>
      </c>
      <c r="B3089" s="8" t="s">
        <v>12</v>
      </c>
      <c r="C3089" t="s">
        <v>2</v>
      </c>
    </row>
    <row r="3090" spans="1:3" x14ac:dyDescent="0.3">
      <c r="A3090" s="8" t="s">
        <v>3100</v>
      </c>
      <c r="B3090" s="8" t="s">
        <v>12</v>
      </c>
      <c r="C3090" t="s">
        <v>2</v>
      </c>
    </row>
    <row r="3091" spans="1:3" x14ac:dyDescent="0.3">
      <c r="A3091" s="8" t="s">
        <v>3101</v>
      </c>
      <c r="B3091" s="8" t="s">
        <v>12</v>
      </c>
      <c r="C3091" t="s">
        <v>2</v>
      </c>
    </row>
    <row r="3092" spans="1:3" x14ac:dyDescent="0.3">
      <c r="A3092" s="8" t="s">
        <v>3102</v>
      </c>
      <c r="B3092" s="8" t="s">
        <v>12</v>
      </c>
      <c r="C3092" t="s">
        <v>2</v>
      </c>
    </row>
    <row r="3093" spans="1:3" x14ac:dyDescent="0.3">
      <c r="A3093" s="8" t="s">
        <v>3103</v>
      </c>
      <c r="B3093" s="8" t="s">
        <v>12</v>
      </c>
      <c r="C3093" t="s">
        <v>2</v>
      </c>
    </row>
    <row r="3094" spans="1:3" x14ac:dyDescent="0.3">
      <c r="A3094" s="8" t="s">
        <v>3104</v>
      </c>
      <c r="B3094" s="8" t="s">
        <v>12</v>
      </c>
      <c r="C3094" t="s">
        <v>2</v>
      </c>
    </row>
    <row r="3095" spans="1:3" x14ac:dyDescent="0.3">
      <c r="A3095" s="8" t="s">
        <v>3105</v>
      </c>
      <c r="B3095" s="8" t="s">
        <v>12</v>
      </c>
      <c r="C3095" t="s">
        <v>2</v>
      </c>
    </row>
    <row r="3096" spans="1:3" x14ac:dyDescent="0.3">
      <c r="A3096" s="8" t="s">
        <v>3106</v>
      </c>
      <c r="B3096" s="8" t="s">
        <v>12</v>
      </c>
      <c r="C3096" t="s">
        <v>2</v>
      </c>
    </row>
    <row r="3097" spans="1:3" x14ac:dyDescent="0.3">
      <c r="A3097" s="8" t="s">
        <v>3107</v>
      </c>
      <c r="B3097" s="8" t="s">
        <v>12</v>
      </c>
      <c r="C3097" t="s">
        <v>2</v>
      </c>
    </row>
    <row r="3098" spans="1:3" x14ac:dyDescent="0.3">
      <c r="A3098" s="8" t="s">
        <v>3108</v>
      </c>
      <c r="B3098" s="8" t="s">
        <v>12</v>
      </c>
      <c r="C3098" t="s">
        <v>2</v>
      </c>
    </row>
    <row r="3099" spans="1:3" x14ac:dyDescent="0.3">
      <c r="A3099" s="8" t="s">
        <v>3109</v>
      </c>
      <c r="B3099" s="8" t="s">
        <v>12</v>
      </c>
      <c r="C3099" t="s">
        <v>2</v>
      </c>
    </row>
    <row r="3100" spans="1:3" x14ac:dyDescent="0.3">
      <c r="A3100" s="8" t="s">
        <v>3110</v>
      </c>
      <c r="B3100" s="8" t="s">
        <v>12</v>
      </c>
      <c r="C3100" t="s">
        <v>3</v>
      </c>
    </row>
    <row r="3101" spans="1:3" x14ac:dyDescent="0.3">
      <c r="A3101" s="8" t="s">
        <v>3111</v>
      </c>
      <c r="B3101" s="8" t="s">
        <v>12</v>
      </c>
      <c r="C3101" t="s">
        <v>3</v>
      </c>
    </row>
    <row r="3102" spans="1:3" x14ac:dyDescent="0.3">
      <c r="A3102" s="8" t="s">
        <v>3112</v>
      </c>
      <c r="B3102" s="8" t="s">
        <v>12</v>
      </c>
      <c r="C3102" t="s">
        <v>3</v>
      </c>
    </row>
    <row r="3103" spans="1:3" x14ac:dyDescent="0.3">
      <c r="A3103" s="8" t="s">
        <v>3113</v>
      </c>
      <c r="B3103" s="8" t="s">
        <v>12</v>
      </c>
      <c r="C3103" t="s">
        <v>3</v>
      </c>
    </row>
    <row r="3104" spans="1:3" x14ac:dyDescent="0.3">
      <c r="A3104" s="8" t="s">
        <v>3114</v>
      </c>
      <c r="B3104" s="8" t="s">
        <v>12</v>
      </c>
      <c r="C3104" t="s">
        <v>3</v>
      </c>
    </row>
    <row r="3105" spans="1:3" x14ac:dyDescent="0.3">
      <c r="A3105" s="8" t="s">
        <v>3115</v>
      </c>
      <c r="B3105" s="8" t="s">
        <v>12</v>
      </c>
      <c r="C3105" t="s">
        <v>3</v>
      </c>
    </row>
    <row r="3106" spans="1:3" x14ac:dyDescent="0.3">
      <c r="A3106" s="8" t="s">
        <v>3116</v>
      </c>
      <c r="B3106" s="8" t="s">
        <v>12</v>
      </c>
      <c r="C3106" t="s">
        <v>3</v>
      </c>
    </row>
    <row r="3107" spans="1:3" x14ac:dyDescent="0.3">
      <c r="A3107" s="8" t="s">
        <v>3117</v>
      </c>
      <c r="B3107" s="8" t="s">
        <v>12</v>
      </c>
      <c r="C3107" t="s">
        <v>3</v>
      </c>
    </row>
    <row r="3108" spans="1:3" x14ac:dyDescent="0.3">
      <c r="A3108" s="8" t="s">
        <v>3118</v>
      </c>
      <c r="B3108" s="8" t="s">
        <v>12</v>
      </c>
      <c r="C3108" t="s">
        <v>3</v>
      </c>
    </row>
    <row r="3109" spans="1:3" x14ac:dyDescent="0.3">
      <c r="A3109" s="8" t="s">
        <v>3119</v>
      </c>
      <c r="B3109" s="8" t="s">
        <v>12</v>
      </c>
      <c r="C3109" t="s">
        <v>2</v>
      </c>
    </row>
    <row r="3110" spans="1:3" x14ac:dyDescent="0.3">
      <c r="A3110" s="8" t="s">
        <v>3120</v>
      </c>
      <c r="B3110" s="8" t="s">
        <v>12</v>
      </c>
      <c r="C3110" t="s">
        <v>2</v>
      </c>
    </row>
    <row r="3111" spans="1:3" x14ac:dyDescent="0.3">
      <c r="A3111" s="8" t="s">
        <v>3121</v>
      </c>
      <c r="B3111" s="8" t="s">
        <v>12</v>
      </c>
      <c r="C3111" t="s">
        <v>2</v>
      </c>
    </row>
    <row r="3112" spans="1:3" x14ac:dyDescent="0.3">
      <c r="A3112" s="8" t="s">
        <v>3122</v>
      </c>
      <c r="B3112" s="8" t="s">
        <v>12</v>
      </c>
      <c r="C3112" t="s">
        <v>2</v>
      </c>
    </row>
    <row r="3113" spans="1:3" x14ac:dyDescent="0.3">
      <c r="A3113" s="8" t="s">
        <v>3123</v>
      </c>
      <c r="B3113" s="8" t="s">
        <v>12</v>
      </c>
      <c r="C3113" t="s">
        <v>2</v>
      </c>
    </row>
    <row r="3114" spans="1:3" x14ac:dyDescent="0.3">
      <c r="A3114" s="8" t="s">
        <v>3124</v>
      </c>
      <c r="B3114" s="8" t="s">
        <v>12</v>
      </c>
      <c r="C3114" t="s">
        <v>2</v>
      </c>
    </row>
    <row r="3115" spans="1:3" x14ac:dyDescent="0.3">
      <c r="A3115" s="8" t="s">
        <v>3125</v>
      </c>
      <c r="B3115" s="8" t="s">
        <v>12</v>
      </c>
      <c r="C3115" t="s">
        <v>2</v>
      </c>
    </row>
    <row r="3116" spans="1:3" x14ac:dyDescent="0.3">
      <c r="A3116" s="8" t="s">
        <v>3126</v>
      </c>
      <c r="B3116" s="8" t="s">
        <v>12</v>
      </c>
      <c r="C3116" t="s">
        <v>2</v>
      </c>
    </row>
    <row r="3117" spans="1:3" x14ac:dyDescent="0.3">
      <c r="A3117" s="8" t="s">
        <v>3127</v>
      </c>
      <c r="B3117" s="8" t="s">
        <v>12</v>
      </c>
      <c r="C3117" t="s">
        <v>2</v>
      </c>
    </row>
    <row r="3118" spans="1:3" x14ac:dyDescent="0.3">
      <c r="A3118" s="8" t="s">
        <v>3128</v>
      </c>
      <c r="B3118" s="8" t="s">
        <v>12</v>
      </c>
      <c r="C3118" t="s">
        <v>2</v>
      </c>
    </row>
    <row r="3119" spans="1:3" x14ac:dyDescent="0.3">
      <c r="A3119" s="8" t="s">
        <v>3129</v>
      </c>
      <c r="B3119" s="8" t="s">
        <v>12</v>
      </c>
      <c r="C3119" t="s">
        <v>2</v>
      </c>
    </row>
    <row r="3120" spans="1:3" x14ac:dyDescent="0.3">
      <c r="A3120" s="8" t="s">
        <v>3130</v>
      </c>
      <c r="B3120" s="8" t="s">
        <v>12</v>
      </c>
      <c r="C3120" t="s">
        <v>2</v>
      </c>
    </row>
    <row r="3121" spans="1:3" x14ac:dyDescent="0.3">
      <c r="A3121" s="8" t="s">
        <v>3131</v>
      </c>
      <c r="B3121" s="8" t="s">
        <v>12</v>
      </c>
      <c r="C3121" t="s">
        <v>2</v>
      </c>
    </row>
    <row r="3122" spans="1:3" x14ac:dyDescent="0.3">
      <c r="A3122" s="8" t="s">
        <v>3132</v>
      </c>
      <c r="B3122" s="8" t="s">
        <v>12</v>
      </c>
      <c r="C3122" t="s">
        <v>2</v>
      </c>
    </row>
    <row r="3123" spans="1:3" x14ac:dyDescent="0.3">
      <c r="A3123" s="8" t="s">
        <v>3133</v>
      </c>
      <c r="B3123" s="8" t="s">
        <v>12</v>
      </c>
      <c r="C3123" t="s">
        <v>2</v>
      </c>
    </row>
    <row r="3124" spans="1:3" x14ac:dyDescent="0.3">
      <c r="A3124" s="8" t="s">
        <v>3134</v>
      </c>
      <c r="B3124" s="8" t="s">
        <v>12</v>
      </c>
      <c r="C3124" t="s">
        <v>2</v>
      </c>
    </row>
    <row r="3125" spans="1:3" x14ac:dyDescent="0.3">
      <c r="A3125" s="8" t="s">
        <v>3135</v>
      </c>
      <c r="B3125" s="8" t="s">
        <v>12</v>
      </c>
      <c r="C3125" t="s">
        <v>2</v>
      </c>
    </row>
    <row r="3126" spans="1:3" x14ac:dyDescent="0.3">
      <c r="A3126" s="8" t="s">
        <v>3136</v>
      </c>
      <c r="B3126" s="8" t="s">
        <v>12</v>
      </c>
      <c r="C3126" t="s">
        <v>2</v>
      </c>
    </row>
    <row r="3127" spans="1:3" x14ac:dyDescent="0.3">
      <c r="A3127" s="8" t="s">
        <v>3137</v>
      </c>
      <c r="B3127" s="8" t="s">
        <v>12</v>
      </c>
      <c r="C3127" t="s">
        <v>2</v>
      </c>
    </row>
    <row r="3128" spans="1:3" x14ac:dyDescent="0.3">
      <c r="A3128" s="8" t="s">
        <v>3138</v>
      </c>
      <c r="B3128" s="8" t="s">
        <v>12</v>
      </c>
      <c r="C3128" t="s">
        <v>2</v>
      </c>
    </row>
    <row r="3129" spans="1:3" x14ac:dyDescent="0.3">
      <c r="A3129" s="8" t="s">
        <v>3139</v>
      </c>
      <c r="B3129" s="8" t="s">
        <v>12</v>
      </c>
      <c r="C3129" t="s">
        <v>2</v>
      </c>
    </row>
    <row r="3130" spans="1:3" x14ac:dyDescent="0.3">
      <c r="A3130" s="8" t="s">
        <v>3140</v>
      </c>
      <c r="B3130" s="8" t="s">
        <v>12</v>
      </c>
      <c r="C3130" t="s">
        <v>2</v>
      </c>
    </row>
    <row r="3131" spans="1:3" x14ac:dyDescent="0.3">
      <c r="A3131" s="8" t="s">
        <v>3141</v>
      </c>
      <c r="B3131" s="8" t="s">
        <v>12</v>
      </c>
      <c r="C3131" t="s">
        <v>2</v>
      </c>
    </row>
    <row r="3132" spans="1:3" x14ac:dyDescent="0.3">
      <c r="A3132" s="8" t="s">
        <v>3142</v>
      </c>
      <c r="B3132" s="8" t="s">
        <v>12</v>
      </c>
      <c r="C3132" t="s">
        <v>2</v>
      </c>
    </row>
    <row r="3133" spans="1:3" x14ac:dyDescent="0.3">
      <c r="A3133" s="8" t="s">
        <v>3143</v>
      </c>
      <c r="B3133" s="8" t="s">
        <v>12</v>
      </c>
      <c r="C3133" t="s">
        <v>2</v>
      </c>
    </row>
    <row r="3134" spans="1:3" x14ac:dyDescent="0.3">
      <c r="A3134" s="8" t="s">
        <v>3144</v>
      </c>
      <c r="B3134" s="8" t="s">
        <v>12</v>
      </c>
      <c r="C3134" t="s">
        <v>2</v>
      </c>
    </row>
    <row r="3135" spans="1:3" x14ac:dyDescent="0.3">
      <c r="A3135" s="8" t="s">
        <v>3145</v>
      </c>
      <c r="B3135" s="8" t="s">
        <v>12</v>
      </c>
      <c r="C3135" t="s">
        <v>2</v>
      </c>
    </row>
    <row r="3136" spans="1:3" x14ac:dyDescent="0.3">
      <c r="A3136" s="8" t="s">
        <v>3146</v>
      </c>
      <c r="B3136" s="8" t="s">
        <v>12</v>
      </c>
      <c r="C3136" t="s">
        <v>2</v>
      </c>
    </row>
    <row r="3137" spans="1:3" x14ac:dyDescent="0.3">
      <c r="A3137" s="8" t="s">
        <v>3147</v>
      </c>
      <c r="B3137" s="8" t="s">
        <v>12</v>
      </c>
      <c r="C3137" t="s">
        <v>2</v>
      </c>
    </row>
    <row r="3138" spans="1:3" x14ac:dyDescent="0.3">
      <c r="A3138" s="8" t="s">
        <v>3148</v>
      </c>
      <c r="B3138" s="8" t="s">
        <v>12</v>
      </c>
      <c r="C3138" t="s">
        <v>2</v>
      </c>
    </row>
    <row r="3139" spans="1:3" x14ac:dyDescent="0.3">
      <c r="A3139" s="8" t="s">
        <v>3149</v>
      </c>
      <c r="B3139" s="8" t="s">
        <v>12</v>
      </c>
      <c r="C3139" t="s">
        <v>2</v>
      </c>
    </row>
    <row r="3140" spans="1:3" x14ac:dyDescent="0.3">
      <c r="A3140" s="8" t="s">
        <v>3150</v>
      </c>
      <c r="B3140" s="8" t="s">
        <v>12</v>
      </c>
      <c r="C3140" t="s">
        <v>2</v>
      </c>
    </row>
    <row r="3141" spans="1:3" x14ac:dyDescent="0.3">
      <c r="A3141" s="8" t="s">
        <v>3151</v>
      </c>
      <c r="B3141" s="8" t="s">
        <v>12</v>
      </c>
      <c r="C3141" t="s">
        <v>2</v>
      </c>
    </row>
    <row r="3142" spans="1:3" x14ac:dyDescent="0.3">
      <c r="A3142" s="8" t="s">
        <v>3152</v>
      </c>
      <c r="B3142" s="8" t="s">
        <v>12</v>
      </c>
      <c r="C3142" t="s">
        <v>2</v>
      </c>
    </row>
    <row r="3143" spans="1:3" x14ac:dyDescent="0.3">
      <c r="A3143" s="8" t="s">
        <v>3153</v>
      </c>
      <c r="B3143" s="8" t="s">
        <v>12</v>
      </c>
      <c r="C3143" t="s">
        <v>2</v>
      </c>
    </row>
    <row r="3144" spans="1:3" x14ac:dyDescent="0.3">
      <c r="A3144" s="8" t="s">
        <v>3154</v>
      </c>
      <c r="B3144" s="8" t="s">
        <v>12</v>
      </c>
      <c r="C3144" t="s">
        <v>2</v>
      </c>
    </row>
    <row r="3145" spans="1:3" x14ac:dyDescent="0.3">
      <c r="A3145" s="8" t="s">
        <v>3155</v>
      </c>
      <c r="B3145" s="8" t="s">
        <v>12</v>
      </c>
      <c r="C3145" t="s">
        <v>2</v>
      </c>
    </row>
    <row r="3146" spans="1:3" x14ac:dyDescent="0.3">
      <c r="A3146" s="8" t="s">
        <v>3156</v>
      </c>
      <c r="B3146" s="8" t="s">
        <v>12</v>
      </c>
      <c r="C3146" t="s">
        <v>2</v>
      </c>
    </row>
    <row r="3147" spans="1:3" x14ac:dyDescent="0.3">
      <c r="A3147" s="8" t="s">
        <v>3157</v>
      </c>
      <c r="B3147" s="8" t="s">
        <v>12</v>
      </c>
      <c r="C3147" t="s">
        <v>2</v>
      </c>
    </row>
    <row r="3148" spans="1:3" x14ac:dyDescent="0.3">
      <c r="A3148" s="8" t="s">
        <v>3158</v>
      </c>
      <c r="B3148" s="8" t="s">
        <v>12</v>
      </c>
      <c r="C3148" t="s">
        <v>2</v>
      </c>
    </row>
    <row r="3149" spans="1:3" x14ac:dyDescent="0.3">
      <c r="A3149" s="8" t="s">
        <v>3159</v>
      </c>
      <c r="B3149" s="8" t="s">
        <v>12</v>
      </c>
      <c r="C3149" t="s">
        <v>2</v>
      </c>
    </row>
    <row r="3150" spans="1:3" x14ac:dyDescent="0.3">
      <c r="A3150" s="8" t="s">
        <v>3160</v>
      </c>
      <c r="B3150" s="8" t="s">
        <v>12</v>
      </c>
      <c r="C3150" t="s">
        <v>2</v>
      </c>
    </row>
    <row r="3151" spans="1:3" x14ac:dyDescent="0.3">
      <c r="A3151" s="8" t="s">
        <v>3161</v>
      </c>
      <c r="B3151" s="8" t="s">
        <v>12</v>
      </c>
      <c r="C3151" t="s">
        <v>2</v>
      </c>
    </row>
    <row r="3152" spans="1:3" x14ac:dyDescent="0.3">
      <c r="A3152" s="8" t="s">
        <v>3162</v>
      </c>
      <c r="B3152" s="8" t="s">
        <v>12</v>
      </c>
      <c r="C3152" t="s">
        <v>2</v>
      </c>
    </row>
    <row r="3153" spans="1:3" x14ac:dyDescent="0.3">
      <c r="A3153" s="8" t="s">
        <v>3163</v>
      </c>
      <c r="B3153" s="8" t="s">
        <v>12</v>
      </c>
      <c r="C3153" t="s">
        <v>2</v>
      </c>
    </row>
    <row r="3154" spans="1:3" x14ac:dyDescent="0.3">
      <c r="A3154" s="8" t="s">
        <v>3164</v>
      </c>
      <c r="B3154" s="8" t="s">
        <v>12</v>
      </c>
      <c r="C3154" t="s">
        <v>2</v>
      </c>
    </row>
    <row r="3155" spans="1:3" x14ac:dyDescent="0.3">
      <c r="A3155" s="8" t="s">
        <v>3165</v>
      </c>
      <c r="B3155" s="8" t="s">
        <v>12</v>
      </c>
      <c r="C3155" t="s">
        <v>2</v>
      </c>
    </row>
    <row r="3156" spans="1:3" x14ac:dyDescent="0.3">
      <c r="A3156" s="8" t="s">
        <v>3166</v>
      </c>
      <c r="B3156" s="8" t="s">
        <v>12</v>
      </c>
      <c r="C3156" t="s">
        <v>2</v>
      </c>
    </row>
    <row r="3157" spans="1:3" x14ac:dyDescent="0.3">
      <c r="A3157" s="8" t="s">
        <v>3167</v>
      </c>
      <c r="B3157" s="8" t="s">
        <v>12</v>
      </c>
      <c r="C3157" t="s">
        <v>2</v>
      </c>
    </row>
    <row r="3158" spans="1:3" x14ac:dyDescent="0.3">
      <c r="A3158" s="8" t="s">
        <v>3168</v>
      </c>
      <c r="B3158" s="8" t="s">
        <v>12</v>
      </c>
      <c r="C3158" t="s">
        <v>2</v>
      </c>
    </row>
    <row r="3159" spans="1:3" x14ac:dyDescent="0.3">
      <c r="A3159" s="8" t="s">
        <v>3169</v>
      </c>
      <c r="B3159" s="8" t="s">
        <v>12</v>
      </c>
      <c r="C3159" t="s">
        <v>2</v>
      </c>
    </row>
    <row r="3160" spans="1:3" x14ac:dyDescent="0.3">
      <c r="A3160" s="8" t="s">
        <v>3170</v>
      </c>
      <c r="B3160" s="8" t="s">
        <v>12</v>
      </c>
      <c r="C3160" t="s">
        <v>2</v>
      </c>
    </row>
    <row r="3161" spans="1:3" x14ac:dyDescent="0.3">
      <c r="A3161" s="8" t="s">
        <v>3171</v>
      </c>
      <c r="B3161" s="8" t="s">
        <v>12</v>
      </c>
      <c r="C3161" t="s">
        <v>2</v>
      </c>
    </row>
    <row r="3162" spans="1:3" x14ac:dyDescent="0.3">
      <c r="A3162" s="8" t="s">
        <v>3172</v>
      </c>
      <c r="B3162" s="8" t="s">
        <v>12</v>
      </c>
      <c r="C3162" t="s">
        <v>2</v>
      </c>
    </row>
    <row r="3163" spans="1:3" x14ac:dyDescent="0.3">
      <c r="A3163" s="8" t="s">
        <v>3173</v>
      </c>
      <c r="B3163" s="8" t="s">
        <v>12</v>
      </c>
      <c r="C3163" t="s">
        <v>2</v>
      </c>
    </row>
    <row r="3164" spans="1:3" x14ac:dyDescent="0.3">
      <c r="A3164" s="8" t="s">
        <v>3174</v>
      </c>
      <c r="B3164" s="8" t="s">
        <v>12</v>
      </c>
      <c r="C3164" t="s">
        <v>2</v>
      </c>
    </row>
    <row r="3165" spans="1:3" x14ac:dyDescent="0.3">
      <c r="A3165" s="8" t="s">
        <v>3175</v>
      </c>
      <c r="B3165" s="8" t="s">
        <v>12</v>
      </c>
      <c r="C3165" t="s">
        <v>2</v>
      </c>
    </row>
    <row r="3166" spans="1:3" x14ac:dyDescent="0.3">
      <c r="A3166" s="8" t="s">
        <v>3176</v>
      </c>
      <c r="B3166" s="8" t="s">
        <v>12</v>
      </c>
      <c r="C3166" t="s">
        <v>2</v>
      </c>
    </row>
    <row r="3167" spans="1:3" x14ac:dyDescent="0.3">
      <c r="A3167" s="8" t="s">
        <v>3177</v>
      </c>
      <c r="B3167" s="8" t="s">
        <v>12</v>
      </c>
      <c r="C3167" t="s">
        <v>2</v>
      </c>
    </row>
    <row r="3168" spans="1:3" x14ac:dyDescent="0.3">
      <c r="A3168" s="8" t="s">
        <v>3178</v>
      </c>
      <c r="B3168" s="8" t="s">
        <v>12</v>
      </c>
      <c r="C3168" t="s">
        <v>2</v>
      </c>
    </row>
    <row r="3169" spans="1:3" x14ac:dyDescent="0.3">
      <c r="A3169" s="8" t="s">
        <v>3179</v>
      </c>
      <c r="B3169" s="8" t="s">
        <v>12</v>
      </c>
      <c r="C3169" t="s">
        <v>2</v>
      </c>
    </row>
    <row r="3170" spans="1:3" x14ac:dyDescent="0.3">
      <c r="A3170" s="8" t="s">
        <v>3180</v>
      </c>
      <c r="B3170" s="8" t="s">
        <v>12</v>
      </c>
      <c r="C3170" t="s">
        <v>2</v>
      </c>
    </row>
    <row r="3171" spans="1:3" x14ac:dyDescent="0.3">
      <c r="A3171" s="8" t="s">
        <v>3181</v>
      </c>
      <c r="B3171" s="8" t="s">
        <v>12</v>
      </c>
      <c r="C3171" t="s">
        <v>2</v>
      </c>
    </row>
    <row r="3172" spans="1:3" x14ac:dyDescent="0.3">
      <c r="A3172" s="8" t="s">
        <v>3182</v>
      </c>
      <c r="B3172" s="8" t="s">
        <v>12</v>
      </c>
      <c r="C3172" t="s">
        <v>3</v>
      </c>
    </row>
    <row r="3173" spans="1:3" x14ac:dyDescent="0.3">
      <c r="A3173" s="8" t="s">
        <v>3183</v>
      </c>
      <c r="B3173" s="8" t="s">
        <v>12</v>
      </c>
      <c r="C3173" t="s">
        <v>3</v>
      </c>
    </row>
    <row r="3174" spans="1:3" x14ac:dyDescent="0.3">
      <c r="A3174" s="8" t="s">
        <v>3184</v>
      </c>
      <c r="B3174" s="8" t="s">
        <v>12</v>
      </c>
      <c r="C3174" t="s">
        <v>3</v>
      </c>
    </row>
    <row r="3175" spans="1:3" x14ac:dyDescent="0.3">
      <c r="A3175" s="8" t="s">
        <v>3185</v>
      </c>
      <c r="B3175" s="8" t="s">
        <v>12</v>
      </c>
      <c r="C3175" t="s">
        <v>3</v>
      </c>
    </row>
    <row r="3176" spans="1:3" x14ac:dyDescent="0.3">
      <c r="A3176" s="8" t="s">
        <v>3186</v>
      </c>
      <c r="B3176" s="8" t="s">
        <v>12</v>
      </c>
      <c r="C3176" t="s">
        <v>3</v>
      </c>
    </row>
    <row r="3177" spans="1:3" x14ac:dyDescent="0.3">
      <c r="A3177" s="8" t="s">
        <v>3187</v>
      </c>
      <c r="B3177" s="8" t="s">
        <v>12</v>
      </c>
      <c r="C3177" t="s">
        <v>3</v>
      </c>
    </row>
    <row r="3178" spans="1:3" x14ac:dyDescent="0.3">
      <c r="A3178" s="8" t="s">
        <v>3188</v>
      </c>
      <c r="B3178" s="8" t="s">
        <v>12</v>
      </c>
      <c r="C3178" t="s">
        <v>3</v>
      </c>
    </row>
    <row r="3179" spans="1:3" x14ac:dyDescent="0.3">
      <c r="A3179" s="8" t="s">
        <v>3189</v>
      </c>
      <c r="B3179" s="8" t="s">
        <v>12</v>
      </c>
      <c r="C3179" t="s">
        <v>2</v>
      </c>
    </row>
    <row r="3180" spans="1:3" x14ac:dyDescent="0.3">
      <c r="A3180" s="8" t="s">
        <v>3190</v>
      </c>
      <c r="B3180" s="8" t="s">
        <v>12</v>
      </c>
      <c r="C3180" t="s">
        <v>2</v>
      </c>
    </row>
    <row r="3181" spans="1:3" x14ac:dyDescent="0.3">
      <c r="A3181" s="8" t="s">
        <v>3191</v>
      </c>
      <c r="B3181" s="8" t="s">
        <v>12</v>
      </c>
      <c r="C3181" t="s">
        <v>2</v>
      </c>
    </row>
    <row r="3182" spans="1:3" x14ac:dyDescent="0.3">
      <c r="A3182" s="8" t="s">
        <v>3192</v>
      </c>
      <c r="B3182" s="8" t="s">
        <v>12</v>
      </c>
      <c r="C3182" t="s">
        <v>2</v>
      </c>
    </row>
    <row r="3183" spans="1:3" x14ac:dyDescent="0.3">
      <c r="A3183" s="8" t="s">
        <v>3193</v>
      </c>
      <c r="B3183" s="8" t="s">
        <v>12</v>
      </c>
      <c r="C3183" t="s">
        <v>2</v>
      </c>
    </row>
    <row r="3184" spans="1:3" x14ac:dyDescent="0.3">
      <c r="A3184" s="8" t="s">
        <v>3194</v>
      </c>
      <c r="B3184" s="8" t="s">
        <v>12</v>
      </c>
      <c r="C3184" t="s">
        <v>2</v>
      </c>
    </row>
    <row r="3185" spans="1:3" x14ac:dyDescent="0.3">
      <c r="A3185" s="8" t="s">
        <v>3195</v>
      </c>
      <c r="B3185" s="8" t="s">
        <v>12</v>
      </c>
      <c r="C3185" t="s">
        <v>3678</v>
      </c>
    </row>
    <row r="3186" spans="1:3" x14ac:dyDescent="0.3">
      <c r="A3186" s="8" t="s">
        <v>3196</v>
      </c>
      <c r="B3186" s="8" t="s">
        <v>12</v>
      </c>
      <c r="C3186" t="s">
        <v>3678</v>
      </c>
    </row>
    <row r="3187" spans="1:3" x14ac:dyDescent="0.3">
      <c r="A3187" s="8" t="s">
        <v>3197</v>
      </c>
      <c r="B3187" s="8" t="s">
        <v>12</v>
      </c>
      <c r="C3187" t="s">
        <v>3678</v>
      </c>
    </row>
    <row r="3188" spans="1:3" x14ac:dyDescent="0.3">
      <c r="A3188" s="8" t="s">
        <v>3198</v>
      </c>
      <c r="B3188" s="8" t="s">
        <v>12</v>
      </c>
      <c r="C3188" t="s">
        <v>2</v>
      </c>
    </row>
    <row r="3189" spans="1:3" x14ac:dyDescent="0.3">
      <c r="A3189" s="8" t="s">
        <v>3199</v>
      </c>
      <c r="B3189" s="8" t="s">
        <v>12</v>
      </c>
      <c r="C3189" t="s">
        <v>2</v>
      </c>
    </row>
    <row r="3190" spans="1:3" x14ac:dyDescent="0.3">
      <c r="A3190" s="8" t="s">
        <v>3200</v>
      </c>
      <c r="B3190" s="8" t="s">
        <v>12</v>
      </c>
      <c r="C3190" t="s">
        <v>2</v>
      </c>
    </row>
    <row r="3191" spans="1:3" x14ac:dyDescent="0.3">
      <c r="A3191" s="8" t="s">
        <v>3201</v>
      </c>
      <c r="B3191" s="8" t="s">
        <v>12</v>
      </c>
      <c r="C3191" t="s">
        <v>2</v>
      </c>
    </row>
    <row r="3192" spans="1:3" x14ac:dyDescent="0.3">
      <c r="A3192" s="8" t="s">
        <v>3202</v>
      </c>
      <c r="B3192" s="8" t="s">
        <v>12</v>
      </c>
      <c r="C3192" t="s">
        <v>2</v>
      </c>
    </row>
    <row r="3193" spans="1:3" x14ac:dyDescent="0.3">
      <c r="A3193" s="8" t="s">
        <v>3203</v>
      </c>
      <c r="B3193" s="8" t="s">
        <v>12</v>
      </c>
      <c r="C3193" t="s">
        <v>2</v>
      </c>
    </row>
    <row r="3194" spans="1:3" x14ac:dyDescent="0.3">
      <c r="A3194" s="8" t="s">
        <v>3204</v>
      </c>
      <c r="B3194" s="8" t="s">
        <v>12</v>
      </c>
      <c r="C3194" t="s">
        <v>2</v>
      </c>
    </row>
    <row r="3195" spans="1:3" x14ac:dyDescent="0.3">
      <c r="A3195" s="8" t="s">
        <v>3205</v>
      </c>
      <c r="B3195" s="8" t="s">
        <v>12</v>
      </c>
      <c r="C3195" t="s">
        <v>2</v>
      </c>
    </row>
    <row r="3196" spans="1:3" x14ac:dyDescent="0.3">
      <c r="A3196" s="8" t="s">
        <v>3206</v>
      </c>
      <c r="B3196" s="8" t="s">
        <v>12</v>
      </c>
      <c r="C3196" t="s">
        <v>2</v>
      </c>
    </row>
    <row r="3197" spans="1:3" x14ac:dyDescent="0.3">
      <c r="A3197" s="8" t="s">
        <v>3207</v>
      </c>
      <c r="B3197" s="8" t="s">
        <v>12</v>
      </c>
      <c r="C3197" t="s">
        <v>2</v>
      </c>
    </row>
    <row r="3198" spans="1:3" x14ac:dyDescent="0.3">
      <c r="A3198" s="8" t="s">
        <v>3208</v>
      </c>
      <c r="B3198" s="8" t="s">
        <v>12</v>
      </c>
      <c r="C3198" t="s">
        <v>2</v>
      </c>
    </row>
    <row r="3199" spans="1:3" x14ac:dyDescent="0.3">
      <c r="A3199" s="8" t="s">
        <v>3209</v>
      </c>
      <c r="B3199" s="8" t="s">
        <v>12</v>
      </c>
      <c r="C3199" t="s">
        <v>2</v>
      </c>
    </row>
    <row r="3200" spans="1:3" x14ac:dyDescent="0.3">
      <c r="A3200" s="8" t="s">
        <v>3210</v>
      </c>
      <c r="B3200" s="8" t="s">
        <v>12</v>
      </c>
      <c r="C3200" t="s">
        <v>2</v>
      </c>
    </row>
    <row r="3201" spans="1:3" x14ac:dyDescent="0.3">
      <c r="A3201" s="8" t="s">
        <v>3211</v>
      </c>
      <c r="B3201" s="8" t="s">
        <v>12</v>
      </c>
      <c r="C3201" t="s">
        <v>2</v>
      </c>
    </row>
    <row r="3202" spans="1:3" x14ac:dyDescent="0.3">
      <c r="A3202" s="8" t="s">
        <v>3212</v>
      </c>
      <c r="B3202" s="8" t="s">
        <v>12</v>
      </c>
      <c r="C3202" t="s">
        <v>2</v>
      </c>
    </row>
    <row r="3203" spans="1:3" x14ac:dyDescent="0.3">
      <c r="A3203" s="8" t="s">
        <v>3213</v>
      </c>
      <c r="B3203" s="8" t="s">
        <v>12</v>
      </c>
      <c r="C3203" t="s">
        <v>2</v>
      </c>
    </row>
    <row r="3204" spans="1:3" x14ac:dyDescent="0.3">
      <c r="A3204" s="8" t="s">
        <v>3214</v>
      </c>
      <c r="B3204" s="8" t="s">
        <v>12</v>
      </c>
      <c r="C3204" t="s">
        <v>2</v>
      </c>
    </row>
    <row r="3205" spans="1:3" x14ac:dyDescent="0.3">
      <c r="A3205" s="8" t="s">
        <v>3215</v>
      </c>
      <c r="B3205" s="8" t="s">
        <v>12</v>
      </c>
      <c r="C3205" t="s">
        <v>2</v>
      </c>
    </row>
    <row r="3206" spans="1:3" x14ac:dyDescent="0.3">
      <c r="A3206" s="8" t="s">
        <v>3216</v>
      </c>
      <c r="B3206" s="8" t="s">
        <v>12</v>
      </c>
      <c r="C3206" t="s">
        <v>2</v>
      </c>
    </row>
    <row r="3207" spans="1:3" x14ac:dyDescent="0.3">
      <c r="A3207" s="8" t="s">
        <v>3217</v>
      </c>
      <c r="B3207" s="8" t="s">
        <v>12</v>
      </c>
      <c r="C3207" t="s">
        <v>2</v>
      </c>
    </row>
    <row r="3208" spans="1:3" x14ac:dyDescent="0.3">
      <c r="A3208" s="8" t="s">
        <v>3218</v>
      </c>
      <c r="B3208" s="8" t="s">
        <v>12</v>
      </c>
      <c r="C3208" t="s">
        <v>2</v>
      </c>
    </row>
    <row r="3209" spans="1:3" x14ac:dyDescent="0.3">
      <c r="A3209" s="8" t="s">
        <v>3219</v>
      </c>
      <c r="B3209" s="8" t="s">
        <v>12</v>
      </c>
      <c r="C3209" t="s">
        <v>2</v>
      </c>
    </row>
    <row r="3210" spans="1:3" x14ac:dyDescent="0.3">
      <c r="A3210" s="8" t="s">
        <v>3220</v>
      </c>
      <c r="B3210" s="8" t="s">
        <v>12</v>
      </c>
      <c r="C3210" t="s">
        <v>2</v>
      </c>
    </row>
    <row r="3211" spans="1:3" x14ac:dyDescent="0.3">
      <c r="A3211" s="8" t="s">
        <v>3221</v>
      </c>
      <c r="B3211" s="8" t="s">
        <v>12</v>
      </c>
      <c r="C3211" t="s">
        <v>2</v>
      </c>
    </row>
    <row r="3212" spans="1:3" x14ac:dyDescent="0.3">
      <c r="A3212" s="8" t="s">
        <v>3222</v>
      </c>
      <c r="B3212" s="8" t="s">
        <v>12</v>
      </c>
      <c r="C3212" t="s">
        <v>2</v>
      </c>
    </row>
    <row r="3213" spans="1:3" x14ac:dyDescent="0.3">
      <c r="A3213" s="8" t="s">
        <v>3223</v>
      </c>
      <c r="B3213" s="8" t="s">
        <v>12</v>
      </c>
      <c r="C3213" t="s">
        <v>2</v>
      </c>
    </row>
    <row r="3214" spans="1:3" x14ac:dyDescent="0.3">
      <c r="A3214" s="8" t="s">
        <v>3224</v>
      </c>
      <c r="B3214" s="8" t="s">
        <v>12</v>
      </c>
      <c r="C3214" t="s">
        <v>2</v>
      </c>
    </row>
    <row r="3215" spans="1:3" x14ac:dyDescent="0.3">
      <c r="A3215" s="8" t="s">
        <v>3225</v>
      </c>
      <c r="B3215" s="8" t="s">
        <v>12</v>
      </c>
      <c r="C3215" t="s">
        <v>2</v>
      </c>
    </row>
    <row r="3216" spans="1:3" x14ac:dyDescent="0.3">
      <c r="A3216" s="8" t="s">
        <v>3226</v>
      </c>
      <c r="B3216" s="8" t="s">
        <v>12</v>
      </c>
      <c r="C3216" t="s">
        <v>2</v>
      </c>
    </row>
    <row r="3217" spans="1:3" x14ac:dyDescent="0.3">
      <c r="A3217" s="8" t="s">
        <v>3227</v>
      </c>
      <c r="B3217" s="8" t="s">
        <v>12</v>
      </c>
      <c r="C3217" t="s">
        <v>2</v>
      </c>
    </row>
    <row r="3218" spans="1:3" x14ac:dyDescent="0.3">
      <c r="A3218" s="8" t="s">
        <v>3228</v>
      </c>
      <c r="B3218" s="8" t="s">
        <v>12</v>
      </c>
      <c r="C3218" t="s">
        <v>2</v>
      </c>
    </row>
    <row r="3219" spans="1:3" x14ac:dyDescent="0.3">
      <c r="A3219" s="8" t="s">
        <v>3229</v>
      </c>
      <c r="B3219" s="8" t="s">
        <v>12</v>
      </c>
      <c r="C3219" t="s">
        <v>2</v>
      </c>
    </row>
    <row r="3220" spans="1:3" x14ac:dyDescent="0.3">
      <c r="A3220" s="8" t="s">
        <v>3230</v>
      </c>
      <c r="B3220" s="8" t="s">
        <v>12</v>
      </c>
      <c r="C3220" t="s">
        <v>2</v>
      </c>
    </row>
    <row r="3221" spans="1:3" x14ac:dyDescent="0.3">
      <c r="A3221" s="8" t="s">
        <v>3231</v>
      </c>
      <c r="B3221" s="8" t="s">
        <v>12</v>
      </c>
      <c r="C3221" t="s">
        <v>2</v>
      </c>
    </row>
    <row r="3222" spans="1:3" x14ac:dyDescent="0.3">
      <c r="A3222" s="8" t="s">
        <v>3232</v>
      </c>
      <c r="B3222" s="8" t="s">
        <v>12</v>
      </c>
      <c r="C3222" t="s">
        <v>2</v>
      </c>
    </row>
    <row r="3223" spans="1:3" x14ac:dyDescent="0.3">
      <c r="A3223" s="8" t="s">
        <v>3233</v>
      </c>
      <c r="B3223" s="8" t="s">
        <v>12</v>
      </c>
      <c r="C3223" t="s">
        <v>2</v>
      </c>
    </row>
    <row r="3224" spans="1:3" x14ac:dyDescent="0.3">
      <c r="A3224" s="8" t="s">
        <v>3234</v>
      </c>
      <c r="B3224" s="8" t="s">
        <v>12</v>
      </c>
      <c r="C3224" t="s">
        <v>2</v>
      </c>
    </row>
    <row r="3225" spans="1:3" x14ac:dyDescent="0.3">
      <c r="A3225" s="8" t="s">
        <v>3235</v>
      </c>
      <c r="B3225" s="8" t="s">
        <v>12</v>
      </c>
      <c r="C3225" t="s">
        <v>2</v>
      </c>
    </row>
    <row r="3226" spans="1:3" x14ac:dyDescent="0.3">
      <c r="A3226" s="8" t="s">
        <v>3236</v>
      </c>
      <c r="B3226" s="8" t="s">
        <v>12</v>
      </c>
      <c r="C3226" t="s">
        <v>2</v>
      </c>
    </row>
    <row r="3227" spans="1:3" x14ac:dyDescent="0.3">
      <c r="A3227" s="8" t="s">
        <v>3237</v>
      </c>
      <c r="B3227" s="8" t="s">
        <v>12</v>
      </c>
      <c r="C3227" t="s">
        <v>2</v>
      </c>
    </row>
    <row r="3228" spans="1:3" x14ac:dyDescent="0.3">
      <c r="A3228" s="8" t="s">
        <v>3238</v>
      </c>
      <c r="B3228" s="8" t="s">
        <v>12</v>
      </c>
      <c r="C3228" t="s">
        <v>2</v>
      </c>
    </row>
    <row r="3229" spans="1:3" x14ac:dyDescent="0.3">
      <c r="A3229" s="8" t="s">
        <v>3239</v>
      </c>
      <c r="B3229" s="8" t="s">
        <v>12</v>
      </c>
      <c r="C3229" t="s">
        <v>2</v>
      </c>
    </row>
    <row r="3230" spans="1:3" x14ac:dyDescent="0.3">
      <c r="A3230" s="8" t="s">
        <v>3240</v>
      </c>
      <c r="B3230" s="8" t="s">
        <v>12</v>
      </c>
      <c r="C3230" t="s">
        <v>2</v>
      </c>
    </row>
    <row r="3231" spans="1:3" x14ac:dyDescent="0.3">
      <c r="A3231" s="8" t="s">
        <v>3241</v>
      </c>
      <c r="B3231" s="8" t="s">
        <v>12</v>
      </c>
      <c r="C3231" t="s">
        <v>2</v>
      </c>
    </row>
    <row r="3232" spans="1:3" x14ac:dyDescent="0.3">
      <c r="A3232" s="8" t="s">
        <v>3242</v>
      </c>
      <c r="B3232" s="8" t="s">
        <v>12</v>
      </c>
      <c r="C3232" t="s">
        <v>2</v>
      </c>
    </row>
    <row r="3233" spans="1:3" x14ac:dyDescent="0.3">
      <c r="A3233" s="8" t="s">
        <v>3243</v>
      </c>
      <c r="B3233" s="8" t="s">
        <v>12</v>
      </c>
      <c r="C3233" t="s">
        <v>3</v>
      </c>
    </row>
    <row r="3234" spans="1:3" x14ac:dyDescent="0.3">
      <c r="A3234" s="8" t="s">
        <v>3244</v>
      </c>
      <c r="B3234" s="8" t="s">
        <v>12</v>
      </c>
      <c r="C3234" t="s">
        <v>3</v>
      </c>
    </row>
    <row r="3235" spans="1:3" x14ac:dyDescent="0.3">
      <c r="A3235" s="8" t="s">
        <v>3245</v>
      </c>
      <c r="B3235" s="8" t="s">
        <v>12</v>
      </c>
      <c r="C3235" t="s">
        <v>3</v>
      </c>
    </row>
    <row r="3236" spans="1:3" x14ac:dyDescent="0.3">
      <c r="A3236" s="8" t="s">
        <v>3246</v>
      </c>
      <c r="B3236" s="8" t="s">
        <v>12</v>
      </c>
      <c r="C3236" t="s">
        <v>3</v>
      </c>
    </row>
    <row r="3237" spans="1:3" x14ac:dyDescent="0.3">
      <c r="A3237" s="8" t="s">
        <v>3247</v>
      </c>
      <c r="B3237" s="8" t="s">
        <v>12</v>
      </c>
      <c r="C3237" t="s">
        <v>3</v>
      </c>
    </row>
    <row r="3238" spans="1:3" x14ac:dyDescent="0.3">
      <c r="A3238" s="8" t="s">
        <v>3248</v>
      </c>
      <c r="B3238" s="8" t="s">
        <v>12</v>
      </c>
      <c r="C3238" t="s">
        <v>3</v>
      </c>
    </row>
    <row r="3239" spans="1:3" x14ac:dyDescent="0.3">
      <c r="A3239" s="8" t="s">
        <v>3249</v>
      </c>
      <c r="B3239" s="8" t="s">
        <v>12</v>
      </c>
      <c r="C3239" t="s">
        <v>3</v>
      </c>
    </row>
    <row r="3240" spans="1:3" x14ac:dyDescent="0.3">
      <c r="A3240" s="8" t="s">
        <v>3250</v>
      </c>
      <c r="B3240" s="8" t="s">
        <v>12</v>
      </c>
      <c r="C3240" t="s">
        <v>3</v>
      </c>
    </row>
    <row r="3241" spans="1:3" x14ac:dyDescent="0.3">
      <c r="A3241" s="8" t="s">
        <v>3251</v>
      </c>
      <c r="B3241" s="8" t="s">
        <v>12</v>
      </c>
      <c r="C3241" t="s">
        <v>3</v>
      </c>
    </row>
    <row r="3242" spans="1:3" x14ac:dyDescent="0.3">
      <c r="A3242" s="8" t="s">
        <v>3252</v>
      </c>
      <c r="B3242" s="8" t="s">
        <v>12</v>
      </c>
      <c r="C3242" t="s">
        <v>3</v>
      </c>
    </row>
    <row r="3243" spans="1:3" x14ac:dyDescent="0.3">
      <c r="A3243" s="8" t="s">
        <v>3253</v>
      </c>
      <c r="B3243" s="8" t="s">
        <v>12</v>
      </c>
      <c r="C3243" t="s">
        <v>3</v>
      </c>
    </row>
    <row r="3244" spans="1:3" x14ac:dyDescent="0.3">
      <c r="A3244" s="8" t="s">
        <v>3254</v>
      </c>
      <c r="B3244" s="8" t="s">
        <v>12</v>
      </c>
      <c r="C3244" t="s">
        <v>2</v>
      </c>
    </row>
    <row r="3245" spans="1:3" x14ac:dyDescent="0.3">
      <c r="A3245" s="8" t="s">
        <v>3255</v>
      </c>
      <c r="B3245" s="8" t="s">
        <v>12</v>
      </c>
    </row>
    <row r="3246" spans="1:3" x14ac:dyDescent="0.3">
      <c r="A3246" s="8" t="s">
        <v>3256</v>
      </c>
      <c r="B3246" s="8" t="s">
        <v>12</v>
      </c>
    </row>
    <row r="3247" spans="1:3" x14ac:dyDescent="0.3">
      <c r="A3247" s="8" t="s">
        <v>3257</v>
      </c>
      <c r="B3247" s="8" t="s">
        <v>12</v>
      </c>
    </row>
    <row r="3248" spans="1:3" x14ac:dyDescent="0.3">
      <c r="A3248" s="8" t="s">
        <v>3258</v>
      </c>
      <c r="B3248" s="8" t="s">
        <v>12</v>
      </c>
      <c r="C3248" t="s">
        <v>2</v>
      </c>
    </row>
    <row r="3249" spans="1:3" x14ac:dyDescent="0.3">
      <c r="A3249" s="8" t="s">
        <v>3259</v>
      </c>
      <c r="B3249" s="8" t="s">
        <v>12</v>
      </c>
      <c r="C3249" t="s">
        <v>2</v>
      </c>
    </row>
    <row r="3250" spans="1:3" x14ac:dyDescent="0.3">
      <c r="A3250" s="8" t="s">
        <v>3260</v>
      </c>
      <c r="B3250" s="8" t="s">
        <v>12</v>
      </c>
      <c r="C3250" t="s">
        <v>2</v>
      </c>
    </row>
    <row r="3251" spans="1:3" x14ac:dyDescent="0.3">
      <c r="A3251" s="8" t="s">
        <v>3261</v>
      </c>
      <c r="B3251" s="8" t="s">
        <v>12</v>
      </c>
      <c r="C3251" t="s">
        <v>3678</v>
      </c>
    </row>
    <row r="3252" spans="1:3" x14ac:dyDescent="0.3">
      <c r="A3252" s="8" t="s">
        <v>3262</v>
      </c>
      <c r="B3252" s="8" t="s">
        <v>12</v>
      </c>
      <c r="C3252" t="s">
        <v>3678</v>
      </c>
    </row>
    <row r="3253" spans="1:3" x14ac:dyDescent="0.3">
      <c r="A3253" s="8" t="s">
        <v>3263</v>
      </c>
      <c r="B3253" s="8" t="s">
        <v>12</v>
      </c>
      <c r="C3253" t="s">
        <v>3678</v>
      </c>
    </row>
    <row r="3254" spans="1:3" x14ac:dyDescent="0.3">
      <c r="A3254" s="8" t="s">
        <v>3264</v>
      </c>
      <c r="B3254" s="8" t="s">
        <v>12</v>
      </c>
      <c r="C3254" t="s">
        <v>3678</v>
      </c>
    </row>
    <row r="3255" spans="1:3" x14ac:dyDescent="0.3">
      <c r="A3255" s="8" t="s">
        <v>3265</v>
      </c>
      <c r="B3255" s="8" t="s">
        <v>12</v>
      </c>
      <c r="C3255" t="s">
        <v>3678</v>
      </c>
    </row>
    <row r="3256" spans="1:3" x14ac:dyDescent="0.3">
      <c r="A3256" s="8" t="s">
        <v>3266</v>
      </c>
      <c r="B3256" s="8" t="s">
        <v>12</v>
      </c>
      <c r="C3256" t="s">
        <v>3678</v>
      </c>
    </row>
    <row r="3257" spans="1:3" x14ac:dyDescent="0.3">
      <c r="A3257" s="8" t="s">
        <v>3267</v>
      </c>
      <c r="B3257" s="8" t="s">
        <v>12</v>
      </c>
      <c r="C3257" t="s">
        <v>3678</v>
      </c>
    </row>
    <row r="3258" spans="1:3" x14ac:dyDescent="0.3">
      <c r="A3258" s="8" t="s">
        <v>3268</v>
      </c>
      <c r="B3258" s="8" t="s">
        <v>12</v>
      </c>
      <c r="C3258" t="s">
        <v>3678</v>
      </c>
    </row>
    <row r="3259" spans="1:3" x14ac:dyDescent="0.3">
      <c r="A3259" s="8" t="s">
        <v>3269</v>
      </c>
      <c r="B3259" s="8" t="s">
        <v>12</v>
      </c>
      <c r="C3259" t="s">
        <v>3678</v>
      </c>
    </row>
    <row r="3260" spans="1:3" x14ac:dyDescent="0.3">
      <c r="A3260" s="8" t="s">
        <v>3270</v>
      </c>
      <c r="B3260" s="8" t="s">
        <v>12</v>
      </c>
      <c r="C3260" t="s">
        <v>3678</v>
      </c>
    </row>
    <row r="3261" spans="1:3" x14ac:dyDescent="0.3">
      <c r="A3261" s="8" t="s">
        <v>3271</v>
      </c>
      <c r="B3261" s="8" t="s">
        <v>12</v>
      </c>
      <c r="C3261" t="s">
        <v>3678</v>
      </c>
    </row>
    <row r="3262" spans="1:3" x14ac:dyDescent="0.3">
      <c r="A3262" s="8" t="s">
        <v>3272</v>
      </c>
      <c r="B3262" s="8" t="s">
        <v>12</v>
      </c>
      <c r="C3262" t="s">
        <v>3678</v>
      </c>
    </row>
    <row r="3263" spans="1:3" x14ac:dyDescent="0.3">
      <c r="A3263" s="8" t="s">
        <v>3273</v>
      </c>
      <c r="B3263" s="8" t="s">
        <v>12</v>
      </c>
      <c r="C3263" t="s">
        <v>2</v>
      </c>
    </row>
    <row r="3264" spans="1:3" x14ac:dyDescent="0.3">
      <c r="A3264" s="8" t="s">
        <v>3274</v>
      </c>
      <c r="B3264" s="8" t="s">
        <v>12</v>
      </c>
      <c r="C3264" t="s">
        <v>2</v>
      </c>
    </row>
    <row r="3265" spans="1:3" x14ac:dyDescent="0.3">
      <c r="A3265" s="8" t="s">
        <v>3275</v>
      </c>
      <c r="B3265" s="8" t="s">
        <v>12</v>
      </c>
      <c r="C3265" t="s">
        <v>2</v>
      </c>
    </row>
    <row r="3266" spans="1:3" x14ac:dyDescent="0.3">
      <c r="A3266" s="8" t="s">
        <v>3276</v>
      </c>
      <c r="B3266" s="8" t="s">
        <v>12</v>
      </c>
      <c r="C3266" t="s">
        <v>2</v>
      </c>
    </row>
    <row r="3267" spans="1:3" x14ac:dyDescent="0.3">
      <c r="A3267" s="8" t="s">
        <v>3277</v>
      </c>
      <c r="B3267" s="8" t="s">
        <v>12</v>
      </c>
      <c r="C3267" t="s">
        <v>2</v>
      </c>
    </row>
    <row r="3268" spans="1:3" x14ac:dyDescent="0.3">
      <c r="A3268" s="8" t="s">
        <v>3278</v>
      </c>
      <c r="B3268" s="8" t="s">
        <v>12</v>
      </c>
      <c r="C3268" t="s">
        <v>2</v>
      </c>
    </row>
    <row r="3269" spans="1:3" x14ac:dyDescent="0.3">
      <c r="A3269" s="8" t="s">
        <v>3279</v>
      </c>
      <c r="B3269" s="8" t="s">
        <v>12</v>
      </c>
      <c r="C3269" t="s">
        <v>2</v>
      </c>
    </row>
    <row r="3270" spans="1:3" x14ac:dyDescent="0.3">
      <c r="A3270" s="8" t="s">
        <v>3280</v>
      </c>
      <c r="B3270" s="8" t="s">
        <v>12</v>
      </c>
      <c r="C3270" t="s">
        <v>2</v>
      </c>
    </row>
    <row r="3271" spans="1:3" x14ac:dyDescent="0.3">
      <c r="A3271" s="8" t="s">
        <v>3281</v>
      </c>
      <c r="B3271" s="8" t="s">
        <v>12</v>
      </c>
      <c r="C3271" t="s">
        <v>2</v>
      </c>
    </row>
    <row r="3272" spans="1:3" x14ac:dyDescent="0.3">
      <c r="A3272" s="8" t="s">
        <v>3282</v>
      </c>
      <c r="B3272" s="8" t="s">
        <v>12</v>
      </c>
      <c r="C3272" t="s">
        <v>2</v>
      </c>
    </row>
    <row r="3273" spans="1:3" x14ac:dyDescent="0.3">
      <c r="A3273" s="8" t="s">
        <v>3283</v>
      </c>
      <c r="B3273" s="8" t="s">
        <v>12</v>
      </c>
      <c r="C3273" t="s">
        <v>2</v>
      </c>
    </row>
    <row r="3274" spans="1:3" x14ac:dyDescent="0.3">
      <c r="A3274" s="8" t="s">
        <v>3284</v>
      </c>
      <c r="B3274" s="8" t="s">
        <v>12</v>
      </c>
      <c r="C3274" t="s">
        <v>2</v>
      </c>
    </row>
    <row r="3275" spans="1:3" x14ac:dyDescent="0.3">
      <c r="A3275" s="8" t="s">
        <v>3285</v>
      </c>
      <c r="B3275" s="8" t="s">
        <v>12</v>
      </c>
      <c r="C3275" t="s">
        <v>2</v>
      </c>
    </row>
    <row r="3276" spans="1:3" x14ac:dyDescent="0.3">
      <c r="A3276" s="8" t="s">
        <v>3286</v>
      </c>
      <c r="B3276" s="8" t="s">
        <v>12</v>
      </c>
      <c r="C3276" t="s">
        <v>2</v>
      </c>
    </row>
    <row r="3277" spans="1:3" x14ac:dyDescent="0.3">
      <c r="A3277" s="8" t="s">
        <v>3287</v>
      </c>
      <c r="B3277" s="8" t="s">
        <v>12</v>
      </c>
      <c r="C3277" t="s">
        <v>2</v>
      </c>
    </row>
    <row r="3278" spans="1:3" x14ac:dyDescent="0.3">
      <c r="A3278" s="8" t="s">
        <v>3288</v>
      </c>
      <c r="B3278" s="8" t="s">
        <v>12</v>
      </c>
      <c r="C3278" t="s">
        <v>2</v>
      </c>
    </row>
    <row r="3279" spans="1:3" x14ac:dyDescent="0.3">
      <c r="A3279" s="8" t="s">
        <v>3289</v>
      </c>
      <c r="B3279" s="8" t="s">
        <v>12</v>
      </c>
      <c r="C3279" t="s">
        <v>2</v>
      </c>
    </row>
    <row r="3280" spans="1:3" x14ac:dyDescent="0.3">
      <c r="A3280" s="8" t="s">
        <v>3290</v>
      </c>
      <c r="B3280" s="8" t="s">
        <v>12</v>
      </c>
      <c r="C3280" t="s">
        <v>2</v>
      </c>
    </row>
    <row r="3281" spans="1:3" x14ac:dyDescent="0.3">
      <c r="A3281" s="8" t="s">
        <v>3291</v>
      </c>
      <c r="B3281" s="8" t="s">
        <v>12</v>
      </c>
      <c r="C3281" t="s">
        <v>2</v>
      </c>
    </row>
    <row r="3282" spans="1:3" x14ac:dyDescent="0.3">
      <c r="A3282" s="8" t="s">
        <v>3292</v>
      </c>
      <c r="B3282" s="8" t="s">
        <v>12</v>
      </c>
      <c r="C3282" t="s">
        <v>2</v>
      </c>
    </row>
    <row r="3283" spans="1:3" x14ac:dyDescent="0.3">
      <c r="A3283" s="8" t="s">
        <v>3293</v>
      </c>
      <c r="B3283" s="8" t="s">
        <v>12</v>
      </c>
      <c r="C3283" t="s">
        <v>2</v>
      </c>
    </row>
    <row r="3284" spans="1:3" x14ac:dyDescent="0.3">
      <c r="A3284" s="8" t="s">
        <v>3294</v>
      </c>
      <c r="B3284" s="8" t="s">
        <v>12</v>
      </c>
      <c r="C3284" t="s">
        <v>2</v>
      </c>
    </row>
    <row r="3285" spans="1:3" x14ac:dyDescent="0.3">
      <c r="A3285" s="8" t="s">
        <v>3295</v>
      </c>
      <c r="B3285" s="8" t="s">
        <v>12</v>
      </c>
      <c r="C3285" t="s">
        <v>2</v>
      </c>
    </row>
    <row r="3286" spans="1:3" x14ac:dyDescent="0.3">
      <c r="A3286" s="8" t="s">
        <v>3296</v>
      </c>
      <c r="B3286" s="8" t="s">
        <v>12</v>
      </c>
      <c r="C3286" t="s">
        <v>2</v>
      </c>
    </row>
    <row r="3287" spans="1:3" x14ac:dyDescent="0.3">
      <c r="A3287" s="8" t="s">
        <v>3297</v>
      </c>
      <c r="B3287" s="8" t="s">
        <v>12</v>
      </c>
      <c r="C3287" t="s">
        <v>2</v>
      </c>
    </row>
    <row r="3288" spans="1:3" x14ac:dyDescent="0.3">
      <c r="A3288" s="8" t="s">
        <v>3298</v>
      </c>
      <c r="B3288" s="8" t="s">
        <v>12</v>
      </c>
      <c r="C3288" t="s">
        <v>2</v>
      </c>
    </row>
    <row r="3289" spans="1:3" x14ac:dyDescent="0.3">
      <c r="A3289" s="8" t="s">
        <v>3299</v>
      </c>
      <c r="B3289" s="8" t="s">
        <v>12</v>
      </c>
      <c r="C3289" t="s">
        <v>2</v>
      </c>
    </row>
    <row r="3290" spans="1:3" x14ac:dyDescent="0.3">
      <c r="A3290" s="8" t="s">
        <v>3300</v>
      </c>
      <c r="B3290" s="8" t="s">
        <v>12</v>
      </c>
      <c r="C3290" t="s">
        <v>2</v>
      </c>
    </row>
    <row r="3291" spans="1:3" x14ac:dyDescent="0.3">
      <c r="A3291" s="8" t="s">
        <v>3301</v>
      </c>
      <c r="B3291" s="8" t="s">
        <v>12</v>
      </c>
      <c r="C3291" t="s">
        <v>2</v>
      </c>
    </row>
    <row r="3292" spans="1:3" x14ac:dyDescent="0.3">
      <c r="A3292" s="8" t="s">
        <v>3302</v>
      </c>
      <c r="B3292" s="8" t="s">
        <v>12</v>
      </c>
      <c r="C3292" t="s">
        <v>2</v>
      </c>
    </row>
    <row r="3293" spans="1:3" x14ac:dyDescent="0.3">
      <c r="A3293" s="8" t="s">
        <v>3303</v>
      </c>
      <c r="B3293" s="8" t="s">
        <v>12</v>
      </c>
      <c r="C3293" t="s">
        <v>2</v>
      </c>
    </row>
    <row r="3294" spans="1:3" x14ac:dyDescent="0.3">
      <c r="A3294" s="8" t="s">
        <v>3304</v>
      </c>
      <c r="B3294" s="8" t="s">
        <v>12</v>
      </c>
      <c r="C3294" t="s">
        <v>2</v>
      </c>
    </row>
    <row r="3295" spans="1:3" x14ac:dyDescent="0.3">
      <c r="A3295" s="8" t="s">
        <v>3305</v>
      </c>
      <c r="B3295" s="8" t="s">
        <v>12</v>
      </c>
      <c r="C3295" t="s">
        <v>2</v>
      </c>
    </row>
    <row r="3296" spans="1:3" x14ac:dyDescent="0.3">
      <c r="A3296" s="8" t="s">
        <v>3306</v>
      </c>
      <c r="B3296" s="8" t="s">
        <v>12</v>
      </c>
      <c r="C3296" t="s">
        <v>2</v>
      </c>
    </row>
    <row r="3297" spans="1:3" x14ac:dyDescent="0.3">
      <c r="A3297" s="8" t="s">
        <v>3307</v>
      </c>
      <c r="B3297" s="8" t="s">
        <v>12</v>
      </c>
      <c r="C3297" t="s">
        <v>2</v>
      </c>
    </row>
    <row r="3298" spans="1:3" x14ac:dyDescent="0.3">
      <c r="A3298" s="8" t="s">
        <v>3308</v>
      </c>
      <c r="B3298" s="8" t="s">
        <v>12</v>
      </c>
      <c r="C3298" t="s">
        <v>2</v>
      </c>
    </row>
    <row r="3299" spans="1:3" x14ac:dyDescent="0.3">
      <c r="A3299" s="8" t="s">
        <v>3309</v>
      </c>
      <c r="B3299" s="8" t="s">
        <v>12</v>
      </c>
      <c r="C3299" t="s">
        <v>2</v>
      </c>
    </row>
    <row r="3300" spans="1:3" x14ac:dyDescent="0.3">
      <c r="A3300" s="8" t="s">
        <v>3310</v>
      </c>
      <c r="B3300" s="8" t="s">
        <v>12</v>
      </c>
      <c r="C3300" t="s">
        <v>2</v>
      </c>
    </row>
    <row r="3301" spans="1:3" x14ac:dyDescent="0.3">
      <c r="A3301" s="8" t="s">
        <v>3311</v>
      </c>
      <c r="B3301" s="8" t="s">
        <v>12</v>
      </c>
      <c r="C3301" t="s">
        <v>2</v>
      </c>
    </row>
    <row r="3302" spans="1:3" x14ac:dyDescent="0.3">
      <c r="A3302" s="8" t="s">
        <v>3312</v>
      </c>
      <c r="B3302" s="8" t="s">
        <v>12</v>
      </c>
      <c r="C3302" t="s">
        <v>2</v>
      </c>
    </row>
    <row r="3303" spans="1:3" x14ac:dyDescent="0.3">
      <c r="A3303" s="8" t="s">
        <v>3313</v>
      </c>
      <c r="B3303" s="8" t="s">
        <v>12</v>
      </c>
      <c r="C3303" t="s">
        <v>2</v>
      </c>
    </row>
    <row r="3304" spans="1:3" x14ac:dyDescent="0.3">
      <c r="A3304" s="8" t="s">
        <v>3314</v>
      </c>
      <c r="B3304" s="8" t="s">
        <v>12</v>
      </c>
      <c r="C3304" t="s">
        <v>2</v>
      </c>
    </row>
    <row r="3305" spans="1:3" x14ac:dyDescent="0.3">
      <c r="A3305" s="8" t="s">
        <v>3315</v>
      </c>
      <c r="B3305" s="8" t="s">
        <v>12</v>
      </c>
      <c r="C3305" t="s">
        <v>2</v>
      </c>
    </row>
    <row r="3306" spans="1:3" x14ac:dyDescent="0.3">
      <c r="A3306" s="8" t="s">
        <v>3316</v>
      </c>
      <c r="B3306" s="8" t="s">
        <v>12</v>
      </c>
      <c r="C3306" t="s">
        <v>2</v>
      </c>
    </row>
    <row r="3307" spans="1:3" x14ac:dyDescent="0.3">
      <c r="A3307" s="8" t="s">
        <v>3317</v>
      </c>
      <c r="B3307" s="8" t="s">
        <v>12</v>
      </c>
      <c r="C3307" t="s">
        <v>2</v>
      </c>
    </row>
    <row r="3308" spans="1:3" x14ac:dyDescent="0.3">
      <c r="A3308" s="8" t="s">
        <v>3318</v>
      </c>
      <c r="B3308" s="8" t="s">
        <v>12</v>
      </c>
      <c r="C3308" t="s">
        <v>2</v>
      </c>
    </row>
    <row r="3309" spans="1:3" x14ac:dyDescent="0.3">
      <c r="A3309" s="8" t="s">
        <v>3319</v>
      </c>
      <c r="B3309" s="8" t="s">
        <v>12</v>
      </c>
      <c r="C3309" t="s">
        <v>2</v>
      </c>
    </row>
    <row r="3310" spans="1:3" x14ac:dyDescent="0.3">
      <c r="A3310" s="8" t="s">
        <v>3320</v>
      </c>
      <c r="B3310" s="8" t="s">
        <v>12</v>
      </c>
      <c r="C3310" t="s">
        <v>2</v>
      </c>
    </row>
    <row r="3311" spans="1:3" x14ac:dyDescent="0.3">
      <c r="A3311" s="8" t="s">
        <v>3321</v>
      </c>
      <c r="B3311" s="8" t="s">
        <v>12</v>
      </c>
      <c r="C3311" t="s">
        <v>2</v>
      </c>
    </row>
    <row r="3312" spans="1:3" x14ac:dyDescent="0.3">
      <c r="A3312" s="8" t="s">
        <v>3322</v>
      </c>
      <c r="B3312" s="8" t="s">
        <v>12</v>
      </c>
      <c r="C3312" t="s">
        <v>2</v>
      </c>
    </row>
    <row r="3313" spans="1:3" x14ac:dyDescent="0.3">
      <c r="A3313" s="8" t="s">
        <v>3323</v>
      </c>
      <c r="B3313" s="8" t="s">
        <v>12</v>
      </c>
      <c r="C3313" t="s">
        <v>2</v>
      </c>
    </row>
    <row r="3314" spans="1:3" x14ac:dyDescent="0.3">
      <c r="A3314" s="8" t="s">
        <v>3324</v>
      </c>
      <c r="B3314" s="8" t="s">
        <v>12</v>
      </c>
      <c r="C3314" t="s">
        <v>2</v>
      </c>
    </row>
    <row r="3315" spans="1:3" x14ac:dyDescent="0.3">
      <c r="A3315" s="8" t="s">
        <v>3325</v>
      </c>
      <c r="B3315" s="8" t="s">
        <v>12</v>
      </c>
      <c r="C3315" t="s">
        <v>2</v>
      </c>
    </row>
    <row r="3316" spans="1:3" x14ac:dyDescent="0.3">
      <c r="A3316" s="8" t="s">
        <v>3326</v>
      </c>
      <c r="B3316" s="8" t="s">
        <v>12</v>
      </c>
      <c r="C3316" t="s">
        <v>2</v>
      </c>
    </row>
    <row r="3317" spans="1:3" x14ac:dyDescent="0.3">
      <c r="A3317" s="8" t="s">
        <v>3327</v>
      </c>
      <c r="B3317" s="8" t="s">
        <v>12</v>
      </c>
      <c r="C3317" t="s">
        <v>2</v>
      </c>
    </row>
    <row r="3318" spans="1:3" x14ac:dyDescent="0.3">
      <c r="A3318" s="8" t="s">
        <v>3328</v>
      </c>
      <c r="B3318" s="8" t="s">
        <v>12</v>
      </c>
      <c r="C3318" t="s">
        <v>2</v>
      </c>
    </row>
    <row r="3319" spans="1:3" x14ac:dyDescent="0.3">
      <c r="A3319" s="8" t="s">
        <v>3329</v>
      </c>
      <c r="B3319" s="8" t="s">
        <v>12</v>
      </c>
      <c r="C3319" t="s">
        <v>2</v>
      </c>
    </row>
    <row r="3320" spans="1:3" x14ac:dyDescent="0.3">
      <c r="A3320" s="8" t="s">
        <v>3330</v>
      </c>
      <c r="B3320" s="8" t="s">
        <v>12</v>
      </c>
      <c r="C3320" t="s">
        <v>2</v>
      </c>
    </row>
    <row r="3321" spans="1:3" x14ac:dyDescent="0.3">
      <c r="A3321" s="8" t="s">
        <v>3331</v>
      </c>
      <c r="B3321" s="8" t="s">
        <v>12</v>
      </c>
      <c r="C3321" t="s">
        <v>2</v>
      </c>
    </row>
    <row r="3322" spans="1:3" x14ac:dyDescent="0.3">
      <c r="A3322" s="8" t="s">
        <v>3332</v>
      </c>
      <c r="B3322" s="8" t="s">
        <v>12</v>
      </c>
      <c r="C3322" t="s">
        <v>3</v>
      </c>
    </row>
    <row r="3323" spans="1:3" x14ac:dyDescent="0.3">
      <c r="A3323" s="8" t="s">
        <v>3333</v>
      </c>
      <c r="B3323" s="8" t="s">
        <v>12</v>
      </c>
      <c r="C3323" t="s">
        <v>3</v>
      </c>
    </row>
    <row r="3324" spans="1:3" x14ac:dyDescent="0.3">
      <c r="A3324" s="8" t="s">
        <v>3334</v>
      </c>
      <c r="B3324" s="8" t="s">
        <v>12</v>
      </c>
      <c r="C3324" t="s">
        <v>3</v>
      </c>
    </row>
    <row r="3325" spans="1:3" x14ac:dyDescent="0.3">
      <c r="A3325" s="8" t="s">
        <v>3335</v>
      </c>
      <c r="B3325" s="8" t="s">
        <v>12</v>
      </c>
      <c r="C3325" t="s">
        <v>3</v>
      </c>
    </row>
    <row r="3326" spans="1:3" x14ac:dyDescent="0.3">
      <c r="A3326" s="8" t="s">
        <v>3336</v>
      </c>
      <c r="B3326" s="8" t="s">
        <v>12</v>
      </c>
      <c r="C3326" t="s">
        <v>3</v>
      </c>
    </row>
    <row r="3327" spans="1:3" x14ac:dyDescent="0.3">
      <c r="A3327" s="8" t="s">
        <v>3337</v>
      </c>
      <c r="B3327" s="8" t="s">
        <v>12</v>
      </c>
      <c r="C3327" t="s">
        <v>2</v>
      </c>
    </row>
    <row r="3328" spans="1:3" x14ac:dyDescent="0.3">
      <c r="A3328" s="8" t="s">
        <v>3338</v>
      </c>
      <c r="B3328" s="8" t="s">
        <v>12</v>
      </c>
      <c r="C3328" t="s">
        <v>2</v>
      </c>
    </row>
    <row r="3329" spans="1:3" x14ac:dyDescent="0.3">
      <c r="A3329" s="8" t="s">
        <v>3339</v>
      </c>
      <c r="B3329" s="8" t="s">
        <v>12</v>
      </c>
      <c r="C3329" t="s">
        <v>2</v>
      </c>
    </row>
    <row r="3330" spans="1:3" x14ac:dyDescent="0.3">
      <c r="A3330" s="8" t="s">
        <v>3340</v>
      </c>
      <c r="B3330" s="8" t="s">
        <v>12</v>
      </c>
      <c r="C3330" t="s">
        <v>2</v>
      </c>
    </row>
    <row r="3331" spans="1:3" x14ac:dyDescent="0.3">
      <c r="A3331" s="8" t="s">
        <v>3341</v>
      </c>
      <c r="B3331" s="8" t="s">
        <v>12</v>
      </c>
      <c r="C3331" t="s">
        <v>2</v>
      </c>
    </row>
    <row r="3332" spans="1:3" x14ac:dyDescent="0.3">
      <c r="A3332" s="8" t="s">
        <v>3342</v>
      </c>
      <c r="B3332" s="8" t="s">
        <v>12</v>
      </c>
      <c r="C3332" t="s">
        <v>2</v>
      </c>
    </row>
    <row r="3333" spans="1:3" x14ac:dyDescent="0.3">
      <c r="A3333" s="8" t="s">
        <v>3343</v>
      </c>
      <c r="B3333" s="8" t="s">
        <v>12</v>
      </c>
      <c r="C3333" t="s">
        <v>2</v>
      </c>
    </row>
    <row r="3334" spans="1:3" x14ac:dyDescent="0.3">
      <c r="A3334" s="8" t="s">
        <v>3344</v>
      </c>
      <c r="B3334" s="8" t="s">
        <v>12</v>
      </c>
      <c r="C3334" t="s">
        <v>2</v>
      </c>
    </row>
    <row r="3335" spans="1:3" x14ac:dyDescent="0.3">
      <c r="A3335" s="8" t="s">
        <v>3345</v>
      </c>
      <c r="B3335" s="8" t="s">
        <v>12</v>
      </c>
      <c r="C3335" t="s">
        <v>3678</v>
      </c>
    </row>
    <row r="3336" spans="1:3" x14ac:dyDescent="0.3">
      <c r="A3336" s="8" t="s">
        <v>3346</v>
      </c>
      <c r="B3336" s="8" t="s">
        <v>12</v>
      </c>
      <c r="C3336" t="s">
        <v>3678</v>
      </c>
    </row>
    <row r="3337" spans="1:3" x14ac:dyDescent="0.3">
      <c r="A3337" s="8" t="s">
        <v>3347</v>
      </c>
      <c r="B3337" s="8" t="s">
        <v>12</v>
      </c>
      <c r="C3337" t="s">
        <v>3678</v>
      </c>
    </row>
    <row r="3338" spans="1:3" x14ac:dyDescent="0.3">
      <c r="A3338" s="8" t="s">
        <v>3348</v>
      </c>
      <c r="B3338" s="8" t="s">
        <v>12</v>
      </c>
      <c r="C3338" t="s">
        <v>3678</v>
      </c>
    </row>
    <row r="3339" spans="1:3" x14ac:dyDescent="0.3">
      <c r="A3339" s="8" t="s">
        <v>3349</v>
      </c>
      <c r="B3339" s="8" t="s">
        <v>12</v>
      </c>
      <c r="C3339" t="s">
        <v>3678</v>
      </c>
    </row>
    <row r="3340" spans="1:3" x14ac:dyDescent="0.3">
      <c r="A3340" s="8" t="s">
        <v>3350</v>
      </c>
      <c r="B3340" s="8" t="s">
        <v>12</v>
      </c>
      <c r="C3340" t="s">
        <v>3678</v>
      </c>
    </row>
    <row r="3341" spans="1:3" x14ac:dyDescent="0.3">
      <c r="A3341" s="8" t="s">
        <v>3351</v>
      </c>
      <c r="B3341" s="8" t="s">
        <v>12</v>
      </c>
      <c r="C3341" t="s">
        <v>3678</v>
      </c>
    </row>
    <row r="3342" spans="1:3" x14ac:dyDescent="0.3">
      <c r="A3342" s="8" t="s">
        <v>3352</v>
      </c>
      <c r="B3342" s="8" t="s">
        <v>12</v>
      </c>
      <c r="C3342" t="s">
        <v>3678</v>
      </c>
    </row>
    <row r="3343" spans="1:3" x14ac:dyDescent="0.3">
      <c r="A3343" s="8" t="s">
        <v>3353</v>
      </c>
      <c r="B3343" s="8" t="s">
        <v>12</v>
      </c>
      <c r="C3343" t="s">
        <v>3678</v>
      </c>
    </row>
    <row r="3344" spans="1:3" x14ac:dyDescent="0.3">
      <c r="A3344" s="8" t="s">
        <v>3354</v>
      </c>
      <c r="B3344" s="8" t="s">
        <v>12</v>
      </c>
      <c r="C3344" t="s">
        <v>2</v>
      </c>
    </row>
    <row r="3345" spans="1:3" x14ac:dyDescent="0.3">
      <c r="A3345" s="8" t="s">
        <v>3355</v>
      </c>
      <c r="B3345" s="8" t="s">
        <v>12</v>
      </c>
      <c r="C3345" t="s">
        <v>2</v>
      </c>
    </row>
    <row r="3346" spans="1:3" x14ac:dyDescent="0.3">
      <c r="A3346" s="8" t="s">
        <v>3356</v>
      </c>
      <c r="B3346" s="8" t="s">
        <v>12</v>
      </c>
      <c r="C3346" t="s">
        <v>2</v>
      </c>
    </row>
    <row r="3347" spans="1:3" x14ac:dyDescent="0.3">
      <c r="A3347" s="8" t="s">
        <v>3357</v>
      </c>
      <c r="B3347" s="8" t="s">
        <v>12</v>
      </c>
      <c r="C3347" t="s">
        <v>2</v>
      </c>
    </row>
    <row r="3348" spans="1:3" x14ac:dyDescent="0.3">
      <c r="A3348" s="8" t="s">
        <v>3358</v>
      </c>
      <c r="B3348" s="8" t="s">
        <v>12</v>
      </c>
      <c r="C3348" t="s">
        <v>2</v>
      </c>
    </row>
    <row r="3349" spans="1:3" x14ac:dyDescent="0.3">
      <c r="A3349" s="8" t="s">
        <v>3359</v>
      </c>
      <c r="B3349" s="8" t="s">
        <v>12</v>
      </c>
      <c r="C3349" t="s">
        <v>2</v>
      </c>
    </row>
    <row r="3350" spans="1:3" x14ac:dyDescent="0.3">
      <c r="A3350" s="8" t="s">
        <v>3360</v>
      </c>
      <c r="B3350" s="8" t="s">
        <v>12</v>
      </c>
      <c r="C3350" t="s">
        <v>2</v>
      </c>
    </row>
    <row r="3351" spans="1:3" x14ac:dyDescent="0.3">
      <c r="A3351" s="8" t="s">
        <v>3361</v>
      </c>
      <c r="B3351" s="8" t="s">
        <v>12</v>
      </c>
      <c r="C3351" t="s">
        <v>2</v>
      </c>
    </row>
    <row r="3352" spans="1:3" x14ac:dyDescent="0.3">
      <c r="A3352" s="8" t="s">
        <v>3362</v>
      </c>
      <c r="B3352" s="8" t="s">
        <v>12</v>
      </c>
      <c r="C3352" t="s">
        <v>2</v>
      </c>
    </row>
    <row r="3353" spans="1:3" x14ac:dyDescent="0.3">
      <c r="A3353" s="8" t="s">
        <v>3363</v>
      </c>
      <c r="B3353" s="8" t="s">
        <v>12</v>
      </c>
      <c r="C3353" t="s">
        <v>2</v>
      </c>
    </row>
    <row r="3354" spans="1:3" x14ac:dyDescent="0.3">
      <c r="A3354" s="8" t="s">
        <v>3364</v>
      </c>
      <c r="B3354" s="8" t="s">
        <v>12</v>
      </c>
      <c r="C3354" t="s">
        <v>2</v>
      </c>
    </row>
    <row r="3355" spans="1:3" x14ac:dyDescent="0.3">
      <c r="A3355" s="8" t="s">
        <v>3365</v>
      </c>
      <c r="B3355" s="8" t="s">
        <v>12</v>
      </c>
      <c r="C3355" t="s">
        <v>2</v>
      </c>
    </row>
    <row r="3356" spans="1:3" x14ac:dyDescent="0.3">
      <c r="A3356" s="8" t="s">
        <v>3366</v>
      </c>
      <c r="B3356" s="8" t="s">
        <v>12</v>
      </c>
      <c r="C3356" t="s">
        <v>2</v>
      </c>
    </row>
    <row r="3357" spans="1:3" x14ac:dyDescent="0.3">
      <c r="A3357" s="8" t="s">
        <v>3367</v>
      </c>
      <c r="B3357" s="8" t="s">
        <v>12</v>
      </c>
      <c r="C3357" t="s">
        <v>2</v>
      </c>
    </row>
    <row r="3358" spans="1:3" x14ac:dyDescent="0.3">
      <c r="A3358" s="8" t="s">
        <v>3368</v>
      </c>
      <c r="B3358" s="8" t="s">
        <v>12</v>
      </c>
      <c r="C3358" t="s">
        <v>2</v>
      </c>
    </row>
    <row r="3359" spans="1:3" x14ac:dyDescent="0.3">
      <c r="A3359" s="8" t="s">
        <v>3369</v>
      </c>
      <c r="B3359" s="8" t="s">
        <v>12</v>
      </c>
      <c r="C3359" t="s">
        <v>2</v>
      </c>
    </row>
    <row r="3360" spans="1:3" x14ac:dyDescent="0.3">
      <c r="A3360" s="8" t="s">
        <v>3370</v>
      </c>
      <c r="B3360" s="8" t="s">
        <v>12</v>
      </c>
      <c r="C3360" t="s">
        <v>2</v>
      </c>
    </row>
    <row r="3361" spans="1:3" x14ac:dyDescent="0.3">
      <c r="A3361" s="8" t="s">
        <v>3371</v>
      </c>
      <c r="B3361" s="8" t="s">
        <v>12</v>
      </c>
      <c r="C3361" t="s">
        <v>2</v>
      </c>
    </row>
    <row r="3362" spans="1:3" x14ac:dyDescent="0.3">
      <c r="A3362" s="8" t="s">
        <v>3372</v>
      </c>
      <c r="B3362" s="8" t="s">
        <v>12</v>
      </c>
      <c r="C3362" t="s">
        <v>2</v>
      </c>
    </row>
    <row r="3363" spans="1:3" x14ac:dyDescent="0.3">
      <c r="A3363" s="8" t="s">
        <v>3373</v>
      </c>
      <c r="B3363" s="8" t="s">
        <v>12</v>
      </c>
      <c r="C3363" t="s">
        <v>2</v>
      </c>
    </row>
    <row r="3364" spans="1:3" x14ac:dyDescent="0.3">
      <c r="A3364" s="8" t="s">
        <v>3374</v>
      </c>
      <c r="B3364" s="8" t="s">
        <v>12</v>
      </c>
      <c r="C3364" t="s">
        <v>2</v>
      </c>
    </row>
    <row r="3365" spans="1:3" x14ac:dyDescent="0.3">
      <c r="A3365" s="8" t="s">
        <v>3375</v>
      </c>
      <c r="B3365" s="8" t="s">
        <v>12</v>
      </c>
      <c r="C3365" t="s">
        <v>2</v>
      </c>
    </row>
    <row r="3366" spans="1:3" x14ac:dyDescent="0.3">
      <c r="A3366" s="8" t="s">
        <v>3376</v>
      </c>
      <c r="B3366" s="8" t="s">
        <v>12</v>
      </c>
      <c r="C3366" t="s">
        <v>2</v>
      </c>
    </row>
    <row r="3367" spans="1:3" x14ac:dyDescent="0.3">
      <c r="A3367" s="8" t="s">
        <v>3377</v>
      </c>
      <c r="B3367" s="8" t="s">
        <v>12</v>
      </c>
      <c r="C3367" t="s">
        <v>2</v>
      </c>
    </row>
    <row r="3368" spans="1:3" x14ac:dyDescent="0.3">
      <c r="A3368" s="8" t="s">
        <v>3378</v>
      </c>
      <c r="B3368" s="8" t="s">
        <v>12</v>
      </c>
      <c r="C3368" t="s">
        <v>2</v>
      </c>
    </row>
    <row r="3369" spans="1:3" x14ac:dyDescent="0.3">
      <c r="A3369" s="8" t="s">
        <v>3379</v>
      </c>
      <c r="B3369" s="8" t="s">
        <v>12</v>
      </c>
      <c r="C3369" t="s">
        <v>2</v>
      </c>
    </row>
    <row r="3370" spans="1:3" x14ac:dyDescent="0.3">
      <c r="A3370" s="8" t="s">
        <v>3380</v>
      </c>
      <c r="B3370" s="8" t="s">
        <v>12</v>
      </c>
      <c r="C3370" t="s">
        <v>2</v>
      </c>
    </row>
    <row r="3371" spans="1:3" x14ac:dyDescent="0.3">
      <c r="A3371" s="8" t="s">
        <v>3381</v>
      </c>
      <c r="B3371" s="8" t="s">
        <v>12</v>
      </c>
      <c r="C3371" t="s">
        <v>2</v>
      </c>
    </row>
    <row r="3372" spans="1:3" x14ac:dyDescent="0.3">
      <c r="A3372" s="8" t="s">
        <v>3382</v>
      </c>
      <c r="B3372" s="8" t="s">
        <v>12</v>
      </c>
      <c r="C3372" t="s">
        <v>2</v>
      </c>
    </row>
    <row r="3373" spans="1:3" x14ac:dyDescent="0.3">
      <c r="A3373" s="8" t="s">
        <v>3383</v>
      </c>
      <c r="B3373" s="8" t="s">
        <v>12</v>
      </c>
      <c r="C3373" t="s">
        <v>2</v>
      </c>
    </row>
    <row r="3374" spans="1:3" x14ac:dyDescent="0.3">
      <c r="A3374" s="8" t="s">
        <v>3384</v>
      </c>
      <c r="B3374" s="8" t="s">
        <v>12</v>
      </c>
      <c r="C3374" t="s">
        <v>2</v>
      </c>
    </row>
    <row r="3375" spans="1:3" x14ac:dyDescent="0.3">
      <c r="A3375" s="8" t="s">
        <v>3385</v>
      </c>
      <c r="B3375" s="8" t="s">
        <v>12</v>
      </c>
      <c r="C3375" t="s">
        <v>2</v>
      </c>
    </row>
    <row r="3376" spans="1:3" x14ac:dyDescent="0.3">
      <c r="A3376" s="8" t="s">
        <v>3386</v>
      </c>
      <c r="B3376" s="8" t="s">
        <v>12</v>
      </c>
      <c r="C3376" t="s">
        <v>2</v>
      </c>
    </row>
    <row r="3377" spans="1:3" x14ac:dyDescent="0.3">
      <c r="A3377" s="8" t="s">
        <v>3387</v>
      </c>
      <c r="B3377" s="8" t="s">
        <v>12</v>
      </c>
      <c r="C3377" t="s">
        <v>2</v>
      </c>
    </row>
    <row r="3378" spans="1:3" x14ac:dyDescent="0.3">
      <c r="A3378" s="8" t="s">
        <v>3388</v>
      </c>
      <c r="B3378" s="8" t="s">
        <v>12</v>
      </c>
      <c r="C3378" t="s">
        <v>2</v>
      </c>
    </row>
    <row r="3379" spans="1:3" x14ac:dyDescent="0.3">
      <c r="A3379" s="8" t="s">
        <v>3389</v>
      </c>
      <c r="B3379" s="8" t="s">
        <v>12</v>
      </c>
      <c r="C3379" t="s">
        <v>2</v>
      </c>
    </row>
    <row r="3380" spans="1:3" x14ac:dyDescent="0.3">
      <c r="A3380" s="8" t="s">
        <v>3390</v>
      </c>
      <c r="B3380" s="8" t="s">
        <v>12</v>
      </c>
      <c r="C3380" t="s">
        <v>2</v>
      </c>
    </row>
    <row r="3381" spans="1:3" x14ac:dyDescent="0.3">
      <c r="A3381" s="8" t="s">
        <v>3391</v>
      </c>
      <c r="B3381" s="8" t="s">
        <v>12</v>
      </c>
      <c r="C3381" t="s">
        <v>2</v>
      </c>
    </row>
    <row r="3382" spans="1:3" x14ac:dyDescent="0.3">
      <c r="A3382" s="8" t="s">
        <v>3392</v>
      </c>
      <c r="B3382" s="8" t="s">
        <v>12</v>
      </c>
      <c r="C3382" t="s">
        <v>2</v>
      </c>
    </row>
    <row r="3383" spans="1:3" x14ac:dyDescent="0.3">
      <c r="A3383" s="8" t="s">
        <v>3393</v>
      </c>
      <c r="B3383" s="8" t="s">
        <v>12</v>
      </c>
      <c r="C3383" t="s">
        <v>2</v>
      </c>
    </row>
    <row r="3384" spans="1:3" x14ac:dyDescent="0.3">
      <c r="A3384" s="8" t="s">
        <v>3394</v>
      </c>
      <c r="B3384" s="8" t="s">
        <v>12</v>
      </c>
      <c r="C3384" t="s">
        <v>2</v>
      </c>
    </row>
    <row r="3385" spans="1:3" x14ac:dyDescent="0.3">
      <c r="A3385" s="8" t="s">
        <v>3395</v>
      </c>
      <c r="B3385" s="8" t="s">
        <v>12</v>
      </c>
      <c r="C3385" t="s">
        <v>2</v>
      </c>
    </row>
    <row r="3386" spans="1:3" x14ac:dyDescent="0.3">
      <c r="A3386" s="8" t="s">
        <v>3396</v>
      </c>
      <c r="B3386" s="8" t="s">
        <v>12</v>
      </c>
      <c r="C3386" t="s">
        <v>2</v>
      </c>
    </row>
    <row r="3387" spans="1:3" x14ac:dyDescent="0.3">
      <c r="A3387" s="8" t="s">
        <v>3397</v>
      </c>
      <c r="B3387" s="8" t="s">
        <v>12</v>
      </c>
      <c r="C3387" t="s">
        <v>2</v>
      </c>
    </row>
    <row r="3388" spans="1:3" x14ac:dyDescent="0.3">
      <c r="A3388" s="8" t="s">
        <v>3398</v>
      </c>
      <c r="B3388" s="8" t="s">
        <v>12</v>
      </c>
      <c r="C3388" t="s">
        <v>2</v>
      </c>
    </row>
    <row r="3389" spans="1:3" x14ac:dyDescent="0.3">
      <c r="A3389" s="8" t="s">
        <v>3399</v>
      </c>
      <c r="B3389" s="8" t="s">
        <v>12</v>
      </c>
      <c r="C3389" t="s">
        <v>2</v>
      </c>
    </row>
    <row r="3390" spans="1:3" x14ac:dyDescent="0.3">
      <c r="A3390" s="8" t="s">
        <v>3400</v>
      </c>
      <c r="B3390" s="8" t="s">
        <v>12</v>
      </c>
      <c r="C3390" t="s">
        <v>3</v>
      </c>
    </row>
    <row r="3391" spans="1:3" x14ac:dyDescent="0.3">
      <c r="A3391" s="8" t="s">
        <v>3401</v>
      </c>
      <c r="B3391" s="8" t="s">
        <v>12</v>
      </c>
      <c r="C3391" t="s">
        <v>3</v>
      </c>
    </row>
    <row r="3392" spans="1:3" x14ac:dyDescent="0.3">
      <c r="A3392" s="8" t="s">
        <v>3402</v>
      </c>
      <c r="B3392" s="8" t="s">
        <v>12</v>
      </c>
      <c r="C3392" t="s">
        <v>3</v>
      </c>
    </row>
    <row r="3393" spans="1:3" x14ac:dyDescent="0.3">
      <c r="A3393" s="8" t="s">
        <v>3403</v>
      </c>
      <c r="B3393" s="8" t="s">
        <v>12</v>
      </c>
      <c r="C3393" t="s">
        <v>3</v>
      </c>
    </row>
    <row r="3394" spans="1:3" x14ac:dyDescent="0.3">
      <c r="A3394" s="8" t="s">
        <v>3404</v>
      </c>
      <c r="B3394" s="8" t="s">
        <v>12</v>
      </c>
      <c r="C3394" t="s">
        <v>3</v>
      </c>
    </row>
    <row r="3395" spans="1:3" x14ac:dyDescent="0.3">
      <c r="A3395" s="8" t="s">
        <v>3405</v>
      </c>
      <c r="B3395" s="8" t="s">
        <v>12</v>
      </c>
      <c r="C3395" t="s">
        <v>3</v>
      </c>
    </row>
    <row r="3396" spans="1:3" x14ac:dyDescent="0.3">
      <c r="A3396" s="8" t="s">
        <v>3406</v>
      </c>
      <c r="B3396" s="8" t="s">
        <v>12</v>
      </c>
      <c r="C3396" t="s">
        <v>3</v>
      </c>
    </row>
    <row r="3397" spans="1:3" x14ac:dyDescent="0.3">
      <c r="A3397" s="8" t="s">
        <v>3407</v>
      </c>
      <c r="B3397" s="8" t="s">
        <v>12</v>
      </c>
      <c r="C3397" t="s">
        <v>3</v>
      </c>
    </row>
    <row r="3398" spans="1:3" x14ac:dyDescent="0.3">
      <c r="A3398" s="8" t="s">
        <v>3408</v>
      </c>
      <c r="B3398" s="8" t="s">
        <v>12</v>
      </c>
      <c r="C3398" t="s">
        <v>3</v>
      </c>
    </row>
    <row r="3399" spans="1:3" x14ac:dyDescent="0.3">
      <c r="A3399" s="8" t="s">
        <v>3409</v>
      </c>
      <c r="B3399" s="8" t="s">
        <v>12</v>
      </c>
      <c r="C3399" t="s">
        <v>3</v>
      </c>
    </row>
    <row r="3400" spans="1:3" x14ac:dyDescent="0.3">
      <c r="A3400" s="8" t="s">
        <v>3410</v>
      </c>
      <c r="B3400" s="8" t="s">
        <v>12</v>
      </c>
      <c r="C3400" t="s">
        <v>3</v>
      </c>
    </row>
    <row r="3401" spans="1:3" x14ac:dyDescent="0.3">
      <c r="A3401" s="8" t="s">
        <v>3411</v>
      </c>
      <c r="B3401" s="8" t="s">
        <v>12</v>
      </c>
      <c r="C3401" t="s">
        <v>2</v>
      </c>
    </row>
    <row r="3402" spans="1:3" x14ac:dyDescent="0.3">
      <c r="A3402" s="8" t="s">
        <v>3412</v>
      </c>
      <c r="B3402" s="8" t="s">
        <v>12</v>
      </c>
      <c r="C3402" t="s">
        <v>2</v>
      </c>
    </row>
    <row r="3403" spans="1:3" x14ac:dyDescent="0.3">
      <c r="A3403" s="8" t="s">
        <v>3413</v>
      </c>
      <c r="B3403" s="8" t="s">
        <v>12</v>
      </c>
      <c r="C3403" t="s">
        <v>2</v>
      </c>
    </row>
    <row r="3404" spans="1:3" x14ac:dyDescent="0.3">
      <c r="A3404" s="8" t="s">
        <v>3414</v>
      </c>
      <c r="B3404" s="8" t="s">
        <v>12</v>
      </c>
      <c r="C3404" t="s">
        <v>2</v>
      </c>
    </row>
    <row r="3405" spans="1:3" x14ac:dyDescent="0.3">
      <c r="A3405" s="8" t="s">
        <v>3415</v>
      </c>
      <c r="B3405" s="8" t="s">
        <v>12</v>
      </c>
      <c r="C3405" t="s">
        <v>2</v>
      </c>
    </row>
    <row r="3406" spans="1:3" x14ac:dyDescent="0.3">
      <c r="A3406" s="8" t="s">
        <v>3416</v>
      </c>
      <c r="B3406" s="8" t="s">
        <v>12</v>
      </c>
      <c r="C3406" t="s">
        <v>2</v>
      </c>
    </row>
    <row r="3407" spans="1:3" x14ac:dyDescent="0.3">
      <c r="A3407" s="8" t="s">
        <v>3417</v>
      </c>
      <c r="B3407" s="8" t="s">
        <v>12</v>
      </c>
      <c r="C3407" t="s">
        <v>2</v>
      </c>
    </row>
    <row r="3408" spans="1:3" x14ac:dyDescent="0.3">
      <c r="A3408" s="8" t="s">
        <v>3418</v>
      </c>
      <c r="B3408" s="8" t="s">
        <v>12</v>
      </c>
      <c r="C3408" t="s">
        <v>3678</v>
      </c>
    </row>
    <row r="3409" spans="1:3" x14ac:dyDescent="0.3">
      <c r="A3409" s="8" t="s">
        <v>3419</v>
      </c>
      <c r="B3409" s="8" t="s">
        <v>12</v>
      </c>
      <c r="C3409" t="s">
        <v>3678</v>
      </c>
    </row>
    <row r="3410" spans="1:3" x14ac:dyDescent="0.3">
      <c r="A3410" s="8" t="s">
        <v>3420</v>
      </c>
      <c r="B3410" s="8" t="s">
        <v>12</v>
      </c>
      <c r="C3410" t="s">
        <v>3678</v>
      </c>
    </row>
    <row r="3411" spans="1:3" x14ac:dyDescent="0.3">
      <c r="A3411" s="8" t="s">
        <v>3421</v>
      </c>
      <c r="B3411" s="8" t="s">
        <v>12</v>
      </c>
      <c r="C3411" t="s">
        <v>3678</v>
      </c>
    </row>
    <row r="3412" spans="1:3" x14ac:dyDescent="0.3">
      <c r="A3412" s="8" t="s">
        <v>3422</v>
      </c>
      <c r="B3412" s="8" t="s">
        <v>12</v>
      </c>
      <c r="C3412" t="s">
        <v>2</v>
      </c>
    </row>
    <row r="3413" spans="1:3" x14ac:dyDescent="0.3">
      <c r="A3413" s="8" t="s">
        <v>3423</v>
      </c>
      <c r="B3413" s="8" t="s">
        <v>12</v>
      </c>
      <c r="C3413" t="s">
        <v>2</v>
      </c>
    </row>
    <row r="3414" spans="1:3" x14ac:dyDescent="0.3">
      <c r="A3414" s="8" t="s">
        <v>3424</v>
      </c>
      <c r="B3414" s="8" t="s">
        <v>12</v>
      </c>
      <c r="C3414" t="s">
        <v>2</v>
      </c>
    </row>
    <row r="3415" spans="1:3" x14ac:dyDescent="0.3">
      <c r="A3415" s="8" t="s">
        <v>3425</v>
      </c>
      <c r="B3415" s="8" t="s">
        <v>12</v>
      </c>
      <c r="C3415" t="s">
        <v>2</v>
      </c>
    </row>
    <row r="3416" spans="1:3" x14ac:dyDescent="0.3">
      <c r="A3416" s="8" t="s">
        <v>3426</v>
      </c>
      <c r="B3416" s="8" t="s">
        <v>12</v>
      </c>
      <c r="C3416" t="s">
        <v>3678</v>
      </c>
    </row>
    <row r="3417" spans="1:3" x14ac:dyDescent="0.3">
      <c r="A3417" s="8" t="s">
        <v>3427</v>
      </c>
      <c r="B3417" s="8" t="s">
        <v>12</v>
      </c>
      <c r="C3417" t="s">
        <v>3678</v>
      </c>
    </row>
    <row r="3418" spans="1:3" x14ac:dyDescent="0.3">
      <c r="A3418" s="8" t="s">
        <v>3428</v>
      </c>
      <c r="B3418" s="8" t="s">
        <v>12</v>
      </c>
      <c r="C3418" t="s">
        <v>3678</v>
      </c>
    </row>
    <row r="3419" spans="1:3" x14ac:dyDescent="0.3">
      <c r="A3419" s="8" t="s">
        <v>3429</v>
      </c>
      <c r="B3419" s="8" t="s">
        <v>12</v>
      </c>
      <c r="C3419" t="s">
        <v>2</v>
      </c>
    </row>
    <row r="3420" spans="1:3" x14ac:dyDescent="0.3">
      <c r="A3420" s="8" t="s">
        <v>3430</v>
      </c>
      <c r="B3420" s="8" t="s">
        <v>12</v>
      </c>
      <c r="C3420" t="s">
        <v>2</v>
      </c>
    </row>
    <row r="3421" spans="1:3" x14ac:dyDescent="0.3">
      <c r="A3421" s="8" t="s">
        <v>3431</v>
      </c>
      <c r="B3421" s="8" t="s">
        <v>12</v>
      </c>
      <c r="C3421" t="s">
        <v>2</v>
      </c>
    </row>
    <row r="3422" spans="1:3" x14ac:dyDescent="0.3">
      <c r="A3422" s="8" t="s">
        <v>3432</v>
      </c>
      <c r="B3422" s="8" t="s">
        <v>12</v>
      </c>
      <c r="C3422" t="s">
        <v>2</v>
      </c>
    </row>
    <row r="3423" spans="1:3" x14ac:dyDescent="0.3">
      <c r="A3423" s="8" t="s">
        <v>3433</v>
      </c>
      <c r="B3423" s="8" t="s">
        <v>12</v>
      </c>
      <c r="C3423" t="s">
        <v>2</v>
      </c>
    </row>
    <row r="3424" spans="1:3" x14ac:dyDescent="0.3">
      <c r="A3424" s="8" t="s">
        <v>3434</v>
      </c>
      <c r="B3424" s="8" t="s">
        <v>12</v>
      </c>
      <c r="C3424" t="s">
        <v>2</v>
      </c>
    </row>
    <row r="3425" spans="1:3" x14ac:dyDescent="0.3">
      <c r="A3425" s="8" t="s">
        <v>3435</v>
      </c>
      <c r="B3425" s="8" t="s">
        <v>12</v>
      </c>
      <c r="C3425" t="s">
        <v>2</v>
      </c>
    </row>
    <row r="3426" spans="1:3" x14ac:dyDescent="0.3">
      <c r="A3426" s="8" t="s">
        <v>3436</v>
      </c>
      <c r="B3426" s="8" t="s">
        <v>12</v>
      </c>
      <c r="C3426" t="s">
        <v>2</v>
      </c>
    </row>
    <row r="3427" spans="1:3" x14ac:dyDescent="0.3">
      <c r="A3427" s="8" t="s">
        <v>3437</v>
      </c>
      <c r="B3427" s="8" t="s">
        <v>12</v>
      </c>
      <c r="C3427" t="s">
        <v>2</v>
      </c>
    </row>
    <row r="3428" spans="1:3" x14ac:dyDescent="0.3">
      <c r="A3428" s="8" t="s">
        <v>3438</v>
      </c>
      <c r="B3428" s="8" t="s">
        <v>12</v>
      </c>
      <c r="C3428" t="s">
        <v>2</v>
      </c>
    </row>
    <row r="3429" spans="1:3" x14ac:dyDescent="0.3">
      <c r="A3429" s="8" t="s">
        <v>3439</v>
      </c>
      <c r="B3429" s="8" t="s">
        <v>12</v>
      </c>
      <c r="C3429" t="s">
        <v>2</v>
      </c>
    </row>
    <row r="3430" spans="1:3" x14ac:dyDescent="0.3">
      <c r="A3430" s="8" t="s">
        <v>3440</v>
      </c>
      <c r="B3430" s="8" t="s">
        <v>12</v>
      </c>
      <c r="C3430" t="s">
        <v>2</v>
      </c>
    </row>
    <row r="3431" spans="1:3" x14ac:dyDescent="0.3">
      <c r="A3431" s="8" t="s">
        <v>3441</v>
      </c>
      <c r="B3431" s="8" t="s">
        <v>12</v>
      </c>
      <c r="C3431" t="s">
        <v>2</v>
      </c>
    </row>
    <row r="3432" spans="1:3" x14ac:dyDescent="0.3">
      <c r="A3432" s="8" t="s">
        <v>3442</v>
      </c>
      <c r="B3432" s="8" t="s">
        <v>12</v>
      </c>
      <c r="C3432" t="s">
        <v>2</v>
      </c>
    </row>
    <row r="3433" spans="1:3" x14ac:dyDescent="0.3">
      <c r="A3433" s="8" t="s">
        <v>3443</v>
      </c>
      <c r="B3433" s="8" t="s">
        <v>12</v>
      </c>
      <c r="C3433" t="s">
        <v>2</v>
      </c>
    </row>
    <row r="3434" spans="1:3" x14ac:dyDescent="0.3">
      <c r="A3434" s="8" t="s">
        <v>3444</v>
      </c>
      <c r="B3434" s="8" t="s">
        <v>12</v>
      </c>
      <c r="C3434" t="s">
        <v>2</v>
      </c>
    </row>
    <row r="3435" spans="1:3" x14ac:dyDescent="0.3">
      <c r="A3435" s="8" t="s">
        <v>3445</v>
      </c>
      <c r="B3435" s="8" t="s">
        <v>12</v>
      </c>
      <c r="C3435" t="s">
        <v>2</v>
      </c>
    </row>
    <row r="3436" spans="1:3" x14ac:dyDescent="0.3">
      <c r="A3436" s="8" t="s">
        <v>3446</v>
      </c>
      <c r="B3436" s="8" t="s">
        <v>12</v>
      </c>
      <c r="C3436" t="s">
        <v>2</v>
      </c>
    </row>
    <row r="3437" spans="1:3" x14ac:dyDescent="0.3">
      <c r="A3437" s="8" t="s">
        <v>3447</v>
      </c>
      <c r="B3437" s="8" t="s">
        <v>12</v>
      </c>
      <c r="C3437" t="s">
        <v>2</v>
      </c>
    </row>
    <row r="3438" spans="1:3" x14ac:dyDescent="0.3">
      <c r="A3438" s="8" t="s">
        <v>3448</v>
      </c>
      <c r="B3438" s="8" t="s">
        <v>12</v>
      </c>
      <c r="C3438" t="s">
        <v>2</v>
      </c>
    </row>
    <row r="3439" spans="1:3" x14ac:dyDescent="0.3">
      <c r="A3439" s="8" t="s">
        <v>3449</v>
      </c>
      <c r="B3439" s="8" t="s">
        <v>12</v>
      </c>
      <c r="C3439" t="s">
        <v>2</v>
      </c>
    </row>
    <row r="3440" spans="1:3" x14ac:dyDescent="0.3">
      <c r="A3440" s="8" t="s">
        <v>3450</v>
      </c>
      <c r="B3440" s="8" t="s">
        <v>12</v>
      </c>
      <c r="C3440" t="s">
        <v>2</v>
      </c>
    </row>
    <row r="3441" spans="1:3" x14ac:dyDescent="0.3">
      <c r="A3441" s="8" t="s">
        <v>3451</v>
      </c>
      <c r="B3441" s="8" t="s">
        <v>12</v>
      </c>
      <c r="C3441" t="s">
        <v>2</v>
      </c>
    </row>
    <row r="3442" spans="1:3" x14ac:dyDescent="0.3">
      <c r="A3442" s="8" t="s">
        <v>3452</v>
      </c>
      <c r="B3442" s="8" t="s">
        <v>12</v>
      </c>
      <c r="C3442" t="s">
        <v>2</v>
      </c>
    </row>
    <row r="3443" spans="1:3" x14ac:dyDescent="0.3">
      <c r="A3443" s="8" t="s">
        <v>3453</v>
      </c>
      <c r="B3443" s="8" t="s">
        <v>12</v>
      </c>
      <c r="C3443" t="s">
        <v>2</v>
      </c>
    </row>
    <row r="3444" spans="1:3" x14ac:dyDescent="0.3">
      <c r="A3444" s="8" t="s">
        <v>3454</v>
      </c>
      <c r="B3444" s="8" t="s">
        <v>12</v>
      </c>
      <c r="C3444" t="s">
        <v>2</v>
      </c>
    </row>
    <row r="3445" spans="1:3" x14ac:dyDescent="0.3">
      <c r="A3445" s="8" t="s">
        <v>3455</v>
      </c>
      <c r="B3445" s="8" t="s">
        <v>12</v>
      </c>
      <c r="C3445" t="s">
        <v>2</v>
      </c>
    </row>
    <row r="3446" spans="1:3" x14ac:dyDescent="0.3">
      <c r="A3446" s="8" t="s">
        <v>3456</v>
      </c>
      <c r="B3446" s="8" t="s">
        <v>12</v>
      </c>
      <c r="C3446" t="s">
        <v>2</v>
      </c>
    </row>
    <row r="3447" spans="1:3" x14ac:dyDescent="0.3">
      <c r="A3447" s="8" t="s">
        <v>3457</v>
      </c>
      <c r="B3447" s="8" t="s">
        <v>12</v>
      </c>
      <c r="C3447" t="s">
        <v>2</v>
      </c>
    </row>
    <row r="3448" spans="1:3" x14ac:dyDescent="0.3">
      <c r="A3448" s="8" t="s">
        <v>3458</v>
      </c>
      <c r="B3448" s="8" t="s">
        <v>12</v>
      </c>
      <c r="C3448" t="s">
        <v>2</v>
      </c>
    </row>
    <row r="3449" spans="1:3" x14ac:dyDescent="0.3">
      <c r="A3449" s="8" t="s">
        <v>3459</v>
      </c>
      <c r="B3449" s="8" t="s">
        <v>12</v>
      </c>
      <c r="C3449" t="s">
        <v>2</v>
      </c>
    </row>
    <row r="3450" spans="1:3" x14ac:dyDescent="0.3">
      <c r="A3450" s="8" t="s">
        <v>3460</v>
      </c>
      <c r="B3450" s="8" t="s">
        <v>12</v>
      </c>
      <c r="C3450" t="s">
        <v>2</v>
      </c>
    </row>
    <row r="3451" spans="1:3" x14ac:dyDescent="0.3">
      <c r="A3451" s="8" t="s">
        <v>3461</v>
      </c>
      <c r="B3451" s="8" t="s">
        <v>12</v>
      </c>
      <c r="C3451" t="s">
        <v>2</v>
      </c>
    </row>
    <row r="3452" spans="1:3" x14ac:dyDescent="0.3">
      <c r="A3452" s="8" t="s">
        <v>3462</v>
      </c>
      <c r="B3452" s="8" t="s">
        <v>12</v>
      </c>
      <c r="C3452" t="s">
        <v>2</v>
      </c>
    </row>
    <row r="3453" spans="1:3" x14ac:dyDescent="0.3">
      <c r="A3453" s="8" t="s">
        <v>3463</v>
      </c>
      <c r="B3453" s="8" t="s">
        <v>12</v>
      </c>
      <c r="C3453" t="s">
        <v>2</v>
      </c>
    </row>
    <row r="3454" spans="1:3" x14ac:dyDescent="0.3">
      <c r="A3454" s="8" t="s">
        <v>3464</v>
      </c>
      <c r="B3454" s="8" t="s">
        <v>12</v>
      </c>
      <c r="C3454" t="s">
        <v>2</v>
      </c>
    </row>
    <row r="3455" spans="1:3" x14ac:dyDescent="0.3">
      <c r="A3455" s="8" t="s">
        <v>3465</v>
      </c>
      <c r="B3455" s="8" t="s">
        <v>12</v>
      </c>
      <c r="C3455" t="s">
        <v>2</v>
      </c>
    </row>
    <row r="3456" spans="1:3" x14ac:dyDescent="0.3">
      <c r="A3456" s="8" t="s">
        <v>3466</v>
      </c>
      <c r="B3456" s="8" t="s">
        <v>12</v>
      </c>
      <c r="C3456" t="s">
        <v>2</v>
      </c>
    </row>
    <row r="3457" spans="1:3" x14ac:dyDescent="0.3">
      <c r="A3457" s="8" t="s">
        <v>3467</v>
      </c>
      <c r="B3457" s="8" t="s">
        <v>12</v>
      </c>
      <c r="C3457" t="s">
        <v>2</v>
      </c>
    </row>
    <row r="3458" spans="1:3" x14ac:dyDescent="0.3">
      <c r="A3458" s="8" t="s">
        <v>3468</v>
      </c>
      <c r="B3458" s="8" t="s">
        <v>12</v>
      </c>
      <c r="C3458" t="s">
        <v>2</v>
      </c>
    </row>
    <row r="3459" spans="1:3" x14ac:dyDescent="0.3">
      <c r="A3459" s="8" t="s">
        <v>3469</v>
      </c>
      <c r="B3459" s="8" t="s">
        <v>12</v>
      </c>
      <c r="C3459" t="s">
        <v>2</v>
      </c>
    </row>
    <row r="3460" spans="1:3" x14ac:dyDescent="0.3">
      <c r="A3460" s="8" t="s">
        <v>3470</v>
      </c>
      <c r="B3460" s="8" t="s">
        <v>12</v>
      </c>
      <c r="C3460" t="s">
        <v>2</v>
      </c>
    </row>
    <row r="3461" spans="1:3" x14ac:dyDescent="0.3">
      <c r="A3461" s="8" t="s">
        <v>3471</v>
      </c>
      <c r="B3461" s="8" t="s">
        <v>12</v>
      </c>
      <c r="C3461" t="s">
        <v>2</v>
      </c>
    </row>
    <row r="3462" spans="1:3" x14ac:dyDescent="0.3">
      <c r="A3462" s="8" t="s">
        <v>3472</v>
      </c>
      <c r="B3462" s="8" t="s">
        <v>12</v>
      </c>
      <c r="C3462" t="s">
        <v>2</v>
      </c>
    </row>
    <row r="3463" spans="1:3" x14ac:dyDescent="0.3">
      <c r="A3463" s="8" t="s">
        <v>3473</v>
      </c>
      <c r="B3463" s="8" t="s">
        <v>12</v>
      </c>
      <c r="C3463" t="s">
        <v>2</v>
      </c>
    </row>
    <row r="3464" spans="1:3" x14ac:dyDescent="0.3">
      <c r="A3464" s="8" t="s">
        <v>3474</v>
      </c>
      <c r="B3464" s="8" t="s">
        <v>12</v>
      </c>
      <c r="C3464" t="s">
        <v>2</v>
      </c>
    </row>
    <row r="3465" spans="1:3" x14ac:dyDescent="0.3">
      <c r="A3465" s="8" t="s">
        <v>3475</v>
      </c>
      <c r="B3465" s="8" t="s">
        <v>12</v>
      </c>
      <c r="C3465" t="s">
        <v>2</v>
      </c>
    </row>
    <row r="3466" spans="1:3" x14ac:dyDescent="0.3">
      <c r="A3466" s="8" t="s">
        <v>3476</v>
      </c>
      <c r="B3466" s="8" t="s">
        <v>12</v>
      </c>
      <c r="C3466" t="s">
        <v>2</v>
      </c>
    </row>
    <row r="3467" spans="1:3" x14ac:dyDescent="0.3">
      <c r="A3467" s="8" t="s">
        <v>3477</v>
      </c>
      <c r="B3467" s="8" t="s">
        <v>12</v>
      </c>
      <c r="C3467" t="s">
        <v>2</v>
      </c>
    </row>
    <row r="3468" spans="1:3" x14ac:dyDescent="0.3">
      <c r="A3468" s="8" t="s">
        <v>3478</v>
      </c>
      <c r="B3468" s="8" t="s">
        <v>12</v>
      </c>
      <c r="C3468" t="s">
        <v>2</v>
      </c>
    </row>
    <row r="3469" spans="1:3" x14ac:dyDescent="0.3">
      <c r="A3469" s="8" t="s">
        <v>3479</v>
      </c>
      <c r="B3469" s="8" t="s">
        <v>12</v>
      </c>
      <c r="C3469" t="s">
        <v>2</v>
      </c>
    </row>
    <row r="3470" spans="1:3" x14ac:dyDescent="0.3">
      <c r="A3470" s="8" t="s">
        <v>3480</v>
      </c>
      <c r="B3470" s="8" t="s">
        <v>12</v>
      </c>
      <c r="C3470" t="s">
        <v>2</v>
      </c>
    </row>
    <row r="3471" spans="1:3" x14ac:dyDescent="0.3">
      <c r="A3471" s="8" t="s">
        <v>3481</v>
      </c>
      <c r="B3471" s="8" t="s">
        <v>12</v>
      </c>
      <c r="C3471" t="s">
        <v>2</v>
      </c>
    </row>
    <row r="3472" spans="1:3" x14ac:dyDescent="0.3">
      <c r="A3472" s="8" t="s">
        <v>3482</v>
      </c>
      <c r="B3472" s="8" t="s">
        <v>12</v>
      </c>
      <c r="C3472" t="s">
        <v>2</v>
      </c>
    </row>
    <row r="3473" spans="1:3" x14ac:dyDescent="0.3">
      <c r="A3473" s="8" t="s">
        <v>3483</v>
      </c>
      <c r="B3473" s="8" t="s">
        <v>12</v>
      </c>
      <c r="C3473" t="s">
        <v>3</v>
      </c>
    </row>
    <row r="3474" spans="1:3" x14ac:dyDescent="0.3">
      <c r="A3474" s="8" t="s">
        <v>3484</v>
      </c>
      <c r="B3474" s="8" t="s">
        <v>12</v>
      </c>
      <c r="C3474" t="s">
        <v>3</v>
      </c>
    </row>
    <row r="3475" spans="1:3" x14ac:dyDescent="0.3">
      <c r="A3475" s="8" t="s">
        <v>3485</v>
      </c>
      <c r="B3475" s="8" t="s">
        <v>12</v>
      </c>
      <c r="C3475" t="s">
        <v>3</v>
      </c>
    </row>
    <row r="3476" spans="1:3" x14ac:dyDescent="0.3">
      <c r="A3476" s="8" t="s">
        <v>3486</v>
      </c>
      <c r="B3476" s="8" t="s">
        <v>12</v>
      </c>
      <c r="C3476" t="s">
        <v>3</v>
      </c>
    </row>
    <row r="3477" spans="1:3" x14ac:dyDescent="0.3">
      <c r="A3477" s="8" t="s">
        <v>3487</v>
      </c>
      <c r="B3477" s="8" t="s">
        <v>12</v>
      </c>
      <c r="C3477" t="s">
        <v>3</v>
      </c>
    </row>
    <row r="3478" spans="1:3" x14ac:dyDescent="0.3">
      <c r="A3478" s="8" t="s">
        <v>3488</v>
      </c>
      <c r="B3478" s="8" t="s">
        <v>12</v>
      </c>
      <c r="C3478" t="s">
        <v>3</v>
      </c>
    </row>
    <row r="3479" spans="1:3" x14ac:dyDescent="0.3">
      <c r="A3479" s="8" t="s">
        <v>3489</v>
      </c>
      <c r="B3479" s="8" t="s">
        <v>12</v>
      </c>
      <c r="C3479" t="s">
        <v>2</v>
      </c>
    </row>
    <row r="3480" spans="1:3" x14ac:dyDescent="0.3">
      <c r="A3480" s="8" t="s">
        <v>3490</v>
      </c>
      <c r="B3480" s="8" t="s">
        <v>12</v>
      </c>
      <c r="C3480" t="s">
        <v>2</v>
      </c>
    </row>
    <row r="3481" spans="1:3" x14ac:dyDescent="0.3">
      <c r="A3481" s="8" t="s">
        <v>3491</v>
      </c>
      <c r="B3481" s="8" t="s">
        <v>12</v>
      </c>
      <c r="C3481" t="s">
        <v>2</v>
      </c>
    </row>
    <row r="3482" spans="1:3" x14ac:dyDescent="0.3">
      <c r="A3482" s="8" t="s">
        <v>3492</v>
      </c>
      <c r="B3482" s="8" t="s">
        <v>12</v>
      </c>
      <c r="C3482" t="s">
        <v>2</v>
      </c>
    </row>
    <row r="3483" spans="1:3" x14ac:dyDescent="0.3">
      <c r="A3483" s="8" t="s">
        <v>3493</v>
      </c>
      <c r="B3483" s="8" t="s">
        <v>12</v>
      </c>
      <c r="C3483" t="s">
        <v>2</v>
      </c>
    </row>
    <row r="3484" spans="1:3" x14ac:dyDescent="0.3">
      <c r="A3484" s="8" t="s">
        <v>3494</v>
      </c>
      <c r="B3484" s="8" t="s">
        <v>12</v>
      </c>
      <c r="C3484" t="s">
        <v>2</v>
      </c>
    </row>
    <row r="3485" spans="1:3" x14ac:dyDescent="0.3">
      <c r="A3485" s="8" t="s">
        <v>3495</v>
      </c>
      <c r="B3485" s="8" t="s">
        <v>12</v>
      </c>
      <c r="C3485" t="s">
        <v>2</v>
      </c>
    </row>
    <row r="3486" spans="1:3" x14ac:dyDescent="0.3">
      <c r="A3486" s="8" t="s">
        <v>3496</v>
      </c>
      <c r="B3486" s="8" t="s">
        <v>12</v>
      </c>
      <c r="C3486" t="s">
        <v>2</v>
      </c>
    </row>
    <row r="3487" spans="1:3" x14ac:dyDescent="0.3">
      <c r="A3487" s="8" t="s">
        <v>3497</v>
      </c>
      <c r="B3487" s="8" t="s">
        <v>12</v>
      </c>
      <c r="C3487" t="s">
        <v>2</v>
      </c>
    </row>
    <row r="3488" spans="1:3" x14ac:dyDescent="0.3">
      <c r="A3488" s="8" t="s">
        <v>3498</v>
      </c>
      <c r="B3488" s="8" t="s">
        <v>12</v>
      </c>
      <c r="C3488" t="s">
        <v>2</v>
      </c>
    </row>
    <row r="3489" spans="1:3" x14ac:dyDescent="0.3">
      <c r="A3489" s="8" t="s">
        <v>3499</v>
      </c>
      <c r="B3489" s="8" t="s">
        <v>12</v>
      </c>
      <c r="C3489" t="s">
        <v>2</v>
      </c>
    </row>
    <row r="3490" spans="1:3" x14ac:dyDescent="0.3">
      <c r="A3490" s="8" t="s">
        <v>3500</v>
      </c>
      <c r="B3490" s="8" t="s">
        <v>12</v>
      </c>
      <c r="C3490" t="s">
        <v>2</v>
      </c>
    </row>
    <row r="3491" spans="1:3" x14ac:dyDescent="0.3">
      <c r="A3491" s="8" t="s">
        <v>3501</v>
      </c>
      <c r="B3491" s="8" t="s">
        <v>12</v>
      </c>
      <c r="C3491" t="s">
        <v>2</v>
      </c>
    </row>
    <row r="3492" spans="1:3" x14ac:dyDescent="0.3">
      <c r="A3492" s="8" t="s">
        <v>3502</v>
      </c>
      <c r="B3492" s="8" t="s">
        <v>12</v>
      </c>
      <c r="C3492" t="s">
        <v>2</v>
      </c>
    </row>
    <row r="3493" spans="1:3" x14ac:dyDescent="0.3">
      <c r="A3493" s="8" t="s">
        <v>3503</v>
      </c>
      <c r="B3493" s="8" t="s">
        <v>12</v>
      </c>
      <c r="C3493" t="s">
        <v>2</v>
      </c>
    </row>
    <row r="3494" spans="1:3" x14ac:dyDescent="0.3">
      <c r="A3494" s="8" t="s">
        <v>3504</v>
      </c>
      <c r="B3494" s="8" t="s">
        <v>12</v>
      </c>
      <c r="C3494" t="s">
        <v>2</v>
      </c>
    </row>
    <row r="3495" spans="1:3" x14ac:dyDescent="0.3">
      <c r="A3495" s="8" t="s">
        <v>3505</v>
      </c>
      <c r="B3495" s="8" t="s">
        <v>12</v>
      </c>
      <c r="C3495" t="s">
        <v>2</v>
      </c>
    </row>
    <row r="3496" spans="1:3" x14ac:dyDescent="0.3">
      <c r="A3496" s="8" t="s">
        <v>3506</v>
      </c>
      <c r="B3496" s="8" t="s">
        <v>12</v>
      </c>
      <c r="C3496" t="s">
        <v>2</v>
      </c>
    </row>
    <row r="3497" spans="1:3" x14ac:dyDescent="0.3">
      <c r="A3497" s="8" t="s">
        <v>3507</v>
      </c>
      <c r="B3497" s="8" t="s">
        <v>12</v>
      </c>
      <c r="C3497" t="s">
        <v>2</v>
      </c>
    </row>
    <row r="3498" spans="1:3" x14ac:dyDescent="0.3">
      <c r="A3498" s="8" t="s">
        <v>3508</v>
      </c>
      <c r="B3498" s="8" t="s">
        <v>12</v>
      </c>
      <c r="C3498" t="s">
        <v>2</v>
      </c>
    </row>
    <row r="3499" spans="1:3" x14ac:dyDescent="0.3">
      <c r="A3499" s="8" t="s">
        <v>3509</v>
      </c>
      <c r="B3499" s="8" t="s">
        <v>12</v>
      </c>
      <c r="C3499" t="s">
        <v>2</v>
      </c>
    </row>
    <row r="3500" spans="1:3" x14ac:dyDescent="0.3">
      <c r="A3500" s="8" t="s">
        <v>3510</v>
      </c>
      <c r="B3500" s="8" t="s">
        <v>12</v>
      </c>
      <c r="C3500" t="s">
        <v>2</v>
      </c>
    </row>
    <row r="3501" spans="1:3" x14ac:dyDescent="0.3">
      <c r="A3501" s="8" t="s">
        <v>3511</v>
      </c>
      <c r="B3501" s="8" t="s">
        <v>12</v>
      </c>
      <c r="C3501" t="s">
        <v>2</v>
      </c>
    </row>
    <row r="3502" spans="1:3" x14ac:dyDescent="0.3">
      <c r="A3502" s="8" t="s">
        <v>3512</v>
      </c>
      <c r="B3502" s="8" t="s">
        <v>12</v>
      </c>
      <c r="C3502" t="s">
        <v>2</v>
      </c>
    </row>
    <row r="3503" spans="1:3" x14ac:dyDescent="0.3">
      <c r="A3503" s="8" t="s">
        <v>3513</v>
      </c>
      <c r="B3503" s="8" t="s">
        <v>12</v>
      </c>
      <c r="C3503" t="s">
        <v>2</v>
      </c>
    </row>
    <row r="3504" spans="1:3" x14ac:dyDescent="0.3">
      <c r="A3504" s="8" t="s">
        <v>3514</v>
      </c>
      <c r="B3504" s="8" t="s">
        <v>12</v>
      </c>
      <c r="C3504" t="s">
        <v>2</v>
      </c>
    </row>
    <row r="3505" spans="1:3" x14ac:dyDescent="0.3">
      <c r="A3505" s="8" t="s">
        <v>3515</v>
      </c>
      <c r="B3505" s="8" t="s">
        <v>12</v>
      </c>
      <c r="C3505" t="s">
        <v>2</v>
      </c>
    </row>
    <row r="3506" spans="1:3" x14ac:dyDescent="0.3">
      <c r="A3506" s="8" t="s">
        <v>3516</v>
      </c>
      <c r="B3506" s="8" t="s">
        <v>12</v>
      </c>
      <c r="C3506" t="s">
        <v>2</v>
      </c>
    </row>
    <row r="3507" spans="1:3" x14ac:dyDescent="0.3">
      <c r="A3507" s="8" t="s">
        <v>3517</v>
      </c>
      <c r="B3507" s="8" t="s">
        <v>12</v>
      </c>
      <c r="C3507" t="s">
        <v>2</v>
      </c>
    </row>
    <row r="3508" spans="1:3" x14ac:dyDescent="0.3">
      <c r="A3508" s="8" t="s">
        <v>3518</v>
      </c>
      <c r="B3508" s="8" t="s">
        <v>12</v>
      </c>
      <c r="C3508" t="s">
        <v>2</v>
      </c>
    </row>
    <row r="3509" spans="1:3" x14ac:dyDescent="0.3">
      <c r="A3509" s="8" t="s">
        <v>3519</v>
      </c>
      <c r="B3509" s="8" t="s">
        <v>12</v>
      </c>
      <c r="C3509" t="s">
        <v>2</v>
      </c>
    </row>
    <row r="3510" spans="1:3" x14ac:dyDescent="0.3">
      <c r="A3510" s="8" t="s">
        <v>3520</v>
      </c>
      <c r="B3510" s="8" t="s">
        <v>12</v>
      </c>
      <c r="C3510" t="s">
        <v>2</v>
      </c>
    </row>
    <row r="3511" spans="1:3" x14ac:dyDescent="0.3">
      <c r="A3511" s="8" t="s">
        <v>3521</v>
      </c>
      <c r="B3511" s="8" t="s">
        <v>12</v>
      </c>
      <c r="C3511" t="s">
        <v>2</v>
      </c>
    </row>
    <row r="3512" spans="1:3" x14ac:dyDescent="0.3">
      <c r="A3512" s="8" t="s">
        <v>3522</v>
      </c>
      <c r="B3512" s="8" t="s">
        <v>12</v>
      </c>
      <c r="C3512" t="s">
        <v>2</v>
      </c>
    </row>
    <row r="3513" spans="1:3" x14ac:dyDescent="0.3">
      <c r="A3513" s="8" t="s">
        <v>3523</v>
      </c>
      <c r="B3513" s="8" t="s">
        <v>12</v>
      </c>
      <c r="C3513" t="s">
        <v>2</v>
      </c>
    </row>
    <row r="3514" spans="1:3" x14ac:dyDescent="0.3">
      <c r="A3514" s="8" t="s">
        <v>3524</v>
      </c>
      <c r="B3514" s="8" t="s">
        <v>12</v>
      </c>
      <c r="C3514" t="s">
        <v>2</v>
      </c>
    </row>
    <row r="3515" spans="1:3" x14ac:dyDescent="0.3">
      <c r="A3515" s="8" t="s">
        <v>3525</v>
      </c>
      <c r="B3515" s="8" t="s">
        <v>12</v>
      </c>
      <c r="C3515" t="s">
        <v>2</v>
      </c>
    </row>
    <row r="3516" spans="1:3" x14ac:dyDescent="0.3">
      <c r="A3516" s="8" t="s">
        <v>3526</v>
      </c>
      <c r="B3516" s="8" t="s">
        <v>12</v>
      </c>
      <c r="C3516" t="s">
        <v>2</v>
      </c>
    </row>
    <row r="3517" spans="1:3" x14ac:dyDescent="0.3">
      <c r="A3517" s="8" t="s">
        <v>3527</v>
      </c>
      <c r="B3517" s="8" t="s">
        <v>12</v>
      </c>
      <c r="C3517" t="s">
        <v>2</v>
      </c>
    </row>
    <row r="3518" spans="1:3" x14ac:dyDescent="0.3">
      <c r="A3518" s="8" t="s">
        <v>3528</v>
      </c>
      <c r="B3518" s="8" t="s">
        <v>12</v>
      </c>
      <c r="C3518" t="s">
        <v>2</v>
      </c>
    </row>
    <row r="3519" spans="1:3" x14ac:dyDescent="0.3">
      <c r="A3519" s="8" t="s">
        <v>3529</v>
      </c>
      <c r="B3519" s="8" t="s">
        <v>12</v>
      </c>
      <c r="C3519" t="s">
        <v>2</v>
      </c>
    </row>
    <row r="3520" spans="1:3" x14ac:dyDescent="0.3">
      <c r="A3520" s="8" t="s">
        <v>3530</v>
      </c>
      <c r="B3520" s="8" t="s">
        <v>12</v>
      </c>
      <c r="C3520" t="s">
        <v>3</v>
      </c>
    </row>
    <row r="3521" spans="1:3" x14ac:dyDescent="0.3">
      <c r="A3521" s="8" t="s">
        <v>3531</v>
      </c>
      <c r="B3521" s="8" t="s">
        <v>12</v>
      </c>
      <c r="C3521" t="s">
        <v>3</v>
      </c>
    </row>
    <row r="3522" spans="1:3" x14ac:dyDescent="0.3">
      <c r="A3522" s="8" t="s">
        <v>3532</v>
      </c>
      <c r="B3522" s="8" t="s">
        <v>12</v>
      </c>
      <c r="C3522" t="s">
        <v>3</v>
      </c>
    </row>
    <row r="3523" spans="1:3" x14ac:dyDescent="0.3">
      <c r="A3523" s="8" t="s">
        <v>3533</v>
      </c>
      <c r="B3523" s="8" t="s">
        <v>12</v>
      </c>
      <c r="C3523" t="s">
        <v>3</v>
      </c>
    </row>
    <row r="3524" spans="1:3" x14ac:dyDescent="0.3">
      <c r="A3524" s="8" t="s">
        <v>3534</v>
      </c>
      <c r="B3524" s="8" t="s">
        <v>12</v>
      </c>
      <c r="C3524" t="s">
        <v>3</v>
      </c>
    </row>
    <row r="3525" spans="1:3" x14ac:dyDescent="0.3">
      <c r="A3525" s="8" t="s">
        <v>3535</v>
      </c>
      <c r="B3525" s="8" t="s">
        <v>12</v>
      </c>
      <c r="C3525" t="s">
        <v>3</v>
      </c>
    </row>
    <row r="3526" spans="1:3" x14ac:dyDescent="0.3">
      <c r="A3526" s="8" t="s">
        <v>3536</v>
      </c>
      <c r="B3526" s="8" t="s">
        <v>12</v>
      </c>
      <c r="C3526" t="s">
        <v>3</v>
      </c>
    </row>
    <row r="3527" spans="1:3" x14ac:dyDescent="0.3">
      <c r="A3527" s="8" t="s">
        <v>3537</v>
      </c>
      <c r="B3527" s="8" t="s">
        <v>12</v>
      </c>
      <c r="C3527" t="s">
        <v>3</v>
      </c>
    </row>
    <row r="3528" spans="1:3" x14ac:dyDescent="0.3">
      <c r="A3528" s="8" t="s">
        <v>3538</v>
      </c>
      <c r="B3528" s="8" t="s">
        <v>12</v>
      </c>
      <c r="C3528" t="s">
        <v>3</v>
      </c>
    </row>
    <row r="3529" spans="1:3" x14ac:dyDescent="0.3">
      <c r="A3529" s="8" t="s">
        <v>3539</v>
      </c>
      <c r="B3529" s="8" t="s">
        <v>12</v>
      </c>
      <c r="C3529" t="s">
        <v>2</v>
      </c>
    </row>
    <row r="3530" spans="1:3" x14ac:dyDescent="0.3">
      <c r="A3530" s="8" t="s">
        <v>3540</v>
      </c>
      <c r="B3530" s="8" t="s">
        <v>12</v>
      </c>
      <c r="C3530" t="s">
        <v>2</v>
      </c>
    </row>
    <row r="3531" spans="1:3" x14ac:dyDescent="0.3">
      <c r="A3531" s="8" t="s">
        <v>3541</v>
      </c>
      <c r="B3531" s="8" t="s">
        <v>12</v>
      </c>
      <c r="C3531" t="s">
        <v>2</v>
      </c>
    </row>
    <row r="3532" spans="1:3" x14ac:dyDescent="0.3">
      <c r="A3532" s="8" t="s">
        <v>3542</v>
      </c>
      <c r="B3532" s="8" t="s">
        <v>12</v>
      </c>
      <c r="C3532" t="s">
        <v>2</v>
      </c>
    </row>
    <row r="3533" spans="1:3" x14ac:dyDescent="0.3">
      <c r="A3533" s="8" t="s">
        <v>3543</v>
      </c>
      <c r="B3533" s="8" t="s">
        <v>12</v>
      </c>
      <c r="C3533" t="s">
        <v>2</v>
      </c>
    </row>
    <row r="3534" spans="1:3" x14ac:dyDescent="0.3">
      <c r="A3534" s="8" t="s">
        <v>3544</v>
      </c>
      <c r="B3534" s="8" t="s">
        <v>12</v>
      </c>
      <c r="C3534" t="s">
        <v>2</v>
      </c>
    </row>
    <row r="3535" spans="1:3" x14ac:dyDescent="0.3">
      <c r="A3535" s="8" t="s">
        <v>3545</v>
      </c>
      <c r="B3535" s="8" t="s">
        <v>12</v>
      </c>
      <c r="C3535" t="s">
        <v>2</v>
      </c>
    </row>
    <row r="3536" spans="1:3" x14ac:dyDescent="0.3">
      <c r="A3536" s="8" t="s">
        <v>3546</v>
      </c>
      <c r="B3536" s="8" t="s">
        <v>12</v>
      </c>
      <c r="C3536" t="s">
        <v>2</v>
      </c>
    </row>
    <row r="3537" spans="1:3" x14ac:dyDescent="0.3">
      <c r="A3537" s="8" t="s">
        <v>3547</v>
      </c>
      <c r="B3537" s="8" t="s">
        <v>12</v>
      </c>
      <c r="C3537" t="s">
        <v>2</v>
      </c>
    </row>
    <row r="3538" spans="1:3" x14ac:dyDescent="0.3">
      <c r="A3538" s="8" t="s">
        <v>3548</v>
      </c>
      <c r="B3538" s="8" t="s">
        <v>12</v>
      </c>
      <c r="C3538" t="s">
        <v>2</v>
      </c>
    </row>
    <row r="3539" spans="1:3" x14ac:dyDescent="0.3">
      <c r="A3539" s="8" t="s">
        <v>3549</v>
      </c>
      <c r="B3539" s="8" t="s">
        <v>12</v>
      </c>
      <c r="C3539" t="s">
        <v>2</v>
      </c>
    </row>
    <row r="3540" spans="1:3" x14ac:dyDescent="0.3">
      <c r="A3540" s="8" t="s">
        <v>3550</v>
      </c>
      <c r="B3540" s="8" t="s">
        <v>12</v>
      </c>
      <c r="C3540" t="s">
        <v>2</v>
      </c>
    </row>
    <row r="3541" spans="1:3" x14ac:dyDescent="0.3">
      <c r="A3541" s="8" t="s">
        <v>3551</v>
      </c>
      <c r="B3541" s="8" t="s">
        <v>12</v>
      </c>
      <c r="C3541" t="s">
        <v>2</v>
      </c>
    </row>
    <row r="3542" spans="1:3" x14ac:dyDescent="0.3">
      <c r="A3542" s="8" t="s">
        <v>3552</v>
      </c>
      <c r="B3542" s="8" t="s">
        <v>12</v>
      </c>
      <c r="C3542" t="s">
        <v>2</v>
      </c>
    </row>
    <row r="3543" spans="1:3" x14ac:dyDescent="0.3">
      <c r="A3543" s="8" t="s">
        <v>3553</v>
      </c>
      <c r="B3543" s="8" t="s">
        <v>12</v>
      </c>
      <c r="C3543" t="s">
        <v>3678</v>
      </c>
    </row>
    <row r="3544" spans="1:3" x14ac:dyDescent="0.3">
      <c r="A3544" s="8" t="s">
        <v>3554</v>
      </c>
      <c r="B3544" s="8" t="s">
        <v>12</v>
      </c>
      <c r="C3544" t="s">
        <v>3678</v>
      </c>
    </row>
    <row r="3545" spans="1:3" x14ac:dyDescent="0.3">
      <c r="A3545" s="8" t="s">
        <v>3555</v>
      </c>
      <c r="B3545" s="8" t="s">
        <v>12</v>
      </c>
      <c r="C3545" t="s">
        <v>3678</v>
      </c>
    </row>
    <row r="3546" spans="1:3" x14ac:dyDescent="0.3">
      <c r="A3546" s="8" t="s">
        <v>3556</v>
      </c>
      <c r="B3546" s="8" t="s">
        <v>12</v>
      </c>
      <c r="C3546" t="s">
        <v>3678</v>
      </c>
    </row>
    <row r="3547" spans="1:3" x14ac:dyDescent="0.3">
      <c r="A3547" s="8" t="s">
        <v>3557</v>
      </c>
      <c r="B3547" s="8" t="s">
        <v>12</v>
      </c>
      <c r="C3547" t="s">
        <v>3678</v>
      </c>
    </row>
    <row r="3548" spans="1:3" x14ac:dyDescent="0.3">
      <c r="A3548" s="8" t="s">
        <v>3558</v>
      </c>
      <c r="B3548" s="8" t="s">
        <v>12</v>
      </c>
      <c r="C3548" t="s">
        <v>3678</v>
      </c>
    </row>
    <row r="3549" spans="1:3" x14ac:dyDescent="0.3">
      <c r="A3549" s="8" t="s">
        <v>3559</v>
      </c>
      <c r="B3549" s="8" t="s">
        <v>12</v>
      </c>
      <c r="C3549" t="s">
        <v>3678</v>
      </c>
    </row>
    <row r="3550" spans="1:3" x14ac:dyDescent="0.3">
      <c r="A3550" s="8" t="s">
        <v>3560</v>
      </c>
      <c r="B3550" s="8" t="s">
        <v>12</v>
      </c>
      <c r="C3550" t="s">
        <v>2</v>
      </c>
    </row>
    <row r="3551" spans="1:3" x14ac:dyDescent="0.3">
      <c r="A3551" s="8" t="s">
        <v>3561</v>
      </c>
      <c r="B3551" s="8" t="s">
        <v>12</v>
      </c>
      <c r="C3551" t="s">
        <v>2</v>
      </c>
    </row>
    <row r="3552" spans="1:3" x14ac:dyDescent="0.3">
      <c r="A3552" s="8" t="s">
        <v>3562</v>
      </c>
      <c r="B3552" s="8" t="s">
        <v>12</v>
      </c>
      <c r="C3552" t="s">
        <v>2</v>
      </c>
    </row>
    <row r="3553" spans="1:3" x14ac:dyDescent="0.3">
      <c r="A3553" s="8" t="s">
        <v>3563</v>
      </c>
      <c r="B3553" s="8" t="s">
        <v>12</v>
      </c>
      <c r="C3553" t="s">
        <v>2</v>
      </c>
    </row>
    <row r="3554" spans="1:3" x14ac:dyDescent="0.3">
      <c r="A3554" s="8" t="s">
        <v>3564</v>
      </c>
      <c r="B3554" s="8" t="s">
        <v>12</v>
      </c>
      <c r="C3554" t="s">
        <v>2</v>
      </c>
    </row>
    <row r="3555" spans="1:3" x14ac:dyDescent="0.3">
      <c r="A3555" s="8" t="s">
        <v>3565</v>
      </c>
      <c r="B3555" s="8" t="s">
        <v>12</v>
      </c>
      <c r="C3555" t="s">
        <v>2</v>
      </c>
    </row>
    <row r="3556" spans="1:3" x14ac:dyDescent="0.3">
      <c r="A3556" s="8" t="s">
        <v>3566</v>
      </c>
      <c r="B3556" s="8" t="s">
        <v>12</v>
      </c>
      <c r="C3556" t="s">
        <v>2</v>
      </c>
    </row>
    <row r="3557" spans="1:3" x14ac:dyDescent="0.3">
      <c r="A3557" s="8" t="s">
        <v>3567</v>
      </c>
      <c r="B3557" s="8" t="s">
        <v>12</v>
      </c>
      <c r="C3557" t="s">
        <v>2</v>
      </c>
    </row>
    <row r="3558" spans="1:3" x14ac:dyDescent="0.3">
      <c r="A3558" s="8" t="s">
        <v>3568</v>
      </c>
      <c r="B3558" s="8" t="s">
        <v>12</v>
      </c>
      <c r="C3558" t="s">
        <v>2</v>
      </c>
    </row>
    <row r="3559" spans="1:3" x14ac:dyDescent="0.3">
      <c r="A3559" s="8" t="s">
        <v>3569</v>
      </c>
      <c r="B3559" s="8" t="s">
        <v>12</v>
      </c>
      <c r="C3559" t="s">
        <v>2</v>
      </c>
    </row>
    <row r="3560" spans="1:3" x14ac:dyDescent="0.3">
      <c r="A3560" s="8" t="s">
        <v>3570</v>
      </c>
      <c r="B3560" s="8" t="s">
        <v>12</v>
      </c>
      <c r="C3560" t="s">
        <v>2</v>
      </c>
    </row>
    <row r="3561" spans="1:3" x14ac:dyDescent="0.3">
      <c r="A3561" s="8" t="s">
        <v>3571</v>
      </c>
      <c r="B3561" s="8" t="s">
        <v>12</v>
      </c>
      <c r="C3561" t="s">
        <v>2</v>
      </c>
    </row>
    <row r="3562" spans="1:3" x14ac:dyDescent="0.3">
      <c r="A3562" s="8" t="s">
        <v>3572</v>
      </c>
      <c r="B3562" s="8" t="s">
        <v>12</v>
      </c>
      <c r="C3562" t="s">
        <v>2</v>
      </c>
    </row>
    <row r="3563" spans="1:3" x14ac:dyDescent="0.3">
      <c r="A3563" s="8" t="s">
        <v>3573</v>
      </c>
      <c r="B3563" s="8" t="s">
        <v>12</v>
      </c>
      <c r="C3563" t="s">
        <v>2</v>
      </c>
    </row>
    <row r="3564" spans="1:3" x14ac:dyDescent="0.3">
      <c r="A3564" s="8" t="s">
        <v>3574</v>
      </c>
      <c r="B3564" s="8" t="s">
        <v>12</v>
      </c>
      <c r="C3564" t="s">
        <v>2</v>
      </c>
    </row>
    <row r="3565" spans="1:3" x14ac:dyDescent="0.3">
      <c r="A3565" s="8" t="s">
        <v>3575</v>
      </c>
      <c r="B3565" s="8" t="s">
        <v>12</v>
      </c>
      <c r="C3565" t="s">
        <v>2</v>
      </c>
    </row>
    <row r="3566" spans="1:3" x14ac:dyDescent="0.3">
      <c r="A3566" s="8" t="s">
        <v>3576</v>
      </c>
      <c r="B3566" s="8" t="s">
        <v>12</v>
      </c>
      <c r="C3566" t="s">
        <v>2</v>
      </c>
    </row>
    <row r="3567" spans="1:3" x14ac:dyDescent="0.3">
      <c r="A3567" s="8" t="s">
        <v>3577</v>
      </c>
      <c r="B3567" s="8" t="s">
        <v>12</v>
      </c>
      <c r="C3567" t="s">
        <v>2</v>
      </c>
    </row>
    <row r="3568" spans="1:3" x14ac:dyDescent="0.3">
      <c r="A3568" s="8" t="s">
        <v>3578</v>
      </c>
      <c r="B3568" s="8" t="s">
        <v>12</v>
      </c>
      <c r="C3568" t="s">
        <v>2</v>
      </c>
    </row>
    <row r="3569" spans="1:3" x14ac:dyDescent="0.3">
      <c r="A3569" s="8" t="s">
        <v>3579</v>
      </c>
      <c r="B3569" s="8" t="s">
        <v>12</v>
      </c>
      <c r="C3569" t="s">
        <v>2</v>
      </c>
    </row>
    <row r="3570" spans="1:3" x14ac:dyDescent="0.3">
      <c r="A3570" s="8" t="s">
        <v>3580</v>
      </c>
      <c r="B3570" s="8" t="s">
        <v>12</v>
      </c>
      <c r="C3570" t="s">
        <v>2</v>
      </c>
    </row>
    <row r="3571" spans="1:3" x14ac:dyDescent="0.3">
      <c r="A3571" s="8" t="s">
        <v>3581</v>
      </c>
      <c r="B3571" s="8" t="s">
        <v>12</v>
      </c>
      <c r="C3571" t="s">
        <v>2</v>
      </c>
    </row>
    <row r="3572" spans="1:3" x14ac:dyDescent="0.3">
      <c r="A3572" s="8" t="s">
        <v>3582</v>
      </c>
      <c r="B3572" s="8" t="s">
        <v>12</v>
      </c>
      <c r="C3572" t="s">
        <v>2</v>
      </c>
    </row>
    <row r="3573" spans="1:3" x14ac:dyDescent="0.3">
      <c r="A3573" s="8" t="s">
        <v>3583</v>
      </c>
      <c r="B3573" s="8" t="s">
        <v>12</v>
      </c>
      <c r="C3573" t="s">
        <v>2</v>
      </c>
    </row>
    <row r="3574" spans="1:3" x14ac:dyDescent="0.3">
      <c r="A3574" s="8" t="s">
        <v>3584</v>
      </c>
      <c r="B3574" s="8" t="s">
        <v>12</v>
      </c>
      <c r="C3574" t="s">
        <v>2</v>
      </c>
    </row>
    <row r="3575" spans="1:3" x14ac:dyDescent="0.3">
      <c r="A3575" s="8" t="s">
        <v>3585</v>
      </c>
      <c r="B3575" s="8" t="s">
        <v>12</v>
      </c>
      <c r="C3575" t="s">
        <v>2</v>
      </c>
    </row>
    <row r="3576" spans="1:3" x14ac:dyDescent="0.3">
      <c r="A3576" s="8" t="s">
        <v>3586</v>
      </c>
      <c r="B3576" s="8" t="s">
        <v>12</v>
      </c>
      <c r="C3576" t="s">
        <v>2</v>
      </c>
    </row>
    <row r="3577" spans="1:3" x14ac:dyDescent="0.3">
      <c r="A3577" s="8" t="s">
        <v>3587</v>
      </c>
      <c r="B3577" s="8" t="s">
        <v>12</v>
      </c>
      <c r="C3577" t="s">
        <v>2</v>
      </c>
    </row>
    <row r="3578" spans="1:3" x14ac:dyDescent="0.3">
      <c r="A3578" s="8" t="s">
        <v>3588</v>
      </c>
      <c r="B3578" s="8" t="s">
        <v>12</v>
      </c>
      <c r="C3578" t="s">
        <v>2</v>
      </c>
    </row>
    <row r="3579" spans="1:3" x14ac:dyDescent="0.3">
      <c r="A3579" s="8" t="s">
        <v>3589</v>
      </c>
      <c r="B3579" s="8" t="s">
        <v>12</v>
      </c>
      <c r="C3579" t="s">
        <v>2</v>
      </c>
    </row>
    <row r="3580" spans="1:3" x14ac:dyDescent="0.3">
      <c r="A3580" s="8" t="s">
        <v>3590</v>
      </c>
      <c r="B3580" s="8" t="s">
        <v>12</v>
      </c>
      <c r="C3580" t="s">
        <v>2</v>
      </c>
    </row>
    <row r="3581" spans="1:3" x14ac:dyDescent="0.3">
      <c r="A3581" s="8" t="s">
        <v>3591</v>
      </c>
      <c r="B3581" s="8" t="s">
        <v>12</v>
      </c>
      <c r="C3581" t="s">
        <v>2</v>
      </c>
    </row>
    <row r="3582" spans="1:3" x14ac:dyDescent="0.3">
      <c r="A3582" s="8" t="s">
        <v>3592</v>
      </c>
      <c r="B3582" s="8" t="s">
        <v>12</v>
      </c>
      <c r="C3582" t="s">
        <v>2</v>
      </c>
    </row>
    <row r="3583" spans="1:3" x14ac:dyDescent="0.3">
      <c r="A3583" s="8" t="s">
        <v>3593</v>
      </c>
      <c r="B3583" s="8" t="s">
        <v>12</v>
      </c>
      <c r="C3583" t="s">
        <v>2</v>
      </c>
    </row>
    <row r="3584" spans="1:3" x14ac:dyDescent="0.3">
      <c r="A3584" s="8" t="s">
        <v>3594</v>
      </c>
      <c r="B3584" s="8" t="s">
        <v>12</v>
      </c>
      <c r="C3584" t="s">
        <v>2</v>
      </c>
    </row>
    <row r="3585" spans="1:3" x14ac:dyDescent="0.3">
      <c r="A3585" s="8" t="s">
        <v>3595</v>
      </c>
      <c r="B3585" s="8" t="s">
        <v>12</v>
      </c>
      <c r="C3585" t="s">
        <v>2</v>
      </c>
    </row>
    <row r="3586" spans="1:3" x14ac:dyDescent="0.3">
      <c r="A3586" s="8" t="s">
        <v>3596</v>
      </c>
      <c r="B3586" s="8" t="s">
        <v>12</v>
      </c>
      <c r="C3586" t="s">
        <v>2</v>
      </c>
    </row>
    <row r="3587" spans="1:3" x14ac:dyDescent="0.3">
      <c r="A3587" s="8" t="s">
        <v>3597</v>
      </c>
      <c r="B3587" s="8" t="s">
        <v>12</v>
      </c>
      <c r="C3587" t="s">
        <v>2</v>
      </c>
    </row>
    <row r="3588" spans="1:3" x14ac:dyDescent="0.3">
      <c r="A3588" s="8" t="s">
        <v>3598</v>
      </c>
      <c r="B3588" s="8" t="s">
        <v>12</v>
      </c>
      <c r="C3588" t="s">
        <v>2</v>
      </c>
    </row>
    <row r="3589" spans="1:3" x14ac:dyDescent="0.3">
      <c r="A3589" s="8" t="s">
        <v>3599</v>
      </c>
      <c r="B3589" s="8" t="s">
        <v>12</v>
      </c>
      <c r="C3589" t="s">
        <v>2</v>
      </c>
    </row>
    <row r="3590" spans="1:3" x14ac:dyDescent="0.3">
      <c r="A3590" s="8" t="s">
        <v>3600</v>
      </c>
      <c r="B3590" s="8" t="s">
        <v>12</v>
      </c>
      <c r="C3590" t="s">
        <v>2</v>
      </c>
    </row>
    <row r="3591" spans="1:3" x14ac:dyDescent="0.3">
      <c r="A3591" s="8" t="s">
        <v>3601</v>
      </c>
      <c r="B3591" s="8" t="s">
        <v>12</v>
      </c>
      <c r="C3591" t="s">
        <v>2</v>
      </c>
    </row>
    <row r="3592" spans="1:3" x14ac:dyDescent="0.3">
      <c r="A3592" s="8" t="s">
        <v>3602</v>
      </c>
      <c r="B3592" s="8" t="s">
        <v>12</v>
      </c>
      <c r="C3592" t="s">
        <v>2</v>
      </c>
    </row>
    <row r="3593" spans="1:3" x14ac:dyDescent="0.3">
      <c r="A3593" s="8" t="s">
        <v>3603</v>
      </c>
      <c r="B3593" s="8" t="s">
        <v>12</v>
      </c>
      <c r="C3593" t="s">
        <v>2</v>
      </c>
    </row>
    <row r="3594" spans="1:3" x14ac:dyDescent="0.3">
      <c r="A3594" s="8" t="s">
        <v>3604</v>
      </c>
      <c r="B3594" s="8" t="s">
        <v>12</v>
      </c>
      <c r="C3594" t="s">
        <v>2</v>
      </c>
    </row>
    <row r="3595" spans="1:3" x14ac:dyDescent="0.3">
      <c r="A3595" s="8" t="s">
        <v>3605</v>
      </c>
      <c r="B3595" s="8" t="s">
        <v>12</v>
      </c>
      <c r="C3595" t="s">
        <v>2</v>
      </c>
    </row>
    <row r="3596" spans="1:3" x14ac:dyDescent="0.3">
      <c r="A3596" s="8" t="s">
        <v>3606</v>
      </c>
      <c r="B3596" s="8" t="s">
        <v>12</v>
      </c>
      <c r="C3596" t="s">
        <v>2</v>
      </c>
    </row>
    <row r="3597" spans="1:3" x14ac:dyDescent="0.3">
      <c r="A3597" s="8" t="s">
        <v>3607</v>
      </c>
      <c r="B3597" s="8" t="s">
        <v>12</v>
      </c>
      <c r="C3597" t="s">
        <v>2</v>
      </c>
    </row>
    <row r="3598" spans="1:3" x14ac:dyDescent="0.3">
      <c r="A3598" s="8" t="s">
        <v>3608</v>
      </c>
      <c r="B3598" s="8" t="s">
        <v>12</v>
      </c>
      <c r="C3598" t="s">
        <v>2</v>
      </c>
    </row>
    <row r="3599" spans="1:3" x14ac:dyDescent="0.3">
      <c r="A3599" s="8" t="s">
        <v>3609</v>
      </c>
      <c r="B3599" s="8" t="s">
        <v>12</v>
      </c>
      <c r="C3599" t="s">
        <v>3</v>
      </c>
    </row>
    <row r="3600" spans="1:3" x14ac:dyDescent="0.3">
      <c r="A3600" s="8" t="s">
        <v>3610</v>
      </c>
      <c r="B3600" s="8" t="s">
        <v>12</v>
      </c>
      <c r="C3600" t="s">
        <v>3</v>
      </c>
    </row>
    <row r="3601" spans="1:3" x14ac:dyDescent="0.3">
      <c r="A3601" s="8" t="s">
        <v>3611</v>
      </c>
      <c r="B3601" s="8" t="s">
        <v>12</v>
      </c>
      <c r="C3601" t="s">
        <v>3</v>
      </c>
    </row>
    <row r="3602" spans="1:3" x14ac:dyDescent="0.3">
      <c r="A3602" s="8" t="s">
        <v>3612</v>
      </c>
      <c r="B3602" s="8" t="s">
        <v>12</v>
      </c>
      <c r="C3602" t="s">
        <v>3</v>
      </c>
    </row>
    <row r="3603" spans="1:3" x14ac:dyDescent="0.3">
      <c r="A3603" s="8" t="s">
        <v>3613</v>
      </c>
      <c r="B3603" s="8" t="s">
        <v>12</v>
      </c>
      <c r="C3603" t="s">
        <v>3</v>
      </c>
    </row>
    <row r="3604" spans="1:3" x14ac:dyDescent="0.3">
      <c r="A3604" s="8" t="s">
        <v>3614</v>
      </c>
      <c r="B3604" s="8" t="s">
        <v>12</v>
      </c>
      <c r="C3604" t="s">
        <v>3</v>
      </c>
    </row>
    <row r="3605" spans="1:3" x14ac:dyDescent="0.3">
      <c r="A3605" s="8" t="s">
        <v>3615</v>
      </c>
      <c r="B3605" s="8" t="s">
        <v>12</v>
      </c>
      <c r="C3605" t="s">
        <v>3</v>
      </c>
    </row>
    <row r="3606" spans="1:3" x14ac:dyDescent="0.3">
      <c r="A3606" s="8" t="s">
        <v>3616</v>
      </c>
      <c r="B3606" s="8" t="s">
        <v>12</v>
      </c>
      <c r="C3606" t="s">
        <v>3</v>
      </c>
    </row>
    <row r="3607" spans="1:3" x14ac:dyDescent="0.3">
      <c r="A3607" s="8" t="s">
        <v>3617</v>
      </c>
      <c r="B3607" s="8" t="s">
        <v>12</v>
      </c>
      <c r="C3607" t="s">
        <v>3</v>
      </c>
    </row>
    <row r="3608" spans="1:3" x14ac:dyDescent="0.3">
      <c r="A3608" s="8" t="s">
        <v>3618</v>
      </c>
      <c r="B3608" s="8" t="s">
        <v>12</v>
      </c>
      <c r="C3608" t="s">
        <v>2</v>
      </c>
    </row>
    <row r="3609" spans="1:3" x14ac:dyDescent="0.3">
      <c r="A3609" s="8" t="s">
        <v>3619</v>
      </c>
      <c r="B3609" s="8" t="s">
        <v>12</v>
      </c>
      <c r="C3609" t="s">
        <v>2</v>
      </c>
    </row>
    <row r="3610" spans="1:3" x14ac:dyDescent="0.3">
      <c r="A3610" s="8" t="s">
        <v>3620</v>
      </c>
      <c r="B3610" s="8" t="s">
        <v>12</v>
      </c>
      <c r="C3610" t="s">
        <v>2</v>
      </c>
    </row>
    <row r="3611" spans="1:3" x14ac:dyDescent="0.3">
      <c r="A3611" s="8" t="s">
        <v>3621</v>
      </c>
      <c r="B3611" s="8" t="s">
        <v>12</v>
      </c>
      <c r="C3611" t="s">
        <v>2</v>
      </c>
    </row>
    <row r="3612" spans="1:3" x14ac:dyDescent="0.3">
      <c r="A3612" s="8" t="s">
        <v>3622</v>
      </c>
      <c r="B3612" s="8" t="s">
        <v>12</v>
      </c>
      <c r="C3612" t="s">
        <v>3678</v>
      </c>
    </row>
    <row r="3613" spans="1:3" x14ac:dyDescent="0.3">
      <c r="A3613" s="8" t="s">
        <v>3623</v>
      </c>
      <c r="B3613" s="8" t="s">
        <v>12</v>
      </c>
      <c r="C3613" t="s">
        <v>3678</v>
      </c>
    </row>
    <row r="3614" spans="1:3" x14ac:dyDescent="0.3">
      <c r="A3614" s="8" t="s">
        <v>3624</v>
      </c>
      <c r="B3614" s="8" t="s">
        <v>12</v>
      </c>
      <c r="C3614" t="s">
        <v>3678</v>
      </c>
    </row>
    <row r="3615" spans="1:3" x14ac:dyDescent="0.3">
      <c r="A3615" s="8" t="s">
        <v>3625</v>
      </c>
      <c r="B3615" s="8" t="s">
        <v>12</v>
      </c>
      <c r="C3615" t="s">
        <v>3678</v>
      </c>
    </row>
    <row r="3616" spans="1:3" x14ac:dyDescent="0.3">
      <c r="A3616" s="8" t="s">
        <v>3626</v>
      </c>
      <c r="B3616" s="8" t="s">
        <v>12</v>
      </c>
      <c r="C3616" t="s">
        <v>3678</v>
      </c>
    </row>
    <row r="3617" spans="1:3" x14ac:dyDescent="0.3">
      <c r="A3617" s="8" t="s">
        <v>3627</v>
      </c>
      <c r="B3617" s="8" t="s">
        <v>12</v>
      </c>
      <c r="C3617" t="s">
        <v>3678</v>
      </c>
    </row>
    <row r="3618" spans="1:3" x14ac:dyDescent="0.3">
      <c r="A3618" s="8" t="s">
        <v>3628</v>
      </c>
      <c r="B3618" s="8" t="s">
        <v>12</v>
      </c>
      <c r="C3618" t="s">
        <v>3678</v>
      </c>
    </row>
    <row r="3619" spans="1:3" x14ac:dyDescent="0.3">
      <c r="A3619" s="8" t="s">
        <v>3629</v>
      </c>
      <c r="B3619" s="8" t="s">
        <v>12</v>
      </c>
      <c r="C3619" t="s">
        <v>3678</v>
      </c>
    </row>
    <row r="3620" spans="1:3" x14ac:dyDescent="0.3">
      <c r="A3620" s="8" t="s">
        <v>3630</v>
      </c>
      <c r="B3620" s="8" t="s">
        <v>12</v>
      </c>
      <c r="C3620" t="s">
        <v>3678</v>
      </c>
    </row>
    <row r="3621" spans="1:3" x14ac:dyDescent="0.3">
      <c r="A3621" s="8" t="s">
        <v>3631</v>
      </c>
      <c r="B3621" s="8" t="s">
        <v>12</v>
      </c>
      <c r="C3621" t="s">
        <v>2</v>
      </c>
    </row>
    <row r="3622" spans="1:3" x14ac:dyDescent="0.3">
      <c r="A3622" s="8" t="s">
        <v>3632</v>
      </c>
      <c r="B3622" s="8" t="s">
        <v>12</v>
      </c>
      <c r="C3622" t="s">
        <v>2</v>
      </c>
    </row>
    <row r="3623" spans="1:3" x14ac:dyDescent="0.3">
      <c r="A3623" s="8" t="s">
        <v>3633</v>
      </c>
      <c r="B3623" s="8" t="s">
        <v>12</v>
      </c>
      <c r="C3623" t="s">
        <v>2</v>
      </c>
    </row>
    <row r="3624" spans="1:3" x14ac:dyDescent="0.3">
      <c r="A3624" s="8" t="s">
        <v>3634</v>
      </c>
      <c r="B3624" s="8" t="s">
        <v>12</v>
      </c>
      <c r="C3624" t="s">
        <v>2</v>
      </c>
    </row>
    <row r="3625" spans="1:3" x14ac:dyDescent="0.3">
      <c r="A3625" s="8" t="s">
        <v>3635</v>
      </c>
      <c r="B3625" s="8" t="s">
        <v>12</v>
      </c>
      <c r="C3625" t="s">
        <v>2</v>
      </c>
    </row>
    <row r="3626" spans="1:3" x14ac:dyDescent="0.3">
      <c r="A3626" s="8" t="s">
        <v>3636</v>
      </c>
      <c r="B3626" s="8" t="s">
        <v>12</v>
      </c>
      <c r="C3626" t="s">
        <v>2</v>
      </c>
    </row>
    <row r="3627" spans="1:3" x14ac:dyDescent="0.3">
      <c r="A3627" s="8" t="s">
        <v>3637</v>
      </c>
      <c r="B3627" s="8" t="s">
        <v>12</v>
      </c>
      <c r="C3627" t="s">
        <v>2</v>
      </c>
    </row>
    <row r="3628" spans="1:3" x14ac:dyDescent="0.3">
      <c r="A3628" s="8" t="s">
        <v>3638</v>
      </c>
      <c r="B3628" s="8" t="s">
        <v>12</v>
      </c>
      <c r="C3628" t="s">
        <v>2</v>
      </c>
    </row>
    <row r="3629" spans="1:3" x14ac:dyDescent="0.3">
      <c r="A3629" s="8" t="s">
        <v>3639</v>
      </c>
      <c r="B3629" s="8" t="s">
        <v>12</v>
      </c>
      <c r="C3629" t="s">
        <v>2</v>
      </c>
    </row>
    <row r="3630" spans="1:3" x14ac:dyDescent="0.3">
      <c r="A3630" s="8" t="s">
        <v>3640</v>
      </c>
      <c r="B3630" s="8" t="s">
        <v>12</v>
      </c>
      <c r="C3630" t="s">
        <v>2</v>
      </c>
    </row>
    <row r="3631" spans="1:3" x14ac:dyDescent="0.3">
      <c r="A3631" s="8" t="s">
        <v>3641</v>
      </c>
      <c r="B3631" s="8" t="s">
        <v>12</v>
      </c>
      <c r="C3631" t="s">
        <v>2</v>
      </c>
    </row>
    <row r="3632" spans="1:3" x14ac:dyDescent="0.3">
      <c r="A3632" s="8" t="s">
        <v>3642</v>
      </c>
      <c r="B3632" s="8" t="s">
        <v>12</v>
      </c>
      <c r="C3632" t="s">
        <v>2</v>
      </c>
    </row>
    <row r="3633" spans="1:3" x14ac:dyDescent="0.3">
      <c r="A3633" s="8" t="s">
        <v>3643</v>
      </c>
      <c r="B3633" s="8" t="s">
        <v>12</v>
      </c>
      <c r="C3633" t="s">
        <v>2</v>
      </c>
    </row>
    <row r="3634" spans="1:3" x14ac:dyDescent="0.3">
      <c r="A3634" s="8" t="s">
        <v>3644</v>
      </c>
      <c r="B3634" s="8" t="s">
        <v>12</v>
      </c>
      <c r="C3634" t="s">
        <v>2</v>
      </c>
    </row>
    <row r="3635" spans="1:3" x14ac:dyDescent="0.3">
      <c r="A3635" s="8" t="s">
        <v>3645</v>
      </c>
      <c r="B3635" s="8" t="s">
        <v>12</v>
      </c>
      <c r="C3635" t="s">
        <v>2</v>
      </c>
    </row>
    <row r="3636" spans="1:3" x14ac:dyDescent="0.3">
      <c r="A3636" s="8" t="s">
        <v>3646</v>
      </c>
      <c r="B3636" s="8" t="s">
        <v>12</v>
      </c>
      <c r="C3636" t="s">
        <v>2</v>
      </c>
    </row>
    <row r="3637" spans="1:3" x14ac:dyDescent="0.3">
      <c r="A3637" s="8" t="s">
        <v>3647</v>
      </c>
      <c r="B3637" s="8" t="s">
        <v>12</v>
      </c>
      <c r="C3637" t="s">
        <v>2</v>
      </c>
    </row>
    <row r="3638" spans="1:3" x14ac:dyDescent="0.3">
      <c r="A3638" s="8" t="s">
        <v>3648</v>
      </c>
      <c r="B3638" s="8" t="s">
        <v>12</v>
      </c>
      <c r="C3638" t="s">
        <v>2</v>
      </c>
    </row>
    <row r="3639" spans="1:3" x14ac:dyDescent="0.3">
      <c r="A3639" s="8" t="s">
        <v>3649</v>
      </c>
      <c r="B3639" s="8" t="s">
        <v>12</v>
      </c>
      <c r="C3639" t="s">
        <v>2</v>
      </c>
    </row>
    <row r="3640" spans="1:3" x14ac:dyDescent="0.3">
      <c r="A3640" s="8" t="s">
        <v>3650</v>
      </c>
      <c r="B3640" s="8" t="s">
        <v>12</v>
      </c>
      <c r="C3640" t="s">
        <v>2</v>
      </c>
    </row>
    <row r="3641" spans="1:3" x14ac:dyDescent="0.3">
      <c r="A3641" s="8" t="s">
        <v>3651</v>
      </c>
      <c r="B3641" s="8" t="s">
        <v>12</v>
      </c>
      <c r="C3641" t="s">
        <v>2</v>
      </c>
    </row>
    <row r="3642" spans="1:3" x14ac:dyDescent="0.3">
      <c r="A3642" s="8" t="s">
        <v>3652</v>
      </c>
      <c r="B3642" s="8" t="s">
        <v>12</v>
      </c>
      <c r="C3642" t="s">
        <v>2</v>
      </c>
    </row>
    <row r="3643" spans="1:3" x14ac:dyDescent="0.3">
      <c r="A3643" s="8" t="s">
        <v>3653</v>
      </c>
      <c r="B3643" s="8" t="s">
        <v>12</v>
      </c>
      <c r="C3643" t="s">
        <v>2</v>
      </c>
    </row>
    <row r="3644" spans="1:3" x14ac:dyDescent="0.3">
      <c r="A3644" s="8" t="s">
        <v>3654</v>
      </c>
      <c r="B3644" s="8" t="s">
        <v>12</v>
      </c>
      <c r="C3644" t="s">
        <v>2</v>
      </c>
    </row>
    <row r="3645" spans="1:3" x14ac:dyDescent="0.3">
      <c r="A3645" s="8" t="s">
        <v>3655</v>
      </c>
      <c r="B3645" s="8" t="s">
        <v>12</v>
      </c>
      <c r="C3645" t="s">
        <v>2</v>
      </c>
    </row>
    <row r="3646" spans="1:3" x14ac:dyDescent="0.3">
      <c r="A3646" s="8" t="s">
        <v>3656</v>
      </c>
      <c r="B3646" s="8" t="s">
        <v>12</v>
      </c>
      <c r="C3646" t="s">
        <v>2</v>
      </c>
    </row>
    <row r="3647" spans="1:3" x14ac:dyDescent="0.3">
      <c r="A3647" s="8" t="s">
        <v>3657</v>
      </c>
      <c r="B3647" s="8" t="s">
        <v>12</v>
      </c>
      <c r="C3647" t="s">
        <v>2</v>
      </c>
    </row>
    <row r="3648" spans="1:3" x14ac:dyDescent="0.3">
      <c r="A3648" s="8" t="s">
        <v>3658</v>
      </c>
      <c r="B3648" s="8" t="s">
        <v>12</v>
      </c>
      <c r="C3648" t="s">
        <v>2</v>
      </c>
    </row>
    <row r="3649" spans="1:3" x14ac:dyDescent="0.3">
      <c r="A3649" s="8" t="s">
        <v>3659</v>
      </c>
      <c r="B3649" s="8" t="s">
        <v>12</v>
      </c>
      <c r="C3649" t="s">
        <v>2</v>
      </c>
    </row>
    <row r="3650" spans="1:3" x14ac:dyDescent="0.3">
      <c r="A3650" s="8" t="s">
        <v>3660</v>
      </c>
      <c r="B3650" s="8" t="s">
        <v>12</v>
      </c>
      <c r="C3650" t="s">
        <v>2</v>
      </c>
    </row>
    <row r="3651" spans="1:3" x14ac:dyDescent="0.3">
      <c r="A3651" s="8" t="s">
        <v>3661</v>
      </c>
      <c r="B3651" s="8" t="s">
        <v>12</v>
      </c>
      <c r="C3651" t="s">
        <v>2</v>
      </c>
    </row>
    <row r="3652" spans="1:3" x14ac:dyDescent="0.3">
      <c r="A3652" s="8" t="s">
        <v>3662</v>
      </c>
      <c r="B3652" s="8" t="s">
        <v>12</v>
      </c>
      <c r="C3652" t="s">
        <v>2</v>
      </c>
    </row>
    <row r="3653" spans="1:3" x14ac:dyDescent="0.3">
      <c r="A3653" s="8" t="s">
        <v>3663</v>
      </c>
      <c r="B3653" s="8" t="s">
        <v>12</v>
      </c>
      <c r="C3653" t="s">
        <v>2</v>
      </c>
    </row>
    <row r="3654" spans="1:3" x14ac:dyDescent="0.3">
      <c r="A3654" s="8" t="s">
        <v>3664</v>
      </c>
      <c r="B3654" s="8" t="s">
        <v>12</v>
      </c>
      <c r="C3654" t="s">
        <v>2</v>
      </c>
    </row>
    <row r="3655" spans="1:3" x14ac:dyDescent="0.3">
      <c r="A3655" s="8" t="s">
        <v>3665</v>
      </c>
      <c r="B3655" s="8" t="s">
        <v>12</v>
      </c>
      <c r="C3655" t="s">
        <v>2</v>
      </c>
    </row>
    <row r="3656" spans="1:3" x14ac:dyDescent="0.3">
      <c r="A3656" s="8" t="s">
        <v>3666</v>
      </c>
      <c r="B3656" s="8" t="s">
        <v>12</v>
      </c>
      <c r="C3656" t="s">
        <v>2</v>
      </c>
    </row>
    <row r="3657" spans="1:3" x14ac:dyDescent="0.3">
      <c r="A3657" s="8" t="s">
        <v>3667</v>
      </c>
      <c r="B3657" s="8" t="s">
        <v>12</v>
      </c>
      <c r="C3657" t="s">
        <v>2</v>
      </c>
    </row>
    <row r="3658" spans="1:3" x14ac:dyDescent="0.3">
      <c r="A3658" s="8" t="s">
        <v>3668</v>
      </c>
      <c r="B3658" s="8" t="s">
        <v>12</v>
      </c>
      <c r="C3658" t="s">
        <v>2</v>
      </c>
    </row>
    <row r="3659" spans="1:3" x14ac:dyDescent="0.3">
      <c r="A3659" s="8" t="s">
        <v>3669</v>
      </c>
      <c r="B3659" s="8" t="s">
        <v>12</v>
      </c>
      <c r="C3659" t="s">
        <v>2</v>
      </c>
    </row>
    <row r="3660" spans="1:3" x14ac:dyDescent="0.3">
      <c r="A3660" s="8" t="s">
        <v>3670</v>
      </c>
      <c r="B3660" s="8" t="s">
        <v>12</v>
      </c>
      <c r="C3660" t="s">
        <v>2</v>
      </c>
    </row>
    <row r="3661" spans="1:3" x14ac:dyDescent="0.3">
      <c r="A3661" s="8" t="s">
        <v>3671</v>
      </c>
      <c r="B3661" s="8" t="s">
        <v>12</v>
      </c>
      <c r="C3661" t="s">
        <v>3</v>
      </c>
    </row>
    <row r="3662" spans="1:3" x14ac:dyDescent="0.3">
      <c r="A3662" s="8" t="s">
        <v>3672</v>
      </c>
      <c r="B3662" s="8" t="s">
        <v>12</v>
      </c>
      <c r="C3662" t="s">
        <v>3</v>
      </c>
    </row>
    <row r="3663" spans="1:3" x14ac:dyDescent="0.3">
      <c r="A3663" s="8" t="s">
        <v>3673</v>
      </c>
      <c r="B3663" s="8" t="s">
        <v>12</v>
      </c>
      <c r="C3663" t="s">
        <v>3</v>
      </c>
    </row>
    <row r="3664" spans="1:3" x14ac:dyDescent="0.3">
      <c r="A3664" s="8" t="s">
        <v>3674</v>
      </c>
      <c r="B3664" s="8" t="s">
        <v>12</v>
      </c>
      <c r="C3664" t="s">
        <v>3</v>
      </c>
    </row>
    <row r="3665" spans="1:3" x14ac:dyDescent="0.3">
      <c r="A3665" s="8" t="s">
        <v>3675</v>
      </c>
      <c r="B3665" s="8" t="s">
        <v>12</v>
      </c>
      <c r="C3665" t="s">
        <v>3</v>
      </c>
    </row>
    <row r="3666" spans="1:3" x14ac:dyDescent="0.3">
      <c r="A3666" s="8" t="s">
        <v>3676</v>
      </c>
      <c r="B3666" s="8" t="s">
        <v>12</v>
      </c>
      <c r="C3666" t="s">
        <v>3</v>
      </c>
    </row>
  </sheetData>
  <autoFilter ref="A1:C3666"/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 filterMode="1"/>
  <dimension ref="A1:XET1048574"/>
  <sheetViews>
    <sheetView showGridLines="0" tabSelected="1" zoomScale="85" zoomScaleNormal="85" workbookViewId="0">
      <pane ySplit="3" topLeftCell="A4" activePane="bottomLeft" state="frozen"/>
      <selection activeCell="O23" sqref="N23:O23"/>
      <selection pane="bottomLeft" activeCell="A5" sqref="A5"/>
    </sheetView>
  </sheetViews>
  <sheetFormatPr defaultRowHeight="14.4" x14ac:dyDescent="0.3"/>
  <cols>
    <col min="1" max="1" width="3.44140625" customWidth="1"/>
    <col min="2" max="2" width="42.5546875" bestFit="1" customWidth="1"/>
    <col min="3" max="3" width="17.44140625" customWidth="1"/>
    <col min="4" max="4" width="9.21875" customWidth="1"/>
    <col min="5" max="5" width="14.109375" customWidth="1"/>
    <col min="6" max="6" width="35.21875" customWidth="1"/>
    <col min="7" max="7" width="16.77734375" customWidth="1"/>
    <col min="8" max="8" width="9.33203125" customWidth="1"/>
    <col min="9" max="9" width="16.6640625" customWidth="1"/>
    <col min="10" max="10" width="9.44140625" customWidth="1"/>
    <col min="11" max="11" width="20.109375" customWidth="1"/>
    <col min="12" max="12" width="8.77734375" customWidth="1"/>
    <col min="13" max="13" width="13.88671875" customWidth="1"/>
    <col min="14" max="14" width="7.6640625" customWidth="1"/>
    <col min="15" max="15" width="24.109375" style="39" bestFit="1" customWidth="1"/>
    <col min="16" max="16" width="18.44140625" style="39" customWidth="1"/>
    <col min="17" max="17" width="13.109375" style="39" customWidth="1"/>
    <col min="18" max="18" width="19.88671875" style="39" bestFit="1" customWidth="1"/>
    <col min="19" max="21" width="13.109375" style="39" customWidth="1"/>
    <col min="22" max="22" width="35.109375" customWidth="1"/>
    <col min="23" max="30" width="8.6640625" hidden="1" customWidth="1"/>
    <col min="31" max="32" width="9.44140625" customWidth="1"/>
    <col min="33" max="33" width="9.44140625" hidden="1" customWidth="1"/>
    <col min="34" max="34" width="18.44140625" customWidth="1"/>
  </cols>
  <sheetData>
    <row r="1" spans="1:34" ht="15" thickBot="1" x14ac:dyDescent="0.35">
      <c r="C1" s="160" t="s">
        <v>3792</v>
      </c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36"/>
      <c r="P1" s="36"/>
      <c r="Q1" s="36"/>
      <c r="R1" s="36"/>
      <c r="S1" s="36"/>
      <c r="T1" s="36"/>
      <c r="U1" s="36"/>
    </row>
    <row r="2" spans="1:34" ht="15" thickBot="1" x14ac:dyDescent="0.35">
      <c r="C2" s="161" t="s">
        <v>3706</v>
      </c>
      <c r="D2" s="161"/>
      <c r="E2" s="161" t="s">
        <v>3730</v>
      </c>
      <c r="F2" s="161"/>
      <c r="G2" s="161" t="s">
        <v>3707</v>
      </c>
      <c r="H2" s="161"/>
      <c r="I2" s="161" t="s">
        <v>3712</v>
      </c>
      <c r="J2" s="161"/>
      <c r="K2" s="161" t="s">
        <v>3818</v>
      </c>
      <c r="L2" s="161"/>
      <c r="M2" s="161" t="s">
        <v>3713</v>
      </c>
      <c r="N2" s="161"/>
      <c r="O2" s="84"/>
      <c r="P2" s="84"/>
      <c r="Q2" s="84"/>
      <c r="R2" s="84"/>
      <c r="S2" s="157" t="s">
        <v>3917</v>
      </c>
      <c r="T2" s="158"/>
      <c r="U2" s="159"/>
    </row>
    <row r="3" spans="1:34" x14ac:dyDescent="0.3">
      <c r="B3" s="25" t="s">
        <v>3715</v>
      </c>
      <c r="C3" s="29" t="s">
        <v>3719</v>
      </c>
      <c r="D3" s="29" t="s">
        <v>3714</v>
      </c>
      <c r="E3" s="29" t="s">
        <v>3768</v>
      </c>
      <c r="F3" s="29" t="s">
        <v>3769</v>
      </c>
      <c r="G3" s="29" t="s">
        <v>3770</v>
      </c>
      <c r="H3" s="29" t="s">
        <v>3771</v>
      </c>
      <c r="I3" s="29" t="s">
        <v>3772</v>
      </c>
      <c r="J3" s="29" t="s">
        <v>3773</v>
      </c>
      <c r="K3" s="29" t="s">
        <v>3772</v>
      </c>
      <c r="L3" s="29" t="s">
        <v>3773</v>
      </c>
      <c r="M3" s="29" t="s">
        <v>3774</v>
      </c>
      <c r="N3" s="29" t="s">
        <v>3775</v>
      </c>
      <c r="O3" s="43" t="s">
        <v>3793</v>
      </c>
      <c r="P3" s="43" t="s">
        <v>3819</v>
      </c>
      <c r="Q3" s="43" t="s">
        <v>3804</v>
      </c>
      <c r="R3" s="44" t="s">
        <v>3794</v>
      </c>
      <c r="S3" s="43" t="s">
        <v>3914</v>
      </c>
      <c r="T3" s="43" t="s">
        <v>3915</v>
      </c>
      <c r="U3" s="43" t="s">
        <v>3916</v>
      </c>
      <c r="V3" s="31" t="s">
        <v>3776</v>
      </c>
      <c r="W3" s="33" t="s">
        <v>3706</v>
      </c>
      <c r="X3" s="33" t="s">
        <v>3730</v>
      </c>
      <c r="Y3" s="33" t="s">
        <v>3707</v>
      </c>
      <c r="Z3" s="33" t="s">
        <v>3778</v>
      </c>
      <c r="AA3" s="33" t="s">
        <v>3781</v>
      </c>
      <c r="AB3" s="33" t="s">
        <v>3779</v>
      </c>
      <c r="AC3" s="33" t="s">
        <v>3782</v>
      </c>
      <c r="AD3" s="33" t="s">
        <v>3713</v>
      </c>
      <c r="AE3" t="s">
        <v>3717</v>
      </c>
      <c r="AF3" t="s">
        <v>3718</v>
      </c>
      <c r="AG3" t="s">
        <v>3780</v>
      </c>
      <c r="AH3" t="s">
        <v>3905</v>
      </c>
    </row>
    <row r="4" spans="1:34" x14ac:dyDescent="0.3">
      <c r="B4" s="156" t="s">
        <v>3705</v>
      </c>
      <c r="C4" s="121">
        <f>1225899+668159</f>
        <v>1894058</v>
      </c>
      <c r="D4" s="152">
        <f>C4/$AE4</f>
        <v>0.93725251897457618</v>
      </c>
      <c r="E4" s="121"/>
      <c r="F4" s="152">
        <f>E4/$AE4</f>
        <v>0</v>
      </c>
      <c r="G4" s="121"/>
      <c r="H4" s="152">
        <f>G4/$AE4</f>
        <v>0</v>
      </c>
      <c r="I4" s="121">
        <f>432+22+122685</f>
        <v>123139</v>
      </c>
      <c r="J4" s="152">
        <f>I4/$AE4</f>
        <v>6.0933898504697499E-2</v>
      </c>
      <c r="K4" s="121">
        <v>0</v>
      </c>
      <c r="L4" s="152">
        <f>K4/$AE4</f>
        <v>0</v>
      </c>
      <c r="M4" s="121">
        <v>3665</v>
      </c>
      <c r="N4" s="152">
        <f>M4/$AE4</f>
        <v>1.8135825207263039E-3</v>
      </c>
      <c r="O4" s="153" t="s">
        <v>3784</v>
      </c>
      <c r="P4" s="154">
        <v>45344</v>
      </c>
      <c r="Q4" s="155" t="s">
        <v>3807</v>
      </c>
      <c r="R4" s="40" t="s">
        <v>3800</v>
      </c>
      <c r="S4" s="37" t="s">
        <v>3706</v>
      </c>
      <c r="T4" s="37" t="s">
        <v>3706</v>
      </c>
      <c r="U4" s="37" t="s">
        <v>3712</v>
      </c>
      <c r="V4" s="121"/>
      <c r="W4" s="27">
        <v>1225899</v>
      </c>
      <c r="X4" s="27"/>
      <c r="Y4" s="27"/>
      <c r="Z4" s="27"/>
      <c r="AA4" s="28"/>
      <c r="AB4" s="27">
        <v>432</v>
      </c>
      <c r="AC4" s="27">
        <v>790866</v>
      </c>
      <c r="AD4" s="27">
        <v>3665</v>
      </c>
      <c r="AE4" s="24">
        <v>2020862</v>
      </c>
      <c r="AF4" s="2">
        <f>AE4-M4-K4-G4-E4-C4-I4</f>
        <v>0</v>
      </c>
      <c r="AG4" s="2">
        <f t="shared" ref="AG4:AG35" si="0">AE4-SUM(W4:AD4)</f>
        <v>0</v>
      </c>
      <c r="AH4" t="s">
        <v>3706</v>
      </c>
    </row>
    <row r="5" spans="1:34" x14ac:dyDescent="0.3">
      <c r="A5" t="s">
        <v>3959</v>
      </c>
      <c r="B5" s="156" t="s">
        <v>3708</v>
      </c>
      <c r="C5" s="121">
        <f>1225899+668159</f>
        <v>1894058</v>
      </c>
      <c r="D5" s="152">
        <f>C5/$AE5</f>
        <v>0.93725251897457618</v>
      </c>
      <c r="E5" s="121"/>
      <c r="F5" s="152">
        <f>E5/$AE5</f>
        <v>0</v>
      </c>
      <c r="G5" s="121"/>
      <c r="H5" s="152">
        <f>G5/$AE5</f>
        <v>0</v>
      </c>
      <c r="I5" s="121">
        <f>432+22</f>
        <v>454</v>
      </c>
      <c r="J5" s="152">
        <f>I5/$AE5</f>
        <v>2.2465660693308102E-4</v>
      </c>
      <c r="K5" s="121">
        <f>AE5-C5-I5-M5</f>
        <v>122685</v>
      </c>
      <c r="L5" s="152">
        <f>K5/$AE5</f>
        <v>6.0709241897764422E-2</v>
      </c>
      <c r="M5" s="121">
        <v>3665</v>
      </c>
      <c r="N5" s="152">
        <f>M5/$AE5</f>
        <v>1.8135825207263039E-3</v>
      </c>
      <c r="O5" s="153" t="s">
        <v>3784</v>
      </c>
      <c r="P5" s="154">
        <v>45344</v>
      </c>
      <c r="Q5" s="155" t="s">
        <v>3807</v>
      </c>
      <c r="R5" s="40" t="s">
        <v>3800</v>
      </c>
      <c r="S5" s="37" t="s">
        <v>3706</v>
      </c>
      <c r="T5" s="37" t="s">
        <v>3706</v>
      </c>
      <c r="U5" s="37" t="s">
        <v>3818</v>
      </c>
      <c r="V5" s="121"/>
      <c r="W5" s="27"/>
      <c r="X5" s="27"/>
      <c r="Y5" s="27"/>
      <c r="Z5" s="27"/>
      <c r="AA5" s="27"/>
      <c r="AB5" s="27">
        <v>432</v>
      </c>
      <c r="AC5" s="27"/>
      <c r="AD5" s="27"/>
      <c r="AE5" s="24">
        <v>2020862</v>
      </c>
      <c r="AF5" s="2">
        <f>AE5-M5-K5-G5-E5-C5-I5</f>
        <v>0</v>
      </c>
      <c r="AG5" s="2">
        <f t="shared" si="0"/>
        <v>2020430</v>
      </c>
      <c r="AH5" t="s">
        <v>3706</v>
      </c>
    </row>
    <row r="6" spans="1:34" hidden="1" x14ac:dyDescent="0.3">
      <c r="B6" s="60" t="s">
        <v>3735</v>
      </c>
      <c r="C6" s="27">
        <v>2020862</v>
      </c>
      <c r="D6" s="30">
        <f>C6/$AE6</f>
        <v>1</v>
      </c>
      <c r="E6" s="27"/>
      <c r="F6" s="30">
        <f>E6/$AE6</f>
        <v>0</v>
      </c>
      <c r="G6" s="88"/>
      <c r="H6" s="30">
        <f>G6/$AE6</f>
        <v>0</v>
      </c>
      <c r="I6" s="88"/>
      <c r="J6" s="30">
        <f>I6/$AE6</f>
        <v>0</v>
      </c>
      <c r="K6" s="88"/>
      <c r="L6" s="30">
        <f>K6/$AE6</f>
        <v>0</v>
      </c>
      <c r="M6" s="88"/>
      <c r="N6" s="30">
        <f>M6/$AE6</f>
        <v>0</v>
      </c>
      <c r="O6" s="38" t="s">
        <v>3789</v>
      </c>
      <c r="P6" s="56">
        <v>45324</v>
      </c>
      <c r="Q6" s="37" t="s">
        <v>3805</v>
      </c>
      <c r="R6" s="40" t="s">
        <v>3800</v>
      </c>
      <c r="S6" s="37" t="s">
        <v>3706</v>
      </c>
      <c r="T6" s="37" t="s">
        <v>3706</v>
      </c>
      <c r="U6" s="37" t="s">
        <v>3706</v>
      </c>
      <c r="V6" s="121" t="s">
        <v>3790</v>
      </c>
      <c r="W6" s="27"/>
      <c r="X6" s="27"/>
      <c r="Y6" s="27"/>
      <c r="Z6" s="27"/>
      <c r="AA6" s="27"/>
      <c r="AB6" s="27"/>
      <c r="AC6" s="27"/>
      <c r="AD6" s="27"/>
      <c r="AE6" s="24">
        <v>2020862</v>
      </c>
      <c r="AF6" s="2">
        <f>AE6-M6-K6-G6-E6-C6-I6</f>
        <v>0</v>
      </c>
      <c r="AG6" s="2">
        <f t="shared" si="0"/>
        <v>2020862</v>
      </c>
      <c r="AH6" t="s">
        <v>3706</v>
      </c>
    </row>
    <row r="7" spans="1:34" x14ac:dyDescent="0.3">
      <c r="A7" t="s">
        <v>3957</v>
      </c>
      <c r="B7" s="146" t="s">
        <v>3711</v>
      </c>
      <c r="C7" s="140">
        <f>1184384+666817</f>
        <v>1851201</v>
      </c>
      <c r="D7" s="141">
        <f>C7/$AE7</f>
        <v>0.91604523218309808</v>
      </c>
      <c r="E7" s="140"/>
      <c r="F7" s="141">
        <f>E7/$AE7</f>
        <v>0</v>
      </c>
      <c r="G7" s="140"/>
      <c r="H7" s="141">
        <f>G7/$AE7</f>
        <v>0</v>
      </c>
      <c r="I7" s="140">
        <f>432+22</f>
        <v>454</v>
      </c>
      <c r="J7" s="141">
        <f>I7/$AE7</f>
        <v>2.2465660693308102E-4</v>
      </c>
      <c r="K7" s="140">
        <f>AE7-C7-I7-M7+1342</f>
        <v>166884</v>
      </c>
      <c r="L7" s="141">
        <f>K7/$AE7</f>
        <v>8.2580601743216506E-2</v>
      </c>
      <c r="M7" s="140">
        <v>3665</v>
      </c>
      <c r="N7" s="141">
        <f>M7/$AE7</f>
        <v>1.8135825207263039E-3</v>
      </c>
      <c r="O7" s="143" t="s">
        <v>3784</v>
      </c>
      <c r="P7" s="142">
        <v>45344</v>
      </c>
      <c r="Q7" s="144" t="s">
        <v>3807</v>
      </c>
      <c r="R7" s="40" t="s">
        <v>3800</v>
      </c>
      <c r="S7" s="37" t="s">
        <v>3706</v>
      </c>
      <c r="T7" s="37" t="s">
        <v>3706</v>
      </c>
      <c r="U7" s="37" t="s">
        <v>3818</v>
      </c>
      <c r="V7" s="34"/>
      <c r="W7" s="27">
        <v>1184384</v>
      </c>
      <c r="X7" s="27"/>
      <c r="Y7" s="27"/>
      <c r="Z7" s="27"/>
      <c r="AA7" s="27"/>
      <c r="AB7" s="27">
        <v>424</v>
      </c>
      <c r="AC7" s="27">
        <f>AE7-AD7-AB7-W7</f>
        <v>832389</v>
      </c>
      <c r="AD7" s="27">
        <v>3665</v>
      </c>
      <c r="AE7" s="24">
        <v>2020862</v>
      </c>
      <c r="AF7" s="2">
        <f>AE7-M7-K7-G7-E7-C7-I7</f>
        <v>-1342</v>
      </c>
      <c r="AG7" s="2">
        <f t="shared" si="0"/>
        <v>0</v>
      </c>
      <c r="AH7" t="s">
        <v>3706</v>
      </c>
    </row>
    <row r="8" spans="1:34" s="133" customFormat="1" x14ac:dyDescent="0.3">
      <c r="B8" s="60" t="s">
        <v>3752</v>
      </c>
      <c r="C8" s="27">
        <f>1225899+668158</f>
        <v>1894057</v>
      </c>
      <c r="D8" s="89">
        <f>C8/$AE8</f>
        <v>0.93725202413623498</v>
      </c>
      <c r="E8" s="88"/>
      <c r="F8" s="89">
        <f>E8/$AE8</f>
        <v>0</v>
      </c>
      <c r="G8" s="27">
        <v>1</v>
      </c>
      <c r="H8" s="89">
        <f>G8/$AE8</f>
        <v>4.9483834126229304E-7</v>
      </c>
      <c r="I8" s="27">
        <f>432+22</f>
        <v>454</v>
      </c>
      <c r="J8" s="89">
        <f>I8/$AE8</f>
        <v>2.2465660693308102E-4</v>
      </c>
      <c r="K8" s="88">
        <f>AE8-C8-G8-I8-M8</f>
        <v>122685</v>
      </c>
      <c r="L8" s="89">
        <f>K8/$AE8</f>
        <v>6.0709241897764422E-2</v>
      </c>
      <c r="M8" s="88">
        <v>3665</v>
      </c>
      <c r="N8" s="89">
        <f>M8/$AE8</f>
        <v>1.8135825207263039E-3</v>
      </c>
      <c r="O8" s="139" t="s">
        <v>3954</v>
      </c>
      <c r="P8" s="134">
        <v>45338</v>
      </c>
      <c r="Q8" s="135" t="s">
        <v>3809</v>
      </c>
      <c r="R8" s="136" t="s">
        <v>3800</v>
      </c>
      <c r="S8" s="135" t="s">
        <v>3706</v>
      </c>
      <c r="T8" s="135" t="s">
        <v>3707</v>
      </c>
      <c r="U8" s="135" t="s">
        <v>3818</v>
      </c>
      <c r="V8" s="88"/>
      <c r="W8" s="120"/>
      <c r="X8" s="120"/>
      <c r="Y8" s="120"/>
      <c r="Z8" s="120"/>
      <c r="AA8" s="120"/>
      <c r="AB8" s="120"/>
      <c r="AC8" s="120"/>
      <c r="AD8" s="120"/>
      <c r="AE8" s="24">
        <v>2020862</v>
      </c>
      <c r="AF8" s="137">
        <f>AE8-M8-K8-G8-E8-C8-I8</f>
        <v>0</v>
      </c>
      <c r="AG8" s="132">
        <f t="shared" si="0"/>
        <v>2020862</v>
      </c>
      <c r="AH8" s="133" t="s">
        <v>3911</v>
      </c>
    </row>
    <row r="9" spans="1:34" x14ac:dyDescent="0.3">
      <c r="B9" s="60" t="s">
        <v>3709</v>
      </c>
      <c r="C9" s="27">
        <f>1225899+668159</f>
        <v>1894058</v>
      </c>
      <c r="D9" s="30">
        <f>C9/$AE9</f>
        <v>0.93725251897457618</v>
      </c>
      <c r="E9" s="27"/>
      <c r="F9" s="30">
        <f>E9/$AE9</f>
        <v>0</v>
      </c>
      <c r="G9" s="27"/>
      <c r="H9" s="30">
        <f>G9/$AE9</f>
        <v>0</v>
      </c>
      <c r="I9" s="27">
        <f>432+22</f>
        <v>454</v>
      </c>
      <c r="J9" s="30">
        <f>I9/$AE9</f>
        <v>2.2465660693308102E-4</v>
      </c>
      <c r="K9" s="88">
        <f>AE9-C9-G9-I9-M9</f>
        <v>122685</v>
      </c>
      <c r="L9" s="30">
        <f>K9/$AE9</f>
        <v>6.0709241897764422E-2</v>
      </c>
      <c r="M9" s="88">
        <v>3665</v>
      </c>
      <c r="N9" s="30">
        <f>M9/$AE9</f>
        <v>1.8135825207263039E-3</v>
      </c>
      <c r="O9" s="41" t="s">
        <v>3784</v>
      </c>
      <c r="P9" s="134">
        <v>45338</v>
      </c>
      <c r="Q9" s="37" t="s">
        <v>3807</v>
      </c>
      <c r="R9" s="40" t="s">
        <v>3800</v>
      </c>
      <c r="S9" s="37" t="s">
        <v>3706</v>
      </c>
      <c r="T9" s="37" t="s">
        <v>3706</v>
      </c>
      <c r="U9" s="37" t="s">
        <v>3818</v>
      </c>
      <c r="V9" s="34"/>
      <c r="W9" s="27">
        <v>1225899</v>
      </c>
      <c r="X9" s="27"/>
      <c r="Y9" s="27"/>
      <c r="Z9" s="27"/>
      <c r="AA9" s="27">
        <v>790866</v>
      </c>
      <c r="AB9" s="27">
        <v>432</v>
      </c>
      <c r="AC9" s="27"/>
      <c r="AD9" s="27">
        <v>3665</v>
      </c>
      <c r="AE9" s="24">
        <v>2020862</v>
      </c>
      <c r="AF9" s="2">
        <f>AE9-M9-K9-G9-E9-C9-I9</f>
        <v>0</v>
      </c>
      <c r="AG9" s="2">
        <f t="shared" si="0"/>
        <v>0</v>
      </c>
      <c r="AH9" t="s">
        <v>3909</v>
      </c>
    </row>
    <row r="10" spans="1:34" x14ac:dyDescent="0.3">
      <c r="B10" s="60" t="s">
        <v>3710</v>
      </c>
      <c r="C10" s="27">
        <f>1225899+668159</f>
        <v>1894058</v>
      </c>
      <c r="D10" s="30">
        <f>C10/$AE10</f>
        <v>0.93725251897457618</v>
      </c>
      <c r="E10" s="27"/>
      <c r="F10" s="30">
        <f>E10/$AE10</f>
        <v>0</v>
      </c>
      <c r="G10" s="27"/>
      <c r="H10" s="30">
        <f>G10/$AE10</f>
        <v>0</v>
      </c>
      <c r="I10" s="27">
        <f>432+22</f>
        <v>454</v>
      </c>
      <c r="J10" s="30">
        <f>I10/$AE10</f>
        <v>2.2465660693308102E-4</v>
      </c>
      <c r="K10" s="88">
        <f>AE10-C10-G10-I10-M10</f>
        <v>122685</v>
      </c>
      <c r="L10" s="30">
        <f>K10/$AE10</f>
        <v>6.0709241897764422E-2</v>
      </c>
      <c r="M10" s="88">
        <v>3665</v>
      </c>
      <c r="N10" s="30">
        <f>M10/$AE10</f>
        <v>1.8135825207263039E-3</v>
      </c>
      <c r="O10" s="41" t="s">
        <v>3784</v>
      </c>
      <c r="P10" s="56">
        <v>45317</v>
      </c>
      <c r="Q10" s="37" t="s">
        <v>3807</v>
      </c>
      <c r="R10" s="40" t="s">
        <v>3800</v>
      </c>
      <c r="S10" s="37" t="s">
        <v>3706</v>
      </c>
      <c r="T10" s="37" t="s">
        <v>3706</v>
      </c>
      <c r="U10" s="37" t="s">
        <v>3818</v>
      </c>
      <c r="V10" s="27" t="s">
        <v>3791</v>
      </c>
      <c r="W10" s="27">
        <v>1225309</v>
      </c>
      <c r="X10" s="27"/>
      <c r="Y10" s="27">
        <v>590</v>
      </c>
      <c r="Z10" s="27"/>
      <c r="AA10" s="27"/>
      <c r="AB10" s="27">
        <v>432</v>
      </c>
      <c r="AC10" s="27">
        <v>790866</v>
      </c>
      <c r="AD10" s="27">
        <v>3665</v>
      </c>
      <c r="AE10" s="24">
        <v>2020862</v>
      </c>
      <c r="AF10" s="2">
        <f>AE10-M10-K10-G10-E10-C10-I10</f>
        <v>0</v>
      </c>
      <c r="AG10" s="2">
        <f t="shared" si="0"/>
        <v>0</v>
      </c>
      <c r="AH10" t="s">
        <v>3909</v>
      </c>
    </row>
    <row r="11" spans="1:34" hidden="1" x14ac:dyDescent="0.3">
      <c r="B11" s="60" t="s">
        <v>3740</v>
      </c>
      <c r="C11" s="27">
        <v>2020862</v>
      </c>
      <c r="D11" s="30">
        <f>C11/$AE11</f>
        <v>1</v>
      </c>
      <c r="E11" s="27"/>
      <c r="F11" s="30">
        <f>E11/$AE11</f>
        <v>0</v>
      </c>
      <c r="G11" s="27"/>
      <c r="H11" s="30">
        <f>G11/$AE11</f>
        <v>0</v>
      </c>
      <c r="I11" s="27"/>
      <c r="J11" s="30">
        <f>I11/$AE11</f>
        <v>0</v>
      </c>
      <c r="K11" s="88"/>
      <c r="L11" s="30">
        <f>K11/$AE11</f>
        <v>0</v>
      </c>
      <c r="M11" s="88"/>
      <c r="N11" s="30">
        <f>M11/$AE11</f>
        <v>0</v>
      </c>
      <c r="O11" s="38" t="s">
        <v>3789</v>
      </c>
      <c r="P11" s="56">
        <v>45317</v>
      </c>
      <c r="Q11" s="37" t="s">
        <v>3805</v>
      </c>
      <c r="R11" s="40" t="s">
        <v>3800</v>
      </c>
      <c r="S11" s="37" t="s">
        <v>3706</v>
      </c>
      <c r="T11" s="37" t="s">
        <v>3706</v>
      </c>
      <c r="U11" s="37" t="s">
        <v>3706</v>
      </c>
      <c r="V11" s="122" t="s">
        <v>3787</v>
      </c>
      <c r="W11" s="27"/>
      <c r="X11" s="27"/>
      <c r="Y11" s="27"/>
      <c r="Z11" s="27"/>
      <c r="AA11" s="27"/>
      <c r="AB11" s="27"/>
      <c r="AC11" s="27"/>
      <c r="AD11" s="27"/>
      <c r="AE11" s="24">
        <v>2020862</v>
      </c>
      <c r="AF11" s="2">
        <f>AE11-M11-K11-G11-E11-C11-I11</f>
        <v>0</v>
      </c>
      <c r="AG11" s="2">
        <f t="shared" si="0"/>
        <v>2020862</v>
      </c>
      <c r="AH11" t="s">
        <v>3706</v>
      </c>
    </row>
    <row r="12" spans="1:34" hidden="1" x14ac:dyDescent="0.3">
      <c r="B12" s="60" t="s">
        <v>3745</v>
      </c>
      <c r="C12" s="27">
        <v>2020862</v>
      </c>
      <c r="D12" s="30">
        <f>C12/$AE12</f>
        <v>1</v>
      </c>
      <c r="E12" s="28"/>
      <c r="F12" s="30">
        <f>E12/$AE12</f>
        <v>0</v>
      </c>
      <c r="G12" s="27"/>
      <c r="H12" s="30">
        <f>G12/$AE12</f>
        <v>0</v>
      </c>
      <c r="I12" s="27"/>
      <c r="J12" s="30">
        <f>I12/$AE12</f>
        <v>0</v>
      </c>
      <c r="K12" s="88"/>
      <c r="L12" s="30">
        <f>K12/$AE12</f>
        <v>0</v>
      </c>
      <c r="M12" s="88"/>
      <c r="N12" s="30">
        <f>M12/$AE12</f>
        <v>0</v>
      </c>
      <c r="O12" s="38" t="s">
        <v>3789</v>
      </c>
      <c r="P12" s="56">
        <v>45321</v>
      </c>
      <c r="Q12" s="37" t="s">
        <v>3805</v>
      </c>
      <c r="R12" s="40" t="s">
        <v>3800</v>
      </c>
      <c r="S12" s="37" t="s">
        <v>3706</v>
      </c>
      <c r="T12" s="37" t="s">
        <v>3706</v>
      </c>
      <c r="U12" s="37" t="s">
        <v>3706</v>
      </c>
      <c r="V12" s="121"/>
      <c r="W12" s="27"/>
      <c r="X12" s="27"/>
      <c r="Y12" s="27"/>
      <c r="Z12" s="27"/>
      <c r="AA12" s="27"/>
      <c r="AB12" s="27"/>
      <c r="AC12" s="27"/>
      <c r="AD12" s="27"/>
      <c r="AE12" s="24">
        <v>2020862</v>
      </c>
      <c r="AF12" s="2">
        <f>AE12-M12-K12-G12-E12-C12-I12</f>
        <v>0</v>
      </c>
      <c r="AG12" s="2">
        <f t="shared" si="0"/>
        <v>2020862</v>
      </c>
      <c r="AH12" t="s">
        <v>3706</v>
      </c>
    </row>
    <row r="13" spans="1:34" hidden="1" x14ac:dyDescent="0.3">
      <c r="B13" s="60" t="s">
        <v>3741</v>
      </c>
      <c r="C13" s="27">
        <v>2020862</v>
      </c>
      <c r="D13" s="30">
        <f>C13/$AE13</f>
        <v>1</v>
      </c>
      <c r="E13" s="28"/>
      <c r="F13" s="30">
        <f>E13/$AE13</f>
        <v>0</v>
      </c>
      <c r="G13" s="27"/>
      <c r="H13" s="30">
        <f>G13/$AE13</f>
        <v>0</v>
      </c>
      <c r="I13" s="27"/>
      <c r="J13" s="30">
        <f>I13/$AE13</f>
        <v>0</v>
      </c>
      <c r="K13" s="88"/>
      <c r="L13" s="30">
        <f>K13/$AE13</f>
        <v>0</v>
      </c>
      <c r="M13" s="88"/>
      <c r="N13" s="30">
        <f>M13/$AE13</f>
        <v>0</v>
      </c>
      <c r="O13" s="38" t="s">
        <v>3789</v>
      </c>
      <c r="P13" s="56">
        <v>45321</v>
      </c>
      <c r="Q13" s="37" t="s">
        <v>3805</v>
      </c>
      <c r="R13" s="40" t="s">
        <v>3800</v>
      </c>
      <c r="S13" s="37" t="s">
        <v>3706</v>
      </c>
      <c r="T13" s="37" t="s">
        <v>3706</v>
      </c>
      <c r="U13" s="37" t="s">
        <v>3706</v>
      </c>
      <c r="V13" s="121"/>
      <c r="W13" s="27"/>
      <c r="X13" s="27"/>
      <c r="Y13" s="27"/>
      <c r="Z13" s="27"/>
      <c r="AA13" s="27"/>
      <c r="AB13" s="27"/>
      <c r="AC13" s="27"/>
      <c r="AD13" s="27"/>
      <c r="AE13" s="24">
        <v>2020862</v>
      </c>
      <c r="AF13" s="2">
        <f>AE13-M13-K13-G13-E13-C13-I13</f>
        <v>0</v>
      </c>
      <c r="AG13" s="2">
        <f t="shared" si="0"/>
        <v>2020862</v>
      </c>
      <c r="AH13" t="s">
        <v>3706</v>
      </c>
    </row>
    <row r="14" spans="1:34" x14ac:dyDescent="0.3">
      <c r="A14" t="s">
        <v>3961</v>
      </c>
      <c r="B14" s="147" t="s">
        <v>3722</v>
      </c>
      <c r="C14" s="148">
        <v>16935</v>
      </c>
      <c r="D14" s="149">
        <f>C14/$AE14</f>
        <v>8.3800873092769318E-3</v>
      </c>
      <c r="E14" s="148"/>
      <c r="F14" s="149">
        <f>E14/$AE14</f>
        <v>0</v>
      </c>
      <c r="G14" s="148">
        <f>AE14-C14-K14-M14</f>
        <v>1209396</v>
      </c>
      <c r="H14" s="149">
        <f>G14/$AE14</f>
        <v>0.59845551056925217</v>
      </c>
      <c r="I14" s="148"/>
      <c r="J14" s="149">
        <f>I14/$AE14</f>
        <v>0</v>
      </c>
      <c r="K14" s="148">
        <v>790866</v>
      </c>
      <c r="L14" s="149">
        <f>K14/$AE14</f>
        <v>0.39135081960074464</v>
      </c>
      <c r="M14" s="148">
        <v>3665</v>
      </c>
      <c r="N14" s="149">
        <f>M14/$AE14</f>
        <v>1.8135825207263039E-3</v>
      </c>
      <c r="O14" s="139" t="s">
        <v>3954</v>
      </c>
      <c r="P14" s="150">
        <v>45321</v>
      </c>
      <c r="Q14" s="151" t="s">
        <v>3809</v>
      </c>
      <c r="R14" s="40" t="s">
        <v>3800</v>
      </c>
      <c r="S14" s="37" t="s">
        <v>3707</v>
      </c>
      <c r="T14" s="37" t="s">
        <v>3818</v>
      </c>
      <c r="U14" s="37" t="s">
        <v>3818</v>
      </c>
      <c r="V14" s="27"/>
      <c r="W14" s="27"/>
      <c r="X14" s="27"/>
      <c r="Y14" s="27"/>
      <c r="Z14" s="27"/>
      <c r="AA14" s="27"/>
      <c r="AB14" s="27"/>
      <c r="AC14" s="27"/>
      <c r="AD14" s="27"/>
      <c r="AE14" s="24">
        <v>2020862</v>
      </c>
      <c r="AF14" s="2">
        <f>AE14-M14-K14-G14-E14-C14-I14</f>
        <v>0</v>
      </c>
      <c r="AG14" s="2">
        <f t="shared" si="0"/>
        <v>2020862</v>
      </c>
      <c r="AH14" t="s">
        <v>3706</v>
      </c>
    </row>
    <row r="15" spans="1:34" x14ac:dyDescent="0.3">
      <c r="B15" s="60" t="s">
        <v>3723</v>
      </c>
      <c r="C15" s="27"/>
      <c r="D15" s="30">
        <f>C15/$AE15</f>
        <v>0</v>
      </c>
      <c r="E15" s="27"/>
      <c r="F15" s="30">
        <f>E15/$AE15</f>
        <v>0</v>
      </c>
      <c r="G15" s="27">
        <f>2020862-3665</f>
        <v>2017197</v>
      </c>
      <c r="H15" s="30">
        <f>G15/$AE15</f>
        <v>0.99818641747927372</v>
      </c>
      <c r="I15" s="27"/>
      <c r="J15" s="30">
        <f>I15/$AE15</f>
        <v>0</v>
      </c>
      <c r="K15" s="88"/>
      <c r="L15" s="30">
        <f>K15/$AE15</f>
        <v>0</v>
      </c>
      <c r="M15" s="88">
        <v>3665</v>
      </c>
      <c r="N15" s="30">
        <f>M15/$AE15</f>
        <v>1.8135825207263039E-3</v>
      </c>
      <c r="O15" s="55" t="s">
        <v>3797</v>
      </c>
      <c r="P15" s="56">
        <v>45320</v>
      </c>
      <c r="Q15" s="37" t="s">
        <v>3809</v>
      </c>
      <c r="R15" s="40" t="s">
        <v>3800</v>
      </c>
      <c r="S15" s="37" t="s">
        <v>3707</v>
      </c>
      <c r="T15" s="37" t="s">
        <v>3707</v>
      </c>
      <c r="U15" s="37" t="s">
        <v>3707</v>
      </c>
      <c r="V15" s="27"/>
      <c r="W15" s="27"/>
      <c r="X15" s="27"/>
      <c r="Y15" s="27"/>
      <c r="Z15" s="27"/>
      <c r="AA15" s="27"/>
      <c r="AB15" s="27"/>
      <c r="AC15" s="27"/>
      <c r="AD15" s="27"/>
      <c r="AE15" s="24">
        <v>2020862</v>
      </c>
      <c r="AF15" s="2">
        <f>AE15-M15-K15-G15-E15-C15-I15</f>
        <v>0</v>
      </c>
      <c r="AG15" s="2">
        <f t="shared" si="0"/>
        <v>2020862</v>
      </c>
      <c r="AH15" t="s">
        <v>3706</v>
      </c>
    </row>
    <row r="16" spans="1:34" x14ac:dyDescent="0.3">
      <c r="B16" s="60" t="s">
        <v>3757</v>
      </c>
      <c r="C16" s="27">
        <v>2020862</v>
      </c>
      <c r="D16" s="30">
        <f>C16/$AE16</f>
        <v>1</v>
      </c>
      <c r="E16" s="27"/>
      <c r="F16" s="30">
        <f>E16/$AE16</f>
        <v>0</v>
      </c>
      <c r="G16" s="27"/>
      <c r="H16" s="30">
        <f>G16/$AE16</f>
        <v>0</v>
      </c>
      <c r="I16" s="27"/>
      <c r="J16" s="30">
        <f>I16/$AE16</f>
        <v>0</v>
      </c>
      <c r="K16" s="88"/>
      <c r="L16" s="30">
        <f>K16/$AE16</f>
        <v>0</v>
      </c>
      <c r="M16" s="88"/>
      <c r="N16" s="30">
        <f>M16/$AE16</f>
        <v>0</v>
      </c>
      <c r="O16" s="38" t="s">
        <v>3789</v>
      </c>
      <c r="P16" s="56">
        <v>45317</v>
      </c>
      <c r="Q16" s="37" t="s">
        <v>3810</v>
      </c>
      <c r="R16" s="40" t="s">
        <v>3800</v>
      </c>
      <c r="S16" s="37" t="s">
        <v>3706</v>
      </c>
      <c r="T16" s="37" t="s">
        <v>3706</v>
      </c>
      <c r="U16" s="37" t="s">
        <v>3706</v>
      </c>
      <c r="V16" s="27"/>
      <c r="W16" s="27"/>
      <c r="X16" s="27"/>
      <c r="Y16" s="27"/>
      <c r="Z16" s="27"/>
      <c r="AA16" s="27"/>
      <c r="AB16" s="27"/>
      <c r="AC16" s="27"/>
      <c r="AD16" s="27"/>
      <c r="AE16" s="24">
        <v>2020862</v>
      </c>
      <c r="AF16" s="2">
        <f>AE16-M16-K16-G16-E16-C16-I16</f>
        <v>0</v>
      </c>
      <c r="AG16" s="2">
        <f t="shared" si="0"/>
        <v>2020862</v>
      </c>
      <c r="AH16" t="s">
        <v>3706</v>
      </c>
    </row>
    <row r="17" spans="1:34" x14ac:dyDescent="0.3">
      <c r="B17" s="60" t="s">
        <v>3766</v>
      </c>
      <c r="C17" s="27"/>
      <c r="D17" s="89">
        <f>C17/$AE17</f>
        <v>0</v>
      </c>
      <c r="E17" s="88"/>
      <c r="F17" s="89">
        <f>E17/$AE17</f>
        <v>0</v>
      </c>
      <c r="G17" s="27"/>
      <c r="H17" s="89">
        <f>G17/$AE17</f>
        <v>0</v>
      </c>
      <c r="I17" s="27"/>
      <c r="J17" s="89">
        <f>I17/$AE17</f>
        <v>0</v>
      </c>
      <c r="K17" s="88">
        <v>2020862</v>
      </c>
      <c r="L17" s="89">
        <f>K17/$AE17</f>
        <v>1</v>
      </c>
      <c r="M17" s="88"/>
      <c r="N17" s="89">
        <f>M17/$AE17</f>
        <v>0</v>
      </c>
      <c r="O17" s="55" t="s">
        <v>3797</v>
      </c>
      <c r="P17" s="56">
        <v>45321</v>
      </c>
      <c r="Q17" s="37" t="s">
        <v>3811</v>
      </c>
      <c r="R17" s="40" t="s">
        <v>3796</v>
      </c>
      <c r="S17" s="37" t="s">
        <v>3818</v>
      </c>
      <c r="T17" s="37" t="s">
        <v>3818</v>
      </c>
      <c r="U17" s="37" t="s">
        <v>3818</v>
      </c>
      <c r="V17" s="27"/>
      <c r="W17" s="27"/>
      <c r="X17" s="27"/>
      <c r="Y17" s="27"/>
      <c r="Z17" s="27"/>
      <c r="AA17" s="27"/>
      <c r="AB17" s="27"/>
      <c r="AC17" s="27"/>
      <c r="AD17" s="27"/>
      <c r="AE17" s="24">
        <v>2020862</v>
      </c>
      <c r="AF17" s="2">
        <f>AE17-M17-K17-G17-E17-C17-I17</f>
        <v>0</v>
      </c>
      <c r="AG17" s="2">
        <f t="shared" si="0"/>
        <v>2020862</v>
      </c>
      <c r="AH17" t="s">
        <v>3706</v>
      </c>
    </row>
    <row r="18" spans="1:34" hidden="1" x14ac:dyDescent="0.3">
      <c r="B18" s="60" t="s">
        <v>3731</v>
      </c>
      <c r="C18" s="27">
        <v>2020862</v>
      </c>
      <c r="D18" s="30">
        <f>C21/$AE18</f>
        <v>1</v>
      </c>
      <c r="E18" s="27"/>
      <c r="F18" s="30">
        <f>E18/$AE18</f>
        <v>0</v>
      </c>
      <c r="G18" s="27"/>
      <c r="H18" s="30">
        <f>G18/$AE18</f>
        <v>0</v>
      </c>
      <c r="I18" s="27"/>
      <c r="J18" s="30">
        <f>I18/$AE18</f>
        <v>0</v>
      </c>
      <c r="K18" s="88"/>
      <c r="L18" s="30">
        <f>K18/$AE18</f>
        <v>0</v>
      </c>
      <c r="M18" s="88"/>
      <c r="N18" s="30">
        <f>M18/$AE18</f>
        <v>0</v>
      </c>
      <c r="O18" s="38" t="s">
        <v>3789</v>
      </c>
      <c r="P18" s="56">
        <v>45321</v>
      </c>
      <c r="Q18" s="37" t="s">
        <v>3805</v>
      </c>
      <c r="R18" s="40" t="s">
        <v>3800</v>
      </c>
      <c r="S18" s="37" t="s">
        <v>3706</v>
      </c>
      <c r="T18" s="37" t="s">
        <v>3706</v>
      </c>
      <c r="U18" s="37" t="s">
        <v>3706</v>
      </c>
      <c r="V18" s="121"/>
      <c r="W18" s="27"/>
      <c r="X18" s="27"/>
      <c r="Y18" s="27"/>
      <c r="Z18" s="27"/>
      <c r="AA18" s="27"/>
      <c r="AB18" s="27"/>
      <c r="AC18" s="27"/>
      <c r="AD18" s="27"/>
      <c r="AE18" s="24">
        <v>2020862</v>
      </c>
      <c r="AF18" s="2">
        <f>AE18-M18-K18-G18-E18-C18-I18</f>
        <v>0</v>
      </c>
      <c r="AG18" s="2">
        <f t="shared" si="0"/>
        <v>2020862</v>
      </c>
      <c r="AH18" t="s">
        <v>3706</v>
      </c>
    </row>
    <row r="19" spans="1:34" x14ac:dyDescent="0.3">
      <c r="B19" s="60" t="s">
        <v>3756</v>
      </c>
      <c r="C19" s="27">
        <v>2020862</v>
      </c>
      <c r="D19" s="30">
        <f>C19/$AE19</f>
        <v>1</v>
      </c>
      <c r="E19" s="27"/>
      <c r="F19" s="30">
        <f>E19/$AE19</f>
        <v>0</v>
      </c>
      <c r="G19" s="27"/>
      <c r="H19" s="30">
        <f>G19/$AE19</f>
        <v>0</v>
      </c>
      <c r="I19" s="27"/>
      <c r="J19" s="30">
        <f>I19/$AE19</f>
        <v>0</v>
      </c>
      <c r="K19" s="88"/>
      <c r="L19" s="30">
        <f>K19/$AE19</f>
        <v>0</v>
      </c>
      <c r="M19" s="88"/>
      <c r="N19" s="30">
        <f>M19/$AE19</f>
        <v>0</v>
      </c>
      <c r="O19" s="38" t="s">
        <v>3789</v>
      </c>
      <c r="P19" s="56">
        <v>45317</v>
      </c>
      <c r="Q19" s="37" t="s">
        <v>3810</v>
      </c>
      <c r="R19" s="40" t="s">
        <v>3800</v>
      </c>
      <c r="S19" s="37" t="s">
        <v>3706</v>
      </c>
      <c r="T19" s="37" t="s">
        <v>3706</v>
      </c>
      <c r="U19" s="37" t="s">
        <v>3706</v>
      </c>
      <c r="V19" s="27"/>
      <c r="W19" s="27"/>
      <c r="X19" s="27"/>
      <c r="Y19" s="27"/>
      <c r="Z19" s="27"/>
      <c r="AA19" s="27"/>
      <c r="AB19" s="27"/>
      <c r="AC19" s="27"/>
      <c r="AD19" s="27"/>
      <c r="AE19" s="24">
        <v>2020862</v>
      </c>
      <c r="AF19" s="2">
        <f>AE19-M19-K19-G19-E19-C19-I19</f>
        <v>0</v>
      </c>
      <c r="AG19" s="2">
        <f t="shared" si="0"/>
        <v>2020862</v>
      </c>
      <c r="AH19" t="s">
        <v>3706</v>
      </c>
    </row>
    <row r="20" spans="1:34" hidden="1" x14ac:dyDescent="0.3">
      <c r="B20" s="60" t="s">
        <v>3746</v>
      </c>
      <c r="C20" s="27"/>
      <c r="D20" s="89">
        <f>C20/$AE20</f>
        <v>0</v>
      </c>
      <c r="E20" s="88"/>
      <c r="F20" s="89">
        <f>E20/$AE20</f>
        <v>0</v>
      </c>
      <c r="G20" s="27"/>
      <c r="H20" s="89">
        <f>G20/$AE20</f>
        <v>0</v>
      </c>
      <c r="I20" s="27"/>
      <c r="J20" s="89">
        <f>I20/$AE20</f>
        <v>0</v>
      </c>
      <c r="K20" s="88">
        <v>2020862</v>
      </c>
      <c r="L20" s="89">
        <f>K20/$AE20</f>
        <v>1</v>
      </c>
      <c r="M20" s="88"/>
      <c r="N20" s="89">
        <f>M20/$AE20</f>
        <v>0</v>
      </c>
      <c r="O20" s="55" t="s">
        <v>3797</v>
      </c>
      <c r="P20" s="56">
        <v>45322</v>
      </c>
      <c r="Q20" s="37" t="s">
        <v>3805</v>
      </c>
      <c r="R20" s="40" t="s">
        <v>3796</v>
      </c>
      <c r="S20" s="37" t="s">
        <v>3818</v>
      </c>
      <c r="T20" s="37" t="s">
        <v>3818</v>
      </c>
      <c r="U20" s="37" t="s">
        <v>3818</v>
      </c>
      <c r="V20" s="121"/>
      <c r="W20" s="27"/>
      <c r="X20" s="27"/>
      <c r="Y20" s="27"/>
      <c r="Z20" s="27"/>
      <c r="AA20" s="27"/>
      <c r="AB20" s="27"/>
      <c r="AC20" s="27"/>
      <c r="AD20" s="27"/>
      <c r="AE20" s="24">
        <v>2020862</v>
      </c>
      <c r="AF20" s="2">
        <f>AE20-M20-K20-G20-E20-C20-I20</f>
        <v>0</v>
      </c>
      <c r="AG20" s="2">
        <f t="shared" si="0"/>
        <v>2020862</v>
      </c>
      <c r="AH20" t="s">
        <v>3706</v>
      </c>
    </row>
    <row r="21" spans="1:34" hidden="1" x14ac:dyDescent="0.3">
      <c r="B21" s="60" t="s">
        <v>3733</v>
      </c>
      <c r="C21" s="27">
        <v>2020862</v>
      </c>
      <c r="D21" s="30">
        <f>C21/$AE21</f>
        <v>1</v>
      </c>
      <c r="E21" s="27"/>
      <c r="F21" s="30">
        <f>E21/$AE21</f>
        <v>0</v>
      </c>
      <c r="G21" s="27"/>
      <c r="H21" s="30">
        <f>G21/$AE21</f>
        <v>0</v>
      </c>
      <c r="I21" s="27"/>
      <c r="J21" s="30">
        <f>I21/$AE21</f>
        <v>0</v>
      </c>
      <c r="K21" s="88"/>
      <c r="L21" s="30">
        <f>K21/$AE21</f>
        <v>0</v>
      </c>
      <c r="M21" s="88"/>
      <c r="N21" s="30">
        <f>M21/$AE21</f>
        <v>0</v>
      </c>
      <c r="O21" s="38" t="s">
        <v>3789</v>
      </c>
      <c r="P21" s="56">
        <v>45317</v>
      </c>
      <c r="Q21" s="37" t="s">
        <v>3805</v>
      </c>
      <c r="R21" s="40" t="s">
        <v>3800</v>
      </c>
      <c r="S21" s="37" t="s">
        <v>3706</v>
      </c>
      <c r="T21" s="37" t="s">
        <v>3706</v>
      </c>
      <c r="U21" s="37" t="s">
        <v>3706</v>
      </c>
      <c r="V21" s="121"/>
      <c r="W21" s="27">
        <v>2020862</v>
      </c>
      <c r="X21" s="27"/>
      <c r="Y21" s="27"/>
      <c r="Z21" s="27"/>
      <c r="AA21" s="27"/>
      <c r="AB21" s="27"/>
      <c r="AC21" s="27"/>
      <c r="AD21" s="27"/>
      <c r="AE21" s="24">
        <v>2020862</v>
      </c>
      <c r="AF21" s="2">
        <f>AE21-M21-K21-G21-E21-C21-I21</f>
        <v>0</v>
      </c>
      <c r="AG21" s="2">
        <f t="shared" si="0"/>
        <v>0</v>
      </c>
      <c r="AH21" t="s">
        <v>3706</v>
      </c>
    </row>
    <row r="22" spans="1:34" x14ac:dyDescent="0.3">
      <c r="B22" s="60" t="s">
        <v>3799</v>
      </c>
      <c r="C22" s="27"/>
      <c r="D22" s="30">
        <f>C22/$AE22</f>
        <v>0</v>
      </c>
      <c r="E22" s="28"/>
      <c r="F22" s="30">
        <f>E22/$AE22</f>
        <v>0</v>
      </c>
      <c r="G22" s="27">
        <v>2020862</v>
      </c>
      <c r="H22" s="30">
        <f>G22/$AE22</f>
        <v>1</v>
      </c>
      <c r="I22" s="27"/>
      <c r="J22" s="30">
        <f>I22/$AE22</f>
        <v>0</v>
      </c>
      <c r="K22" s="88"/>
      <c r="L22" s="30">
        <f>K22/$AE22</f>
        <v>0</v>
      </c>
      <c r="M22" s="88"/>
      <c r="N22" s="30">
        <f>M22/$AE22</f>
        <v>0</v>
      </c>
      <c r="O22" s="119" t="s">
        <v>3713</v>
      </c>
      <c r="P22" s="56" t="s">
        <v>3713</v>
      </c>
      <c r="Q22" s="37" t="s">
        <v>3811</v>
      </c>
      <c r="R22" s="40" t="s">
        <v>3795</v>
      </c>
      <c r="S22" s="37" t="s">
        <v>3713</v>
      </c>
      <c r="T22" s="37" t="s">
        <v>3713</v>
      </c>
      <c r="U22" s="37" t="s">
        <v>3713</v>
      </c>
      <c r="V22" s="27"/>
      <c r="W22" s="27"/>
      <c r="X22" s="27"/>
      <c r="Y22" s="27">
        <v>2020862</v>
      </c>
      <c r="Z22" s="27"/>
      <c r="AA22" s="27"/>
      <c r="AB22" s="27"/>
      <c r="AC22" s="27"/>
      <c r="AD22" s="27"/>
      <c r="AE22" s="24">
        <v>2020862</v>
      </c>
      <c r="AF22" s="2">
        <f>AE22-M22-K22-G22-E22-C22</f>
        <v>0</v>
      </c>
      <c r="AG22" s="2">
        <f t="shared" si="0"/>
        <v>0</v>
      </c>
      <c r="AH22" t="s">
        <v>3706</v>
      </c>
    </row>
    <row r="23" spans="1:34" x14ac:dyDescent="0.3">
      <c r="B23" s="60" t="s">
        <v>3754</v>
      </c>
      <c r="C23" s="27">
        <v>2020862</v>
      </c>
      <c r="D23" s="30">
        <f>C23/$AE23</f>
        <v>1</v>
      </c>
      <c r="E23" s="27"/>
      <c r="F23" s="30">
        <f>E23/$AE23</f>
        <v>0</v>
      </c>
      <c r="G23" s="27"/>
      <c r="H23" s="30">
        <f>G23/$AE23</f>
        <v>0</v>
      </c>
      <c r="I23" s="27"/>
      <c r="J23" s="30">
        <f>I23/$AE23</f>
        <v>0</v>
      </c>
      <c r="K23" s="88"/>
      <c r="L23" s="30">
        <f>K23/$AE23</f>
        <v>0</v>
      </c>
      <c r="M23" s="88"/>
      <c r="N23" s="30">
        <f>M23/$AE23</f>
        <v>0</v>
      </c>
      <c r="O23" s="38" t="s">
        <v>3789</v>
      </c>
      <c r="P23" s="56">
        <v>45317</v>
      </c>
      <c r="Q23" s="37" t="s">
        <v>3810</v>
      </c>
      <c r="R23" s="40" t="s">
        <v>3800</v>
      </c>
      <c r="S23" s="37" t="s">
        <v>3706</v>
      </c>
      <c r="T23" s="37" t="s">
        <v>3706</v>
      </c>
      <c r="U23" s="37" t="s">
        <v>3706</v>
      </c>
      <c r="V23" s="27"/>
      <c r="W23" s="27">
        <v>2020862</v>
      </c>
      <c r="X23" s="27"/>
      <c r="Y23" s="27"/>
      <c r="Z23" s="27"/>
      <c r="AA23" s="32"/>
      <c r="AB23" s="27"/>
      <c r="AC23" s="27"/>
      <c r="AD23" s="27"/>
      <c r="AE23" s="24">
        <v>2020862</v>
      </c>
      <c r="AF23" s="2">
        <f>AE23-M23-K23-G23-E23-C23-I23</f>
        <v>0</v>
      </c>
      <c r="AG23" s="2">
        <f t="shared" si="0"/>
        <v>0</v>
      </c>
      <c r="AH23" t="s">
        <v>3706</v>
      </c>
    </row>
    <row r="24" spans="1:34" x14ac:dyDescent="0.3">
      <c r="B24" s="60" t="s">
        <v>3727</v>
      </c>
      <c r="C24" s="27"/>
      <c r="D24" s="30">
        <f>C24/$AE24</f>
        <v>0</v>
      </c>
      <c r="E24" s="27"/>
      <c r="F24" s="30">
        <f>E24/$AE24</f>
        <v>0</v>
      </c>
      <c r="G24" s="27">
        <f>2020862-3665</f>
        <v>2017197</v>
      </c>
      <c r="H24" s="30">
        <f>G24/$AE24</f>
        <v>0.99818641747927372</v>
      </c>
      <c r="I24" s="27"/>
      <c r="J24" s="30">
        <f>I24/$AE24</f>
        <v>0</v>
      </c>
      <c r="K24" s="88"/>
      <c r="L24" s="30">
        <f>K24/$AE24</f>
        <v>0</v>
      </c>
      <c r="M24" s="88">
        <v>3665</v>
      </c>
      <c r="N24" s="30">
        <f>M24/$AE24</f>
        <v>1.8135825207263039E-3</v>
      </c>
      <c r="O24" s="55" t="s">
        <v>3797</v>
      </c>
      <c r="P24" s="56">
        <v>45320</v>
      </c>
      <c r="Q24" s="37" t="s">
        <v>3807</v>
      </c>
      <c r="R24" s="40" t="s">
        <v>3800</v>
      </c>
      <c r="S24" s="37" t="s">
        <v>3707</v>
      </c>
      <c r="T24" s="37" t="s">
        <v>3707</v>
      </c>
      <c r="U24" s="37" t="s">
        <v>3707</v>
      </c>
      <c r="V24" s="27"/>
      <c r="W24" s="27"/>
      <c r="X24" s="27"/>
      <c r="Y24" s="27"/>
      <c r="Z24" s="27"/>
      <c r="AA24" s="27"/>
      <c r="AB24" s="27">
        <v>424</v>
      </c>
      <c r="AC24" s="27"/>
      <c r="AD24" s="27"/>
      <c r="AE24" s="24">
        <v>2020862</v>
      </c>
      <c r="AF24" s="2">
        <f>AE24-M24-K24-G24-E24-C24-I24</f>
        <v>0</v>
      </c>
      <c r="AG24" s="2">
        <f t="shared" si="0"/>
        <v>2020438</v>
      </c>
      <c r="AH24" t="s">
        <v>3706</v>
      </c>
    </row>
    <row r="25" spans="1:34" x14ac:dyDescent="0.3">
      <c r="B25" s="60" t="s">
        <v>3726</v>
      </c>
      <c r="C25" s="27">
        <f>1184384+632361</f>
        <v>1816745</v>
      </c>
      <c r="D25" s="30">
        <f>C25/$AE25</f>
        <v>0.89899508229656455</v>
      </c>
      <c r="E25" s="27"/>
      <c r="F25" s="30">
        <f>E25/$AE25</f>
        <v>0</v>
      </c>
      <c r="G25" s="27"/>
      <c r="H25" s="30">
        <f>G25/$AE25</f>
        <v>0</v>
      </c>
      <c r="I25" s="27">
        <f>424+22</f>
        <v>446</v>
      </c>
      <c r="J25" s="30">
        <f>I25/$AE25</f>
        <v>2.2069790020298269E-4</v>
      </c>
      <c r="K25" s="88">
        <f>AE25-C25-I25-M25</f>
        <v>200006</v>
      </c>
      <c r="L25" s="30">
        <f>K25/$AE25</f>
        <v>9.8970637282506171E-2</v>
      </c>
      <c r="M25" s="88">
        <v>3665</v>
      </c>
      <c r="N25" s="30">
        <f>M25/$AE25</f>
        <v>1.8135825207263039E-3</v>
      </c>
      <c r="O25" s="41" t="s">
        <v>3784</v>
      </c>
      <c r="P25" s="134">
        <v>45338</v>
      </c>
      <c r="Q25" s="37" t="s">
        <v>3807</v>
      </c>
      <c r="R25" s="40" t="s">
        <v>3800</v>
      </c>
      <c r="S25" s="37" t="s">
        <v>3706</v>
      </c>
      <c r="T25" s="37" t="s">
        <v>3706</v>
      </c>
      <c r="U25" s="37" t="s">
        <v>3818</v>
      </c>
      <c r="V25" s="27"/>
      <c r="W25" s="27"/>
      <c r="X25" s="27"/>
      <c r="Y25" s="27"/>
      <c r="Z25" s="27"/>
      <c r="AA25" s="27"/>
      <c r="AB25" s="32">
        <v>424</v>
      </c>
      <c r="AC25" s="27"/>
      <c r="AD25" s="27"/>
      <c r="AE25" s="24">
        <v>2020862</v>
      </c>
      <c r="AF25" s="2">
        <f>AE25-M25-K25-G25-E25-C25-I25</f>
        <v>0</v>
      </c>
      <c r="AG25" s="2">
        <f t="shared" si="0"/>
        <v>2020438</v>
      </c>
      <c r="AH25" t="s">
        <v>3910</v>
      </c>
    </row>
    <row r="26" spans="1:34" x14ac:dyDescent="0.3">
      <c r="A26" t="s">
        <v>3960</v>
      </c>
      <c r="B26" s="146" t="s">
        <v>3753</v>
      </c>
      <c r="C26" s="140">
        <f>1222920+330327</f>
        <v>1553247</v>
      </c>
      <c r="D26" s="141">
        <f>C26/$AE26</f>
        <v>0.76860616905063284</v>
      </c>
      <c r="E26" s="140"/>
      <c r="F26" s="141">
        <f>E26/$AE26</f>
        <v>0</v>
      </c>
      <c r="G26" s="140">
        <f>2979+302034</f>
        <v>305013</v>
      </c>
      <c r="H26" s="141">
        <f>G26/$AE26</f>
        <v>0.15093212698343578</v>
      </c>
      <c r="I26" s="140">
        <f>432+22</f>
        <v>454</v>
      </c>
      <c r="J26" s="141">
        <f>I26/$AE26</f>
        <v>2.2465660693308102E-4</v>
      </c>
      <c r="K26" s="140">
        <f>AE26-C26-I26-M26-G26</f>
        <v>158483</v>
      </c>
      <c r="L26" s="141">
        <f>K26/$AE26</f>
        <v>7.8423464838271992E-2</v>
      </c>
      <c r="M26" s="140">
        <v>3665</v>
      </c>
      <c r="N26" s="141">
        <f>M26/$AE26</f>
        <v>1.8135825207263039E-3</v>
      </c>
      <c r="O26" s="139" t="s">
        <v>3954</v>
      </c>
      <c r="P26" s="142">
        <v>45345</v>
      </c>
      <c r="Q26" s="144" t="s">
        <v>3808</v>
      </c>
      <c r="R26" s="40" t="s">
        <v>3798</v>
      </c>
      <c r="S26" s="37" t="s">
        <v>3712</v>
      </c>
      <c r="T26" s="37" t="s">
        <v>3712</v>
      </c>
      <c r="U26" s="37" t="s">
        <v>3818</v>
      </c>
      <c r="V26" s="27"/>
      <c r="W26" s="27"/>
      <c r="X26" s="27"/>
      <c r="Y26" s="27"/>
      <c r="Z26" s="27"/>
      <c r="AA26" s="27"/>
      <c r="AB26" s="27"/>
      <c r="AC26" s="27"/>
      <c r="AD26" s="27"/>
      <c r="AE26" s="24">
        <v>2020862</v>
      </c>
      <c r="AF26" s="2">
        <f>AE26-M26-K26-G26-E26-C26-I26</f>
        <v>0</v>
      </c>
      <c r="AG26" s="2">
        <f t="shared" si="0"/>
        <v>2020862</v>
      </c>
      <c r="AH26" t="s">
        <v>3706</v>
      </c>
    </row>
    <row r="27" spans="1:34" x14ac:dyDescent="0.3">
      <c r="B27" s="60" t="s">
        <v>3763</v>
      </c>
      <c r="C27" s="27"/>
      <c r="D27" s="30">
        <f>C27/$AE27</f>
        <v>0</v>
      </c>
      <c r="E27" s="27"/>
      <c r="F27" s="30">
        <f>E27/$AE27</f>
        <v>0</v>
      </c>
      <c r="G27" s="27">
        <f>2020862-3665</f>
        <v>2017197</v>
      </c>
      <c r="H27" s="30">
        <f>G27/$AE27</f>
        <v>0.99818641747927372</v>
      </c>
      <c r="I27" s="27"/>
      <c r="J27" s="30">
        <f>I27/$AE27</f>
        <v>0</v>
      </c>
      <c r="K27" s="88"/>
      <c r="L27" s="30">
        <f>K27/$AE27</f>
        <v>0</v>
      </c>
      <c r="M27" s="88">
        <v>3665</v>
      </c>
      <c r="N27" s="30">
        <f>M27/$AE27</f>
        <v>1.8135825207263039E-3</v>
      </c>
      <c r="O27" s="55" t="s">
        <v>3797</v>
      </c>
      <c r="P27" s="56">
        <v>45321</v>
      </c>
      <c r="Q27" s="37" t="s">
        <v>3808</v>
      </c>
      <c r="R27" s="45" t="s">
        <v>3798</v>
      </c>
      <c r="S27" s="37" t="s">
        <v>3707</v>
      </c>
      <c r="T27" s="37" t="s">
        <v>3707</v>
      </c>
      <c r="U27" s="37" t="s">
        <v>3707</v>
      </c>
      <c r="V27" s="27"/>
      <c r="W27" s="27"/>
      <c r="X27" s="27"/>
      <c r="Y27" s="27"/>
      <c r="Z27" s="27"/>
      <c r="AA27" s="27"/>
      <c r="AB27" s="27"/>
      <c r="AC27" s="27"/>
      <c r="AD27" s="27"/>
      <c r="AE27" s="24">
        <v>2020862</v>
      </c>
      <c r="AF27" s="2">
        <f>AE27-M27-K27-G27-E27-C27-I27</f>
        <v>0</v>
      </c>
      <c r="AG27" s="2">
        <f t="shared" si="0"/>
        <v>2020862</v>
      </c>
      <c r="AH27" t="s">
        <v>3706</v>
      </c>
    </row>
    <row r="28" spans="1:34" x14ac:dyDescent="0.3">
      <c r="B28" s="60" t="s">
        <v>3760</v>
      </c>
      <c r="C28" s="27">
        <f>1225898+632361</f>
        <v>1858259</v>
      </c>
      <c r="D28" s="30">
        <f>C28/$AE28</f>
        <v>0.91953780119572737</v>
      </c>
      <c r="E28" s="27"/>
      <c r="F28" s="30">
        <f>E28/$AE28</f>
        <v>0</v>
      </c>
      <c r="G28" s="27">
        <v>1</v>
      </c>
      <c r="H28" s="30">
        <f>G28/$AE28</f>
        <v>4.9483834126229304E-7</v>
      </c>
      <c r="I28" s="27">
        <f>432+22</f>
        <v>454</v>
      </c>
      <c r="J28" s="30">
        <f>I28/$AE28</f>
        <v>2.2465660693308102E-4</v>
      </c>
      <c r="K28" s="88">
        <f>AE28-C28-I28-M28-G28</f>
        <v>158483</v>
      </c>
      <c r="L28" s="30">
        <f>K28/$AE28</f>
        <v>7.8423464838271992E-2</v>
      </c>
      <c r="M28" s="88">
        <v>3665</v>
      </c>
      <c r="N28" s="30">
        <f>M28/$AE28</f>
        <v>1.8135825207263039E-3</v>
      </c>
      <c r="O28" s="139" t="s">
        <v>3954</v>
      </c>
      <c r="P28" s="134">
        <v>45338</v>
      </c>
      <c r="Q28" s="37" t="s">
        <v>3808</v>
      </c>
      <c r="R28" s="40" t="s">
        <v>3798</v>
      </c>
      <c r="S28" s="37" t="s">
        <v>3707</v>
      </c>
      <c r="T28" s="37" t="s">
        <v>3707</v>
      </c>
      <c r="U28" s="37" t="s">
        <v>3818</v>
      </c>
      <c r="V28" s="27"/>
      <c r="W28" s="27"/>
      <c r="X28" s="27"/>
      <c r="Y28" s="27"/>
      <c r="Z28" s="27"/>
      <c r="AA28" s="27"/>
      <c r="AB28" s="27"/>
      <c r="AC28" s="27"/>
      <c r="AD28" s="27"/>
      <c r="AE28" s="24">
        <v>2020862</v>
      </c>
      <c r="AF28" s="2">
        <f>AE28-M28-K28-G28-E28-C28-I28</f>
        <v>0</v>
      </c>
      <c r="AG28" s="2">
        <f t="shared" si="0"/>
        <v>2020862</v>
      </c>
      <c r="AH28" t="s">
        <v>3706</v>
      </c>
    </row>
    <row r="29" spans="1:34" x14ac:dyDescent="0.3">
      <c r="B29" s="60" t="s">
        <v>3765</v>
      </c>
      <c r="C29" s="27"/>
      <c r="D29" s="30">
        <f>C29/$AE29</f>
        <v>0</v>
      </c>
      <c r="E29" s="27"/>
      <c r="F29" s="30">
        <f>E29/$AE29</f>
        <v>0</v>
      </c>
      <c r="G29" s="27">
        <f>2020862-3665</f>
        <v>2017197</v>
      </c>
      <c r="H29" s="30">
        <f>G29/$AE29</f>
        <v>0.99818641747927372</v>
      </c>
      <c r="I29" s="27"/>
      <c r="J29" s="30">
        <f>I29/$AE29</f>
        <v>0</v>
      </c>
      <c r="K29" s="88"/>
      <c r="L29" s="30">
        <f>K29/$AE29</f>
        <v>0</v>
      </c>
      <c r="M29" s="88">
        <v>3665</v>
      </c>
      <c r="N29" s="30">
        <f>M29/$AE29</f>
        <v>1.8135825207263039E-3</v>
      </c>
      <c r="O29" s="55" t="s">
        <v>3797</v>
      </c>
      <c r="P29" s="56">
        <v>45321</v>
      </c>
      <c r="Q29" s="37" t="s">
        <v>3808</v>
      </c>
      <c r="R29" s="40" t="s">
        <v>3798</v>
      </c>
      <c r="S29" s="37" t="s">
        <v>3707</v>
      </c>
      <c r="T29" s="37" t="s">
        <v>3707</v>
      </c>
      <c r="U29" s="37" t="s">
        <v>3707</v>
      </c>
      <c r="V29" s="27"/>
      <c r="W29" s="27"/>
      <c r="X29" s="27"/>
      <c r="Y29" s="27"/>
      <c r="Z29" s="27"/>
      <c r="AA29" s="27"/>
      <c r="AB29" s="27"/>
      <c r="AC29" s="27"/>
      <c r="AD29" s="27"/>
      <c r="AE29" s="24">
        <v>2020862</v>
      </c>
      <c r="AF29" s="2">
        <f>AE29-M29-K29-G29-E29-C29-I29</f>
        <v>0</v>
      </c>
      <c r="AG29" s="2">
        <f t="shared" si="0"/>
        <v>2020862</v>
      </c>
      <c r="AH29" t="s">
        <v>3706</v>
      </c>
    </row>
    <row r="30" spans="1:34" x14ac:dyDescent="0.3">
      <c r="A30" t="s">
        <v>3955</v>
      </c>
      <c r="B30" s="146" t="s">
        <v>3751</v>
      </c>
      <c r="C30" s="140">
        <f>1001533+96013</f>
        <v>1097546</v>
      </c>
      <c r="D30" s="141">
        <f>C30/$AE30</f>
        <v>0.54310784209906471</v>
      </c>
      <c r="E30" s="140"/>
      <c r="F30" s="141">
        <f>E30/$AE30</f>
        <v>0</v>
      </c>
      <c r="G30" s="140">
        <f>224366+536348</f>
        <v>760714</v>
      </c>
      <c r="H30" s="141">
        <f>G30/$AE30</f>
        <v>0.37643045393500396</v>
      </c>
      <c r="I30" s="140">
        <f>432+22</f>
        <v>454</v>
      </c>
      <c r="J30" s="141">
        <f>I30/$AE30</f>
        <v>2.2465660693308102E-4</v>
      </c>
      <c r="K30" s="140">
        <f>AE30-C30-I30-M30-G30</f>
        <v>158483</v>
      </c>
      <c r="L30" s="141">
        <f>K30/$AE30</f>
        <v>7.8423464838271992E-2</v>
      </c>
      <c r="M30" s="140">
        <v>3665</v>
      </c>
      <c r="N30" s="141">
        <f>M30/$AE30</f>
        <v>1.8135825207263039E-3</v>
      </c>
      <c r="O30" s="139" t="s">
        <v>3954</v>
      </c>
      <c r="P30" s="142">
        <v>45345</v>
      </c>
      <c r="Q30" s="144" t="s">
        <v>3808</v>
      </c>
      <c r="R30" s="40" t="s">
        <v>3798</v>
      </c>
      <c r="S30" s="37" t="s">
        <v>3712</v>
      </c>
      <c r="T30" s="37" t="s">
        <v>3712</v>
      </c>
      <c r="U30" s="37" t="s">
        <v>3818</v>
      </c>
      <c r="V30" s="27" t="s">
        <v>3937</v>
      </c>
      <c r="W30" s="27"/>
      <c r="X30" s="27"/>
      <c r="Y30" s="27"/>
      <c r="Z30" s="27"/>
      <c r="AA30" s="27"/>
      <c r="AB30" s="32"/>
      <c r="AC30" s="27"/>
      <c r="AD30" s="27"/>
      <c r="AE30" s="24">
        <v>2020862</v>
      </c>
      <c r="AF30" s="2">
        <f>AE30-M30-K30-G30-E30-C30-I30</f>
        <v>0</v>
      </c>
      <c r="AG30" s="2">
        <f t="shared" si="0"/>
        <v>2020862</v>
      </c>
      <c r="AH30" t="s">
        <v>3706</v>
      </c>
    </row>
    <row r="31" spans="1:34" x14ac:dyDescent="0.3">
      <c r="B31" s="60" t="s">
        <v>3762</v>
      </c>
      <c r="C31" s="27"/>
      <c r="D31" s="30">
        <f>C31/$AE31</f>
        <v>0</v>
      </c>
      <c r="E31" s="27"/>
      <c r="F31" s="30">
        <f>E31/$AE31</f>
        <v>0</v>
      </c>
      <c r="G31" s="27">
        <f>2020862-3665</f>
        <v>2017197</v>
      </c>
      <c r="H31" s="30">
        <f>G31/$AE31</f>
        <v>0.99818641747927372</v>
      </c>
      <c r="I31" s="27"/>
      <c r="J31" s="30">
        <f>I31/$AE31</f>
        <v>0</v>
      </c>
      <c r="K31" s="88"/>
      <c r="L31" s="30">
        <f>K31/$AE31</f>
        <v>0</v>
      </c>
      <c r="M31" s="88">
        <v>3665</v>
      </c>
      <c r="N31" s="30">
        <f>M31/$AE31</f>
        <v>1.8135825207263039E-3</v>
      </c>
      <c r="O31" s="55" t="s">
        <v>3797</v>
      </c>
      <c r="P31" s="56">
        <v>45321</v>
      </c>
      <c r="Q31" s="37" t="s">
        <v>3808</v>
      </c>
      <c r="R31" s="40" t="s">
        <v>3798</v>
      </c>
      <c r="S31" s="37" t="s">
        <v>3707</v>
      </c>
      <c r="T31" s="37" t="s">
        <v>3707</v>
      </c>
      <c r="U31" s="37" t="s">
        <v>3707</v>
      </c>
      <c r="V31" s="27"/>
      <c r="W31" s="27"/>
      <c r="X31" s="27"/>
      <c r="Y31" s="27"/>
      <c r="Z31" s="27"/>
      <c r="AA31" s="27"/>
      <c r="AB31" s="27"/>
      <c r="AC31" s="27"/>
      <c r="AD31" s="27"/>
      <c r="AE31" s="24">
        <v>2020862</v>
      </c>
      <c r="AF31" s="2">
        <f>AE31-M31-K31-G31-E31-C31-I31</f>
        <v>0</v>
      </c>
      <c r="AG31" s="2">
        <f t="shared" si="0"/>
        <v>2020862</v>
      </c>
      <c r="AH31" t="s">
        <v>3706</v>
      </c>
    </row>
    <row r="32" spans="1:34" x14ac:dyDescent="0.3">
      <c r="B32" s="60" t="s">
        <v>3759</v>
      </c>
      <c r="C32" s="27">
        <f>1225897+632361</f>
        <v>1858258</v>
      </c>
      <c r="D32" s="30">
        <f>C32/$AE32</f>
        <v>0.91953730635738606</v>
      </c>
      <c r="E32" s="27"/>
      <c r="F32" s="30">
        <f>E32/$AE32</f>
        <v>0</v>
      </c>
      <c r="G32" s="27">
        <v>2</v>
      </c>
      <c r="H32" s="30">
        <f>G32/$AE32</f>
        <v>9.8967668252458607E-7</v>
      </c>
      <c r="I32" s="27">
        <f>432+22</f>
        <v>454</v>
      </c>
      <c r="J32" s="30">
        <f>I32/$AE32</f>
        <v>2.2465660693308102E-4</v>
      </c>
      <c r="K32" s="88">
        <f>AE32-C32-I32-M32-G32</f>
        <v>158483</v>
      </c>
      <c r="L32" s="30">
        <f>K32/$AE32</f>
        <v>7.8423464838271992E-2</v>
      </c>
      <c r="M32" s="88">
        <v>3665</v>
      </c>
      <c r="N32" s="30">
        <f>M32/$AE32</f>
        <v>1.8135825207263039E-3</v>
      </c>
      <c r="O32" s="139" t="s">
        <v>3954</v>
      </c>
      <c r="P32" s="134">
        <v>45338</v>
      </c>
      <c r="Q32" s="37" t="s">
        <v>3808</v>
      </c>
      <c r="R32" s="40" t="s">
        <v>3798</v>
      </c>
      <c r="S32" s="37" t="s">
        <v>3707</v>
      </c>
      <c r="T32" s="37" t="s">
        <v>3707</v>
      </c>
      <c r="U32" s="37" t="s">
        <v>3818</v>
      </c>
      <c r="V32" s="27" t="s">
        <v>3937</v>
      </c>
      <c r="W32" s="27"/>
      <c r="X32" s="27"/>
      <c r="Y32" s="27"/>
      <c r="Z32" s="27"/>
      <c r="AA32" s="27"/>
      <c r="AB32" s="27"/>
      <c r="AC32" s="27"/>
      <c r="AD32" s="27"/>
      <c r="AE32" s="24">
        <v>2020862</v>
      </c>
      <c r="AF32" s="2">
        <f>AE32-M32-K32-G32-E32-C32-I32</f>
        <v>0</v>
      </c>
      <c r="AG32" s="2">
        <f t="shared" si="0"/>
        <v>2020862</v>
      </c>
      <c r="AH32" t="s">
        <v>3706</v>
      </c>
    </row>
    <row r="33" spans="1:34" x14ac:dyDescent="0.3">
      <c r="B33" s="60" t="s">
        <v>3764</v>
      </c>
      <c r="C33" s="27"/>
      <c r="D33" s="30">
        <f>C33/$AE33</f>
        <v>0</v>
      </c>
      <c r="E33" s="27"/>
      <c r="F33" s="30">
        <f>E33/$AE33</f>
        <v>0</v>
      </c>
      <c r="G33" s="27">
        <f>2020862-3665</f>
        <v>2017197</v>
      </c>
      <c r="H33" s="30">
        <f>G33/$AE33</f>
        <v>0.99818641747927372</v>
      </c>
      <c r="I33" s="27"/>
      <c r="J33" s="30">
        <f>I33/$AE33</f>
        <v>0</v>
      </c>
      <c r="K33" s="88"/>
      <c r="L33" s="30">
        <f>K33/$AE33</f>
        <v>0</v>
      </c>
      <c r="M33" s="88">
        <v>3665</v>
      </c>
      <c r="N33" s="30">
        <f>M33/$AE33</f>
        <v>1.8135825207263039E-3</v>
      </c>
      <c r="O33" s="55" t="s">
        <v>3797</v>
      </c>
      <c r="P33" s="56">
        <v>45321</v>
      </c>
      <c r="Q33" s="37" t="s">
        <v>3808</v>
      </c>
      <c r="R33" s="40" t="s">
        <v>3798</v>
      </c>
      <c r="S33" s="37" t="s">
        <v>3707</v>
      </c>
      <c r="T33" s="37" t="s">
        <v>3707</v>
      </c>
      <c r="U33" s="37" t="s">
        <v>3707</v>
      </c>
      <c r="V33" s="27"/>
      <c r="W33" s="32"/>
      <c r="X33" s="27"/>
      <c r="Y33" s="27"/>
      <c r="Z33" s="27"/>
      <c r="AA33" s="27"/>
      <c r="AB33" s="27"/>
      <c r="AC33" s="27"/>
      <c r="AD33" s="27"/>
      <c r="AE33" s="24">
        <v>2020862</v>
      </c>
      <c r="AF33" s="2">
        <f>AE33-M33-K33-G33-E33-C33-I33</f>
        <v>0</v>
      </c>
      <c r="AG33" s="2">
        <f t="shared" si="0"/>
        <v>2020862</v>
      </c>
      <c r="AH33" t="s">
        <v>3706</v>
      </c>
    </row>
    <row r="34" spans="1:34" hidden="1" x14ac:dyDescent="0.3">
      <c r="B34" s="60" t="s">
        <v>3739</v>
      </c>
      <c r="C34" s="27">
        <v>2020862</v>
      </c>
      <c r="D34" s="30">
        <f>C34/$AE34</f>
        <v>1</v>
      </c>
      <c r="E34" s="28"/>
      <c r="F34" s="30">
        <f>E34/$AE34</f>
        <v>0</v>
      </c>
      <c r="G34" s="27"/>
      <c r="H34" s="30">
        <f>G34/$AE34</f>
        <v>0</v>
      </c>
      <c r="I34" s="27"/>
      <c r="J34" s="30">
        <f>I34/$AE34</f>
        <v>0</v>
      </c>
      <c r="K34" s="88"/>
      <c r="L34" s="30">
        <f>K34/$AE34</f>
        <v>0</v>
      </c>
      <c r="M34" s="88"/>
      <c r="N34" s="30">
        <f>M34/$AE34</f>
        <v>0</v>
      </c>
      <c r="O34" s="38" t="s">
        <v>3789</v>
      </c>
      <c r="P34" s="56">
        <v>45321</v>
      </c>
      <c r="Q34" s="37" t="s">
        <v>3805</v>
      </c>
      <c r="R34" s="40" t="s">
        <v>3800</v>
      </c>
      <c r="S34" s="37" t="s">
        <v>3706</v>
      </c>
      <c r="T34" s="37" t="s">
        <v>3706</v>
      </c>
      <c r="U34" s="37" t="s">
        <v>3706</v>
      </c>
      <c r="V34" s="121" t="s">
        <v>3787</v>
      </c>
      <c r="W34" s="27"/>
      <c r="X34" s="27"/>
      <c r="Y34" s="27">
        <v>2020862</v>
      </c>
      <c r="Z34" s="27"/>
      <c r="AA34" s="27"/>
      <c r="AB34" s="27"/>
      <c r="AC34" s="27"/>
      <c r="AD34" s="27"/>
      <c r="AE34" s="24">
        <v>2020862</v>
      </c>
      <c r="AF34" s="2">
        <f>AE34-M34-K34-G34-E34-C34-I34</f>
        <v>0</v>
      </c>
      <c r="AG34" s="2">
        <f t="shared" si="0"/>
        <v>0</v>
      </c>
      <c r="AH34" t="s">
        <v>3706</v>
      </c>
    </row>
    <row r="35" spans="1:34" x14ac:dyDescent="0.3">
      <c r="B35" s="60" t="s">
        <v>3728</v>
      </c>
      <c r="C35" s="27">
        <f>1184384+632361</f>
        <v>1816745</v>
      </c>
      <c r="D35" s="30">
        <f>C35/$AE35</f>
        <v>0.89899508229656455</v>
      </c>
      <c r="E35" s="27"/>
      <c r="F35" s="30">
        <f>E35/$AE35</f>
        <v>0</v>
      </c>
      <c r="G35" s="27"/>
      <c r="H35" s="30">
        <f>G35/$AE35</f>
        <v>0</v>
      </c>
      <c r="I35" s="27">
        <f>424+22</f>
        <v>446</v>
      </c>
      <c r="J35" s="30">
        <f>I35/$AE35</f>
        <v>2.2069790020298269E-4</v>
      </c>
      <c r="K35" s="88">
        <f>AE35-C35-I35-M35</f>
        <v>200006</v>
      </c>
      <c r="L35" s="30">
        <f>K35/$AE35</f>
        <v>9.8970637282506171E-2</v>
      </c>
      <c r="M35" s="88">
        <v>3665</v>
      </c>
      <c r="N35" s="30">
        <f>M35/$AE35</f>
        <v>1.8135825207263039E-3</v>
      </c>
      <c r="O35" s="41" t="s">
        <v>3784</v>
      </c>
      <c r="P35" s="134">
        <v>45338</v>
      </c>
      <c r="Q35" s="37" t="s">
        <v>3807</v>
      </c>
      <c r="R35" s="45" t="s">
        <v>3800</v>
      </c>
      <c r="S35" s="37" t="s">
        <v>3706</v>
      </c>
      <c r="T35" s="37" t="s">
        <v>3706</v>
      </c>
      <c r="U35" s="37" t="s">
        <v>3818</v>
      </c>
      <c r="V35" s="27"/>
      <c r="W35" s="27">
        <v>1184384</v>
      </c>
      <c r="X35" s="27"/>
      <c r="Y35" s="27"/>
      <c r="Z35" s="27"/>
      <c r="AA35" s="27"/>
      <c r="AB35" s="34">
        <v>424</v>
      </c>
      <c r="AC35" s="27">
        <f>AE35-AD35-AB35-W35</f>
        <v>832389</v>
      </c>
      <c r="AD35" s="27">
        <v>3665</v>
      </c>
      <c r="AE35" s="24">
        <v>2020862</v>
      </c>
      <c r="AF35" s="2">
        <f>AE35-M35-K35-G35-E35-C35-I35</f>
        <v>0</v>
      </c>
      <c r="AG35" s="2">
        <f t="shared" si="0"/>
        <v>0</v>
      </c>
      <c r="AH35" t="s">
        <v>3910</v>
      </c>
    </row>
    <row r="36" spans="1:34" x14ac:dyDescent="0.3">
      <c r="B36" s="60" t="s">
        <v>3729</v>
      </c>
      <c r="C36" s="27"/>
      <c r="D36" s="30">
        <f>C36/$AE36</f>
        <v>0</v>
      </c>
      <c r="E36" s="27"/>
      <c r="F36" s="30">
        <f>E36/$AE36</f>
        <v>0</v>
      </c>
      <c r="G36" s="27">
        <f>2020862-3665</f>
        <v>2017197</v>
      </c>
      <c r="H36" s="30">
        <f>G36/$AE36</f>
        <v>0.99818641747927372</v>
      </c>
      <c r="I36" s="27"/>
      <c r="J36" s="30">
        <f>I36/$AE36</f>
        <v>0</v>
      </c>
      <c r="K36" s="88"/>
      <c r="L36" s="30">
        <f>K36/$AE36</f>
        <v>0</v>
      </c>
      <c r="M36" s="88">
        <v>3665</v>
      </c>
      <c r="N36" s="30">
        <f>M36/$AE36</f>
        <v>1.8135825207263039E-3</v>
      </c>
      <c r="O36" s="55" t="s">
        <v>3797</v>
      </c>
      <c r="P36" s="56">
        <v>45320</v>
      </c>
      <c r="Q36" s="37" t="s">
        <v>3807</v>
      </c>
      <c r="R36" s="40" t="s">
        <v>3800</v>
      </c>
      <c r="S36" s="37" t="s">
        <v>3707</v>
      </c>
      <c r="T36" s="37" t="s">
        <v>3707</v>
      </c>
      <c r="U36" s="37" t="s">
        <v>3707</v>
      </c>
      <c r="V36" s="27"/>
      <c r="W36" s="27"/>
      <c r="X36" s="27"/>
      <c r="Y36" s="27"/>
      <c r="Z36" s="27"/>
      <c r="AA36" s="27"/>
      <c r="AB36" s="27"/>
      <c r="AC36" s="27"/>
      <c r="AD36" s="27"/>
      <c r="AE36" s="24">
        <v>2020862</v>
      </c>
      <c r="AF36" s="2">
        <f>AE36-M36-K36-G36-E36-C36-I36</f>
        <v>0</v>
      </c>
      <c r="AG36" s="2">
        <f t="shared" ref="AG36:AG54" si="1">AE36-SUM(W36:AD36)</f>
        <v>2020862</v>
      </c>
      <c r="AH36" t="s">
        <v>3706</v>
      </c>
    </row>
    <row r="37" spans="1:34" x14ac:dyDescent="0.3">
      <c r="A37" t="s">
        <v>3958</v>
      </c>
      <c r="B37" s="146" t="s">
        <v>3724</v>
      </c>
      <c r="C37" s="140">
        <f>1184384+631570</f>
        <v>1815954</v>
      </c>
      <c r="D37" s="141">
        <f>C37/$AE37</f>
        <v>0.89860366516862611</v>
      </c>
      <c r="E37" s="140"/>
      <c r="F37" s="141">
        <f>E37/$AE37</f>
        <v>0</v>
      </c>
      <c r="G37" s="140"/>
      <c r="H37" s="141">
        <f>G37/$AE37</f>
        <v>0</v>
      </c>
      <c r="I37" s="140">
        <f>424+22</f>
        <v>446</v>
      </c>
      <c r="J37" s="141">
        <f>I37/$AE37</f>
        <v>2.2069790020298269E-4</v>
      </c>
      <c r="K37" s="140">
        <f>AE37-C37-I37-M37-G37+791</f>
        <v>201588</v>
      </c>
      <c r="L37" s="141">
        <f>K37/$AE37</f>
        <v>9.9753471538383126E-2</v>
      </c>
      <c r="M37" s="140">
        <v>3665</v>
      </c>
      <c r="N37" s="141">
        <f>M37/$AE37</f>
        <v>1.8135825207263039E-3</v>
      </c>
      <c r="O37" s="143" t="s">
        <v>3784</v>
      </c>
      <c r="P37" s="142">
        <v>45345</v>
      </c>
      <c r="Q37" s="151" t="s">
        <v>3807</v>
      </c>
      <c r="R37" s="40" t="s">
        <v>3800</v>
      </c>
      <c r="S37" s="37" t="s">
        <v>3706</v>
      </c>
      <c r="T37" s="37" t="s">
        <v>3706</v>
      </c>
      <c r="U37" s="37" t="s">
        <v>3818</v>
      </c>
      <c r="V37" s="74"/>
      <c r="W37" s="27">
        <v>1184384</v>
      </c>
      <c r="X37" s="27"/>
      <c r="Y37" s="27">
        <v>0</v>
      </c>
      <c r="Z37" s="27"/>
      <c r="AA37" s="27"/>
      <c r="AB37" s="34">
        <v>424</v>
      </c>
      <c r="AC37" s="27">
        <f>AE37-AD37-AB37-W37</f>
        <v>832389</v>
      </c>
      <c r="AD37" s="27">
        <v>3665</v>
      </c>
      <c r="AE37" s="24">
        <v>2020862</v>
      </c>
      <c r="AF37" s="2">
        <f>AE37-M37-K37-G37-E37-C37-I37</f>
        <v>-791</v>
      </c>
      <c r="AG37" s="2">
        <f t="shared" si="1"/>
        <v>0</v>
      </c>
      <c r="AH37" t="s">
        <v>3910</v>
      </c>
    </row>
    <row r="38" spans="1:34" x14ac:dyDescent="0.3">
      <c r="B38" s="60" t="s">
        <v>3725</v>
      </c>
      <c r="C38" s="27"/>
      <c r="D38" s="30">
        <f>C38/$AE38</f>
        <v>0</v>
      </c>
      <c r="E38" s="27"/>
      <c r="F38" s="30">
        <f>E38/$AE38</f>
        <v>0</v>
      </c>
      <c r="G38" s="27">
        <f>2020862-3665</f>
        <v>2017197</v>
      </c>
      <c r="H38" s="30">
        <f>G38/$AE38</f>
        <v>0.99818641747927372</v>
      </c>
      <c r="I38" s="27"/>
      <c r="J38" s="30">
        <f>I38/$AE38</f>
        <v>0</v>
      </c>
      <c r="K38" s="88"/>
      <c r="L38" s="30">
        <f>K38/$AE38</f>
        <v>0</v>
      </c>
      <c r="M38" s="88">
        <v>3665</v>
      </c>
      <c r="N38" s="30">
        <f>M38/$AE38</f>
        <v>1.8135825207263039E-3</v>
      </c>
      <c r="O38" s="55" t="s">
        <v>3797</v>
      </c>
      <c r="P38" s="56">
        <v>45320</v>
      </c>
      <c r="Q38" s="37" t="s">
        <v>3807</v>
      </c>
      <c r="R38" s="40" t="s">
        <v>3800</v>
      </c>
      <c r="S38" s="37" t="s">
        <v>3707</v>
      </c>
      <c r="T38" s="37" t="s">
        <v>3707</v>
      </c>
      <c r="U38" s="37" t="s">
        <v>3707</v>
      </c>
      <c r="V38" s="27" t="s">
        <v>3785</v>
      </c>
      <c r="W38" s="34">
        <v>0</v>
      </c>
      <c r="X38" s="27"/>
      <c r="Y38" s="27"/>
      <c r="Z38" s="27"/>
      <c r="AA38" s="27"/>
      <c r="AB38" s="27"/>
      <c r="AC38" s="27"/>
      <c r="AD38" s="27"/>
      <c r="AE38" s="24">
        <v>2020862</v>
      </c>
      <c r="AF38" s="2">
        <f>AE38-M38-K38-G38-E38-C38-I38</f>
        <v>0</v>
      </c>
      <c r="AG38" s="2">
        <f t="shared" si="1"/>
        <v>2020862</v>
      </c>
      <c r="AH38" t="s">
        <v>3706</v>
      </c>
    </row>
    <row r="39" spans="1:34" hidden="1" x14ac:dyDescent="0.3">
      <c r="B39" s="60" t="s">
        <v>3767</v>
      </c>
      <c r="C39" s="27">
        <v>2020821</v>
      </c>
      <c r="D39" s="30">
        <f>C39/$AE39</f>
        <v>0.99997971162800825</v>
      </c>
      <c r="E39" s="27"/>
      <c r="F39" s="30">
        <f>E39/$AE39</f>
        <v>0</v>
      </c>
      <c r="G39" s="27">
        <v>41</v>
      </c>
      <c r="H39" s="30">
        <f>G39/$AE39</f>
        <v>2.0288371991754013E-5</v>
      </c>
      <c r="I39" s="27"/>
      <c r="J39" s="30">
        <f>I39/$AE39</f>
        <v>0</v>
      </c>
      <c r="K39" s="88"/>
      <c r="L39" s="30">
        <f>K39/$AE39</f>
        <v>0</v>
      </c>
      <c r="M39" s="88"/>
      <c r="N39" s="30">
        <f>M39/$AE39</f>
        <v>0</v>
      </c>
      <c r="O39" s="139" t="s">
        <v>3954</v>
      </c>
      <c r="P39" s="134">
        <v>45338</v>
      </c>
      <c r="Q39" s="37" t="s">
        <v>3805</v>
      </c>
      <c r="R39" s="40" t="s">
        <v>3796</v>
      </c>
      <c r="S39" s="37" t="s">
        <v>3707</v>
      </c>
      <c r="T39" s="37" t="s">
        <v>3707</v>
      </c>
      <c r="U39" s="37" t="s">
        <v>3707</v>
      </c>
      <c r="V39" s="74"/>
      <c r="W39" s="27"/>
      <c r="X39" s="27"/>
      <c r="Y39" s="27"/>
      <c r="Z39" s="27"/>
      <c r="AA39" s="27"/>
      <c r="AB39" s="27"/>
      <c r="AC39" s="27"/>
      <c r="AD39" s="27"/>
      <c r="AE39" s="24">
        <v>2020862</v>
      </c>
      <c r="AF39" s="2">
        <f>AE39-M39-K39-G39-E39-C39-I39</f>
        <v>0</v>
      </c>
      <c r="AG39" s="2">
        <f t="shared" si="1"/>
        <v>2020862</v>
      </c>
      <c r="AH39" t="s">
        <v>3706</v>
      </c>
    </row>
    <row r="40" spans="1:34" hidden="1" x14ac:dyDescent="0.3">
      <c r="B40" s="60" t="s">
        <v>3736</v>
      </c>
      <c r="C40" s="27">
        <v>2020862</v>
      </c>
      <c r="D40" s="30">
        <f>C40/$AE40</f>
        <v>1</v>
      </c>
      <c r="E40" s="27"/>
      <c r="F40" s="30">
        <f>E40/$AE40</f>
        <v>0</v>
      </c>
      <c r="G40" s="27"/>
      <c r="H40" s="30">
        <f>G40/$AE40</f>
        <v>0</v>
      </c>
      <c r="I40" s="27"/>
      <c r="J40" s="30">
        <f>I40/$AE40</f>
        <v>0</v>
      </c>
      <c r="K40" s="88"/>
      <c r="L40" s="30">
        <f>K40/$AE40</f>
        <v>0</v>
      </c>
      <c r="M40" s="88"/>
      <c r="N40" s="30">
        <f>M40/$AE40</f>
        <v>0</v>
      </c>
      <c r="O40" s="38" t="s">
        <v>3789</v>
      </c>
      <c r="P40" s="56">
        <v>45321</v>
      </c>
      <c r="Q40" s="37" t="s">
        <v>3805</v>
      </c>
      <c r="R40" s="40" t="s">
        <v>3800</v>
      </c>
      <c r="S40" s="37" t="s">
        <v>3706</v>
      </c>
      <c r="T40" s="37" t="s">
        <v>3706</v>
      </c>
      <c r="U40" s="37" t="s">
        <v>3706</v>
      </c>
      <c r="V40" s="121"/>
      <c r="W40" s="27"/>
      <c r="X40" s="27"/>
      <c r="Y40" s="27"/>
      <c r="Z40" s="27"/>
      <c r="AA40" s="27"/>
      <c r="AB40" s="27"/>
      <c r="AC40" s="27"/>
      <c r="AD40" s="27"/>
      <c r="AE40" s="24">
        <v>2020862</v>
      </c>
      <c r="AF40" s="2">
        <f>AE40-M40-K40-G40-E40-C40-I40</f>
        <v>0</v>
      </c>
      <c r="AG40" s="2">
        <f t="shared" si="1"/>
        <v>2020862</v>
      </c>
      <c r="AH40" t="s">
        <v>3706</v>
      </c>
    </row>
    <row r="41" spans="1:34" hidden="1" x14ac:dyDescent="0.3">
      <c r="B41" s="60" t="s">
        <v>3734</v>
      </c>
      <c r="C41" s="27">
        <v>2020862</v>
      </c>
      <c r="D41" s="30">
        <f>C41/$AE41</f>
        <v>1</v>
      </c>
      <c r="E41" s="27"/>
      <c r="F41" s="30">
        <f>E41/$AE41</f>
        <v>0</v>
      </c>
      <c r="G41" s="27"/>
      <c r="H41" s="30">
        <f>G41/$AE41</f>
        <v>0</v>
      </c>
      <c r="I41" s="27"/>
      <c r="J41" s="30">
        <f>I41/$AE41</f>
        <v>0</v>
      </c>
      <c r="K41" s="88"/>
      <c r="L41" s="30">
        <f>K41/$AE41</f>
        <v>0</v>
      </c>
      <c r="M41" s="88"/>
      <c r="N41" s="30">
        <f>M41/$AE41</f>
        <v>0</v>
      </c>
      <c r="O41" s="38" t="s">
        <v>3789</v>
      </c>
      <c r="P41" s="56">
        <v>45317</v>
      </c>
      <c r="Q41" s="37" t="s">
        <v>3805</v>
      </c>
      <c r="R41" s="40" t="s">
        <v>3800</v>
      </c>
      <c r="S41" s="37" t="s">
        <v>3706</v>
      </c>
      <c r="T41" s="37" t="s">
        <v>3706</v>
      </c>
      <c r="U41" s="37" t="s">
        <v>3706</v>
      </c>
      <c r="V41" s="121"/>
      <c r="W41" s="27">
        <v>2020862</v>
      </c>
      <c r="X41" s="27"/>
      <c r="Y41" s="27"/>
      <c r="Z41" s="27"/>
      <c r="AA41" s="27"/>
      <c r="AB41" s="27"/>
      <c r="AC41" s="27"/>
      <c r="AD41" s="27"/>
      <c r="AE41" s="24">
        <v>2020862</v>
      </c>
      <c r="AF41" s="2">
        <f>AE41-M41-K41-G41-E41-C41-I41</f>
        <v>0</v>
      </c>
      <c r="AG41" s="2">
        <f t="shared" si="1"/>
        <v>0</v>
      </c>
      <c r="AH41" t="s">
        <v>3706</v>
      </c>
    </row>
    <row r="42" spans="1:34" x14ac:dyDescent="0.3">
      <c r="B42" s="60" t="s">
        <v>3755</v>
      </c>
      <c r="C42" s="27">
        <v>2020862</v>
      </c>
      <c r="D42" s="30">
        <f>C42/$AE42</f>
        <v>1</v>
      </c>
      <c r="E42" s="27"/>
      <c r="F42" s="30">
        <f>E42/$AE42</f>
        <v>0</v>
      </c>
      <c r="G42" s="27"/>
      <c r="H42" s="30">
        <f>G42/$AE42</f>
        <v>0</v>
      </c>
      <c r="I42" s="27"/>
      <c r="J42" s="30">
        <f>I42/$AE42</f>
        <v>0</v>
      </c>
      <c r="K42" s="88"/>
      <c r="L42" s="30">
        <f>K42/$AE42</f>
        <v>0</v>
      </c>
      <c r="M42" s="88"/>
      <c r="N42" s="30">
        <f>M42/$AE42</f>
        <v>0</v>
      </c>
      <c r="O42" s="38" t="s">
        <v>3789</v>
      </c>
      <c r="P42" s="56">
        <v>45317</v>
      </c>
      <c r="Q42" s="37" t="s">
        <v>3810</v>
      </c>
      <c r="R42" s="40" t="s">
        <v>3800</v>
      </c>
      <c r="S42" s="37" t="s">
        <v>3706</v>
      </c>
      <c r="T42" s="37" t="s">
        <v>3706</v>
      </c>
      <c r="U42" s="37" t="s">
        <v>3706</v>
      </c>
      <c r="V42" s="27"/>
      <c r="W42" s="27">
        <v>2020862</v>
      </c>
      <c r="X42" s="27"/>
      <c r="Y42" s="27"/>
      <c r="Z42" s="27"/>
      <c r="AA42" s="27"/>
      <c r="AB42" s="27"/>
      <c r="AC42" s="27"/>
      <c r="AD42" s="27"/>
      <c r="AE42" s="24">
        <v>2020862</v>
      </c>
      <c r="AF42" s="2">
        <f>AE42-M42-K42-G42-E42-C42-I42</f>
        <v>0</v>
      </c>
      <c r="AG42" s="2">
        <f t="shared" si="1"/>
        <v>0</v>
      </c>
      <c r="AH42" t="s">
        <v>3706</v>
      </c>
    </row>
    <row r="43" spans="1:34" x14ac:dyDescent="0.3">
      <c r="B43" s="60" t="s">
        <v>3758</v>
      </c>
      <c r="C43" s="27"/>
      <c r="D43" s="30">
        <f>C43/$AE43</f>
        <v>0</v>
      </c>
      <c r="E43" s="27"/>
      <c r="F43" s="30">
        <f>E43/$AE43</f>
        <v>0</v>
      </c>
      <c r="G43" s="27"/>
      <c r="H43" s="30">
        <f>G43/$AE43</f>
        <v>0</v>
      </c>
      <c r="I43" s="27"/>
      <c r="J43" s="30">
        <f>I43/$AE43</f>
        <v>0</v>
      </c>
      <c r="K43" s="88">
        <v>2020862</v>
      </c>
      <c r="L43" s="30">
        <f>K43/$AE43</f>
        <v>1</v>
      </c>
      <c r="M43" s="88"/>
      <c r="N43" s="30">
        <f>M43/$AE43</f>
        <v>0</v>
      </c>
      <c r="O43" s="55" t="s">
        <v>3832</v>
      </c>
      <c r="P43" s="56">
        <v>45324</v>
      </c>
      <c r="Q43" s="37" t="s">
        <v>3807</v>
      </c>
      <c r="R43" s="40" t="s">
        <v>3800</v>
      </c>
      <c r="S43" s="37" t="s">
        <v>3818</v>
      </c>
      <c r="T43" s="37" t="s">
        <v>3818</v>
      </c>
      <c r="U43" s="37" t="s">
        <v>3818</v>
      </c>
      <c r="V43" s="27" t="s">
        <v>3836</v>
      </c>
      <c r="W43" s="27"/>
      <c r="X43" s="27"/>
      <c r="Y43" s="27"/>
      <c r="Z43" s="27"/>
      <c r="AA43" s="27"/>
      <c r="AB43" s="27"/>
      <c r="AC43" s="27">
        <v>2020862</v>
      </c>
      <c r="AD43" s="27"/>
      <c r="AE43" s="24">
        <v>2020862</v>
      </c>
      <c r="AF43" s="2">
        <f>AE43-M43-K43-G43-E43-C43-I43</f>
        <v>0</v>
      </c>
      <c r="AG43" s="2">
        <f t="shared" si="1"/>
        <v>0</v>
      </c>
      <c r="AH43" t="s">
        <v>3907</v>
      </c>
    </row>
    <row r="44" spans="1:34" hidden="1" x14ac:dyDescent="0.3">
      <c r="B44" s="60" t="s">
        <v>3747</v>
      </c>
      <c r="C44" s="27">
        <v>2020862</v>
      </c>
      <c r="D44" s="30">
        <f>C44/$AE44</f>
        <v>1</v>
      </c>
      <c r="E44" s="27"/>
      <c r="F44" s="30">
        <f>E44/$AE44</f>
        <v>0</v>
      </c>
      <c r="G44" s="27"/>
      <c r="H44" s="30">
        <f>G44/$AE44</f>
        <v>0</v>
      </c>
      <c r="I44" s="27"/>
      <c r="J44" s="30">
        <f>I44/$AE44</f>
        <v>0</v>
      </c>
      <c r="K44" s="88"/>
      <c r="L44" s="30">
        <f>K44/$AE44</f>
        <v>0</v>
      </c>
      <c r="M44" s="88"/>
      <c r="N44" s="30">
        <f>M44/$AE44</f>
        <v>0</v>
      </c>
      <c r="O44" s="38" t="s">
        <v>3789</v>
      </c>
      <c r="P44" s="56">
        <v>45317</v>
      </c>
      <c r="Q44" s="37" t="s">
        <v>3805</v>
      </c>
      <c r="R44" s="40" t="s">
        <v>3796</v>
      </c>
      <c r="S44" s="37" t="s">
        <v>3706</v>
      </c>
      <c r="T44" s="37" t="s">
        <v>3706</v>
      </c>
      <c r="U44" s="37" t="s">
        <v>3706</v>
      </c>
      <c r="V44" s="121" t="s">
        <v>3788</v>
      </c>
      <c r="W44" s="27">
        <v>2020862</v>
      </c>
      <c r="X44" s="27"/>
      <c r="Y44" s="27"/>
      <c r="Z44" s="27"/>
      <c r="AA44" s="27"/>
      <c r="AB44" s="27"/>
      <c r="AC44" s="27"/>
      <c r="AD44" s="27"/>
      <c r="AE44" s="24">
        <v>2020862</v>
      </c>
      <c r="AF44" s="2">
        <f>AE44-M44-K44-G44-E44-C44-I44</f>
        <v>0</v>
      </c>
      <c r="AG44" s="2">
        <f t="shared" si="1"/>
        <v>0</v>
      </c>
      <c r="AH44" t="s">
        <v>3706</v>
      </c>
    </row>
    <row r="45" spans="1:34" x14ac:dyDescent="0.3">
      <c r="B45" s="60" t="s">
        <v>3750</v>
      </c>
      <c r="C45" s="27"/>
      <c r="D45" s="30">
        <f>C45/$AE45</f>
        <v>0</v>
      </c>
      <c r="E45" s="27"/>
      <c r="F45" s="30">
        <f>E45/$AE45</f>
        <v>0</v>
      </c>
      <c r="G45" s="27"/>
      <c r="H45" s="30">
        <f>G45/$AE45</f>
        <v>0</v>
      </c>
      <c r="I45" s="27"/>
      <c r="J45" s="30">
        <f>I45/$AE45</f>
        <v>0</v>
      </c>
      <c r="K45" s="88">
        <f>2020862-3665</f>
        <v>2017197</v>
      </c>
      <c r="L45" s="30">
        <f>K45/$AE45</f>
        <v>0.99818641747927372</v>
      </c>
      <c r="M45" s="88">
        <v>3665</v>
      </c>
      <c r="N45" s="30">
        <f>M45/$AE45</f>
        <v>1.8135825207263039E-3</v>
      </c>
      <c r="O45" s="55" t="s">
        <v>3797</v>
      </c>
      <c r="P45" s="56">
        <v>45321</v>
      </c>
      <c r="Q45" s="37" t="s">
        <v>3807</v>
      </c>
      <c r="R45" s="40" t="s">
        <v>3800</v>
      </c>
      <c r="S45" s="37" t="s">
        <v>3818</v>
      </c>
      <c r="T45" s="37" t="s">
        <v>3818</v>
      </c>
      <c r="U45" s="37" t="s">
        <v>3818</v>
      </c>
      <c r="V45" s="27" t="s">
        <v>3926</v>
      </c>
      <c r="W45" s="27"/>
      <c r="X45" s="27"/>
      <c r="Y45" s="27"/>
      <c r="Z45" s="27"/>
      <c r="AA45" s="27"/>
      <c r="AB45" s="27"/>
      <c r="AC45" s="27"/>
      <c r="AD45" s="27"/>
      <c r="AE45" s="24">
        <v>2020862</v>
      </c>
      <c r="AF45" s="2">
        <f>AE45-M45-K45-G45-E45-C45-I45</f>
        <v>0</v>
      </c>
      <c r="AG45" s="2">
        <f t="shared" si="1"/>
        <v>2020862</v>
      </c>
      <c r="AH45" t="s">
        <v>3906</v>
      </c>
    </row>
    <row r="46" spans="1:34" hidden="1" x14ac:dyDescent="0.3">
      <c r="B46" s="60" t="s">
        <v>3742</v>
      </c>
      <c r="C46" s="27">
        <v>2020862</v>
      </c>
      <c r="D46" s="30">
        <f>C46/$AE46</f>
        <v>1</v>
      </c>
      <c r="E46" s="28"/>
      <c r="F46" s="30">
        <f>E46/$AE46</f>
        <v>0</v>
      </c>
      <c r="G46" s="27"/>
      <c r="H46" s="30">
        <f>G46/$AE46</f>
        <v>0</v>
      </c>
      <c r="I46" s="27"/>
      <c r="J46" s="30">
        <f>I46/$AE46</f>
        <v>0</v>
      </c>
      <c r="K46" s="88"/>
      <c r="L46" s="30">
        <f>K46/$AE46</f>
        <v>0</v>
      </c>
      <c r="M46" s="88"/>
      <c r="N46" s="30">
        <f>M46/$AE46</f>
        <v>0</v>
      </c>
      <c r="O46" s="38" t="s">
        <v>3789</v>
      </c>
      <c r="P46" s="56">
        <v>45321</v>
      </c>
      <c r="Q46" s="37" t="s">
        <v>3805</v>
      </c>
      <c r="R46" s="40" t="s">
        <v>3800</v>
      </c>
      <c r="S46" s="37" t="s">
        <v>3706</v>
      </c>
      <c r="T46" s="37" t="s">
        <v>3706</v>
      </c>
      <c r="U46" s="37" t="s">
        <v>3706</v>
      </c>
      <c r="V46" s="121"/>
      <c r="W46" s="27"/>
      <c r="X46" s="27"/>
      <c r="Y46" s="27">
        <v>2020862</v>
      </c>
      <c r="Z46" s="27"/>
      <c r="AA46" s="27"/>
      <c r="AB46" s="27"/>
      <c r="AC46" s="27"/>
      <c r="AD46" s="27"/>
      <c r="AE46" s="24">
        <v>2020862</v>
      </c>
      <c r="AF46" s="2">
        <f>AE46-M46-K46-G46-E46-C46-I46</f>
        <v>0</v>
      </c>
      <c r="AG46" s="2">
        <f t="shared" si="1"/>
        <v>0</v>
      </c>
      <c r="AH46" t="s">
        <v>3706</v>
      </c>
    </row>
    <row r="47" spans="1:34" hidden="1" x14ac:dyDescent="0.3">
      <c r="B47" s="60" t="s">
        <v>3737</v>
      </c>
      <c r="C47" s="27">
        <v>2020862</v>
      </c>
      <c r="D47" s="30">
        <f>C47/$AE47</f>
        <v>1</v>
      </c>
      <c r="E47" s="27"/>
      <c r="F47" s="30">
        <f>E47/$AE47</f>
        <v>0</v>
      </c>
      <c r="G47" s="27"/>
      <c r="H47" s="30">
        <f>G47/$AE47</f>
        <v>0</v>
      </c>
      <c r="I47" s="27"/>
      <c r="J47" s="30">
        <f>I47/$AE47</f>
        <v>0</v>
      </c>
      <c r="K47" s="88"/>
      <c r="L47" s="30">
        <f>K47/$AE47</f>
        <v>0</v>
      </c>
      <c r="M47" s="88"/>
      <c r="N47" s="30">
        <f>M47/$AE47</f>
        <v>0</v>
      </c>
      <c r="O47" s="70" t="s">
        <v>3789</v>
      </c>
      <c r="P47" s="56">
        <v>45321</v>
      </c>
      <c r="Q47" s="37" t="s">
        <v>3805</v>
      </c>
      <c r="R47" s="40" t="s">
        <v>3800</v>
      </c>
      <c r="S47" s="37" t="s">
        <v>3706</v>
      </c>
      <c r="T47" s="37" t="s">
        <v>3706</v>
      </c>
      <c r="U47" s="37" t="s">
        <v>3706</v>
      </c>
      <c r="V47" s="121" t="s">
        <v>3835</v>
      </c>
      <c r="W47" s="27"/>
      <c r="X47" s="27"/>
      <c r="Y47" s="27">
        <v>2020862</v>
      </c>
      <c r="Z47" s="27"/>
      <c r="AA47" s="27"/>
      <c r="AB47" s="27"/>
      <c r="AC47" s="27"/>
      <c r="AD47" s="27"/>
      <c r="AE47" s="24">
        <v>2020862</v>
      </c>
      <c r="AF47" s="2">
        <f>AE47-M47-K47-G47-E47-C47-I47</f>
        <v>0</v>
      </c>
      <c r="AG47" s="2">
        <f t="shared" si="1"/>
        <v>0</v>
      </c>
      <c r="AH47" t="s">
        <v>3706</v>
      </c>
    </row>
    <row r="48" spans="1:34" hidden="1" x14ac:dyDescent="0.3">
      <c r="B48" s="60" t="s">
        <v>3743</v>
      </c>
      <c r="C48" s="27">
        <v>2020862</v>
      </c>
      <c r="D48" s="30">
        <f>C48/$AE48</f>
        <v>1</v>
      </c>
      <c r="E48" s="28"/>
      <c r="F48" s="30">
        <f>E48/$AE48</f>
        <v>0</v>
      </c>
      <c r="G48" s="27"/>
      <c r="H48" s="30">
        <f>G48/$AE48</f>
        <v>0</v>
      </c>
      <c r="I48" s="27"/>
      <c r="J48" s="30">
        <f>I48/$AE48</f>
        <v>0</v>
      </c>
      <c r="K48" s="88"/>
      <c r="L48" s="30">
        <f>K48/$AE48</f>
        <v>0</v>
      </c>
      <c r="M48" s="88"/>
      <c r="N48" s="30">
        <f>M48/$AE48</f>
        <v>0</v>
      </c>
      <c r="O48" s="38" t="s">
        <v>3789</v>
      </c>
      <c r="P48" s="56">
        <v>45321</v>
      </c>
      <c r="Q48" s="37" t="s">
        <v>3805</v>
      </c>
      <c r="R48" s="40" t="s">
        <v>3800</v>
      </c>
      <c r="S48" s="37" t="s">
        <v>3706</v>
      </c>
      <c r="T48" s="37" t="s">
        <v>3706</v>
      </c>
      <c r="U48" s="37" t="s">
        <v>3706</v>
      </c>
      <c r="V48" s="121"/>
      <c r="W48" s="27"/>
      <c r="X48" s="27"/>
      <c r="Y48" s="27">
        <v>2020862</v>
      </c>
      <c r="Z48" s="27"/>
      <c r="AA48" s="27"/>
      <c r="AB48" s="27"/>
      <c r="AC48" s="27"/>
      <c r="AD48" s="27"/>
      <c r="AE48" s="24">
        <v>2020862</v>
      </c>
      <c r="AF48" s="2">
        <f>AE48-M48-K48-G48-E48-C48-I48</f>
        <v>0</v>
      </c>
      <c r="AG48" s="2">
        <f t="shared" si="1"/>
        <v>0</v>
      </c>
      <c r="AH48" t="s">
        <v>3706</v>
      </c>
    </row>
    <row r="49" spans="2:34" hidden="1" x14ac:dyDescent="0.3">
      <c r="B49" s="60" t="s">
        <v>3744</v>
      </c>
      <c r="C49" s="27">
        <v>2020838</v>
      </c>
      <c r="D49" s="30">
        <f>C49/$AE49</f>
        <v>0.99998812387980973</v>
      </c>
      <c r="E49" s="28"/>
      <c r="F49" s="30">
        <f>E49/$AE49</f>
        <v>0</v>
      </c>
      <c r="G49" s="27">
        <v>24</v>
      </c>
      <c r="H49" s="30">
        <f>G49/$AE49</f>
        <v>1.1876120190295033E-5</v>
      </c>
      <c r="I49" s="27"/>
      <c r="J49" s="30">
        <f>I49/$AE49</f>
        <v>0</v>
      </c>
      <c r="K49" s="88"/>
      <c r="L49" s="30">
        <f>K49/$AE49</f>
        <v>0</v>
      </c>
      <c r="M49" s="88"/>
      <c r="N49" s="30">
        <f>M49/$AE49</f>
        <v>0</v>
      </c>
      <c r="O49" s="139" t="s">
        <v>3954</v>
      </c>
      <c r="P49" s="134">
        <v>45338</v>
      </c>
      <c r="Q49" s="37" t="s">
        <v>3805</v>
      </c>
      <c r="R49" s="40" t="s">
        <v>3800</v>
      </c>
      <c r="S49" s="37" t="s">
        <v>3707</v>
      </c>
      <c r="T49" s="37" t="s">
        <v>3707</v>
      </c>
      <c r="U49" s="37" t="s">
        <v>3707</v>
      </c>
      <c r="V49" s="74"/>
      <c r="W49" s="27"/>
      <c r="X49" s="27"/>
      <c r="Y49" s="27">
        <v>2020862</v>
      </c>
      <c r="Z49" s="27"/>
      <c r="AA49" s="27"/>
      <c r="AB49" s="27"/>
      <c r="AC49" s="27"/>
      <c r="AD49" s="27"/>
      <c r="AE49" s="24">
        <v>2020862</v>
      </c>
      <c r="AF49" s="2">
        <f>AE49-M49-K49-G49-E49-C49-I49</f>
        <v>0</v>
      </c>
      <c r="AG49" s="2">
        <f t="shared" si="1"/>
        <v>0</v>
      </c>
      <c r="AH49" t="s">
        <v>3706</v>
      </c>
    </row>
    <row r="50" spans="2:34" x14ac:dyDescent="0.3">
      <c r="B50" s="60" t="s">
        <v>3761</v>
      </c>
      <c r="C50" s="27"/>
      <c r="D50" s="30">
        <f>C50/$AE50</f>
        <v>0</v>
      </c>
      <c r="E50" s="27"/>
      <c r="F50" s="30">
        <f>E50/$AE50</f>
        <v>0</v>
      </c>
      <c r="G50" s="27"/>
      <c r="H50" s="30">
        <f>G50/$AE50</f>
        <v>0</v>
      </c>
      <c r="I50" s="27"/>
      <c r="J50" s="30">
        <f>I50/$AE50</f>
        <v>0</v>
      </c>
      <c r="K50" s="88">
        <v>2020862</v>
      </c>
      <c r="L50" s="30">
        <f>K50/$AE50</f>
        <v>1</v>
      </c>
      <c r="M50" s="88"/>
      <c r="N50" s="30">
        <f>M50/$AE50</f>
        <v>0</v>
      </c>
      <c r="O50" s="55" t="s">
        <v>3832</v>
      </c>
      <c r="P50" s="56">
        <v>45324</v>
      </c>
      <c r="Q50" s="37" t="s">
        <v>3810</v>
      </c>
      <c r="R50" s="40" t="s">
        <v>3800</v>
      </c>
      <c r="S50" s="37" t="s">
        <v>3818</v>
      </c>
      <c r="T50" s="37" t="s">
        <v>3818</v>
      </c>
      <c r="U50" s="37" t="s">
        <v>3818</v>
      </c>
      <c r="V50" s="27" t="s">
        <v>3837</v>
      </c>
      <c r="W50" s="27"/>
      <c r="X50" s="27"/>
      <c r="Y50" s="27"/>
      <c r="Z50" s="27"/>
      <c r="AA50" s="27"/>
      <c r="AB50" s="27">
        <v>2020862</v>
      </c>
      <c r="AC50" s="27"/>
      <c r="AD50" s="27"/>
      <c r="AE50" s="24">
        <v>2020862</v>
      </c>
      <c r="AF50" s="2">
        <f>AE50-M50-K50-G50-E50-C50-I50</f>
        <v>0</v>
      </c>
      <c r="AG50" s="2">
        <f t="shared" si="1"/>
        <v>0</v>
      </c>
      <c r="AH50" t="s">
        <v>3908</v>
      </c>
    </row>
    <row r="51" spans="2:34" x14ac:dyDescent="0.3">
      <c r="B51" s="60" t="s">
        <v>3749</v>
      </c>
      <c r="C51" s="27"/>
      <c r="D51" s="89">
        <f>C51/$AE51</f>
        <v>0</v>
      </c>
      <c r="E51" s="88"/>
      <c r="F51" s="89">
        <f>E51/$AE51</f>
        <v>0</v>
      </c>
      <c r="G51" s="27"/>
      <c r="H51" s="89">
        <f>G51/$AE51</f>
        <v>0</v>
      </c>
      <c r="I51" s="27"/>
      <c r="J51" s="89">
        <f>I51/$AE51</f>
        <v>0</v>
      </c>
      <c r="K51" s="88">
        <v>2020862</v>
      </c>
      <c r="L51" s="89">
        <f>K51/$AE51</f>
        <v>1</v>
      </c>
      <c r="M51" s="88"/>
      <c r="N51" s="89">
        <f>M51/$AE51</f>
        <v>0</v>
      </c>
      <c r="O51" s="69" t="s">
        <v>3783</v>
      </c>
      <c r="P51" s="56">
        <v>45322</v>
      </c>
      <c r="Q51" s="37" t="s">
        <v>3806</v>
      </c>
      <c r="R51" s="40" t="s">
        <v>3800</v>
      </c>
      <c r="S51" s="37" t="s">
        <v>3818</v>
      </c>
      <c r="T51" s="37" t="s">
        <v>3818</v>
      </c>
      <c r="U51" s="37" t="s">
        <v>3818</v>
      </c>
      <c r="V51" s="27" t="s">
        <v>3777</v>
      </c>
      <c r="W51" s="27"/>
      <c r="X51" s="27"/>
      <c r="Y51" s="27"/>
      <c r="Z51" s="27"/>
      <c r="AA51" s="27"/>
      <c r="AB51" s="27"/>
      <c r="AC51" s="27"/>
      <c r="AD51" s="27"/>
      <c r="AE51" s="24">
        <v>2020862</v>
      </c>
      <c r="AF51" s="2">
        <f>AE51-M51-K51-G51-E51-C51-I51</f>
        <v>0</v>
      </c>
      <c r="AG51" s="2">
        <f t="shared" si="1"/>
        <v>2020862</v>
      </c>
      <c r="AH51" t="s">
        <v>3706</v>
      </c>
    </row>
    <row r="52" spans="2:34" x14ac:dyDescent="0.3">
      <c r="B52" s="60" t="s">
        <v>3748</v>
      </c>
      <c r="C52" s="27"/>
      <c r="D52" s="89">
        <f>C52/$AE52</f>
        <v>0</v>
      </c>
      <c r="E52" s="88"/>
      <c r="F52" s="89">
        <f>E52/$AE52</f>
        <v>0</v>
      </c>
      <c r="G52" s="27"/>
      <c r="H52" s="89">
        <f>G52/$AE52</f>
        <v>0</v>
      </c>
      <c r="I52" s="27"/>
      <c r="J52" s="89">
        <f>I52/$AE52</f>
        <v>0</v>
      </c>
      <c r="K52" s="88">
        <v>2020862</v>
      </c>
      <c r="L52" s="89">
        <f>K52/$AE52</f>
        <v>1</v>
      </c>
      <c r="M52" s="88"/>
      <c r="N52" s="89">
        <f>M52/$AE52</f>
        <v>0</v>
      </c>
      <c r="O52" s="69" t="s">
        <v>3783</v>
      </c>
      <c r="P52" s="56">
        <v>45322</v>
      </c>
      <c r="Q52" s="37" t="s">
        <v>3806</v>
      </c>
      <c r="R52" s="40" t="s">
        <v>3800</v>
      </c>
      <c r="S52" s="37" t="s">
        <v>3818</v>
      </c>
      <c r="T52" s="37" t="s">
        <v>3818</v>
      </c>
      <c r="U52" s="37" t="s">
        <v>3818</v>
      </c>
      <c r="V52" s="27" t="s">
        <v>3777</v>
      </c>
      <c r="W52" s="27"/>
      <c r="X52" s="27"/>
      <c r="Y52" s="27"/>
      <c r="Z52" s="27"/>
      <c r="AA52" s="27"/>
      <c r="AB52" s="27"/>
      <c r="AC52" s="27"/>
      <c r="AD52" s="27"/>
      <c r="AE52" s="24">
        <v>2020862</v>
      </c>
      <c r="AF52" s="2">
        <f>AE52-M52-K52-G52-E52-C52-I52</f>
        <v>0</v>
      </c>
      <c r="AG52" s="2">
        <f t="shared" si="1"/>
        <v>2020862</v>
      </c>
      <c r="AH52" t="s">
        <v>3706</v>
      </c>
    </row>
    <row r="53" spans="2:34" hidden="1" x14ac:dyDescent="0.3">
      <c r="B53" s="60" t="s">
        <v>3732</v>
      </c>
      <c r="C53" s="27">
        <v>2020862</v>
      </c>
      <c r="D53" s="30">
        <f>C53/$AE53</f>
        <v>1</v>
      </c>
      <c r="E53" s="27"/>
      <c r="F53" s="30">
        <f>E53/$AE53</f>
        <v>0</v>
      </c>
      <c r="G53" s="27"/>
      <c r="H53" s="30">
        <f>G53/$AE53</f>
        <v>0</v>
      </c>
      <c r="I53" s="27"/>
      <c r="J53" s="30">
        <f>I53/$AE53</f>
        <v>0</v>
      </c>
      <c r="K53" s="88"/>
      <c r="L53" s="30">
        <f>K53/$AE53</f>
        <v>0</v>
      </c>
      <c r="M53" s="88"/>
      <c r="N53" s="30">
        <f>M53/$AE53</f>
        <v>0</v>
      </c>
      <c r="O53" s="38" t="s">
        <v>3789</v>
      </c>
      <c r="P53" s="56">
        <v>45321</v>
      </c>
      <c r="Q53" s="37" t="s">
        <v>3805</v>
      </c>
      <c r="R53" s="40" t="s">
        <v>3800</v>
      </c>
      <c r="S53" s="37" t="s">
        <v>3706</v>
      </c>
      <c r="T53" s="37" t="s">
        <v>3706</v>
      </c>
      <c r="U53" s="37" t="s">
        <v>3706</v>
      </c>
      <c r="V53" s="121"/>
      <c r="W53" s="27"/>
      <c r="X53" s="27"/>
      <c r="Y53" s="27">
        <v>2020862</v>
      </c>
      <c r="Z53" s="27"/>
      <c r="AA53" s="27"/>
      <c r="AB53" s="27"/>
      <c r="AC53" s="27"/>
      <c r="AD53" s="27"/>
      <c r="AE53" s="24">
        <v>2020862</v>
      </c>
      <c r="AF53" s="2">
        <f>AE53-M53-K53-G53-E53-C53-I53</f>
        <v>0</v>
      </c>
      <c r="AG53" s="2">
        <f t="shared" si="1"/>
        <v>0</v>
      </c>
      <c r="AH53" t="s">
        <v>3706</v>
      </c>
    </row>
    <row r="54" spans="2:34" hidden="1" x14ac:dyDescent="0.3">
      <c r="B54" s="60" t="s">
        <v>3738</v>
      </c>
      <c r="C54" s="27">
        <v>2020862</v>
      </c>
      <c r="D54" s="30">
        <f>C54/$AE54</f>
        <v>1</v>
      </c>
      <c r="E54" s="27"/>
      <c r="F54" s="30">
        <f>E54/$AE54</f>
        <v>0</v>
      </c>
      <c r="G54" s="27"/>
      <c r="H54" s="30">
        <f>G54/$AE54</f>
        <v>0</v>
      </c>
      <c r="I54" s="27"/>
      <c r="J54" s="30">
        <f>I54/$AE54</f>
        <v>0</v>
      </c>
      <c r="K54" s="88"/>
      <c r="L54" s="30">
        <f>K54/$AE54</f>
        <v>0</v>
      </c>
      <c r="M54" s="88"/>
      <c r="N54" s="30">
        <f>M54/$AE54</f>
        <v>0</v>
      </c>
      <c r="O54" s="38" t="s">
        <v>3789</v>
      </c>
      <c r="P54" s="56">
        <v>45321</v>
      </c>
      <c r="Q54" s="37" t="s">
        <v>3805</v>
      </c>
      <c r="R54" s="40" t="s">
        <v>3800</v>
      </c>
      <c r="S54" s="37" t="s">
        <v>3706</v>
      </c>
      <c r="T54" s="37" t="s">
        <v>3706</v>
      </c>
      <c r="U54" s="37" t="s">
        <v>3706</v>
      </c>
      <c r="V54" s="121"/>
      <c r="W54" s="27"/>
      <c r="X54" s="27"/>
      <c r="Y54" s="27">
        <v>2020862</v>
      </c>
      <c r="Z54" s="27"/>
      <c r="AA54" s="27"/>
      <c r="AB54" s="27"/>
      <c r="AC54" s="27"/>
      <c r="AD54" s="27"/>
      <c r="AE54" s="24">
        <v>2020862</v>
      </c>
      <c r="AF54" s="2">
        <f>AE54-M54-K54-G54-E54-C54-I54</f>
        <v>0</v>
      </c>
      <c r="AG54" s="2">
        <f t="shared" si="1"/>
        <v>0</v>
      </c>
      <c r="AH54" t="s">
        <v>3706</v>
      </c>
    </row>
    <row r="55" spans="2:34" x14ac:dyDescent="0.3">
      <c r="M55" s="39"/>
      <c r="N55" s="39"/>
      <c r="P55"/>
      <c r="Q55"/>
      <c r="R55"/>
      <c r="S55"/>
      <c r="T55"/>
      <c r="U55"/>
    </row>
    <row r="56" spans="2:34" ht="10.8" customHeight="1" x14ac:dyDescent="0.3">
      <c r="H56" s="2"/>
      <c r="M56" s="39"/>
      <c r="N56" s="39"/>
      <c r="U56"/>
    </row>
    <row r="57" spans="2:34" ht="51.6" customHeight="1" x14ac:dyDescent="0.3">
      <c r="C57" s="4"/>
    </row>
    <row r="58" spans="2:34" hidden="1" x14ac:dyDescent="0.3">
      <c r="C58" s="4"/>
    </row>
    <row r="59" spans="2:34" hidden="1" x14ac:dyDescent="0.3">
      <c r="C59" s="4"/>
      <c r="V59" s="4"/>
      <c r="AC59" s="3"/>
    </row>
    <row r="60" spans="2:34" hidden="1" x14ac:dyDescent="0.3">
      <c r="B60" s="77" t="s">
        <v>3843</v>
      </c>
      <c r="C60" s="77" t="s">
        <v>3706</v>
      </c>
      <c r="D60" s="77" t="s">
        <v>3707</v>
      </c>
      <c r="E60" s="77" t="s">
        <v>3842</v>
      </c>
      <c r="F60" s="77" t="s">
        <v>3844</v>
      </c>
      <c r="V60" s="4"/>
    </row>
    <row r="61" spans="2:34" hidden="1" x14ac:dyDescent="0.3">
      <c r="B61" s="82" t="s">
        <v>3705</v>
      </c>
      <c r="C61" s="83">
        <v>668159</v>
      </c>
      <c r="D61" s="83">
        <v>22</v>
      </c>
      <c r="E61" s="74">
        <v>668181</v>
      </c>
      <c r="F61" s="74" t="s">
        <v>3845</v>
      </c>
    </row>
    <row r="62" spans="2:34" hidden="1" x14ac:dyDescent="0.3">
      <c r="B62" s="82" t="s">
        <v>3708</v>
      </c>
      <c r="C62" s="83"/>
      <c r="D62" s="83">
        <v>668181</v>
      </c>
      <c r="E62" s="74">
        <v>668181</v>
      </c>
      <c r="F62" s="74" t="s">
        <v>3846</v>
      </c>
    </row>
    <row r="63" spans="2:34" hidden="1" x14ac:dyDescent="0.3">
      <c r="B63" s="82" t="s">
        <v>3709</v>
      </c>
      <c r="C63" s="83">
        <v>667699</v>
      </c>
      <c r="D63" s="83">
        <v>482</v>
      </c>
      <c r="E63" s="74">
        <v>668181</v>
      </c>
      <c r="F63" s="74" t="s">
        <v>3847</v>
      </c>
    </row>
    <row r="64" spans="2:34" hidden="1" x14ac:dyDescent="0.3">
      <c r="B64" s="82" t="s">
        <v>3710</v>
      </c>
      <c r="C64" s="83">
        <v>668159</v>
      </c>
      <c r="D64" s="83">
        <v>22</v>
      </c>
      <c r="E64" s="74">
        <v>668181</v>
      </c>
      <c r="F64" s="74" t="s">
        <v>3845</v>
      </c>
    </row>
    <row r="65" spans="2:21" hidden="1" x14ac:dyDescent="0.3">
      <c r="B65" s="80" t="s">
        <v>3711</v>
      </c>
      <c r="C65" s="81">
        <v>59898</v>
      </c>
      <c r="D65" s="81">
        <v>608283</v>
      </c>
      <c r="E65" s="74">
        <v>668181</v>
      </c>
      <c r="F65" s="74" t="s">
        <v>3848</v>
      </c>
    </row>
    <row r="66" spans="2:21" hidden="1" x14ac:dyDescent="0.3">
      <c r="B66" s="78" t="s">
        <v>3752</v>
      </c>
      <c r="C66" s="79">
        <f>668177-26</f>
        <v>668151</v>
      </c>
      <c r="D66" s="79">
        <v>30</v>
      </c>
      <c r="E66" s="79">
        <v>668181</v>
      </c>
      <c r="F66" s="79">
        <f>C66+D66-E65</f>
        <v>0</v>
      </c>
    </row>
    <row r="67" spans="2:21" hidden="1" x14ac:dyDescent="0.3">
      <c r="D67" s="76"/>
    </row>
    <row r="68" spans="2:21" hidden="1" x14ac:dyDescent="0.3">
      <c r="B68" s="67"/>
      <c r="D68" s="76"/>
      <c r="E68">
        <f>59898-7613</f>
        <v>52285</v>
      </c>
      <c r="F68">
        <v>660568</v>
      </c>
    </row>
    <row r="69" spans="2:21" ht="15" hidden="1" thickBot="1" x14ac:dyDescent="0.35">
      <c r="B69" s="67"/>
      <c r="G69" s="164">
        <v>16</v>
      </c>
    </row>
    <row r="70" spans="2:21" ht="15" hidden="1" thickBot="1" x14ac:dyDescent="0.35">
      <c r="G70" s="164">
        <v>12</v>
      </c>
    </row>
    <row r="71" spans="2:21" ht="15" hidden="1" thickBot="1" x14ac:dyDescent="0.35">
      <c r="C71" s="58" t="s">
        <v>3821</v>
      </c>
      <c r="D71" s="59" t="s">
        <v>3822</v>
      </c>
      <c r="E71" t="s">
        <v>3823</v>
      </c>
      <c r="G71" s="164">
        <v>11</v>
      </c>
    </row>
    <row r="72" spans="2:21" hidden="1" x14ac:dyDescent="0.3">
      <c r="B72">
        <v>207</v>
      </c>
      <c r="C72" s="2">
        <v>1226331</v>
      </c>
      <c r="E72" s="27">
        <v>3665</v>
      </c>
      <c r="G72" s="24">
        <v>2020862</v>
      </c>
      <c r="I72" s="2"/>
    </row>
    <row r="73" spans="2:21" hidden="1" x14ac:dyDescent="0.3">
      <c r="B73">
        <v>209</v>
      </c>
      <c r="C73" s="2">
        <v>1225899</v>
      </c>
      <c r="E73" s="27">
        <v>3665</v>
      </c>
      <c r="G73" s="24">
        <v>2020862</v>
      </c>
      <c r="I73">
        <v>432</v>
      </c>
    </row>
    <row r="74" spans="2:21" hidden="1" x14ac:dyDescent="0.3">
      <c r="B74" s="57" t="s">
        <v>3820</v>
      </c>
      <c r="C74" s="27">
        <v>1184808</v>
      </c>
      <c r="E74" s="27">
        <v>3665</v>
      </c>
      <c r="G74" s="24">
        <v>2020862</v>
      </c>
    </row>
    <row r="75" spans="2:21" hidden="1" x14ac:dyDescent="0.3">
      <c r="B75">
        <v>211</v>
      </c>
      <c r="C75" s="27">
        <f>1184384</f>
        <v>1184384</v>
      </c>
      <c r="E75" s="27">
        <v>3665</v>
      </c>
      <c r="G75" s="24">
        <v>2020862</v>
      </c>
    </row>
    <row r="76" spans="2:21" hidden="1" x14ac:dyDescent="0.3"/>
    <row r="77" spans="2:21" ht="8.4" hidden="1" customHeight="1" x14ac:dyDescent="0.3"/>
    <row r="78" spans="2:21" hidden="1" x14ac:dyDescent="0.3">
      <c r="M78" s="39"/>
      <c r="N78" s="39"/>
      <c r="U78"/>
    </row>
    <row r="79" spans="2:21" hidden="1" x14ac:dyDescent="0.3"/>
    <row r="80" spans="2:21" hidden="1" x14ac:dyDescent="0.3"/>
    <row r="81" spans="2:21" hidden="1" x14ac:dyDescent="0.3"/>
    <row r="82" spans="2:21" hidden="1" x14ac:dyDescent="0.3"/>
    <row r="83" spans="2:21" hidden="1" x14ac:dyDescent="0.3">
      <c r="B83" s="1"/>
    </row>
    <row r="84" spans="2:21" hidden="1" x14ac:dyDescent="0.3">
      <c r="B84" t="s">
        <v>3843</v>
      </c>
      <c r="C84" t="s">
        <v>3851</v>
      </c>
      <c r="D84" t="s">
        <v>3706</v>
      </c>
      <c r="E84" t="s">
        <v>3707</v>
      </c>
      <c r="J84" s="74" t="s">
        <v>3750</v>
      </c>
      <c r="M84" s="39"/>
      <c r="N84" s="39"/>
      <c r="P84"/>
      <c r="Q84"/>
      <c r="R84"/>
      <c r="S84"/>
      <c r="T84"/>
      <c r="U84"/>
    </row>
    <row r="85" spans="2:21" hidden="1" x14ac:dyDescent="0.3">
      <c r="B85" s="72" t="s">
        <v>3726</v>
      </c>
      <c r="C85" s="92">
        <v>1184808</v>
      </c>
      <c r="D85" s="92">
        <v>1184384</v>
      </c>
      <c r="E85" s="92">
        <v>424</v>
      </c>
      <c r="F85" t="s">
        <v>3852</v>
      </c>
      <c r="M85" s="39"/>
      <c r="N85" s="39"/>
      <c r="P85"/>
      <c r="Q85"/>
      <c r="R85"/>
      <c r="S85"/>
      <c r="T85"/>
      <c r="U85"/>
    </row>
    <row r="86" spans="2:21" hidden="1" x14ac:dyDescent="0.3">
      <c r="F86" t="s">
        <v>3706</v>
      </c>
      <c r="G86" s="73">
        <v>25686</v>
      </c>
      <c r="I86" t="s">
        <v>3853</v>
      </c>
      <c r="K86" s="73">
        <v>25254</v>
      </c>
      <c r="L86" t="s">
        <v>3854</v>
      </c>
      <c r="M86" s="39"/>
      <c r="N86" s="39"/>
      <c r="P86"/>
      <c r="Q86"/>
      <c r="R86"/>
      <c r="S86"/>
      <c r="T86"/>
      <c r="U86"/>
    </row>
    <row r="87" spans="2:21" hidden="1" x14ac:dyDescent="0.3">
      <c r="F87" t="s">
        <v>3706</v>
      </c>
      <c r="M87" s="39"/>
      <c r="N87" s="39"/>
      <c r="P87"/>
      <c r="Q87"/>
      <c r="R87"/>
      <c r="S87"/>
      <c r="T87"/>
      <c r="U87"/>
    </row>
    <row r="88" spans="2:21" hidden="1" x14ac:dyDescent="0.3">
      <c r="B88" s="74" t="s">
        <v>3758</v>
      </c>
      <c r="C88" s="93">
        <v>1184808</v>
      </c>
      <c r="D88" s="94" t="s">
        <v>3855</v>
      </c>
      <c r="E88" s="94"/>
      <c r="F88" t="s">
        <v>3707</v>
      </c>
      <c r="M88" s="39"/>
      <c r="N88" s="39"/>
      <c r="P88"/>
      <c r="Q88"/>
      <c r="R88"/>
      <c r="S88"/>
      <c r="T88"/>
      <c r="U88"/>
    </row>
    <row r="89" spans="2:21" hidden="1" x14ac:dyDescent="0.3">
      <c r="B89" s="74" t="s">
        <v>3711</v>
      </c>
      <c r="C89" s="93">
        <v>1184808</v>
      </c>
      <c r="D89" s="93">
        <v>300246</v>
      </c>
      <c r="E89" s="93">
        <v>884562</v>
      </c>
      <c r="F89" t="s">
        <v>3852</v>
      </c>
      <c r="M89" s="39"/>
      <c r="N89" s="39"/>
      <c r="P89"/>
      <c r="Q89"/>
      <c r="R89"/>
      <c r="S89"/>
      <c r="T89"/>
      <c r="U89"/>
    </row>
    <row r="90" spans="2:21" hidden="1" x14ac:dyDescent="0.3">
      <c r="B90" s="75" t="s">
        <v>3750</v>
      </c>
      <c r="C90" s="92">
        <v>1184808</v>
      </c>
      <c r="D90" s="95">
        <v>1079575</v>
      </c>
      <c r="E90" s="95">
        <v>93277</v>
      </c>
      <c r="F90" t="s">
        <v>3856</v>
      </c>
      <c r="M90" s="39"/>
      <c r="N90" s="39"/>
      <c r="P90"/>
      <c r="Q90"/>
      <c r="R90"/>
      <c r="S90"/>
      <c r="T90"/>
      <c r="U90"/>
    </row>
    <row r="91" spans="2:21" hidden="1" x14ac:dyDescent="0.3">
      <c r="B91" s="72" t="s">
        <v>3753</v>
      </c>
      <c r="C91" s="92">
        <v>1184808</v>
      </c>
      <c r="D91" s="1">
        <v>1184309</v>
      </c>
      <c r="E91" s="96">
        <v>499</v>
      </c>
      <c r="F91" t="s">
        <v>3857</v>
      </c>
      <c r="M91" s="39"/>
      <c r="N91" s="39"/>
      <c r="P91"/>
      <c r="Q91"/>
      <c r="R91"/>
      <c r="S91"/>
      <c r="T91"/>
      <c r="U91"/>
    </row>
    <row r="92" spans="2:21" hidden="1" x14ac:dyDescent="0.3">
      <c r="B92" s="72" t="s">
        <v>3760</v>
      </c>
      <c r="C92" s="92">
        <v>1184808</v>
      </c>
      <c r="D92" s="1">
        <v>1184265</v>
      </c>
      <c r="E92" s="96">
        <v>543</v>
      </c>
      <c r="M92" s="39"/>
      <c r="N92" s="39"/>
      <c r="P92"/>
      <c r="Q92"/>
      <c r="R92"/>
      <c r="S92"/>
      <c r="T92"/>
      <c r="U92"/>
    </row>
    <row r="93" spans="2:21" hidden="1" x14ac:dyDescent="0.3">
      <c r="B93" s="72" t="s">
        <v>3751</v>
      </c>
      <c r="C93" s="92">
        <v>1184808</v>
      </c>
      <c r="D93" s="1">
        <v>1183382</v>
      </c>
      <c r="E93" s="96">
        <v>1426</v>
      </c>
      <c r="F93" t="s">
        <v>3858</v>
      </c>
      <c r="G93" t="s">
        <v>3859</v>
      </c>
      <c r="H93">
        <v>999999999</v>
      </c>
      <c r="M93" s="39"/>
      <c r="N93" s="39"/>
      <c r="P93"/>
      <c r="Q93"/>
      <c r="R93"/>
      <c r="S93"/>
      <c r="T93"/>
      <c r="U93"/>
    </row>
    <row r="94" spans="2:21" hidden="1" x14ac:dyDescent="0.3">
      <c r="B94" s="72" t="s">
        <v>3759</v>
      </c>
      <c r="C94" s="92">
        <v>1184808</v>
      </c>
      <c r="D94" s="1">
        <v>1179011</v>
      </c>
      <c r="E94" s="97">
        <v>5797</v>
      </c>
      <c r="F94" t="s">
        <v>3858</v>
      </c>
      <c r="G94" t="s">
        <v>3859</v>
      </c>
      <c r="M94" s="39"/>
      <c r="N94" s="39"/>
      <c r="P94"/>
      <c r="Q94"/>
      <c r="R94"/>
      <c r="S94"/>
      <c r="T94"/>
      <c r="U94"/>
    </row>
    <row r="95" spans="2:21" hidden="1" x14ac:dyDescent="0.3">
      <c r="E95" s="12"/>
      <c r="F95" s="12"/>
      <c r="G95" s="12"/>
      <c r="M95" s="39"/>
      <c r="N95" s="39"/>
      <c r="P95"/>
      <c r="Q95"/>
      <c r="R95"/>
      <c r="S95"/>
      <c r="T95"/>
      <c r="U95"/>
    </row>
    <row r="96" spans="2:21" hidden="1" x14ac:dyDescent="0.3">
      <c r="D96" s="98">
        <v>1226331</v>
      </c>
      <c r="E96" s="99">
        <v>424</v>
      </c>
      <c r="F96" s="100">
        <f>D96-E96</f>
        <v>1225907</v>
      </c>
      <c r="G96" s="12"/>
      <c r="H96" s="12"/>
      <c r="I96" s="12"/>
      <c r="M96" s="39"/>
      <c r="N96" s="39"/>
      <c r="P96"/>
      <c r="Q96"/>
      <c r="R96"/>
      <c r="S96"/>
      <c r="T96"/>
      <c r="U96"/>
    </row>
    <row r="97" spans="2:21" hidden="1" x14ac:dyDescent="0.3">
      <c r="E97" s="12"/>
      <c r="F97" s="12"/>
      <c r="G97" s="12"/>
      <c r="M97" s="39"/>
      <c r="N97" s="39"/>
      <c r="P97"/>
      <c r="Q97"/>
      <c r="R97"/>
      <c r="S97"/>
      <c r="T97"/>
      <c r="U97"/>
    </row>
    <row r="98" spans="2:21" hidden="1" x14ac:dyDescent="0.3">
      <c r="M98" s="39"/>
      <c r="N98" s="39"/>
      <c r="P98"/>
      <c r="Q98"/>
      <c r="R98"/>
      <c r="S98"/>
      <c r="T98"/>
      <c r="U98"/>
    </row>
    <row r="99" spans="2:21" hidden="1" x14ac:dyDescent="0.3">
      <c r="B99" s="72" t="s">
        <v>3731</v>
      </c>
      <c r="C99" s="101">
        <v>2020862</v>
      </c>
      <c r="D99">
        <v>2020862</v>
      </c>
      <c r="E99" t="s">
        <v>3860</v>
      </c>
      <c r="F99" t="s">
        <v>3861</v>
      </c>
      <c r="M99" s="39"/>
      <c r="N99" s="39"/>
      <c r="P99"/>
      <c r="Q99"/>
      <c r="R99"/>
      <c r="S99"/>
      <c r="T99"/>
      <c r="U99"/>
    </row>
    <row r="100" spans="2:21" hidden="1" x14ac:dyDescent="0.3">
      <c r="B100" s="72" t="s">
        <v>3735</v>
      </c>
      <c r="C100" s="101">
        <v>2020862</v>
      </c>
      <c r="D100" s="102">
        <v>417</v>
      </c>
      <c r="E100" s="102">
        <v>2020445</v>
      </c>
      <c r="F100" s="90" t="s">
        <v>3862</v>
      </c>
      <c r="M100" s="73"/>
      <c r="N100" s="39"/>
      <c r="P100"/>
      <c r="Q100"/>
      <c r="R100"/>
      <c r="S100"/>
      <c r="T100"/>
      <c r="U100"/>
    </row>
    <row r="101" spans="2:21" hidden="1" x14ac:dyDescent="0.3">
      <c r="B101" s="72" t="s">
        <v>3739</v>
      </c>
      <c r="C101" s="101">
        <v>2020862</v>
      </c>
      <c r="D101">
        <v>2020862</v>
      </c>
      <c r="E101">
        <v>0</v>
      </c>
      <c r="F101" s="90" t="s">
        <v>3863</v>
      </c>
      <c r="M101" s="39"/>
      <c r="N101" s="39"/>
      <c r="P101"/>
      <c r="Q101"/>
      <c r="R101"/>
      <c r="S101"/>
      <c r="T101"/>
      <c r="U101"/>
    </row>
    <row r="102" spans="2:21" hidden="1" x14ac:dyDescent="0.3">
      <c r="B102" s="72" t="s">
        <v>3742</v>
      </c>
      <c r="C102" s="101">
        <v>2020862</v>
      </c>
      <c r="D102">
        <v>2020862</v>
      </c>
      <c r="E102">
        <v>0</v>
      </c>
      <c r="F102" t="s">
        <v>3864</v>
      </c>
      <c r="M102" s="39"/>
      <c r="N102" s="39"/>
      <c r="P102"/>
      <c r="Q102"/>
      <c r="R102"/>
      <c r="S102"/>
      <c r="T102"/>
      <c r="U102"/>
    </row>
    <row r="103" spans="2:21" hidden="1" x14ac:dyDescent="0.3">
      <c r="B103" s="72" t="s">
        <v>3743</v>
      </c>
      <c r="C103" s="101">
        <v>2020862</v>
      </c>
      <c r="D103">
        <v>2020862</v>
      </c>
      <c r="E103">
        <v>0</v>
      </c>
      <c r="F103" t="s">
        <v>3865</v>
      </c>
      <c r="M103" s="39"/>
      <c r="N103" s="39"/>
      <c r="P103"/>
      <c r="Q103"/>
      <c r="R103"/>
      <c r="S103"/>
      <c r="T103"/>
      <c r="U103"/>
    </row>
    <row r="104" spans="2:21" hidden="1" x14ac:dyDescent="0.3">
      <c r="B104" s="72" t="s">
        <v>3732</v>
      </c>
      <c r="C104" s="101">
        <v>2020862</v>
      </c>
      <c r="D104">
        <v>2020862</v>
      </c>
      <c r="E104">
        <v>0</v>
      </c>
      <c r="F104" t="s">
        <v>3866</v>
      </c>
      <c r="M104" s="39"/>
      <c r="N104" s="39"/>
      <c r="P104"/>
      <c r="Q104"/>
      <c r="R104"/>
      <c r="S104"/>
      <c r="T104"/>
      <c r="U104"/>
    </row>
    <row r="105" spans="2:21" hidden="1" x14ac:dyDescent="0.3">
      <c r="B105" s="72" t="s">
        <v>3738</v>
      </c>
      <c r="C105" s="101">
        <v>2020862</v>
      </c>
      <c r="D105">
        <v>2020862</v>
      </c>
      <c r="E105">
        <v>0</v>
      </c>
      <c r="F105" t="s">
        <v>3867</v>
      </c>
      <c r="M105" s="39"/>
      <c r="N105" s="39"/>
      <c r="P105"/>
      <c r="Q105"/>
      <c r="R105"/>
      <c r="S105"/>
      <c r="T105"/>
      <c r="U105"/>
    </row>
    <row r="106" spans="2:21" hidden="1" x14ac:dyDescent="0.3">
      <c r="B106" s="72" t="s">
        <v>3745</v>
      </c>
      <c r="C106" s="101">
        <v>2020862</v>
      </c>
      <c r="D106">
        <v>2020862</v>
      </c>
      <c r="E106">
        <v>0</v>
      </c>
      <c r="F106" t="s">
        <v>3868</v>
      </c>
      <c r="M106" s="39"/>
      <c r="N106" s="39"/>
      <c r="P106"/>
      <c r="Q106"/>
      <c r="R106"/>
      <c r="S106"/>
      <c r="T106"/>
      <c r="U106"/>
    </row>
    <row r="107" spans="2:21" hidden="1" x14ac:dyDescent="0.3">
      <c r="B107" s="72" t="s">
        <v>3767</v>
      </c>
      <c r="C107" s="101">
        <v>2020862</v>
      </c>
      <c r="D107">
        <v>2020859</v>
      </c>
      <c r="E107">
        <v>3</v>
      </c>
      <c r="F107" s="90" t="s">
        <v>3869</v>
      </c>
      <c r="L107" t="s">
        <v>3870</v>
      </c>
      <c r="M107" s="39"/>
      <c r="N107" s="39"/>
      <c r="P107"/>
      <c r="Q107"/>
      <c r="R107"/>
      <c r="S107"/>
      <c r="T107"/>
      <c r="U107"/>
    </row>
    <row r="108" spans="2:21" hidden="1" x14ac:dyDescent="0.3">
      <c r="B108" s="72" t="s">
        <v>3722</v>
      </c>
      <c r="C108" s="101">
        <v>1226331</v>
      </c>
      <c r="D108">
        <v>16935</v>
      </c>
      <c r="E108">
        <v>1209396</v>
      </c>
      <c r="F108" s="90" t="s">
        <v>3860</v>
      </c>
      <c r="G108">
        <v>347</v>
      </c>
      <c r="M108" s="39"/>
      <c r="N108" s="39"/>
      <c r="P108"/>
      <c r="Q108"/>
      <c r="R108"/>
      <c r="S108"/>
      <c r="T108"/>
      <c r="U108"/>
    </row>
    <row r="109" spans="2:21" hidden="1" x14ac:dyDescent="0.3">
      <c r="B109" s="72" t="s">
        <v>3708</v>
      </c>
      <c r="C109" s="101">
        <v>1226331</v>
      </c>
      <c r="D109" t="s">
        <v>3871</v>
      </c>
      <c r="E109" t="s">
        <v>3872</v>
      </c>
      <c r="M109" s="39"/>
      <c r="N109" s="39"/>
      <c r="P109"/>
      <c r="Q109"/>
      <c r="R109"/>
      <c r="S109"/>
      <c r="T109"/>
      <c r="U109"/>
    </row>
    <row r="110" spans="2:21" hidden="1" x14ac:dyDescent="0.3">
      <c r="B110" s="72" t="s">
        <v>3873</v>
      </c>
      <c r="C110" s="101">
        <v>1226331</v>
      </c>
      <c r="D110">
        <v>1225899</v>
      </c>
      <c r="E110">
        <v>432</v>
      </c>
      <c r="M110" s="39"/>
      <c r="N110" s="39"/>
      <c r="P110"/>
      <c r="Q110"/>
      <c r="R110"/>
      <c r="S110"/>
      <c r="T110"/>
      <c r="U110"/>
    </row>
    <row r="111" spans="2:21" hidden="1" x14ac:dyDescent="0.3">
      <c r="M111" s="39"/>
      <c r="N111" s="39"/>
      <c r="P111"/>
      <c r="Q111"/>
      <c r="R111"/>
      <c r="S111"/>
      <c r="T111"/>
      <c r="U111"/>
    </row>
    <row r="112" spans="2:21" hidden="1" x14ac:dyDescent="0.3">
      <c r="B112" s="103" t="s">
        <v>3709</v>
      </c>
      <c r="C112" s="104">
        <v>1226331</v>
      </c>
      <c r="D112" s="104">
        <v>1225899</v>
      </c>
      <c r="E112" s="104">
        <v>432</v>
      </c>
      <c r="M112" s="39"/>
      <c r="N112" s="39"/>
      <c r="P112"/>
      <c r="Q112"/>
      <c r="R112"/>
      <c r="S112"/>
      <c r="T112"/>
      <c r="U112"/>
    </row>
    <row r="113" spans="2:27" hidden="1" x14ac:dyDescent="0.3">
      <c r="B113" s="103" t="s">
        <v>3710</v>
      </c>
      <c r="C113" s="104">
        <v>1226331</v>
      </c>
      <c r="D113" s="104">
        <v>1225899</v>
      </c>
      <c r="E113" s="104">
        <v>432</v>
      </c>
      <c r="Q113"/>
      <c r="R113"/>
      <c r="S113"/>
      <c r="T113"/>
      <c r="U113"/>
    </row>
    <row r="114" spans="2:27" hidden="1" x14ac:dyDescent="0.3">
      <c r="G114" s="108">
        <v>1148</v>
      </c>
      <c r="I114" s="91" t="s">
        <v>3724</v>
      </c>
      <c r="Q114"/>
      <c r="R114"/>
      <c r="S114"/>
      <c r="T114"/>
      <c r="U114"/>
    </row>
    <row r="115" spans="2:27" hidden="1" x14ac:dyDescent="0.3">
      <c r="M115" s="39"/>
      <c r="N115" s="39"/>
      <c r="P115"/>
      <c r="Q115"/>
      <c r="R115"/>
      <c r="S115"/>
      <c r="T115"/>
      <c r="U115"/>
    </row>
    <row r="116" spans="2:27" hidden="1" x14ac:dyDescent="0.3">
      <c r="B116" s="105" t="s">
        <v>3874</v>
      </c>
      <c r="C116" s="105" t="s">
        <v>3875</v>
      </c>
      <c r="D116" s="105" t="s">
        <v>3706</v>
      </c>
      <c r="E116" s="105" t="s">
        <v>3707</v>
      </c>
      <c r="G116" s="109" t="s">
        <v>3877</v>
      </c>
      <c r="H116" s="109" t="s">
        <v>3898</v>
      </c>
      <c r="I116" s="109" t="s">
        <v>3899</v>
      </c>
      <c r="J116" s="109" t="s">
        <v>3900</v>
      </c>
      <c r="K116" s="111" t="s">
        <v>3890</v>
      </c>
      <c r="L116" s="109" t="s">
        <v>3901</v>
      </c>
      <c r="M116" s="109" t="s">
        <v>3902</v>
      </c>
      <c r="N116" s="109" t="s">
        <v>3903</v>
      </c>
      <c r="P116"/>
      <c r="Q116"/>
      <c r="R116"/>
      <c r="S116"/>
      <c r="T116"/>
      <c r="U116"/>
    </row>
    <row r="117" spans="2:27" hidden="1" x14ac:dyDescent="0.3">
      <c r="B117" s="72" t="s">
        <v>3735</v>
      </c>
      <c r="C117" s="104">
        <v>2020862</v>
      </c>
      <c r="D117" s="104">
        <v>2020862</v>
      </c>
      <c r="E117" s="104">
        <v>0</v>
      </c>
      <c r="G117" s="74" t="s">
        <v>3889</v>
      </c>
      <c r="H117" s="74" t="s">
        <v>3885</v>
      </c>
      <c r="I117" s="74" t="s">
        <v>3886</v>
      </c>
      <c r="J117" s="74" t="s">
        <v>3886</v>
      </c>
      <c r="K117" s="83" t="s">
        <v>3894</v>
      </c>
      <c r="L117" s="74" t="s">
        <v>3886</v>
      </c>
      <c r="M117" s="74" t="s">
        <v>3904</v>
      </c>
      <c r="N117" s="74" t="s">
        <v>3886</v>
      </c>
      <c r="P117"/>
      <c r="Q117"/>
      <c r="R117"/>
      <c r="S117"/>
      <c r="T117"/>
      <c r="U117"/>
    </row>
    <row r="118" spans="2:27" hidden="1" x14ac:dyDescent="0.3">
      <c r="B118" s="72" t="s">
        <v>3737</v>
      </c>
      <c r="C118" s="104">
        <v>2020862</v>
      </c>
      <c r="D118" s="104">
        <v>2020862</v>
      </c>
      <c r="E118" s="104">
        <v>0</v>
      </c>
      <c r="F118" s="73"/>
      <c r="M118" s="39"/>
      <c r="N118" s="39"/>
      <c r="P118"/>
      <c r="Q118"/>
      <c r="R118"/>
      <c r="S118"/>
      <c r="T118"/>
      <c r="U118"/>
    </row>
    <row r="119" spans="2:27" hidden="1" x14ac:dyDescent="0.3">
      <c r="G119" s="109" t="s">
        <v>3877</v>
      </c>
      <c r="H119" s="109" t="s">
        <v>3878</v>
      </c>
      <c r="I119" s="109" t="s">
        <v>3879</v>
      </c>
      <c r="J119" s="109" t="s">
        <v>3880</v>
      </c>
      <c r="K119" s="111" t="s">
        <v>3881</v>
      </c>
      <c r="L119" s="109" t="s">
        <v>3882</v>
      </c>
      <c r="M119" s="109" t="s">
        <v>3883</v>
      </c>
      <c r="N119" s="109" t="s">
        <v>3884</v>
      </c>
      <c r="P119"/>
      <c r="Q119"/>
      <c r="R119"/>
      <c r="S119"/>
      <c r="T119"/>
      <c r="U119"/>
      <c r="W119" s="42" t="s">
        <v>3786</v>
      </c>
      <c r="X119" s="56">
        <v>45317</v>
      </c>
      <c r="Y119" s="37" t="s">
        <v>3807</v>
      </c>
      <c r="Z119" s="40" t="s">
        <v>3800</v>
      </c>
      <c r="AA119" s="27"/>
    </row>
    <row r="120" spans="2:27" hidden="1" x14ac:dyDescent="0.3">
      <c r="B120" s="105" t="s">
        <v>3876</v>
      </c>
      <c r="C120" s="105" t="s">
        <v>3875</v>
      </c>
      <c r="D120" s="105" t="s">
        <v>3706</v>
      </c>
      <c r="E120" s="105" t="s">
        <v>3707</v>
      </c>
      <c r="G120" s="74" t="s">
        <v>3889</v>
      </c>
      <c r="H120" s="74" t="s">
        <v>3885</v>
      </c>
      <c r="I120" s="74" t="s">
        <v>3886</v>
      </c>
      <c r="J120" s="74" t="s">
        <v>3886</v>
      </c>
      <c r="K120" s="83" t="s">
        <v>3887</v>
      </c>
      <c r="L120" s="74" t="s">
        <v>3886</v>
      </c>
      <c r="M120" s="74" t="s">
        <v>3888</v>
      </c>
      <c r="N120" s="74" t="s">
        <v>3886</v>
      </c>
      <c r="P120"/>
      <c r="Q120"/>
      <c r="R120"/>
      <c r="S120"/>
      <c r="T120"/>
      <c r="U120"/>
    </row>
    <row r="121" spans="2:27" hidden="1" x14ac:dyDescent="0.3">
      <c r="B121" s="91" t="s">
        <v>3728</v>
      </c>
      <c r="C121" s="106"/>
      <c r="D121" s="106">
        <v>1226735</v>
      </c>
      <c r="E121" s="106">
        <v>432</v>
      </c>
      <c r="G121" s="107"/>
      <c r="P121"/>
      <c r="Q121"/>
      <c r="R121"/>
      <c r="S121"/>
      <c r="T121"/>
      <c r="U121"/>
    </row>
    <row r="122" spans="2:27" hidden="1" x14ac:dyDescent="0.3">
      <c r="B122" s="91" t="s">
        <v>3724</v>
      </c>
      <c r="C122" s="106"/>
      <c r="D122" s="106">
        <v>1226019</v>
      </c>
      <c r="E122" s="106">
        <v>1148</v>
      </c>
      <c r="G122" s="109" t="s">
        <v>9</v>
      </c>
      <c r="H122" s="109" t="s">
        <v>3877</v>
      </c>
      <c r="I122" s="112" t="s">
        <v>3890</v>
      </c>
      <c r="J122" s="112" t="s">
        <v>3881</v>
      </c>
      <c r="K122" s="112" t="s">
        <v>3891</v>
      </c>
      <c r="L122" s="112" t="s">
        <v>3892</v>
      </c>
      <c r="M122" s="109" t="s">
        <v>3893</v>
      </c>
      <c r="N122" s="109"/>
      <c r="P122"/>
      <c r="Q122"/>
      <c r="R122"/>
      <c r="S122"/>
      <c r="T122"/>
      <c r="U122"/>
    </row>
    <row r="123" spans="2:27" hidden="1" x14ac:dyDescent="0.3">
      <c r="G123" s="74" t="s">
        <v>3897</v>
      </c>
      <c r="H123" s="74" t="s">
        <v>3889</v>
      </c>
      <c r="I123" s="110" t="s">
        <v>3894</v>
      </c>
      <c r="J123" s="110" t="s">
        <v>3886</v>
      </c>
      <c r="K123" s="110" t="s">
        <v>3894</v>
      </c>
      <c r="L123" s="110" t="s">
        <v>3895</v>
      </c>
      <c r="M123" s="74" t="s">
        <v>3896</v>
      </c>
      <c r="N123" s="74"/>
      <c r="P123"/>
      <c r="Q123"/>
      <c r="R123"/>
      <c r="S123"/>
      <c r="T123"/>
      <c r="U123"/>
    </row>
    <row r="124" spans="2:27" hidden="1" x14ac:dyDescent="0.3">
      <c r="D124" s="1"/>
      <c r="M124" s="39"/>
      <c r="N124" s="39"/>
      <c r="P124"/>
      <c r="Q124"/>
      <c r="R124"/>
      <c r="S124"/>
      <c r="T124"/>
      <c r="U124"/>
    </row>
    <row r="125" spans="2:27" hidden="1" x14ac:dyDescent="0.3">
      <c r="M125" s="39"/>
      <c r="N125" s="39"/>
      <c r="P125"/>
      <c r="Q125"/>
      <c r="R125"/>
      <c r="S125"/>
      <c r="T125"/>
      <c r="U125"/>
    </row>
    <row r="126" spans="2:27" hidden="1" x14ac:dyDescent="0.3">
      <c r="B126" t="s">
        <v>3840</v>
      </c>
      <c r="C126" s="5">
        <v>6621</v>
      </c>
      <c r="D126" s="71"/>
      <c r="M126" s="39"/>
      <c r="N126" s="39"/>
      <c r="P126"/>
      <c r="Q126"/>
      <c r="R126"/>
      <c r="S126"/>
      <c r="T126"/>
      <c r="U126"/>
    </row>
    <row r="127" spans="2:27" hidden="1" x14ac:dyDescent="0.3">
      <c r="B127" t="s">
        <v>3841</v>
      </c>
      <c r="C127" s="5">
        <v>116064</v>
      </c>
      <c r="D127" s="71"/>
      <c r="M127" s="39"/>
      <c r="N127" s="39"/>
      <c r="P127"/>
      <c r="Q127"/>
      <c r="R127"/>
      <c r="S127"/>
      <c r="T127"/>
      <c r="U127"/>
    </row>
    <row r="128" spans="2:27" hidden="1" x14ac:dyDescent="0.3">
      <c r="C128" s="2">
        <f>C126+C127</f>
        <v>122685</v>
      </c>
      <c r="M128" s="39"/>
      <c r="N128" s="39"/>
      <c r="P128"/>
      <c r="Q128"/>
      <c r="R128"/>
      <c r="S128"/>
      <c r="T128"/>
      <c r="U128"/>
    </row>
    <row r="129" spans="2:21" hidden="1" x14ac:dyDescent="0.3">
      <c r="M129" s="39"/>
      <c r="N129" s="39"/>
      <c r="P129"/>
      <c r="Q129"/>
      <c r="R129"/>
      <c r="S129"/>
      <c r="T129"/>
      <c r="U129"/>
    </row>
    <row r="130" spans="2:21" hidden="1" x14ac:dyDescent="0.3">
      <c r="M130" s="39"/>
      <c r="N130" s="39"/>
      <c r="P130"/>
      <c r="Q130"/>
      <c r="R130"/>
      <c r="S130"/>
      <c r="T130"/>
      <c r="U130"/>
    </row>
    <row r="131" spans="2:21" hidden="1" x14ac:dyDescent="0.3">
      <c r="M131" s="39"/>
      <c r="N131" s="39"/>
      <c r="P131"/>
      <c r="Q131"/>
      <c r="R131"/>
      <c r="S131"/>
      <c r="T131"/>
      <c r="U131"/>
    </row>
    <row r="132" spans="2:21" hidden="1" x14ac:dyDescent="0.3">
      <c r="B132" t="s">
        <v>3922</v>
      </c>
      <c r="M132" s="39"/>
      <c r="N132" s="39"/>
      <c r="P132"/>
      <c r="Q132"/>
      <c r="R132"/>
      <c r="S132"/>
      <c r="T132"/>
      <c r="U132"/>
    </row>
    <row r="133" spans="2:21" hidden="1" x14ac:dyDescent="0.3">
      <c r="B133" s="112" t="s">
        <v>3912</v>
      </c>
      <c r="C133" s="112" t="s">
        <v>3918</v>
      </c>
      <c r="D133" s="112" t="s">
        <v>3706</v>
      </c>
      <c r="E133" s="112" t="s">
        <v>3707</v>
      </c>
      <c r="F133" s="112" t="s">
        <v>3923</v>
      </c>
      <c r="M133" s="39"/>
      <c r="N133" s="39"/>
      <c r="P133"/>
      <c r="Q133"/>
      <c r="R133"/>
      <c r="S133"/>
      <c r="T133"/>
      <c r="U133"/>
    </row>
    <row r="134" spans="2:21" hidden="1" x14ac:dyDescent="0.3">
      <c r="B134" s="114" t="s">
        <v>3724</v>
      </c>
      <c r="C134" s="92">
        <v>1184808</v>
      </c>
      <c r="D134" s="74">
        <v>1184384</v>
      </c>
      <c r="E134" s="74">
        <v>424</v>
      </c>
      <c r="F134" s="74" t="s">
        <v>3924</v>
      </c>
      <c r="M134" s="39"/>
      <c r="N134" s="39"/>
      <c r="P134"/>
      <c r="Q134"/>
      <c r="R134"/>
      <c r="S134"/>
      <c r="T134"/>
      <c r="U134"/>
    </row>
    <row r="135" spans="2:21" hidden="1" x14ac:dyDescent="0.3">
      <c r="B135" s="114" t="s">
        <v>3728</v>
      </c>
      <c r="C135" s="92">
        <v>1184808</v>
      </c>
      <c r="D135" s="74">
        <v>1184384</v>
      </c>
      <c r="E135" s="74">
        <v>424</v>
      </c>
      <c r="F135" s="74" t="s">
        <v>3927</v>
      </c>
      <c r="M135" s="39"/>
      <c r="N135" s="39"/>
      <c r="P135"/>
      <c r="Q135"/>
      <c r="R135"/>
      <c r="S135"/>
      <c r="T135"/>
      <c r="U135"/>
    </row>
    <row r="136" spans="2:21" hidden="1" x14ac:dyDescent="0.3">
      <c r="B136" s="114" t="s">
        <v>3726</v>
      </c>
      <c r="C136" s="92">
        <v>1184808</v>
      </c>
      <c r="D136" s="74">
        <v>1184384</v>
      </c>
      <c r="E136" s="74">
        <v>424</v>
      </c>
      <c r="F136" s="74" t="s">
        <v>3927</v>
      </c>
      <c r="M136" s="39"/>
      <c r="N136" s="39"/>
      <c r="P136"/>
      <c r="Q136"/>
      <c r="R136"/>
      <c r="S136"/>
      <c r="T136"/>
      <c r="U136"/>
    </row>
    <row r="137" spans="2:21" hidden="1" x14ac:dyDescent="0.3">
      <c r="M137" s="39"/>
      <c r="N137" s="39"/>
      <c r="P137"/>
      <c r="Q137"/>
      <c r="R137"/>
      <c r="S137"/>
      <c r="T137"/>
      <c r="U137"/>
    </row>
    <row r="138" spans="2:21" hidden="1" x14ac:dyDescent="0.3">
      <c r="B138" t="s">
        <v>3922</v>
      </c>
      <c r="M138" s="39"/>
      <c r="N138" s="39"/>
      <c r="P138"/>
      <c r="Q138"/>
      <c r="R138"/>
      <c r="S138"/>
      <c r="T138"/>
      <c r="U138"/>
    </row>
    <row r="139" spans="2:21" hidden="1" x14ac:dyDescent="0.3">
      <c r="B139" s="112" t="s">
        <v>3912</v>
      </c>
      <c r="C139" s="112" t="s">
        <v>3921</v>
      </c>
      <c r="D139" s="112" t="s">
        <v>3913</v>
      </c>
      <c r="E139" s="112" t="s">
        <v>3706</v>
      </c>
      <c r="F139" s="112" t="s">
        <v>3707</v>
      </c>
      <c r="G139" s="112" t="s">
        <v>3925</v>
      </c>
      <c r="H139" s="112" t="s">
        <v>3923</v>
      </c>
      <c r="I139" s="112" t="s">
        <v>3928</v>
      </c>
      <c r="M139" s="39"/>
      <c r="N139" s="39"/>
      <c r="P139"/>
      <c r="Q139"/>
      <c r="R139"/>
      <c r="S139"/>
      <c r="T139"/>
      <c r="U139"/>
    </row>
    <row r="140" spans="2:21" hidden="1" x14ac:dyDescent="0.3">
      <c r="B140" s="114" t="s">
        <v>3724</v>
      </c>
      <c r="C140" s="92">
        <v>668181</v>
      </c>
      <c r="D140" s="74">
        <v>632383</v>
      </c>
      <c r="E140" s="83">
        <v>632345</v>
      </c>
      <c r="F140" s="83">
        <v>38</v>
      </c>
      <c r="G140" s="74">
        <v>22</v>
      </c>
      <c r="H140" s="138" t="s">
        <v>3924</v>
      </c>
      <c r="I140" s="75" t="s">
        <v>3951</v>
      </c>
      <c r="M140" s="39"/>
      <c r="N140" s="39"/>
      <c r="P140"/>
      <c r="Q140"/>
      <c r="R140"/>
      <c r="S140"/>
      <c r="T140"/>
      <c r="U140"/>
    </row>
    <row r="141" spans="2:21" hidden="1" x14ac:dyDescent="0.3">
      <c r="B141" s="114" t="s">
        <v>3728</v>
      </c>
      <c r="C141" s="92">
        <v>668181</v>
      </c>
      <c r="D141" s="74">
        <v>632383</v>
      </c>
      <c r="E141" s="83">
        <v>632361</v>
      </c>
      <c r="F141" s="83">
        <v>22</v>
      </c>
      <c r="G141" s="74">
        <v>22</v>
      </c>
      <c r="H141" s="74" t="s">
        <v>3704</v>
      </c>
      <c r="I141" s="74" t="s">
        <v>3706</v>
      </c>
      <c r="M141" s="39"/>
      <c r="N141" s="39"/>
      <c r="P141"/>
      <c r="Q141"/>
      <c r="R141"/>
      <c r="S141"/>
      <c r="T141"/>
      <c r="U141"/>
    </row>
    <row r="142" spans="2:21" hidden="1" x14ac:dyDescent="0.3">
      <c r="B142" s="114" t="s">
        <v>3726</v>
      </c>
      <c r="C142" s="92">
        <v>668181</v>
      </c>
      <c r="D142" s="74">
        <v>632383</v>
      </c>
      <c r="E142" s="83">
        <v>632361</v>
      </c>
      <c r="F142" s="83">
        <v>22</v>
      </c>
      <c r="G142" s="74">
        <v>22</v>
      </c>
      <c r="H142" s="74" t="s">
        <v>3704</v>
      </c>
      <c r="I142" s="74" t="s">
        <v>3706</v>
      </c>
      <c r="M142" s="39"/>
      <c r="N142" s="39"/>
      <c r="P142"/>
      <c r="Q142"/>
      <c r="R142"/>
      <c r="S142"/>
      <c r="T142"/>
      <c r="U142"/>
    </row>
    <row r="143" spans="2:21" hidden="1" x14ac:dyDescent="0.3">
      <c r="M143" s="39"/>
      <c r="N143" s="39"/>
      <c r="P143"/>
      <c r="Q143"/>
      <c r="R143"/>
      <c r="S143"/>
      <c r="T143"/>
      <c r="U143"/>
    </row>
    <row r="144" spans="2:21" hidden="1" x14ac:dyDescent="0.3">
      <c r="M144" s="39"/>
      <c r="N144" s="39"/>
      <c r="P144"/>
      <c r="Q144"/>
      <c r="R144"/>
      <c r="S144"/>
      <c r="T144"/>
      <c r="U144"/>
    </row>
    <row r="145" spans="1:16374" hidden="1" x14ac:dyDescent="0.3">
      <c r="B145" s="113" t="s">
        <v>3919</v>
      </c>
      <c r="M145" s="39"/>
      <c r="N145" s="39"/>
      <c r="P145"/>
      <c r="Q145"/>
      <c r="R145"/>
      <c r="S145"/>
      <c r="T145"/>
      <c r="U145"/>
    </row>
    <row r="146" spans="1:16374" hidden="1" x14ac:dyDescent="0.3">
      <c r="B146" s="112" t="s">
        <v>3912</v>
      </c>
      <c r="C146" s="112" t="s">
        <v>3918</v>
      </c>
      <c r="D146" s="112" t="s">
        <v>3706</v>
      </c>
      <c r="E146" s="112" t="s">
        <v>3707</v>
      </c>
      <c r="F146" s="112" t="s">
        <v>3925</v>
      </c>
      <c r="G146" s="112" t="s">
        <v>3929</v>
      </c>
      <c r="H146" s="112" t="s">
        <v>3923</v>
      </c>
      <c r="I146" s="112" t="s">
        <v>3928</v>
      </c>
      <c r="J146" s="116" t="s">
        <v>3938</v>
      </c>
      <c r="K146" s="116" t="s">
        <v>3930</v>
      </c>
      <c r="L146" s="116" t="s">
        <v>3945</v>
      </c>
      <c r="M146" s="116" t="s">
        <v>3949</v>
      </c>
      <c r="N146" s="39"/>
      <c r="Q146"/>
      <c r="R146"/>
      <c r="S146"/>
      <c r="T146"/>
      <c r="U146"/>
    </row>
    <row r="147" spans="1:16374" hidden="1" x14ac:dyDescent="0.3">
      <c r="B147" s="114" t="s">
        <v>3753</v>
      </c>
      <c r="C147" s="92">
        <v>1226331</v>
      </c>
      <c r="D147" s="74">
        <v>1222920</v>
      </c>
      <c r="E147" s="83">
        <v>3411</v>
      </c>
      <c r="F147" s="74">
        <v>432</v>
      </c>
      <c r="G147" s="74">
        <v>0</v>
      </c>
      <c r="H147" s="74" t="s">
        <v>3927</v>
      </c>
      <c r="I147" s="74" t="s">
        <v>3935</v>
      </c>
      <c r="J147" t="s">
        <v>3860</v>
      </c>
      <c r="K147" t="s">
        <v>3860</v>
      </c>
      <c r="L147" s="126" t="s">
        <v>3707</v>
      </c>
      <c r="M147" s="131" t="s">
        <v>3948</v>
      </c>
      <c r="N147" s="39"/>
      <c r="Q147"/>
      <c r="R147"/>
      <c r="S147"/>
      <c r="T147"/>
      <c r="U147"/>
    </row>
    <row r="148" spans="1:16374" hidden="1" x14ac:dyDescent="0.3">
      <c r="B148" s="115" t="s">
        <v>3760</v>
      </c>
      <c r="C148" s="92">
        <v>1226331</v>
      </c>
      <c r="D148" s="83">
        <v>1225898</v>
      </c>
      <c r="E148" s="83">
        <v>433</v>
      </c>
      <c r="F148" s="83">
        <v>432</v>
      </c>
      <c r="G148" s="83">
        <v>0</v>
      </c>
      <c r="H148" s="83" t="s">
        <v>3927</v>
      </c>
      <c r="I148" s="83" t="s">
        <v>3953</v>
      </c>
      <c r="J148" s="90" t="s">
        <v>3931</v>
      </c>
      <c r="K148" s="90" t="s">
        <v>3931</v>
      </c>
      <c r="L148" t="s">
        <v>3946</v>
      </c>
      <c r="M148" t="s">
        <v>3950</v>
      </c>
      <c r="N148" s="39"/>
      <c r="Q148"/>
      <c r="R148"/>
      <c r="S148"/>
      <c r="T148"/>
      <c r="U148"/>
    </row>
    <row r="149" spans="1:16374" hidden="1" x14ac:dyDescent="0.3">
      <c r="B149" s="115" t="s">
        <v>3751</v>
      </c>
      <c r="C149" s="92">
        <v>1226331</v>
      </c>
      <c r="D149" s="75">
        <v>1001533</v>
      </c>
      <c r="E149" s="75">
        <v>224798</v>
      </c>
      <c r="F149" s="75">
        <v>432</v>
      </c>
      <c r="G149" s="75">
        <v>0</v>
      </c>
      <c r="H149" s="75" t="s">
        <v>3927</v>
      </c>
      <c r="I149" s="75" t="s">
        <v>3944</v>
      </c>
      <c r="J149" s="123" t="s">
        <v>3939</v>
      </c>
      <c r="K149" s="124" t="s">
        <v>3941</v>
      </c>
      <c r="L149" s="127" t="s">
        <v>3707</v>
      </c>
      <c r="M149" s="131" t="s">
        <v>3948</v>
      </c>
      <c r="N149" s="39"/>
      <c r="Q149"/>
      <c r="R149"/>
      <c r="S149"/>
      <c r="T149"/>
      <c r="U149"/>
    </row>
    <row r="150" spans="1:16374" hidden="1" x14ac:dyDescent="0.3">
      <c r="B150" s="115" t="s">
        <v>3759</v>
      </c>
      <c r="C150" s="92">
        <v>1226331</v>
      </c>
      <c r="D150" s="83">
        <v>1225897</v>
      </c>
      <c r="E150" s="83">
        <v>434</v>
      </c>
      <c r="F150" s="83">
        <v>432</v>
      </c>
      <c r="G150" s="83">
        <v>0</v>
      </c>
      <c r="H150" s="83" t="s">
        <v>3927</v>
      </c>
      <c r="I150" s="83" t="s">
        <v>3952</v>
      </c>
      <c r="J150" s="123" t="s">
        <v>3939</v>
      </c>
      <c r="K150" s="124" t="s">
        <v>3940</v>
      </c>
      <c r="L150" t="s">
        <v>3946</v>
      </c>
      <c r="M150" t="s">
        <v>3950</v>
      </c>
      <c r="N150" s="39"/>
      <c r="Q150"/>
      <c r="R150"/>
      <c r="S150"/>
      <c r="T150"/>
      <c r="U150"/>
    </row>
    <row r="151" spans="1:16374" hidden="1" x14ac:dyDescent="0.3">
      <c r="M151" s="39"/>
      <c r="N151" s="39"/>
      <c r="P151"/>
      <c r="Q151"/>
      <c r="R151"/>
      <c r="S151"/>
      <c r="T151"/>
      <c r="U151"/>
    </row>
    <row r="152" spans="1:16374" hidden="1" x14ac:dyDescent="0.3">
      <c r="M152" s="39"/>
      <c r="N152" s="39"/>
      <c r="P152"/>
      <c r="Q152"/>
      <c r="R152"/>
      <c r="S152"/>
      <c r="T152"/>
      <c r="U152"/>
    </row>
    <row r="153" spans="1:16374" hidden="1" x14ac:dyDescent="0.3">
      <c r="M153" s="39"/>
      <c r="N153" s="39"/>
      <c r="P153"/>
      <c r="Q153"/>
      <c r="R153"/>
      <c r="S153"/>
      <c r="T153"/>
      <c r="U153"/>
    </row>
    <row r="154" spans="1:16374" hidden="1" x14ac:dyDescent="0.3">
      <c r="B154" s="113" t="s">
        <v>3919</v>
      </c>
      <c r="M154" s="39"/>
      <c r="N154" s="39"/>
      <c r="P154"/>
      <c r="Q154"/>
      <c r="R154"/>
      <c r="S154"/>
      <c r="T154"/>
      <c r="U154"/>
    </row>
    <row r="155" spans="1:16374" hidden="1" x14ac:dyDescent="0.3">
      <c r="B155" s="112" t="s">
        <v>3912</v>
      </c>
      <c r="C155" s="112" t="s">
        <v>3920</v>
      </c>
      <c r="D155" s="112" t="s">
        <v>3913</v>
      </c>
      <c r="E155" s="112" t="s">
        <v>3706</v>
      </c>
      <c r="F155" s="112" t="s">
        <v>3707</v>
      </c>
      <c r="G155" s="112" t="s">
        <v>3925</v>
      </c>
      <c r="H155" s="112" t="s">
        <v>3932</v>
      </c>
      <c r="I155" s="112" t="s">
        <v>3923</v>
      </c>
      <c r="J155" s="112" t="s">
        <v>3928</v>
      </c>
      <c r="K155" s="116" t="s">
        <v>3938</v>
      </c>
      <c r="L155" s="116" t="s">
        <v>3930</v>
      </c>
      <c r="M155" s="116" t="s">
        <v>3945</v>
      </c>
      <c r="N155" s="116" t="s">
        <v>3949</v>
      </c>
      <c r="Q155"/>
      <c r="R155"/>
      <c r="S155"/>
      <c r="T155"/>
      <c r="U155"/>
    </row>
    <row r="156" spans="1:16374" hidden="1" x14ac:dyDescent="0.3">
      <c r="B156" s="114" t="s">
        <v>3753</v>
      </c>
      <c r="C156" s="92">
        <v>668181</v>
      </c>
      <c r="D156" s="110">
        <v>632383</v>
      </c>
      <c r="E156" s="110">
        <v>330327</v>
      </c>
      <c r="F156" s="110">
        <v>302056</v>
      </c>
      <c r="G156" s="110">
        <v>22</v>
      </c>
      <c r="H156" s="110" t="s">
        <v>3934</v>
      </c>
      <c r="I156" s="110" t="s">
        <v>3927</v>
      </c>
      <c r="J156" s="110"/>
      <c r="K156" s="126" t="s">
        <v>3860</v>
      </c>
      <c r="L156" s="126" t="s">
        <v>3860</v>
      </c>
      <c r="M156" s="126" t="s">
        <v>3707</v>
      </c>
      <c r="N156" t="s">
        <v>3950</v>
      </c>
      <c r="Q156"/>
      <c r="R156"/>
      <c r="S156"/>
      <c r="T156"/>
      <c r="U156"/>
    </row>
    <row r="157" spans="1:16374" hidden="1" x14ac:dyDescent="0.3">
      <c r="B157" s="115" t="s">
        <v>3760</v>
      </c>
      <c r="C157" s="92">
        <v>668181</v>
      </c>
      <c r="D157" s="83">
        <v>632383</v>
      </c>
      <c r="E157" s="83">
        <v>632361</v>
      </c>
      <c r="F157" s="83">
        <v>22</v>
      </c>
      <c r="G157" s="83">
        <v>22</v>
      </c>
      <c r="H157" s="83" t="s">
        <v>3933</v>
      </c>
      <c r="I157" s="83" t="s">
        <v>3924</v>
      </c>
      <c r="J157" s="83" t="s">
        <v>3706</v>
      </c>
      <c r="K157" s="90"/>
      <c r="L157" s="90"/>
      <c r="M157" s="125" t="s">
        <v>3706</v>
      </c>
      <c r="N157" s="39"/>
      <c r="Q157"/>
      <c r="R157"/>
      <c r="S157"/>
      <c r="T157"/>
      <c r="U157"/>
    </row>
    <row r="158" spans="1:16374" s="117" customFormat="1" hidden="1" x14ac:dyDescent="0.3">
      <c r="A158"/>
      <c r="B158" s="115" t="s">
        <v>3751</v>
      </c>
      <c r="C158" s="92">
        <v>668181</v>
      </c>
      <c r="D158" s="75">
        <v>632383</v>
      </c>
      <c r="E158" s="75">
        <v>96013</v>
      </c>
      <c r="F158" s="75">
        <v>536370</v>
      </c>
      <c r="G158" s="75">
        <v>22</v>
      </c>
      <c r="H158" s="75"/>
      <c r="I158" s="75" t="s">
        <v>3927</v>
      </c>
      <c r="J158" s="75" t="s">
        <v>3944</v>
      </c>
      <c r="K158" s="123" t="s">
        <v>3939</v>
      </c>
      <c r="L158" s="124" t="s">
        <v>3943</v>
      </c>
      <c r="M158" s="123" t="s">
        <v>3707</v>
      </c>
      <c r="N158" s="131" t="s">
        <v>3948</v>
      </c>
      <c r="O158" s="39"/>
      <c r="P158" s="39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/>
      <c r="JB158"/>
      <c r="JC158"/>
      <c r="JD158"/>
      <c r="JE158"/>
      <c r="JF158"/>
      <c r="JG158"/>
      <c r="JH158"/>
      <c r="JI158"/>
      <c r="JJ158"/>
      <c r="JK158"/>
      <c r="JL158"/>
      <c r="JM158"/>
      <c r="JN158"/>
      <c r="JO158"/>
      <c r="JP158"/>
      <c r="JQ158"/>
      <c r="JR158"/>
      <c r="JS158"/>
      <c r="JT158"/>
      <c r="JU158"/>
      <c r="JV158"/>
      <c r="JW158"/>
      <c r="JX158"/>
      <c r="JY158"/>
      <c r="JZ158"/>
      <c r="KA158"/>
      <c r="KB158"/>
      <c r="KC158"/>
      <c r="KD158"/>
      <c r="KE158"/>
      <c r="KF158"/>
      <c r="KG158"/>
      <c r="KH158"/>
      <c r="KI158"/>
      <c r="KJ158"/>
      <c r="KK158"/>
      <c r="KL158"/>
      <c r="KM158"/>
      <c r="KN158"/>
      <c r="KO158"/>
      <c r="KP158"/>
      <c r="KQ158"/>
      <c r="KR158"/>
      <c r="KS158"/>
      <c r="KT158"/>
      <c r="KU158"/>
      <c r="KV158"/>
      <c r="KW158"/>
      <c r="KX158"/>
      <c r="KY158"/>
      <c r="KZ158"/>
      <c r="LA158"/>
      <c r="LB158"/>
      <c r="LC158"/>
      <c r="LD158"/>
      <c r="LE158"/>
      <c r="LF158"/>
      <c r="LG158"/>
      <c r="LH158"/>
      <c r="LI158"/>
      <c r="LJ158"/>
      <c r="LK158"/>
      <c r="LL158"/>
      <c r="LM158"/>
      <c r="LN158"/>
      <c r="LO158"/>
      <c r="LP158"/>
      <c r="LQ158"/>
      <c r="LR158"/>
      <c r="LS158"/>
      <c r="LT158"/>
      <c r="LU158"/>
      <c r="LV158"/>
      <c r="LW158"/>
      <c r="LX158"/>
      <c r="LY158"/>
      <c r="LZ158"/>
      <c r="MA158"/>
      <c r="MB158"/>
      <c r="MC158"/>
      <c r="MD158"/>
      <c r="ME158"/>
      <c r="MF158"/>
      <c r="MG158"/>
      <c r="MH158"/>
      <c r="MI158"/>
      <c r="MJ158"/>
      <c r="MK158"/>
      <c r="ML158"/>
      <c r="MM158"/>
      <c r="MN158"/>
      <c r="MO158"/>
      <c r="MP158"/>
      <c r="MQ158"/>
      <c r="MR158"/>
      <c r="MS158"/>
      <c r="MT158"/>
      <c r="MU158"/>
      <c r="MV158"/>
      <c r="MW158"/>
      <c r="MX158"/>
      <c r="MY158"/>
      <c r="MZ158"/>
      <c r="NA158"/>
      <c r="NB158"/>
      <c r="NC158"/>
      <c r="ND158"/>
      <c r="NE158"/>
      <c r="NF158"/>
      <c r="NG158"/>
      <c r="NH158"/>
      <c r="NI158"/>
      <c r="NJ158"/>
      <c r="NK158"/>
      <c r="NL158"/>
      <c r="NM158"/>
      <c r="NN158"/>
      <c r="NO158"/>
      <c r="NP158"/>
      <c r="NQ158"/>
      <c r="NR158"/>
      <c r="NS158"/>
      <c r="NT158"/>
      <c r="NU158"/>
      <c r="NV158"/>
      <c r="NW158"/>
      <c r="NX158"/>
      <c r="NY158"/>
      <c r="NZ158"/>
      <c r="OA158"/>
      <c r="OB158"/>
      <c r="OC158"/>
      <c r="OD158"/>
      <c r="OE158"/>
      <c r="OF158"/>
      <c r="OG158"/>
      <c r="OH158"/>
      <c r="OI158"/>
      <c r="OJ158"/>
      <c r="OK158"/>
      <c r="OL158"/>
      <c r="OM158"/>
      <c r="ON158"/>
      <c r="OO158"/>
      <c r="OP158"/>
      <c r="OQ158"/>
      <c r="OR158"/>
      <c r="OS158"/>
      <c r="OT158"/>
      <c r="OU158"/>
      <c r="OV158"/>
      <c r="OW158"/>
      <c r="OX158"/>
      <c r="OY158"/>
      <c r="OZ158"/>
      <c r="PA158"/>
      <c r="PB158"/>
      <c r="PC158"/>
      <c r="PD158"/>
      <c r="PE158"/>
      <c r="PF158"/>
      <c r="PG158"/>
      <c r="PH158"/>
      <c r="PI158"/>
      <c r="PJ158"/>
      <c r="PK158"/>
      <c r="PL158"/>
      <c r="PM158"/>
      <c r="PN158"/>
      <c r="PO158"/>
      <c r="PP158"/>
      <c r="PQ158"/>
      <c r="PR158"/>
      <c r="PS158"/>
      <c r="PT158"/>
      <c r="PU158"/>
      <c r="PV158"/>
      <c r="PW158"/>
      <c r="PX158"/>
      <c r="PY158"/>
      <c r="PZ158"/>
      <c r="QA158"/>
      <c r="QB158"/>
      <c r="QC158"/>
      <c r="QD158"/>
      <c r="QE158"/>
      <c r="QF158"/>
      <c r="QG158"/>
      <c r="QH158"/>
      <c r="QI158"/>
      <c r="QJ158"/>
      <c r="QK158"/>
      <c r="QL158"/>
      <c r="QM158"/>
      <c r="QN158"/>
      <c r="QO158"/>
      <c r="QP158"/>
      <c r="QQ158"/>
      <c r="QR158"/>
      <c r="QS158"/>
      <c r="QT158"/>
      <c r="QU158"/>
      <c r="QV158"/>
      <c r="QW158"/>
      <c r="QX158"/>
      <c r="QY158"/>
      <c r="QZ158"/>
      <c r="RA158"/>
      <c r="RB158"/>
      <c r="RC158"/>
      <c r="RD158"/>
      <c r="RE158"/>
      <c r="RF158"/>
      <c r="RG158"/>
      <c r="RH158"/>
      <c r="RI158"/>
      <c r="RJ158"/>
      <c r="RK158"/>
      <c r="RL158"/>
      <c r="RM158"/>
      <c r="RN158"/>
      <c r="RO158"/>
      <c r="RP158"/>
      <c r="RQ158"/>
      <c r="RR158"/>
      <c r="RS158"/>
      <c r="RT158"/>
      <c r="RU158"/>
      <c r="RV158"/>
      <c r="RW158"/>
      <c r="RX158"/>
      <c r="RY158"/>
      <c r="RZ158"/>
      <c r="SA158"/>
      <c r="SB158"/>
      <c r="SC158"/>
      <c r="SD158"/>
      <c r="SE158"/>
      <c r="SF158"/>
      <c r="SG158"/>
      <c r="SH158"/>
      <c r="SI158"/>
      <c r="SJ158"/>
      <c r="SK158"/>
      <c r="SL158"/>
      <c r="SM158"/>
      <c r="SN158"/>
      <c r="SO158"/>
      <c r="SP158"/>
      <c r="SQ158"/>
      <c r="SR158"/>
      <c r="SS158"/>
      <c r="ST158"/>
      <c r="SU158"/>
      <c r="SV158"/>
      <c r="SW158"/>
      <c r="SX158"/>
      <c r="SY158"/>
      <c r="SZ158"/>
      <c r="TA158"/>
      <c r="TB158"/>
      <c r="TC158"/>
      <c r="TD158"/>
      <c r="TE158"/>
      <c r="TF158"/>
      <c r="TG158"/>
      <c r="TH158"/>
      <c r="TI158"/>
      <c r="TJ158"/>
      <c r="TK158"/>
      <c r="TL158"/>
      <c r="TM158"/>
      <c r="TN158"/>
      <c r="TO158"/>
      <c r="TP158"/>
      <c r="TQ158"/>
      <c r="TR158"/>
      <c r="TS158"/>
      <c r="TT158"/>
      <c r="TU158"/>
      <c r="TV158"/>
      <c r="TW158"/>
      <c r="TX158"/>
      <c r="TY158"/>
      <c r="TZ158"/>
      <c r="UA158"/>
      <c r="UB158"/>
      <c r="UC158"/>
      <c r="UD158"/>
      <c r="UE158"/>
      <c r="UF158"/>
      <c r="UG158"/>
      <c r="UH158"/>
      <c r="UI158"/>
      <c r="UJ158"/>
      <c r="UK158"/>
      <c r="UL158"/>
      <c r="UM158"/>
      <c r="UN158"/>
      <c r="UO158"/>
      <c r="UP158"/>
      <c r="UQ158"/>
      <c r="UR158"/>
      <c r="US158"/>
      <c r="UT158"/>
      <c r="UU158"/>
      <c r="UV158"/>
      <c r="UW158"/>
      <c r="UX158"/>
      <c r="UY158"/>
      <c r="UZ158"/>
      <c r="VA158"/>
      <c r="VB158"/>
      <c r="VC158"/>
      <c r="VD158"/>
      <c r="VE158"/>
      <c r="VF158"/>
      <c r="VG158"/>
      <c r="VH158"/>
      <c r="VI158"/>
      <c r="VJ158"/>
      <c r="VK158"/>
      <c r="VL158"/>
      <c r="VM158"/>
      <c r="VN158"/>
      <c r="VO158"/>
      <c r="VP158"/>
      <c r="VQ158"/>
      <c r="VR158"/>
      <c r="VS158"/>
      <c r="VT158"/>
      <c r="VU158"/>
      <c r="VV158"/>
      <c r="VW158"/>
      <c r="VX158"/>
      <c r="VY158"/>
      <c r="VZ158"/>
      <c r="WA158"/>
      <c r="WB158"/>
      <c r="WC158"/>
      <c r="WD158"/>
      <c r="WE158"/>
      <c r="WF158"/>
      <c r="WG158"/>
      <c r="WH158"/>
      <c r="WI158"/>
      <c r="WJ158"/>
      <c r="WK158"/>
      <c r="WL158"/>
      <c r="WM158"/>
      <c r="WN158"/>
      <c r="WO158"/>
      <c r="WP158"/>
      <c r="WQ158"/>
      <c r="WR158"/>
      <c r="WS158"/>
      <c r="WT158"/>
      <c r="WU158"/>
      <c r="WV158"/>
      <c r="WW158"/>
      <c r="WX158"/>
      <c r="WY158"/>
      <c r="WZ158"/>
      <c r="XA158"/>
      <c r="XB158"/>
      <c r="XC158"/>
      <c r="XD158"/>
      <c r="XE158"/>
      <c r="XF158"/>
      <c r="XG158"/>
      <c r="XH158"/>
      <c r="XI158"/>
      <c r="XJ158"/>
      <c r="XK158"/>
      <c r="XL158"/>
      <c r="XM158"/>
      <c r="XN158"/>
      <c r="XO158"/>
      <c r="XP158"/>
      <c r="XQ158"/>
      <c r="XR158"/>
      <c r="XS158"/>
      <c r="XT158"/>
      <c r="XU158"/>
      <c r="XV158"/>
      <c r="XW158"/>
      <c r="XX158"/>
      <c r="XY158"/>
      <c r="XZ158"/>
      <c r="YA158"/>
      <c r="YB158"/>
      <c r="YC158"/>
      <c r="YD158"/>
      <c r="YE158"/>
      <c r="YF158"/>
      <c r="YG158"/>
      <c r="YH158"/>
      <c r="YI158"/>
      <c r="YJ158"/>
      <c r="YK158"/>
      <c r="YL158"/>
      <c r="YM158"/>
      <c r="YN158"/>
      <c r="YO158"/>
      <c r="YP158"/>
      <c r="YQ158"/>
      <c r="YR158"/>
      <c r="YS158"/>
      <c r="YT158"/>
      <c r="YU158"/>
      <c r="YV158"/>
      <c r="YW158"/>
      <c r="YX158"/>
      <c r="YY158"/>
      <c r="YZ158"/>
      <c r="ZA158"/>
      <c r="ZB158"/>
      <c r="ZC158"/>
      <c r="ZD158"/>
      <c r="ZE158"/>
      <c r="ZF158"/>
      <c r="ZG158"/>
      <c r="ZH158"/>
      <c r="ZI158"/>
      <c r="ZJ158"/>
      <c r="ZK158"/>
      <c r="ZL158"/>
      <c r="ZM158"/>
      <c r="ZN158"/>
      <c r="ZO158"/>
      <c r="ZP158"/>
      <c r="ZQ158"/>
      <c r="ZR158"/>
      <c r="ZS158"/>
      <c r="ZT158"/>
      <c r="ZU158"/>
      <c r="ZV158"/>
      <c r="ZW158"/>
      <c r="ZX158"/>
      <c r="ZY158"/>
      <c r="ZZ158"/>
      <c r="AAA158"/>
      <c r="AAB158"/>
      <c r="AAC158"/>
      <c r="AAD158"/>
      <c r="AAE158"/>
      <c r="AAF158"/>
      <c r="AAG158"/>
      <c r="AAH158"/>
      <c r="AAI158"/>
      <c r="AAJ158"/>
      <c r="AAK158"/>
      <c r="AAL158"/>
      <c r="AAM158"/>
      <c r="AAN158"/>
      <c r="AAO158"/>
      <c r="AAP158"/>
      <c r="AAQ158"/>
      <c r="AAR158"/>
      <c r="AAS158"/>
      <c r="AAT158"/>
      <c r="AAU158"/>
      <c r="AAV158"/>
      <c r="AAW158"/>
      <c r="AAX158"/>
      <c r="AAY158"/>
      <c r="AAZ158"/>
      <c r="ABA158"/>
      <c r="ABB158"/>
      <c r="ABC158"/>
      <c r="ABD158"/>
      <c r="ABE158"/>
      <c r="ABF158"/>
      <c r="ABG158"/>
      <c r="ABH158"/>
      <c r="ABI158"/>
      <c r="ABJ158"/>
      <c r="ABK158"/>
      <c r="ABL158"/>
      <c r="ABM158"/>
      <c r="ABN158"/>
      <c r="ABO158"/>
      <c r="ABP158"/>
      <c r="ABQ158"/>
      <c r="ABR158"/>
      <c r="ABS158"/>
      <c r="ABT158"/>
      <c r="ABU158"/>
      <c r="ABV158"/>
      <c r="ABW158"/>
      <c r="ABX158"/>
      <c r="ABY158"/>
      <c r="ABZ158"/>
      <c r="ACA158"/>
      <c r="ACB158"/>
      <c r="ACC158"/>
      <c r="ACD158"/>
      <c r="ACE158"/>
      <c r="ACF158"/>
      <c r="ACG158"/>
      <c r="ACH158"/>
      <c r="ACI158"/>
      <c r="ACJ158"/>
      <c r="ACK158"/>
      <c r="ACL158"/>
      <c r="ACM158"/>
      <c r="ACN158"/>
      <c r="ACO158"/>
      <c r="ACP158"/>
      <c r="ACQ158"/>
      <c r="ACR158"/>
      <c r="ACS158"/>
      <c r="ACT158"/>
      <c r="ACU158"/>
      <c r="ACV158"/>
      <c r="ACW158"/>
      <c r="ACX158"/>
      <c r="ACY158"/>
      <c r="ACZ158"/>
      <c r="ADA158"/>
      <c r="ADB158"/>
      <c r="ADC158"/>
      <c r="ADD158"/>
      <c r="ADE158"/>
      <c r="ADF158"/>
      <c r="ADG158"/>
      <c r="ADH158"/>
      <c r="ADI158"/>
      <c r="ADJ158"/>
      <c r="ADK158"/>
      <c r="ADL158"/>
      <c r="ADM158"/>
      <c r="ADN158"/>
      <c r="ADO158"/>
      <c r="ADP158"/>
      <c r="ADQ158"/>
      <c r="ADR158"/>
      <c r="ADS158"/>
      <c r="ADT158"/>
      <c r="ADU158"/>
      <c r="ADV158"/>
      <c r="ADW158"/>
      <c r="ADX158"/>
      <c r="ADY158"/>
      <c r="ADZ158"/>
      <c r="AEA158"/>
      <c r="AEB158"/>
      <c r="AEC158"/>
      <c r="AED158"/>
      <c r="AEE158"/>
      <c r="AEF158"/>
      <c r="AEG158"/>
      <c r="AEH158"/>
      <c r="AEI158"/>
      <c r="AEJ158"/>
      <c r="AEK158"/>
      <c r="AEL158"/>
      <c r="AEM158"/>
      <c r="AEN158"/>
      <c r="AEO158"/>
      <c r="AEP158"/>
      <c r="AEQ158"/>
      <c r="AER158"/>
      <c r="AES158"/>
      <c r="AET158"/>
      <c r="AEU158"/>
      <c r="AEV158"/>
      <c r="AEW158"/>
      <c r="AEX158"/>
      <c r="AEY158"/>
      <c r="AEZ158"/>
      <c r="AFA158"/>
      <c r="AFB158"/>
      <c r="AFC158"/>
      <c r="AFD158"/>
      <c r="AFE158"/>
      <c r="AFF158"/>
      <c r="AFG158"/>
      <c r="AFH158"/>
      <c r="AFI158"/>
      <c r="AFJ158"/>
      <c r="AFK158"/>
      <c r="AFL158"/>
      <c r="AFM158"/>
      <c r="AFN158"/>
      <c r="AFO158"/>
      <c r="AFP158"/>
      <c r="AFQ158"/>
      <c r="AFR158"/>
      <c r="AFS158"/>
      <c r="AFT158"/>
      <c r="AFU158"/>
      <c r="AFV158"/>
      <c r="AFW158"/>
      <c r="AFX158"/>
      <c r="AFY158"/>
      <c r="AFZ158"/>
      <c r="AGA158"/>
      <c r="AGB158"/>
      <c r="AGC158"/>
      <c r="AGD158"/>
      <c r="AGE158"/>
      <c r="AGF158"/>
      <c r="AGG158"/>
      <c r="AGH158"/>
      <c r="AGI158"/>
      <c r="AGJ158"/>
      <c r="AGK158"/>
      <c r="AGL158"/>
      <c r="AGM158"/>
      <c r="AGN158"/>
      <c r="AGO158"/>
      <c r="AGP158"/>
      <c r="AGQ158"/>
      <c r="AGR158"/>
      <c r="AGS158"/>
      <c r="AGT158"/>
      <c r="AGU158"/>
      <c r="AGV158"/>
      <c r="AGW158"/>
      <c r="AGX158"/>
      <c r="AGY158"/>
      <c r="AGZ158"/>
      <c r="AHA158"/>
      <c r="AHB158"/>
      <c r="AHC158"/>
      <c r="AHD158"/>
      <c r="AHE158"/>
      <c r="AHF158"/>
      <c r="AHG158"/>
      <c r="AHH158"/>
      <c r="AHI158"/>
      <c r="AHJ158"/>
      <c r="AHK158"/>
      <c r="AHL158"/>
      <c r="AHM158"/>
      <c r="AHN158"/>
      <c r="AHO158"/>
      <c r="AHP158"/>
      <c r="AHQ158"/>
      <c r="AHR158"/>
      <c r="AHS158"/>
      <c r="AHT158"/>
      <c r="AHU158"/>
      <c r="AHV158"/>
      <c r="AHW158"/>
      <c r="AHX158"/>
      <c r="AHY158"/>
      <c r="AHZ158"/>
      <c r="AIA158"/>
      <c r="AIB158"/>
      <c r="AIC158"/>
      <c r="AID158"/>
      <c r="AIE158"/>
      <c r="AIF158"/>
      <c r="AIG158"/>
      <c r="AIH158"/>
      <c r="AII158"/>
      <c r="AIJ158"/>
      <c r="AIK158"/>
      <c r="AIL158"/>
      <c r="AIM158"/>
      <c r="AIN158"/>
      <c r="AIO158"/>
      <c r="AIP158"/>
      <c r="AIQ158"/>
      <c r="AIR158"/>
      <c r="AIS158"/>
      <c r="AIT158"/>
      <c r="AIU158"/>
      <c r="AIV158"/>
      <c r="AIW158"/>
      <c r="AIX158"/>
      <c r="AIY158"/>
      <c r="AIZ158"/>
      <c r="AJA158"/>
      <c r="AJB158"/>
      <c r="AJC158"/>
      <c r="AJD158"/>
      <c r="AJE158"/>
      <c r="AJF158"/>
      <c r="AJG158"/>
      <c r="AJH158"/>
      <c r="AJI158"/>
      <c r="AJJ158"/>
      <c r="AJK158"/>
      <c r="AJL158"/>
      <c r="AJM158"/>
      <c r="AJN158"/>
      <c r="AJO158"/>
      <c r="AJP158"/>
      <c r="AJQ158"/>
      <c r="AJR158"/>
      <c r="AJS158"/>
      <c r="AJT158"/>
      <c r="AJU158"/>
      <c r="AJV158"/>
      <c r="AJW158"/>
      <c r="AJX158"/>
      <c r="AJY158"/>
      <c r="AJZ158"/>
      <c r="AKA158"/>
      <c r="AKB158"/>
      <c r="AKC158"/>
      <c r="AKD158"/>
      <c r="AKE158"/>
      <c r="AKF158"/>
      <c r="AKG158"/>
      <c r="AKH158"/>
      <c r="AKI158"/>
      <c r="AKJ158"/>
      <c r="AKK158"/>
      <c r="AKL158"/>
      <c r="AKM158"/>
      <c r="AKN158"/>
      <c r="AKO158"/>
      <c r="AKP158"/>
      <c r="AKQ158"/>
      <c r="AKR158"/>
      <c r="AKS158"/>
      <c r="AKT158"/>
      <c r="AKU158"/>
      <c r="AKV158"/>
      <c r="AKW158"/>
      <c r="AKX158"/>
      <c r="AKY158"/>
      <c r="AKZ158"/>
      <c r="ALA158"/>
      <c r="ALB158"/>
      <c r="ALC158"/>
      <c r="ALD158"/>
      <c r="ALE158"/>
      <c r="ALF158"/>
      <c r="ALG158"/>
      <c r="ALH158"/>
      <c r="ALI158"/>
      <c r="ALJ158"/>
      <c r="ALK158"/>
      <c r="ALL158"/>
      <c r="ALM158"/>
      <c r="ALN158"/>
      <c r="ALO158"/>
      <c r="ALP158"/>
      <c r="ALQ158"/>
      <c r="ALR158"/>
      <c r="ALS158"/>
      <c r="ALT158"/>
      <c r="ALU158"/>
      <c r="ALV158"/>
      <c r="ALW158"/>
      <c r="ALX158"/>
      <c r="ALY158"/>
      <c r="ALZ158"/>
      <c r="AMA158"/>
      <c r="AMB158"/>
      <c r="AMC158"/>
      <c r="AMD158"/>
      <c r="AME158"/>
      <c r="AMF158"/>
      <c r="AMG158"/>
      <c r="AMH158"/>
      <c r="AMI158"/>
      <c r="AMJ158"/>
      <c r="AMK158"/>
      <c r="AML158"/>
      <c r="AMM158"/>
      <c r="AMN158"/>
      <c r="AMO158"/>
      <c r="AMP158"/>
      <c r="AMQ158"/>
      <c r="AMR158"/>
      <c r="AMS158"/>
      <c r="AMT158"/>
      <c r="AMU158"/>
      <c r="AMV158"/>
      <c r="AMW158"/>
      <c r="AMX158"/>
      <c r="AMY158"/>
      <c r="AMZ158"/>
      <c r="ANA158"/>
      <c r="ANB158"/>
      <c r="ANC158"/>
      <c r="AND158"/>
      <c r="ANE158"/>
      <c r="ANF158"/>
      <c r="ANG158"/>
      <c r="ANH158"/>
      <c r="ANI158"/>
      <c r="ANJ158"/>
      <c r="ANK158"/>
      <c r="ANL158"/>
      <c r="ANM158"/>
      <c r="ANN158"/>
      <c r="ANO158"/>
      <c r="ANP158"/>
      <c r="ANQ158"/>
      <c r="ANR158"/>
      <c r="ANS158"/>
      <c r="ANT158"/>
      <c r="ANU158"/>
      <c r="ANV158"/>
      <c r="ANW158"/>
      <c r="ANX158"/>
      <c r="ANY158"/>
      <c r="ANZ158"/>
      <c r="AOA158"/>
      <c r="AOB158"/>
      <c r="AOC158"/>
      <c r="AOD158"/>
      <c r="AOE158"/>
      <c r="AOF158"/>
      <c r="AOG158"/>
      <c r="AOH158"/>
      <c r="AOI158"/>
      <c r="AOJ158"/>
      <c r="AOK158"/>
      <c r="AOL158"/>
      <c r="AOM158"/>
      <c r="AON158"/>
      <c r="AOO158"/>
      <c r="AOP158"/>
      <c r="AOQ158"/>
      <c r="AOR158"/>
      <c r="AOS158"/>
      <c r="AOT158"/>
      <c r="AOU158"/>
      <c r="AOV158"/>
      <c r="AOW158"/>
      <c r="AOX158"/>
      <c r="AOY158"/>
      <c r="AOZ158"/>
      <c r="APA158"/>
      <c r="APB158"/>
      <c r="APC158"/>
      <c r="APD158"/>
      <c r="APE158"/>
      <c r="APF158"/>
      <c r="APG158"/>
      <c r="APH158"/>
      <c r="API158"/>
      <c r="APJ158"/>
      <c r="APK158"/>
      <c r="APL158"/>
      <c r="APM158"/>
      <c r="APN158"/>
      <c r="APO158"/>
      <c r="APP158"/>
      <c r="APQ158"/>
      <c r="APR158"/>
      <c r="APS158"/>
      <c r="APT158"/>
      <c r="APU158"/>
      <c r="APV158"/>
      <c r="APW158"/>
      <c r="APX158"/>
      <c r="APY158"/>
      <c r="APZ158"/>
      <c r="AQA158"/>
      <c r="AQB158"/>
      <c r="AQC158"/>
      <c r="AQD158"/>
      <c r="AQE158"/>
      <c r="AQF158"/>
      <c r="AQG158"/>
      <c r="AQH158"/>
      <c r="AQI158"/>
      <c r="AQJ158"/>
      <c r="AQK158"/>
      <c r="AQL158"/>
      <c r="AQM158"/>
      <c r="AQN158"/>
      <c r="AQO158"/>
      <c r="AQP158"/>
      <c r="AQQ158"/>
      <c r="AQR158"/>
      <c r="AQS158"/>
      <c r="AQT158"/>
      <c r="AQU158"/>
      <c r="AQV158"/>
      <c r="AQW158"/>
      <c r="AQX158"/>
      <c r="AQY158"/>
      <c r="AQZ158"/>
      <c r="ARA158"/>
      <c r="ARB158"/>
      <c r="ARC158"/>
      <c r="ARD158"/>
      <c r="ARE158"/>
      <c r="ARF158"/>
      <c r="ARG158"/>
      <c r="ARH158"/>
      <c r="ARI158"/>
      <c r="ARJ158"/>
      <c r="ARK158"/>
      <c r="ARL158"/>
      <c r="ARM158"/>
      <c r="ARN158"/>
      <c r="ARO158"/>
      <c r="ARP158"/>
      <c r="ARQ158"/>
      <c r="ARR158"/>
      <c r="ARS158"/>
      <c r="ART158"/>
      <c r="ARU158"/>
      <c r="ARV158"/>
      <c r="ARW158"/>
      <c r="ARX158"/>
      <c r="ARY158"/>
      <c r="ARZ158"/>
      <c r="ASA158"/>
      <c r="ASB158"/>
      <c r="ASC158"/>
      <c r="ASD158"/>
      <c r="ASE158"/>
      <c r="ASF158"/>
      <c r="ASG158"/>
      <c r="ASH158"/>
      <c r="ASI158"/>
      <c r="ASJ158"/>
      <c r="ASK158"/>
      <c r="ASL158"/>
      <c r="ASM158"/>
      <c r="ASN158"/>
      <c r="ASO158"/>
      <c r="ASP158"/>
      <c r="ASQ158"/>
      <c r="ASR158"/>
      <c r="ASS158"/>
      <c r="AST158"/>
      <c r="ASU158"/>
      <c r="ASV158"/>
      <c r="ASW158"/>
      <c r="ASX158"/>
      <c r="ASY158"/>
      <c r="ASZ158"/>
      <c r="ATA158"/>
      <c r="ATB158"/>
      <c r="ATC158"/>
      <c r="ATD158"/>
      <c r="ATE158"/>
      <c r="ATF158"/>
      <c r="ATG158"/>
      <c r="ATH158"/>
      <c r="ATI158"/>
      <c r="ATJ158"/>
      <c r="ATK158"/>
      <c r="ATL158"/>
      <c r="ATM158"/>
      <c r="ATN158"/>
      <c r="ATO158"/>
      <c r="ATP158"/>
      <c r="ATQ158"/>
      <c r="ATR158"/>
      <c r="ATS158"/>
      <c r="ATT158"/>
      <c r="ATU158"/>
      <c r="ATV158"/>
      <c r="ATW158"/>
      <c r="ATX158"/>
      <c r="ATY158"/>
      <c r="ATZ158"/>
      <c r="AUA158"/>
      <c r="AUB158"/>
      <c r="AUC158"/>
      <c r="AUD158"/>
      <c r="AUE158"/>
      <c r="AUF158"/>
      <c r="AUG158"/>
      <c r="AUH158"/>
      <c r="AUI158"/>
      <c r="AUJ158"/>
      <c r="AUK158"/>
      <c r="AUL158"/>
      <c r="AUM158"/>
      <c r="AUN158"/>
      <c r="AUO158"/>
      <c r="AUP158"/>
      <c r="AUQ158"/>
      <c r="AUR158"/>
      <c r="AUS158"/>
      <c r="AUT158"/>
      <c r="AUU158"/>
      <c r="AUV158"/>
      <c r="AUW158"/>
      <c r="AUX158"/>
      <c r="AUY158"/>
      <c r="AUZ158"/>
      <c r="AVA158"/>
      <c r="AVB158"/>
      <c r="AVC158"/>
      <c r="AVD158"/>
      <c r="AVE158"/>
      <c r="AVF158"/>
      <c r="AVG158"/>
      <c r="AVH158"/>
      <c r="AVI158"/>
      <c r="AVJ158"/>
      <c r="AVK158"/>
      <c r="AVL158"/>
      <c r="AVM158"/>
      <c r="AVN158"/>
      <c r="AVO158"/>
      <c r="AVP158"/>
      <c r="AVQ158"/>
      <c r="AVR158"/>
      <c r="AVS158"/>
      <c r="AVT158"/>
      <c r="AVU158"/>
      <c r="AVV158"/>
      <c r="AVW158"/>
      <c r="AVX158"/>
      <c r="AVY158"/>
      <c r="AVZ158"/>
      <c r="AWA158"/>
      <c r="AWB158"/>
      <c r="AWC158"/>
      <c r="AWD158"/>
      <c r="AWE158"/>
      <c r="AWF158"/>
      <c r="AWG158"/>
      <c r="AWH158"/>
      <c r="AWI158"/>
      <c r="AWJ158"/>
      <c r="AWK158"/>
      <c r="AWL158"/>
      <c r="AWM158"/>
      <c r="AWN158"/>
      <c r="AWO158"/>
      <c r="AWP158"/>
      <c r="AWQ158"/>
      <c r="AWR158"/>
      <c r="AWS158"/>
      <c r="AWT158"/>
      <c r="AWU158"/>
      <c r="AWV158"/>
      <c r="AWW158"/>
      <c r="AWX158"/>
      <c r="AWY158"/>
      <c r="AWZ158"/>
      <c r="AXA158"/>
      <c r="AXB158"/>
      <c r="AXC158"/>
      <c r="AXD158"/>
      <c r="AXE158"/>
      <c r="AXF158"/>
      <c r="AXG158"/>
      <c r="AXH158"/>
      <c r="AXI158"/>
      <c r="AXJ158"/>
      <c r="AXK158"/>
      <c r="AXL158"/>
      <c r="AXM158"/>
      <c r="AXN158"/>
      <c r="AXO158"/>
      <c r="AXP158"/>
      <c r="AXQ158"/>
      <c r="AXR158"/>
      <c r="AXS158"/>
      <c r="AXT158"/>
      <c r="AXU158"/>
      <c r="AXV158"/>
      <c r="AXW158"/>
      <c r="AXX158"/>
      <c r="AXY158"/>
      <c r="AXZ158"/>
      <c r="AYA158"/>
      <c r="AYB158"/>
      <c r="AYC158"/>
      <c r="AYD158"/>
      <c r="AYE158"/>
      <c r="AYF158"/>
      <c r="AYG158"/>
      <c r="AYH158"/>
      <c r="AYI158"/>
      <c r="AYJ158"/>
      <c r="AYK158"/>
      <c r="AYL158"/>
      <c r="AYM158"/>
      <c r="AYN158"/>
      <c r="AYO158"/>
      <c r="AYP158"/>
      <c r="AYQ158"/>
      <c r="AYR158"/>
      <c r="AYS158"/>
      <c r="AYT158"/>
      <c r="AYU158"/>
      <c r="AYV158"/>
      <c r="AYW158"/>
      <c r="AYX158"/>
      <c r="AYY158"/>
      <c r="AYZ158"/>
      <c r="AZA158"/>
      <c r="AZB158"/>
      <c r="AZC158"/>
      <c r="AZD158"/>
      <c r="AZE158"/>
      <c r="AZF158"/>
      <c r="AZG158"/>
      <c r="AZH158"/>
      <c r="AZI158"/>
      <c r="AZJ158"/>
      <c r="AZK158"/>
      <c r="AZL158"/>
      <c r="AZM158"/>
      <c r="AZN158"/>
      <c r="AZO158"/>
      <c r="AZP158"/>
      <c r="AZQ158"/>
      <c r="AZR158"/>
      <c r="AZS158"/>
      <c r="AZT158"/>
      <c r="AZU158"/>
      <c r="AZV158"/>
      <c r="AZW158"/>
      <c r="AZX158"/>
      <c r="AZY158"/>
      <c r="AZZ158"/>
      <c r="BAA158"/>
      <c r="BAB158"/>
      <c r="BAC158"/>
      <c r="BAD158"/>
      <c r="BAE158"/>
      <c r="BAF158"/>
      <c r="BAG158"/>
      <c r="BAH158"/>
      <c r="BAI158"/>
      <c r="BAJ158"/>
      <c r="BAK158"/>
      <c r="BAL158"/>
      <c r="BAM158"/>
      <c r="BAN158"/>
      <c r="BAO158"/>
      <c r="BAP158"/>
      <c r="BAQ158"/>
      <c r="BAR158"/>
      <c r="BAS158"/>
      <c r="BAT158"/>
      <c r="BAU158"/>
      <c r="BAV158"/>
      <c r="BAW158"/>
      <c r="BAX158"/>
      <c r="BAY158"/>
      <c r="BAZ158"/>
      <c r="BBA158"/>
      <c r="BBB158"/>
      <c r="BBC158"/>
      <c r="BBD158"/>
      <c r="BBE158"/>
      <c r="BBF158"/>
      <c r="BBG158"/>
      <c r="BBH158"/>
      <c r="BBI158"/>
      <c r="BBJ158"/>
      <c r="BBK158"/>
      <c r="BBL158"/>
      <c r="BBM158"/>
      <c r="BBN158"/>
      <c r="BBO158"/>
      <c r="BBP158"/>
      <c r="BBQ158"/>
      <c r="BBR158"/>
      <c r="BBS158"/>
      <c r="BBT158"/>
      <c r="BBU158"/>
      <c r="BBV158"/>
      <c r="BBW158"/>
      <c r="BBX158"/>
      <c r="BBY158"/>
      <c r="BBZ158"/>
      <c r="BCA158"/>
      <c r="BCB158"/>
      <c r="BCC158"/>
      <c r="BCD158"/>
      <c r="BCE158"/>
      <c r="BCF158"/>
      <c r="BCG158"/>
      <c r="BCH158"/>
      <c r="BCI158"/>
      <c r="BCJ158"/>
      <c r="BCK158"/>
      <c r="BCL158"/>
      <c r="BCM158"/>
      <c r="BCN158"/>
      <c r="BCO158"/>
      <c r="BCP158"/>
      <c r="BCQ158"/>
      <c r="BCR158"/>
      <c r="BCS158"/>
      <c r="BCT158"/>
      <c r="BCU158"/>
      <c r="BCV158"/>
      <c r="BCW158"/>
      <c r="BCX158"/>
      <c r="BCY158"/>
      <c r="BCZ158"/>
      <c r="BDA158"/>
      <c r="BDB158"/>
      <c r="BDC158"/>
      <c r="BDD158"/>
      <c r="BDE158"/>
      <c r="BDF158"/>
      <c r="BDG158"/>
      <c r="BDH158"/>
      <c r="BDI158"/>
      <c r="BDJ158"/>
      <c r="BDK158"/>
      <c r="BDL158"/>
      <c r="BDM158"/>
      <c r="BDN158"/>
      <c r="BDO158"/>
      <c r="BDP158"/>
      <c r="BDQ158"/>
      <c r="BDR158"/>
      <c r="BDS158"/>
      <c r="BDT158"/>
      <c r="BDU158"/>
      <c r="BDV158"/>
      <c r="BDW158"/>
      <c r="BDX158"/>
      <c r="BDY158"/>
      <c r="BDZ158"/>
      <c r="BEA158"/>
      <c r="BEB158"/>
      <c r="BEC158"/>
      <c r="BED158"/>
      <c r="BEE158"/>
      <c r="BEF158"/>
      <c r="BEG158"/>
      <c r="BEH158"/>
      <c r="BEI158"/>
      <c r="BEJ158"/>
      <c r="BEK158"/>
      <c r="BEL158"/>
      <c r="BEM158"/>
      <c r="BEN158"/>
      <c r="BEO158"/>
      <c r="BEP158"/>
      <c r="BEQ158"/>
      <c r="BER158"/>
      <c r="BES158"/>
      <c r="BET158"/>
      <c r="BEU158"/>
      <c r="BEV158"/>
      <c r="BEW158"/>
      <c r="BEX158"/>
      <c r="BEY158"/>
      <c r="BEZ158"/>
      <c r="BFA158"/>
      <c r="BFB158"/>
      <c r="BFC158"/>
      <c r="BFD158"/>
      <c r="BFE158"/>
      <c r="BFF158"/>
      <c r="BFG158"/>
      <c r="BFH158"/>
      <c r="BFI158"/>
      <c r="BFJ158"/>
      <c r="BFK158"/>
      <c r="BFL158"/>
      <c r="BFM158"/>
      <c r="BFN158"/>
      <c r="BFO158"/>
      <c r="BFP158"/>
      <c r="BFQ158"/>
      <c r="BFR158"/>
      <c r="BFS158"/>
      <c r="BFT158"/>
      <c r="BFU158"/>
      <c r="BFV158"/>
      <c r="BFW158"/>
      <c r="BFX158"/>
      <c r="BFY158"/>
      <c r="BFZ158"/>
      <c r="BGA158"/>
      <c r="BGB158"/>
      <c r="BGC158"/>
      <c r="BGD158"/>
      <c r="BGE158"/>
      <c r="BGF158"/>
      <c r="BGG158"/>
      <c r="BGH158"/>
      <c r="BGI158"/>
      <c r="BGJ158"/>
      <c r="BGK158"/>
      <c r="BGL158"/>
      <c r="BGM158"/>
      <c r="BGN158"/>
      <c r="BGO158"/>
      <c r="BGP158"/>
      <c r="BGQ158"/>
      <c r="BGR158"/>
      <c r="BGS158"/>
      <c r="BGT158"/>
      <c r="BGU158"/>
      <c r="BGV158"/>
      <c r="BGW158"/>
      <c r="BGX158"/>
      <c r="BGY158"/>
      <c r="BGZ158"/>
      <c r="BHA158"/>
      <c r="BHB158"/>
      <c r="BHC158"/>
      <c r="BHD158"/>
      <c r="BHE158"/>
      <c r="BHF158"/>
      <c r="BHG158"/>
      <c r="BHH158"/>
      <c r="BHI158"/>
      <c r="BHJ158"/>
      <c r="BHK158"/>
      <c r="BHL158"/>
      <c r="BHM158"/>
      <c r="BHN158"/>
      <c r="BHO158"/>
      <c r="BHP158"/>
      <c r="BHQ158"/>
      <c r="BHR158"/>
      <c r="BHS158"/>
      <c r="BHT158"/>
      <c r="BHU158"/>
      <c r="BHV158"/>
      <c r="BHW158"/>
      <c r="BHX158"/>
      <c r="BHY158"/>
      <c r="BHZ158"/>
      <c r="BIA158"/>
      <c r="BIB158"/>
      <c r="BIC158"/>
      <c r="BID158"/>
      <c r="BIE158"/>
      <c r="BIF158"/>
      <c r="BIG158"/>
      <c r="BIH158"/>
      <c r="BII158"/>
      <c r="BIJ158"/>
      <c r="BIK158"/>
      <c r="BIL158"/>
      <c r="BIM158"/>
      <c r="BIN158"/>
      <c r="BIO158"/>
      <c r="BIP158"/>
      <c r="BIQ158"/>
      <c r="BIR158"/>
      <c r="BIS158"/>
      <c r="BIT158"/>
      <c r="BIU158"/>
      <c r="BIV158"/>
      <c r="BIW158"/>
      <c r="BIX158"/>
      <c r="BIY158"/>
      <c r="BIZ158"/>
      <c r="BJA158"/>
      <c r="BJB158"/>
      <c r="BJC158"/>
      <c r="BJD158"/>
      <c r="BJE158"/>
      <c r="BJF158"/>
      <c r="BJG158"/>
      <c r="BJH158"/>
      <c r="BJI158"/>
      <c r="BJJ158"/>
      <c r="BJK158"/>
      <c r="BJL158"/>
      <c r="BJM158"/>
      <c r="BJN158"/>
      <c r="BJO158"/>
      <c r="BJP158"/>
      <c r="BJQ158"/>
      <c r="BJR158"/>
      <c r="BJS158"/>
      <c r="BJT158"/>
      <c r="BJU158"/>
      <c r="BJV158"/>
      <c r="BJW158"/>
      <c r="BJX158"/>
      <c r="BJY158"/>
      <c r="BJZ158"/>
      <c r="BKA158"/>
      <c r="BKB158"/>
      <c r="BKC158"/>
      <c r="BKD158"/>
      <c r="BKE158"/>
      <c r="BKF158"/>
      <c r="BKG158"/>
      <c r="BKH158"/>
      <c r="BKI158"/>
      <c r="BKJ158"/>
      <c r="BKK158"/>
      <c r="BKL158"/>
      <c r="BKM158"/>
      <c r="BKN158"/>
      <c r="BKO158"/>
      <c r="BKP158"/>
      <c r="BKQ158"/>
      <c r="BKR158"/>
      <c r="BKS158"/>
      <c r="BKT158"/>
      <c r="BKU158"/>
      <c r="BKV158"/>
      <c r="BKW158"/>
      <c r="BKX158"/>
      <c r="BKY158"/>
      <c r="BKZ158"/>
      <c r="BLA158"/>
      <c r="BLB158"/>
      <c r="BLC158"/>
      <c r="BLD158"/>
      <c r="BLE158"/>
      <c r="BLF158"/>
      <c r="BLG158"/>
      <c r="BLH158"/>
      <c r="BLI158"/>
      <c r="BLJ158"/>
      <c r="BLK158"/>
      <c r="BLL158"/>
      <c r="BLM158"/>
      <c r="BLN158"/>
      <c r="BLO158"/>
      <c r="BLP158"/>
      <c r="BLQ158"/>
      <c r="BLR158"/>
      <c r="BLS158"/>
      <c r="BLT158"/>
      <c r="BLU158"/>
      <c r="BLV158"/>
      <c r="BLW158"/>
      <c r="BLX158"/>
      <c r="BLY158"/>
      <c r="BLZ158"/>
      <c r="BMA158"/>
      <c r="BMB158"/>
      <c r="BMC158"/>
      <c r="BMD158"/>
      <c r="BME158"/>
      <c r="BMF158"/>
      <c r="BMG158"/>
      <c r="BMH158"/>
      <c r="BMI158"/>
      <c r="BMJ158"/>
      <c r="BMK158"/>
      <c r="BML158"/>
      <c r="BMM158"/>
      <c r="BMN158"/>
      <c r="BMO158"/>
      <c r="BMP158"/>
      <c r="BMQ158"/>
      <c r="BMR158"/>
      <c r="BMS158"/>
      <c r="BMT158"/>
      <c r="BMU158"/>
      <c r="BMV158"/>
      <c r="BMW158"/>
      <c r="BMX158"/>
      <c r="BMY158"/>
      <c r="BMZ158"/>
      <c r="BNA158"/>
      <c r="BNB158"/>
      <c r="BNC158"/>
      <c r="BND158"/>
      <c r="BNE158"/>
      <c r="BNF158"/>
      <c r="BNG158"/>
      <c r="BNH158"/>
      <c r="BNI158"/>
      <c r="BNJ158"/>
      <c r="BNK158"/>
      <c r="BNL158"/>
      <c r="BNM158"/>
      <c r="BNN158"/>
      <c r="BNO158"/>
      <c r="BNP158"/>
      <c r="BNQ158"/>
      <c r="BNR158"/>
      <c r="BNS158"/>
      <c r="BNT158"/>
      <c r="BNU158"/>
      <c r="BNV158"/>
      <c r="BNW158"/>
      <c r="BNX158"/>
      <c r="BNY158"/>
      <c r="BNZ158"/>
      <c r="BOA158"/>
      <c r="BOB158"/>
      <c r="BOC158"/>
      <c r="BOD158"/>
      <c r="BOE158"/>
      <c r="BOF158"/>
      <c r="BOG158"/>
      <c r="BOH158"/>
      <c r="BOI158"/>
      <c r="BOJ158"/>
      <c r="BOK158"/>
      <c r="BOL158"/>
      <c r="BOM158"/>
      <c r="BON158"/>
      <c r="BOO158"/>
      <c r="BOP158"/>
      <c r="BOQ158"/>
      <c r="BOR158"/>
      <c r="BOS158"/>
      <c r="BOT158"/>
      <c r="BOU158"/>
      <c r="BOV158"/>
      <c r="BOW158"/>
      <c r="BOX158"/>
      <c r="BOY158"/>
      <c r="BOZ158"/>
      <c r="BPA158"/>
      <c r="BPB158"/>
      <c r="BPC158"/>
      <c r="BPD158"/>
      <c r="BPE158"/>
      <c r="BPF158"/>
      <c r="BPG158"/>
      <c r="BPH158"/>
      <c r="BPI158"/>
      <c r="BPJ158"/>
      <c r="BPK158"/>
      <c r="BPL158"/>
      <c r="BPM158"/>
      <c r="BPN158"/>
      <c r="BPO158"/>
      <c r="BPP158"/>
      <c r="BPQ158"/>
      <c r="BPR158"/>
      <c r="BPS158"/>
      <c r="BPT158"/>
      <c r="BPU158"/>
      <c r="BPV158"/>
      <c r="BPW158"/>
      <c r="BPX158"/>
      <c r="BPY158"/>
      <c r="BPZ158"/>
      <c r="BQA158"/>
      <c r="BQB158"/>
      <c r="BQC158"/>
      <c r="BQD158"/>
      <c r="BQE158"/>
      <c r="BQF158"/>
      <c r="BQG158"/>
      <c r="BQH158"/>
      <c r="BQI158"/>
      <c r="BQJ158"/>
      <c r="BQK158"/>
      <c r="BQL158"/>
      <c r="BQM158"/>
      <c r="BQN158"/>
      <c r="BQO158"/>
      <c r="BQP158"/>
      <c r="BQQ158"/>
      <c r="BQR158"/>
      <c r="BQS158"/>
      <c r="BQT158"/>
      <c r="BQU158"/>
      <c r="BQV158"/>
      <c r="BQW158"/>
      <c r="BQX158"/>
      <c r="BQY158"/>
      <c r="BQZ158"/>
      <c r="BRA158"/>
      <c r="BRB158"/>
      <c r="BRC158"/>
      <c r="BRD158"/>
      <c r="BRE158"/>
      <c r="BRF158"/>
      <c r="BRG158"/>
      <c r="BRH158"/>
      <c r="BRI158"/>
      <c r="BRJ158"/>
      <c r="BRK158"/>
      <c r="BRL158"/>
      <c r="BRM158"/>
      <c r="BRN158"/>
      <c r="BRO158"/>
      <c r="BRP158"/>
      <c r="BRQ158"/>
      <c r="BRR158"/>
      <c r="BRS158"/>
      <c r="BRT158"/>
      <c r="BRU158"/>
      <c r="BRV158"/>
      <c r="BRW158"/>
      <c r="BRX158"/>
      <c r="BRY158"/>
      <c r="BRZ158"/>
      <c r="BSA158"/>
      <c r="BSB158"/>
      <c r="BSC158"/>
      <c r="BSD158"/>
      <c r="BSE158"/>
      <c r="BSF158"/>
      <c r="BSG158"/>
      <c r="BSH158"/>
      <c r="BSI158"/>
      <c r="BSJ158"/>
      <c r="BSK158"/>
      <c r="BSL158"/>
      <c r="BSM158"/>
      <c r="BSN158"/>
      <c r="BSO158"/>
      <c r="BSP158"/>
      <c r="BSQ158"/>
      <c r="BSR158"/>
      <c r="BSS158"/>
      <c r="BST158"/>
      <c r="BSU158"/>
      <c r="BSV158"/>
      <c r="BSW158"/>
      <c r="BSX158"/>
      <c r="BSY158"/>
      <c r="BSZ158"/>
      <c r="BTA158"/>
      <c r="BTB158"/>
      <c r="BTC158"/>
      <c r="BTD158"/>
      <c r="BTE158"/>
      <c r="BTF158"/>
      <c r="BTG158"/>
      <c r="BTH158"/>
      <c r="BTI158"/>
      <c r="BTJ158"/>
      <c r="BTK158"/>
      <c r="BTL158"/>
      <c r="BTM158"/>
      <c r="BTN158"/>
      <c r="BTO158"/>
      <c r="BTP158"/>
      <c r="BTQ158"/>
      <c r="BTR158"/>
      <c r="BTS158"/>
      <c r="BTT158"/>
      <c r="BTU158"/>
      <c r="BTV158"/>
      <c r="BTW158"/>
      <c r="BTX158"/>
      <c r="BTY158"/>
      <c r="BTZ158"/>
      <c r="BUA158"/>
      <c r="BUB158"/>
      <c r="BUC158"/>
      <c r="BUD158"/>
      <c r="BUE158"/>
      <c r="BUF158"/>
      <c r="BUG158"/>
      <c r="BUH158"/>
      <c r="BUI158"/>
      <c r="BUJ158"/>
      <c r="BUK158"/>
      <c r="BUL158"/>
      <c r="BUM158"/>
      <c r="BUN158"/>
      <c r="BUO158"/>
      <c r="BUP158"/>
      <c r="BUQ158"/>
      <c r="BUR158"/>
      <c r="BUS158"/>
      <c r="BUT158"/>
      <c r="BUU158"/>
      <c r="BUV158"/>
      <c r="BUW158"/>
      <c r="BUX158"/>
      <c r="BUY158"/>
      <c r="BUZ158"/>
      <c r="BVA158"/>
      <c r="BVB158"/>
      <c r="BVC158"/>
      <c r="BVD158"/>
      <c r="BVE158"/>
      <c r="BVF158"/>
      <c r="BVG158"/>
      <c r="BVH158"/>
      <c r="BVI158"/>
      <c r="BVJ158"/>
      <c r="BVK158"/>
      <c r="BVL158"/>
      <c r="BVM158"/>
      <c r="BVN158"/>
      <c r="BVO158"/>
      <c r="BVP158"/>
      <c r="BVQ158"/>
      <c r="BVR158"/>
      <c r="BVS158"/>
      <c r="BVT158"/>
      <c r="BVU158"/>
      <c r="BVV158"/>
      <c r="BVW158"/>
      <c r="BVX158"/>
      <c r="BVY158"/>
      <c r="BVZ158"/>
      <c r="BWA158"/>
      <c r="BWB158"/>
      <c r="BWC158"/>
      <c r="BWD158"/>
      <c r="BWE158"/>
      <c r="BWF158"/>
      <c r="BWG158"/>
      <c r="BWH158"/>
      <c r="BWI158"/>
      <c r="BWJ158"/>
      <c r="BWK158"/>
      <c r="BWL158"/>
      <c r="BWM158"/>
      <c r="BWN158"/>
      <c r="BWO158"/>
      <c r="BWP158"/>
      <c r="BWQ158"/>
      <c r="BWR158"/>
      <c r="BWS158"/>
      <c r="BWT158"/>
      <c r="BWU158"/>
      <c r="BWV158"/>
      <c r="BWW158"/>
      <c r="BWX158"/>
      <c r="BWY158"/>
      <c r="BWZ158"/>
      <c r="BXA158"/>
      <c r="BXB158"/>
      <c r="BXC158"/>
      <c r="BXD158"/>
      <c r="BXE158"/>
      <c r="BXF158"/>
      <c r="BXG158"/>
      <c r="BXH158"/>
      <c r="BXI158"/>
      <c r="BXJ158"/>
      <c r="BXK158"/>
      <c r="BXL158"/>
      <c r="BXM158"/>
      <c r="BXN158"/>
      <c r="BXO158"/>
      <c r="BXP158"/>
      <c r="BXQ158"/>
      <c r="BXR158"/>
      <c r="BXS158"/>
      <c r="BXT158"/>
      <c r="BXU158"/>
      <c r="BXV158"/>
      <c r="BXW158"/>
      <c r="BXX158"/>
      <c r="BXY158"/>
      <c r="BXZ158"/>
      <c r="BYA158"/>
      <c r="BYB158"/>
      <c r="BYC158"/>
      <c r="BYD158"/>
      <c r="BYE158"/>
      <c r="BYF158"/>
      <c r="BYG158"/>
      <c r="BYH158"/>
      <c r="BYI158"/>
      <c r="BYJ158"/>
      <c r="BYK158"/>
      <c r="BYL158"/>
      <c r="BYM158"/>
      <c r="BYN158"/>
      <c r="BYO158"/>
      <c r="BYP158"/>
      <c r="BYQ158"/>
      <c r="BYR158"/>
      <c r="BYS158"/>
      <c r="BYT158"/>
      <c r="BYU158"/>
      <c r="BYV158"/>
      <c r="BYW158"/>
      <c r="BYX158"/>
      <c r="BYY158"/>
      <c r="BYZ158"/>
      <c r="BZA158"/>
      <c r="BZB158"/>
      <c r="BZC158"/>
      <c r="BZD158"/>
      <c r="BZE158"/>
      <c r="BZF158"/>
      <c r="BZG158"/>
      <c r="BZH158"/>
      <c r="BZI158"/>
      <c r="BZJ158"/>
      <c r="BZK158"/>
      <c r="BZL158"/>
      <c r="BZM158"/>
      <c r="BZN158"/>
      <c r="BZO158"/>
      <c r="BZP158"/>
      <c r="BZQ158"/>
      <c r="BZR158"/>
      <c r="BZS158"/>
      <c r="BZT158"/>
      <c r="BZU158"/>
      <c r="BZV158"/>
      <c r="BZW158"/>
      <c r="BZX158"/>
      <c r="BZY158"/>
      <c r="BZZ158"/>
      <c r="CAA158"/>
      <c r="CAB158"/>
      <c r="CAC158"/>
      <c r="CAD158"/>
      <c r="CAE158"/>
      <c r="CAF158"/>
      <c r="CAG158"/>
      <c r="CAH158"/>
      <c r="CAI158"/>
      <c r="CAJ158"/>
      <c r="CAK158"/>
      <c r="CAL158"/>
      <c r="CAM158"/>
      <c r="CAN158"/>
      <c r="CAO158"/>
      <c r="CAP158"/>
      <c r="CAQ158"/>
      <c r="CAR158"/>
      <c r="CAS158"/>
      <c r="CAT158"/>
      <c r="CAU158"/>
      <c r="CAV158"/>
      <c r="CAW158"/>
      <c r="CAX158"/>
      <c r="CAY158"/>
      <c r="CAZ158"/>
      <c r="CBA158"/>
      <c r="CBB158"/>
      <c r="CBC158"/>
      <c r="CBD158"/>
      <c r="CBE158"/>
      <c r="CBF158"/>
      <c r="CBG158"/>
      <c r="CBH158"/>
      <c r="CBI158"/>
      <c r="CBJ158"/>
      <c r="CBK158"/>
      <c r="CBL158"/>
      <c r="CBM158"/>
      <c r="CBN158"/>
      <c r="CBO158"/>
      <c r="CBP158"/>
      <c r="CBQ158"/>
      <c r="CBR158"/>
      <c r="CBS158"/>
      <c r="CBT158"/>
      <c r="CBU158"/>
      <c r="CBV158"/>
      <c r="CBW158"/>
      <c r="CBX158"/>
      <c r="CBY158"/>
      <c r="CBZ158"/>
      <c r="CCA158"/>
      <c r="CCB158"/>
      <c r="CCC158"/>
      <c r="CCD158"/>
      <c r="CCE158"/>
      <c r="CCF158"/>
      <c r="CCG158"/>
      <c r="CCH158"/>
      <c r="CCI158"/>
      <c r="CCJ158"/>
      <c r="CCK158"/>
      <c r="CCL158"/>
      <c r="CCM158"/>
      <c r="CCN158"/>
      <c r="CCO158"/>
      <c r="CCP158"/>
      <c r="CCQ158"/>
      <c r="CCR158"/>
      <c r="CCS158"/>
      <c r="CCT158"/>
      <c r="CCU158"/>
      <c r="CCV158"/>
      <c r="CCW158"/>
      <c r="CCX158"/>
      <c r="CCY158"/>
      <c r="CCZ158"/>
      <c r="CDA158"/>
      <c r="CDB158"/>
      <c r="CDC158"/>
      <c r="CDD158"/>
      <c r="CDE158"/>
      <c r="CDF158"/>
      <c r="CDG158"/>
      <c r="CDH158"/>
      <c r="CDI158"/>
      <c r="CDJ158"/>
      <c r="CDK158"/>
      <c r="CDL158"/>
      <c r="CDM158"/>
      <c r="CDN158"/>
      <c r="CDO158"/>
      <c r="CDP158"/>
      <c r="CDQ158"/>
      <c r="CDR158"/>
      <c r="CDS158"/>
      <c r="CDT158"/>
      <c r="CDU158"/>
      <c r="CDV158"/>
      <c r="CDW158"/>
      <c r="CDX158"/>
      <c r="CDY158"/>
      <c r="CDZ158"/>
      <c r="CEA158"/>
      <c r="CEB158"/>
      <c r="CEC158"/>
      <c r="CED158"/>
      <c r="CEE158"/>
      <c r="CEF158"/>
      <c r="CEG158"/>
      <c r="CEH158"/>
      <c r="CEI158"/>
      <c r="CEJ158"/>
      <c r="CEK158"/>
      <c r="CEL158"/>
      <c r="CEM158"/>
      <c r="CEN158"/>
      <c r="CEO158"/>
      <c r="CEP158"/>
      <c r="CEQ158"/>
      <c r="CER158"/>
      <c r="CES158"/>
      <c r="CET158"/>
      <c r="CEU158"/>
      <c r="CEV158"/>
      <c r="CEW158"/>
      <c r="CEX158"/>
      <c r="CEY158"/>
      <c r="CEZ158"/>
      <c r="CFA158"/>
      <c r="CFB158"/>
      <c r="CFC158"/>
      <c r="CFD158"/>
      <c r="CFE158"/>
      <c r="CFF158"/>
      <c r="CFG158"/>
      <c r="CFH158"/>
      <c r="CFI158"/>
      <c r="CFJ158"/>
      <c r="CFK158"/>
      <c r="CFL158"/>
      <c r="CFM158"/>
      <c r="CFN158"/>
      <c r="CFO158"/>
      <c r="CFP158"/>
      <c r="CFQ158"/>
      <c r="CFR158"/>
      <c r="CFS158"/>
      <c r="CFT158"/>
      <c r="CFU158"/>
      <c r="CFV158"/>
      <c r="CFW158"/>
      <c r="CFX158"/>
      <c r="CFY158"/>
      <c r="CFZ158"/>
      <c r="CGA158"/>
      <c r="CGB158"/>
      <c r="CGC158"/>
      <c r="CGD158"/>
      <c r="CGE158"/>
      <c r="CGF158"/>
      <c r="CGG158"/>
      <c r="CGH158"/>
      <c r="CGI158"/>
      <c r="CGJ158"/>
      <c r="CGK158"/>
      <c r="CGL158"/>
      <c r="CGM158"/>
      <c r="CGN158"/>
      <c r="CGO158"/>
      <c r="CGP158"/>
      <c r="CGQ158"/>
      <c r="CGR158"/>
      <c r="CGS158"/>
      <c r="CGT158"/>
      <c r="CGU158"/>
      <c r="CGV158"/>
      <c r="CGW158"/>
      <c r="CGX158"/>
      <c r="CGY158"/>
      <c r="CGZ158"/>
      <c r="CHA158"/>
      <c r="CHB158"/>
      <c r="CHC158"/>
      <c r="CHD158"/>
      <c r="CHE158"/>
      <c r="CHF158"/>
      <c r="CHG158"/>
      <c r="CHH158"/>
      <c r="CHI158"/>
      <c r="CHJ158"/>
      <c r="CHK158"/>
      <c r="CHL158"/>
      <c r="CHM158"/>
      <c r="CHN158"/>
      <c r="CHO158"/>
      <c r="CHP158"/>
      <c r="CHQ158"/>
      <c r="CHR158"/>
      <c r="CHS158"/>
      <c r="CHT158"/>
      <c r="CHU158"/>
      <c r="CHV158"/>
      <c r="CHW158"/>
      <c r="CHX158"/>
      <c r="CHY158"/>
      <c r="CHZ158"/>
      <c r="CIA158"/>
      <c r="CIB158"/>
      <c r="CIC158"/>
      <c r="CID158"/>
      <c r="CIE158"/>
      <c r="CIF158"/>
      <c r="CIG158"/>
      <c r="CIH158"/>
      <c r="CII158"/>
      <c r="CIJ158"/>
      <c r="CIK158"/>
      <c r="CIL158"/>
      <c r="CIM158"/>
      <c r="CIN158"/>
      <c r="CIO158"/>
      <c r="CIP158"/>
      <c r="CIQ158"/>
      <c r="CIR158"/>
      <c r="CIS158"/>
      <c r="CIT158"/>
      <c r="CIU158"/>
      <c r="CIV158"/>
      <c r="CIW158"/>
      <c r="CIX158"/>
      <c r="CIY158"/>
      <c r="CIZ158"/>
      <c r="CJA158"/>
      <c r="CJB158"/>
      <c r="CJC158"/>
      <c r="CJD158"/>
      <c r="CJE158"/>
      <c r="CJF158"/>
      <c r="CJG158"/>
      <c r="CJH158"/>
      <c r="CJI158"/>
      <c r="CJJ158"/>
      <c r="CJK158"/>
      <c r="CJL158"/>
      <c r="CJM158"/>
      <c r="CJN158"/>
      <c r="CJO158"/>
      <c r="CJP158"/>
      <c r="CJQ158"/>
      <c r="CJR158"/>
      <c r="CJS158"/>
      <c r="CJT158"/>
      <c r="CJU158"/>
      <c r="CJV158"/>
      <c r="CJW158"/>
      <c r="CJX158"/>
      <c r="CJY158"/>
      <c r="CJZ158"/>
      <c r="CKA158"/>
      <c r="CKB158"/>
      <c r="CKC158"/>
      <c r="CKD158"/>
      <c r="CKE158"/>
      <c r="CKF158"/>
      <c r="CKG158"/>
      <c r="CKH158"/>
      <c r="CKI158"/>
      <c r="CKJ158"/>
      <c r="CKK158"/>
      <c r="CKL158"/>
      <c r="CKM158"/>
      <c r="CKN158"/>
      <c r="CKO158"/>
      <c r="CKP158"/>
      <c r="CKQ158"/>
      <c r="CKR158"/>
      <c r="CKS158"/>
      <c r="CKT158"/>
      <c r="CKU158"/>
      <c r="CKV158"/>
      <c r="CKW158"/>
      <c r="CKX158"/>
      <c r="CKY158"/>
      <c r="CKZ158"/>
      <c r="CLA158"/>
      <c r="CLB158"/>
      <c r="CLC158"/>
      <c r="CLD158"/>
      <c r="CLE158"/>
      <c r="CLF158"/>
      <c r="CLG158"/>
      <c r="CLH158"/>
      <c r="CLI158"/>
      <c r="CLJ158"/>
      <c r="CLK158"/>
      <c r="CLL158"/>
      <c r="CLM158"/>
      <c r="CLN158"/>
      <c r="CLO158"/>
      <c r="CLP158"/>
      <c r="CLQ158"/>
      <c r="CLR158"/>
      <c r="CLS158"/>
      <c r="CLT158"/>
      <c r="CLU158"/>
      <c r="CLV158"/>
      <c r="CLW158"/>
      <c r="CLX158"/>
      <c r="CLY158"/>
      <c r="CLZ158"/>
      <c r="CMA158"/>
      <c r="CMB158"/>
      <c r="CMC158"/>
      <c r="CMD158"/>
      <c r="CME158"/>
      <c r="CMF158"/>
      <c r="CMG158"/>
      <c r="CMH158"/>
      <c r="CMI158"/>
      <c r="CMJ158"/>
      <c r="CMK158"/>
      <c r="CML158"/>
      <c r="CMM158"/>
      <c r="CMN158"/>
      <c r="CMO158"/>
      <c r="CMP158"/>
      <c r="CMQ158"/>
      <c r="CMR158"/>
      <c r="CMS158"/>
      <c r="CMT158"/>
      <c r="CMU158"/>
      <c r="CMV158"/>
      <c r="CMW158"/>
      <c r="CMX158"/>
      <c r="CMY158"/>
      <c r="CMZ158"/>
      <c r="CNA158"/>
      <c r="CNB158"/>
      <c r="CNC158"/>
      <c r="CND158"/>
      <c r="CNE158"/>
      <c r="CNF158"/>
      <c r="CNG158"/>
      <c r="CNH158"/>
      <c r="CNI158"/>
      <c r="CNJ158"/>
      <c r="CNK158"/>
      <c r="CNL158"/>
      <c r="CNM158"/>
      <c r="CNN158"/>
      <c r="CNO158"/>
      <c r="CNP158"/>
      <c r="CNQ158"/>
      <c r="CNR158"/>
      <c r="CNS158"/>
      <c r="CNT158"/>
      <c r="CNU158"/>
      <c r="CNV158"/>
      <c r="CNW158"/>
      <c r="CNX158"/>
      <c r="CNY158"/>
      <c r="CNZ158"/>
      <c r="COA158"/>
      <c r="COB158"/>
      <c r="COC158"/>
      <c r="COD158"/>
      <c r="COE158"/>
      <c r="COF158"/>
      <c r="COG158"/>
      <c r="COH158"/>
      <c r="COI158"/>
      <c r="COJ158"/>
      <c r="COK158"/>
      <c r="COL158"/>
      <c r="COM158"/>
      <c r="CON158"/>
      <c r="COO158"/>
      <c r="COP158"/>
      <c r="COQ158"/>
      <c r="COR158"/>
      <c r="COS158"/>
      <c r="COT158"/>
      <c r="COU158"/>
      <c r="COV158"/>
      <c r="COW158"/>
      <c r="COX158"/>
      <c r="COY158"/>
      <c r="COZ158"/>
      <c r="CPA158"/>
      <c r="CPB158"/>
      <c r="CPC158"/>
      <c r="CPD158"/>
      <c r="CPE158"/>
      <c r="CPF158"/>
      <c r="CPG158"/>
      <c r="CPH158"/>
      <c r="CPI158"/>
      <c r="CPJ158"/>
      <c r="CPK158"/>
      <c r="CPL158"/>
      <c r="CPM158"/>
      <c r="CPN158"/>
      <c r="CPO158"/>
      <c r="CPP158"/>
      <c r="CPQ158"/>
      <c r="CPR158"/>
      <c r="CPS158"/>
      <c r="CPT158"/>
      <c r="CPU158"/>
      <c r="CPV158"/>
      <c r="CPW158"/>
      <c r="CPX158"/>
      <c r="CPY158"/>
      <c r="CPZ158"/>
      <c r="CQA158"/>
      <c r="CQB158"/>
      <c r="CQC158"/>
      <c r="CQD158"/>
      <c r="CQE158"/>
      <c r="CQF158"/>
      <c r="CQG158"/>
      <c r="CQH158"/>
      <c r="CQI158"/>
      <c r="CQJ158"/>
      <c r="CQK158"/>
      <c r="CQL158"/>
      <c r="CQM158"/>
      <c r="CQN158"/>
      <c r="CQO158"/>
      <c r="CQP158"/>
      <c r="CQQ158"/>
      <c r="CQR158"/>
      <c r="CQS158"/>
      <c r="CQT158"/>
      <c r="CQU158"/>
      <c r="CQV158"/>
      <c r="CQW158"/>
      <c r="CQX158"/>
      <c r="CQY158"/>
      <c r="CQZ158"/>
      <c r="CRA158"/>
      <c r="CRB158"/>
      <c r="CRC158"/>
      <c r="CRD158"/>
      <c r="CRE158"/>
      <c r="CRF158"/>
      <c r="CRG158"/>
      <c r="CRH158"/>
      <c r="CRI158"/>
      <c r="CRJ158"/>
      <c r="CRK158"/>
      <c r="CRL158"/>
      <c r="CRM158"/>
      <c r="CRN158"/>
      <c r="CRO158"/>
      <c r="CRP158"/>
      <c r="CRQ158"/>
      <c r="CRR158"/>
      <c r="CRS158"/>
      <c r="CRT158"/>
      <c r="CRU158"/>
      <c r="CRV158"/>
      <c r="CRW158"/>
      <c r="CRX158"/>
      <c r="CRY158"/>
      <c r="CRZ158"/>
      <c r="CSA158"/>
      <c r="CSB158"/>
      <c r="CSC158"/>
      <c r="CSD158"/>
      <c r="CSE158"/>
      <c r="CSF158"/>
      <c r="CSG158"/>
      <c r="CSH158"/>
      <c r="CSI158"/>
      <c r="CSJ158"/>
      <c r="CSK158"/>
      <c r="CSL158"/>
      <c r="CSM158"/>
      <c r="CSN158"/>
      <c r="CSO158"/>
      <c r="CSP158"/>
      <c r="CSQ158"/>
      <c r="CSR158"/>
      <c r="CSS158"/>
      <c r="CST158"/>
      <c r="CSU158"/>
      <c r="CSV158"/>
      <c r="CSW158"/>
      <c r="CSX158"/>
      <c r="CSY158"/>
      <c r="CSZ158"/>
      <c r="CTA158"/>
      <c r="CTB158"/>
      <c r="CTC158"/>
      <c r="CTD158"/>
      <c r="CTE158"/>
      <c r="CTF158"/>
      <c r="CTG158"/>
      <c r="CTH158"/>
      <c r="CTI158"/>
      <c r="CTJ158"/>
      <c r="CTK158"/>
      <c r="CTL158"/>
      <c r="CTM158"/>
      <c r="CTN158"/>
      <c r="CTO158"/>
      <c r="CTP158"/>
      <c r="CTQ158"/>
      <c r="CTR158"/>
      <c r="CTS158"/>
      <c r="CTT158"/>
      <c r="CTU158"/>
      <c r="CTV158"/>
      <c r="CTW158"/>
      <c r="CTX158"/>
      <c r="CTY158"/>
      <c r="CTZ158"/>
      <c r="CUA158"/>
      <c r="CUB158"/>
      <c r="CUC158"/>
      <c r="CUD158"/>
      <c r="CUE158"/>
      <c r="CUF158"/>
      <c r="CUG158"/>
      <c r="CUH158"/>
      <c r="CUI158"/>
      <c r="CUJ158"/>
      <c r="CUK158"/>
      <c r="CUL158"/>
      <c r="CUM158"/>
      <c r="CUN158"/>
      <c r="CUO158"/>
      <c r="CUP158"/>
      <c r="CUQ158"/>
      <c r="CUR158"/>
      <c r="CUS158"/>
      <c r="CUT158"/>
      <c r="CUU158"/>
      <c r="CUV158"/>
      <c r="CUW158"/>
      <c r="CUX158"/>
      <c r="CUY158"/>
      <c r="CUZ158"/>
      <c r="CVA158"/>
      <c r="CVB158"/>
      <c r="CVC158"/>
      <c r="CVD158"/>
      <c r="CVE158"/>
      <c r="CVF158"/>
      <c r="CVG158"/>
      <c r="CVH158"/>
      <c r="CVI158"/>
      <c r="CVJ158"/>
      <c r="CVK158"/>
      <c r="CVL158"/>
      <c r="CVM158"/>
      <c r="CVN158"/>
      <c r="CVO158"/>
      <c r="CVP158"/>
      <c r="CVQ158"/>
      <c r="CVR158"/>
      <c r="CVS158"/>
      <c r="CVT158"/>
      <c r="CVU158"/>
      <c r="CVV158"/>
      <c r="CVW158"/>
      <c r="CVX158"/>
      <c r="CVY158"/>
      <c r="CVZ158"/>
      <c r="CWA158"/>
      <c r="CWB158"/>
      <c r="CWC158"/>
      <c r="CWD158"/>
      <c r="CWE158"/>
      <c r="CWF158"/>
      <c r="CWG158"/>
      <c r="CWH158"/>
      <c r="CWI158"/>
      <c r="CWJ158"/>
      <c r="CWK158"/>
      <c r="CWL158"/>
      <c r="CWM158"/>
      <c r="CWN158"/>
      <c r="CWO158"/>
      <c r="CWP158"/>
      <c r="CWQ158"/>
      <c r="CWR158"/>
      <c r="CWS158"/>
      <c r="CWT158"/>
      <c r="CWU158"/>
      <c r="CWV158"/>
      <c r="CWW158"/>
      <c r="CWX158"/>
      <c r="CWY158"/>
      <c r="CWZ158"/>
      <c r="CXA158"/>
      <c r="CXB158"/>
      <c r="CXC158"/>
      <c r="CXD158"/>
      <c r="CXE158"/>
      <c r="CXF158"/>
      <c r="CXG158"/>
      <c r="CXH158"/>
      <c r="CXI158"/>
      <c r="CXJ158"/>
      <c r="CXK158"/>
      <c r="CXL158"/>
      <c r="CXM158"/>
      <c r="CXN158"/>
      <c r="CXO158"/>
      <c r="CXP158"/>
      <c r="CXQ158"/>
      <c r="CXR158"/>
      <c r="CXS158"/>
      <c r="CXT158"/>
      <c r="CXU158"/>
      <c r="CXV158"/>
      <c r="CXW158"/>
      <c r="CXX158"/>
      <c r="CXY158"/>
      <c r="CXZ158"/>
      <c r="CYA158"/>
      <c r="CYB158"/>
      <c r="CYC158"/>
      <c r="CYD158"/>
      <c r="CYE158"/>
      <c r="CYF158"/>
      <c r="CYG158"/>
      <c r="CYH158"/>
      <c r="CYI158"/>
      <c r="CYJ158"/>
      <c r="CYK158"/>
      <c r="CYL158"/>
      <c r="CYM158"/>
      <c r="CYN158"/>
      <c r="CYO158"/>
      <c r="CYP158"/>
      <c r="CYQ158"/>
      <c r="CYR158"/>
      <c r="CYS158"/>
      <c r="CYT158"/>
      <c r="CYU158"/>
      <c r="CYV158"/>
      <c r="CYW158"/>
      <c r="CYX158"/>
      <c r="CYY158"/>
      <c r="CYZ158"/>
      <c r="CZA158"/>
      <c r="CZB158"/>
      <c r="CZC158"/>
      <c r="CZD158"/>
      <c r="CZE158"/>
      <c r="CZF158"/>
      <c r="CZG158"/>
      <c r="CZH158"/>
      <c r="CZI158"/>
      <c r="CZJ158"/>
      <c r="CZK158"/>
      <c r="CZL158"/>
      <c r="CZM158"/>
      <c r="CZN158"/>
      <c r="CZO158"/>
      <c r="CZP158"/>
      <c r="CZQ158"/>
      <c r="CZR158"/>
      <c r="CZS158"/>
      <c r="CZT158"/>
      <c r="CZU158"/>
      <c r="CZV158"/>
      <c r="CZW158"/>
      <c r="CZX158"/>
      <c r="CZY158"/>
      <c r="CZZ158"/>
      <c r="DAA158"/>
      <c r="DAB158"/>
      <c r="DAC158"/>
      <c r="DAD158"/>
      <c r="DAE158"/>
      <c r="DAF158"/>
      <c r="DAG158"/>
      <c r="DAH158"/>
      <c r="DAI158"/>
      <c r="DAJ158"/>
      <c r="DAK158"/>
      <c r="DAL158"/>
      <c r="DAM158"/>
      <c r="DAN158"/>
      <c r="DAO158"/>
      <c r="DAP158"/>
      <c r="DAQ158"/>
      <c r="DAR158"/>
      <c r="DAS158"/>
      <c r="DAT158"/>
      <c r="DAU158"/>
      <c r="DAV158"/>
      <c r="DAW158"/>
      <c r="DAX158"/>
      <c r="DAY158"/>
      <c r="DAZ158"/>
      <c r="DBA158"/>
      <c r="DBB158"/>
      <c r="DBC158"/>
      <c r="DBD158"/>
      <c r="DBE158"/>
      <c r="DBF158"/>
      <c r="DBG158"/>
      <c r="DBH158"/>
      <c r="DBI158"/>
      <c r="DBJ158"/>
      <c r="DBK158"/>
      <c r="DBL158"/>
      <c r="DBM158"/>
      <c r="DBN158"/>
      <c r="DBO158"/>
      <c r="DBP158"/>
      <c r="DBQ158"/>
      <c r="DBR158"/>
      <c r="DBS158"/>
      <c r="DBT158"/>
      <c r="DBU158"/>
      <c r="DBV158"/>
      <c r="DBW158"/>
      <c r="DBX158"/>
      <c r="DBY158"/>
      <c r="DBZ158"/>
      <c r="DCA158"/>
      <c r="DCB158"/>
      <c r="DCC158"/>
      <c r="DCD158"/>
      <c r="DCE158"/>
      <c r="DCF158"/>
      <c r="DCG158"/>
      <c r="DCH158"/>
      <c r="DCI158"/>
      <c r="DCJ158"/>
      <c r="DCK158"/>
      <c r="DCL158"/>
      <c r="DCM158"/>
      <c r="DCN158"/>
      <c r="DCO158"/>
      <c r="DCP158"/>
      <c r="DCQ158"/>
      <c r="DCR158"/>
      <c r="DCS158"/>
      <c r="DCT158"/>
      <c r="DCU158"/>
      <c r="DCV158"/>
      <c r="DCW158"/>
      <c r="DCX158"/>
      <c r="DCY158"/>
      <c r="DCZ158"/>
      <c r="DDA158"/>
      <c r="DDB158"/>
      <c r="DDC158"/>
      <c r="DDD158"/>
      <c r="DDE158"/>
      <c r="DDF158"/>
      <c r="DDG158"/>
      <c r="DDH158"/>
      <c r="DDI158"/>
      <c r="DDJ158"/>
      <c r="DDK158"/>
      <c r="DDL158"/>
      <c r="DDM158"/>
      <c r="DDN158"/>
      <c r="DDO158"/>
      <c r="DDP158"/>
      <c r="DDQ158"/>
      <c r="DDR158"/>
      <c r="DDS158"/>
      <c r="DDT158"/>
      <c r="DDU158"/>
      <c r="DDV158"/>
      <c r="DDW158"/>
      <c r="DDX158"/>
      <c r="DDY158"/>
      <c r="DDZ158"/>
      <c r="DEA158"/>
      <c r="DEB158"/>
      <c r="DEC158"/>
      <c r="DED158"/>
      <c r="DEE158"/>
      <c r="DEF158"/>
      <c r="DEG158"/>
      <c r="DEH158"/>
      <c r="DEI158"/>
      <c r="DEJ158"/>
      <c r="DEK158"/>
      <c r="DEL158"/>
      <c r="DEM158"/>
      <c r="DEN158"/>
      <c r="DEO158"/>
      <c r="DEP158"/>
      <c r="DEQ158"/>
      <c r="DER158"/>
      <c r="DES158"/>
      <c r="DET158"/>
      <c r="DEU158"/>
      <c r="DEV158"/>
      <c r="DEW158"/>
      <c r="DEX158"/>
      <c r="DEY158"/>
      <c r="DEZ158"/>
      <c r="DFA158"/>
      <c r="DFB158"/>
      <c r="DFC158"/>
      <c r="DFD158"/>
      <c r="DFE158"/>
      <c r="DFF158"/>
      <c r="DFG158"/>
      <c r="DFH158"/>
      <c r="DFI158"/>
      <c r="DFJ158"/>
      <c r="DFK158"/>
      <c r="DFL158"/>
      <c r="DFM158"/>
      <c r="DFN158"/>
      <c r="DFO158"/>
      <c r="DFP158"/>
      <c r="DFQ158"/>
      <c r="DFR158"/>
      <c r="DFS158"/>
      <c r="DFT158"/>
      <c r="DFU158"/>
      <c r="DFV158"/>
      <c r="DFW158"/>
      <c r="DFX158"/>
      <c r="DFY158"/>
      <c r="DFZ158"/>
      <c r="DGA158"/>
      <c r="DGB158"/>
      <c r="DGC158"/>
      <c r="DGD158"/>
      <c r="DGE158"/>
      <c r="DGF158"/>
      <c r="DGG158"/>
      <c r="DGH158"/>
      <c r="DGI158"/>
      <c r="DGJ158"/>
      <c r="DGK158"/>
      <c r="DGL158"/>
      <c r="DGM158"/>
      <c r="DGN158"/>
      <c r="DGO158"/>
      <c r="DGP158"/>
      <c r="DGQ158"/>
      <c r="DGR158"/>
      <c r="DGS158"/>
      <c r="DGT158"/>
      <c r="DGU158"/>
      <c r="DGV158"/>
      <c r="DGW158"/>
      <c r="DGX158"/>
      <c r="DGY158"/>
      <c r="DGZ158"/>
      <c r="DHA158"/>
      <c r="DHB158"/>
      <c r="DHC158"/>
      <c r="DHD158"/>
      <c r="DHE158"/>
      <c r="DHF158"/>
      <c r="DHG158"/>
      <c r="DHH158"/>
      <c r="DHI158"/>
      <c r="DHJ158"/>
      <c r="DHK158"/>
      <c r="DHL158"/>
      <c r="DHM158"/>
      <c r="DHN158"/>
      <c r="DHO158"/>
      <c r="DHP158"/>
      <c r="DHQ158"/>
      <c r="DHR158"/>
      <c r="DHS158"/>
      <c r="DHT158"/>
      <c r="DHU158"/>
      <c r="DHV158"/>
      <c r="DHW158"/>
      <c r="DHX158"/>
      <c r="DHY158"/>
      <c r="DHZ158"/>
      <c r="DIA158"/>
      <c r="DIB158"/>
      <c r="DIC158"/>
      <c r="DID158"/>
      <c r="DIE158"/>
      <c r="DIF158"/>
      <c r="DIG158"/>
      <c r="DIH158"/>
      <c r="DII158"/>
      <c r="DIJ158"/>
      <c r="DIK158"/>
      <c r="DIL158"/>
      <c r="DIM158"/>
      <c r="DIN158"/>
      <c r="DIO158"/>
      <c r="DIP158"/>
      <c r="DIQ158"/>
      <c r="DIR158"/>
      <c r="DIS158"/>
      <c r="DIT158"/>
      <c r="DIU158"/>
      <c r="DIV158"/>
      <c r="DIW158"/>
      <c r="DIX158"/>
      <c r="DIY158"/>
      <c r="DIZ158"/>
      <c r="DJA158"/>
      <c r="DJB158"/>
      <c r="DJC158"/>
      <c r="DJD158"/>
      <c r="DJE158"/>
      <c r="DJF158"/>
      <c r="DJG158"/>
      <c r="DJH158"/>
      <c r="DJI158"/>
      <c r="DJJ158"/>
      <c r="DJK158"/>
      <c r="DJL158"/>
      <c r="DJM158"/>
      <c r="DJN158"/>
      <c r="DJO158"/>
      <c r="DJP158"/>
      <c r="DJQ158"/>
      <c r="DJR158"/>
      <c r="DJS158"/>
      <c r="DJT158"/>
      <c r="DJU158"/>
      <c r="DJV158"/>
      <c r="DJW158"/>
      <c r="DJX158"/>
      <c r="DJY158"/>
      <c r="DJZ158"/>
      <c r="DKA158"/>
      <c r="DKB158"/>
      <c r="DKC158"/>
      <c r="DKD158"/>
      <c r="DKE158"/>
      <c r="DKF158"/>
      <c r="DKG158"/>
      <c r="DKH158"/>
      <c r="DKI158"/>
      <c r="DKJ158"/>
      <c r="DKK158"/>
      <c r="DKL158"/>
      <c r="DKM158"/>
      <c r="DKN158"/>
      <c r="DKO158"/>
      <c r="DKP158"/>
      <c r="DKQ158"/>
      <c r="DKR158"/>
      <c r="DKS158"/>
      <c r="DKT158"/>
      <c r="DKU158"/>
      <c r="DKV158"/>
      <c r="DKW158"/>
      <c r="DKX158"/>
      <c r="DKY158"/>
      <c r="DKZ158"/>
      <c r="DLA158"/>
      <c r="DLB158"/>
      <c r="DLC158"/>
      <c r="DLD158"/>
      <c r="DLE158"/>
      <c r="DLF158"/>
      <c r="DLG158"/>
      <c r="DLH158"/>
      <c r="DLI158"/>
      <c r="DLJ158"/>
      <c r="DLK158"/>
      <c r="DLL158"/>
      <c r="DLM158"/>
      <c r="DLN158"/>
      <c r="DLO158"/>
      <c r="DLP158"/>
      <c r="DLQ158"/>
      <c r="DLR158"/>
      <c r="DLS158"/>
      <c r="DLT158"/>
      <c r="DLU158"/>
      <c r="DLV158"/>
      <c r="DLW158"/>
      <c r="DLX158"/>
      <c r="DLY158"/>
      <c r="DLZ158"/>
      <c r="DMA158"/>
      <c r="DMB158"/>
      <c r="DMC158"/>
      <c r="DMD158"/>
      <c r="DME158"/>
      <c r="DMF158"/>
      <c r="DMG158"/>
      <c r="DMH158"/>
      <c r="DMI158"/>
      <c r="DMJ158"/>
      <c r="DMK158"/>
      <c r="DML158"/>
      <c r="DMM158"/>
      <c r="DMN158"/>
      <c r="DMO158"/>
      <c r="DMP158"/>
      <c r="DMQ158"/>
      <c r="DMR158"/>
      <c r="DMS158"/>
      <c r="DMT158"/>
      <c r="DMU158"/>
      <c r="DMV158"/>
      <c r="DMW158"/>
      <c r="DMX158"/>
      <c r="DMY158"/>
      <c r="DMZ158"/>
      <c r="DNA158"/>
      <c r="DNB158"/>
      <c r="DNC158"/>
      <c r="DND158"/>
      <c r="DNE158"/>
      <c r="DNF158"/>
      <c r="DNG158"/>
      <c r="DNH158"/>
      <c r="DNI158"/>
      <c r="DNJ158"/>
      <c r="DNK158"/>
      <c r="DNL158"/>
      <c r="DNM158"/>
      <c r="DNN158"/>
      <c r="DNO158"/>
      <c r="DNP158"/>
      <c r="DNQ158"/>
      <c r="DNR158"/>
      <c r="DNS158"/>
      <c r="DNT158"/>
      <c r="DNU158"/>
      <c r="DNV158"/>
      <c r="DNW158"/>
      <c r="DNX158"/>
      <c r="DNY158"/>
      <c r="DNZ158"/>
      <c r="DOA158"/>
      <c r="DOB158"/>
      <c r="DOC158"/>
      <c r="DOD158"/>
      <c r="DOE158"/>
      <c r="DOF158"/>
      <c r="DOG158"/>
      <c r="DOH158"/>
      <c r="DOI158"/>
      <c r="DOJ158"/>
      <c r="DOK158"/>
      <c r="DOL158"/>
      <c r="DOM158"/>
      <c r="DON158"/>
      <c r="DOO158"/>
      <c r="DOP158"/>
      <c r="DOQ158"/>
      <c r="DOR158"/>
      <c r="DOS158"/>
      <c r="DOT158"/>
      <c r="DOU158"/>
      <c r="DOV158"/>
      <c r="DOW158"/>
      <c r="DOX158"/>
      <c r="DOY158"/>
      <c r="DOZ158"/>
      <c r="DPA158"/>
      <c r="DPB158"/>
      <c r="DPC158"/>
      <c r="DPD158"/>
      <c r="DPE158"/>
      <c r="DPF158"/>
      <c r="DPG158"/>
      <c r="DPH158"/>
      <c r="DPI158"/>
      <c r="DPJ158"/>
      <c r="DPK158"/>
      <c r="DPL158"/>
      <c r="DPM158"/>
      <c r="DPN158"/>
      <c r="DPO158"/>
      <c r="DPP158"/>
      <c r="DPQ158"/>
      <c r="DPR158"/>
      <c r="DPS158"/>
      <c r="DPT158"/>
      <c r="DPU158"/>
      <c r="DPV158"/>
      <c r="DPW158"/>
      <c r="DPX158"/>
      <c r="DPY158"/>
      <c r="DPZ158"/>
      <c r="DQA158"/>
      <c r="DQB158"/>
      <c r="DQC158"/>
      <c r="DQD158"/>
      <c r="DQE158"/>
      <c r="DQF158"/>
      <c r="DQG158"/>
      <c r="DQH158"/>
      <c r="DQI158"/>
      <c r="DQJ158"/>
      <c r="DQK158"/>
      <c r="DQL158"/>
      <c r="DQM158"/>
      <c r="DQN158"/>
      <c r="DQO158"/>
      <c r="DQP158"/>
      <c r="DQQ158"/>
      <c r="DQR158"/>
      <c r="DQS158"/>
      <c r="DQT158"/>
      <c r="DQU158"/>
      <c r="DQV158"/>
      <c r="DQW158"/>
      <c r="DQX158"/>
      <c r="DQY158"/>
      <c r="DQZ158"/>
      <c r="DRA158"/>
      <c r="DRB158"/>
      <c r="DRC158"/>
      <c r="DRD158"/>
      <c r="DRE158"/>
      <c r="DRF158"/>
      <c r="DRG158"/>
      <c r="DRH158"/>
      <c r="DRI158"/>
      <c r="DRJ158"/>
      <c r="DRK158"/>
      <c r="DRL158"/>
      <c r="DRM158"/>
      <c r="DRN158"/>
      <c r="DRO158"/>
      <c r="DRP158"/>
      <c r="DRQ158"/>
      <c r="DRR158"/>
      <c r="DRS158"/>
      <c r="DRT158"/>
      <c r="DRU158"/>
      <c r="DRV158"/>
      <c r="DRW158"/>
      <c r="DRX158"/>
      <c r="DRY158"/>
      <c r="DRZ158"/>
      <c r="DSA158"/>
      <c r="DSB158"/>
      <c r="DSC158"/>
      <c r="DSD158"/>
      <c r="DSE158"/>
      <c r="DSF158"/>
      <c r="DSG158"/>
      <c r="DSH158"/>
      <c r="DSI158"/>
      <c r="DSJ158"/>
      <c r="DSK158"/>
      <c r="DSL158"/>
      <c r="DSM158"/>
      <c r="DSN158"/>
      <c r="DSO158"/>
      <c r="DSP158"/>
      <c r="DSQ158"/>
      <c r="DSR158"/>
      <c r="DSS158"/>
      <c r="DST158"/>
      <c r="DSU158"/>
      <c r="DSV158"/>
      <c r="DSW158"/>
      <c r="DSX158"/>
      <c r="DSY158"/>
      <c r="DSZ158"/>
      <c r="DTA158"/>
      <c r="DTB158"/>
      <c r="DTC158"/>
      <c r="DTD158"/>
      <c r="DTE158"/>
      <c r="DTF158"/>
      <c r="DTG158"/>
      <c r="DTH158"/>
      <c r="DTI158"/>
      <c r="DTJ158"/>
      <c r="DTK158"/>
      <c r="DTL158"/>
      <c r="DTM158"/>
      <c r="DTN158"/>
      <c r="DTO158"/>
      <c r="DTP158"/>
      <c r="DTQ158"/>
      <c r="DTR158"/>
      <c r="DTS158"/>
      <c r="DTT158"/>
      <c r="DTU158"/>
      <c r="DTV158"/>
      <c r="DTW158"/>
      <c r="DTX158"/>
      <c r="DTY158"/>
      <c r="DTZ158"/>
      <c r="DUA158"/>
      <c r="DUB158"/>
      <c r="DUC158"/>
      <c r="DUD158"/>
      <c r="DUE158"/>
      <c r="DUF158"/>
      <c r="DUG158"/>
      <c r="DUH158"/>
      <c r="DUI158"/>
      <c r="DUJ158"/>
      <c r="DUK158"/>
      <c r="DUL158"/>
      <c r="DUM158"/>
      <c r="DUN158"/>
      <c r="DUO158"/>
      <c r="DUP158"/>
      <c r="DUQ158"/>
      <c r="DUR158"/>
      <c r="DUS158"/>
      <c r="DUT158"/>
      <c r="DUU158"/>
      <c r="DUV158"/>
      <c r="DUW158"/>
      <c r="DUX158"/>
      <c r="DUY158"/>
      <c r="DUZ158"/>
      <c r="DVA158"/>
      <c r="DVB158"/>
      <c r="DVC158"/>
      <c r="DVD158"/>
      <c r="DVE158"/>
      <c r="DVF158"/>
      <c r="DVG158"/>
      <c r="DVH158"/>
      <c r="DVI158"/>
      <c r="DVJ158"/>
      <c r="DVK158"/>
      <c r="DVL158"/>
      <c r="DVM158"/>
      <c r="DVN158"/>
      <c r="DVO158"/>
      <c r="DVP158"/>
      <c r="DVQ158"/>
      <c r="DVR158"/>
      <c r="DVS158"/>
      <c r="DVT158"/>
      <c r="DVU158"/>
      <c r="DVV158"/>
      <c r="DVW158"/>
      <c r="DVX158"/>
      <c r="DVY158"/>
      <c r="DVZ158"/>
      <c r="DWA158"/>
      <c r="DWB158"/>
      <c r="DWC158"/>
      <c r="DWD158"/>
      <c r="DWE158"/>
      <c r="DWF158"/>
      <c r="DWG158"/>
      <c r="DWH158"/>
      <c r="DWI158"/>
      <c r="DWJ158"/>
      <c r="DWK158"/>
      <c r="DWL158"/>
      <c r="DWM158"/>
      <c r="DWN158"/>
      <c r="DWO158"/>
      <c r="DWP158"/>
      <c r="DWQ158"/>
      <c r="DWR158"/>
      <c r="DWS158"/>
      <c r="DWT158"/>
      <c r="DWU158"/>
      <c r="DWV158"/>
      <c r="DWW158"/>
      <c r="DWX158"/>
      <c r="DWY158"/>
      <c r="DWZ158"/>
      <c r="DXA158"/>
      <c r="DXB158"/>
      <c r="DXC158"/>
      <c r="DXD158"/>
      <c r="DXE158"/>
      <c r="DXF158"/>
      <c r="DXG158"/>
      <c r="DXH158"/>
      <c r="DXI158"/>
      <c r="DXJ158"/>
      <c r="DXK158"/>
      <c r="DXL158"/>
      <c r="DXM158"/>
      <c r="DXN158"/>
      <c r="DXO158"/>
      <c r="DXP158"/>
      <c r="DXQ158"/>
      <c r="DXR158"/>
      <c r="DXS158"/>
      <c r="DXT158"/>
      <c r="DXU158"/>
      <c r="DXV158"/>
      <c r="DXW158"/>
      <c r="DXX158"/>
      <c r="DXY158"/>
      <c r="DXZ158"/>
      <c r="DYA158"/>
      <c r="DYB158"/>
      <c r="DYC158"/>
      <c r="DYD158"/>
      <c r="DYE158"/>
      <c r="DYF158"/>
      <c r="DYG158"/>
      <c r="DYH158"/>
      <c r="DYI158"/>
      <c r="DYJ158"/>
      <c r="DYK158"/>
      <c r="DYL158"/>
      <c r="DYM158"/>
      <c r="DYN158"/>
      <c r="DYO158"/>
      <c r="DYP158"/>
      <c r="DYQ158"/>
      <c r="DYR158"/>
      <c r="DYS158"/>
      <c r="DYT158"/>
      <c r="DYU158"/>
      <c r="DYV158"/>
      <c r="DYW158"/>
      <c r="DYX158"/>
      <c r="DYY158"/>
      <c r="DYZ158"/>
      <c r="DZA158"/>
      <c r="DZB158"/>
      <c r="DZC158"/>
      <c r="DZD158"/>
      <c r="DZE158"/>
      <c r="DZF158"/>
      <c r="DZG158"/>
      <c r="DZH158"/>
      <c r="DZI158"/>
      <c r="DZJ158"/>
      <c r="DZK158"/>
      <c r="DZL158"/>
      <c r="DZM158"/>
      <c r="DZN158"/>
      <c r="DZO158"/>
      <c r="DZP158"/>
      <c r="DZQ158"/>
      <c r="DZR158"/>
      <c r="DZS158"/>
      <c r="DZT158"/>
      <c r="DZU158"/>
      <c r="DZV158"/>
      <c r="DZW158"/>
      <c r="DZX158"/>
      <c r="DZY158"/>
      <c r="DZZ158"/>
      <c r="EAA158"/>
      <c r="EAB158"/>
      <c r="EAC158"/>
      <c r="EAD158"/>
      <c r="EAE158"/>
      <c r="EAF158"/>
      <c r="EAG158"/>
      <c r="EAH158"/>
      <c r="EAI158"/>
      <c r="EAJ158"/>
      <c r="EAK158"/>
      <c r="EAL158"/>
      <c r="EAM158"/>
      <c r="EAN158"/>
      <c r="EAO158"/>
      <c r="EAP158"/>
      <c r="EAQ158"/>
      <c r="EAR158"/>
      <c r="EAS158"/>
      <c r="EAT158"/>
      <c r="EAU158"/>
      <c r="EAV158"/>
      <c r="EAW158"/>
      <c r="EAX158"/>
      <c r="EAY158"/>
      <c r="EAZ158"/>
      <c r="EBA158"/>
      <c r="EBB158"/>
      <c r="EBC158"/>
      <c r="EBD158"/>
      <c r="EBE158"/>
      <c r="EBF158"/>
      <c r="EBG158"/>
      <c r="EBH158"/>
      <c r="EBI158"/>
      <c r="EBJ158"/>
      <c r="EBK158"/>
      <c r="EBL158"/>
      <c r="EBM158"/>
      <c r="EBN158"/>
      <c r="EBO158"/>
      <c r="EBP158"/>
      <c r="EBQ158"/>
      <c r="EBR158"/>
      <c r="EBS158"/>
      <c r="EBT158"/>
      <c r="EBU158"/>
      <c r="EBV158"/>
      <c r="EBW158"/>
      <c r="EBX158"/>
      <c r="EBY158"/>
      <c r="EBZ158"/>
      <c r="ECA158"/>
      <c r="ECB158"/>
      <c r="ECC158"/>
      <c r="ECD158"/>
      <c r="ECE158"/>
      <c r="ECF158"/>
      <c r="ECG158"/>
      <c r="ECH158"/>
      <c r="ECI158"/>
      <c r="ECJ158"/>
      <c r="ECK158"/>
      <c r="ECL158"/>
      <c r="ECM158"/>
      <c r="ECN158"/>
      <c r="ECO158"/>
      <c r="ECP158"/>
      <c r="ECQ158"/>
      <c r="ECR158"/>
      <c r="ECS158"/>
      <c r="ECT158"/>
      <c r="ECU158"/>
      <c r="ECV158"/>
      <c r="ECW158"/>
      <c r="ECX158"/>
      <c r="ECY158"/>
      <c r="ECZ158"/>
      <c r="EDA158"/>
      <c r="EDB158"/>
      <c r="EDC158"/>
      <c r="EDD158"/>
      <c r="EDE158"/>
      <c r="EDF158"/>
      <c r="EDG158"/>
      <c r="EDH158"/>
      <c r="EDI158"/>
      <c r="EDJ158"/>
      <c r="EDK158"/>
      <c r="EDL158"/>
      <c r="EDM158"/>
      <c r="EDN158"/>
      <c r="EDO158"/>
      <c r="EDP158"/>
      <c r="EDQ158"/>
      <c r="EDR158"/>
      <c r="EDS158"/>
      <c r="EDT158"/>
      <c r="EDU158"/>
      <c r="EDV158"/>
      <c r="EDW158"/>
      <c r="EDX158"/>
      <c r="EDY158"/>
      <c r="EDZ158"/>
      <c r="EEA158"/>
      <c r="EEB158"/>
      <c r="EEC158"/>
      <c r="EED158"/>
      <c r="EEE158"/>
      <c r="EEF158"/>
      <c r="EEG158"/>
      <c r="EEH158"/>
      <c r="EEI158"/>
      <c r="EEJ158"/>
      <c r="EEK158"/>
      <c r="EEL158"/>
      <c r="EEM158"/>
      <c r="EEN158"/>
      <c r="EEO158"/>
      <c r="EEP158"/>
      <c r="EEQ158"/>
      <c r="EER158"/>
      <c r="EES158"/>
      <c r="EET158"/>
      <c r="EEU158"/>
      <c r="EEV158"/>
      <c r="EEW158"/>
      <c r="EEX158"/>
      <c r="EEY158"/>
      <c r="EEZ158"/>
      <c r="EFA158"/>
      <c r="EFB158"/>
      <c r="EFC158"/>
      <c r="EFD158"/>
      <c r="EFE158"/>
      <c r="EFF158"/>
      <c r="EFG158"/>
      <c r="EFH158"/>
      <c r="EFI158"/>
      <c r="EFJ158"/>
      <c r="EFK158"/>
      <c r="EFL158"/>
      <c r="EFM158"/>
      <c r="EFN158"/>
      <c r="EFO158"/>
      <c r="EFP158"/>
      <c r="EFQ158"/>
      <c r="EFR158"/>
      <c r="EFS158"/>
      <c r="EFT158"/>
      <c r="EFU158"/>
      <c r="EFV158"/>
      <c r="EFW158"/>
      <c r="EFX158"/>
      <c r="EFY158"/>
      <c r="EFZ158"/>
      <c r="EGA158"/>
      <c r="EGB158"/>
      <c r="EGC158"/>
      <c r="EGD158"/>
      <c r="EGE158"/>
      <c r="EGF158"/>
      <c r="EGG158"/>
      <c r="EGH158"/>
      <c r="EGI158"/>
      <c r="EGJ158"/>
      <c r="EGK158"/>
      <c r="EGL158"/>
      <c r="EGM158"/>
      <c r="EGN158"/>
      <c r="EGO158"/>
      <c r="EGP158"/>
      <c r="EGQ158"/>
      <c r="EGR158"/>
      <c r="EGS158"/>
      <c r="EGT158"/>
      <c r="EGU158"/>
      <c r="EGV158"/>
      <c r="EGW158"/>
      <c r="EGX158"/>
      <c r="EGY158"/>
      <c r="EGZ158"/>
      <c r="EHA158"/>
      <c r="EHB158"/>
      <c r="EHC158"/>
      <c r="EHD158"/>
      <c r="EHE158"/>
      <c r="EHF158"/>
      <c r="EHG158"/>
      <c r="EHH158"/>
      <c r="EHI158"/>
      <c r="EHJ158"/>
      <c r="EHK158"/>
      <c r="EHL158"/>
      <c r="EHM158"/>
      <c r="EHN158"/>
      <c r="EHO158"/>
      <c r="EHP158"/>
      <c r="EHQ158"/>
      <c r="EHR158"/>
      <c r="EHS158"/>
      <c r="EHT158"/>
      <c r="EHU158"/>
      <c r="EHV158"/>
      <c r="EHW158"/>
      <c r="EHX158"/>
      <c r="EHY158"/>
      <c r="EHZ158"/>
      <c r="EIA158"/>
      <c r="EIB158"/>
      <c r="EIC158"/>
      <c r="EID158"/>
      <c r="EIE158"/>
      <c r="EIF158"/>
      <c r="EIG158"/>
      <c r="EIH158"/>
      <c r="EII158"/>
      <c r="EIJ158"/>
      <c r="EIK158"/>
      <c r="EIL158"/>
      <c r="EIM158"/>
      <c r="EIN158"/>
      <c r="EIO158"/>
      <c r="EIP158"/>
      <c r="EIQ158"/>
      <c r="EIR158"/>
      <c r="EIS158"/>
      <c r="EIT158"/>
      <c r="EIU158"/>
      <c r="EIV158"/>
      <c r="EIW158"/>
      <c r="EIX158"/>
      <c r="EIY158"/>
      <c r="EIZ158"/>
      <c r="EJA158"/>
      <c r="EJB158"/>
      <c r="EJC158"/>
      <c r="EJD158"/>
      <c r="EJE158"/>
      <c r="EJF158"/>
      <c r="EJG158"/>
      <c r="EJH158"/>
      <c r="EJI158"/>
      <c r="EJJ158"/>
      <c r="EJK158"/>
      <c r="EJL158"/>
      <c r="EJM158"/>
      <c r="EJN158"/>
      <c r="EJO158"/>
      <c r="EJP158"/>
      <c r="EJQ158"/>
      <c r="EJR158"/>
      <c r="EJS158"/>
      <c r="EJT158"/>
      <c r="EJU158"/>
      <c r="EJV158"/>
      <c r="EJW158"/>
      <c r="EJX158"/>
      <c r="EJY158"/>
      <c r="EJZ158"/>
      <c r="EKA158"/>
      <c r="EKB158"/>
      <c r="EKC158"/>
      <c r="EKD158"/>
      <c r="EKE158"/>
      <c r="EKF158"/>
      <c r="EKG158"/>
      <c r="EKH158"/>
      <c r="EKI158"/>
      <c r="EKJ158"/>
      <c r="EKK158"/>
      <c r="EKL158"/>
      <c r="EKM158"/>
      <c r="EKN158"/>
      <c r="EKO158"/>
      <c r="EKP158"/>
      <c r="EKQ158"/>
      <c r="EKR158"/>
      <c r="EKS158"/>
      <c r="EKT158"/>
      <c r="EKU158"/>
      <c r="EKV158"/>
      <c r="EKW158"/>
      <c r="EKX158"/>
      <c r="EKY158"/>
      <c r="EKZ158"/>
      <c r="ELA158"/>
      <c r="ELB158"/>
      <c r="ELC158"/>
      <c r="ELD158"/>
      <c r="ELE158"/>
      <c r="ELF158"/>
      <c r="ELG158"/>
      <c r="ELH158"/>
      <c r="ELI158"/>
      <c r="ELJ158"/>
      <c r="ELK158"/>
      <c r="ELL158"/>
      <c r="ELM158"/>
      <c r="ELN158"/>
      <c r="ELO158"/>
      <c r="ELP158"/>
      <c r="ELQ158"/>
      <c r="ELR158"/>
      <c r="ELS158"/>
      <c r="ELT158"/>
      <c r="ELU158"/>
      <c r="ELV158"/>
      <c r="ELW158"/>
      <c r="ELX158"/>
      <c r="ELY158"/>
      <c r="ELZ158"/>
      <c r="EMA158"/>
      <c r="EMB158"/>
      <c r="EMC158"/>
      <c r="EMD158"/>
      <c r="EME158"/>
      <c r="EMF158"/>
      <c r="EMG158"/>
      <c r="EMH158"/>
      <c r="EMI158"/>
      <c r="EMJ158"/>
      <c r="EMK158"/>
      <c r="EML158"/>
      <c r="EMM158"/>
      <c r="EMN158"/>
      <c r="EMO158"/>
      <c r="EMP158"/>
      <c r="EMQ158"/>
      <c r="EMR158"/>
      <c r="EMS158"/>
      <c r="EMT158"/>
      <c r="EMU158"/>
      <c r="EMV158"/>
      <c r="EMW158"/>
      <c r="EMX158"/>
      <c r="EMY158"/>
      <c r="EMZ158"/>
      <c r="ENA158"/>
      <c r="ENB158"/>
      <c r="ENC158"/>
      <c r="END158"/>
      <c r="ENE158"/>
      <c r="ENF158"/>
      <c r="ENG158"/>
      <c r="ENH158"/>
      <c r="ENI158"/>
      <c r="ENJ158"/>
      <c r="ENK158"/>
      <c r="ENL158"/>
      <c r="ENM158"/>
      <c r="ENN158"/>
      <c r="ENO158"/>
      <c r="ENP158"/>
      <c r="ENQ158"/>
      <c r="ENR158"/>
      <c r="ENS158"/>
      <c r="ENT158"/>
      <c r="ENU158"/>
      <c r="ENV158"/>
      <c r="ENW158"/>
      <c r="ENX158"/>
      <c r="ENY158"/>
      <c r="ENZ158"/>
      <c r="EOA158"/>
      <c r="EOB158"/>
      <c r="EOC158"/>
      <c r="EOD158"/>
      <c r="EOE158"/>
      <c r="EOF158"/>
      <c r="EOG158"/>
      <c r="EOH158"/>
      <c r="EOI158"/>
      <c r="EOJ158"/>
      <c r="EOK158"/>
      <c r="EOL158"/>
      <c r="EOM158"/>
      <c r="EON158"/>
      <c r="EOO158"/>
      <c r="EOP158"/>
      <c r="EOQ158"/>
      <c r="EOR158"/>
      <c r="EOS158"/>
      <c r="EOT158"/>
      <c r="EOU158"/>
      <c r="EOV158"/>
      <c r="EOW158"/>
      <c r="EOX158"/>
      <c r="EOY158"/>
      <c r="EOZ158"/>
      <c r="EPA158"/>
      <c r="EPB158"/>
      <c r="EPC158"/>
      <c r="EPD158"/>
      <c r="EPE158"/>
      <c r="EPF158"/>
      <c r="EPG158"/>
      <c r="EPH158"/>
      <c r="EPI158"/>
      <c r="EPJ158"/>
      <c r="EPK158"/>
      <c r="EPL158"/>
      <c r="EPM158"/>
      <c r="EPN158"/>
      <c r="EPO158"/>
      <c r="EPP158"/>
      <c r="EPQ158"/>
      <c r="EPR158"/>
      <c r="EPS158"/>
      <c r="EPT158"/>
      <c r="EPU158"/>
      <c r="EPV158"/>
      <c r="EPW158"/>
      <c r="EPX158"/>
      <c r="EPY158"/>
      <c r="EPZ158"/>
      <c r="EQA158"/>
      <c r="EQB158"/>
      <c r="EQC158"/>
      <c r="EQD158"/>
      <c r="EQE158"/>
      <c r="EQF158"/>
      <c r="EQG158"/>
      <c r="EQH158"/>
      <c r="EQI158"/>
      <c r="EQJ158"/>
      <c r="EQK158"/>
      <c r="EQL158"/>
      <c r="EQM158"/>
      <c r="EQN158"/>
      <c r="EQO158"/>
      <c r="EQP158"/>
      <c r="EQQ158"/>
      <c r="EQR158"/>
      <c r="EQS158"/>
      <c r="EQT158"/>
      <c r="EQU158"/>
      <c r="EQV158"/>
      <c r="EQW158"/>
      <c r="EQX158"/>
      <c r="EQY158"/>
      <c r="EQZ158"/>
      <c r="ERA158"/>
      <c r="ERB158"/>
      <c r="ERC158"/>
      <c r="ERD158"/>
      <c r="ERE158"/>
      <c r="ERF158"/>
      <c r="ERG158"/>
      <c r="ERH158"/>
      <c r="ERI158"/>
      <c r="ERJ158"/>
      <c r="ERK158"/>
      <c r="ERL158"/>
      <c r="ERM158"/>
      <c r="ERN158"/>
      <c r="ERO158"/>
      <c r="ERP158"/>
      <c r="ERQ158"/>
      <c r="ERR158"/>
      <c r="ERS158"/>
      <c r="ERT158"/>
      <c r="ERU158"/>
      <c r="ERV158"/>
      <c r="ERW158"/>
      <c r="ERX158"/>
      <c r="ERY158"/>
      <c r="ERZ158"/>
      <c r="ESA158"/>
      <c r="ESB158"/>
      <c r="ESC158"/>
      <c r="ESD158"/>
      <c r="ESE158"/>
      <c r="ESF158"/>
      <c r="ESG158"/>
      <c r="ESH158"/>
      <c r="ESI158"/>
      <c r="ESJ158"/>
      <c r="ESK158"/>
      <c r="ESL158"/>
      <c r="ESM158"/>
      <c r="ESN158"/>
      <c r="ESO158"/>
      <c r="ESP158"/>
      <c r="ESQ158"/>
      <c r="ESR158"/>
      <c r="ESS158"/>
      <c r="EST158"/>
      <c r="ESU158"/>
      <c r="ESV158"/>
      <c r="ESW158"/>
      <c r="ESX158"/>
      <c r="ESY158"/>
      <c r="ESZ158"/>
      <c r="ETA158"/>
      <c r="ETB158"/>
      <c r="ETC158"/>
      <c r="ETD158"/>
      <c r="ETE158"/>
      <c r="ETF158"/>
      <c r="ETG158"/>
      <c r="ETH158"/>
      <c r="ETI158"/>
      <c r="ETJ158"/>
      <c r="ETK158"/>
      <c r="ETL158"/>
      <c r="ETM158"/>
      <c r="ETN158"/>
      <c r="ETO158"/>
      <c r="ETP158"/>
      <c r="ETQ158"/>
      <c r="ETR158"/>
      <c r="ETS158"/>
      <c r="ETT158"/>
      <c r="ETU158"/>
      <c r="ETV158"/>
      <c r="ETW158"/>
      <c r="ETX158"/>
      <c r="ETY158"/>
      <c r="ETZ158"/>
      <c r="EUA158"/>
      <c r="EUB158"/>
      <c r="EUC158"/>
      <c r="EUD158"/>
      <c r="EUE158"/>
      <c r="EUF158"/>
      <c r="EUG158"/>
      <c r="EUH158"/>
      <c r="EUI158"/>
      <c r="EUJ158"/>
      <c r="EUK158"/>
      <c r="EUL158"/>
      <c r="EUM158"/>
      <c r="EUN158"/>
      <c r="EUO158"/>
      <c r="EUP158"/>
      <c r="EUQ158"/>
      <c r="EUR158"/>
      <c r="EUS158"/>
      <c r="EUT158"/>
      <c r="EUU158"/>
      <c r="EUV158"/>
      <c r="EUW158"/>
      <c r="EUX158"/>
      <c r="EUY158"/>
      <c r="EUZ158"/>
      <c r="EVA158"/>
      <c r="EVB158"/>
      <c r="EVC158"/>
      <c r="EVD158"/>
      <c r="EVE158"/>
      <c r="EVF158"/>
      <c r="EVG158"/>
      <c r="EVH158"/>
      <c r="EVI158"/>
      <c r="EVJ158"/>
      <c r="EVK158"/>
      <c r="EVL158"/>
      <c r="EVM158"/>
      <c r="EVN158"/>
      <c r="EVO158"/>
      <c r="EVP158"/>
      <c r="EVQ158"/>
      <c r="EVR158"/>
      <c r="EVS158"/>
      <c r="EVT158"/>
      <c r="EVU158"/>
      <c r="EVV158"/>
      <c r="EVW158"/>
      <c r="EVX158"/>
      <c r="EVY158"/>
      <c r="EVZ158"/>
      <c r="EWA158"/>
      <c r="EWB158"/>
      <c r="EWC158"/>
      <c r="EWD158"/>
      <c r="EWE158"/>
      <c r="EWF158"/>
      <c r="EWG158"/>
      <c r="EWH158"/>
      <c r="EWI158"/>
      <c r="EWJ158"/>
      <c r="EWK158"/>
      <c r="EWL158"/>
      <c r="EWM158"/>
      <c r="EWN158"/>
      <c r="EWO158"/>
      <c r="EWP158"/>
      <c r="EWQ158"/>
      <c r="EWR158"/>
      <c r="EWS158"/>
      <c r="EWT158"/>
      <c r="EWU158"/>
      <c r="EWV158"/>
      <c r="EWW158"/>
      <c r="EWX158"/>
      <c r="EWY158"/>
      <c r="EWZ158"/>
      <c r="EXA158"/>
      <c r="EXB158"/>
      <c r="EXC158"/>
      <c r="EXD158"/>
      <c r="EXE158"/>
      <c r="EXF158"/>
      <c r="EXG158"/>
      <c r="EXH158"/>
      <c r="EXI158"/>
      <c r="EXJ158"/>
      <c r="EXK158"/>
      <c r="EXL158"/>
      <c r="EXM158"/>
      <c r="EXN158"/>
      <c r="EXO158"/>
      <c r="EXP158"/>
      <c r="EXQ158"/>
      <c r="EXR158"/>
      <c r="EXS158"/>
      <c r="EXT158"/>
      <c r="EXU158"/>
      <c r="EXV158"/>
      <c r="EXW158"/>
      <c r="EXX158"/>
      <c r="EXY158"/>
      <c r="EXZ158"/>
      <c r="EYA158"/>
      <c r="EYB158"/>
      <c r="EYC158"/>
      <c r="EYD158"/>
      <c r="EYE158"/>
      <c r="EYF158"/>
      <c r="EYG158"/>
      <c r="EYH158"/>
      <c r="EYI158"/>
      <c r="EYJ158"/>
      <c r="EYK158"/>
      <c r="EYL158"/>
      <c r="EYM158"/>
      <c r="EYN158"/>
      <c r="EYO158"/>
      <c r="EYP158"/>
      <c r="EYQ158"/>
      <c r="EYR158"/>
      <c r="EYS158"/>
      <c r="EYT158"/>
      <c r="EYU158"/>
      <c r="EYV158"/>
      <c r="EYW158"/>
      <c r="EYX158"/>
      <c r="EYY158"/>
      <c r="EYZ158"/>
      <c r="EZA158"/>
      <c r="EZB158"/>
      <c r="EZC158"/>
      <c r="EZD158"/>
      <c r="EZE158"/>
      <c r="EZF158"/>
      <c r="EZG158"/>
      <c r="EZH158"/>
      <c r="EZI158"/>
      <c r="EZJ158"/>
      <c r="EZK158"/>
      <c r="EZL158"/>
      <c r="EZM158"/>
      <c r="EZN158"/>
      <c r="EZO158"/>
      <c r="EZP158"/>
      <c r="EZQ158"/>
      <c r="EZR158"/>
      <c r="EZS158"/>
      <c r="EZT158"/>
      <c r="EZU158"/>
      <c r="EZV158"/>
      <c r="EZW158"/>
      <c r="EZX158"/>
      <c r="EZY158"/>
      <c r="EZZ158"/>
      <c r="FAA158"/>
      <c r="FAB158"/>
      <c r="FAC158"/>
      <c r="FAD158"/>
      <c r="FAE158"/>
      <c r="FAF158"/>
      <c r="FAG158"/>
      <c r="FAH158"/>
      <c r="FAI158"/>
      <c r="FAJ158"/>
      <c r="FAK158"/>
      <c r="FAL158"/>
      <c r="FAM158"/>
      <c r="FAN158"/>
      <c r="FAO158"/>
      <c r="FAP158"/>
      <c r="FAQ158"/>
      <c r="FAR158"/>
      <c r="FAS158"/>
      <c r="FAT158"/>
      <c r="FAU158"/>
      <c r="FAV158"/>
      <c r="FAW158"/>
      <c r="FAX158"/>
      <c r="FAY158"/>
      <c r="FAZ158"/>
      <c r="FBA158"/>
      <c r="FBB158"/>
      <c r="FBC158"/>
      <c r="FBD158"/>
      <c r="FBE158"/>
      <c r="FBF158"/>
      <c r="FBG158"/>
      <c r="FBH158"/>
      <c r="FBI158"/>
      <c r="FBJ158"/>
      <c r="FBK158"/>
      <c r="FBL158"/>
      <c r="FBM158"/>
      <c r="FBN158"/>
      <c r="FBO158"/>
      <c r="FBP158"/>
      <c r="FBQ158"/>
      <c r="FBR158"/>
      <c r="FBS158"/>
      <c r="FBT158"/>
      <c r="FBU158"/>
      <c r="FBV158"/>
      <c r="FBW158"/>
      <c r="FBX158"/>
      <c r="FBY158"/>
      <c r="FBZ158"/>
      <c r="FCA158"/>
      <c r="FCB158"/>
      <c r="FCC158"/>
      <c r="FCD158"/>
      <c r="FCE158"/>
      <c r="FCF158"/>
      <c r="FCG158"/>
      <c r="FCH158"/>
      <c r="FCI158"/>
      <c r="FCJ158"/>
      <c r="FCK158"/>
      <c r="FCL158"/>
      <c r="FCM158"/>
      <c r="FCN158"/>
      <c r="FCO158"/>
      <c r="FCP158"/>
      <c r="FCQ158"/>
      <c r="FCR158"/>
      <c r="FCS158"/>
      <c r="FCT158"/>
      <c r="FCU158"/>
      <c r="FCV158"/>
      <c r="FCW158"/>
      <c r="FCX158"/>
      <c r="FCY158"/>
      <c r="FCZ158"/>
      <c r="FDA158"/>
      <c r="FDB158"/>
      <c r="FDC158"/>
      <c r="FDD158"/>
      <c r="FDE158"/>
      <c r="FDF158"/>
      <c r="FDG158"/>
      <c r="FDH158"/>
      <c r="FDI158"/>
      <c r="FDJ158"/>
      <c r="FDK158"/>
      <c r="FDL158"/>
      <c r="FDM158"/>
      <c r="FDN158"/>
      <c r="FDO158"/>
      <c r="FDP158"/>
      <c r="FDQ158"/>
      <c r="FDR158"/>
      <c r="FDS158"/>
      <c r="FDT158"/>
      <c r="FDU158"/>
      <c r="FDV158"/>
      <c r="FDW158"/>
      <c r="FDX158"/>
      <c r="FDY158"/>
      <c r="FDZ158"/>
      <c r="FEA158"/>
      <c r="FEB158"/>
      <c r="FEC158"/>
      <c r="FED158"/>
      <c r="FEE158"/>
      <c r="FEF158"/>
      <c r="FEG158"/>
      <c r="FEH158"/>
      <c r="FEI158"/>
      <c r="FEJ158"/>
      <c r="FEK158"/>
      <c r="FEL158"/>
      <c r="FEM158"/>
      <c r="FEN158"/>
      <c r="FEO158"/>
      <c r="FEP158"/>
      <c r="FEQ158"/>
      <c r="FER158"/>
      <c r="FES158"/>
      <c r="FET158"/>
      <c r="FEU158"/>
      <c r="FEV158"/>
      <c r="FEW158"/>
      <c r="FEX158"/>
      <c r="FEY158"/>
      <c r="FEZ158"/>
      <c r="FFA158"/>
      <c r="FFB158"/>
      <c r="FFC158"/>
      <c r="FFD158"/>
      <c r="FFE158"/>
      <c r="FFF158"/>
      <c r="FFG158"/>
      <c r="FFH158"/>
      <c r="FFI158"/>
      <c r="FFJ158"/>
      <c r="FFK158"/>
      <c r="FFL158"/>
      <c r="FFM158"/>
      <c r="FFN158"/>
      <c r="FFO158"/>
      <c r="FFP158"/>
      <c r="FFQ158"/>
      <c r="FFR158"/>
      <c r="FFS158"/>
      <c r="FFT158"/>
      <c r="FFU158"/>
      <c r="FFV158"/>
      <c r="FFW158"/>
      <c r="FFX158"/>
      <c r="FFY158"/>
      <c r="FFZ158"/>
      <c r="FGA158"/>
      <c r="FGB158"/>
      <c r="FGC158"/>
      <c r="FGD158"/>
      <c r="FGE158"/>
      <c r="FGF158"/>
      <c r="FGG158"/>
      <c r="FGH158"/>
      <c r="FGI158"/>
      <c r="FGJ158"/>
      <c r="FGK158"/>
      <c r="FGL158"/>
      <c r="FGM158"/>
      <c r="FGN158"/>
      <c r="FGO158"/>
      <c r="FGP158"/>
      <c r="FGQ158"/>
      <c r="FGR158"/>
      <c r="FGS158"/>
      <c r="FGT158"/>
      <c r="FGU158"/>
      <c r="FGV158"/>
      <c r="FGW158"/>
      <c r="FGX158"/>
      <c r="FGY158"/>
      <c r="FGZ158"/>
      <c r="FHA158"/>
      <c r="FHB158"/>
      <c r="FHC158"/>
      <c r="FHD158"/>
      <c r="FHE158"/>
      <c r="FHF158"/>
      <c r="FHG158"/>
      <c r="FHH158"/>
      <c r="FHI158"/>
      <c r="FHJ158"/>
      <c r="FHK158"/>
      <c r="FHL158"/>
      <c r="FHM158"/>
      <c r="FHN158"/>
      <c r="FHO158"/>
      <c r="FHP158"/>
      <c r="FHQ158"/>
      <c r="FHR158"/>
      <c r="FHS158"/>
      <c r="FHT158"/>
      <c r="FHU158"/>
      <c r="FHV158"/>
      <c r="FHW158"/>
      <c r="FHX158"/>
      <c r="FHY158"/>
      <c r="FHZ158"/>
      <c r="FIA158"/>
      <c r="FIB158"/>
      <c r="FIC158"/>
      <c r="FID158"/>
      <c r="FIE158"/>
      <c r="FIF158"/>
      <c r="FIG158"/>
      <c r="FIH158"/>
      <c r="FII158"/>
      <c r="FIJ158"/>
      <c r="FIK158"/>
      <c r="FIL158"/>
      <c r="FIM158"/>
      <c r="FIN158"/>
      <c r="FIO158"/>
      <c r="FIP158"/>
      <c r="FIQ158"/>
      <c r="FIR158"/>
      <c r="FIS158"/>
      <c r="FIT158"/>
      <c r="FIU158"/>
      <c r="FIV158"/>
      <c r="FIW158"/>
      <c r="FIX158"/>
      <c r="FIY158"/>
      <c r="FIZ158"/>
      <c r="FJA158"/>
      <c r="FJB158"/>
      <c r="FJC158"/>
      <c r="FJD158"/>
      <c r="FJE158"/>
      <c r="FJF158"/>
      <c r="FJG158"/>
      <c r="FJH158"/>
      <c r="FJI158"/>
      <c r="FJJ158"/>
      <c r="FJK158"/>
      <c r="FJL158"/>
      <c r="FJM158"/>
      <c r="FJN158"/>
      <c r="FJO158"/>
      <c r="FJP158"/>
      <c r="FJQ158"/>
      <c r="FJR158"/>
      <c r="FJS158"/>
      <c r="FJT158"/>
      <c r="FJU158"/>
      <c r="FJV158"/>
      <c r="FJW158"/>
      <c r="FJX158"/>
      <c r="FJY158"/>
      <c r="FJZ158"/>
      <c r="FKA158"/>
      <c r="FKB158"/>
      <c r="FKC158"/>
      <c r="FKD158"/>
      <c r="FKE158"/>
      <c r="FKF158"/>
      <c r="FKG158"/>
      <c r="FKH158"/>
      <c r="FKI158"/>
      <c r="FKJ158"/>
      <c r="FKK158"/>
      <c r="FKL158"/>
      <c r="FKM158"/>
      <c r="FKN158"/>
      <c r="FKO158"/>
      <c r="FKP158"/>
      <c r="FKQ158"/>
      <c r="FKR158"/>
      <c r="FKS158"/>
      <c r="FKT158"/>
      <c r="FKU158"/>
      <c r="FKV158"/>
      <c r="FKW158"/>
      <c r="FKX158"/>
      <c r="FKY158"/>
      <c r="FKZ158"/>
      <c r="FLA158"/>
      <c r="FLB158"/>
      <c r="FLC158"/>
      <c r="FLD158"/>
      <c r="FLE158"/>
      <c r="FLF158"/>
      <c r="FLG158"/>
      <c r="FLH158"/>
      <c r="FLI158"/>
      <c r="FLJ158"/>
      <c r="FLK158"/>
      <c r="FLL158"/>
      <c r="FLM158"/>
      <c r="FLN158"/>
      <c r="FLO158"/>
      <c r="FLP158"/>
      <c r="FLQ158"/>
      <c r="FLR158"/>
      <c r="FLS158"/>
      <c r="FLT158"/>
      <c r="FLU158"/>
      <c r="FLV158"/>
      <c r="FLW158"/>
      <c r="FLX158"/>
      <c r="FLY158"/>
      <c r="FLZ158"/>
      <c r="FMA158"/>
      <c r="FMB158"/>
      <c r="FMC158"/>
      <c r="FMD158"/>
      <c r="FME158"/>
      <c r="FMF158"/>
      <c r="FMG158"/>
      <c r="FMH158"/>
      <c r="FMI158"/>
      <c r="FMJ158"/>
      <c r="FMK158"/>
      <c r="FML158"/>
      <c r="FMM158"/>
      <c r="FMN158"/>
      <c r="FMO158"/>
      <c r="FMP158"/>
      <c r="FMQ158"/>
      <c r="FMR158"/>
      <c r="FMS158"/>
      <c r="FMT158"/>
      <c r="FMU158"/>
      <c r="FMV158"/>
      <c r="FMW158"/>
      <c r="FMX158"/>
      <c r="FMY158"/>
      <c r="FMZ158"/>
      <c r="FNA158"/>
      <c r="FNB158"/>
      <c r="FNC158"/>
      <c r="FND158"/>
      <c r="FNE158"/>
      <c r="FNF158"/>
      <c r="FNG158"/>
      <c r="FNH158"/>
      <c r="FNI158"/>
      <c r="FNJ158"/>
      <c r="FNK158"/>
      <c r="FNL158"/>
      <c r="FNM158"/>
      <c r="FNN158"/>
      <c r="FNO158"/>
      <c r="FNP158"/>
      <c r="FNQ158"/>
      <c r="FNR158"/>
      <c r="FNS158"/>
      <c r="FNT158"/>
      <c r="FNU158"/>
      <c r="FNV158"/>
      <c r="FNW158"/>
      <c r="FNX158"/>
      <c r="FNY158"/>
      <c r="FNZ158"/>
      <c r="FOA158"/>
      <c r="FOB158"/>
      <c r="FOC158"/>
      <c r="FOD158"/>
      <c r="FOE158"/>
      <c r="FOF158"/>
      <c r="FOG158"/>
      <c r="FOH158"/>
      <c r="FOI158"/>
      <c r="FOJ158"/>
      <c r="FOK158"/>
      <c r="FOL158"/>
      <c r="FOM158"/>
      <c r="FON158"/>
      <c r="FOO158"/>
      <c r="FOP158"/>
      <c r="FOQ158"/>
      <c r="FOR158"/>
      <c r="FOS158"/>
      <c r="FOT158"/>
      <c r="FOU158"/>
      <c r="FOV158"/>
      <c r="FOW158"/>
      <c r="FOX158"/>
      <c r="FOY158"/>
      <c r="FOZ158"/>
      <c r="FPA158"/>
      <c r="FPB158"/>
      <c r="FPC158"/>
      <c r="FPD158"/>
      <c r="FPE158"/>
      <c r="FPF158"/>
      <c r="FPG158"/>
      <c r="FPH158"/>
      <c r="FPI158"/>
      <c r="FPJ158"/>
      <c r="FPK158"/>
      <c r="FPL158"/>
      <c r="FPM158"/>
      <c r="FPN158"/>
      <c r="FPO158"/>
      <c r="FPP158"/>
      <c r="FPQ158"/>
      <c r="FPR158"/>
      <c r="FPS158"/>
      <c r="FPT158"/>
      <c r="FPU158"/>
      <c r="FPV158"/>
      <c r="FPW158"/>
      <c r="FPX158"/>
      <c r="FPY158"/>
      <c r="FPZ158"/>
      <c r="FQA158"/>
      <c r="FQB158"/>
      <c r="FQC158"/>
      <c r="FQD158"/>
      <c r="FQE158"/>
      <c r="FQF158"/>
      <c r="FQG158"/>
      <c r="FQH158"/>
      <c r="FQI158"/>
      <c r="FQJ158"/>
      <c r="FQK158"/>
      <c r="FQL158"/>
      <c r="FQM158"/>
      <c r="FQN158"/>
      <c r="FQO158"/>
      <c r="FQP158"/>
      <c r="FQQ158"/>
      <c r="FQR158"/>
      <c r="FQS158"/>
      <c r="FQT158"/>
      <c r="FQU158"/>
      <c r="FQV158"/>
      <c r="FQW158"/>
      <c r="FQX158"/>
      <c r="FQY158"/>
      <c r="FQZ158"/>
      <c r="FRA158"/>
      <c r="FRB158"/>
      <c r="FRC158"/>
      <c r="FRD158"/>
      <c r="FRE158"/>
      <c r="FRF158"/>
      <c r="FRG158"/>
      <c r="FRH158"/>
      <c r="FRI158"/>
      <c r="FRJ158"/>
      <c r="FRK158"/>
      <c r="FRL158"/>
      <c r="FRM158"/>
      <c r="FRN158"/>
      <c r="FRO158"/>
      <c r="FRP158"/>
      <c r="FRQ158"/>
      <c r="FRR158"/>
      <c r="FRS158"/>
      <c r="FRT158"/>
      <c r="FRU158"/>
      <c r="FRV158"/>
      <c r="FRW158"/>
      <c r="FRX158"/>
      <c r="FRY158"/>
      <c r="FRZ158"/>
      <c r="FSA158"/>
      <c r="FSB158"/>
      <c r="FSC158"/>
      <c r="FSD158"/>
      <c r="FSE158"/>
      <c r="FSF158"/>
      <c r="FSG158"/>
      <c r="FSH158"/>
      <c r="FSI158"/>
      <c r="FSJ158"/>
      <c r="FSK158"/>
      <c r="FSL158"/>
      <c r="FSM158"/>
      <c r="FSN158"/>
      <c r="FSO158"/>
      <c r="FSP158"/>
      <c r="FSQ158"/>
      <c r="FSR158"/>
      <c r="FSS158"/>
      <c r="FST158"/>
      <c r="FSU158"/>
      <c r="FSV158"/>
      <c r="FSW158"/>
      <c r="FSX158"/>
      <c r="FSY158"/>
      <c r="FSZ158"/>
      <c r="FTA158"/>
      <c r="FTB158"/>
      <c r="FTC158"/>
      <c r="FTD158"/>
      <c r="FTE158"/>
      <c r="FTF158"/>
      <c r="FTG158"/>
      <c r="FTH158"/>
      <c r="FTI158"/>
      <c r="FTJ158"/>
      <c r="FTK158"/>
      <c r="FTL158"/>
      <c r="FTM158"/>
      <c r="FTN158"/>
      <c r="FTO158"/>
      <c r="FTP158"/>
      <c r="FTQ158"/>
      <c r="FTR158"/>
      <c r="FTS158"/>
      <c r="FTT158"/>
      <c r="FTU158"/>
      <c r="FTV158"/>
      <c r="FTW158"/>
      <c r="FTX158"/>
      <c r="FTY158"/>
      <c r="FTZ158"/>
      <c r="FUA158"/>
      <c r="FUB158"/>
      <c r="FUC158"/>
      <c r="FUD158"/>
      <c r="FUE158"/>
      <c r="FUF158"/>
      <c r="FUG158"/>
      <c r="FUH158"/>
      <c r="FUI158"/>
      <c r="FUJ158"/>
      <c r="FUK158"/>
      <c r="FUL158"/>
      <c r="FUM158"/>
      <c r="FUN158"/>
      <c r="FUO158"/>
      <c r="FUP158"/>
      <c r="FUQ158"/>
      <c r="FUR158"/>
      <c r="FUS158"/>
      <c r="FUT158"/>
      <c r="FUU158"/>
      <c r="FUV158"/>
      <c r="FUW158"/>
      <c r="FUX158"/>
      <c r="FUY158"/>
      <c r="FUZ158"/>
      <c r="FVA158"/>
      <c r="FVB158"/>
      <c r="FVC158"/>
      <c r="FVD158"/>
      <c r="FVE158"/>
      <c r="FVF158"/>
      <c r="FVG158"/>
      <c r="FVH158"/>
      <c r="FVI158"/>
      <c r="FVJ158"/>
      <c r="FVK158"/>
      <c r="FVL158"/>
      <c r="FVM158"/>
      <c r="FVN158"/>
      <c r="FVO158"/>
      <c r="FVP158"/>
      <c r="FVQ158"/>
      <c r="FVR158"/>
      <c r="FVS158"/>
      <c r="FVT158"/>
      <c r="FVU158"/>
      <c r="FVV158"/>
      <c r="FVW158"/>
      <c r="FVX158"/>
      <c r="FVY158"/>
      <c r="FVZ158"/>
      <c r="FWA158"/>
      <c r="FWB158"/>
      <c r="FWC158"/>
      <c r="FWD158"/>
      <c r="FWE158"/>
      <c r="FWF158"/>
      <c r="FWG158"/>
      <c r="FWH158"/>
      <c r="FWI158"/>
      <c r="FWJ158"/>
      <c r="FWK158"/>
      <c r="FWL158"/>
      <c r="FWM158"/>
      <c r="FWN158"/>
      <c r="FWO158"/>
      <c r="FWP158"/>
      <c r="FWQ158"/>
      <c r="FWR158"/>
      <c r="FWS158"/>
      <c r="FWT158"/>
      <c r="FWU158"/>
      <c r="FWV158"/>
      <c r="FWW158"/>
      <c r="FWX158"/>
      <c r="FWY158"/>
      <c r="FWZ158"/>
      <c r="FXA158"/>
      <c r="FXB158"/>
      <c r="FXC158"/>
      <c r="FXD158"/>
      <c r="FXE158"/>
      <c r="FXF158"/>
      <c r="FXG158"/>
      <c r="FXH158"/>
      <c r="FXI158"/>
      <c r="FXJ158"/>
      <c r="FXK158"/>
      <c r="FXL158"/>
      <c r="FXM158"/>
      <c r="FXN158"/>
      <c r="FXO158"/>
      <c r="FXP158"/>
      <c r="FXQ158"/>
      <c r="FXR158"/>
      <c r="FXS158"/>
      <c r="FXT158"/>
      <c r="FXU158"/>
      <c r="FXV158"/>
      <c r="FXW158"/>
      <c r="FXX158"/>
      <c r="FXY158"/>
      <c r="FXZ158"/>
      <c r="FYA158"/>
      <c r="FYB158"/>
      <c r="FYC158"/>
      <c r="FYD158"/>
      <c r="FYE158"/>
      <c r="FYF158"/>
      <c r="FYG158"/>
      <c r="FYH158"/>
      <c r="FYI158"/>
      <c r="FYJ158"/>
      <c r="FYK158"/>
      <c r="FYL158"/>
      <c r="FYM158"/>
      <c r="FYN158"/>
      <c r="FYO158"/>
      <c r="FYP158"/>
      <c r="FYQ158"/>
      <c r="FYR158"/>
      <c r="FYS158"/>
      <c r="FYT158"/>
      <c r="FYU158"/>
      <c r="FYV158"/>
      <c r="FYW158"/>
      <c r="FYX158"/>
      <c r="FYY158"/>
      <c r="FYZ158"/>
      <c r="FZA158"/>
      <c r="FZB158"/>
      <c r="FZC158"/>
      <c r="FZD158"/>
      <c r="FZE158"/>
      <c r="FZF158"/>
      <c r="FZG158"/>
      <c r="FZH158"/>
      <c r="FZI158"/>
      <c r="FZJ158"/>
      <c r="FZK158"/>
      <c r="FZL158"/>
      <c r="FZM158"/>
      <c r="FZN158"/>
      <c r="FZO158"/>
      <c r="FZP158"/>
      <c r="FZQ158"/>
      <c r="FZR158"/>
      <c r="FZS158"/>
      <c r="FZT158"/>
      <c r="FZU158"/>
      <c r="FZV158"/>
      <c r="FZW158"/>
      <c r="FZX158"/>
      <c r="FZY158"/>
      <c r="FZZ158"/>
      <c r="GAA158"/>
      <c r="GAB158"/>
      <c r="GAC158"/>
      <c r="GAD158"/>
      <c r="GAE158"/>
      <c r="GAF158"/>
      <c r="GAG158"/>
      <c r="GAH158"/>
      <c r="GAI158"/>
      <c r="GAJ158"/>
      <c r="GAK158"/>
      <c r="GAL158"/>
      <c r="GAM158"/>
      <c r="GAN158"/>
      <c r="GAO158"/>
      <c r="GAP158"/>
      <c r="GAQ158"/>
      <c r="GAR158"/>
      <c r="GAS158"/>
      <c r="GAT158"/>
      <c r="GAU158"/>
      <c r="GAV158"/>
      <c r="GAW158"/>
      <c r="GAX158"/>
      <c r="GAY158"/>
      <c r="GAZ158"/>
      <c r="GBA158"/>
      <c r="GBB158"/>
      <c r="GBC158"/>
      <c r="GBD158"/>
      <c r="GBE158"/>
      <c r="GBF158"/>
      <c r="GBG158"/>
      <c r="GBH158"/>
      <c r="GBI158"/>
      <c r="GBJ158"/>
      <c r="GBK158"/>
      <c r="GBL158"/>
      <c r="GBM158"/>
      <c r="GBN158"/>
      <c r="GBO158"/>
      <c r="GBP158"/>
      <c r="GBQ158"/>
      <c r="GBR158"/>
      <c r="GBS158"/>
      <c r="GBT158"/>
      <c r="GBU158"/>
      <c r="GBV158"/>
      <c r="GBW158"/>
      <c r="GBX158"/>
      <c r="GBY158"/>
      <c r="GBZ158"/>
      <c r="GCA158"/>
      <c r="GCB158"/>
      <c r="GCC158"/>
      <c r="GCD158"/>
      <c r="GCE158"/>
      <c r="GCF158"/>
      <c r="GCG158"/>
      <c r="GCH158"/>
      <c r="GCI158"/>
      <c r="GCJ158"/>
      <c r="GCK158"/>
      <c r="GCL158"/>
      <c r="GCM158"/>
      <c r="GCN158"/>
      <c r="GCO158"/>
      <c r="GCP158"/>
      <c r="GCQ158"/>
      <c r="GCR158"/>
      <c r="GCS158"/>
      <c r="GCT158"/>
      <c r="GCU158"/>
      <c r="GCV158"/>
      <c r="GCW158"/>
      <c r="GCX158"/>
      <c r="GCY158"/>
      <c r="GCZ158"/>
      <c r="GDA158"/>
      <c r="GDB158"/>
      <c r="GDC158"/>
      <c r="GDD158"/>
      <c r="GDE158"/>
      <c r="GDF158"/>
      <c r="GDG158"/>
      <c r="GDH158"/>
      <c r="GDI158"/>
      <c r="GDJ158"/>
      <c r="GDK158"/>
      <c r="GDL158"/>
      <c r="GDM158"/>
      <c r="GDN158"/>
      <c r="GDO158"/>
      <c r="GDP158"/>
      <c r="GDQ158"/>
      <c r="GDR158"/>
      <c r="GDS158"/>
      <c r="GDT158"/>
      <c r="GDU158"/>
      <c r="GDV158"/>
      <c r="GDW158"/>
      <c r="GDX158"/>
      <c r="GDY158"/>
      <c r="GDZ158"/>
      <c r="GEA158"/>
      <c r="GEB158"/>
      <c r="GEC158"/>
      <c r="GED158"/>
      <c r="GEE158"/>
      <c r="GEF158"/>
      <c r="GEG158"/>
      <c r="GEH158"/>
      <c r="GEI158"/>
      <c r="GEJ158"/>
      <c r="GEK158"/>
      <c r="GEL158"/>
      <c r="GEM158"/>
      <c r="GEN158"/>
      <c r="GEO158"/>
      <c r="GEP158"/>
      <c r="GEQ158"/>
      <c r="GER158"/>
      <c r="GES158"/>
      <c r="GET158"/>
      <c r="GEU158"/>
      <c r="GEV158"/>
      <c r="GEW158"/>
      <c r="GEX158"/>
      <c r="GEY158"/>
      <c r="GEZ158"/>
      <c r="GFA158"/>
      <c r="GFB158"/>
      <c r="GFC158"/>
      <c r="GFD158"/>
      <c r="GFE158"/>
      <c r="GFF158"/>
      <c r="GFG158"/>
      <c r="GFH158"/>
      <c r="GFI158"/>
      <c r="GFJ158"/>
      <c r="GFK158"/>
      <c r="GFL158"/>
      <c r="GFM158"/>
      <c r="GFN158"/>
      <c r="GFO158"/>
      <c r="GFP158"/>
      <c r="GFQ158"/>
      <c r="GFR158"/>
      <c r="GFS158"/>
      <c r="GFT158"/>
      <c r="GFU158"/>
      <c r="GFV158"/>
      <c r="GFW158"/>
      <c r="GFX158"/>
      <c r="GFY158"/>
      <c r="GFZ158"/>
      <c r="GGA158"/>
      <c r="GGB158"/>
      <c r="GGC158"/>
      <c r="GGD158"/>
      <c r="GGE158"/>
      <c r="GGF158"/>
      <c r="GGG158"/>
      <c r="GGH158"/>
      <c r="GGI158"/>
      <c r="GGJ158"/>
      <c r="GGK158"/>
      <c r="GGL158"/>
      <c r="GGM158"/>
      <c r="GGN158"/>
      <c r="GGO158"/>
      <c r="GGP158"/>
      <c r="GGQ158"/>
      <c r="GGR158"/>
      <c r="GGS158"/>
      <c r="GGT158"/>
      <c r="GGU158"/>
      <c r="GGV158"/>
      <c r="GGW158"/>
      <c r="GGX158"/>
      <c r="GGY158"/>
      <c r="GGZ158"/>
      <c r="GHA158"/>
      <c r="GHB158"/>
      <c r="GHC158"/>
      <c r="GHD158"/>
      <c r="GHE158"/>
      <c r="GHF158"/>
      <c r="GHG158"/>
      <c r="GHH158"/>
      <c r="GHI158"/>
      <c r="GHJ158"/>
      <c r="GHK158"/>
      <c r="GHL158"/>
      <c r="GHM158"/>
      <c r="GHN158"/>
      <c r="GHO158"/>
      <c r="GHP158"/>
      <c r="GHQ158"/>
      <c r="GHR158"/>
      <c r="GHS158"/>
      <c r="GHT158"/>
      <c r="GHU158"/>
      <c r="GHV158"/>
      <c r="GHW158"/>
      <c r="GHX158"/>
      <c r="GHY158"/>
      <c r="GHZ158"/>
      <c r="GIA158"/>
      <c r="GIB158"/>
      <c r="GIC158"/>
      <c r="GID158"/>
      <c r="GIE158"/>
      <c r="GIF158"/>
      <c r="GIG158"/>
      <c r="GIH158"/>
      <c r="GII158"/>
      <c r="GIJ158"/>
      <c r="GIK158"/>
      <c r="GIL158"/>
      <c r="GIM158"/>
      <c r="GIN158"/>
      <c r="GIO158"/>
      <c r="GIP158"/>
      <c r="GIQ158"/>
      <c r="GIR158"/>
      <c r="GIS158"/>
      <c r="GIT158"/>
      <c r="GIU158"/>
      <c r="GIV158"/>
      <c r="GIW158"/>
      <c r="GIX158"/>
      <c r="GIY158"/>
      <c r="GIZ158"/>
      <c r="GJA158"/>
      <c r="GJB158"/>
      <c r="GJC158"/>
      <c r="GJD158"/>
      <c r="GJE158"/>
      <c r="GJF158"/>
      <c r="GJG158"/>
      <c r="GJH158"/>
      <c r="GJI158"/>
      <c r="GJJ158"/>
      <c r="GJK158"/>
      <c r="GJL158"/>
      <c r="GJM158"/>
      <c r="GJN158"/>
      <c r="GJO158"/>
      <c r="GJP158"/>
      <c r="GJQ158"/>
      <c r="GJR158"/>
      <c r="GJS158"/>
      <c r="GJT158"/>
      <c r="GJU158"/>
      <c r="GJV158"/>
      <c r="GJW158"/>
      <c r="GJX158"/>
      <c r="GJY158"/>
      <c r="GJZ158"/>
      <c r="GKA158"/>
      <c r="GKB158"/>
      <c r="GKC158"/>
      <c r="GKD158"/>
      <c r="GKE158"/>
      <c r="GKF158"/>
      <c r="GKG158"/>
      <c r="GKH158"/>
      <c r="GKI158"/>
      <c r="GKJ158"/>
      <c r="GKK158"/>
      <c r="GKL158"/>
      <c r="GKM158"/>
      <c r="GKN158"/>
      <c r="GKO158"/>
      <c r="GKP158"/>
      <c r="GKQ158"/>
      <c r="GKR158"/>
      <c r="GKS158"/>
      <c r="GKT158"/>
      <c r="GKU158"/>
      <c r="GKV158"/>
      <c r="GKW158"/>
      <c r="GKX158"/>
      <c r="GKY158"/>
      <c r="GKZ158"/>
      <c r="GLA158"/>
      <c r="GLB158"/>
      <c r="GLC158"/>
      <c r="GLD158"/>
      <c r="GLE158"/>
      <c r="GLF158"/>
      <c r="GLG158"/>
      <c r="GLH158"/>
      <c r="GLI158"/>
      <c r="GLJ158"/>
      <c r="GLK158"/>
      <c r="GLL158"/>
      <c r="GLM158"/>
      <c r="GLN158"/>
      <c r="GLO158"/>
      <c r="GLP158"/>
      <c r="GLQ158"/>
      <c r="GLR158"/>
      <c r="GLS158"/>
      <c r="GLT158"/>
      <c r="GLU158"/>
      <c r="GLV158"/>
      <c r="GLW158"/>
      <c r="GLX158"/>
      <c r="GLY158"/>
      <c r="GLZ158"/>
      <c r="GMA158"/>
      <c r="GMB158"/>
      <c r="GMC158"/>
      <c r="GMD158"/>
      <c r="GME158"/>
      <c r="GMF158"/>
      <c r="GMG158"/>
      <c r="GMH158"/>
      <c r="GMI158"/>
      <c r="GMJ158"/>
      <c r="GMK158"/>
      <c r="GML158"/>
      <c r="GMM158"/>
      <c r="GMN158"/>
      <c r="GMO158"/>
      <c r="GMP158"/>
      <c r="GMQ158"/>
      <c r="GMR158"/>
      <c r="GMS158"/>
      <c r="GMT158"/>
      <c r="GMU158"/>
      <c r="GMV158"/>
      <c r="GMW158"/>
      <c r="GMX158"/>
      <c r="GMY158"/>
      <c r="GMZ158"/>
      <c r="GNA158"/>
      <c r="GNB158"/>
      <c r="GNC158"/>
      <c r="GND158"/>
      <c r="GNE158"/>
      <c r="GNF158"/>
      <c r="GNG158"/>
      <c r="GNH158"/>
      <c r="GNI158"/>
      <c r="GNJ158"/>
      <c r="GNK158"/>
      <c r="GNL158"/>
      <c r="GNM158"/>
      <c r="GNN158"/>
      <c r="GNO158"/>
      <c r="GNP158"/>
      <c r="GNQ158"/>
      <c r="GNR158"/>
      <c r="GNS158"/>
      <c r="GNT158"/>
      <c r="GNU158"/>
      <c r="GNV158"/>
      <c r="GNW158"/>
      <c r="GNX158"/>
      <c r="GNY158"/>
      <c r="GNZ158"/>
      <c r="GOA158"/>
      <c r="GOB158"/>
      <c r="GOC158"/>
      <c r="GOD158"/>
      <c r="GOE158"/>
      <c r="GOF158"/>
      <c r="GOG158"/>
      <c r="GOH158"/>
      <c r="GOI158"/>
      <c r="GOJ158"/>
      <c r="GOK158"/>
      <c r="GOL158"/>
      <c r="GOM158"/>
      <c r="GON158"/>
      <c r="GOO158"/>
      <c r="GOP158"/>
      <c r="GOQ158"/>
      <c r="GOR158"/>
      <c r="GOS158"/>
      <c r="GOT158"/>
      <c r="GOU158"/>
      <c r="GOV158"/>
      <c r="GOW158"/>
      <c r="GOX158"/>
      <c r="GOY158"/>
      <c r="GOZ158"/>
      <c r="GPA158"/>
      <c r="GPB158"/>
      <c r="GPC158"/>
      <c r="GPD158"/>
      <c r="GPE158"/>
      <c r="GPF158"/>
      <c r="GPG158"/>
      <c r="GPH158"/>
      <c r="GPI158"/>
      <c r="GPJ158"/>
      <c r="GPK158"/>
      <c r="GPL158"/>
      <c r="GPM158"/>
      <c r="GPN158"/>
      <c r="GPO158"/>
      <c r="GPP158"/>
      <c r="GPQ158"/>
      <c r="GPR158"/>
      <c r="GPS158"/>
      <c r="GPT158"/>
      <c r="GPU158"/>
      <c r="GPV158"/>
      <c r="GPW158"/>
      <c r="GPX158"/>
      <c r="GPY158"/>
      <c r="GPZ158"/>
      <c r="GQA158"/>
      <c r="GQB158"/>
      <c r="GQC158"/>
      <c r="GQD158"/>
      <c r="GQE158"/>
      <c r="GQF158"/>
      <c r="GQG158"/>
      <c r="GQH158"/>
      <c r="GQI158"/>
      <c r="GQJ158"/>
      <c r="GQK158"/>
      <c r="GQL158"/>
      <c r="GQM158"/>
      <c r="GQN158"/>
      <c r="GQO158"/>
      <c r="GQP158"/>
      <c r="GQQ158"/>
      <c r="GQR158"/>
      <c r="GQS158"/>
      <c r="GQT158"/>
      <c r="GQU158"/>
      <c r="GQV158"/>
      <c r="GQW158"/>
      <c r="GQX158"/>
      <c r="GQY158"/>
      <c r="GQZ158"/>
      <c r="GRA158"/>
      <c r="GRB158"/>
      <c r="GRC158"/>
      <c r="GRD158"/>
      <c r="GRE158"/>
      <c r="GRF158"/>
      <c r="GRG158"/>
      <c r="GRH158"/>
      <c r="GRI158"/>
      <c r="GRJ158"/>
      <c r="GRK158"/>
      <c r="GRL158"/>
      <c r="GRM158"/>
      <c r="GRN158"/>
      <c r="GRO158"/>
      <c r="GRP158"/>
      <c r="GRQ158"/>
      <c r="GRR158"/>
      <c r="GRS158"/>
      <c r="GRT158"/>
      <c r="GRU158"/>
      <c r="GRV158"/>
      <c r="GRW158"/>
      <c r="GRX158"/>
      <c r="GRY158"/>
      <c r="GRZ158"/>
      <c r="GSA158"/>
      <c r="GSB158"/>
      <c r="GSC158"/>
      <c r="GSD158"/>
      <c r="GSE158"/>
      <c r="GSF158"/>
      <c r="GSG158"/>
      <c r="GSH158"/>
      <c r="GSI158"/>
      <c r="GSJ158"/>
      <c r="GSK158"/>
      <c r="GSL158"/>
      <c r="GSM158"/>
      <c r="GSN158"/>
      <c r="GSO158"/>
      <c r="GSP158"/>
      <c r="GSQ158"/>
      <c r="GSR158"/>
      <c r="GSS158"/>
      <c r="GST158"/>
      <c r="GSU158"/>
      <c r="GSV158"/>
      <c r="GSW158"/>
      <c r="GSX158"/>
      <c r="GSY158"/>
      <c r="GSZ158"/>
      <c r="GTA158"/>
      <c r="GTB158"/>
      <c r="GTC158"/>
      <c r="GTD158"/>
      <c r="GTE158"/>
      <c r="GTF158"/>
      <c r="GTG158"/>
      <c r="GTH158"/>
      <c r="GTI158"/>
      <c r="GTJ158"/>
      <c r="GTK158"/>
      <c r="GTL158"/>
      <c r="GTM158"/>
      <c r="GTN158"/>
      <c r="GTO158"/>
      <c r="GTP158"/>
      <c r="GTQ158"/>
      <c r="GTR158"/>
      <c r="GTS158"/>
      <c r="GTT158"/>
      <c r="GTU158"/>
      <c r="GTV158"/>
      <c r="GTW158"/>
      <c r="GTX158"/>
      <c r="GTY158"/>
      <c r="GTZ158"/>
      <c r="GUA158"/>
      <c r="GUB158"/>
      <c r="GUC158"/>
      <c r="GUD158"/>
      <c r="GUE158"/>
      <c r="GUF158"/>
      <c r="GUG158"/>
      <c r="GUH158"/>
      <c r="GUI158"/>
      <c r="GUJ158"/>
      <c r="GUK158"/>
      <c r="GUL158"/>
      <c r="GUM158"/>
      <c r="GUN158"/>
      <c r="GUO158"/>
      <c r="GUP158"/>
      <c r="GUQ158"/>
      <c r="GUR158"/>
      <c r="GUS158"/>
      <c r="GUT158"/>
      <c r="GUU158"/>
      <c r="GUV158"/>
      <c r="GUW158"/>
      <c r="GUX158"/>
      <c r="GUY158"/>
      <c r="GUZ158"/>
      <c r="GVA158"/>
      <c r="GVB158"/>
      <c r="GVC158"/>
      <c r="GVD158"/>
      <c r="GVE158"/>
      <c r="GVF158"/>
      <c r="GVG158"/>
      <c r="GVH158"/>
      <c r="GVI158"/>
      <c r="GVJ158"/>
      <c r="GVK158"/>
      <c r="GVL158"/>
      <c r="GVM158"/>
      <c r="GVN158"/>
      <c r="GVO158"/>
      <c r="GVP158"/>
      <c r="GVQ158"/>
      <c r="GVR158"/>
      <c r="GVS158"/>
      <c r="GVT158"/>
      <c r="GVU158"/>
      <c r="GVV158"/>
      <c r="GVW158"/>
      <c r="GVX158"/>
      <c r="GVY158"/>
      <c r="GVZ158"/>
      <c r="GWA158"/>
      <c r="GWB158"/>
      <c r="GWC158"/>
      <c r="GWD158"/>
      <c r="GWE158"/>
      <c r="GWF158"/>
      <c r="GWG158"/>
      <c r="GWH158"/>
      <c r="GWI158"/>
      <c r="GWJ158"/>
      <c r="GWK158"/>
      <c r="GWL158"/>
      <c r="GWM158"/>
      <c r="GWN158"/>
      <c r="GWO158"/>
      <c r="GWP158"/>
      <c r="GWQ158"/>
      <c r="GWR158"/>
      <c r="GWS158"/>
      <c r="GWT158"/>
      <c r="GWU158"/>
      <c r="GWV158"/>
      <c r="GWW158"/>
      <c r="GWX158"/>
      <c r="GWY158"/>
      <c r="GWZ158"/>
      <c r="GXA158"/>
      <c r="GXB158"/>
      <c r="GXC158"/>
      <c r="GXD158"/>
      <c r="GXE158"/>
      <c r="GXF158"/>
      <c r="GXG158"/>
      <c r="GXH158"/>
      <c r="GXI158"/>
      <c r="GXJ158"/>
      <c r="GXK158"/>
      <c r="GXL158"/>
      <c r="GXM158"/>
      <c r="GXN158"/>
      <c r="GXO158"/>
      <c r="GXP158"/>
      <c r="GXQ158"/>
      <c r="GXR158"/>
      <c r="GXS158"/>
      <c r="GXT158"/>
      <c r="GXU158"/>
      <c r="GXV158"/>
      <c r="GXW158"/>
      <c r="GXX158"/>
      <c r="GXY158"/>
      <c r="GXZ158"/>
      <c r="GYA158"/>
      <c r="GYB158"/>
      <c r="GYC158"/>
      <c r="GYD158"/>
      <c r="GYE158"/>
      <c r="GYF158"/>
      <c r="GYG158"/>
      <c r="GYH158"/>
      <c r="GYI158"/>
      <c r="GYJ158"/>
      <c r="GYK158"/>
      <c r="GYL158"/>
      <c r="GYM158"/>
      <c r="GYN158"/>
      <c r="GYO158"/>
      <c r="GYP158"/>
      <c r="GYQ158"/>
      <c r="GYR158"/>
      <c r="GYS158"/>
      <c r="GYT158"/>
      <c r="GYU158"/>
      <c r="GYV158"/>
      <c r="GYW158"/>
      <c r="GYX158"/>
      <c r="GYY158"/>
      <c r="GYZ158"/>
      <c r="GZA158"/>
      <c r="GZB158"/>
      <c r="GZC158"/>
      <c r="GZD158"/>
      <c r="GZE158"/>
      <c r="GZF158"/>
      <c r="GZG158"/>
      <c r="GZH158"/>
      <c r="GZI158"/>
      <c r="GZJ158"/>
      <c r="GZK158"/>
      <c r="GZL158"/>
      <c r="GZM158"/>
      <c r="GZN158"/>
      <c r="GZO158"/>
      <c r="GZP158"/>
      <c r="GZQ158"/>
      <c r="GZR158"/>
      <c r="GZS158"/>
      <c r="GZT158"/>
      <c r="GZU158"/>
      <c r="GZV158"/>
      <c r="GZW158"/>
      <c r="GZX158"/>
      <c r="GZY158"/>
      <c r="GZZ158"/>
      <c r="HAA158"/>
      <c r="HAB158"/>
      <c r="HAC158"/>
      <c r="HAD158"/>
      <c r="HAE158"/>
      <c r="HAF158"/>
      <c r="HAG158"/>
      <c r="HAH158"/>
      <c r="HAI158"/>
      <c r="HAJ158"/>
      <c r="HAK158"/>
      <c r="HAL158"/>
      <c r="HAM158"/>
      <c r="HAN158"/>
      <c r="HAO158"/>
      <c r="HAP158"/>
      <c r="HAQ158"/>
      <c r="HAR158"/>
      <c r="HAS158"/>
      <c r="HAT158"/>
      <c r="HAU158"/>
      <c r="HAV158"/>
      <c r="HAW158"/>
      <c r="HAX158"/>
      <c r="HAY158"/>
      <c r="HAZ158"/>
      <c r="HBA158"/>
      <c r="HBB158"/>
      <c r="HBC158"/>
      <c r="HBD158"/>
      <c r="HBE158"/>
      <c r="HBF158"/>
      <c r="HBG158"/>
      <c r="HBH158"/>
      <c r="HBI158"/>
      <c r="HBJ158"/>
      <c r="HBK158"/>
      <c r="HBL158"/>
      <c r="HBM158"/>
      <c r="HBN158"/>
      <c r="HBO158"/>
      <c r="HBP158"/>
      <c r="HBQ158"/>
      <c r="HBR158"/>
      <c r="HBS158"/>
      <c r="HBT158"/>
      <c r="HBU158"/>
      <c r="HBV158"/>
      <c r="HBW158"/>
      <c r="HBX158"/>
      <c r="HBY158"/>
      <c r="HBZ158"/>
      <c r="HCA158"/>
      <c r="HCB158"/>
      <c r="HCC158"/>
      <c r="HCD158"/>
      <c r="HCE158"/>
      <c r="HCF158"/>
      <c r="HCG158"/>
      <c r="HCH158"/>
      <c r="HCI158"/>
      <c r="HCJ158"/>
      <c r="HCK158"/>
      <c r="HCL158"/>
      <c r="HCM158"/>
      <c r="HCN158"/>
      <c r="HCO158"/>
      <c r="HCP158"/>
      <c r="HCQ158"/>
      <c r="HCR158"/>
      <c r="HCS158"/>
      <c r="HCT158"/>
      <c r="HCU158"/>
      <c r="HCV158"/>
      <c r="HCW158"/>
      <c r="HCX158"/>
      <c r="HCY158"/>
      <c r="HCZ158"/>
      <c r="HDA158"/>
      <c r="HDB158"/>
      <c r="HDC158"/>
      <c r="HDD158"/>
      <c r="HDE158"/>
      <c r="HDF158"/>
      <c r="HDG158"/>
      <c r="HDH158"/>
      <c r="HDI158"/>
      <c r="HDJ158"/>
      <c r="HDK158"/>
      <c r="HDL158"/>
      <c r="HDM158"/>
      <c r="HDN158"/>
      <c r="HDO158"/>
      <c r="HDP158"/>
      <c r="HDQ158"/>
      <c r="HDR158"/>
      <c r="HDS158"/>
      <c r="HDT158"/>
      <c r="HDU158"/>
      <c r="HDV158"/>
      <c r="HDW158"/>
      <c r="HDX158"/>
      <c r="HDY158"/>
      <c r="HDZ158"/>
      <c r="HEA158"/>
      <c r="HEB158"/>
      <c r="HEC158"/>
      <c r="HED158"/>
      <c r="HEE158"/>
      <c r="HEF158"/>
      <c r="HEG158"/>
      <c r="HEH158"/>
      <c r="HEI158"/>
      <c r="HEJ158"/>
      <c r="HEK158"/>
      <c r="HEL158"/>
      <c r="HEM158"/>
      <c r="HEN158"/>
      <c r="HEO158"/>
      <c r="HEP158"/>
      <c r="HEQ158"/>
      <c r="HER158"/>
      <c r="HES158"/>
      <c r="HET158"/>
      <c r="HEU158"/>
      <c r="HEV158"/>
      <c r="HEW158"/>
      <c r="HEX158"/>
      <c r="HEY158"/>
      <c r="HEZ158"/>
      <c r="HFA158"/>
      <c r="HFB158"/>
      <c r="HFC158"/>
      <c r="HFD158"/>
      <c r="HFE158"/>
      <c r="HFF158"/>
      <c r="HFG158"/>
      <c r="HFH158"/>
      <c r="HFI158"/>
      <c r="HFJ158"/>
      <c r="HFK158"/>
      <c r="HFL158"/>
      <c r="HFM158"/>
      <c r="HFN158"/>
      <c r="HFO158"/>
      <c r="HFP158"/>
      <c r="HFQ158"/>
      <c r="HFR158"/>
      <c r="HFS158"/>
      <c r="HFT158"/>
      <c r="HFU158"/>
      <c r="HFV158"/>
      <c r="HFW158"/>
      <c r="HFX158"/>
      <c r="HFY158"/>
      <c r="HFZ158"/>
      <c r="HGA158"/>
      <c r="HGB158"/>
      <c r="HGC158"/>
      <c r="HGD158"/>
      <c r="HGE158"/>
      <c r="HGF158"/>
      <c r="HGG158"/>
      <c r="HGH158"/>
      <c r="HGI158"/>
      <c r="HGJ158"/>
      <c r="HGK158"/>
      <c r="HGL158"/>
      <c r="HGM158"/>
      <c r="HGN158"/>
      <c r="HGO158"/>
      <c r="HGP158"/>
      <c r="HGQ158"/>
      <c r="HGR158"/>
      <c r="HGS158"/>
      <c r="HGT158"/>
      <c r="HGU158"/>
      <c r="HGV158"/>
      <c r="HGW158"/>
      <c r="HGX158"/>
      <c r="HGY158"/>
      <c r="HGZ158"/>
      <c r="HHA158"/>
      <c r="HHB158"/>
      <c r="HHC158"/>
      <c r="HHD158"/>
      <c r="HHE158"/>
      <c r="HHF158"/>
      <c r="HHG158"/>
      <c r="HHH158"/>
      <c r="HHI158"/>
      <c r="HHJ158"/>
      <c r="HHK158"/>
      <c r="HHL158"/>
      <c r="HHM158"/>
      <c r="HHN158"/>
      <c r="HHO158"/>
      <c r="HHP158"/>
      <c r="HHQ158"/>
      <c r="HHR158"/>
      <c r="HHS158"/>
      <c r="HHT158"/>
      <c r="HHU158"/>
      <c r="HHV158"/>
      <c r="HHW158"/>
      <c r="HHX158"/>
      <c r="HHY158"/>
      <c r="HHZ158"/>
      <c r="HIA158"/>
      <c r="HIB158"/>
      <c r="HIC158"/>
      <c r="HID158"/>
      <c r="HIE158"/>
      <c r="HIF158"/>
      <c r="HIG158"/>
      <c r="HIH158"/>
      <c r="HII158"/>
      <c r="HIJ158"/>
      <c r="HIK158"/>
      <c r="HIL158"/>
      <c r="HIM158"/>
      <c r="HIN158"/>
      <c r="HIO158"/>
      <c r="HIP158"/>
      <c r="HIQ158"/>
      <c r="HIR158"/>
      <c r="HIS158"/>
      <c r="HIT158"/>
      <c r="HIU158"/>
      <c r="HIV158"/>
      <c r="HIW158"/>
      <c r="HIX158"/>
      <c r="HIY158"/>
      <c r="HIZ158"/>
      <c r="HJA158"/>
      <c r="HJB158"/>
      <c r="HJC158"/>
      <c r="HJD158"/>
      <c r="HJE158"/>
      <c r="HJF158"/>
      <c r="HJG158"/>
      <c r="HJH158"/>
      <c r="HJI158"/>
      <c r="HJJ158"/>
      <c r="HJK158"/>
      <c r="HJL158"/>
      <c r="HJM158"/>
      <c r="HJN158"/>
      <c r="HJO158"/>
      <c r="HJP158"/>
      <c r="HJQ158"/>
      <c r="HJR158"/>
      <c r="HJS158"/>
      <c r="HJT158"/>
      <c r="HJU158"/>
      <c r="HJV158"/>
      <c r="HJW158"/>
      <c r="HJX158"/>
      <c r="HJY158"/>
      <c r="HJZ158"/>
      <c r="HKA158"/>
      <c r="HKB158"/>
      <c r="HKC158"/>
      <c r="HKD158"/>
      <c r="HKE158"/>
      <c r="HKF158"/>
      <c r="HKG158"/>
      <c r="HKH158"/>
      <c r="HKI158"/>
      <c r="HKJ158"/>
      <c r="HKK158"/>
      <c r="HKL158"/>
      <c r="HKM158"/>
      <c r="HKN158"/>
      <c r="HKO158"/>
      <c r="HKP158"/>
      <c r="HKQ158"/>
      <c r="HKR158"/>
      <c r="HKS158"/>
      <c r="HKT158"/>
      <c r="HKU158"/>
      <c r="HKV158"/>
      <c r="HKW158"/>
      <c r="HKX158"/>
      <c r="HKY158"/>
      <c r="HKZ158"/>
      <c r="HLA158"/>
      <c r="HLB158"/>
      <c r="HLC158"/>
      <c r="HLD158"/>
      <c r="HLE158"/>
      <c r="HLF158"/>
      <c r="HLG158"/>
      <c r="HLH158"/>
      <c r="HLI158"/>
      <c r="HLJ158"/>
      <c r="HLK158"/>
      <c r="HLL158"/>
      <c r="HLM158"/>
      <c r="HLN158"/>
      <c r="HLO158"/>
      <c r="HLP158"/>
      <c r="HLQ158"/>
      <c r="HLR158"/>
      <c r="HLS158"/>
      <c r="HLT158"/>
      <c r="HLU158"/>
      <c r="HLV158"/>
      <c r="HLW158"/>
      <c r="HLX158"/>
      <c r="HLY158"/>
      <c r="HLZ158"/>
      <c r="HMA158"/>
      <c r="HMB158"/>
      <c r="HMC158"/>
      <c r="HMD158"/>
      <c r="HME158"/>
      <c r="HMF158"/>
      <c r="HMG158"/>
      <c r="HMH158"/>
      <c r="HMI158"/>
      <c r="HMJ158"/>
      <c r="HMK158"/>
      <c r="HML158"/>
      <c r="HMM158"/>
      <c r="HMN158"/>
      <c r="HMO158"/>
      <c r="HMP158"/>
      <c r="HMQ158"/>
      <c r="HMR158"/>
      <c r="HMS158"/>
      <c r="HMT158"/>
      <c r="HMU158"/>
      <c r="HMV158"/>
      <c r="HMW158"/>
      <c r="HMX158"/>
      <c r="HMY158"/>
      <c r="HMZ158"/>
      <c r="HNA158"/>
      <c r="HNB158"/>
      <c r="HNC158"/>
      <c r="HND158"/>
      <c r="HNE158"/>
      <c r="HNF158"/>
      <c r="HNG158"/>
      <c r="HNH158"/>
      <c r="HNI158"/>
      <c r="HNJ158"/>
      <c r="HNK158"/>
      <c r="HNL158"/>
      <c r="HNM158"/>
      <c r="HNN158"/>
      <c r="HNO158"/>
      <c r="HNP158"/>
      <c r="HNQ158"/>
      <c r="HNR158"/>
      <c r="HNS158"/>
      <c r="HNT158"/>
      <c r="HNU158"/>
      <c r="HNV158"/>
      <c r="HNW158"/>
      <c r="HNX158"/>
      <c r="HNY158"/>
      <c r="HNZ158"/>
      <c r="HOA158"/>
      <c r="HOB158"/>
      <c r="HOC158"/>
      <c r="HOD158"/>
      <c r="HOE158"/>
      <c r="HOF158"/>
      <c r="HOG158"/>
      <c r="HOH158"/>
      <c r="HOI158"/>
      <c r="HOJ158"/>
      <c r="HOK158"/>
      <c r="HOL158"/>
      <c r="HOM158"/>
      <c r="HON158"/>
      <c r="HOO158"/>
      <c r="HOP158"/>
      <c r="HOQ158"/>
      <c r="HOR158"/>
      <c r="HOS158"/>
      <c r="HOT158"/>
      <c r="HOU158"/>
      <c r="HOV158"/>
      <c r="HOW158"/>
      <c r="HOX158"/>
      <c r="HOY158"/>
      <c r="HOZ158"/>
      <c r="HPA158"/>
      <c r="HPB158"/>
      <c r="HPC158"/>
      <c r="HPD158"/>
      <c r="HPE158"/>
      <c r="HPF158"/>
      <c r="HPG158"/>
      <c r="HPH158"/>
      <c r="HPI158"/>
      <c r="HPJ158"/>
      <c r="HPK158"/>
      <c r="HPL158"/>
      <c r="HPM158"/>
      <c r="HPN158"/>
      <c r="HPO158"/>
      <c r="HPP158"/>
      <c r="HPQ158"/>
      <c r="HPR158"/>
      <c r="HPS158"/>
      <c r="HPT158"/>
      <c r="HPU158"/>
      <c r="HPV158"/>
      <c r="HPW158"/>
      <c r="HPX158"/>
      <c r="HPY158"/>
      <c r="HPZ158"/>
      <c r="HQA158"/>
      <c r="HQB158"/>
      <c r="HQC158"/>
      <c r="HQD158"/>
      <c r="HQE158"/>
      <c r="HQF158"/>
      <c r="HQG158"/>
      <c r="HQH158"/>
      <c r="HQI158"/>
      <c r="HQJ158"/>
      <c r="HQK158"/>
      <c r="HQL158"/>
      <c r="HQM158"/>
      <c r="HQN158"/>
      <c r="HQO158"/>
      <c r="HQP158"/>
      <c r="HQQ158"/>
      <c r="HQR158"/>
      <c r="HQS158"/>
      <c r="HQT158"/>
      <c r="HQU158"/>
      <c r="HQV158"/>
      <c r="HQW158"/>
      <c r="HQX158"/>
      <c r="HQY158"/>
      <c r="HQZ158"/>
      <c r="HRA158"/>
      <c r="HRB158"/>
      <c r="HRC158"/>
      <c r="HRD158"/>
      <c r="HRE158"/>
      <c r="HRF158"/>
      <c r="HRG158"/>
      <c r="HRH158"/>
      <c r="HRI158"/>
      <c r="HRJ158"/>
      <c r="HRK158"/>
      <c r="HRL158"/>
      <c r="HRM158"/>
      <c r="HRN158"/>
      <c r="HRO158"/>
      <c r="HRP158"/>
      <c r="HRQ158"/>
      <c r="HRR158"/>
      <c r="HRS158"/>
      <c r="HRT158"/>
      <c r="HRU158"/>
      <c r="HRV158"/>
      <c r="HRW158"/>
      <c r="HRX158"/>
      <c r="HRY158"/>
      <c r="HRZ158"/>
      <c r="HSA158"/>
      <c r="HSB158"/>
      <c r="HSC158"/>
      <c r="HSD158"/>
      <c r="HSE158"/>
      <c r="HSF158"/>
      <c r="HSG158"/>
      <c r="HSH158"/>
      <c r="HSI158"/>
      <c r="HSJ158"/>
      <c r="HSK158"/>
      <c r="HSL158"/>
      <c r="HSM158"/>
      <c r="HSN158"/>
      <c r="HSO158"/>
      <c r="HSP158"/>
      <c r="HSQ158"/>
      <c r="HSR158"/>
      <c r="HSS158"/>
      <c r="HST158"/>
      <c r="HSU158"/>
      <c r="HSV158"/>
      <c r="HSW158"/>
      <c r="HSX158"/>
      <c r="HSY158"/>
      <c r="HSZ158"/>
      <c r="HTA158"/>
      <c r="HTB158"/>
      <c r="HTC158"/>
      <c r="HTD158"/>
      <c r="HTE158"/>
      <c r="HTF158"/>
      <c r="HTG158"/>
      <c r="HTH158"/>
      <c r="HTI158"/>
      <c r="HTJ158"/>
      <c r="HTK158"/>
      <c r="HTL158"/>
      <c r="HTM158"/>
      <c r="HTN158"/>
      <c r="HTO158"/>
      <c r="HTP158"/>
      <c r="HTQ158"/>
      <c r="HTR158"/>
      <c r="HTS158"/>
      <c r="HTT158"/>
      <c r="HTU158"/>
      <c r="HTV158"/>
      <c r="HTW158"/>
      <c r="HTX158"/>
      <c r="HTY158"/>
      <c r="HTZ158"/>
      <c r="HUA158"/>
      <c r="HUB158"/>
      <c r="HUC158"/>
      <c r="HUD158"/>
      <c r="HUE158"/>
      <c r="HUF158"/>
      <c r="HUG158"/>
      <c r="HUH158"/>
      <c r="HUI158"/>
      <c r="HUJ158"/>
      <c r="HUK158"/>
      <c r="HUL158"/>
      <c r="HUM158"/>
      <c r="HUN158"/>
      <c r="HUO158"/>
      <c r="HUP158"/>
      <c r="HUQ158"/>
      <c r="HUR158"/>
      <c r="HUS158"/>
      <c r="HUT158"/>
      <c r="HUU158"/>
      <c r="HUV158"/>
      <c r="HUW158"/>
      <c r="HUX158"/>
      <c r="HUY158"/>
      <c r="HUZ158"/>
      <c r="HVA158"/>
      <c r="HVB158"/>
      <c r="HVC158"/>
      <c r="HVD158"/>
      <c r="HVE158"/>
      <c r="HVF158"/>
      <c r="HVG158"/>
      <c r="HVH158"/>
      <c r="HVI158"/>
      <c r="HVJ158"/>
      <c r="HVK158"/>
      <c r="HVL158"/>
      <c r="HVM158"/>
      <c r="HVN158"/>
      <c r="HVO158"/>
      <c r="HVP158"/>
      <c r="HVQ158"/>
      <c r="HVR158"/>
      <c r="HVS158"/>
      <c r="HVT158"/>
      <c r="HVU158"/>
      <c r="HVV158"/>
      <c r="HVW158"/>
      <c r="HVX158"/>
      <c r="HVY158"/>
      <c r="HVZ158"/>
      <c r="HWA158"/>
      <c r="HWB158"/>
      <c r="HWC158"/>
      <c r="HWD158"/>
      <c r="HWE158"/>
      <c r="HWF158"/>
      <c r="HWG158"/>
      <c r="HWH158"/>
      <c r="HWI158"/>
      <c r="HWJ158"/>
      <c r="HWK158"/>
      <c r="HWL158"/>
      <c r="HWM158"/>
      <c r="HWN158"/>
      <c r="HWO158"/>
      <c r="HWP158"/>
      <c r="HWQ158"/>
      <c r="HWR158"/>
      <c r="HWS158"/>
      <c r="HWT158"/>
      <c r="HWU158"/>
      <c r="HWV158"/>
      <c r="HWW158"/>
      <c r="HWX158"/>
      <c r="HWY158"/>
      <c r="HWZ158"/>
      <c r="HXA158"/>
      <c r="HXB158"/>
      <c r="HXC158"/>
      <c r="HXD158"/>
      <c r="HXE158"/>
      <c r="HXF158"/>
      <c r="HXG158"/>
      <c r="HXH158"/>
      <c r="HXI158"/>
      <c r="HXJ158"/>
      <c r="HXK158"/>
      <c r="HXL158"/>
      <c r="HXM158"/>
      <c r="HXN158"/>
      <c r="HXO158"/>
      <c r="HXP158"/>
      <c r="HXQ158"/>
      <c r="HXR158"/>
      <c r="HXS158"/>
      <c r="HXT158"/>
      <c r="HXU158"/>
      <c r="HXV158"/>
      <c r="HXW158"/>
      <c r="HXX158"/>
      <c r="HXY158"/>
      <c r="HXZ158"/>
      <c r="HYA158"/>
      <c r="HYB158"/>
      <c r="HYC158"/>
      <c r="HYD158"/>
      <c r="HYE158"/>
      <c r="HYF158"/>
      <c r="HYG158"/>
      <c r="HYH158"/>
      <c r="HYI158"/>
      <c r="HYJ158"/>
      <c r="HYK158"/>
      <c r="HYL158"/>
      <c r="HYM158"/>
      <c r="HYN158"/>
      <c r="HYO158"/>
      <c r="HYP158"/>
      <c r="HYQ158"/>
      <c r="HYR158"/>
      <c r="HYS158"/>
      <c r="HYT158"/>
      <c r="HYU158"/>
      <c r="HYV158"/>
      <c r="HYW158"/>
      <c r="HYX158"/>
      <c r="HYY158"/>
      <c r="HYZ158"/>
      <c r="HZA158"/>
      <c r="HZB158"/>
      <c r="HZC158"/>
      <c r="HZD158"/>
      <c r="HZE158"/>
      <c r="HZF158"/>
      <c r="HZG158"/>
      <c r="HZH158"/>
      <c r="HZI158"/>
      <c r="HZJ158"/>
      <c r="HZK158"/>
      <c r="HZL158"/>
      <c r="HZM158"/>
      <c r="HZN158"/>
      <c r="HZO158"/>
      <c r="HZP158"/>
      <c r="HZQ158"/>
      <c r="HZR158"/>
      <c r="HZS158"/>
      <c r="HZT158"/>
      <c r="HZU158"/>
      <c r="HZV158"/>
      <c r="HZW158"/>
      <c r="HZX158"/>
      <c r="HZY158"/>
      <c r="HZZ158"/>
      <c r="IAA158"/>
      <c r="IAB158"/>
      <c r="IAC158"/>
      <c r="IAD158"/>
      <c r="IAE158"/>
      <c r="IAF158"/>
      <c r="IAG158"/>
      <c r="IAH158"/>
      <c r="IAI158"/>
      <c r="IAJ158"/>
      <c r="IAK158"/>
      <c r="IAL158"/>
      <c r="IAM158"/>
      <c r="IAN158"/>
      <c r="IAO158"/>
      <c r="IAP158"/>
      <c r="IAQ158"/>
      <c r="IAR158"/>
      <c r="IAS158"/>
      <c r="IAT158"/>
      <c r="IAU158"/>
      <c r="IAV158"/>
      <c r="IAW158"/>
      <c r="IAX158"/>
      <c r="IAY158"/>
      <c r="IAZ158"/>
      <c r="IBA158"/>
      <c r="IBB158"/>
      <c r="IBC158"/>
      <c r="IBD158"/>
      <c r="IBE158"/>
      <c r="IBF158"/>
      <c r="IBG158"/>
      <c r="IBH158"/>
      <c r="IBI158"/>
      <c r="IBJ158"/>
      <c r="IBK158"/>
      <c r="IBL158"/>
      <c r="IBM158"/>
      <c r="IBN158"/>
      <c r="IBO158"/>
      <c r="IBP158"/>
      <c r="IBQ158"/>
      <c r="IBR158"/>
      <c r="IBS158"/>
      <c r="IBT158"/>
      <c r="IBU158"/>
      <c r="IBV158"/>
      <c r="IBW158"/>
      <c r="IBX158"/>
      <c r="IBY158"/>
      <c r="IBZ158"/>
      <c r="ICA158"/>
      <c r="ICB158"/>
      <c r="ICC158"/>
      <c r="ICD158"/>
      <c r="ICE158"/>
      <c r="ICF158"/>
      <c r="ICG158"/>
      <c r="ICH158"/>
      <c r="ICI158"/>
      <c r="ICJ158"/>
      <c r="ICK158"/>
      <c r="ICL158"/>
      <c r="ICM158"/>
      <c r="ICN158"/>
      <c r="ICO158"/>
      <c r="ICP158"/>
      <c r="ICQ158"/>
      <c r="ICR158"/>
      <c r="ICS158"/>
      <c r="ICT158"/>
      <c r="ICU158"/>
      <c r="ICV158"/>
      <c r="ICW158"/>
      <c r="ICX158"/>
      <c r="ICY158"/>
      <c r="ICZ158"/>
      <c r="IDA158"/>
      <c r="IDB158"/>
      <c r="IDC158"/>
      <c r="IDD158"/>
      <c r="IDE158"/>
      <c r="IDF158"/>
      <c r="IDG158"/>
      <c r="IDH158"/>
      <c r="IDI158"/>
      <c r="IDJ158"/>
      <c r="IDK158"/>
      <c r="IDL158"/>
      <c r="IDM158"/>
      <c r="IDN158"/>
      <c r="IDO158"/>
      <c r="IDP158"/>
      <c r="IDQ158"/>
      <c r="IDR158"/>
      <c r="IDS158"/>
      <c r="IDT158"/>
      <c r="IDU158"/>
      <c r="IDV158"/>
      <c r="IDW158"/>
      <c r="IDX158"/>
      <c r="IDY158"/>
      <c r="IDZ158"/>
      <c r="IEA158"/>
      <c r="IEB158"/>
      <c r="IEC158"/>
      <c r="IED158"/>
      <c r="IEE158"/>
      <c r="IEF158"/>
      <c r="IEG158"/>
      <c r="IEH158"/>
      <c r="IEI158"/>
      <c r="IEJ158"/>
      <c r="IEK158"/>
      <c r="IEL158"/>
      <c r="IEM158"/>
      <c r="IEN158"/>
      <c r="IEO158"/>
      <c r="IEP158"/>
      <c r="IEQ158"/>
      <c r="IER158"/>
      <c r="IES158"/>
      <c r="IET158"/>
      <c r="IEU158"/>
      <c r="IEV158"/>
      <c r="IEW158"/>
      <c r="IEX158"/>
      <c r="IEY158"/>
      <c r="IEZ158"/>
      <c r="IFA158"/>
      <c r="IFB158"/>
      <c r="IFC158"/>
      <c r="IFD158"/>
      <c r="IFE158"/>
      <c r="IFF158"/>
      <c r="IFG158"/>
      <c r="IFH158"/>
      <c r="IFI158"/>
      <c r="IFJ158"/>
      <c r="IFK158"/>
      <c r="IFL158"/>
      <c r="IFM158"/>
      <c r="IFN158"/>
      <c r="IFO158"/>
      <c r="IFP158"/>
      <c r="IFQ158"/>
      <c r="IFR158"/>
      <c r="IFS158"/>
      <c r="IFT158"/>
      <c r="IFU158"/>
      <c r="IFV158"/>
      <c r="IFW158"/>
      <c r="IFX158"/>
      <c r="IFY158"/>
      <c r="IFZ158"/>
      <c r="IGA158"/>
      <c r="IGB158"/>
      <c r="IGC158"/>
      <c r="IGD158"/>
      <c r="IGE158"/>
      <c r="IGF158"/>
      <c r="IGG158"/>
      <c r="IGH158"/>
      <c r="IGI158"/>
      <c r="IGJ158"/>
      <c r="IGK158"/>
      <c r="IGL158"/>
      <c r="IGM158"/>
      <c r="IGN158"/>
      <c r="IGO158"/>
      <c r="IGP158"/>
      <c r="IGQ158"/>
      <c r="IGR158"/>
      <c r="IGS158"/>
      <c r="IGT158"/>
      <c r="IGU158"/>
      <c r="IGV158"/>
      <c r="IGW158"/>
      <c r="IGX158"/>
      <c r="IGY158"/>
      <c r="IGZ158"/>
      <c r="IHA158"/>
      <c r="IHB158"/>
      <c r="IHC158"/>
      <c r="IHD158"/>
      <c r="IHE158"/>
      <c r="IHF158"/>
      <c r="IHG158"/>
      <c r="IHH158"/>
      <c r="IHI158"/>
      <c r="IHJ158"/>
      <c r="IHK158"/>
      <c r="IHL158"/>
      <c r="IHM158"/>
      <c r="IHN158"/>
      <c r="IHO158"/>
      <c r="IHP158"/>
      <c r="IHQ158"/>
      <c r="IHR158"/>
      <c r="IHS158"/>
      <c r="IHT158"/>
      <c r="IHU158"/>
      <c r="IHV158"/>
      <c r="IHW158"/>
      <c r="IHX158"/>
      <c r="IHY158"/>
      <c r="IHZ158"/>
      <c r="IIA158"/>
      <c r="IIB158"/>
      <c r="IIC158"/>
      <c r="IID158"/>
      <c r="IIE158"/>
      <c r="IIF158"/>
      <c r="IIG158"/>
      <c r="IIH158"/>
      <c r="III158"/>
      <c r="IIJ158"/>
      <c r="IIK158"/>
      <c r="IIL158"/>
      <c r="IIM158"/>
      <c r="IIN158"/>
      <c r="IIO158"/>
      <c r="IIP158"/>
      <c r="IIQ158"/>
      <c r="IIR158"/>
      <c r="IIS158"/>
      <c r="IIT158"/>
      <c r="IIU158"/>
      <c r="IIV158"/>
      <c r="IIW158"/>
      <c r="IIX158"/>
      <c r="IIY158"/>
      <c r="IIZ158"/>
      <c r="IJA158"/>
      <c r="IJB158"/>
      <c r="IJC158"/>
      <c r="IJD158"/>
      <c r="IJE158"/>
      <c r="IJF158"/>
      <c r="IJG158"/>
      <c r="IJH158"/>
      <c r="IJI158"/>
      <c r="IJJ158"/>
      <c r="IJK158"/>
      <c r="IJL158"/>
      <c r="IJM158"/>
      <c r="IJN158"/>
      <c r="IJO158"/>
      <c r="IJP158"/>
      <c r="IJQ158"/>
      <c r="IJR158"/>
      <c r="IJS158"/>
      <c r="IJT158"/>
      <c r="IJU158"/>
      <c r="IJV158"/>
      <c r="IJW158"/>
      <c r="IJX158"/>
      <c r="IJY158"/>
      <c r="IJZ158"/>
      <c r="IKA158"/>
      <c r="IKB158"/>
      <c r="IKC158"/>
      <c r="IKD158"/>
      <c r="IKE158"/>
      <c r="IKF158"/>
      <c r="IKG158"/>
      <c r="IKH158"/>
      <c r="IKI158"/>
      <c r="IKJ158"/>
      <c r="IKK158"/>
      <c r="IKL158"/>
      <c r="IKM158"/>
      <c r="IKN158"/>
      <c r="IKO158"/>
      <c r="IKP158"/>
      <c r="IKQ158"/>
      <c r="IKR158"/>
      <c r="IKS158"/>
      <c r="IKT158"/>
      <c r="IKU158"/>
      <c r="IKV158"/>
      <c r="IKW158"/>
      <c r="IKX158"/>
      <c r="IKY158"/>
      <c r="IKZ158"/>
      <c r="ILA158"/>
      <c r="ILB158"/>
      <c r="ILC158"/>
      <c r="ILD158"/>
      <c r="ILE158"/>
      <c r="ILF158"/>
      <c r="ILG158"/>
      <c r="ILH158"/>
      <c r="ILI158"/>
      <c r="ILJ158"/>
      <c r="ILK158"/>
      <c r="ILL158"/>
      <c r="ILM158"/>
      <c r="ILN158"/>
      <c r="ILO158"/>
      <c r="ILP158"/>
      <c r="ILQ158"/>
      <c r="ILR158"/>
      <c r="ILS158"/>
      <c r="ILT158"/>
      <c r="ILU158"/>
      <c r="ILV158"/>
      <c r="ILW158"/>
      <c r="ILX158"/>
      <c r="ILY158"/>
      <c r="ILZ158"/>
      <c r="IMA158"/>
      <c r="IMB158"/>
      <c r="IMC158"/>
      <c r="IMD158"/>
      <c r="IME158"/>
      <c r="IMF158"/>
      <c r="IMG158"/>
      <c r="IMH158"/>
      <c r="IMI158"/>
      <c r="IMJ158"/>
      <c r="IMK158"/>
      <c r="IML158"/>
      <c r="IMM158"/>
      <c r="IMN158"/>
      <c r="IMO158"/>
      <c r="IMP158"/>
      <c r="IMQ158"/>
      <c r="IMR158"/>
      <c r="IMS158"/>
      <c r="IMT158"/>
      <c r="IMU158"/>
      <c r="IMV158"/>
      <c r="IMW158"/>
      <c r="IMX158"/>
      <c r="IMY158"/>
      <c r="IMZ158"/>
      <c r="INA158"/>
      <c r="INB158"/>
      <c r="INC158"/>
      <c r="IND158"/>
      <c r="INE158"/>
      <c r="INF158"/>
      <c r="ING158"/>
      <c r="INH158"/>
      <c r="INI158"/>
      <c r="INJ158"/>
      <c r="INK158"/>
      <c r="INL158"/>
      <c r="INM158"/>
      <c r="INN158"/>
      <c r="INO158"/>
      <c r="INP158"/>
      <c r="INQ158"/>
      <c r="INR158"/>
      <c r="INS158"/>
      <c r="INT158"/>
      <c r="INU158"/>
      <c r="INV158"/>
      <c r="INW158"/>
      <c r="INX158"/>
      <c r="INY158"/>
      <c r="INZ158"/>
      <c r="IOA158"/>
      <c r="IOB158"/>
      <c r="IOC158"/>
      <c r="IOD158"/>
      <c r="IOE158"/>
      <c r="IOF158"/>
      <c r="IOG158"/>
      <c r="IOH158"/>
      <c r="IOI158"/>
      <c r="IOJ158"/>
      <c r="IOK158"/>
      <c r="IOL158"/>
      <c r="IOM158"/>
      <c r="ION158"/>
      <c r="IOO158"/>
      <c r="IOP158"/>
      <c r="IOQ158"/>
      <c r="IOR158"/>
      <c r="IOS158"/>
      <c r="IOT158"/>
      <c r="IOU158"/>
      <c r="IOV158"/>
      <c r="IOW158"/>
      <c r="IOX158"/>
      <c r="IOY158"/>
      <c r="IOZ158"/>
      <c r="IPA158"/>
      <c r="IPB158"/>
      <c r="IPC158"/>
      <c r="IPD158"/>
      <c r="IPE158"/>
      <c r="IPF158"/>
      <c r="IPG158"/>
      <c r="IPH158"/>
      <c r="IPI158"/>
      <c r="IPJ158"/>
      <c r="IPK158"/>
      <c r="IPL158"/>
      <c r="IPM158"/>
      <c r="IPN158"/>
      <c r="IPO158"/>
      <c r="IPP158"/>
      <c r="IPQ158"/>
      <c r="IPR158"/>
      <c r="IPS158"/>
      <c r="IPT158"/>
      <c r="IPU158"/>
      <c r="IPV158"/>
      <c r="IPW158"/>
      <c r="IPX158"/>
      <c r="IPY158"/>
      <c r="IPZ158"/>
      <c r="IQA158"/>
      <c r="IQB158"/>
      <c r="IQC158"/>
      <c r="IQD158"/>
      <c r="IQE158"/>
      <c r="IQF158"/>
      <c r="IQG158"/>
      <c r="IQH158"/>
      <c r="IQI158"/>
      <c r="IQJ158"/>
      <c r="IQK158"/>
      <c r="IQL158"/>
      <c r="IQM158"/>
      <c r="IQN158"/>
      <c r="IQO158"/>
      <c r="IQP158"/>
      <c r="IQQ158"/>
      <c r="IQR158"/>
      <c r="IQS158"/>
      <c r="IQT158"/>
      <c r="IQU158"/>
      <c r="IQV158"/>
      <c r="IQW158"/>
      <c r="IQX158"/>
      <c r="IQY158"/>
      <c r="IQZ158"/>
      <c r="IRA158"/>
      <c r="IRB158"/>
      <c r="IRC158"/>
      <c r="IRD158"/>
      <c r="IRE158"/>
      <c r="IRF158"/>
      <c r="IRG158"/>
      <c r="IRH158"/>
      <c r="IRI158"/>
      <c r="IRJ158"/>
      <c r="IRK158"/>
      <c r="IRL158"/>
      <c r="IRM158"/>
      <c r="IRN158"/>
      <c r="IRO158"/>
      <c r="IRP158"/>
      <c r="IRQ158"/>
      <c r="IRR158"/>
      <c r="IRS158"/>
      <c r="IRT158"/>
      <c r="IRU158"/>
      <c r="IRV158"/>
      <c r="IRW158"/>
      <c r="IRX158"/>
      <c r="IRY158"/>
      <c r="IRZ158"/>
      <c r="ISA158"/>
      <c r="ISB158"/>
      <c r="ISC158"/>
      <c r="ISD158"/>
      <c r="ISE158"/>
      <c r="ISF158"/>
      <c r="ISG158"/>
      <c r="ISH158"/>
      <c r="ISI158"/>
      <c r="ISJ158"/>
      <c r="ISK158"/>
      <c r="ISL158"/>
      <c r="ISM158"/>
      <c r="ISN158"/>
      <c r="ISO158"/>
      <c r="ISP158"/>
      <c r="ISQ158"/>
      <c r="ISR158"/>
      <c r="ISS158"/>
      <c r="IST158"/>
      <c r="ISU158"/>
      <c r="ISV158"/>
      <c r="ISW158"/>
      <c r="ISX158"/>
      <c r="ISY158"/>
      <c r="ISZ158"/>
      <c r="ITA158"/>
      <c r="ITB158"/>
      <c r="ITC158"/>
      <c r="ITD158"/>
      <c r="ITE158"/>
      <c r="ITF158"/>
      <c r="ITG158"/>
      <c r="ITH158"/>
      <c r="ITI158"/>
      <c r="ITJ158"/>
      <c r="ITK158"/>
      <c r="ITL158"/>
      <c r="ITM158"/>
      <c r="ITN158"/>
      <c r="ITO158"/>
      <c r="ITP158"/>
      <c r="ITQ158"/>
      <c r="ITR158"/>
      <c r="ITS158"/>
      <c r="ITT158"/>
      <c r="ITU158"/>
      <c r="ITV158"/>
      <c r="ITW158"/>
      <c r="ITX158"/>
      <c r="ITY158"/>
      <c r="ITZ158"/>
      <c r="IUA158"/>
      <c r="IUB158"/>
      <c r="IUC158"/>
      <c r="IUD158"/>
      <c r="IUE158"/>
      <c r="IUF158"/>
      <c r="IUG158"/>
      <c r="IUH158"/>
      <c r="IUI158"/>
      <c r="IUJ158"/>
      <c r="IUK158"/>
      <c r="IUL158"/>
      <c r="IUM158"/>
      <c r="IUN158"/>
      <c r="IUO158"/>
      <c r="IUP158"/>
      <c r="IUQ158"/>
      <c r="IUR158"/>
      <c r="IUS158"/>
      <c r="IUT158"/>
      <c r="IUU158"/>
      <c r="IUV158"/>
      <c r="IUW158"/>
      <c r="IUX158"/>
      <c r="IUY158"/>
      <c r="IUZ158"/>
      <c r="IVA158"/>
      <c r="IVB158"/>
      <c r="IVC158"/>
      <c r="IVD158"/>
      <c r="IVE158"/>
      <c r="IVF158"/>
      <c r="IVG158"/>
      <c r="IVH158"/>
      <c r="IVI158"/>
      <c r="IVJ158"/>
      <c r="IVK158"/>
      <c r="IVL158"/>
      <c r="IVM158"/>
      <c r="IVN158"/>
      <c r="IVO158"/>
      <c r="IVP158"/>
      <c r="IVQ158"/>
      <c r="IVR158"/>
      <c r="IVS158"/>
      <c r="IVT158"/>
      <c r="IVU158"/>
      <c r="IVV158"/>
      <c r="IVW158"/>
      <c r="IVX158"/>
      <c r="IVY158"/>
      <c r="IVZ158"/>
      <c r="IWA158"/>
      <c r="IWB158"/>
      <c r="IWC158"/>
      <c r="IWD158"/>
      <c r="IWE158"/>
      <c r="IWF158"/>
      <c r="IWG158"/>
      <c r="IWH158"/>
      <c r="IWI158"/>
      <c r="IWJ158"/>
      <c r="IWK158"/>
      <c r="IWL158"/>
      <c r="IWM158"/>
      <c r="IWN158"/>
      <c r="IWO158"/>
      <c r="IWP158"/>
      <c r="IWQ158"/>
      <c r="IWR158"/>
      <c r="IWS158"/>
      <c r="IWT158"/>
      <c r="IWU158"/>
      <c r="IWV158"/>
      <c r="IWW158"/>
      <c r="IWX158"/>
      <c r="IWY158"/>
      <c r="IWZ158"/>
      <c r="IXA158"/>
      <c r="IXB158"/>
      <c r="IXC158"/>
      <c r="IXD158"/>
      <c r="IXE158"/>
      <c r="IXF158"/>
      <c r="IXG158"/>
      <c r="IXH158"/>
      <c r="IXI158"/>
      <c r="IXJ158"/>
      <c r="IXK158"/>
      <c r="IXL158"/>
      <c r="IXM158"/>
      <c r="IXN158"/>
      <c r="IXO158"/>
      <c r="IXP158"/>
      <c r="IXQ158"/>
      <c r="IXR158"/>
      <c r="IXS158"/>
      <c r="IXT158"/>
      <c r="IXU158"/>
      <c r="IXV158"/>
      <c r="IXW158"/>
      <c r="IXX158"/>
      <c r="IXY158"/>
      <c r="IXZ158"/>
      <c r="IYA158"/>
      <c r="IYB158"/>
      <c r="IYC158"/>
      <c r="IYD158"/>
      <c r="IYE158"/>
      <c r="IYF158"/>
      <c r="IYG158"/>
      <c r="IYH158"/>
      <c r="IYI158"/>
      <c r="IYJ158"/>
      <c r="IYK158"/>
      <c r="IYL158"/>
      <c r="IYM158"/>
      <c r="IYN158"/>
      <c r="IYO158"/>
      <c r="IYP158"/>
      <c r="IYQ158"/>
      <c r="IYR158"/>
      <c r="IYS158"/>
      <c r="IYT158"/>
      <c r="IYU158"/>
      <c r="IYV158"/>
      <c r="IYW158"/>
      <c r="IYX158"/>
      <c r="IYY158"/>
      <c r="IYZ158"/>
      <c r="IZA158"/>
      <c r="IZB158"/>
      <c r="IZC158"/>
      <c r="IZD158"/>
      <c r="IZE158"/>
      <c r="IZF158"/>
      <c r="IZG158"/>
      <c r="IZH158"/>
      <c r="IZI158"/>
      <c r="IZJ158"/>
      <c r="IZK158"/>
      <c r="IZL158"/>
      <c r="IZM158"/>
      <c r="IZN158"/>
      <c r="IZO158"/>
      <c r="IZP158"/>
      <c r="IZQ158"/>
      <c r="IZR158"/>
      <c r="IZS158"/>
      <c r="IZT158"/>
      <c r="IZU158"/>
      <c r="IZV158"/>
      <c r="IZW158"/>
      <c r="IZX158"/>
      <c r="IZY158"/>
      <c r="IZZ158"/>
      <c r="JAA158"/>
      <c r="JAB158"/>
      <c r="JAC158"/>
      <c r="JAD158"/>
      <c r="JAE158"/>
      <c r="JAF158"/>
      <c r="JAG158"/>
      <c r="JAH158"/>
      <c r="JAI158"/>
      <c r="JAJ158"/>
      <c r="JAK158"/>
      <c r="JAL158"/>
      <c r="JAM158"/>
      <c r="JAN158"/>
      <c r="JAO158"/>
      <c r="JAP158"/>
      <c r="JAQ158"/>
      <c r="JAR158"/>
      <c r="JAS158"/>
      <c r="JAT158"/>
      <c r="JAU158"/>
      <c r="JAV158"/>
      <c r="JAW158"/>
      <c r="JAX158"/>
      <c r="JAY158"/>
      <c r="JAZ158"/>
      <c r="JBA158"/>
      <c r="JBB158"/>
      <c r="JBC158"/>
      <c r="JBD158"/>
      <c r="JBE158"/>
      <c r="JBF158"/>
      <c r="JBG158"/>
      <c r="JBH158"/>
      <c r="JBI158"/>
      <c r="JBJ158"/>
      <c r="JBK158"/>
      <c r="JBL158"/>
      <c r="JBM158"/>
      <c r="JBN158"/>
      <c r="JBO158"/>
      <c r="JBP158"/>
      <c r="JBQ158"/>
      <c r="JBR158"/>
      <c r="JBS158"/>
      <c r="JBT158"/>
      <c r="JBU158"/>
      <c r="JBV158"/>
      <c r="JBW158"/>
      <c r="JBX158"/>
      <c r="JBY158"/>
      <c r="JBZ158"/>
      <c r="JCA158"/>
      <c r="JCB158"/>
      <c r="JCC158"/>
      <c r="JCD158"/>
      <c r="JCE158"/>
      <c r="JCF158"/>
      <c r="JCG158"/>
      <c r="JCH158"/>
      <c r="JCI158"/>
      <c r="JCJ158"/>
      <c r="JCK158"/>
      <c r="JCL158"/>
      <c r="JCM158"/>
      <c r="JCN158"/>
      <c r="JCO158"/>
      <c r="JCP158"/>
      <c r="JCQ158"/>
      <c r="JCR158"/>
      <c r="JCS158"/>
      <c r="JCT158"/>
      <c r="JCU158"/>
      <c r="JCV158"/>
      <c r="JCW158"/>
      <c r="JCX158"/>
      <c r="JCY158"/>
      <c r="JCZ158"/>
      <c r="JDA158"/>
      <c r="JDB158"/>
      <c r="JDC158"/>
      <c r="JDD158"/>
      <c r="JDE158"/>
      <c r="JDF158"/>
      <c r="JDG158"/>
      <c r="JDH158"/>
      <c r="JDI158"/>
      <c r="JDJ158"/>
      <c r="JDK158"/>
      <c r="JDL158"/>
      <c r="JDM158"/>
      <c r="JDN158"/>
      <c r="JDO158"/>
      <c r="JDP158"/>
      <c r="JDQ158"/>
      <c r="JDR158"/>
      <c r="JDS158"/>
      <c r="JDT158"/>
      <c r="JDU158"/>
      <c r="JDV158"/>
      <c r="JDW158"/>
      <c r="JDX158"/>
      <c r="JDY158"/>
      <c r="JDZ158"/>
      <c r="JEA158"/>
      <c r="JEB158"/>
      <c r="JEC158"/>
      <c r="JED158"/>
      <c r="JEE158"/>
      <c r="JEF158"/>
      <c r="JEG158"/>
      <c r="JEH158"/>
      <c r="JEI158"/>
      <c r="JEJ158"/>
      <c r="JEK158"/>
      <c r="JEL158"/>
      <c r="JEM158"/>
      <c r="JEN158"/>
      <c r="JEO158"/>
      <c r="JEP158"/>
      <c r="JEQ158"/>
      <c r="JER158"/>
      <c r="JES158"/>
      <c r="JET158"/>
      <c r="JEU158"/>
      <c r="JEV158"/>
      <c r="JEW158"/>
      <c r="JEX158"/>
      <c r="JEY158"/>
      <c r="JEZ158"/>
      <c r="JFA158"/>
      <c r="JFB158"/>
      <c r="JFC158"/>
      <c r="JFD158"/>
      <c r="JFE158"/>
      <c r="JFF158"/>
      <c r="JFG158"/>
      <c r="JFH158"/>
      <c r="JFI158"/>
      <c r="JFJ158"/>
      <c r="JFK158"/>
      <c r="JFL158"/>
      <c r="JFM158"/>
      <c r="JFN158"/>
      <c r="JFO158"/>
      <c r="JFP158"/>
      <c r="JFQ158"/>
      <c r="JFR158"/>
      <c r="JFS158"/>
      <c r="JFT158"/>
      <c r="JFU158"/>
      <c r="JFV158"/>
      <c r="JFW158"/>
      <c r="JFX158"/>
      <c r="JFY158"/>
      <c r="JFZ158"/>
      <c r="JGA158"/>
      <c r="JGB158"/>
      <c r="JGC158"/>
      <c r="JGD158"/>
      <c r="JGE158"/>
      <c r="JGF158"/>
      <c r="JGG158"/>
      <c r="JGH158"/>
      <c r="JGI158"/>
      <c r="JGJ158"/>
      <c r="JGK158"/>
      <c r="JGL158"/>
      <c r="JGM158"/>
      <c r="JGN158"/>
      <c r="JGO158"/>
      <c r="JGP158"/>
      <c r="JGQ158"/>
      <c r="JGR158"/>
      <c r="JGS158"/>
      <c r="JGT158"/>
      <c r="JGU158"/>
      <c r="JGV158"/>
      <c r="JGW158"/>
      <c r="JGX158"/>
      <c r="JGY158"/>
      <c r="JGZ158"/>
      <c r="JHA158"/>
      <c r="JHB158"/>
      <c r="JHC158"/>
      <c r="JHD158"/>
      <c r="JHE158"/>
      <c r="JHF158"/>
      <c r="JHG158"/>
      <c r="JHH158"/>
      <c r="JHI158"/>
      <c r="JHJ158"/>
      <c r="JHK158"/>
      <c r="JHL158"/>
      <c r="JHM158"/>
      <c r="JHN158"/>
      <c r="JHO158"/>
      <c r="JHP158"/>
      <c r="JHQ158"/>
      <c r="JHR158"/>
      <c r="JHS158"/>
      <c r="JHT158"/>
      <c r="JHU158"/>
      <c r="JHV158"/>
      <c r="JHW158"/>
      <c r="JHX158"/>
      <c r="JHY158"/>
      <c r="JHZ158"/>
      <c r="JIA158"/>
      <c r="JIB158"/>
      <c r="JIC158"/>
      <c r="JID158"/>
      <c r="JIE158"/>
      <c r="JIF158"/>
      <c r="JIG158"/>
      <c r="JIH158"/>
      <c r="JII158"/>
      <c r="JIJ158"/>
      <c r="JIK158"/>
      <c r="JIL158"/>
      <c r="JIM158"/>
      <c r="JIN158"/>
      <c r="JIO158"/>
      <c r="JIP158"/>
      <c r="JIQ158"/>
      <c r="JIR158"/>
      <c r="JIS158"/>
      <c r="JIT158"/>
      <c r="JIU158"/>
      <c r="JIV158"/>
      <c r="JIW158"/>
      <c r="JIX158"/>
      <c r="JIY158"/>
      <c r="JIZ158"/>
      <c r="JJA158"/>
      <c r="JJB158"/>
      <c r="JJC158"/>
      <c r="JJD158"/>
      <c r="JJE158"/>
      <c r="JJF158"/>
      <c r="JJG158"/>
      <c r="JJH158"/>
      <c r="JJI158"/>
      <c r="JJJ158"/>
      <c r="JJK158"/>
      <c r="JJL158"/>
      <c r="JJM158"/>
      <c r="JJN158"/>
      <c r="JJO158"/>
      <c r="JJP158"/>
      <c r="JJQ158"/>
      <c r="JJR158"/>
      <c r="JJS158"/>
      <c r="JJT158"/>
      <c r="JJU158"/>
      <c r="JJV158"/>
      <c r="JJW158"/>
      <c r="JJX158"/>
      <c r="JJY158"/>
      <c r="JJZ158"/>
      <c r="JKA158"/>
      <c r="JKB158"/>
      <c r="JKC158"/>
      <c r="JKD158"/>
      <c r="JKE158"/>
      <c r="JKF158"/>
      <c r="JKG158"/>
      <c r="JKH158"/>
      <c r="JKI158"/>
      <c r="JKJ158"/>
      <c r="JKK158"/>
      <c r="JKL158"/>
      <c r="JKM158"/>
      <c r="JKN158"/>
      <c r="JKO158"/>
      <c r="JKP158"/>
      <c r="JKQ158"/>
      <c r="JKR158"/>
      <c r="JKS158"/>
      <c r="JKT158"/>
      <c r="JKU158"/>
      <c r="JKV158"/>
      <c r="JKW158"/>
      <c r="JKX158"/>
      <c r="JKY158"/>
      <c r="JKZ158"/>
      <c r="JLA158"/>
      <c r="JLB158"/>
      <c r="JLC158"/>
      <c r="JLD158"/>
      <c r="JLE158"/>
      <c r="JLF158"/>
      <c r="JLG158"/>
      <c r="JLH158"/>
      <c r="JLI158"/>
      <c r="JLJ158"/>
      <c r="JLK158"/>
      <c r="JLL158"/>
      <c r="JLM158"/>
      <c r="JLN158"/>
      <c r="JLO158"/>
      <c r="JLP158"/>
      <c r="JLQ158"/>
      <c r="JLR158"/>
      <c r="JLS158"/>
      <c r="JLT158"/>
      <c r="JLU158"/>
      <c r="JLV158"/>
      <c r="JLW158"/>
      <c r="JLX158"/>
      <c r="JLY158"/>
      <c r="JLZ158"/>
      <c r="JMA158"/>
      <c r="JMB158"/>
      <c r="JMC158"/>
      <c r="JMD158"/>
      <c r="JME158"/>
      <c r="JMF158"/>
      <c r="JMG158"/>
      <c r="JMH158"/>
      <c r="JMI158"/>
      <c r="JMJ158"/>
      <c r="JMK158"/>
      <c r="JML158"/>
      <c r="JMM158"/>
      <c r="JMN158"/>
      <c r="JMO158"/>
      <c r="JMP158"/>
      <c r="JMQ158"/>
      <c r="JMR158"/>
      <c r="JMS158"/>
      <c r="JMT158"/>
      <c r="JMU158"/>
      <c r="JMV158"/>
      <c r="JMW158"/>
      <c r="JMX158"/>
      <c r="JMY158"/>
      <c r="JMZ158"/>
      <c r="JNA158"/>
      <c r="JNB158"/>
      <c r="JNC158"/>
      <c r="JND158"/>
      <c r="JNE158"/>
      <c r="JNF158"/>
      <c r="JNG158"/>
      <c r="JNH158"/>
      <c r="JNI158"/>
      <c r="JNJ158"/>
      <c r="JNK158"/>
      <c r="JNL158"/>
      <c r="JNM158"/>
      <c r="JNN158"/>
      <c r="JNO158"/>
      <c r="JNP158"/>
      <c r="JNQ158"/>
      <c r="JNR158"/>
      <c r="JNS158"/>
      <c r="JNT158"/>
      <c r="JNU158"/>
      <c r="JNV158"/>
      <c r="JNW158"/>
      <c r="JNX158"/>
      <c r="JNY158"/>
      <c r="JNZ158"/>
      <c r="JOA158"/>
      <c r="JOB158"/>
      <c r="JOC158"/>
      <c r="JOD158"/>
      <c r="JOE158"/>
      <c r="JOF158"/>
      <c r="JOG158"/>
      <c r="JOH158"/>
      <c r="JOI158"/>
      <c r="JOJ158"/>
      <c r="JOK158"/>
      <c r="JOL158"/>
      <c r="JOM158"/>
      <c r="JON158"/>
      <c r="JOO158"/>
      <c r="JOP158"/>
      <c r="JOQ158"/>
      <c r="JOR158"/>
      <c r="JOS158"/>
      <c r="JOT158"/>
      <c r="JOU158"/>
      <c r="JOV158"/>
      <c r="JOW158"/>
      <c r="JOX158"/>
      <c r="JOY158"/>
      <c r="JOZ158"/>
      <c r="JPA158"/>
      <c r="JPB158"/>
      <c r="JPC158"/>
      <c r="JPD158"/>
      <c r="JPE158"/>
      <c r="JPF158"/>
      <c r="JPG158"/>
      <c r="JPH158"/>
      <c r="JPI158"/>
      <c r="JPJ158"/>
      <c r="JPK158"/>
      <c r="JPL158"/>
      <c r="JPM158"/>
      <c r="JPN158"/>
      <c r="JPO158"/>
      <c r="JPP158"/>
      <c r="JPQ158"/>
      <c r="JPR158"/>
      <c r="JPS158"/>
      <c r="JPT158"/>
      <c r="JPU158"/>
      <c r="JPV158"/>
      <c r="JPW158"/>
      <c r="JPX158"/>
      <c r="JPY158"/>
      <c r="JPZ158"/>
      <c r="JQA158"/>
      <c r="JQB158"/>
      <c r="JQC158"/>
      <c r="JQD158"/>
      <c r="JQE158"/>
      <c r="JQF158"/>
      <c r="JQG158"/>
      <c r="JQH158"/>
      <c r="JQI158"/>
      <c r="JQJ158"/>
      <c r="JQK158"/>
      <c r="JQL158"/>
      <c r="JQM158"/>
      <c r="JQN158"/>
      <c r="JQO158"/>
      <c r="JQP158"/>
      <c r="JQQ158"/>
      <c r="JQR158"/>
      <c r="JQS158"/>
      <c r="JQT158"/>
      <c r="JQU158"/>
      <c r="JQV158"/>
      <c r="JQW158"/>
      <c r="JQX158"/>
      <c r="JQY158"/>
      <c r="JQZ158"/>
      <c r="JRA158"/>
      <c r="JRB158"/>
      <c r="JRC158"/>
      <c r="JRD158"/>
      <c r="JRE158"/>
      <c r="JRF158"/>
      <c r="JRG158"/>
      <c r="JRH158"/>
      <c r="JRI158"/>
      <c r="JRJ158"/>
      <c r="JRK158"/>
      <c r="JRL158"/>
      <c r="JRM158"/>
      <c r="JRN158"/>
      <c r="JRO158"/>
      <c r="JRP158"/>
      <c r="JRQ158"/>
      <c r="JRR158"/>
      <c r="JRS158"/>
      <c r="JRT158"/>
      <c r="JRU158"/>
      <c r="JRV158"/>
      <c r="JRW158"/>
      <c r="JRX158"/>
      <c r="JRY158"/>
      <c r="JRZ158"/>
      <c r="JSA158"/>
      <c r="JSB158"/>
      <c r="JSC158"/>
      <c r="JSD158"/>
      <c r="JSE158"/>
      <c r="JSF158"/>
      <c r="JSG158"/>
      <c r="JSH158"/>
      <c r="JSI158"/>
      <c r="JSJ158"/>
      <c r="JSK158"/>
      <c r="JSL158"/>
      <c r="JSM158"/>
      <c r="JSN158"/>
      <c r="JSO158"/>
      <c r="JSP158"/>
      <c r="JSQ158"/>
      <c r="JSR158"/>
      <c r="JSS158"/>
      <c r="JST158"/>
      <c r="JSU158"/>
      <c r="JSV158"/>
      <c r="JSW158"/>
      <c r="JSX158"/>
      <c r="JSY158"/>
      <c r="JSZ158"/>
      <c r="JTA158"/>
      <c r="JTB158"/>
      <c r="JTC158"/>
      <c r="JTD158"/>
      <c r="JTE158"/>
      <c r="JTF158"/>
      <c r="JTG158"/>
      <c r="JTH158"/>
      <c r="JTI158"/>
      <c r="JTJ158"/>
      <c r="JTK158"/>
      <c r="JTL158"/>
      <c r="JTM158"/>
      <c r="JTN158"/>
      <c r="JTO158"/>
      <c r="JTP158"/>
      <c r="JTQ158"/>
      <c r="JTR158"/>
      <c r="JTS158"/>
      <c r="JTT158"/>
      <c r="JTU158"/>
      <c r="JTV158"/>
      <c r="JTW158"/>
      <c r="JTX158"/>
      <c r="JTY158"/>
      <c r="JTZ158"/>
      <c r="JUA158"/>
      <c r="JUB158"/>
      <c r="JUC158"/>
      <c r="JUD158"/>
      <c r="JUE158"/>
      <c r="JUF158"/>
      <c r="JUG158"/>
      <c r="JUH158"/>
      <c r="JUI158"/>
      <c r="JUJ158"/>
      <c r="JUK158"/>
      <c r="JUL158"/>
      <c r="JUM158"/>
      <c r="JUN158"/>
      <c r="JUO158"/>
      <c r="JUP158"/>
      <c r="JUQ158"/>
      <c r="JUR158"/>
      <c r="JUS158"/>
      <c r="JUT158"/>
      <c r="JUU158"/>
      <c r="JUV158"/>
      <c r="JUW158"/>
      <c r="JUX158"/>
      <c r="JUY158"/>
      <c r="JUZ158"/>
      <c r="JVA158"/>
      <c r="JVB158"/>
      <c r="JVC158"/>
      <c r="JVD158"/>
      <c r="JVE158"/>
      <c r="JVF158"/>
      <c r="JVG158"/>
      <c r="JVH158"/>
      <c r="JVI158"/>
      <c r="JVJ158"/>
      <c r="JVK158"/>
      <c r="JVL158"/>
      <c r="JVM158"/>
      <c r="JVN158"/>
      <c r="JVO158"/>
      <c r="JVP158"/>
      <c r="JVQ158"/>
      <c r="JVR158"/>
      <c r="JVS158"/>
      <c r="JVT158"/>
      <c r="JVU158"/>
      <c r="JVV158"/>
      <c r="JVW158"/>
      <c r="JVX158"/>
      <c r="JVY158"/>
      <c r="JVZ158"/>
      <c r="JWA158"/>
      <c r="JWB158"/>
      <c r="JWC158"/>
      <c r="JWD158"/>
      <c r="JWE158"/>
      <c r="JWF158"/>
      <c r="JWG158"/>
      <c r="JWH158"/>
      <c r="JWI158"/>
      <c r="JWJ158"/>
      <c r="JWK158"/>
      <c r="JWL158"/>
      <c r="JWM158"/>
      <c r="JWN158"/>
      <c r="JWO158"/>
      <c r="JWP158"/>
      <c r="JWQ158"/>
      <c r="JWR158"/>
      <c r="JWS158"/>
      <c r="JWT158"/>
      <c r="JWU158"/>
      <c r="JWV158"/>
      <c r="JWW158"/>
      <c r="JWX158"/>
      <c r="JWY158"/>
      <c r="JWZ158"/>
      <c r="JXA158"/>
      <c r="JXB158"/>
      <c r="JXC158"/>
      <c r="JXD158"/>
      <c r="JXE158"/>
      <c r="JXF158"/>
      <c r="JXG158"/>
      <c r="JXH158"/>
      <c r="JXI158"/>
      <c r="JXJ158"/>
      <c r="JXK158"/>
      <c r="JXL158"/>
      <c r="JXM158"/>
      <c r="JXN158"/>
      <c r="JXO158"/>
      <c r="JXP158"/>
      <c r="JXQ158"/>
      <c r="JXR158"/>
      <c r="JXS158"/>
      <c r="JXT158"/>
      <c r="JXU158"/>
      <c r="JXV158"/>
      <c r="JXW158"/>
      <c r="JXX158"/>
      <c r="JXY158"/>
      <c r="JXZ158"/>
      <c r="JYA158"/>
      <c r="JYB158"/>
      <c r="JYC158"/>
      <c r="JYD158"/>
      <c r="JYE158"/>
      <c r="JYF158"/>
      <c r="JYG158"/>
      <c r="JYH158"/>
      <c r="JYI158"/>
      <c r="JYJ158"/>
      <c r="JYK158"/>
      <c r="JYL158"/>
      <c r="JYM158"/>
      <c r="JYN158"/>
      <c r="JYO158"/>
      <c r="JYP158"/>
      <c r="JYQ158"/>
      <c r="JYR158"/>
      <c r="JYS158"/>
      <c r="JYT158"/>
      <c r="JYU158"/>
      <c r="JYV158"/>
      <c r="JYW158"/>
      <c r="JYX158"/>
      <c r="JYY158"/>
      <c r="JYZ158"/>
      <c r="JZA158"/>
      <c r="JZB158"/>
      <c r="JZC158"/>
      <c r="JZD158"/>
      <c r="JZE158"/>
      <c r="JZF158"/>
      <c r="JZG158"/>
      <c r="JZH158"/>
      <c r="JZI158"/>
      <c r="JZJ158"/>
      <c r="JZK158"/>
      <c r="JZL158"/>
      <c r="JZM158"/>
      <c r="JZN158"/>
      <c r="JZO158"/>
      <c r="JZP158"/>
      <c r="JZQ158"/>
      <c r="JZR158"/>
      <c r="JZS158"/>
      <c r="JZT158"/>
      <c r="JZU158"/>
      <c r="JZV158"/>
      <c r="JZW158"/>
      <c r="JZX158"/>
      <c r="JZY158"/>
      <c r="JZZ158"/>
      <c r="KAA158"/>
      <c r="KAB158"/>
      <c r="KAC158"/>
      <c r="KAD158"/>
      <c r="KAE158"/>
      <c r="KAF158"/>
      <c r="KAG158"/>
      <c r="KAH158"/>
      <c r="KAI158"/>
      <c r="KAJ158"/>
      <c r="KAK158"/>
      <c r="KAL158"/>
      <c r="KAM158"/>
      <c r="KAN158"/>
      <c r="KAO158"/>
      <c r="KAP158"/>
      <c r="KAQ158"/>
      <c r="KAR158"/>
      <c r="KAS158"/>
      <c r="KAT158"/>
      <c r="KAU158"/>
      <c r="KAV158"/>
      <c r="KAW158"/>
      <c r="KAX158"/>
      <c r="KAY158"/>
      <c r="KAZ158"/>
      <c r="KBA158"/>
      <c r="KBB158"/>
      <c r="KBC158"/>
      <c r="KBD158"/>
      <c r="KBE158"/>
      <c r="KBF158"/>
      <c r="KBG158"/>
      <c r="KBH158"/>
      <c r="KBI158"/>
      <c r="KBJ158"/>
      <c r="KBK158"/>
      <c r="KBL158"/>
      <c r="KBM158"/>
      <c r="KBN158"/>
      <c r="KBO158"/>
      <c r="KBP158"/>
      <c r="KBQ158"/>
      <c r="KBR158"/>
      <c r="KBS158"/>
      <c r="KBT158"/>
      <c r="KBU158"/>
      <c r="KBV158"/>
      <c r="KBW158"/>
      <c r="KBX158"/>
      <c r="KBY158"/>
      <c r="KBZ158"/>
      <c r="KCA158"/>
      <c r="KCB158"/>
      <c r="KCC158"/>
      <c r="KCD158"/>
      <c r="KCE158"/>
      <c r="KCF158"/>
      <c r="KCG158"/>
      <c r="KCH158"/>
      <c r="KCI158"/>
      <c r="KCJ158"/>
      <c r="KCK158"/>
      <c r="KCL158"/>
      <c r="KCM158"/>
      <c r="KCN158"/>
      <c r="KCO158"/>
      <c r="KCP158"/>
      <c r="KCQ158"/>
      <c r="KCR158"/>
      <c r="KCS158"/>
      <c r="KCT158"/>
      <c r="KCU158"/>
      <c r="KCV158"/>
      <c r="KCW158"/>
      <c r="KCX158"/>
      <c r="KCY158"/>
      <c r="KCZ158"/>
      <c r="KDA158"/>
      <c r="KDB158"/>
      <c r="KDC158"/>
      <c r="KDD158"/>
      <c r="KDE158"/>
      <c r="KDF158"/>
      <c r="KDG158"/>
      <c r="KDH158"/>
      <c r="KDI158"/>
      <c r="KDJ158"/>
      <c r="KDK158"/>
      <c r="KDL158"/>
      <c r="KDM158"/>
      <c r="KDN158"/>
      <c r="KDO158"/>
      <c r="KDP158"/>
      <c r="KDQ158"/>
      <c r="KDR158"/>
      <c r="KDS158"/>
      <c r="KDT158"/>
      <c r="KDU158"/>
      <c r="KDV158"/>
      <c r="KDW158"/>
      <c r="KDX158"/>
      <c r="KDY158"/>
      <c r="KDZ158"/>
      <c r="KEA158"/>
      <c r="KEB158"/>
      <c r="KEC158"/>
      <c r="KED158"/>
      <c r="KEE158"/>
      <c r="KEF158"/>
      <c r="KEG158"/>
      <c r="KEH158"/>
      <c r="KEI158"/>
      <c r="KEJ158"/>
      <c r="KEK158"/>
      <c r="KEL158"/>
      <c r="KEM158"/>
      <c r="KEN158"/>
      <c r="KEO158"/>
      <c r="KEP158"/>
      <c r="KEQ158"/>
      <c r="KER158"/>
      <c r="KES158"/>
      <c r="KET158"/>
      <c r="KEU158"/>
      <c r="KEV158"/>
      <c r="KEW158"/>
      <c r="KEX158"/>
      <c r="KEY158"/>
      <c r="KEZ158"/>
      <c r="KFA158"/>
      <c r="KFB158"/>
      <c r="KFC158"/>
      <c r="KFD158"/>
      <c r="KFE158"/>
      <c r="KFF158"/>
      <c r="KFG158"/>
      <c r="KFH158"/>
      <c r="KFI158"/>
      <c r="KFJ158"/>
      <c r="KFK158"/>
      <c r="KFL158"/>
      <c r="KFM158"/>
      <c r="KFN158"/>
      <c r="KFO158"/>
      <c r="KFP158"/>
      <c r="KFQ158"/>
      <c r="KFR158"/>
      <c r="KFS158"/>
      <c r="KFT158"/>
      <c r="KFU158"/>
      <c r="KFV158"/>
      <c r="KFW158"/>
      <c r="KFX158"/>
      <c r="KFY158"/>
      <c r="KFZ158"/>
      <c r="KGA158"/>
      <c r="KGB158"/>
      <c r="KGC158"/>
      <c r="KGD158"/>
      <c r="KGE158"/>
      <c r="KGF158"/>
      <c r="KGG158"/>
      <c r="KGH158"/>
      <c r="KGI158"/>
      <c r="KGJ158"/>
      <c r="KGK158"/>
      <c r="KGL158"/>
      <c r="KGM158"/>
      <c r="KGN158"/>
      <c r="KGO158"/>
      <c r="KGP158"/>
      <c r="KGQ158"/>
      <c r="KGR158"/>
      <c r="KGS158"/>
      <c r="KGT158"/>
      <c r="KGU158"/>
      <c r="KGV158"/>
      <c r="KGW158"/>
      <c r="KGX158"/>
      <c r="KGY158"/>
      <c r="KGZ158"/>
      <c r="KHA158"/>
      <c r="KHB158"/>
      <c r="KHC158"/>
      <c r="KHD158"/>
      <c r="KHE158"/>
      <c r="KHF158"/>
      <c r="KHG158"/>
      <c r="KHH158"/>
      <c r="KHI158"/>
      <c r="KHJ158"/>
      <c r="KHK158"/>
      <c r="KHL158"/>
      <c r="KHM158"/>
      <c r="KHN158"/>
      <c r="KHO158"/>
      <c r="KHP158"/>
      <c r="KHQ158"/>
      <c r="KHR158"/>
      <c r="KHS158"/>
      <c r="KHT158"/>
      <c r="KHU158"/>
      <c r="KHV158"/>
      <c r="KHW158"/>
      <c r="KHX158"/>
      <c r="KHY158"/>
      <c r="KHZ158"/>
      <c r="KIA158"/>
      <c r="KIB158"/>
      <c r="KIC158"/>
      <c r="KID158"/>
      <c r="KIE158"/>
      <c r="KIF158"/>
      <c r="KIG158"/>
      <c r="KIH158"/>
      <c r="KII158"/>
      <c r="KIJ158"/>
      <c r="KIK158"/>
      <c r="KIL158"/>
      <c r="KIM158"/>
      <c r="KIN158"/>
      <c r="KIO158"/>
      <c r="KIP158"/>
      <c r="KIQ158"/>
      <c r="KIR158"/>
      <c r="KIS158"/>
      <c r="KIT158"/>
      <c r="KIU158"/>
      <c r="KIV158"/>
      <c r="KIW158"/>
      <c r="KIX158"/>
      <c r="KIY158"/>
      <c r="KIZ158"/>
      <c r="KJA158"/>
      <c r="KJB158"/>
      <c r="KJC158"/>
      <c r="KJD158"/>
      <c r="KJE158"/>
      <c r="KJF158"/>
      <c r="KJG158"/>
      <c r="KJH158"/>
      <c r="KJI158"/>
      <c r="KJJ158"/>
      <c r="KJK158"/>
      <c r="KJL158"/>
      <c r="KJM158"/>
      <c r="KJN158"/>
      <c r="KJO158"/>
      <c r="KJP158"/>
      <c r="KJQ158"/>
      <c r="KJR158"/>
      <c r="KJS158"/>
      <c r="KJT158"/>
      <c r="KJU158"/>
      <c r="KJV158"/>
      <c r="KJW158"/>
      <c r="KJX158"/>
      <c r="KJY158"/>
      <c r="KJZ158"/>
      <c r="KKA158"/>
      <c r="KKB158"/>
      <c r="KKC158"/>
      <c r="KKD158"/>
      <c r="KKE158"/>
      <c r="KKF158"/>
      <c r="KKG158"/>
      <c r="KKH158"/>
      <c r="KKI158"/>
      <c r="KKJ158"/>
      <c r="KKK158"/>
      <c r="KKL158"/>
      <c r="KKM158"/>
      <c r="KKN158"/>
      <c r="KKO158"/>
      <c r="KKP158"/>
      <c r="KKQ158"/>
      <c r="KKR158"/>
      <c r="KKS158"/>
      <c r="KKT158"/>
      <c r="KKU158"/>
      <c r="KKV158"/>
      <c r="KKW158"/>
      <c r="KKX158"/>
      <c r="KKY158"/>
      <c r="KKZ158"/>
      <c r="KLA158"/>
      <c r="KLB158"/>
      <c r="KLC158"/>
      <c r="KLD158"/>
      <c r="KLE158"/>
      <c r="KLF158"/>
      <c r="KLG158"/>
      <c r="KLH158"/>
      <c r="KLI158"/>
      <c r="KLJ158"/>
      <c r="KLK158"/>
      <c r="KLL158"/>
      <c r="KLM158"/>
      <c r="KLN158"/>
      <c r="KLO158"/>
      <c r="KLP158"/>
      <c r="KLQ158"/>
      <c r="KLR158"/>
      <c r="KLS158"/>
      <c r="KLT158"/>
      <c r="KLU158"/>
      <c r="KLV158"/>
      <c r="KLW158"/>
      <c r="KLX158"/>
      <c r="KLY158"/>
      <c r="KLZ158"/>
      <c r="KMA158"/>
      <c r="KMB158"/>
      <c r="KMC158"/>
      <c r="KMD158"/>
      <c r="KME158"/>
      <c r="KMF158"/>
      <c r="KMG158"/>
      <c r="KMH158"/>
      <c r="KMI158"/>
      <c r="KMJ158"/>
      <c r="KMK158"/>
      <c r="KML158"/>
      <c r="KMM158"/>
      <c r="KMN158"/>
      <c r="KMO158"/>
      <c r="KMP158"/>
      <c r="KMQ158"/>
      <c r="KMR158"/>
      <c r="KMS158"/>
      <c r="KMT158"/>
      <c r="KMU158"/>
      <c r="KMV158"/>
      <c r="KMW158"/>
      <c r="KMX158"/>
      <c r="KMY158"/>
      <c r="KMZ158"/>
      <c r="KNA158"/>
      <c r="KNB158"/>
      <c r="KNC158"/>
      <c r="KND158"/>
      <c r="KNE158"/>
      <c r="KNF158"/>
      <c r="KNG158"/>
      <c r="KNH158"/>
      <c r="KNI158"/>
      <c r="KNJ158"/>
      <c r="KNK158"/>
      <c r="KNL158"/>
      <c r="KNM158"/>
      <c r="KNN158"/>
      <c r="KNO158"/>
      <c r="KNP158"/>
      <c r="KNQ158"/>
      <c r="KNR158"/>
      <c r="KNS158"/>
      <c r="KNT158"/>
      <c r="KNU158"/>
      <c r="KNV158"/>
      <c r="KNW158"/>
      <c r="KNX158"/>
      <c r="KNY158"/>
      <c r="KNZ158"/>
      <c r="KOA158"/>
      <c r="KOB158"/>
      <c r="KOC158"/>
      <c r="KOD158"/>
      <c r="KOE158"/>
      <c r="KOF158"/>
      <c r="KOG158"/>
      <c r="KOH158"/>
      <c r="KOI158"/>
      <c r="KOJ158"/>
      <c r="KOK158"/>
      <c r="KOL158"/>
      <c r="KOM158"/>
      <c r="KON158"/>
      <c r="KOO158"/>
      <c r="KOP158"/>
      <c r="KOQ158"/>
      <c r="KOR158"/>
      <c r="KOS158"/>
      <c r="KOT158"/>
      <c r="KOU158"/>
      <c r="KOV158"/>
      <c r="KOW158"/>
      <c r="KOX158"/>
      <c r="KOY158"/>
      <c r="KOZ158"/>
      <c r="KPA158"/>
      <c r="KPB158"/>
      <c r="KPC158"/>
      <c r="KPD158"/>
      <c r="KPE158"/>
      <c r="KPF158"/>
      <c r="KPG158"/>
      <c r="KPH158"/>
      <c r="KPI158"/>
      <c r="KPJ158"/>
      <c r="KPK158"/>
      <c r="KPL158"/>
      <c r="KPM158"/>
      <c r="KPN158"/>
      <c r="KPO158"/>
      <c r="KPP158"/>
      <c r="KPQ158"/>
      <c r="KPR158"/>
      <c r="KPS158"/>
      <c r="KPT158"/>
      <c r="KPU158"/>
      <c r="KPV158"/>
      <c r="KPW158"/>
      <c r="KPX158"/>
      <c r="KPY158"/>
      <c r="KPZ158"/>
      <c r="KQA158"/>
      <c r="KQB158"/>
      <c r="KQC158"/>
      <c r="KQD158"/>
      <c r="KQE158"/>
      <c r="KQF158"/>
      <c r="KQG158"/>
      <c r="KQH158"/>
      <c r="KQI158"/>
      <c r="KQJ158"/>
      <c r="KQK158"/>
      <c r="KQL158"/>
      <c r="KQM158"/>
      <c r="KQN158"/>
      <c r="KQO158"/>
      <c r="KQP158"/>
      <c r="KQQ158"/>
      <c r="KQR158"/>
      <c r="KQS158"/>
      <c r="KQT158"/>
      <c r="KQU158"/>
      <c r="KQV158"/>
      <c r="KQW158"/>
      <c r="KQX158"/>
      <c r="KQY158"/>
      <c r="KQZ158"/>
      <c r="KRA158"/>
      <c r="KRB158"/>
      <c r="KRC158"/>
      <c r="KRD158"/>
      <c r="KRE158"/>
      <c r="KRF158"/>
      <c r="KRG158"/>
      <c r="KRH158"/>
      <c r="KRI158"/>
      <c r="KRJ158"/>
      <c r="KRK158"/>
      <c r="KRL158"/>
      <c r="KRM158"/>
      <c r="KRN158"/>
      <c r="KRO158"/>
      <c r="KRP158"/>
      <c r="KRQ158"/>
      <c r="KRR158"/>
      <c r="KRS158"/>
      <c r="KRT158"/>
      <c r="KRU158"/>
      <c r="KRV158"/>
      <c r="KRW158"/>
      <c r="KRX158"/>
      <c r="KRY158"/>
      <c r="KRZ158"/>
      <c r="KSA158"/>
      <c r="KSB158"/>
      <c r="KSC158"/>
      <c r="KSD158"/>
      <c r="KSE158"/>
      <c r="KSF158"/>
      <c r="KSG158"/>
      <c r="KSH158"/>
      <c r="KSI158"/>
      <c r="KSJ158"/>
      <c r="KSK158"/>
      <c r="KSL158"/>
      <c r="KSM158"/>
      <c r="KSN158"/>
      <c r="KSO158"/>
      <c r="KSP158"/>
      <c r="KSQ158"/>
      <c r="KSR158"/>
      <c r="KSS158"/>
      <c r="KST158"/>
      <c r="KSU158"/>
      <c r="KSV158"/>
      <c r="KSW158"/>
      <c r="KSX158"/>
      <c r="KSY158"/>
      <c r="KSZ158"/>
      <c r="KTA158"/>
      <c r="KTB158"/>
      <c r="KTC158"/>
      <c r="KTD158"/>
      <c r="KTE158"/>
      <c r="KTF158"/>
      <c r="KTG158"/>
      <c r="KTH158"/>
      <c r="KTI158"/>
      <c r="KTJ158"/>
      <c r="KTK158"/>
      <c r="KTL158"/>
      <c r="KTM158"/>
      <c r="KTN158"/>
      <c r="KTO158"/>
      <c r="KTP158"/>
      <c r="KTQ158"/>
      <c r="KTR158"/>
      <c r="KTS158"/>
      <c r="KTT158"/>
      <c r="KTU158"/>
      <c r="KTV158"/>
      <c r="KTW158"/>
      <c r="KTX158"/>
      <c r="KTY158"/>
      <c r="KTZ158"/>
      <c r="KUA158"/>
      <c r="KUB158"/>
      <c r="KUC158"/>
      <c r="KUD158"/>
      <c r="KUE158"/>
      <c r="KUF158"/>
      <c r="KUG158"/>
      <c r="KUH158"/>
      <c r="KUI158"/>
      <c r="KUJ158"/>
      <c r="KUK158"/>
      <c r="KUL158"/>
      <c r="KUM158"/>
      <c r="KUN158"/>
      <c r="KUO158"/>
      <c r="KUP158"/>
      <c r="KUQ158"/>
      <c r="KUR158"/>
      <c r="KUS158"/>
      <c r="KUT158"/>
      <c r="KUU158"/>
      <c r="KUV158"/>
      <c r="KUW158"/>
      <c r="KUX158"/>
      <c r="KUY158"/>
      <c r="KUZ158"/>
      <c r="KVA158"/>
      <c r="KVB158"/>
      <c r="KVC158"/>
      <c r="KVD158"/>
      <c r="KVE158"/>
      <c r="KVF158"/>
      <c r="KVG158"/>
      <c r="KVH158"/>
      <c r="KVI158"/>
      <c r="KVJ158"/>
      <c r="KVK158"/>
      <c r="KVL158"/>
      <c r="KVM158"/>
      <c r="KVN158"/>
      <c r="KVO158"/>
      <c r="KVP158"/>
      <c r="KVQ158"/>
      <c r="KVR158"/>
      <c r="KVS158"/>
      <c r="KVT158"/>
      <c r="KVU158"/>
      <c r="KVV158"/>
      <c r="KVW158"/>
      <c r="KVX158"/>
      <c r="KVY158"/>
      <c r="KVZ158"/>
      <c r="KWA158"/>
      <c r="KWB158"/>
      <c r="KWC158"/>
      <c r="KWD158"/>
      <c r="KWE158"/>
      <c r="KWF158"/>
      <c r="KWG158"/>
      <c r="KWH158"/>
      <c r="KWI158"/>
      <c r="KWJ158"/>
      <c r="KWK158"/>
      <c r="KWL158"/>
      <c r="KWM158"/>
      <c r="KWN158"/>
      <c r="KWO158"/>
      <c r="KWP158"/>
      <c r="KWQ158"/>
      <c r="KWR158"/>
      <c r="KWS158"/>
      <c r="KWT158"/>
      <c r="KWU158"/>
      <c r="KWV158"/>
      <c r="KWW158"/>
      <c r="KWX158"/>
      <c r="KWY158"/>
      <c r="KWZ158"/>
      <c r="KXA158"/>
      <c r="KXB158"/>
      <c r="KXC158"/>
      <c r="KXD158"/>
      <c r="KXE158"/>
      <c r="KXF158"/>
      <c r="KXG158"/>
      <c r="KXH158"/>
      <c r="KXI158"/>
      <c r="KXJ158"/>
      <c r="KXK158"/>
      <c r="KXL158"/>
      <c r="KXM158"/>
      <c r="KXN158"/>
      <c r="KXO158"/>
      <c r="KXP158"/>
      <c r="KXQ158"/>
      <c r="KXR158"/>
      <c r="KXS158"/>
      <c r="KXT158"/>
      <c r="KXU158"/>
      <c r="KXV158"/>
      <c r="KXW158"/>
      <c r="KXX158"/>
      <c r="KXY158"/>
      <c r="KXZ158"/>
      <c r="KYA158"/>
      <c r="KYB158"/>
      <c r="KYC158"/>
      <c r="KYD158"/>
      <c r="KYE158"/>
      <c r="KYF158"/>
      <c r="KYG158"/>
      <c r="KYH158"/>
      <c r="KYI158"/>
      <c r="KYJ158"/>
      <c r="KYK158"/>
      <c r="KYL158"/>
      <c r="KYM158"/>
      <c r="KYN158"/>
      <c r="KYO158"/>
      <c r="KYP158"/>
      <c r="KYQ158"/>
      <c r="KYR158"/>
      <c r="KYS158"/>
      <c r="KYT158"/>
      <c r="KYU158"/>
      <c r="KYV158"/>
      <c r="KYW158"/>
      <c r="KYX158"/>
      <c r="KYY158"/>
      <c r="KYZ158"/>
      <c r="KZA158"/>
      <c r="KZB158"/>
      <c r="KZC158"/>
      <c r="KZD158"/>
      <c r="KZE158"/>
      <c r="KZF158"/>
      <c r="KZG158"/>
      <c r="KZH158"/>
      <c r="KZI158"/>
      <c r="KZJ158"/>
      <c r="KZK158"/>
      <c r="KZL158"/>
      <c r="KZM158"/>
      <c r="KZN158"/>
      <c r="KZO158"/>
      <c r="KZP158"/>
      <c r="KZQ158"/>
      <c r="KZR158"/>
      <c r="KZS158"/>
      <c r="KZT158"/>
      <c r="KZU158"/>
      <c r="KZV158"/>
      <c r="KZW158"/>
      <c r="KZX158"/>
      <c r="KZY158"/>
      <c r="KZZ158"/>
      <c r="LAA158"/>
      <c r="LAB158"/>
      <c r="LAC158"/>
      <c r="LAD158"/>
      <c r="LAE158"/>
      <c r="LAF158"/>
      <c r="LAG158"/>
      <c r="LAH158"/>
      <c r="LAI158"/>
      <c r="LAJ158"/>
      <c r="LAK158"/>
      <c r="LAL158"/>
      <c r="LAM158"/>
      <c r="LAN158"/>
      <c r="LAO158"/>
      <c r="LAP158"/>
      <c r="LAQ158"/>
      <c r="LAR158"/>
      <c r="LAS158"/>
      <c r="LAT158"/>
      <c r="LAU158"/>
      <c r="LAV158"/>
      <c r="LAW158"/>
      <c r="LAX158"/>
      <c r="LAY158"/>
      <c r="LAZ158"/>
      <c r="LBA158"/>
      <c r="LBB158"/>
      <c r="LBC158"/>
      <c r="LBD158"/>
      <c r="LBE158"/>
      <c r="LBF158"/>
      <c r="LBG158"/>
      <c r="LBH158"/>
      <c r="LBI158"/>
      <c r="LBJ158"/>
      <c r="LBK158"/>
      <c r="LBL158"/>
      <c r="LBM158"/>
      <c r="LBN158"/>
      <c r="LBO158"/>
      <c r="LBP158"/>
      <c r="LBQ158"/>
      <c r="LBR158"/>
      <c r="LBS158"/>
      <c r="LBT158"/>
      <c r="LBU158"/>
      <c r="LBV158"/>
      <c r="LBW158"/>
      <c r="LBX158"/>
      <c r="LBY158"/>
      <c r="LBZ158"/>
      <c r="LCA158"/>
      <c r="LCB158"/>
      <c r="LCC158"/>
      <c r="LCD158"/>
      <c r="LCE158"/>
      <c r="LCF158"/>
      <c r="LCG158"/>
      <c r="LCH158"/>
      <c r="LCI158"/>
      <c r="LCJ158"/>
      <c r="LCK158"/>
      <c r="LCL158"/>
      <c r="LCM158"/>
      <c r="LCN158"/>
      <c r="LCO158"/>
      <c r="LCP158"/>
      <c r="LCQ158"/>
      <c r="LCR158"/>
      <c r="LCS158"/>
      <c r="LCT158"/>
      <c r="LCU158"/>
      <c r="LCV158"/>
      <c r="LCW158"/>
      <c r="LCX158"/>
      <c r="LCY158"/>
      <c r="LCZ158"/>
      <c r="LDA158"/>
      <c r="LDB158"/>
      <c r="LDC158"/>
      <c r="LDD158"/>
      <c r="LDE158"/>
      <c r="LDF158"/>
      <c r="LDG158"/>
      <c r="LDH158"/>
      <c r="LDI158"/>
      <c r="LDJ158"/>
      <c r="LDK158"/>
      <c r="LDL158"/>
      <c r="LDM158"/>
      <c r="LDN158"/>
      <c r="LDO158"/>
      <c r="LDP158"/>
      <c r="LDQ158"/>
      <c r="LDR158"/>
      <c r="LDS158"/>
      <c r="LDT158"/>
      <c r="LDU158"/>
      <c r="LDV158"/>
      <c r="LDW158"/>
      <c r="LDX158"/>
      <c r="LDY158"/>
      <c r="LDZ158"/>
      <c r="LEA158"/>
      <c r="LEB158"/>
      <c r="LEC158"/>
      <c r="LED158"/>
      <c r="LEE158"/>
      <c r="LEF158"/>
      <c r="LEG158"/>
      <c r="LEH158"/>
      <c r="LEI158"/>
      <c r="LEJ158"/>
      <c r="LEK158"/>
      <c r="LEL158"/>
      <c r="LEM158"/>
      <c r="LEN158"/>
      <c r="LEO158"/>
      <c r="LEP158"/>
      <c r="LEQ158"/>
      <c r="LER158"/>
      <c r="LES158"/>
      <c r="LET158"/>
      <c r="LEU158"/>
      <c r="LEV158"/>
      <c r="LEW158"/>
      <c r="LEX158"/>
      <c r="LEY158"/>
      <c r="LEZ158"/>
      <c r="LFA158"/>
      <c r="LFB158"/>
      <c r="LFC158"/>
      <c r="LFD158"/>
      <c r="LFE158"/>
      <c r="LFF158"/>
      <c r="LFG158"/>
      <c r="LFH158"/>
      <c r="LFI158"/>
      <c r="LFJ158"/>
      <c r="LFK158"/>
      <c r="LFL158"/>
      <c r="LFM158"/>
      <c r="LFN158"/>
      <c r="LFO158"/>
      <c r="LFP158"/>
      <c r="LFQ158"/>
      <c r="LFR158"/>
      <c r="LFS158"/>
      <c r="LFT158"/>
      <c r="LFU158"/>
      <c r="LFV158"/>
      <c r="LFW158"/>
      <c r="LFX158"/>
      <c r="LFY158"/>
      <c r="LFZ158"/>
      <c r="LGA158"/>
      <c r="LGB158"/>
      <c r="LGC158"/>
      <c r="LGD158"/>
      <c r="LGE158"/>
      <c r="LGF158"/>
      <c r="LGG158"/>
      <c r="LGH158"/>
      <c r="LGI158"/>
      <c r="LGJ158"/>
      <c r="LGK158"/>
      <c r="LGL158"/>
      <c r="LGM158"/>
      <c r="LGN158"/>
      <c r="LGO158"/>
      <c r="LGP158"/>
      <c r="LGQ158"/>
      <c r="LGR158"/>
      <c r="LGS158"/>
      <c r="LGT158"/>
      <c r="LGU158"/>
      <c r="LGV158"/>
      <c r="LGW158"/>
      <c r="LGX158"/>
      <c r="LGY158"/>
      <c r="LGZ158"/>
      <c r="LHA158"/>
      <c r="LHB158"/>
      <c r="LHC158"/>
      <c r="LHD158"/>
      <c r="LHE158"/>
      <c r="LHF158"/>
      <c r="LHG158"/>
      <c r="LHH158"/>
      <c r="LHI158"/>
      <c r="LHJ158"/>
      <c r="LHK158"/>
      <c r="LHL158"/>
      <c r="LHM158"/>
      <c r="LHN158"/>
      <c r="LHO158"/>
      <c r="LHP158"/>
      <c r="LHQ158"/>
      <c r="LHR158"/>
      <c r="LHS158"/>
      <c r="LHT158"/>
      <c r="LHU158"/>
      <c r="LHV158"/>
      <c r="LHW158"/>
      <c r="LHX158"/>
      <c r="LHY158"/>
      <c r="LHZ158"/>
      <c r="LIA158"/>
      <c r="LIB158"/>
      <c r="LIC158"/>
      <c r="LID158"/>
      <c r="LIE158"/>
      <c r="LIF158"/>
      <c r="LIG158"/>
      <c r="LIH158"/>
      <c r="LII158"/>
      <c r="LIJ158"/>
      <c r="LIK158"/>
      <c r="LIL158"/>
      <c r="LIM158"/>
      <c r="LIN158"/>
      <c r="LIO158"/>
      <c r="LIP158"/>
      <c r="LIQ158"/>
      <c r="LIR158"/>
      <c r="LIS158"/>
      <c r="LIT158"/>
      <c r="LIU158"/>
      <c r="LIV158"/>
      <c r="LIW158"/>
      <c r="LIX158"/>
      <c r="LIY158"/>
      <c r="LIZ158"/>
      <c r="LJA158"/>
      <c r="LJB158"/>
      <c r="LJC158"/>
      <c r="LJD158"/>
      <c r="LJE158"/>
      <c r="LJF158"/>
      <c r="LJG158"/>
      <c r="LJH158"/>
      <c r="LJI158"/>
      <c r="LJJ158"/>
      <c r="LJK158"/>
      <c r="LJL158"/>
      <c r="LJM158"/>
      <c r="LJN158"/>
      <c r="LJO158"/>
      <c r="LJP158"/>
      <c r="LJQ158"/>
      <c r="LJR158"/>
      <c r="LJS158"/>
      <c r="LJT158"/>
      <c r="LJU158"/>
      <c r="LJV158"/>
      <c r="LJW158"/>
      <c r="LJX158"/>
      <c r="LJY158"/>
      <c r="LJZ158"/>
      <c r="LKA158"/>
      <c r="LKB158"/>
      <c r="LKC158"/>
      <c r="LKD158"/>
      <c r="LKE158"/>
      <c r="LKF158"/>
      <c r="LKG158"/>
      <c r="LKH158"/>
      <c r="LKI158"/>
      <c r="LKJ158"/>
      <c r="LKK158"/>
      <c r="LKL158"/>
      <c r="LKM158"/>
      <c r="LKN158"/>
      <c r="LKO158"/>
      <c r="LKP158"/>
      <c r="LKQ158"/>
      <c r="LKR158"/>
      <c r="LKS158"/>
      <c r="LKT158"/>
      <c r="LKU158"/>
      <c r="LKV158"/>
      <c r="LKW158"/>
      <c r="LKX158"/>
      <c r="LKY158"/>
      <c r="LKZ158"/>
      <c r="LLA158"/>
      <c r="LLB158"/>
      <c r="LLC158"/>
      <c r="LLD158"/>
      <c r="LLE158"/>
      <c r="LLF158"/>
      <c r="LLG158"/>
      <c r="LLH158"/>
      <c r="LLI158"/>
      <c r="LLJ158"/>
      <c r="LLK158"/>
      <c r="LLL158"/>
      <c r="LLM158"/>
      <c r="LLN158"/>
      <c r="LLO158"/>
      <c r="LLP158"/>
      <c r="LLQ158"/>
      <c r="LLR158"/>
      <c r="LLS158"/>
      <c r="LLT158"/>
      <c r="LLU158"/>
      <c r="LLV158"/>
      <c r="LLW158"/>
      <c r="LLX158"/>
      <c r="LLY158"/>
      <c r="LLZ158"/>
      <c r="LMA158"/>
      <c r="LMB158"/>
      <c r="LMC158"/>
      <c r="LMD158"/>
      <c r="LME158"/>
      <c r="LMF158"/>
      <c r="LMG158"/>
      <c r="LMH158"/>
      <c r="LMI158"/>
      <c r="LMJ158"/>
      <c r="LMK158"/>
      <c r="LML158"/>
      <c r="LMM158"/>
      <c r="LMN158"/>
      <c r="LMO158"/>
      <c r="LMP158"/>
      <c r="LMQ158"/>
      <c r="LMR158"/>
      <c r="LMS158"/>
      <c r="LMT158"/>
      <c r="LMU158"/>
      <c r="LMV158"/>
      <c r="LMW158"/>
      <c r="LMX158"/>
      <c r="LMY158"/>
      <c r="LMZ158"/>
      <c r="LNA158"/>
      <c r="LNB158"/>
      <c r="LNC158"/>
      <c r="LND158"/>
      <c r="LNE158"/>
      <c r="LNF158"/>
      <c r="LNG158"/>
      <c r="LNH158"/>
      <c r="LNI158"/>
      <c r="LNJ158"/>
      <c r="LNK158"/>
      <c r="LNL158"/>
      <c r="LNM158"/>
      <c r="LNN158"/>
      <c r="LNO158"/>
      <c r="LNP158"/>
      <c r="LNQ158"/>
      <c r="LNR158"/>
      <c r="LNS158"/>
      <c r="LNT158"/>
      <c r="LNU158"/>
      <c r="LNV158"/>
      <c r="LNW158"/>
      <c r="LNX158"/>
      <c r="LNY158"/>
      <c r="LNZ158"/>
      <c r="LOA158"/>
      <c r="LOB158"/>
      <c r="LOC158"/>
      <c r="LOD158"/>
      <c r="LOE158"/>
      <c r="LOF158"/>
      <c r="LOG158"/>
      <c r="LOH158"/>
      <c r="LOI158"/>
      <c r="LOJ158"/>
      <c r="LOK158"/>
      <c r="LOL158"/>
      <c r="LOM158"/>
      <c r="LON158"/>
      <c r="LOO158"/>
      <c r="LOP158"/>
      <c r="LOQ158"/>
      <c r="LOR158"/>
      <c r="LOS158"/>
      <c r="LOT158"/>
      <c r="LOU158"/>
      <c r="LOV158"/>
      <c r="LOW158"/>
      <c r="LOX158"/>
      <c r="LOY158"/>
      <c r="LOZ158"/>
      <c r="LPA158"/>
      <c r="LPB158"/>
      <c r="LPC158"/>
      <c r="LPD158"/>
      <c r="LPE158"/>
      <c r="LPF158"/>
      <c r="LPG158"/>
      <c r="LPH158"/>
      <c r="LPI158"/>
      <c r="LPJ158"/>
      <c r="LPK158"/>
      <c r="LPL158"/>
      <c r="LPM158"/>
      <c r="LPN158"/>
      <c r="LPO158"/>
      <c r="LPP158"/>
      <c r="LPQ158"/>
      <c r="LPR158"/>
      <c r="LPS158"/>
      <c r="LPT158"/>
      <c r="LPU158"/>
      <c r="LPV158"/>
      <c r="LPW158"/>
      <c r="LPX158"/>
      <c r="LPY158"/>
      <c r="LPZ158"/>
      <c r="LQA158"/>
      <c r="LQB158"/>
      <c r="LQC158"/>
      <c r="LQD158"/>
      <c r="LQE158"/>
      <c r="LQF158"/>
      <c r="LQG158"/>
      <c r="LQH158"/>
      <c r="LQI158"/>
      <c r="LQJ158"/>
      <c r="LQK158"/>
      <c r="LQL158"/>
      <c r="LQM158"/>
      <c r="LQN158"/>
      <c r="LQO158"/>
      <c r="LQP158"/>
      <c r="LQQ158"/>
      <c r="LQR158"/>
      <c r="LQS158"/>
      <c r="LQT158"/>
      <c r="LQU158"/>
      <c r="LQV158"/>
      <c r="LQW158"/>
      <c r="LQX158"/>
      <c r="LQY158"/>
      <c r="LQZ158"/>
      <c r="LRA158"/>
      <c r="LRB158"/>
      <c r="LRC158"/>
      <c r="LRD158"/>
      <c r="LRE158"/>
      <c r="LRF158"/>
      <c r="LRG158"/>
      <c r="LRH158"/>
      <c r="LRI158"/>
      <c r="LRJ158"/>
      <c r="LRK158"/>
      <c r="LRL158"/>
      <c r="LRM158"/>
      <c r="LRN158"/>
      <c r="LRO158"/>
      <c r="LRP158"/>
      <c r="LRQ158"/>
      <c r="LRR158"/>
      <c r="LRS158"/>
      <c r="LRT158"/>
      <c r="LRU158"/>
      <c r="LRV158"/>
      <c r="LRW158"/>
      <c r="LRX158"/>
      <c r="LRY158"/>
      <c r="LRZ158"/>
      <c r="LSA158"/>
      <c r="LSB158"/>
      <c r="LSC158"/>
      <c r="LSD158"/>
      <c r="LSE158"/>
      <c r="LSF158"/>
      <c r="LSG158"/>
      <c r="LSH158"/>
      <c r="LSI158"/>
      <c r="LSJ158"/>
      <c r="LSK158"/>
      <c r="LSL158"/>
      <c r="LSM158"/>
      <c r="LSN158"/>
      <c r="LSO158"/>
      <c r="LSP158"/>
      <c r="LSQ158"/>
      <c r="LSR158"/>
      <c r="LSS158"/>
      <c r="LST158"/>
      <c r="LSU158"/>
      <c r="LSV158"/>
      <c r="LSW158"/>
      <c r="LSX158"/>
      <c r="LSY158"/>
      <c r="LSZ158"/>
      <c r="LTA158"/>
      <c r="LTB158"/>
      <c r="LTC158"/>
      <c r="LTD158"/>
      <c r="LTE158"/>
      <c r="LTF158"/>
      <c r="LTG158"/>
      <c r="LTH158"/>
      <c r="LTI158"/>
      <c r="LTJ158"/>
      <c r="LTK158"/>
      <c r="LTL158"/>
      <c r="LTM158"/>
      <c r="LTN158"/>
      <c r="LTO158"/>
      <c r="LTP158"/>
      <c r="LTQ158"/>
      <c r="LTR158"/>
      <c r="LTS158"/>
      <c r="LTT158"/>
      <c r="LTU158"/>
      <c r="LTV158"/>
      <c r="LTW158"/>
      <c r="LTX158"/>
      <c r="LTY158"/>
      <c r="LTZ158"/>
      <c r="LUA158"/>
      <c r="LUB158"/>
      <c r="LUC158"/>
      <c r="LUD158"/>
      <c r="LUE158"/>
      <c r="LUF158"/>
      <c r="LUG158"/>
      <c r="LUH158"/>
      <c r="LUI158"/>
      <c r="LUJ158"/>
      <c r="LUK158"/>
      <c r="LUL158"/>
      <c r="LUM158"/>
      <c r="LUN158"/>
      <c r="LUO158"/>
      <c r="LUP158"/>
      <c r="LUQ158"/>
      <c r="LUR158"/>
      <c r="LUS158"/>
      <c r="LUT158"/>
      <c r="LUU158"/>
      <c r="LUV158"/>
      <c r="LUW158"/>
      <c r="LUX158"/>
      <c r="LUY158"/>
      <c r="LUZ158"/>
      <c r="LVA158"/>
      <c r="LVB158"/>
      <c r="LVC158"/>
      <c r="LVD158"/>
      <c r="LVE158"/>
      <c r="LVF158"/>
      <c r="LVG158"/>
      <c r="LVH158"/>
      <c r="LVI158"/>
      <c r="LVJ158"/>
      <c r="LVK158"/>
      <c r="LVL158"/>
      <c r="LVM158"/>
      <c r="LVN158"/>
      <c r="LVO158"/>
      <c r="LVP158"/>
      <c r="LVQ158"/>
      <c r="LVR158"/>
      <c r="LVS158"/>
      <c r="LVT158"/>
      <c r="LVU158"/>
      <c r="LVV158"/>
      <c r="LVW158"/>
      <c r="LVX158"/>
      <c r="LVY158"/>
      <c r="LVZ158"/>
      <c r="LWA158"/>
      <c r="LWB158"/>
      <c r="LWC158"/>
      <c r="LWD158"/>
      <c r="LWE158"/>
      <c r="LWF158"/>
      <c r="LWG158"/>
      <c r="LWH158"/>
      <c r="LWI158"/>
      <c r="LWJ158"/>
      <c r="LWK158"/>
      <c r="LWL158"/>
      <c r="LWM158"/>
      <c r="LWN158"/>
      <c r="LWO158"/>
      <c r="LWP158"/>
      <c r="LWQ158"/>
      <c r="LWR158"/>
      <c r="LWS158"/>
      <c r="LWT158"/>
      <c r="LWU158"/>
      <c r="LWV158"/>
      <c r="LWW158"/>
      <c r="LWX158"/>
      <c r="LWY158"/>
      <c r="LWZ158"/>
      <c r="LXA158"/>
      <c r="LXB158"/>
      <c r="LXC158"/>
      <c r="LXD158"/>
      <c r="LXE158"/>
      <c r="LXF158"/>
      <c r="LXG158"/>
      <c r="LXH158"/>
      <c r="LXI158"/>
      <c r="LXJ158"/>
      <c r="LXK158"/>
      <c r="LXL158"/>
      <c r="LXM158"/>
      <c r="LXN158"/>
      <c r="LXO158"/>
      <c r="LXP158"/>
      <c r="LXQ158"/>
      <c r="LXR158"/>
      <c r="LXS158"/>
      <c r="LXT158"/>
      <c r="LXU158"/>
      <c r="LXV158"/>
      <c r="LXW158"/>
      <c r="LXX158"/>
      <c r="LXY158"/>
      <c r="LXZ158"/>
      <c r="LYA158"/>
      <c r="LYB158"/>
      <c r="LYC158"/>
      <c r="LYD158"/>
      <c r="LYE158"/>
      <c r="LYF158"/>
      <c r="LYG158"/>
      <c r="LYH158"/>
      <c r="LYI158"/>
      <c r="LYJ158"/>
      <c r="LYK158"/>
      <c r="LYL158"/>
      <c r="LYM158"/>
      <c r="LYN158"/>
      <c r="LYO158"/>
      <c r="LYP158"/>
      <c r="LYQ158"/>
      <c r="LYR158"/>
      <c r="LYS158"/>
      <c r="LYT158"/>
      <c r="LYU158"/>
      <c r="LYV158"/>
      <c r="LYW158"/>
      <c r="LYX158"/>
      <c r="LYY158"/>
      <c r="LYZ158"/>
      <c r="LZA158"/>
      <c r="LZB158"/>
      <c r="LZC158"/>
      <c r="LZD158"/>
      <c r="LZE158"/>
      <c r="LZF158"/>
      <c r="LZG158"/>
      <c r="LZH158"/>
      <c r="LZI158"/>
      <c r="LZJ158"/>
      <c r="LZK158"/>
      <c r="LZL158"/>
      <c r="LZM158"/>
      <c r="LZN158"/>
      <c r="LZO158"/>
      <c r="LZP158"/>
      <c r="LZQ158"/>
      <c r="LZR158"/>
      <c r="LZS158"/>
      <c r="LZT158"/>
      <c r="LZU158"/>
      <c r="LZV158"/>
      <c r="LZW158"/>
      <c r="LZX158"/>
      <c r="LZY158"/>
      <c r="LZZ158"/>
      <c r="MAA158"/>
      <c r="MAB158"/>
      <c r="MAC158"/>
      <c r="MAD158"/>
      <c r="MAE158"/>
      <c r="MAF158"/>
      <c r="MAG158"/>
      <c r="MAH158"/>
      <c r="MAI158"/>
      <c r="MAJ158"/>
      <c r="MAK158"/>
      <c r="MAL158"/>
      <c r="MAM158"/>
      <c r="MAN158"/>
      <c r="MAO158"/>
      <c r="MAP158"/>
      <c r="MAQ158"/>
      <c r="MAR158"/>
      <c r="MAS158"/>
      <c r="MAT158"/>
      <c r="MAU158"/>
      <c r="MAV158"/>
      <c r="MAW158"/>
      <c r="MAX158"/>
      <c r="MAY158"/>
      <c r="MAZ158"/>
      <c r="MBA158"/>
      <c r="MBB158"/>
      <c r="MBC158"/>
      <c r="MBD158"/>
      <c r="MBE158"/>
      <c r="MBF158"/>
      <c r="MBG158"/>
      <c r="MBH158"/>
      <c r="MBI158"/>
      <c r="MBJ158"/>
      <c r="MBK158"/>
      <c r="MBL158"/>
      <c r="MBM158"/>
      <c r="MBN158"/>
      <c r="MBO158"/>
      <c r="MBP158"/>
      <c r="MBQ158"/>
      <c r="MBR158"/>
      <c r="MBS158"/>
      <c r="MBT158"/>
      <c r="MBU158"/>
      <c r="MBV158"/>
      <c r="MBW158"/>
      <c r="MBX158"/>
      <c r="MBY158"/>
      <c r="MBZ158"/>
      <c r="MCA158"/>
      <c r="MCB158"/>
      <c r="MCC158"/>
      <c r="MCD158"/>
      <c r="MCE158"/>
      <c r="MCF158"/>
      <c r="MCG158"/>
      <c r="MCH158"/>
      <c r="MCI158"/>
      <c r="MCJ158"/>
      <c r="MCK158"/>
      <c r="MCL158"/>
      <c r="MCM158"/>
      <c r="MCN158"/>
      <c r="MCO158"/>
      <c r="MCP158"/>
      <c r="MCQ158"/>
      <c r="MCR158"/>
      <c r="MCS158"/>
      <c r="MCT158"/>
      <c r="MCU158"/>
      <c r="MCV158"/>
      <c r="MCW158"/>
      <c r="MCX158"/>
      <c r="MCY158"/>
      <c r="MCZ158"/>
      <c r="MDA158"/>
      <c r="MDB158"/>
      <c r="MDC158"/>
      <c r="MDD158"/>
      <c r="MDE158"/>
      <c r="MDF158"/>
      <c r="MDG158"/>
      <c r="MDH158"/>
      <c r="MDI158"/>
      <c r="MDJ158"/>
      <c r="MDK158"/>
      <c r="MDL158"/>
      <c r="MDM158"/>
      <c r="MDN158"/>
      <c r="MDO158"/>
      <c r="MDP158"/>
      <c r="MDQ158"/>
      <c r="MDR158"/>
      <c r="MDS158"/>
      <c r="MDT158"/>
      <c r="MDU158"/>
      <c r="MDV158"/>
      <c r="MDW158"/>
      <c r="MDX158"/>
      <c r="MDY158"/>
      <c r="MDZ158"/>
      <c r="MEA158"/>
      <c r="MEB158"/>
      <c r="MEC158"/>
      <c r="MED158"/>
      <c r="MEE158"/>
      <c r="MEF158"/>
      <c r="MEG158"/>
      <c r="MEH158"/>
      <c r="MEI158"/>
      <c r="MEJ158"/>
      <c r="MEK158"/>
      <c r="MEL158"/>
      <c r="MEM158"/>
      <c r="MEN158"/>
      <c r="MEO158"/>
      <c r="MEP158"/>
      <c r="MEQ158"/>
      <c r="MER158"/>
      <c r="MES158"/>
      <c r="MET158"/>
      <c r="MEU158"/>
      <c r="MEV158"/>
      <c r="MEW158"/>
      <c r="MEX158"/>
      <c r="MEY158"/>
      <c r="MEZ158"/>
      <c r="MFA158"/>
      <c r="MFB158"/>
      <c r="MFC158"/>
      <c r="MFD158"/>
      <c r="MFE158"/>
      <c r="MFF158"/>
      <c r="MFG158"/>
      <c r="MFH158"/>
      <c r="MFI158"/>
      <c r="MFJ158"/>
      <c r="MFK158"/>
      <c r="MFL158"/>
      <c r="MFM158"/>
      <c r="MFN158"/>
      <c r="MFO158"/>
      <c r="MFP158"/>
      <c r="MFQ158"/>
      <c r="MFR158"/>
      <c r="MFS158"/>
      <c r="MFT158"/>
      <c r="MFU158"/>
      <c r="MFV158"/>
      <c r="MFW158"/>
      <c r="MFX158"/>
      <c r="MFY158"/>
      <c r="MFZ158"/>
      <c r="MGA158"/>
      <c r="MGB158"/>
      <c r="MGC158"/>
      <c r="MGD158"/>
      <c r="MGE158"/>
      <c r="MGF158"/>
      <c r="MGG158"/>
      <c r="MGH158"/>
      <c r="MGI158"/>
      <c r="MGJ158"/>
      <c r="MGK158"/>
      <c r="MGL158"/>
      <c r="MGM158"/>
      <c r="MGN158"/>
      <c r="MGO158"/>
      <c r="MGP158"/>
      <c r="MGQ158"/>
      <c r="MGR158"/>
      <c r="MGS158"/>
      <c r="MGT158"/>
      <c r="MGU158"/>
      <c r="MGV158"/>
      <c r="MGW158"/>
      <c r="MGX158"/>
      <c r="MGY158"/>
      <c r="MGZ158"/>
      <c r="MHA158"/>
      <c r="MHB158"/>
      <c r="MHC158"/>
      <c r="MHD158"/>
      <c r="MHE158"/>
      <c r="MHF158"/>
      <c r="MHG158"/>
      <c r="MHH158"/>
      <c r="MHI158"/>
      <c r="MHJ158"/>
      <c r="MHK158"/>
      <c r="MHL158"/>
      <c r="MHM158"/>
      <c r="MHN158"/>
      <c r="MHO158"/>
      <c r="MHP158"/>
      <c r="MHQ158"/>
      <c r="MHR158"/>
      <c r="MHS158"/>
      <c r="MHT158"/>
      <c r="MHU158"/>
      <c r="MHV158"/>
      <c r="MHW158"/>
      <c r="MHX158"/>
      <c r="MHY158"/>
      <c r="MHZ158"/>
      <c r="MIA158"/>
      <c r="MIB158"/>
      <c r="MIC158"/>
      <c r="MID158"/>
      <c r="MIE158"/>
      <c r="MIF158"/>
      <c r="MIG158"/>
      <c r="MIH158"/>
      <c r="MII158"/>
      <c r="MIJ158"/>
      <c r="MIK158"/>
      <c r="MIL158"/>
      <c r="MIM158"/>
      <c r="MIN158"/>
      <c r="MIO158"/>
      <c r="MIP158"/>
      <c r="MIQ158"/>
      <c r="MIR158"/>
      <c r="MIS158"/>
      <c r="MIT158"/>
      <c r="MIU158"/>
      <c r="MIV158"/>
      <c r="MIW158"/>
      <c r="MIX158"/>
      <c r="MIY158"/>
      <c r="MIZ158"/>
      <c r="MJA158"/>
      <c r="MJB158"/>
      <c r="MJC158"/>
      <c r="MJD158"/>
      <c r="MJE158"/>
      <c r="MJF158"/>
      <c r="MJG158"/>
      <c r="MJH158"/>
      <c r="MJI158"/>
      <c r="MJJ158"/>
      <c r="MJK158"/>
      <c r="MJL158"/>
      <c r="MJM158"/>
      <c r="MJN158"/>
      <c r="MJO158"/>
      <c r="MJP158"/>
      <c r="MJQ158"/>
      <c r="MJR158"/>
      <c r="MJS158"/>
      <c r="MJT158"/>
      <c r="MJU158"/>
      <c r="MJV158"/>
      <c r="MJW158"/>
      <c r="MJX158"/>
      <c r="MJY158"/>
      <c r="MJZ158"/>
      <c r="MKA158"/>
      <c r="MKB158"/>
      <c r="MKC158"/>
      <c r="MKD158"/>
      <c r="MKE158"/>
      <c r="MKF158"/>
      <c r="MKG158"/>
      <c r="MKH158"/>
      <c r="MKI158"/>
      <c r="MKJ158"/>
      <c r="MKK158"/>
      <c r="MKL158"/>
      <c r="MKM158"/>
      <c r="MKN158"/>
      <c r="MKO158"/>
      <c r="MKP158"/>
      <c r="MKQ158"/>
      <c r="MKR158"/>
      <c r="MKS158"/>
      <c r="MKT158"/>
      <c r="MKU158"/>
      <c r="MKV158"/>
      <c r="MKW158"/>
      <c r="MKX158"/>
      <c r="MKY158"/>
      <c r="MKZ158"/>
      <c r="MLA158"/>
      <c r="MLB158"/>
      <c r="MLC158"/>
      <c r="MLD158"/>
      <c r="MLE158"/>
      <c r="MLF158"/>
      <c r="MLG158"/>
      <c r="MLH158"/>
      <c r="MLI158"/>
      <c r="MLJ158"/>
      <c r="MLK158"/>
      <c r="MLL158"/>
      <c r="MLM158"/>
      <c r="MLN158"/>
      <c r="MLO158"/>
      <c r="MLP158"/>
      <c r="MLQ158"/>
      <c r="MLR158"/>
      <c r="MLS158"/>
      <c r="MLT158"/>
      <c r="MLU158"/>
      <c r="MLV158"/>
      <c r="MLW158"/>
      <c r="MLX158"/>
      <c r="MLY158"/>
      <c r="MLZ158"/>
      <c r="MMA158"/>
      <c r="MMB158"/>
      <c r="MMC158"/>
      <c r="MMD158"/>
      <c r="MME158"/>
      <c r="MMF158"/>
      <c r="MMG158"/>
      <c r="MMH158"/>
      <c r="MMI158"/>
      <c r="MMJ158"/>
      <c r="MMK158"/>
      <c r="MML158"/>
      <c r="MMM158"/>
      <c r="MMN158"/>
      <c r="MMO158"/>
      <c r="MMP158"/>
      <c r="MMQ158"/>
      <c r="MMR158"/>
      <c r="MMS158"/>
      <c r="MMT158"/>
      <c r="MMU158"/>
      <c r="MMV158"/>
      <c r="MMW158"/>
      <c r="MMX158"/>
      <c r="MMY158"/>
      <c r="MMZ158"/>
      <c r="MNA158"/>
      <c r="MNB158"/>
      <c r="MNC158"/>
      <c r="MND158"/>
      <c r="MNE158"/>
      <c r="MNF158"/>
      <c r="MNG158"/>
      <c r="MNH158"/>
      <c r="MNI158"/>
      <c r="MNJ158"/>
      <c r="MNK158"/>
      <c r="MNL158"/>
      <c r="MNM158"/>
      <c r="MNN158"/>
      <c r="MNO158"/>
      <c r="MNP158"/>
      <c r="MNQ158"/>
      <c r="MNR158"/>
      <c r="MNS158"/>
      <c r="MNT158"/>
      <c r="MNU158"/>
      <c r="MNV158"/>
      <c r="MNW158"/>
      <c r="MNX158"/>
      <c r="MNY158"/>
      <c r="MNZ158"/>
      <c r="MOA158"/>
      <c r="MOB158"/>
      <c r="MOC158"/>
      <c r="MOD158"/>
      <c r="MOE158"/>
      <c r="MOF158"/>
      <c r="MOG158"/>
      <c r="MOH158"/>
      <c r="MOI158"/>
      <c r="MOJ158"/>
      <c r="MOK158"/>
      <c r="MOL158"/>
      <c r="MOM158"/>
      <c r="MON158"/>
      <c r="MOO158"/>
      <c r="MOP158"/>
      <c r="MOQ158"/>
      <c r="MOR158"/>
      <c r="MOS158"/>
      <c r="MOT158"/>
      <c r="MOU158"/>
      <c r="MOV158"/>
      <c r="MOW158"/>
      <c r="MOX158"/>
      <c r="MOY158"/>
      <c r="MOZ158"/>
      <c r="MPA158"/>
      <c r="MPB158"/>
      <c r="MPC158"/>
      <c r="MPD158"/>
      <c r="MPE158"/>
      <c r="MPF158"/>
      <c r="MPG158"/>
      <c r="MPH158"/>
      <c r="MPI158"/>
      <c r="MPJ158"/>
      <c r="MPK158"/>
      <c r="MPL158"/>
      <c r="MPM158"/>
      <c r="MPN158"/>
      <c r="MPO158"/>
      <c r="MPP158"/>
      <c r="MPQ158"/>
      <c r="MPR158"/>
      <c r="MPS158"/>
      <c r="MPT158"/>
      <c r="MPU158"/>
      <c r="MPV158"/>
      <c r="MPW158"/>
      <c r="MPX158"/>
      <c r="MPY158"/>
      <c r="MPZ158"/>
      <c r="MQA158"/>
      <c r="MQB158"/>
      <c r="MQC158"/>
      <c r="MQD158"/>
      <c r="MQE158"/>
      <c r="MQF158"/>
      <c r="MQG158"/>
      <c r="MQH158"/>
      <c r="MQI158"/>
      <c r="MQJ158"/>
      <c r="MQK158"/>
      <c r="MQL158"/>
      <c r="MQM158"/>
      <c r="MQN158"/>
      <c r="MQO158"/>
      <c r="MQP158"/>
      <c r="MQQ158"/>
      <c r="MQR158"/>
      <c r="MQS158"/>
      <c r="MQT158"/>
      <c r="MQU158"/>
      <c r="MQV158"/>
      <c r="MQW158"/>
      <c r="MQX158"/>
      <c r="MQY158"/>
      <c r="MQZ158"/>
      <c r="MRA158"/>
      <c r="MRB158"/>
      <c r="MRC158"/>
      <c r="MRD158"/>
      <c r="MRE158"/>
      <c r="MRF158"/>
      <c r="MRG158"/>
      <c r="MRH158"/>
      <c r="MRI158"/>
      <c r="MRJ158"/>
      <c r="MRK158"/>
      <c r="MRL158"/>
      <c r="MRM158"/>
      <c r="MRN158"/>
      <c r="MRO158"/>
      <c r="MRP158"/>
      <c r="MRQ158"/>
      <c r="MRR158"/>
      <c r="MRS158"/>
      <c r="MRT158"/>
      <c r="MRU158"/>
      <c r="MRV158"/>
      <c r="MRW158"/>
      <c r="MRX158"/>
      <c r="MRY158"/>
      <c r="MRZ158"/>
      <c r="MSA158"/>
      <c r="MSB158"/>
      <c r="MSC158"/>
      <c r="MSD158"/>
      <c r="MSE158"/>
      <c r="MSF158"/>
      <c r="MSG158"/>
      <c r="MSH158"/>
      <c r="MSI158"/>
      <c r="MSJ158"/>
      <c r="MSK158"/>
      <c r="MSL158"/>
      <c r="MSM158"/>
      <c r="MSN158"/>
      <c r="MSO158"/>
      <c r="MSP158"/>
      <c r="MSQ158"/>
      <c r="MSR158"/>
      <c r="MSS158"/>
      <c r="MST158"/>
      <c r="MSU158"/>
      <c r="MSV158"/>
      <c r="MSW158"/>
      <c r="MSX158"/>
      <c r="MSY158"/>
      <c r="MSZ158"/>
      <c r="MTA158"/>
      <c r="MTB158"/>
      <c r="MTC158"/>
      <c r="MTD158"/>
      <c r="MTE158"/>
      <c r="MTF158"/>
      <c r="MTG158"/>
      <c r="MTH158"/>
      <c r="MTI158"/>
      <c r="MTJ158"/>
      <c r="MTK158"/>
      <c r="MTL158"/>
      <c r="MTM158"/>
      <c r="MTN158"/>
      <c r="MTO158"/>
      <c r="MTP158"/>
      <c r="MTQ158"/>
      <c r="MTR158"/>
      <c r="MTS158"/>
      <c r="MTT158"/>
      <c r="MTU158"/>
      <c r="MTV158"/>
      <c r="MTW158"/>
      <c r="MTX158"/>
      <c r="MTY158"/>
      <c r="MTZ158"/>
      <c r="MUA158"/>
      <c r="MUB158"/>
      <c r="MUC158"/>
      <c r="MUD158"/>
      <c r="MUE158"/>
      <c r="MUF158"/>
      <c r="MUG158"/>
      <c r="MUH158"/>
      <c r="MUI158"/>
      <c r="MUJ158"/>
      <c r="MUK158"/>
      <c r="MUL158"/>
      <c r="MUM158"/>
      <c r="MUN158"/>
      <c r="MUO158"/>
      <c r="MUP158"/>
      <c r="MUQ158"/>
      <c r="MUR158"/>
      <c r="MUS158"/>
      <c r="MUT158"/>
      <c r="MUU158"/>
      <c r="MUV158"/>
      <c r="MUW158"/>
      <c r="MUX158"/>
      <c r="MUY158"/>
      <c r="MUZ158"/>
      <c r="MVA158"/>
      <c r="MVB158"/>
      <c r="MVC158"/>
      <c r="MVD158"/>
      <c r="MVE158"/>
      <c r="MVF158"/>
      <c r="MVG158"/>
      <c r="MVH158"/>
      <c r="MVI158"/>
      <c r="MVJ158"/>
      <c r="MVK158"/>
      <c r="MVL158"/>
      <c r="MVM158"/>
      <c r="MVN158"/>
      <c r="MVO158"/>
      <c r="MVP158"/>
      <c r="MVQ158"/>
      <c r="MVR158"/>
      <c r="MVS158"/>
      <c r="MVT158"/>
      <c r="MVU158"/>
      <c r="MVV158"/>
      <c r="MVW158"/>
      <c r="MVX158"/>
      <c r="MVY158"/>
      <c r="MVZ158"/>
      <c r="MWA158"/>
      <c r="MWB158"/>
      <c r="MWC158"/>
      <c r="MWD158"/>
      <c r="MWE158"/>
      <c r="MWF158"/>
      <c r="MWG158"/>
      <c r="MWH158"/>
      <c r="MWI158"/>
      <c r="MWJ158"/>
      <c r="MWK158"/>
      <c r="MWL158"/>
      <c r="MWM158"/>
      <c r="MWN158"/>
      <c r="MWO158"/>
      <c r="MWP158"/>
      <c r="MWQ158"/>
      <c r="MWR158"/>
      <c r="MWS158"/>
      <c r="MWT158"/>
      <c r="MWU158"/>
      <c r="MWV158"/>
      <c r="MWW158"/>
      <c r="MWX158"/>
      <c r="MWY158"/>
      <c r="MWZ158"/>
      <c r="MXA158"/>
      <c r="MXB158"/>
      <c r="MXC158"/>
      <c r="MXD158"/>
      <c r="MXE158"/>
      <c r="MXF158"/>
      <c r="MXG158"/>
      <c r="MXH158"/>
      <c r="MXI158"/>
      <c r="MXJ158"/>
      <c r="MXK158"/>
      <c r="MXL158"/>
      <c r="MXM158"/>
      <c r="MXN158"/>
      <c r="MXO158"/>
      <c r="MXP158"/>
      <c r="MXQ158"/>
      <c r="MXR158"/>
      <c r="MXS158"/>
      <c r="MXT158"/>
      <c r="MXU158"/>
      <c r="MXV158"/>
      <c r="MXW158"/>
      <c r="MXX158"/>
      <c r="MXY158"/>
      <c r="MXZ158"/>
      <c r="MYA158"/>
      <c r="MYB158"/>
      <c r="MYC158"/>
      <c r="MYD158"/>
      <c r="MYE158"/>
      <c r="MYF158"/>
      <c r="MYG158"/>
      <c r="MYH158"/>
      <c r="MYI158"/>
      <c r="MYJ158"/>
      <c r="MYK158"/>
      <c r="MYL158"/>
      <c r="MYM158"/>
      <c r="MYN158"/>
      <c r="MYO158"/>
      <c r="MYP158"/>
      <c r="MYQ158"/>
      <c r="MYR158"/>
      <c r="MYS158"/>
      <c r="MYT158"/>
      <c r="MYU158"/>
      <c r="MYV158"/>
      <c r="MYW158"/>
      <c r="MYX158"/>
      <c r="MYY158"/>
      <c r="MYZ158"/>
      <c r="MZA158"/>
      <c r="MZB158"/>
      <c r="MZC158"/>
      <c r="MZD158"/>
      <c r="MZE158"/>
      <c r="MZF158"/>
      <c r="MZG158"/>
      <c r="MZH158"/>
      <c r="MZI158"/>
      <c r="MZJ158"/>
      <c r="MZK158"/>
      <c r="MZL158"/>
      <c r="MZM158"/>
      <c r="MZN158"/>
      <c r="MZO158"/>
      <c r="MZP158"/>
      <c r="MZQ158"/>
      <c r="MZR158"/>
      <c r="MZS158"/>
      <c r="MZT158"/>
      <c r="MZU158"/>
      <c r="MZV158"/>
      <c r="MZW158"/>
      <c r="MZX158"/>
      <c r="MZY158"/>
      <c r="MZZ158"/>
      <c r="NAA158"/>
      <c r="NAB158"/>
      <c r="NAC158"/>
      <c r="NAD158"/>
      <c r="NAE158"/>
      <c r="NAF158"/>
      <c r="NAG158"/>
      <c r="NAH158"/>
      <c r="NAI158"/>
      <c r="NAJ158"/>
      <c r="NAK158"/>
      <c r="NAL158"/>
      <c r="NAM158"/>
      <c r="NAN158"/>
      <c r="NAO158"/>
      <c r="NAP158"/>
      <c r="NAQ158"/>
      <c r="NAR158"/>
      <c r="NAS158"/>
      <c r="NAT158"/>
      <c r="NAU158"/>
      <c r="NAV158"/>
      <c r="NAW158"/>
      <c r="NAX158"/>
      <c r="NAY158"/>
      <c r="NAZ158"/>
      <c r="NBA158"/>
      <c r="NBB158"/>
      <c r="NBC158"/>
      <c r="NBD158"/>
      <c r="NBE158"/>
      <c r="NBF158"/>
      <c r="NBG158"/>
      <c r="NBH158"/>
      <c r="NBI158"/>
      <c r="NBJ158"/>
      <c r="NBK158"/>
      <c r="NBL158"/>
      <c r="NBM158"/>
      <c r="NBN158"/>
      <c r="NBO158"/>
      <c r="NBP158"/>
      <c r="NBQ158"/>
      <c r="NBR158"/>
      <c r="NBS158"/>
      <c r="NBT158"/>
      <c r="NBU158"/>
      <c r="NBV158"/>
      <c r="NBW158"/>
      <c r="NBX158"/>
      <c r="NBY158"/>
      <c r="NBZ158"/>
      <c r="NCA158"/>
      <c r="NCB158"/>
      <c r="NCC158"/>
      <c r="NCD158"/>
      <c r="NCE158"/>
      <c r="NCF158"/>
      <c r="NCG158"/>
      <c r="NCH158"/>
      <c r="NCI158"/>
      <c r="NCJ158"/>
      <c r="NCK158"/>
      <c r="NCL158"/>
      <c r="NCM158"/>
      <c r="NCN158"/>
      <c r="NCO158"/>
      <c r="NCP158"/>
      <c r="NCQ158"/>
      <c r="NCR158"/>
      <c r="NCS158"/>
      <c r="NCT158"/>
      <c r="NCU158"/>
      <c r="NCV158"/>
      <c r="NCW158"/>
      <c r="NCX158"/>
      <c r="NCY158"/>
      <c r="NCZ158"/>
      <c r="NDA158"/>
      <c r="NDB158"/>
      <c r="NDC158"/>
      <c r="NDD158"/>
      <c r="NDE158"/>
      <c r="NDF158"/>
      <c r="NDG158"/>
      <c r="NDH158"/>
      <c r="NDI158"/>
      <c r="NDJ158"/>
      <c r="NDK158"/>
      <c r="NDL158"/>
      <c r="NDM158"/>
      <c r="NDN158"/>
      <c r="NDO158"/>
      <c r="NDP158"/>
      <c r="NDQ158"/>
      <c r="NDR158"/>
      <c r="NDS158"/>
      <c r="NDT158"/>
      <c r="NDU158"/>
      <c r="NDV158"/>
      <c r="NDW158"/>
      <c r="NDX158"/>
      <c r="NDY158"/>
      <c r="NDZ158"/>
      <c r="NEA158"/>
      <c r="NEB158"/>
      <c r="NEC158"/>
      <c r="NED158"/>
      <c r="NEE158"/>
      <c r="NEF158"/>
      <c r="NEG158"/>
      <c r="NEH158"/>
      <c r="NEI158"/>
      <c r="NEJ158"/>
      <c r="NEK158"/>
      <c r="NEL158"/>
      <c r="NEM158"/>
      <c r="NEN158"/>
      <c r="NEO158"/>
      <c r="NEP158"/>
      <c r="NEQ158"/>
      <c r="NER158"/>
      <c r="NES158"/>
      <c r="NET158"/>
      <c r="NEU158"/>
      <c r="NEV158"/>
      <c r="NEW158"/>
      <c r="NEX158"/>
      <c r="NEY158"/>
      <c r="NEZ158"/>
      <c r="NFA158"/>
      <c r="NFB158"/>
      <c r="NFC158"/>
      <c r="NFD158"/>
      <c r="NFE158"/>
      <c r="NFF158"/>
      <c r="NFG158"/>
      <c r="NFH158"/>
      <c r="NFI158"/>
      <c r="NFJ158"/>
      <c r="NFK158"/>
      <c r="NFL158"/>
      <c r="NFM158"/>
      <c r="NFN158"/>
      <c r="NFO158"/>
      <c r="NFP158"/>
      <c r="NFQ158"/>
      <c r="NFR158"/>
      <c r="NFS158"/>
      <c r="NFT158"/>
      <c r="NFU158"/>
      <c r="NFV158"/>
      <c r="NFW158"/>
      <c r="NFX158"/>
      <c r="NFY158"/>
      <c r="NFZ158"/>
      <c r="NGA158"/>
      <c r="NGB158"/>
      <c r="NGC158"/>
      <c r="NGD158"/>
      <c r="NGE158"/>
      <c r="NGF158"/>
      <c r="NGG158"/>
      <c r="NGH158"/>
      <c r="NGI158"/>
      <c r="NGJ158"/>
      <c r="NGK158"/>
      <c r="NGL158"/>
      <c r="NGM158"/>
      <c r="NGN158"/>
      <c r="NGO158"/>
      <c r="NGP158"/>
      <c r="NGQ158"/>
      <c r="NGR158"/>
      <c r="NGS158"/>
      <c r="NGT158"/>
      <c r="NGU158"/>
      <c r="NGV158"/>
      <c r="NGW158"/>
      <c r="NGX158"/>
      <c r="NGY158"/>
      <c r="NGZ158"/>
      <c r="NHA158"/>
      <c r="NHB158"/>
      <c r="NHC158"/>
      <c r="NHD158"/>
      <c r="NHE158"/>
      <c r="NHF158"/>
      <c r="NHG158"/>
      <c r="NHH158"/>
      <c r="NHI158"/>
      <c r="NHJ158"/>
      <c r="NHK158"/>
      <c r="NHL158"/>
      <c r="NHM158"/>
      <c r="NHN158"/>
      <c r="NHO158"/>
      <c r="NHP158"/>
      <c r="NHQ158"/>
      <c r="NHR158"/>
      <c r="NHS158"/>
      <c r="NHT158"/>
      <c r="NHU158"/>
      <c r="NHV158"/>
      <c r="NHW158"/>
      <c r="NHX158"/>
      <c r="NHY158"/>
      <c r="NHZ158"/>
      <c r="NIA158"/>
      <c r="NIB158"/>
      <c r="NIC158"/>
      <c r="NID158"/>
      <c r="NIE158"/>
      <c r="NIF158"/>
      <c r="NIG158"/>
      <c r="NIH158"/>
      <c r="NII158"/>
      <c r="NIJ158"/>
      <c r="NIK158"/>
      <c r="NIL158"/>
      <c r="NIM158"/>
      <c r="NIN158"/>
      <c r="NIO158"/>
      <c r="NIP158"/>
      <c r="NIQ158"/>
      <c r="NIR158"/>
      <c r="NIS158"/>
      <c r="NIT158"/>
      <c r="NIU158"/>
      <c r="NIV158"/>
      <c r="NIW158"/>
      <c r="NIX158"/>
      <c r="NIY158"/>
      <c r="NIZ158"/>
      <c r="NJA158"/>
      <c r="NJB158"/>
      <c r="NJC158"/>
      <c r="NJD158"/>
      <c r="NJE158"/>
      <c r="NJF158"/>
      <c r="NJG158"/>
      <c r="NJH158"/>
      <c r="NJI158"/>
      <c r="NJJ158"/>
      <c r="NJK158"/>
      <c r="NJL158"/>
      <c r="NJM158"/>
      <c r="NJN158"/>
      <c r="NJO158"/>
      <c r="NJP158"/>
      <c r="NJQ158"/>
      <c r="NJR158"/>
      <c r="NJS158"/>
      <c r="NJT158"/>
      <c r="NJU158"/>
      <c r="NJV158"/>
      <c r="NJW158"/>
      <c r="NJX158"/>
      <c r="NJY158"/>
      <c r="NJZ158"/>
      <c r="NKA158"/>
      <c r="NKB158"/>
      <c r="NKC158"/>
      <c r="NKD158"/>
      <c r="NKE158"/>
      <c r="NKF158"/>
      <c r="NKG158"/>
      <c r="NKH158"/>
      <c r="NKI158"/>
      <c r="NKJ158"/>
      <c r="NKK158"/>
      <c r="NKL158"/>
      <c r="NKM158"/>
      <c r="NKN158"/>
      <c r="NKO158"/>
      <c r="NKP158"/>
      <c r="NKQ158"/>
      <c r="NKR158"/>
      <c r="NKS158"/>
      <c r="NKT158"/>
      <c r="NKU158"/>
      <c r="NKV158"/>
      <c r="NKW158"/>
      <c r="NKX158"/>
      <c r="NKY158"/>
      <c r="NKZ158"/>
      <c r="NLA158"/>
      <c r="NLB158"/>
      <c r="NLC158"/>
      <c r="NLD158"/>
      <c r="NLE158"/>
      <c r="NLF158"/>
      <c r="NLG158"/>
      <c r="NLH158"/>
      <c r="NLI158"/>
      <c r="NLJ158"/>
      <c r="NLK158"/>
      <c r="NLL158"/>
      <c r="NLM158"/>
      <c r="NLN158"/>
      <c r="NLO158"/>
      <c r="NLP158"/>
      <c r="NLQ158"/>
      <c r="NLR158"/>
      <c r="NLS158"/>
      <c r="NLT158"/>
      <c r="NLU158"/>
      <c r="NLV158"/>
      <c r="NLW158"/>
      <c r="NLX158"/>
      <c r="NLY158"/>
      <c r="NLZ158"/>
      <c r="NMA158"/>
      <c r="NMB158"/>
      <c r="NMC158"/>
      <c r="NMD158"/>
      <c r="NME158"/>
      <c r="NMF158"/>
      <c r="NMG158"/>
      <c r="NMH158"/>
      <c r="NMI158"/>
      <c r="NMJ158"/>
      <c r="NMK158"/>
      <c r="NML158"/>
      <c r="NMM158"/>
      <c r="NMN158"/>
      <c r="NMO158"/>
      <c r="NMP158"/>
      <c r="NMQ158"/>
      <c r="NMR158"/>
      <c r="NMS158"/>
      <c r="NMT158"/>
      <c r="NMU158"/>
      <c r="NMV158"/>
      <c r="NMW158"/>
      <c r="NMX158"/>
      <c r="NMY158"/>
      <c r="NMZ158"/>
      <c r="NNA158"/>
      <c r="NNB158"/>
      <c r="NNC158"/>
      <c r="NND158"/>
      <c r="NNE158"/>
      <c r="NNF158"/>
      <c r="NNG158"/>
      <c r="NNH158"/>
      <c r="NNI158"/>
      <c r="NNJ158"/>
      <c r="NNK158"/>
      <c r="NNL158"/>
      <c r="NNM158"/>
      <c r="NNN158"/>
      <c r="NNO158"/>
      <c r="NNP158"/>
      <c r="NNQ158"/>
      <c r="NNR158"/>
      <c r="NNS158"/>
      <c r="NNT158"/>
      <c r="NNU158"/>
      <c r="NNV158"/>
      <c r="NNW158"/>
      <c r="NNX158"/>
      <c r="NNY158"/>
      <c r="NNZ158"/>
      <c r="NOA158"/>
      <c r="NOB158"/>
      <c r="NOC158"/>
      <c r="NOD158"/>
      <c r="NOE158"/>
      <c r="NOF158"/>
      <c r="NOG158"/>
      <c r="NOH158"/>
      <c r="NOI158"/>
      <c r="NOJ158"/>
      <c r="NOK158"/>
      <c r="NOL158"/>
      <c r="NOM158"/>
      <c r="NON158"/>
      <c r="NOO158"/>
      <c r="NOP158"/>
      <c r="NOQ158"/>
      <c r="NOR158"/>
      <c r="NOS158"/>
      <c r="NOT158"/>
      <c r="NOU158"/>
      <c r="NOV158"/>
      <c r="NOW158"/>
      <c r="NOX158"/>
      <c r="NOY158"/>
      <c r="NOZ158"/>
      <c r="NPA158"/>
      <c r="NPB158"/>
      <c r="NPC158"/>
      <c r="NPD158"/>
      <c r="NPE158"/>
      <c r="NPF158"/>
      <c r="NPG158"/>
      <c r="NPH158"/>
      <c r="NPI158"/>
      <c r="NPJ158"/>
      <c r="NPK158"/>
      <c r="NPL158"/>
      <c r="NPM158"/>
      <c r="NPN158"/>
      <c r="NPO158"/>
      <c r="NPP158"/>
      <c r="NPQ158"/>
      <c r="NPR158"/>
      <c r="NPS158"/>
      <c r="NPT158"/>
      <c r="NPU158"/>
      <c r="NPV158"/>
      <c r="NPW158"/>
      <c r="NPX158"/>
      <c r="NPY158"/>
      <c r="NPZ158"/>
      <c r="NQA158"/>
      <c r="NQB158"/>
      <c r="NQC158"/>
      <c r="NQD158"/>
      <c r="NQE158"/>
      <c r="NQF158"/>
      <c r="NQG158"/>
      <c r="NQH158"/>
      <c r="NQI158"/>
      <c r="NQJ158"/>
      <c r="NQK158"/>
      <c r="NQL158"/>
      <c r="NQM158"/>
      <c r="NQN158"/>
      <c r="NQO158"/>
      <c r="NQP158"/>
      <c r="NQQ158"/>
      <c r="NQR158"/>
      <c r="NQS158"/>
      <c r="NQT158"/>
      <c r="NQU158"/>
      <c r="NQV158"/>
      <c r="NQW158"/>
      <c r="NQX158"/>
      <c r="NQY158"/>
      <c r="NQZ158"/>
      <c r="NRA158"/>
      <c r="NRB158"/>
      <c r="NRC158"/>
      <c r="NRD158"/>
      <c r="NRE158"/>
      <c r="NRF158"/>
      <c r="NRG158"/>
      <c r="NRH158"/>
      <c r="NRI158"/>
      <c r="NRJ158"/>
      <c r="NRK158"/>
      <c r="NRL158"/>
      <c r="NRM158"/>
      <c r="NRN158"/>
      <c r="NRO158"/>
      <c r="NRP158"/>
      <c r="NRQ158"/>
      <c r="NRR158"/>
      <c r="NRS158"/>
      <c r="NRT158"/>
      <c r="NRU158"/>
      <c r="NRV158"/>
      <c r="NRW158"/>
      <c r="NRX158"/>
      <c r="NRY158"/>
      <c r="NRZ158"/>
      <c r="NSA158"/>
      <c r="NSB158"/>
      <c r="NSC158"/>
      <c r="NSD158"/>
      <c r="NSE158"/>
      <c r="NSF158"/>
      <c r="NSG158"/>
      <c r="NSH158"/>
      <c r="NSI158"/>
      <c r="NSJ158"/>
      <c r="NSK158"/>
      <c r="NSL158"/>
      <c r="NSM158"/>
      <c r="NSN158"/>
      <c r="NSO158"/>
      <c r="NSP158"/>
      <c r="NSQ158"/>
      <c r="NSR158"/>
      <c r="NSS158"/>
      <c r="NST158"/>
      <c r="NSU158"/>
      <c r="NSV158"/>
      <c r="NSW158"/>
      <c r="NSX158"/>
      <c r="NSY158"/>
      <c r="NSZ158"/>
      <c r="NTA158"/>
      <c r="NTB158"/>
      <c r="NTC158"/>
      <c r="NTD158"/>
      <c r="NTE158"/>
      <c r="NTF158"/>
      <c r="NTG158"/>
      <c r="NTH158"/>
      <c r="NTI158"/>
      <c r="NTJ158"/>
      <c r="NTK158"/>
      <c r="NTL158"/>
      <c r="NTM158"/>
      <c r="NTN158"/>
      <c r="NTO158"/>
      <c r="NTP158"/>
      <c r="NTQ158"/>
      <c r="NTR158"/>
      <c r="NTS158"/>
      <c r="NTT158"/>
      <c r="NTU158"/>
      <c r="NTV158"/>
      <c r="NTW158"/>
      <c r="NTX158"/>
      <c r="NTY158"/>
      <c r="NTZ158"/>
      <c r="NUA158"/>
      <c r="NUB158"/>
      <c r="NUC158"/>
      <c r="NUD158"/>
      <c r="NUE158"/>
      <c r="NUF158"/>
      <c r="NUG158"/>
      <c r="NUH158"/>
      <c r="NUI158"/>
      <c r="NUJ158"/>
      <c r="NUK158"/>
      <c r="NUL158"/>
      <c r="NUM158"/>
      <c r="NUN158"/>
      <c r="NUO158"/>
      <c r="NUP158"/>
      <c r="NUQ158"/>
      <c r="NUR158"/>
      <c r="NUS158"/>
      <c r="NUT158"/>
      <c r="NUU158"/>
      <c r="NUV158"/>
      <c r="NUW158"/>
      <c r="NUX158"/>
      <c r="NUY158"/>
      <c r="NUZ158"/>
      <c r="NVA158"/>
      <c r="NVB158"/>
      <c r="NVC158"/>
      <c r="NVD158"/>
      <c r="NVE158"/>
      <c r="NVF158"/>
      <c r="NVG158"/>
      <c r="NVH158"/>
      <c r="NVI158"/>
      <c r="NVJ158"/>
      <c r="NVK158"/>
      <c r="NVL158"/>
      <c r="NVM158"/>
      <c r="NVN158"/>
      <c r="NVO158"/>
      <c r="NVP158"/>
      <c r="NVQ158"/>
      <c r="NVR158"/>
      <c r="NVS158"/>
      <c r="NVT158"/>
      <c r="NVU158"/>
      <c r="NVV158"/>
      <c r="NVW158"/>
      <c r="NVX158"/>
      <c r="NVY158"/>
      <c r="NVZ158"/>
      <c r="NWA158"/>
      <c r="NWB158"/>
      <c r="NWC158"/>
      <c r="NWD158"/>
      <c r="NWE158"/>
      <c r="NWF158"/>
      <c r="NWG158"/>
      <c r="NWH158"/>
      <c r="NWI158"/>
      <c r="NWJ158"/>
      <c r="NWK158"/>
      <c r="NWL158"/>
      <c r="NWM158"/>
      <c r="NWN158"/>
      <c r="NWO158"/>
      <c r="NWP158"/>
      <c r="NWQ158"/>
      <c r="NWR158"/>
      <c r="NWS158"/>
      <c r="NWT158"/>
      <c r="NWU158"/>
      <c r="NWV158"/>
      <c r="NWW158"/>
      <c r="NWX158"/>
      <c r="NWY158"/>
      <c r="NWZ158"/>
      <c r="NXA158"/>
      <c r="NXB158"/>
      <c r="NXC158"/>
      <c r="NXD158"/>
      <c r="NXE158"/>
      <c r="NXF158"/>
      <c r="NXG158"/>
      <c r="NXH158"/>
      <c r="NXI158"/>
      <c r="NXJ158"/>
      <c r="NXK158"/>
      <c r="NXL158"/>
      <c r="NXM158"/>
      <c r="NXN158"/>
      <c r="NXO158"/>
      <c r="NXP158"/>
      <c r="NXQ158"/>
      <c r="NXR158"/>
      <c r="NXS158"/>
      <c r="NXT158"/>
      <c r="NXU158"/>
      <c r="NXV158"/>
      <c r="NXW158"/>
      <c r="NXX158"/>
      <c r="NXY158"/>
      <c r="NXZ158"/>
      <c r="NYA158"/>
      <c r="NYB158"/>
      <c r="NYC158"/>
      <c r="NYD158"/>
      <c r="NYE158"/>
      <c r="NYF158"/>
      <c r="NYG158"/>
      <c r="NYH158"/>
      <c r="NYI158"/>
      <c r="NYJ158"/>
      <c r="NYK158"/>
      <c r="NYL158"/>
      <c r="NYM158"/>
      <c r="NYN158"/>
      <c r="NYO158"/>
      <c r="NYP158"/>
      <c r="NYQ158"/>
      <c r="NYR158"/>
      <c r="NYS158"/>
      <c r="NYT158"/>
      <c r="NYU158"/>
      <c r="NYV158"/>
      <c r="NYW158"/>
      <c r="NYX158"/>
      <c r="NYY158"/>
      <c r="NYZ158"/>
      <c r="NZA158"/>
      <c r="NZB158"/>
      <c r="NZC158"/>
      <c r="NZD158"/>
      <c r="NZE158"/>
      <c r="NZF158"/>
      <c r="NZG158"/>
      <c r="NZH158"/>
      <c r="NZI158"/>
      <c r="NZJ158"/>
      <c r="NZK158"/>
      <c r="NZL158"/>
      <c r="NZM158"/>
      <c r="NZN158"/>
      <c r="NZO158"/>
      <c r="NZP158"/>
      <c r="NZQ158"/>
      <c r="NZR158"/>
      <c r="NZS158"/>
      <c r="NZT158"/>
      <c r="NZU158"/>
      <c r="NZV158"/>
      <c r="NZW158"/>
      <c r="NZX158"/>
      <c r="NZY158"/>
      <c r="NZZ158"/>
      <c r="OAA158"/>
      <c r="OAB158"/>
      <c r="OAC158"/>
      <c r="OAD158"/>
      <c r="OAE158"/>
      <c r="OAF158"/>
      <c r="OAG158"/>
      <c r="OAH158"/>
      <c r="OAI158"/>
      <c r="OAJ158"/>
      <c r="OAK158"/>
      <c r="OAL158"/>
      <c r="OAM158"/>
      <c r="OAN158"/>
      <c r="OAO158"/>
      <c r="OAP158"/>
      <c r="OAQ158"/>
      <c r="OAR158"/>
      <c r="OAS158"/>
      <c r="OAT158"/>
      <c r="OAU158"/>
      <c r="OAV158"/>
      <c r="OAW158"/>
      <c r="OAX158"/>
      <c r="OAY158"/>
      <c r="OAZ158"/>
      <c r="OBA158"/>
      <c r="OBB158"/>
      <c r="OBC158"/>
      <c r="OBD158"/>
      <c r="OBE158"/>
      <c r="OBF158"/>
      <c r="OBG158"/>
      <c r="OBH158"/>
      <c r="OBI158"/>
      <c r="OBJ158"/>
      <c r="OBK158"/>
      <c r="OBL158"/>
      <c r="OBM158"/>
      <c r="OBN158"/>
      <c r="OBO158"/>
      <c r="OBP158"/>
      <c r="OBQ158"/>
      <c r="OBR158"/>
      <c r="OBS158"/>
      <c r="OBT158"/>
      <c r="OBU158"/>
      <c r="OBV158"/>
      <c r="OBW158"/>
      <c r="OBX158"/>
      <c r="OBY158"/>
      <c r="OBZ158"/>
      <c r="OCA158"/>
      <c r="OCB158"/>
      <c r="OCC158"/>
      <c r="OCD158"/>
      <c r="OCE158"/>
      <c r="OCF158"/>
      <c r="OCG158"/>
      <c r="OCH158"/>
      <c r="OCI158"/>
      <c r="OCJ158"/>
      <c r="OCK158"/>
      <c r="OCL158"/>
      <c r="OCM158"/>
      <c r="OCN158"/>
      <c r="OCO158"/>
      <c r="OCP158"/>
      <c r="OCQ158"/>
      <c r="OCR158"/>
      <c r="OCS158"/>
      <c r="OCT158"/>
      <c r="OCU158"/>
      <c r="OCV158"/>
      <c r="OCW158"/>
      <c r="OCX158"/>
      <c r="OCY158"/>
      <c r="OCZ158"/>
      <c r="ODA158"/>
      <c r="ODB158"/>
      <c r="ODC158"/>
      <c r="ODD158"/>
      <c r="ODE158"/>
      <c r="ODF158"/>
      <c r="ODG158"/>
      <c r="ODH158"/>
      <c r="ODI158"/>
      <c r="ODJ158"/>
      <c r="ODK158"/>
      <c r="ODL158"/>
      <c r="ODM158"/>
      <c r="ODN158"/>
      <c r="ODO158"/>
      <c r="ODP158"/>
      <c r="ODQ158"/>
      <c r="ODR158"/>
      <c r="ODS158"/>
      <c r="ODT158"/>
      <c r="ODU158"/>
      <c r="ODV158"/>
      <c r="ODW158"/>
      <c r="ODX158"/>
      <c r="ODY158"/>
      <c r="ODZ158"/>
      <c r="OEA158"/>
      <c r="OEB158"/>
      <c r="OEC158"/>
      <c r="OED158"/>
      <c r="OEE158"/>
      <c r="OEF158"/>
      <c r="OEG158"/>
      <c r="OEH158"/>
      <c r="OEI158"/>
      <c r="OEJ158"/>
      <c r="OEK158"/>
      <c r="OEL158"/>
      <c r="OEM158"/>
      <c r="OEN158"/>
      <c r="OEO158"/>
      <c r="OEP158"/>
      <c r="OEQ158"/>
      <c r="OER158"/>
      <c r="OES158"/>
      <c r="OET158"/>
      <c r="OEU158"/>
      <c r="OEV158"/>
      <c r="OEW158"/>
      <c r="OEX158"/>
      <c r="OEY158"/>
      <c r="OEZ158"/>
      <c r="OFA158"/>
      <c r="OFB158"/>
      <c r="OFC158"/>
      <c r="OFD158"/>
      <c r="OFE158"/>
      <c r="OFF158"/>
      <c r="OFG158"/>
      <c r="OFH158"/>
      <c r="OFI158"/>
      <c r="OFJ158"/>
      <c r="OFK158"/>
      <c r="OFL158"/>
      <c r="OFM158"/>
      <c r="OFN158"/>
      <c r="OFO158"/>
      <c r="OFP158"/>
      <c r="OFQ158"/>
      <c r="OFR158"/>
      <c r="OFS158"/>
      <c r="OFT158"/>
      <c r="OFU158"/>
      <c r="OFV158"/>
      <c r="OFW158"/>
      <c r="OFX158"/>
      <c r="OFY158"/>
      <c r="OFZ158"/>
      <c r="OGA158"/>
      <c r="OGB158"/>
      <c r="OGC158"/>
      <c r="OGD158"/>
      <c r="OGE158"/>
      <c r="OGF158"/>
      <c r="OGG158"/>
      <c r="OGH158"/>
      <c r="OGI158"/>
      <c r="OGJ158"/>
      <c r="OGK158"/>
      <c r="OGL158"/>
      <c r="OGM158"/>
      <c r="OGN158"/>
      <c r="OGO158"/>
      <c r="OGP158"/>
      <c r="OGQ158"/>
      <c r="OGR158"/>
      <c r="OGS158"/>
      <c r="OGT158"/>
      <c r="OGU158"/>
      <c r="OGV158"/>
      <c r="OGW158"/>
      <c r="OGX158"/>
      <c r="OGY158"/>
      <c r="OGZ158"/>
      <c r="OHA158"/>
      <c r="OHB158"/>
      <c r="OHC158"/>
      <c r="OHD158"/>
      <c r="OHE158"/>
      <c r="OHF158"/>
      <c r="OHG158"/>
      <c r="OHH158"/>
      <c r="OHI158"/>
      <c r="OHJ158"/>
      <c r="OHK158"/>
      <c r="OHL158"/>
      <c r="OHM158"/>
      <c r="OHN158"/>
      <c r="OHO158"/>
      <c r="OHP158"/>
      <c r="OHQ158"/>
      <c r="OHR158"/>
      <c r="OHS158"/>
      <c r="OHT158"/>
      <c r="OHU158"/>
      <c r="OHV158"/>
      <c r="OHW158"/>
      <c r="OHX158"/>
      <c r="OHY158"/>
      <c r="OHZ158"/>
      <c r="OIA158"/>
      <c r="OIB158"/>
      <c r="OIC158"/>
      <c r="OID158"/>
      <c r="OIE158"/>
      <c r="OIF158"/>
      <c r="OIG158"/>
      <c r="OIH158"/>
      <c r="OII158"/>
      <c r="OIJ158"/>
      <c r="OIK158"/>
      <c r="OIL158"/>
      <c r="OIM158"/>
      <c r="OIN158"/>
      <c r="OIO158"/>
      <c r="OIP158"/>
      <c r="OIQ158"/>
      <c r="OIR158"/>
      <c r="OIS158"/>
      <c r="OIT158"/>
      <c r="OIU158"/>
      <c r="OIV158"/>
      <c r="OIW158"/>
      <c r="OIX158"/>
      <c r="OIY158"/>
      <c r="OIZ158"/>
      <c r="OJA158"/>
      <c r="OJB158"/>
      <c r="OJC158"/>
      <c r="OJD158"/>
      <c r="OJE158"/>
      <c r="OJF158"/>
      <c r="OJG158"/>
      <c r="OJH158"/>
      <c r="OJI158"/>
      <c r="OJJ158"/>
      <c r="OJK158"/>
      <c r="OJL158"/>
      <c r="OJM158"/>
      <c r="OJN158"/>
      <c r="OJO158"/>
      <c r="OJP158"/>
      <c r="OJQ158"/>
      <c r="OJR158"/>
      <c r="OJS158"/>
      <c r="OJT158"/>
      <c r="OJU158"/>
      <c r="OJV158"/>
      <c r="OJW158"/>
      <c r="OJX158"/>
      <c r="OJY158"/>
      <c r="OJZ158"/>
      <c r="OKA158"/>
      <c r="OKB158"/>
      <c r="OKC158"/>
      <c r="OKD158"/>
      <c r="OKE158"/>
      <c r="OKF158"/>
      <c r="OKG158"/>
      <c r="OKH158"/>
      <c r="OKI158"/>
      <c r="OKJ158"/>
      <c r="OKK158"/>
      <c r="OKL158"/>
      <c r="OKM158"/>
      <c r="OKN158"/>
      <c r="OKO158"/>
      <c r="OKP158"/>
      <c r="OKQ158"/>
      <c r="OKR158"/>
      <c r="OKS158"/>
      <c r="OKT158"/>
      <c r="OKU158"/>
      <c r="OKV158"/>
      <c r="OKW158"/>
      <c r="OKX158"/>
      <c r="OKY158"/>
      <c r="OKZ158"/>
      <c r="OLA158"/>
      <c r="OLB158"/>
      <c r="OLC158"/>
      <c r="OLD158"/>
      <c r="OLE158"/>
      <c r="OLF158"/>
      <c r="OLG158"/>
      <c r="OLH158"/>
      <c r="OLI158"/>
      <c r="OLJ158"/>
      <c r="OLK158"/>
      <c r="OLL158"/>
      <c r="OLM158"/>
      <c r="OLN158"/>
      <c r="OLO158"/>
      <c r="OLP158"/>
      <c r="OLQ158"/>
      <c r="OLR158"/>
      <c r="OLS158"/>
      <c r="OLT158"/>
      <c r="OLU158"/>
      <c r="OLV158"/>
      <c r="OLW158"/>
      <c r="OLX158"/>
      <c r="OLY158"/>
      <c r="OLZ158"/>
      <c r="OMA158"/>
      <c r="OMB158"/>
      <c r="OMC158"/>
      <c r="OMD158"/>
      <c r="OME158"/>
      <c r="OMF158"/>
      <c r="OMG158"/>
      <c r="OMH158"/>
      <c r="OMI158"/>
      <c r="OMJ158"/>
      <c r="OMK158"/>
      <c r="OML158"/>
      <c r="OMM158"/>
      <c r="OMN158"/>
      <c r="OMO158"/>
      <c r="OMP158"/>
      <c r="OMQ158"/>
      <c r="OMR158"/>
      <c r="OMS158"/>
      <c r="OMT158"/>
      <c r="OMU158"/>
      <c r="OMV158"/>
      <c r="OMW158"/>
      <c r="OMX158"/>
      <c r="OMY158"/>
      <c r="OMZ158"/>
      <c r="ONA158"/>
      <c r="ONB158"/>
      <c r="ONC158"/>
      <c r="OND158"/>
      <c r="ONE158"/>
      <c r="ONF158"/>
      <c r="ONG158"/>
      <c r="ONH158"/>
      <c r="ONI158"/>
      <c r="ONJ158"/>
      <c r="ONK158"/>
      <c r="ONL158"/>
      <c r="ONM158"/>
      <c r="ONN158"/>
      <c r="ONO158"/>
      <c r="ONP158"/>
      <c r="ONQ158"/>
      <c r="ONR158"/>
      <c r="ONS158"/>
      <c r="ONT158"/>
      <c r="ONU158"/>
      <c r="ONV158"/>
      <c r="ONW158"/>
      <c r="ONX158"/>
      <c r="ONY158"/>
      <c r="ONZ158"/>
      <c r="OOA158"/>
      <c r="OOB158"/>
      <c r="OOC158"/>
      <c r="OOD158"/>
      <c r="OOE158"/>
      <c r="OOF158"/>
      <c r="OOG158"/>
      <c r="OOH158"/>
      <c r="OOI158"/>
      <c r="OOJ158"/>
      <c r="OOK158"/>
      <c r="OOL158"/>
      <c r="OOM158"/>
      <c r="OON158"/>
      <c r="OOO158"/>
      <c r="OOP158"/>
      <c r="OOQ158"/>
      <c r="OOR158"/>
      <c r="OOS158"/>
      <c r="OOT158"/>
      <c r="OOU158"/>
      <c r="OOV158"/>
      <c r="OOW158"/>
      <c r="OOX158"/>
      <c r="OOY158"/>
      <c r="OOZ158"/>
      <c r="OPA158"/>
      <c r="OPB158"/>
      <c r="OPC158"/>
      <c r="OPD158"/>
      <c r="OPE158"/>
      <c r="OPF158"/>
      <c r="OPG158"/>
      <c r="OPH158"/>
      <c r="OPI158"/>
      <c r="OPJ158"/>
      <c r="OPK158"/>
      <c r="OPL158"/>
      <c r="OPM158"/>
      <c r="OPN158"/>
      <c r="OPO158"/>
      <c r="OPP158"/>
      <c r="OPQ158"/>
      <c r="OPR158"/>
      <c r="OPS158"/>
      <c r="OPT158"/>
      <c r="OPU158"/>
      <c r="OPV158"/>
      <c r="OPW158"/>
      <c r="OPX158"/>
      <c r="OPY158"/>
      <c r="OPZ158"/>
      <c r="OQA158"/>
      <c r="OQB158"/>
      <c r="OQC158"/>
      <c r="OQD158"/>
      <c r="OQE158"/>
      <c r="OQF158"/>
      <c r="OQG158"/>
      <c r="OQH158"/>
      <c r="OQI158"/>
      <c r="OQJ158"/>
      <c r="OQK158"/>
      <c r="OQL158"/>
      <c r="OQM158"/>
      <c r="OQN158"/>
      <c r="OQO158"/>
      <c r="OQP158"/>
      <c r="OQQ158"/>
      <c r="OQR158"/>
      <c r="OQS158"/>
      <c r="OQT158"/>
      <c r="OQU158"/>
      <c r="OQV158"/>
      <c r="OQW158"/>
      <c r="OQX158"/>
      <c r="OQY158"/>
      <c r="OQZ158"/>
      <c r="ORA158"/>
      <c r="ORB158"/>
      <c r="ORC158"/>
      <c r="ORD158"/>
      <c r="ORE158"/>
      <c r="ORF158"/>
      <c r="ORG158"/>
      <c r="ORH158"/>
      <c r="ORI158"/>
      <c r="ORJ158"/>
      <c r="ORK158"/>
      <c r="ORL158"/>
      <c r="ORM158"/>
      <c r="ORN158"/>
      <c r="ORO158"/>
      <c r="ORP158"/>
      <c r="ORQ158"/>
      <c r="ORR158"/>
      <c r="ORS158"/>
      <c r="ORT158"/>
      <c r="ORU158"/>
      <c r="ORV158"/>
      <c r="ORW158"/>
      <c r="ORX158"/>
      <c r="ORY158"/>
      <c r="ORZ158"/>
      <c r="OSA158"/>
      <c r="OSB158"/>
      <c r="OSC158"/>
      <c r="OSD158"/>
      <c r="OSE158"/>
      <c r="OSF158"/>
      <c r="OSG158"/>
      <c r="OSH158"/>
      <c r="OSI158"/>
      <c r="OSJ158"/>
      <c r="OSK158"/>
      <c r="OSL158"/>
      <c r="OSM158"/>
      <c r="OSN158"/>
      <c r="OSO158"/>
      <c r="OSP158"/>
      <c r="OSQ158"/>
      <c r="OSR158"/>
      <c r="OSS158"/>
      <c r="OST158"/>
      <c r="OSU158"/>
      <c r="OSV158"/>
      <c r="OSW158"/>
      <c r="OSX158"/>
      <c r="OSY158"/>
      <c r="OSZ158"/>
      <c r="OTA158"/>
      <c r="OTB158"/>
      <c r="OTC158"/>
      <c r="OTD158"/>
      <c r="OTE158"/>
      <c r="OTF158"/>
      <c r="OTG158"/>
      <c r="OTH158"/>
      <c r="OTI158"/>
      <c r="OTJ158"/>
      <c r="OTK158"/>
      <c r="OTL158"/>
      <c r="OTM158"/>
      <c r="OTN158"/>
      <c r="OTO158"/>
      <c r="OTP158"/>
      <c r="OTQ158"/>
      <c r="OTR158"/>
      <c r="OTS158"/>
      <c r="OTT158"/>
      <c r="OTU158"/>
      <c r="OTV158"/>
      <c r="OTW158"/>
      <c r="OTX158"/>
      <c r="OTY158"/>
      <c r="OTZ158"/>
      <c r="OUA158"/>
      <c r="OUB158"/>
      <c r="OUC158"/>
      <c r="OUD158"/>
      <c r="OUE158"/>
      <c r="OUF158"/>
      <c r="OUG158"/>
      <c r="OUH158"/>
      <c r="OUI158"/>
      <c r="OUJ158"/>
      <c r="OUK158"/>
      <c r="OUL158"/>
      <c r="OUM158"/>
      <c r="OUN158"/>
      <c r="OUO158"/>
      <c r="OUP158"/>
      <c r="OUQ158"/>
      <c r="OUR158"/>
      <c r="OUS158"/>
      <c r="OUT158"/>
      <c r="OUU158"/>
      <c r="OUV158"/>
      <c r="OUW158"/>
      <c r="OUX158"/>
      <c r="OUY158"/>
      <c r="OUZ158"/>
      <c r="OVA158"/>
      <c r="OVB158"/>
      <c r="OVC158"/>
      <c r="OVD158"/>
      <c r="OVE158"/>
      <c r="OVF158"/>
      <c r="OVG158"/>
      <c r="OVH158"/>
      <c r="OVI158"/>
      <c r="OVJ158"/>
      <c r="OVK158"/>
      <c r="OVL158"/>
      <c r="OVM158"/>
      <c r="OVN158"/>
      <c r="OVO158"/>
      <c r="OVP158"/>
      <c r="OVQ158"/>
      <c r="OVR158"/>
      <c r="OVS158"/>
      <c r="OVT158"/>
      <c r="OVU158"/>
      <c r="OVV158"/>
      <c r="OVW158"/>
      <c r="OVX158"/>
      <c r="OVY158"/>
      <c r="OVZ158"/>
      <c r="OWA158"/>
      <c r="OWB158"/>
      <c r="OWC158"/>
      <c r="OWD158"/>
      <c r="OWE158"/>
      <c r="OWF158"/>
      <c r="OWG158"/>
      <c r="OWH158"/>
      <c r="OWI158"/>
      <c r="OWJ158"/>
      <c r="OWK158"/>
      <c r="OWL158"/>
      <c r="OWM158"/>
      <c r="OWN158"/>
      <c r="OWO158"/>
      <c r="OWP158"/>
      <c r="OWQ158"/>
      <c r="OWR158"/>
      <c r="OWS158"/>
      <c r="OWT158"/>
      <c r="OWU158"/>
      <c r="OWV158"/>
      <c r="OWW158"/>
      <c r="OWX158"/>
      <c r="OWY158"/>
      <c r="OWZ158"/>
      <c r="OXA158"/>
      <c r="OXB158"/>
      <c r="OXC158"/>
      <c r="OXD158"/>
      <c r="OXE158"/>
      <c r="OXF158"/>
      <c r="OXG158"/>
      <c r="OXH158"/>
      <c r="OXI158"/>
      <c r="OXJ158"/>
      <c r="OXK158"/>
      <c r="OXL158"/>
      <c r="OXM158"/>
      <c r="OXN158"/>
      <c r="OXO158"/>
      <c r="OXP158"/>
      <c r="OXQ158"/>
      <c r="OXR158"/>
      <c r="OXS158"/>
      <c r="OXT158"/>
      <c r="OXU158"/>
      <c r="OXV158"/>
      <c r="OXW158"/>
      <c r="OXX158"/>
      <c r="OXY158"/>
      <c r="OXZ158"/>
      <c r="OYA158"/>
      <c r="OYB158"/>
      <c r="OYC158"/>
      <c r="OYD158"/>
      <c r="OYE158"/>
      <c r="OYF158"/>
      <c r="OYG158"/>
      <c r="OYH158"/>
      <c r="OYI158"/>
      <c r="OYJ158"/>
      <c r="OYK158"/>
      <c r="OYL158"/>
      <c r="OYM158"/>
      <c r="OYN158"/>
      <c r="OYO158"/>
      <c r="OYP158"/>
      <c r="OYQ158"/>
      <c r="OYR158"/>
      <c r="OYS158"/>
      <c r="OYT158"/>
      <c r="OYU158"/>
      <c r="OYV158"/>
      <c r="OYW158"/>
      <c r="OYX158"/>
      <c r="OYY158"/>
      <c r="OYZ158"/>
      <c r="OZA158"/>
      <c r="OZB158"/>
      <c r="OZC158"/>
      <c r="OZD158"/>
      <c r="OZE158"/>
      <c r="OZF158"/>
      <c r="OZG158"/>
      <c r="OZH158"/>
      <c r="OZI158"/>
      <c r="OZJ158"/>
      <c r="OZK158"/>
      <c r="OZL158"/>
      <c r="OZM158"/>
      <c r="OZN158"/>
      <c r="OZO158"/>
      <c r="OZP158"/>
      <c r="OZQ158"/>
      <c r="OZR158"/>
      <c r="OZS158"/>
      <c r="OZT158"/>
      <c r="OZU158"/>
      <c r="OZV158"/>
      <c r="OZW158"/>
      <c r="OZX158"/>
      <c r="OZY158"/>
      <c r="OZZ158"/>
      <c r="PAA158"/>
      <c r="PAB158"/>
      <c r="PAC158"/>
      <c r="PAD158"/>
      <c r="PAE158"/>
      <c r="PAF158"/>
      <c r="PAG158"/>
      <c r="PAH158"/>
      <c r="PAI158"/>
      <c r="PAJ158"/>
      <c r="PAK158"/>
      <c r="PAL158"/>
      <c r="PAM158"/>
      <c r="PAN158"/>
      <c r="PAO158"/>
      <c r="PAP158"/>
      <c r="PAQ158"/>
      <c r="PAR158"/>
      <c r="PAS158"/>
      <c r="PAT158"/>
      <c r="PAU158"/>
      <c r="PAV158"/>
      <c r="PAW158"/>
      <c r="PAX158"/>
      <c r="PAY158"/>
      <c r="PAZ158"/>
      <c r="PBA158"/>
      <c r="PBB158"/>
      <c r="PBC158"/>
      <c r="PBD158"/>
      <c r="PBE158"/>
      <c r="PBF158"/>
      <c r="PBG158"/>
      <c r="PBH158"/>
      <c r="PBI158"/>
      <c r="PBJ158"/>
      <c r="PBK158"/>
      <c r="PBL158"/>
      <c r="PBM158"/>
      <c r="PBN158"/>
      <c r="PBO158"/>
      <c r="PBP158"/>
      <c r="PBQ158"/>
      <c r="PBR158"/>
      <c r="PBS158"/>
      <c r="PBT158"/>
      <c r="PBU158"/>
      <c r="PBV158"/>
      <c r="PBW158"/>
      <c r="PBX158"/>
      <c r="PBY158"/>
      <c r="PBZ158"/>
      <c r="PCA158"/>
      <c r="PCB158"/>
      <c r="PCC158"/>
      <c r="PCD158"/>
      <c r="PCE158"/>
      <c r="PCF158"/>
      <c r="PCG158"/>
      <c r="PCH158"/>
      <c r="PCI158"/>
      <c r="PCJ158"/>
      <c r="PCK158"/>
      <c r="PCL158"/>
      <c r="PCM158"/>
      <c r="PCN158"/>
      <c r="PCO158"/>
      <c r="PCP158"/>
      <c r="PCQ158"/>
      <c r="PCR158"/>
      <c r="PCS158"/>
      <c r="PCT158"/>
      <c r="PCU158"/>
      <c r="PCV158"/>
      <c r="PCW158"/>
      <c r="PCX158"/>
      <c r="PCY158"/>
      <c r="PCZ158"/>
      <c r="PDA158"/>
      <c r="PDB158"/>
      <c r="PDC158"/>
      <c r="PDD158"/>
      <c r="PDE158"/>
      <c r="PDF158"/>
      <c r="PDG158"/>
      <c r="PDH158"/>
      <c r="PDI158"/>
      <c r="PDJ158"/>
      <c r="PDK158"/>
      <c r="PDL158"/>
      <c r="PDM158"/>
      <c r="PDN158"/>
      <c r="PDO158"/>
      <c r="PDP158"/>
      <c r="PDQ158"/>
      <c r="PDR158"/>
      <c r="PDS158"/>
      <c r="PDT158"/>
      <c r="PDU158"/>
      <c r="PDV158"/>
      <c r="PDW158"/>
      <c r="PDX158"/>
      <c r="PDY158"/>
      <c r="PDZ158"/>
      <c r="PEA158"/>
      <c r="PEB158"/>
      <c r="PEC158"/>
      <c r="PED158"/>
      <c r="PEE158"/>
      <c r="PEF158"/>
      <c r="PEG158"/>
      <c r="PEH158"/>
      <c r="PEI158"/>
      <c r="PEJ158"/>
      <c r="PEK158"/>
      <c r="PEL158"/>
      <c r="PEM158"/>
      <c r="PEN158"/>
      <c r="PEO158"/>
      <c r="PEP158"/>
      <c r="PEQ158"/>
      <c r="PER158"/>
      <c r="PES158"/>
      <c r="PET158"/>
      <c r="PEU158"/>
      <c r="PEV158"/>
      <c r="PEW158"/>
      <c r="PEX158"/>
      <c r="PEY158"/>
      <c r="PEZ158"/>
      <c r="PFA158"/>
      <c r="PFB158"/>
      <c r="PFC158"/>
      <c r="PFD158"/>
      <c r="PFE158"/>
      <c r="PFF158"/>
      <c r="PFG158"/>
      <c r="PFH158"/>
      <c r="PFI158"/>
      <c r="PFJ158"/>
      <c r="PFK158"/>
      <c r="PFL158"/>
      <c r="PFM158"/>
      <c r="PFN158"/>
      <c r="PFO158"/>
      <c r="PFP158"/>
      <c r="PFQ158"/>
      <c r="PFR158"/>
      <c r="PFS158"/>
      <c r="PFT158"/>
      <c r="PFU158"/>
      <c r="PFV158"/>
      <c r="PFW158"/>
      <c r="PFX158"/>
      <c r="PFY158"/>
      <c r="PFZ158"/>
      <c r="PGA158"/>
      <c r="PGB158"/>
      <c r="PGC158"/>
      <c r="PGD158"/>
      <c r="PGE158"/>
      <c r="PGF158"/>
      <c r="PGG158"/>
      <c r="PGH158"/>
      <c r="PGI158"/>
      <c r="PGJ158"/>
      <c r="PGK158"/>
      <c r="PGL158"/>
      <c r="PGM158"/>
      <c r="PGN158"/>
      <c r="PGO158"/>
      <c r="PGP158"/>
      <c r="PGQ158"/>
      <c r="PGR158"/>
      <c r="PGS158"/>
      <c r="PGT158"/>
      <c r="PGU158"/>
      <c r="PGV158"/>
      <c r="PGW158"/>
      <c r="PGX158"/>
      <c r="PGY158"/>
      <c r="PGZ158"/>
      <c r="PHA158"/>
      <c r="PHB158"/>
      <c r="PHC158"/>
      <c r="PHD158"/>
      <c r="PHE158"/>
      <c r="PHF158"/>
      <c r="PHG158"/>
      <c r="PHH158"/>
      <c r="PHI158"/>
      <c r="PHJ158"/>
      <c r="PHK158"/>
      <c r="PHL158"/>
      <c r="PHM158"/>
      <c r="PHN158"/>
      <c r="PHO158"/>
      <c r="PHP158"/>
      <c r="PHQ158"/>
      <c r="PHR158"/>
      <c r="PHS158"/>
      <c r="PHT158"/>
      <c r="PHU158"/>
      <c r="PHV158"/>
      <c r="PHW158"/>
      <c r="PHX158"/>
      <c r="PHY158"/>
      <c r="PHZ158"/>
      <c r="PIA158"/>
      <c r="PIB158"/>
      <c r="PIC158"/>
      <c r="PID158"/>
      <c r="PIE158"/>
      <c r="PIF158"/>
      <c r="PIG158"/>
      <c r="PIH158"/>
      <c r="PII158"/>
      <c r="PIJ158"/>
      <c r="PIK158"/>
      <c r="PIL158"/>
      <c r="PIM158"/>
      <c r="PIN158"/>
      <c r="PIO158"/>
      <c r="PIP158"/>
      <c r="PIQ158"/>
      <c r="PIR158"/>
      <c r="PIS158"/>
      <c r="PIT158"/>
      <c r="PIU158"/>
      <c r="PIV158"/>
      <c r="PIW158"/>
      <c r="PIX158"/>
      <c r="PIY158"/>
      <c r="PIZ158"/>
      <c r="PJA158"/>
      <c r="PJB158"/>
      <c r="PJC158"/>
      <c r="PJD158"/>
      <c r="PJE158"/>
      <c r="PJF158"/>
      <c r="PJG158"/>
      <c r="PJH158"/>
      <c r="PJI158"/>
      <c r="PJJ158"/>
      <c r="PJK158"/>
      <c r="PJL158"/>
      <c r="PJM158"/>
      <c r="PJN158"/>
      <c r="PJO158"/>
      <c r="PJP158"/>
      <c r="PJQ158"/>
      <c r="PJR158"/>
      <c r="PJS158"/>
      <c r="PJT158"/>
      <c r="PJU158"/>
      <c r="PJV158"/>
      <c r="PJW158"/>
      <c r="PJX158"/>
      <c r="PJY158"/>
      <c r="PJZ158"/>
      <c r="PKA158"/>
      <c r="PKB158"/>
      <c r="PKC158"/>
      <c r="PKD158"/>
      <c r="PKE158"/>
      <c r="PKF158"/>
      <c r="PKG158"/>
      <c r="PKH158"/>
      <c r="PKI158"/>
      <c r="PKJ158"/>
      <c r="PKK158"/>
      <c r="PKL158"/>
      <c r="PKM158"/>
      <c r="PKN158"/>
      <c r="PKO158"/>
      <c r="PKP158"/>
      <c r="PKQ158"/>
      <c r="PKR158"/>
      <c r="PKS158"/>
      <c r="PKT158"/>
      <c r="PKU158"/>
      <c r="PKV158"/>
      <c r="PKW158"/>
      <c r="PKX158"/>
      <c r="PKY158"/>
      <c r="PKZ158"/>
      <c r="PLA158"/>
      <c r="PLB158"/>
      <c r="PLC158"/>
      <c r="PLD158"/>
      <c r="PLE158"/>
      <c r="PLF158"/>
      <c r="PLG158"/>
      <c r="PLH158"/>
      <c r="PLI158"/>
      <c r="PLJ158"/>
      <c r="PLK158"/>
      <c r="PLL158"/>
      <c r="PLM158"/>
      <c r="PLN158"/>
      <c r="PLO158"/>
      <c r="PLP158"/>
      <c r="PLQ158"/>
      <c r="PLR158"/>
      <c r="PLS158"/>
      <c r="PLT158"/>
      <c r="PLU158"/>
      <c r="PLV158"/>
      <c r="PLW158"/>
      <c r="PLX158"/>
      <c r="PLY158"/>
      <c r="PLZ158"/>
      <c r="PMA158"/>
      <c r="PMB158"/>
      <c r="PMC158"/>
      <c r="PMD158"/>
      <c r="PME158"/>
      <c r="PMF158"/>
      <c r="PMG158"/>
      <c r="PMH158"/>
      <c r="PMI158"/>
      <c r="PMJ158"/>
      <c r="PMK158"/>
      <c r="PML158"/>
      <c r="PMM158"/>
      <c r="PMN158"/>
      <c r="PMO158"/>
      <c r="PMP158"/>
      <c r="PMQ158"/>
      <c r="PMR158"/>
      <c r="PMS158"/>
      <c r="PMT158"/>
      <c r="PMU158"/>
      <c r="PMV158"/>
      <c r="PMW158"/>
      <c r="PMX158"/>
      <c r="PMY158"/>
      <c r="PMZ158"/>
      <c r="PNA158"/>
      <c r="PNB158"/>
      <c r="PNC158"/>
      <c r="PND158"/>
      <c r="PNE158"/>
      <c r="PNF158"/>
      <c r="PNG158"/>
      <c r="PNH158"/>
      <c r="PNI158"/>
      <c r="PNJ158"/>
      <c r="PNK158"/>
      <c r="PNL158"/>
      <c r="PNM158"/>
      <c r="PNN158"/>
      <c r="PNO158"/>
      <c r="PNP158"/>
      <c r="PNQ158"/>
      <c r="PNR158"/>
      <c r="PNS158"/>
      <c r="PNT158"/>
      <c r="PNU158"/>
      <c r="PNV158"/>
      <c r="PNW158"/>
      <c r="PNX158"/>
      <c r="PNY158"/>
      <c r="PNZ158"/>
      <c r="POA158"/>
      <c r="POB158"/>
      <c r="POC158"/>
      <c r="POD158"/>
      <c r="POE158"/>
      <c r="POF158"/>
      <c r="POG158"/>
      <c r="POH158"/>
      <c r="POI158"/>
      <c r="POJ158"/>
      <c r="POK158"/>
      <c r="POL158"/>
      <c r="POM158"/>
      <c r="PON158"/>
      <c r="POO158"/>
      <c r="POP158"/>
      <c r="POQ158"/>
      <c r="POR158"/>
      <c r="POS158"/>
      <c r="POT158"/>
      <c r="POU158"/>
      <c r="POV158"/>
      <c r="POW158"/>
      <c r="POX158"/>
      <c r="POY158"/>
      <c r="POZ158"/>
      <c r="PPA158"/>
      <c r="PPB158"/>
      <c r="PPC158"/>
      <c r="PPD158"/>
      <c r="PPE158"/>
      <c r="PPF158"/>
      <c r="PPG158"/>
      <c r="PPH158"/>
      <c r="PPI158"/>
      <c r="PPJ158"/>
      <c r="PPK158"/>
      <c r="PPL158"/>
      <c r="PPM158"/>
      <c r="PPN158"/>
      <c r="PPO158"/>
      <c r="PPP158"/>
      <c r="PPQ158"/>
      <c r="PPR158"/>
      <c r="PPS158"/>
      <c r="PPT158"/>
      <c r="PPU158"/>
      <c r="PPV158"/>
      <c r="PPW158"/>
      <c r="PPX158"/>
      <c r="PPY158"/>
      <c r="PPZ158"/>
      <c r="PQA158"/>
      <c r="PQB158"/>
      <c r="PQC158"/>
      <c r="PQD158"/>
      <c r="PQE158"/>
      <c r="PQF158"/>
      <c r="PQG158"/>
      <c r="PQH158"/>
      <c r="PQI158"/>
      <c r="PQJ158"/>
      <c r="PQK158"/>
      <c r="PQL158"/>
      <c r="PQM158"/>
      <c r="PQN158"/>
      <c r="PQO158"/>
      <c r="PQP158"/>
      <c r="PQQ158"/>
      <c r="PQR158"/>
      <c r="PQS158"/>
      <c r="PQT158"/>
      <c r="PQU158"/>
      <c r="PQV158"/>
      <c r="PQW158"/>
      <c r="PQX158"/>
      <c r="PQY158"/>
      <c r="PQZ158"/>
      <c r="PRA158"/>
      <c r="PRB158"/>
      <c r="PRC158"/>
      <c r="PRD158"/>
      <c r="PRE158"/>
      <c r="PRF158"/>
      <c r="PRG158"/>
      <c r="PRH158"/>
      <c r="PRI158"/>
      <c r="PRJ158"/>
      <c r="PRK158"/>
      <c r="PRL158"/>
      <c r="PRM158"/>
      <c r="PRN158"/>
      <c r="PRO158"/>
      <c r="PRP158"/>
      <c r="PRQ158"/>
      <c r="PRR158"/>
      <c r="PRS158"/>
      <c r="PRT158"/>
      <c r="PRU158"/>
      <c r="PRV158"/>
      <c r="PRW158"/>
      <c r="PRX158"/>
      <c r="PRY158"/>
      <c r="PRZ158"/>
      <c r="PSA158"/>
      <c r="PSB158"/>
      <c r="PSC158"/>
      <c r="PSD158"/>
      <c r="PSE158"/>
      <c r="PSF158"/>
      <c r="PSG158"/>
      <c r="PSH158"/>
      <c r="PSI158"/>
      <c r="PSJ158"/>
      <c r="PSK158"/>
      <c r="PSL158"/>
      <c r="PSM158"/>
      <c r="PSN158"/>
      <c r="PSO158"/>
      <c r="PSP158"/>
      <c r="PSQ158"/>
      <c r="PSR158"/>
      <c r="PSS158"/>
      <c r="PST158"/>
      <c r="PSU158"/>
      <c r="PSV158"/>
      <c r="PSW158"/>
      <c r="PSX158"/>
      <c r="PSY158"/>
      <c r="PSZ158"/>
      <c r="PTA158"/>
      <c r="PTB158"/>
      <c r="PTC158"/>
      <c r="PTD158"/>
      <c r="PTE158"/>
      <c r="PTF158"/>
      <c r="PTG158"/>
      <c r="PTH158"/>
      <c r="PTI158"/>
      <c r="PTJ158"/>
      <c r="PTK158"/>
      <c r="PTL158"/>
      <c r="PTM158"/>
      <c r="PTN158"/>
      <c r="PTO158"/>
      <c r="PTP158"/>
      <c r="PTQ158"/>
      <c r="PTR158"/>
      <c r="PTS158"/>
      <c r="PTT158"/>
      <c r="PTU158"/>
      <c r="PTV158"/>
      <c r="PTW158"/>
      <c r="PTX158"/>
      <c r="PTY158"/>
      <c r="PTZ158"/>
      <c r="PUA158"/>
      <c r="PUB158"/>
      <c r="PUC158"/>
      <c r="PUD158"/>
      <c r="PUE158"/>
      <c r="PUF158"/>
      <c r="PUG158"/>
      <c r="PUH158"/>
      <c r="PUI158"/>
      <c r="PUJ158"/>
      <c r="PUK158"/>
      <c r="PUL158"/>
      <c r="PUM158"/>
      <c r="PUN158"/>
      <c r="PUO158"/>
      <c r="PUP158"/>
      <c r="PUQ158"/>
      <c r="PUR158"/>
      <c r="PUS158"/>
      <c r="PUT158"/>
      <c r="PUU158"/>
      <c r="PUV158"/>
      <c r="PUW158"/>
      <c r="PUX158"/>
      <c r="PUY158"/>
      <c r="PUZ158"/>
      <c r="PVA158"/>
      <c r="PVB158"/>
      <c r="PVC158"/>
      <c r="PVD158"/>
      <c r="PVE158"/>
      <c r="PVF158"/>
      <c r="PVG158"/>
      <c r="PVH158"/>
      <c r="PVI158"/>
      <c r="PVJ158"/>
      <c r="PVK158"/>
      <c r="PVL158"/>
      <c r="PVM158"/>
      <c r="PVN158"/>
      <c r="PVO158"/>
      <c r="PVP158"/>
      <c r="PVQ158"/>
      <c r="PVR158"/>
      <c r="PVS158"/>
      <c r="PVT158"/>
      <c r="PVU158"/>
      <c r="PVV158"/>
      <c r="PVW158"/>
      <c r="PVX158"/>
      <c r="PVY158"/>
      <c r="PVZ158"/>
      <c r="PWA158"/>
      <c r="PWB158"/>
      <c r="PWC158"/>
      <c r="PWD158"/>
      <c r="PWE158"/>
      <c r="PWF158"/>
      <c r="PWG158"/>
      <c r="PWH158"/>
      <c r="PWI158"/>
      <c r="PWJ158"/>
      <c r="PWK158"/>
      <c r="PWL158"/>
      <c r="PWM158"/>
      <c r="PWN158"/>
      <c r="PWO158"/>
      <c r="PWP158"/>
      <c r="PWQ158"/>
      <c r="PWR158"/>
      <c r="PWS158"/>
      <c r="PWT158"/>
      <c r="PWU158"/>
      <c r="PWV158"/>
      <c r="PWW158"/>
      <c r="PWX158"/>
      <c r="PWY158"/>
      <c r="PWZ158"/>
      <c r="PXA158"/>
      <c r="PXB158"/>
      <c r="PXC158"/>
      <c r="PXD158"/>
      <c r="PXE158"/>
      <c r="PXF158"/>
      <c r="PXG158"/>
      <c r="PXH158"/>
      <c r="PXI158"/>
      <c r="PXJ158"/>
      <c r="PXK158"/>
      <c r="PXL158"/>
      <c r="PXM158"/>
      <c r="PXN158"/>
      <c r="PXO158"/>
      <c r="PXP158"/>
      <c r="PXQ158"/>
      <c r="PXR158"/>
      <c r="PXS158"/>
      <c r="PXT158"/>
      <c r="PXU158"/>
      <c r="PXV158"/>
      <c r="PXW158"/>
      <c r="PXX158"/>
      <c r="PXY158"/>
      <c r="PXZ158"/>
      <c r="PYA158"/>
      <c r="PYB158"/>
      <c r="PYC158"/>
      <c r="PYD158"/>
      <c r="PYE158"/>
      <c r="PYF158"/>
      <c r="PYG158"/>
      <c r="PYH158"/>
      <c r="PYI158"/>
      <c r="PYJ158"/>
      <c r="PYK158"/>
      <c r="PYL158"/>
      <c r="PYM158"/>
      <c r="PYN158"/>
      <c r="PYO158"/>
      <c r="PYP158"/>
      <c r="PYQ158"/>
      <c r="PYR158"/>
      <c r="PYS158"/>
      <c r="PYT158"/>
      <c r="PYU158"/>
      <c r="PYV158"/>
      <c r="PYW158"/>
      <c r="PYX158"/>
      <c r="PYY158"/>
      <c r="PYZ158"/>
      <c r="PZA158"/>
      <c r="PZB158"/>
      <c r="PZC158"/>
      <c r="PZD158"/>
      <c r="PZE158"/>
      <c r="PZF158"/>
      <c r="PZG158"/>
      <c r="PZH158"/>
      <c r="PZI158"/>
      <c r="PZJ158"/>
      <c r="PZK158"/>
      <c r="PZL158"/>
      <c r="PZM158"/>
      <c r="PZN158"/>
      <c r="PZO158"/>
      <c r="PZP158"/>
      <c r="PZQ158"/>
      <c r="PZR158"/>
      <c r="PZS158"/>
      <c r="PZT158"/>
      <c r="PZU158"/>
      <c r="PZV158"/>
      <c r="PZW158"/>
      <c r="PZX158"/>
      <c r="PZY158"/>
      <c r="PZZ158"/>
      <c r="QAA158"/>
      <c r="QAB158"/>
      <c r="QAC158"/>
      <c r="QAD158"/>
      <c r="QAE158"/>
      <c r="QAF158"/>
      <c r="QAG158"/>
      <c r="QAH158"/>
      <c r="QAI158"/>
      <c r="QAJ158"/>
      <c r="QAK158"/>
      <c r="QAL158"/>
      <c r="QAM158"/>
      <c r="QAN158"/>
      <c r="QAO158"/>
      <c r="QAP158"/>
      <c r="QAQ158"/>
      <c r="QAR158"/>
      <c r="QAS158"/>
      <c r="QAT158"/>
      <c r="QAU158"/>
      <c r="QAV158"/>
      <c r="QAW158"/>
      <c r="QAX158"/>
      <c r="QAY158"/>
      <c r="QAZ158"/>
      <c r="QBA158"/>
      <c r="QBB158"/>
      <c r="QBC158"/>
      <c r="QBD158"/>
      <c r="QBE158"/>
      <c r="QBF158"/>
      <c r="QBG158"/>
      <c r="QBH158"/>
      <c r="QBI158"/>
      <c r="QBJ158"/>
      <c r="QBK158"/>
      <c r="QBL158"/>
      <c r="QBM158"/>
      <c r="QBN158"/>
      <c r="QBO158"/>
      <c r="QBP158"/>
      <c r="QBQ158"/>
      <c r="QBR158"/>
      <c r="QBS158"/>
      <c r="QBT158"/>
      <c r="QBU158"/>
      <c r="QBV158"/>
      <c r="QBW158"/>
      <c r="QBX158"/>
      <c r="QBY158"/>
      <c r="QBZ158"/>
      <c r="QCA158"/>
      <c r="QCB158"/>
      <c r="QCC158"/>
      <c r="QCD158"/>
      <c r="QCE158"/>
      <c r="QCF158"/>
      <c r="QCG158"/>
      <c r="QCH158"/>
      <c r="QCI158"/>
      <c r="QCJ158"/>
      <c r="QCK158"/>
      <c r="QCL158"/>
      <c r="QCM158"/>
      <c r="QCN158"/>
      <c r="QCO158"/>
      <c r="QCP158"/>
      <c r="QCQ158"/>
      <c r="QCR158"/>
      <c r="QCS158"/>
      <c r="QCT158"/>
      <c r="QCU158"/>
      <c r="QCV158"/>
      <c r="QCW158"/>
      <c r="QCX158"/>
      <c r="QCY158"/>
      <c r="QCZ158"/>
      <c r="QDA158"/>
      <c r="QDB158"/>
      <c r="QDC158"/>
      <c r="QDD158"/>
      <c r="QDE158"/>
      <c r="QDF158"/>
      <c r="QDG158"/>
      <c r="QDH158"/>
      <c r="QDI158"/>
      <c r="QDJ158"/>
      <c r="QDK158"/>
      <c r="QDL158"/>
      <c r="QDM158"/>
      <c r="QDN158"/>
      <c r="QDO158"/>
      <c r="QDP158"/>
      <c r="QDQ158"/>
      <c r="QDR158"/>
      <c r="QDS158"/>
      <c r="QDT158"/>
      <c r="QDU158"/>
      <c r="QDV158"/>
      <c r="QDW158"/>
      <c r="QDX158"/>
      <c r="QDY158"/>
      <c r="QDZ158"/>
      <c r="QEA158"/>
      <c r="QEB158"/>
      <c r="QEC158"/>
      <c r="QED158"/>
      <c r="QEE158"/>
      <c r="QEF158"/>
      <c r="QEG158"/>
      <c r="QEH158"/>
      <c r="QEI158"/>
      <c r="QEJ158"/>
      <c r="QEK158"/>
      <c r="QEL158"/>
      <c r="QEM158"/>
      <c r="QEN158"/>
      <c r="QEO158"/>
      <c r="QEP158"/>
      <c r="QEQ158"/>
      <c r="QER158"/>
      <c r="QES158"/>
      <c r="QET158"/>
      <c r="QEU158"/>
      <c r="QEV158"/>
      <c r="QEW158"/>
      <c r="QEX158"/>
      <c r="QEY158"/>
      <c r="QEZ158"/>
      <c r="QFA158"/>
      <c r="QFB158"/>
      <c r="QFC158"/>
      <c r="QFD158"/>
      <c r="QFE158"/>
      <c r="QFF158"/>
      <c r="QFG158"/>
      <c r="QFH158"/>
      <c r="QFI158"/>
      <c r="QFJ158"/>
      <c r="QFK158"/>
      <c r="QFL158"/>
      <c r="QFM158"/>
      <c r="QFN158"/>
      <c r="QFO158"/>
      <c r="QFP158"/>
      <c r="QFQ158"/>
      <c r="QFR158"/>
      <c r="QFS158"/>
      <c r="QFT158"/>
      <c r="QFU158"/>
      <c r="QFV158"/>
      <c r="QFW158"/>
      <c r="QFX158"/>
      <c r="QFY158"/>
      <c r="QFZ158"/>
      <c r="QGA158"/>
      <c r="QGB158"/>
      <c r="QGC158"/>
      <c r="QGD158"/>
      <c r="QGE158"/>
      <c r="QGF158"/>
      <c r="QGG158"/>
      <c r="QGH158"/>
      <c r="QGI158"/>
      <c r="QGJ158"/>
      <c r="QGK158"/>
      <c r="QGL158"/>
      <c r="QGM158"/>
      <c r="QGN158"/>
      <c r="QGO158"/>
      <c r="QGP158"/>
      <c r="QGQ158"/>
      <c r="QGR158"/>
      <c r="QGS158"/>
      <c r="QGT158"/>
      <c r="QGU158"/>
      <c r="QGV158"/>
      <c r="QGW158"/>
      <c r="QGX158"/>
      <c r="QGY158"/>
      <c r="QGZ158"/>
      <c r="QHA158"/>
      <c r="QHB158"/>
      <c r="QHC158"/>
      <c r="QHD158"/>
      <c r="QHE158"/>
      <c r="QHF158"/>
      <c r="QHG158"/>
      <c r="QHH158"/>
      <c r="QHI158"/>
      <c r="QHJ158"/>
      <c r="QHK158"/>
      <c r="QHL158"/>
      <c r="QHM158"/>
      <c r="QHN158"/>
      <c r="QHO158"/>
      <c r="QHP158"/>
      <c r="QHQ158"/>
      <c r="QHR158"/>
      <c r="QHS158"/>
      <c r="QHT158"/>
      <c r="QHU158"/>
      <c r="QHV158"/>
      <c r="QHW158"/>
      <c r="QHX158"/>
      <c r="QHY158"/>
      <c r="QHZ158"/>
      <c r="QIA158"/>
      <c r="QIB158"/>
      <c r="QIC158"/>
      <c r="QID158"/>
      <c r="QIE158"/>
      <c r="QIF158"/>
      <c r="QIG158"/>
      <c r="QIH158"/>
      <c r="QII158"/>
      <c r="QIJ158"/>
      <c r="QIK158"/>
      <c r="QIL158"/>
      <c r="QIM158"/>
      <c r="QIN158"/>
      <c r="QIO158"/>
      <c r="QIP158"/>
      <c r="QIQ158"/>
      <c r="QIR158"/>
      <c r="QIS158"/>
      <c r="QIT158"/>
      <c r="QIU158"/>
      <c r="QIV158"/>
      <c r="QIW158"/>
      <c r="QIX158"/>
      <c r="QIY158"/>
      <c r="QIZ158"/>
      <c r="QJA158"/>
      <c r="QJB158"/>
      <c r="QJC158"/>
      <c r="QJD158"/>
      <c r="QJE158"/>
      <c r="QJF158"/>
      <c r="QJG158"/>
      <c r="QJH158"/>
      <c r="QJI158"/>
      <c r="QJJ158"/>
      <c r="QJK158"/>
      <c r="QJL158"/>
      <c r="QJM158"/>
      <c r="QJN158"/>
      <c r="QJO158"/>
      <c r="QJP158"/>
      <c r="QJQ158"/>
      <c r="QJR158"/>
      <c r="QJS158"/>
      <c r="QJT158"/>
      <c r="QJU158"/>
      <c r="QJV158"/>
      <c r="QJW158"/>
      <c r="QJX158"/>
      <c r="QJY158"/>
      <c r="QJZ158"/>
      <c r="QKA158"/>
      <c r="QKB158"/>
      <c r="QKC158"/>
      <c r="QKD158"/>
      <c r="QKE158"/>
      <c r="QKF158"/>
      <c r="QKG158"/>
      <c r="QKH158"/>
      <c r="QKI158"/>
      <c r="QKJ158"/>
      <c r="QKK158"/>
      <c r="QKL158"/>
      <c r="QKM158"/>
      <c r="QKN158"/>
      <c r="QKO158"/>
      <c r="QKP158"/>
      <c r="QKQ158"/>
      <c r="QKR158"/>
      <c r="QKS158"/>
      <c r="QKT158"/>
      <c r="QKU158"/>
      <c r="QKV158"/>
      <c r="QKW158"/>
      <c r="QKX158"/>
      <c r="QKY158"/>
      <c r="QKZ158"/>
      <c r="QLA158"/>
      <c r="QLB158"/>
      <c r="QLC158"/>
      <c r="QLD158"/>
      <c r="QLE158"/>
      <c r="QLF158"/>
      <c r="QLG158"/>
      <c r="QLH158"/>
      <c r="QLI158"/>
      <c r="QLJ158"/>
      <c r="QLK158"/>
      <c r="QLL158"/>
      <c r="QLM158"/>
      <c r="QLN158"/>
      <c r="QLO158"/>
      <c r="QLP158"/>
      <c r="QLQ158"/>
      <c r="QLR158"/>
      <c r="QLS158"/>
      <c r="QLT158"/>
      <c r="QLU158"/>
      <c r="QLV158"/>
      <c r="QLW158"/>
      <c r="QLX158"/>
      <c r="QLY158"/>
      <c r="QLZ158"/>
      <c r="QMA158"/>
      <c r="QMB158"/>
      <c r="QMC158"/>
      <c r="QMD158"/>
      <c r="QME158"/>
      <c r="QMF158"/>
      <c r="QMG158"/>
      <c r="QMH158"/>
      <c r="QMI158"/>
      <c r="QMJ158"/>
      <c r="QMK158"/>
      <c r="QML158"/>
      <c r="QMM158"/>
      <c r="QMN158"/>
      <c r="QMO158"/>
      <c r="QMP158"/>
      <c r="QMQ158"/>
      <c r="QMR158"/>
      <c r="QMS158"/>
      <c r="QMT158"/>
      <c r="QMU158"/>
      <c r="QMV158"/>
      <c r="QMW158"/>
      <c r="QMX158"/>
      <c r="QMY158"/>
      <c r="QMZ158"/>
      <c r="QNA158"/>
      <c r="QNB158"/>
      <c r="QNC158"/>
      <c r="QND158"/>
      <c r="QNE158"/>
      <c r="QNF158"/>
      <c r="QNG158"/>
      <c r="QNH158"/>
      <c r="QNI158"/>
      <c r="QNJ158"/>
      <c r="QNK158"/>
      <c r="QNL158"/>
      <c r="QNM158"/>
      <c r="QNN158"/>
      <c r="QNO158"/>
      <c r="QNP158"/>
      <c r="QNQ158"/>
      <c r="QNR158"/>
      <c r="QNS158"/>
      <c r="QNT158"/>
      <c r="QNU158"/>
      <c r="QNV158"/>
      <c r="QNW158"/>
      <c r="QNX158"/>
      <c r="QNY158"/>
      <c r="QNZ158"/>
      <c r="QOA158"/>
      <c r="QOB158"/>
      <c r="QOC158"/>
      <c r="QOD158"/>
      <c r="QOE158"/>
      <c r="QOF158"/>
      <c r="QOG158"/>
      <c r="QOH158"/>
      <c r="QOI158"/>
      <c r="QOJ158"/>
      <c r="QOK158"/>
      <c r="QOL158"/>
      <c r="QOM158"/>
      <c r="QON158"/>
      <c r="QOO158"/>
      <c r="QOP158"/>
      <c r="QOQ158"/>
      <c r="QOR158"/>
      <c r="QOS158"/>
      <c r="QOT158"/>
      <c r="QOU158"/>
      <c r="QOV158"/>
      <c r="QOW158"/>
      <c r="QOX158"/>
      <c r="QOY158"/>
      <c r="QOZ158"/>
      <c r="QPA158"/>
      <c r="QPB158"/>
      <c r="QPC158"/>
      <c r="QPD158"/>
      <c r="QPE158"/>
      <c r="QPF158"/>
      <c r="QPG158"/>
      <c r="QPH158"/>
      <c r="QPI158"/>
      <c r="QPJ158"/>
      <c r="QPK158"/>
      <c r="QPL158"/>
      <c r="QPM158"/>
      <c r="QPN158"/>
      <c r="QPO158"/>
      <c r="QPP158"/>
      <c r="QPQ158"/>
      <c r="QPR158"/>
      <c r="QPS158"/>
      <c r="QPT158"/>
      <c r="QPU158"/>
      <c r="QPV158"/>
      <c r="QPW158"/>
      <c r="QPX158"/>
      <c r="QPY158"/>
      <c r="QPZ158"/>
      <c r="QQA158"/>
      <c r="QQB158"/>
      <c r="QQC158"/>
      <c r="QQD158"/>
      <c r="QQE158"/>
      <c r="QQF158"/>
      <c r="QQG158"/>
      <c r="QQH158"/>
      <c r="QQI158"/>
      <c r="QQJ158"/>
      <c r="QQK158"/>
      <c r="QQL158"/>
      <c r="QQM158"/>
      <c r="QQN158"/>
      <c r="QQO158"/>
      <c r="QQP158"/>
      <c r="QQQ158"/>
      <c r="QQR158"/>
      <c r="QQS158"/>
      <c r="QQT158"/>
      <c r="QQU158"/>
      <c r="QQV158"/>
      <c r="QQW158"/>
      <c r="QQX158"/>
      <c r="QQY158"/>
      <c r="QQZ158"/>
      <c r="QRA158"/>
      <c r="QRB158"/>
      <c r="QRC158"/>
      <c r="QRD158"/>
      <c r="QRE158"/>
      <c r="QRF158"/>
      <c r="QRG158"/>
      <c r="QRH158"/>
      <c r="QRI158"/>
      <c r="QRJ158"/>
      <c r="QRK158"/>
      <c r="QRL158"/>
      <c r="QRM158"/>
      <c r="QRN158"/>
      <c r="QRO158"/>
      <c r="QRP158"/>
      <c r="QRQ158"/>
      <c r="QRR158"/>
      <c r="QRS158"/>
      <c r="QRT158"/>
      <c r="QRU158"/>
      <c r="QRV158"/>
      <c r="QRW158"/>
      <c r="QRX158"/>
      <c r="QRY158"/>
      <c r="QRZ158"/>
      <c r="QSA158"/>
      <c r="QSB158"/>
      <c r="QSC158"/>
      <c r="QSD158"/>
      <c r="QSE158"/>
      <c r="QSF158"/>
      <c r="QSG158"/>
      <c r="QSH158"/>
      <c r="QSI158"/>
      <c r="QSJ158"/>
      <c r="QSK158"/>
      <c r="QSL158"/>
      <c r="QSM158"/>
      <c r="QSN158"/>
      <c r="QSO158"/>
      <c r="QSP158"/>
      <c r="QSQ158"/>
      <c r="QSR158"/>
      <c r="QSS158"/>
      <c r="QST158"/>
      <c r="QSU158"/>
      <c r="QSV158"/>
      <c r="QSW158"/>
      <c r="QSX158"/>
      <c r="QSY158"/>
      <c r="QSZ158"/>
      <c r="QTA158"/>
      <c r="QTB158"/>
      <c r="QTC158"/>
      <c r="QTD158"/>
      <c r="QTE158"/>
      <c r="QTF158"/>
      <c r="QTG158"/>
      <c r="QTH158"/>
      <c r="QTI158"/>
      <c r="QTJ158"/>
      <c r="QTK158"/>
      <c r="QTL158"/>
      <c r="QTM158"/>
      <c r="QTN158"/>
      <c r="QTO158"/>
      <c r="QTP158"/>
      <c r="QTQ158"/>
      <c r="QTR158"/>
      <c r="QTS158"/>
      <c r="QTT158"/>
      <c r="QTU158"/>
      <c r="QTV158"/>
      <c r="QTW158"/>
      <c r="QTX158"/>
      <c r="QTY158"/>
      <c r="QTZ158"/>
      <c r="QUA158"/>
      <c r="QUB158"/>
      <c r="QUC158"/>
      <c r="QUD158"/>
      <c r="QUE158"/>
      <c r="QUF158"/>
      <c r="QUG158"/>
      <c r="QUH158"/>
      <c r="QUI158"/>
      <c r="QUJ158"/>
      <c r="QUK158"/>
      <c r="QUL158"/>
      <c r="QUM158"/>
      <c r="QUN158"/>
      <c r="QUO158"/>
      <c r="QUP158"/>
      <c r="QUQ158"/>
      <c r="QUR158"/>
      <c r="QUS158"/>
      <c r="QUT158"/>
      <c r="QUU158"/>
      <c r="QUV158"/>
      <c r="QUW158"/>
      <c r="QUX158"/>
      <c r="QUY158"/>
      <c r="QUZ158"/>
      <c r="QVA158"/>
      <c r="QVB158"/>
      <c r="QVC158"/>
      <c r="QVD158"/>
      <c r="QVE158"/>
      <c r="QVF158"/>
      <c r="QVG158"/>
      <c r="QVH158"/>
      <c r="QVI158"/>
      <c r="QVJ158"/>
      <c r="QVK158"/>
      <c r="QVL158"/>
      <c r="QVM158"/>
      <c r="QVN158"/>
      <c r="QVO158"/>
      <c r="QVP158"/>
      <c r="QVQ158"/>
      <c r="QVR158"/>
      <c r="QVS158"/>
      <c r="QVT158"/>
      <c r="QVU158"/>
      <c r="QVV158"/>
      <c r="QVW158"/>
      <c r="QVX158"/>
      <c r="QVY158"/>
      <c r="QVZ158"/>
      <c r="QWA158"/>
      <c r="QWB158"/>
      <c r="QWC158"/>
      <c r="QWD158"/>
      <c r="QWE158"/>
      <c r="QWF158"/>
      <c r="QWG158"/>
      <c r="QWH158"/>
      <c r="QWI158"/>
      <c r="QWJ158"/>
      <c r="QWK158"/>
      <c r="QWL158"/>
      <c r="QWM158"/>
      <c r="QWN158"/>
      <c r="QWO158"/>
      <c r="QWP158"/>
      <c r="QWQ158"/>
      <c r="QWR158"/>
      <c r="QWS158"/>
      <c r="QWT158"/>
      <c r="QWU158"/>
      <c r="QWV158"/>
      <c r="QWW158"/>
      <c r="QWX158"/>
      <c r="QWY158"/>
      <c r="QWZ158"/>
      <c r="QXA158"/>
      <c r="QXB158"/>
      <c r="QXC158"/>
      <c r="QXD158"/>
      <c r="QXE158"/>
      <c r="QXF158"/>
      <c r="QXG158"/>
      <c r="QXH158"/>
      <c r="QXI158"/>
      <c r="QXJ158"/>
      <c r="QXK158"/>
      <c r="QXL158"/>
      <c r="QXM158"/>
      <c r="QXN158"/>
      <c r="QXO158"/>
      <c r="QXP158"/>
      <c r="QXQ158"/>
      <c r="QXR158"/>
      <c r="QXS158"/>
      <c r="QXT158"/>
      <c r="QXU158"/>
      <c r="QXV158"/>
      <c r="QXW158"/>
      <c r="QXX158"/>
      <c r="QXY158"/>
      <c r="QXZ158"/>
      <c r="QYA158"/>
      <c r="QYB158"/>
      <c r="QYC158"/>
      <c r="QYD158"/>
      <c r="QYE158"/>
      <c r="QYF158"/>
      <c r="QYG158"/>
      <c r="QYH158"/>
      <c r="QYI158"/>
      <c r="QYJ158"/>
      <c r="QYK158"/>
      <c r="QYL158"/>
      <c r="QYM158"/>
      <c r="QYN158"/>
      <c r="QYO158"/>
      <c r="QYP158"/>
      <c r="QYQ158"/>
      <c r="QYR158"/>
      <c r="QYS158"/>
      <c r="QYT158"/>
      <c r="QYU158"/>
      <c r="QYV158"/>
      <c r="QYW158"/>
      <c r="QYX158"/>
      <c r="QYY158"/>
      <c r="QYZ158"/>
      <c r="QZA158"/>
      <c r="QZB158"/>
      <c r="QZC158"/>
      <c r="QZD158"/>
      <c r="QZE158"/>
      <c r="QZF158"/>
      <c r="QZG158"/>
      <c r="QZH158"/>
      <c r="QZI158"/>
      <c r="QZJ158"/>
      <c r="QZK158"/>
      <c r="QZL158"/>
      <c r="QZM158"/>
      <c r="QZN158"/>
      <c r="QZO158"/>
      <c r="QZP158"/>
      <c r="QZQ158"/>
      <c r="QZR158"/>
      <c r="QZS158"/>
      <c r="QZT158"/>
      <c r="QZU158"/>
      <c r="QZV158"/>
      <c r="QZW158"/>
      <c r="QZX158"/>
      <c r="QZY158"/>
      <c r="QZZ158"/>
      <c r="RAA158"/>
      <c r="RAB158"/>
      <c r="RAC158"/>
      <c r="RAD158"/>
      <c r="RAE158"/>
      <c r="RAF158"/>
      <c r="RAG158"/>
      <c r="RAH158"/>
      <c r="RAI158"/>
      <c r="RAJ158"/>
      <c r="RAK158"/>
      <c r="RAL158"/>
      <c r="RAM158"/>
      <c r="RAN158"/>
      <c r="RAO158"/>
      <c r="RAP158"/>
      <c r="RAQ158"/>
      <c r="RAR158"/>
      <c r="RAS158"/>
      <c r="RAT158"/>
      <c r="RAU158"/>
      <c r="RAV158"/>
      <c r="RAW158"/>
      <c r="RAX158"/>
      <c r="RAY158"/>
      <c r="RAZ158"/>
      <c r="RBA158"/>
      <c r="RBB158"/>
      <c r="RBC158"/>
      <c r="RBD158"/>
      <c r="RBE158"/>
      <c r="RBF158"/>
      <c r="RBG158"/>
      <c r="RBH158"/>
      <c r="RBI158"/>
      <c r="RBJ158"/>
      <c r="RBK158"/>
      <c r="RBL158"/>
      <c r="RBM158"/>
      <c r="RBN158"/>
      <c r="RBO158"/>
      <c r="RBP158"/>
      <c r="RBQ158"/>
      <c r="RBR158"/>
      <c r="RBS158"/>
      <c r="RBT158"/>
      <c r="RBU158"/>
      <c r="RBV158"/>
      <c r="RBW158"/>
      <c r="RBX158"/>
      <c r="RBY158"/>
      <c r="RBZ158"/>
      <c r="RCA158"/>
      <c r="RCB158"/>
      <c r="RCC158"/>
      <c r="RCD158"/>
      <c r="RCE158"/>
      <c r="RCF158"/>
      <c r="RCG158"/>
      <c r="RCH158"/>
      <c r="RCI158"/>
      <c r="RCJ158"/>
      <c r="RCK158"/>
      <c r="RCL158"/>
      <c r="RCM158"/>
      <c r="RCN158"/>
      <c r="RCO158"/>
      <c r="RCP158"/>
      <c r="RCQ158"/>
      <c r="RCR158"/>
      <c r="RCS158"/>
      <c r="RCT158"/>
      <c r="RCU158"/>
      <c r="RCV158"/>
      <c r="RCW158"/>
      <c r="RCX158"/>
      <c r="RCY158"/>
      <c r="RCZ158"/>
      <c r="RDA158"/>
      <c r="RDB158"/>
      <c r="RDC158"/>
      <c r="RDD158"/>
      <c r="RDE158"/>
      <c r="RDF158"/>
      <c r="RDG158"/>
      <c r="RDH158"/>
      <c r="RDI158"/>
      <c r="RDJ158"/>
      <c r="RDK158"/>
      <c r="RDL158"/>
      <c r="RDM158"/>
      <c r="RDN158"/>
      <c r="RDO158"/>
      <c r="RDP158"/>
      <c r="RDQ158"/>
      <c r="RDR158"/>
      <c r="RDS158"/>
      <c r="RDT158"/>
      <c r="RDU158"/>
      <c r="RDV158"/>
      <c r="RDW158"/>
      <c r="RDX158"/>
      <c r="RDY158"/>
      <c r="RDZ158"/>
      <c r="REA158"/>
      <c r="REB158"/>
      <c r="REC158"/>
      <c r="RED158"/>
      <c r="REE158"/>
      <c r="REF158"/>
      <c r="REG158"/>
      <c r="REH158"/>
      <c r="REI158"/>
      <c r="REJ158"/>
      <c r="REK158"/>
      <c r="REL158"/>
      <c r="REM158"/>
      <c r="REN158"/>
      <c r="REO158"/>
      <c r="REP158"/>
      <c r="REQ158"/>
      <c r="RER158"/>
      <c r="RES158"/>
      <c r="RET158"/>
      <c r="REU158"/>
      <c r="REV158"/>
      <c r="REW158"/>
      <c r="REX158"/>
      <c r="REY158"/>
      <c r="REZ158"/>
      <c r="RFA158"/>
      <c r="RFB158"/>
      <c r="RFC158"/>
      <c r="RFD158"/>
      <c r="RFE158"/>
      <c r="RFF158"/>
      <c r="RFG158"/>
      <c r="RFH158"/>
      <c r="RFI158"/>
      <c r="RFJ158"/>
      <c r="RFK158"/>
      <c r="RFL158"/>
      <c r="RFM158"/>
      <c r="RFN158"/>
      <c r="RFO158"/>
      <c r="RFP158"/>
      <c r="RFQ158"/>
      <c r="RFR158"/>
      <c r="RFS158"/>
      <c r="RFT158"/>
      <c r="RFU158"/>
      <c r="RFV158"/>
      <c r="RFW158"/>
      <c r="RFX158"/>
      <c r="RFY158"/>
      <c r="RFZ158"/>
      <c r="RGA158"/>
      <c r="RGB158"/>
      <c r="RGC158"/>
      <c r="RGD158"/>
      <c r="RGE158"/>
      <c r="RGF158"/>
      <c r="RGG158"/>
      <c r="RGH158"/>
      <c r="RGI158"/>
      <c r="RGJ158"/>
      <c r="RGK158"/>
      <c r="RGL158"/>
      <c r="RGM158"/>
      <c r="RGN158"/>
      <c r="RGO158"/>
      <c r="RGP158"/>
      <c r="RGQ158"/>
      <c r="RGR158"/>
      <c r="RGS158"/>
      <c r="RGT158"/>
      <c r="RGU158"/>
      <c r="RGV158"/>
      <c r="RGW158"/>
      <c r="RGX158"/>
      <c r="RGY158"/>
      <c r="RGZ158"/>
      <c r="RHA158"/>
      <c r="RHB158"/>
      <c r="RHC158"/>
      <c r="RHD158"/>
      <c r="RHE158"/>
      <c r="RHF158"/>
      <c r="RHG158"/>
      <c r="RHH158"/>
      <c r="RHI158"/>
      <c r="RHJ158"/>
      <c r="RHK158"/>
      <c r="RHL158"/>
      <c r="RHM158"/>
      <c r="RHN158"/>
      <c r="RHO158"/>
      <c r="RHP158"/>
      <c r="RHQ158"/>
      <c r="RHR158"/>
      <c r="RHS158"/>
      <c r="RHT158"/>
      <c r="RHU158"/>
      <c r="RHV158"/>
      <c r="RHW158"/>
      <c r="RHX158"/>
      <c r="RHY158"/>
      <c r="RHZ158"/>
      <c r="RIA158"/>
      <c r="RIB158"/>
      <c r="RIC158"/>
      <c r="RID158"/>
      <c r="RIE158"/>
      <c r="RIF158"/>
      <c r="RIG158"/>
      <c r="RIH158"/>
      <c r="RII158"/>
      <c r="RIJ158"/>
      <c r="RIK158"/>
      <c r="RIL158"/>
      <c r="RIM158"/>
      <c r="RIN158"/>
      <c r="RIO158"/>
      <c r="RIP158"/>
      <c r="RIQ158"/>
      <c r="RIR158"/>
      <c r="RIS158"/>
      <c r="RIT158"/>
      <c r="RIU158"/>
      <c r="RIV158"/>
      <c r="RIW158"/>
      <c r="RIX158"/>
      <c r="RIY158"/>
      <c r="RIZ158"/>
      <c r="RJA158"/>
      <c r="RJB158"/>
      <c r="RJC158"/>
      <c r="RJD158"/>
      <c r="RJE158"/>
      <c r="RJF158"/>
      <c r="RJG158"/>
      <c r="RJH158"/>
      <c r="RJI158"/>
      <c r="RJJ158"/>
      <c r="RJK158"/>
      <c r="RJL158"/>
      <c r="RJM158"/>
      <c r="RJN158"/>
      <c r="RJO158"/>
      <c r="RJP158"/>
      <c r="RJQ158"/>
      <c r="RJR158"/>
      <c r="RJS158"/>
      <c r="RJT158"/>
      <c r="RJU158"/>
      <c r="RJV158"/>
      <c r="RJW158"/>
      <c r="RJX158"/>
      <c r="RJY158"/>
      <c r="RJZ158"/>
      <c r="RKA158"/>
      <c r="RKB158"/>
      <c r="RKC158"/>
      <c r="RKD158"/>
      <c r="RKE158"/>
      <c r="RKF158"/>
      <c r="RKG158"/>
      <c r="RKH158"/>
      <c r="RKI158"/>
      <c r="RKJ158"/>
      <c r="RKK158"/>
      <c r="RKL158"/>
      <c r="RKM158"/>
      <c r="RKN158"/>
      <c r="RKO158"/>
      <c r="RKP158"/>
      <c r="RKQ158"/>
      <c r="RKR158"/>
      <c r="RKS158"/>
      <c r="RKT158"/>
      <c r="RKU158"/>
      <c r="RKV158"/>
      <c r="RKW158"/>
      <c r="RKX158"/>
      <c r="RKY158"/>
      <c r="RKZ158"/>
      <c r="RLA158"/>
      <c r="RLB158"/>
      <c r="RLC158"/>
      <c r="RLD158"/>
      <c r="RLE158"/>
      <c r="RLF158"/>
      <c r="RLG158"/>
      <c r="RLH158"/>
      <c r="RLI158"/>
      <c r="RLJ158"/>
      <c r="RLK158"/>
      <c r="RLL158"/>
      <c r="RLM158"/>
      <c r="RLN158"/>
      <c r="RLO158"/>
      <c r="RLP158"/>
      <c r="RLQ158"/>
      <c r="RLR158"/>
      <c r="RLS158"/>
      <c r="RLT158"/>
      <c r="RLU158"/>
      <c r="RLV158"/>
      <c r="RLW158"/>
      <c r="RLX158"/>
      <c r="RLY158"/>
      <c r="RLZ158"/>
      <c r="RMA158"/>
      <c r="RMB158"/>
      <c r="RMC158"/>
      <c r="RMD158"/>
      <c r="RME158"/>
      <c r="RMF158"/>
      <c r="RMG158"/>
      <c r="RMH158"/>
      <c r="RMI158"/>
      <c r="RMJ158"/>
      <c r="RMK158"/>
      <c r="RML158"/>
      <c r="RMM158"/>
      <c r="RMN158"/>
      <c r="RMO158"/>
      <c r="RMP158"/>
      <c r="RMQ158"/>
      <c r="RMR158"/>
      <c r="RMS158"/>
      <c r="RMT158"/>
      <c r="RMU158"/>
      <c r="RMV158"/>
      <c r="RMW158"/>
      <c r="RMX158"/>
      <c r="RMY158"/>
      <c r="RMZ158"/>
      <c r="RNA158"/>
      <c r="RNB158"/>
      <c r="RNC158"/>
      <c r="RND158"/>
      <c r="RNE158"/>
      <c r="RNF158"/>
      <c r="RNG158"/>
      <c r="RNH158"/>
      <c r="RNI158"/>
      <c r="RNJ158"/>
      <c r="RNK158"/>
      <c r="RNL158"/>
      <c r="RNM158"/>
      <c r="RNN158"/>
      <c r="RNO158"/>
      <c r="RNP158"/>
      <c r="RNQ158"/>
      <c r="RNR158"/>
      <c r="RNS158"/>
      <c r="RNT158"/>
      <c r="RNU158"/>
      <c r="RNV158"/>
      <c r="RNW158"/>
      <c r="RNX158"/>
      <c r="RNY158"/>
      <c r="RNZ158"/>
      <c r="ROA158"/>
      <c r="ROB158"/>
      <c r="ROC158"/>
      <c r="ROD158"/>
      <c r="ROE158"/>
      <c r="ROF158"/>
      <c r="ROG158"/>
      <c r="ROH158"/>
      <c r="ROI158"/>
      <c r="ROJ158"/>
      <c r="ROK158"/>
      <c r="ROL158"/>
      <c r="ROM158"/>
      <c r="RON158"/>
      <c r="ROO158"/>
      <c r="ROP158"/>
      <c r="ROQ158"/>
      <c r="ROR158"/>
      <c r="ROS158"/>
      <c r="ROT158"/>
      <c r="ROU158"/>
      <c r="ROV158"/>
      <c r="ROW158"/>
      <c r="ROX158"/>
      <c r="ROY158"/>
      <c r="ROZ158"/>
      <c r="RPA158"/>
      <c r="RPB158"/>
      <c r="RPC158"/>
      <c r="RPD158"/>
      <c r="RPE158"/>
      <c r="RPF158"/>
      <c r="RPG158"/>
      <c r="RPH158"/>
      <c r="RPI158"/>
      <c r="RPJ158"/>
      <c r="RPK158"/>
      <c r="RPL158"/>
      <c r="RPM158"/>
      <c r="RPN158"/>
      <c r="RPO158"/>
      <c r="RPP158"/>
      <c r="RPQ158"/>
      <c r="RPR158"/>
      <c r="RPS158"/>
      <c r="RPT158"/>
      <c r="RPU158"/>
      <c r="RPV158"/>
      <c r="RPW158"/>
      <c r="RPX158"/>
      <c r="RPY158"/>
      <c r="RPZ158"/>
      <c r="RQA158"/>
      <c r="RQB158"/>
      <c r="RQC158"/>
      <c r="RQD158"/>
      <c r="RQE158"/>
      <c r="RQF158"/>
      <c r="RQG158"/>
      <c r="RQH158"/>
      <c r="RQI158"/>
      <c r="RQJ158"/>
      <c r="RQK158"/>
      <c r="RQL158"/>
      <c r="RQM158"/>
      <c r="RQN158"/>
      <c r="RQO158"/>
      <c r="RQP158"/>
      <c r="RQQ158"/>
      <c r="RQR158"/>
      <c r="RQS158"/>
      <c r="RQT158"/>
      <c r="RQU158"/>
      <c r="RQV158"/>
      <c r="RQW158"/>
      <c r="RQX158"/>
      <c r="RQY158"/>
      <c r="RQZ158"/>
      <c r="RRA158"/>
      <c r="RRB158"/>
      <c r="RRC158"/>
      <c r="RRD158"/>
      <c r="RRE158"/>
      <c r="RRF158"/>
      <c r="RRG158"/>
      <c r="RRH158"/>
      <c r="RRI158"/>
      <c r="RRJ158"/>
      <c r="RRK158"/>
      <c r="RRL158"/>
      <c r="RRM158"/>
      <c r="RRN158"/>
      <c r="RRO158"/>
      <c r="RRP158"/>
      <c r="RRQ158"/>
      <c r="RRR158"/>
      <c r="RRS158"/>
      <c r="RRT158"/>
      <c r="RRU158"/>
      <c r="RRV158"/>
      <c r="RRW158"/>
      <c r="RRX158"/>
      <c r="RRY158"/>
      <c r="RRZ158"/>
      <c r="RSA158"/>
      <c r="RSB158"/>
      <c r="RSC158"/>
      <c r="RSD158"/>
      <c r="RSE158"/>
      <c r="RSF158"/>
      <c r="RSG158"/>
      <c r="RSH158"/>
      <c r="RSI158"/>
      <c r="RSJ158"/>
      <c r="RSK158"/>
      <c r="RSL158"/>
      <c r="RSM158"/>
      <c r="RSN158"/>
      <c r="RSO158"/>
      <c r="RSP158"/>
      <c r="RSQ158"/>
      <c r="RSR158"/>
      <c r="RSS158"/>
      <c r="RST158"/>
      <c r="RSU158"/>
      <c r="RSV158"/>
      <c r="RSW158"/>
      <c r="RSX158"/>
      <c r="RSY158"/>
      <c r="RSZ158"/>
      <c r="RTA158"/>
      <c r="RTB158"/>
      <c r="RTC158"/>
      <c r="RTD158"/>
      <c r="RTE158"/>
      <c r="RTF158"/>
      <c r="RTG158"/>
      <c r="RTH158"/>
      <c r="RTI158"/>
      <c r="RTJ158"/>
      <c r="RTK158"/>
      <c r="RTL158"/>
      <c r="RTM158"/>
      <c r="RTN158"/>
      <c r="RTO158"/>
      <c r="RTP158"/>
      <c r="RTQ158"/>
      <c r="RTR158"/>
      <c r="RTS158"/>
      <c r="RTT158"/>
      <c r="RTU158"/>
      <c r="RTV158"/>
      <c r="RTW158"/>
      <c r="RTX158"/>
      <c r="RTY158"/>
      <c r="RTZ158"/>
      <c r="RUA158"/>
      <c r="RUB158"/>
      <c r="RUC158"/>
      <c r="RUD158"/>
      <c r="RUE158"/>
      <c r="RUF158"/>
      <c r="RUG158"/>
      <c r="RUH158"/>
      <c r="RUI158"/>
      <c r="RUJ158"/>
      <c r="RUK158"/>
      <c r="RUL158"/>
      <c r="RUM158"/>
      <c r="RUN158"/>
      <c r="RUO158"/>
      <c r="RUP158"/>
      <c r="RUQ158"/>
      <c r="RUR158"/>
      <c r="RUS158"/>
      <c r="RUT158"/>
      <c r="RUU158"/>
      <c r="RUV158"/>
      <c r="RUW158"/>
      <c r="RUX158"/>
      <c r="RUY158"/>
      <c r="RUZ158"/>
      <c r="RVA158"/>
      <c r="RVB158"/>
      <c r="RVC158"/>
      <c r="RVD158"/>
      <c r="RVE158"/>
      <c r="RVF158"/>
      <c r="RVG158"/>
      <c r="RVH158"/>
      <c r="RVI158"/>
      <c r="RVJ158"/>
      <c r="RVK158"/>
      <c r="RVL158"/>
      <c r="RVM158"/>
      <c r="RVN158"/>
      <c r="RVO158"/>
      <c r="RVP158"/>
      <c r="RVQ158"/>
      <c r="RVR158"/>
      <c r="RVS158"/>
      <c r="RVT158"/>
      <c r="RVU158"/>
      <c r="RVV158"/>
      <c r="RVW158"/>
      <c r="RVX158"/>
      <c r="RVY158"/>
      <c r="RVZ158"/>
      <c r="RWA158"/>
      <c r="RWB158"/>
      <c r="RWC158"/>
      <c r="RWD158"/>
      <c r="RWE158"/>
      <c r="RWF158"/>
      <c r="RWG158"/>
      <c r="RWH158"/>
      <c r="RWI158"/>
      <c r="RWJ158"/>
      <c r="RWK158"/>
      <c r="RWL158"/>
      <c r="RWM158"/>
      <c r="RWN158"/>
      <c r="RWO158"/>
      <c r="RWP158"/>
      <c r="RWQ158"/>
      <c r="RWR158"/>
      <c r="RWS158"/>
      <c r="RWT158"/>
      <c r="RWU158"/>
      <c r="RWV158"/>
      <c r="RWW158"/>
      <c r="RWX158"/>
      <c r="RWY158"/>
      <c r="RWZ158"/>
      <c r="RXA158"/>
      <c r="RXB158"/>
      <c r="RXC158"/>
      <c r="RXD158"/>
      <c r="RXE158"/>
      <c r="RXF158"/>
      <c r="RXG158"/>
      <c r="RXH158"/>
      <c r="RXI158"/>
      <c r="RXJ158"/>
      <c r="RXK158"/>
      <c r="RXL158"/>
      <c r="RXM158"/>
      <c r="RXN158"/>
      <c r="RXO158"/>
      <c r="RXP158"/>
      <c r="RXQ158"/>
      <c r="RXR158"/>
      <c r="RXS158"/>
      <c r="RXT158"/>
      <c r="RXU158"/>
      <c r="RXV158"/>
      <c r="RXW158"/>
      <c r="RXX158"/>
      <c r="RXY158"/>
      <c r="RXZ158"/>
      <c r="RYA158"/>
      <c r="RYB158"/>
      <c r="RYC158"/>
      <c r="RYD158"/>
      <c r="RYE158"/>
      <c r="RYF158"/>
      <c r="RYG158"/>
      <c r="RYH158"/>
      <c r="RYI158"/>
      <c r="RYJ158"/>
      <c r="RYK158"/>
      <c r="RYL158"/>
      <c r="RYM158"/>
      <c r="RYN158"/>
      <c r="RYO158"/>
      <c r="RYP158"/>
      <c r="RYQ158"/>
      <c r="RYR158"/>
      <c r="RYS158"/>
      <c r="RYT158"/>
      <c r="RYU158"/>
      <c r="RYV158"/>
      <c r="RYW158"/>
      <c r="RYX158"/>
      <c r="RYY158"/>
      <c r="RYZ158"/>
      <c r="RZA158"/>
      <c r="RZB158"/>
      <c r="RZC158"/>
      <c r="RZD158"/>
      <c r="RZE158"/>
      <c r="RZF158"/>
      <c r="RZG158"/>
      <c r="RZH158"/>
      <c r="RZI158"/>
      <c r="RZJ158"/>
      <c r="RZK158"/>
      <c r="RZL158"/>
      <c r="RZM158"/>
      <c r="RZN158"/>
      <c r="RZO158"/>
      <c r="RZP158"/>
      <c r="RZQ158"/>
      <c r="RZR158"/>
      <c r="RZS158"/>
      <c r="RZT158"/>
      <c r="RZU158"/>
      <c r="RZV158"/>
      <c r="RZW158"/>
      <c r="RZX158"/>
      <c r="RZY158"/>
      <c r="RZZ158"/>
      <c r="SAA158"/>
      <c r="SAB158"/>
      <c r="SAC158"/>
      <c r="SAD158"/>
      <c r="SAE158"/>
      <c r="SAF158"/>
      <c r="SAG158"/>
      <c r="SAH158"/>
      <c r="SAI158"/>
      <c r="SAJ158"/>
      <c r="SAK158"/>
      <c r="SAL158"/>
      <c r="SAM158"/>
      <c r="SAN158"/>
      <c r="SAO158"/>
      <c r="SAP158"/>
      <c r="SAQ158"/>
      <c r="SAR158"/>
      <c r="SAS158"/>
      <c r="SAT158"/>
      <c r="SAU158"/>
      <c r="SAV158"/>
      <c r="SAW158"/>
      <c r="SAX158"/>
      <c r="SAY158"/>
      <c r="SAZ158"/>
      <c r="SBA158"/>
      <c r="SBB158"/>
      <c r="SBC158"/>
      <c r="SBD158"/>
      <c r="SBE158"/>
      <c r="SBF158"/>
      <c r="SBG158"/>
      <c r="SBH158"/>
      <c r="SBI158"/>
      <c r="SBJ158"/>
      <c r="SBK158"/>
      <c r="SBL158"/>
      <c r="SBM158"/>
      <c r="SBN158"/>
      <c r="SBO158"/>
      <c r="SBP158"/>
      <c r="SBQ158"/>
      <c r="SBR158"/>
      <c r="SBS158"/>
      <c r="SBT158"/>
      <c r="SBU158"/>
      <c r="SBV158"/>
      <c r="SBW158"/>
      <c r="SBX158"/>
      <c r="SBY158"/>
      <c r="SBZ158"/>
      <c r="SCA158"/>
      <c r="SCB158"/>
      <c r="SCC158"/>
      <c r="SCD158"/>
      <c r="SCE158"/>
      <c r="SCF158"/>
      <c r="SCG158"/>
      <c r="SCH158"/>
      <c r="SCI158"/>
      <c r="SCJ158"/>
      <c r="SCK158"/>
      <c r="SCL158"/>
      <c r="SCM158"/>
      <c r="SCN158"/>
      <c r="SCO158"/>
      <c r="SCP158"/>
      <c r="SCQ158"/>
      <c r="SCR158"/>
      <c r="SCS158"/>
      <c r="SCT158"/>
      <c r="SCU158"/>
      <c r="SCV158"/>
      <c r="SCW158"/>
      <c r="SCX158"/>
      <c r="SCY158"/>
      <c r="SCZ158"/>
      <c r="SDA158"/>
      <c r="SDB158"/>
      <c r="SDC158"/>
      <c r="SDD158"/>
      <c r="SDE158"/>
      <c r="SDF158"/>
      <c r="SDG158"/>
      <c r="SDH158"/>
      <c r="SDI158"/>
      <c r="SDJ158"/>
      <c r="SDK158"/>
      <c r="SDL158"/>
      <c r="SDM158"/>
      <c r="SDN158"/>
      <c r="SDO158"/>
      <c r="SDP158"/>
      <c r="SDQ158"/>
      <c r="SDR158"/>
      <c r="SDS158"/>
      <c r="SDT158"/>
      <c r="SDU158"/>
      <c r="SDV158"/>
      <c r="SDW158"/>
      <c r="SDX158"/>
      <c r="SDY158"/>
      <c r="SDZ158"/>
      <c r="SEA158"/>
      <c r="SEB158"/>
      <c r="SEC158"/>
      <c r="SED158"/>
      <c r="SEE158"/>
      <c r="SEF158"/>
      <c r="SEG158"/>
      <c r="SEH158"/>
      <c r="SEI158"/>
      <c r="SEJ158"/>
      <c r="SEK158"/>
      <c r="SEL158"/>
      <c r="SEM158"/>
      <c r="SEN158"/>
      <c r="SEO158"/>
      <c r="SEP158"/>
      <c r="SEQ158"/>
      <c r="SER158"/>
      <c r="SES158"/>
      <c r="SET158"/>
      <c r="SEU158"/>
      <c r="SEV158"/>
      <c r="SEW158"/>
      <c r="SEX158"/>
      <c r="SEY158"/>
      <c r="SEZ158"/>
      <c r="SFA158"/>
      <c r="SFB158"/>
      <c r="SFC158"/>
      <c r="SFD158"/>
      <c r="SFE158"/>
      <c r="SFF158"/>
      <c r="SFG158"/>
      <c r="SFH158"/>
      <c r="SFI158"/>
      <c r="SFJ158"/>
      <c r="SFK158"/>
      <c r="SFL158"/>
      <c r="SFM158"/>
      <c r="SFN158"/>
      <c r="SFO158"/>
      <c r="SFP158"/>
      <c r="SFQ158"/>
      <c r="SFR158"/>
      <c r="SFS158"/>
      <c r="SFT158"/>
      <c r="SFU158"/>
      <c r="SFV158"/>
      <c r="SFW158"/>
      <c r="SFX158"/>
      <c r="SFY158"/>
      <c r="SFZ158"/>
      <c r="SGA158"/>
      <c r="SGB158"/>
      <c r="SGC158"/>
      <c r="SGD158"/>
      <c r="SGE158"/>
      <c r="SGF158"/>
      <c r="SGG158"/>
      <c r="SGH158"/>
      <c r="SGI158"/>
      <c r="SGJ158"/>
      <c r="SGK158"/>
      <c r="SGL158"/>
      <c r="SGM158"/>
      <c r="SGN158"/>
      <c r="SGO158"/>
      <c r="SGP158"/>
      <c r="SGQ158"/>
      <c r="SGR158"/>
      <c r="SGS158"/>
      <c r="SGT158"/>
      <c r="SGU158"/>
      <c r="SGV158"/>
      <c r="SGW158"/>
      <c r="SGX158"/>
      <c r="SGY158"/>
      <c r="SGZ158"/>
      <c r="SHA158"/>
      <c r="SHB158"/>
      <c r="SHC158"/>
      <c r="SHD158"/>
      <c r="SHE158"/>
      <c r="SHF158"/>
      <c r="SHG158"/>
      <c r="SHH158"/>
      <c r="SHI158"/>
      <c r="SHJ158"/>
      <c r="SHK158"/>
      <c r="SHL158"/>
      <c r="SHM158"/>
      <c r="SHN158"/>
      <c r="SHO158"/>
      <c r="SHP158"/>
      <c r="SHQ158"/>
      <c r="SHR158"/>
      <c r="SHS158"/>
      <c r="SHT158"/>
      <c r="SHU158"/>
      <c r="SHV158"/>
      <c r="SHW158"/>
      <c r="SHX158"/>
      <c r="SHY158"/>
      <c r="SHZ158"/>
      <c r="SIA158"/>
      <c r="SIB158"/>
      <c r="SIC158"/>
      <c r="SID158"/>
      <c r="SIE158"/>
      <c r="SIF158"/>
      <c r="SIG158"/>
      <c r="SIH158"/>
      <c r="SII158"/>
      <c r="SIJ158"/>
      <c r="SIK158"/>
      <c r="SIL158"/>
      <c r="SIM158"/>
      <c r="SIN158"/>
      <c r="SIO158"/>
      <c r="SIP158"/>
      <c r="SIQ158"/>
      <c r="SIR158"/>
      <c r="SIS158"/>
      <c r="SIT158"/>
      <c r="SIU158"/>
      <c r="SIV158"/>
      <c r="SIW158"/>
      <c r="SIX158"/>
      <c r="SIY158"/>
      <c r="SIZ158"/>
      <c r="SJA158"/>
      <c r="SJB158"/>
      <c r="SJC158"/>
      <c r="SJD158"/>
      <c r="SJE158"/>
      <c r="SJF158"/>
      <c r="SJG158"/>
      <c r="SJH158"/>
      <c r="SJI158"/>
      <c r="SJJ158"/>
      <c r="SJK158"/>
      <c r="SJL158"/>
      <c r="SJM158"/>
      <c r="SJN158"/>
      <c r="SJO158"/>
      <c r="SJP158"/>
      <c r="SJQ158"/>
      <c r="SJR158"/>
      <c r="SJS158"/>
      <c r="SJT158"/>
      <c r="SJU158"/>
      <c r="SJV158"/>
      <c r="SJW158"/>
      <c r="SJX158"/>
      <c r="SJY158"/>
      <c r="SJZ158"/>
      <c r="SKA158"/>
      <c r="SKB158"/>
      <c r="SKC158"/>
      <c r="SKD158"/>
      <c r="SKE158"/>
      <c r="SKF158"/>
      <c r="SKG158"/>
      <c r="SKH158"/>
      <c r="SKI158"/>
      <c r="SKJ158"/>
      <c r="SKK158"/>
      <c r="SKL158"/>
      <c r="SKM158"/>
      <c r="SKN158"/>
      <c r="SKO158"/>
      <c r="SKP158"/>
      <c r="SKQ158"/>
      <c r="SKR158"/>
      <c r="SKS158"/>
      <c r="SKT158"/>
      <c r="SKU158"/>
      <c r="SKV158"/>
      <c r="SKW158"/>
      <c r="SKX158"/>
      <c r="SKY158"/>
      <c r="SKZ158"/>
      <c r="SLA158"/>
      <c r="SLB158"/>
      <c r="SLC158"/>
      <c r="SLD158"/>
      <c r="SLE158"/>
      <c r="SLF158"/>
      <c r="SLG158"/>
      <c r="SLH158"/>
      <c r="SLI158"/>
      <c r="SLJ158"/>
      <c r="SLK158"/>
      <c r="SLL158"/>
      <c r="SLM158"/>
      <c r="SLN158"/>
      <c r="SLO158"/>
      <c r="SLP158"/>
      <c r="SLQ158"/>
      <c r="SLR158"/>
      <c r="SLS158"/>
      <c r="SLT158"/>
      <c r="SLU158"/>
      <c r="SLV158"/>
      <c r="SLW158"/>
      <c r="SLX158"/>
      <c r="SLY158"/>
      <c r="SLZ158"/>
      <c r="SMA158"/>
      <c r="SMB158"/>
      <c r="SMC158"/>
      <c r="SMD158"/>
      <c r="SME158"/>
      <c r="SMF158"/>
      <c r="SMG158"/>
      <c r="SMH158"/>
      <c r="SMI158"/>
      <c r="SMJ158"/>
      <c r="SMK158"/>
      <c r="SML158"/>
      <c r="SMM158"/>
      <c r="SMN158"/>
      <c r="SMO158"/>
      <c r="SMP158"/>
      <c r="SMQ158"/>
      <c r="SMR158"/>
      <c r="SMS158"/>
      <c r="SMT158"/>
      <c r="SMU158"/>
      <c r="SMV158"/>
      <c r="SMW158"/>
      <c r="SMX158"/>
      <c r="SMY158"/>
      <c r="SMZ158"/>
      <c r="SNA158"/>
      <c r="SNB158"/>
      <c r="SNC158"/>
      <c r="SND158"/>
      <c r="SNE158"/>
      <c r="SNF158"/>
      <c r="SNG158"/>
      <c r="SNH158"/>
      <c r="SNI158"/>
      <c r="SNJ158"/>
      <c r="SNK158"/>
      <c r="SNL158"/>
      <c r="SNM158"/>
      <c r="SNN158"/>
      <c r="SNO158"/>
      <c r="SNP158"/>
      <c r="SNQ158"/>
      <c r="SNR158"/>
      <c r="SNS158"/>
      <c r="SNT158"/>
      <c r="SNU158"/>
      <c r="SNV158"/>
      <c r="SNW158"/>
      <c r="SNX158"/>
      <c r="SNY158"/>
      <c r="SNZ158"/>
      <c r="SOA158"/>
      <c r="SOB158"/>
      <c r="SOC158"/>
      <c r="SOD158"/>
      <c r="SOE158"/>
      <c r="SOF158"/>
      <c r="SOG158"/>
      <c r="SOH158"/>
      <c r="SOI158"/>
      <c r="SOJ158"/>
      <c r="SOK158"/>
      <c r="SOL158"/>
      <c r="SOM158"/>
      <c r="SON158"/>
      <c r="SOO158"/>
      <c r="SOP158"/>
      <c r="SOQ158"/>
      <c r="SOR158"/>
      <c r="SOS158"/>
      <c r="SOT158"/>
      <c r="SOU158"/>
      <c r="SOV158"/>
      <c r="SOW158"/>
      <c r="SOX158"/>
      <c r="SOY158"/>
      <c r="SOZ158"/>
      <c r="SPA158"/>
      <c r="SPB158"/>
      <c r="SPC158"/>
      <c r="SPD158"/>
      <c r="SPE158"/>
      <c r="SPF158"/>
      <c r="SPG158"/>
      <c r="SPH158"/>
      <c r="SPI158"/>
      <c r="SPJ158"/>
      <c r="SPK158"/>
      <c r="SPL158"/>
      <c r="SPM158"/>
      <c r="SPN158"/>
      <c r="SPO158"/>
      <c r="SPP158"/>
      <c r="SPQ158"/>
      <c r="SPR158"/>
      <c r="SPS158"/>
      <c r="SPT158"/>
      <c r="SPU158"/>
      <c r="SPV158"/>
      <c r="SPW158"/>
      <c r="SPX158"/>
      <c r="SPY158"/>
      <c r="SPZ158"/>
      <c r="SQA158"/>
      <c r="SQB158"/>
      <c r="SQC158"/>
      <c r="SQD158"/>
      <c r="SQE158"/>
      <c r="SQF158"/>
      <c r="SQG158"/>
      <c r="SQH158"/>
      <c r="SQI158"/>
      <c r="SQJ158"/>
      <c r="SQK158"/>
      <c r="SQL158"/>
      <c r="SQM158"/>
      <c r="SQN158"/>
      <c r="SQO158"/>
      <c r="SQP158"/>
      <c r="SQQ158"/>
      <c r="SQR158"/>
      <c r="SQS158"/>
      <c r="SQT158"/>
      <c r="SQU158"/>
      <c r="SQV158"/>
      <c r="SQW158"/>
      <c r="SQX158"/>
      <c r="SQY158"/>
      <c r="SQZ158"/>
      <c r="SRA158"/>
      <c r="SRB158"/>
      <c r="SRC158"/>
      <c r="SRD158"/>
      <c r="SRE158"/>
      <c r="SRF158"/>
      <c r="SRG158"/>
      <c r="SRH158"/>
      <c r="SRI158"/>
      <c r="SRJ158"/>
      <c r="SRK158"/>
      <c r="SRL158"/>
      <c r="SRM158"/>
      <c r="SRN158"/>
      <c r="SRO158"/>
      <c r="SRP158"/>
      <c r="SRQ158"/>
      <c r="SRR158"/>
      <c r="SRS158"/>
      <c r="SRT158"/>
      <c r="SRU158"/>
      <c r="SRV158"/>
      <c r="SRW158"/>
      <c r="SRX158"/>
      <c r="SRY158"/>
      <c r="SRZ158"/>
      <c r="SSA158"/>
      <c r="SSB158"/>
      <c r="SSC158"/>
      <c r="SSD158"/>
      <c r="SSE158"/>
      <c r="SSF158"/>
      <c r="SSG158"/>
      <c r="SSH158"/>
      <c r="SSI158"/>
      <c r="SSJ158"/>
      <c r="SSK158"/>
      <c r="SSL158"/>
      <c r="SSM158"/>
      <c r="SSN158"/>
      <c r="SSO158"/>
      <c r="SSP158"/>
      <c r="SSQ158"/>
      <c r="SSR158"/>
      <c r="SSS158"/>
      <c r="SST158"/>
      <c r="SSU158"/>
      <c r="SSV158"/>
      <c r="SSW158"/>
      <c r="SSX158"/>
      <c r="SSY158"/>
      <c r="SSZ158"/>
      <c r="STA158"/>
      <c r="STB158"/>
      <c r="STC158"/>
      <c r="STD158"/>
      <c r="STE158"/>
      <c r="STF158"/>
      <c r="STG158"/>
      <c r="STH158"/>
      <c r="STI158"/>
      <c r="STJ158"/>
      <c r="STK158"/>
      <c r="STL158"/>
      <c r="STM158"/>
      <c r="STN158"/>
      <c r="STO158"/>
      <c r="STP158"/>
      <c r="STQ158"/>
      <c r="STR158"/>
      <c r="STS158"/>
      <c r="STT158"/>
      <c r="STU158"/>
      <c r="STV158"/>
      <c r="STW158"/>
      <c r="STX158"/>
      <c r="STY158"/>
      <c r="STZ158"/>
      <c r="SUA158"/>
      <c r="SUB158"/>
      <c r="SUC158"/>
      <c r="SUD158"/>
      <c r="SUE158"/>
      <c r="SUF158"/>
      <c r="SUG158"/>
      <c r="SUH158"/>
      <c r="SUI158"/>
      <c r="SUJ158"/>
      <c r="SUK158"/>
      <c r="SUL158"/>
      <c r="SUM158"/>
      <c r="SUN158"/>
      <c r="SUO158"/>
      <c r="SUP158"/>
      <c r="SUQ158"/>
      <c r="SUR158"/>
      <c r="SUS158"/>
      <c r="SUT158"/>
      <c r="SUU158"/>
      <c r="SUV158"/>
      <c r="SUW158"/>
      <c r="SUX158"/>
      <c r="SUY158"/>
      <c r="SUZ158"/>
      <c r="SVA158"/>
      <c r="SVB158"/>
      <c r="SVC158"/>
      <c r="SVD158"/>
      <c r="SVE158"/>
      <c r="SVF158"/>
      <c r="SVG158"/>
      <c r="SVH158"/>
      <c r="SVI158"/>
      <c r="SVJ158"/>
      <c r="SVK158"/>
      <c r="SVL158"/>
      <c r="SVM158"/>
      <c r="SVN158"/>
      <c r="SVO158"/>
      <c r="SVP158"/>
      <c r="SVQ158"/>
      <c r="SVR158"/>
      <c r="SVS158"/>
      <c r="SVT158"/>
      <c r="SVU158"/>
      <c r="SVV158"/>
      <c r="SVW158"/>
      <c r="SVX158"/>
      <c r="SVY158"/>
      <c r="SVZ158"/>
      <c r="SWA158"/>
      <c r="SWB158"/>
      <c r="SWC158"/>
      <c r="SWD158"/>
      <c r="SWE158"/>
      <c r="SWF158"/>
      <c r="SWG158"/>
      <c r="SWH158"/>
      <c r="SWI158"/>
      <c r="SWJ158"/>
      <c r="SWK158"/>
      <c r="SWL158"/>
      <c r="SWM158"/>
      <c r="SWN158"/>
      <c r="SWO158"/>
      <c r="SWP158"/>
      <c r="SWQ158"/>
      <c r="SWR158"/>
      <c r="SWS158"/>
      <c r="SWT158"/>
      <c r="SWU158"/>
      <c r="SWV158"/>
      <c r="SWW158"/>
      <c r="SWX158"/>
      <c r="SWY158"/>
      <c r="SWZ158"/>
      <c r="SXA158"/>
      <c r="SXB158"/>
      <c r="SXC158"/>
      <c r="SXD158"/>
      <c r="SXE158"/>
      <c r="SXF158"/>
      <c r="SXG158"/>
      <c r="SXH158"/>
      <c r="SXI158"/>
      <c r="SXJ158"/>
      <c r="SXK158"/>
      <c r="SXL158"/>
      <c r="SXM158"/>
      <c r="SXN158"/>
      <c r="SXO158"/>
      <c r="SXP158"/>
      <c r="SXQ158"/>
      <c r="SXR158"/>
      <c r="SXS158"/>
      <c r="SXT158"/>
      <c r="SXU158"/>
      <c r="SXV158"/>
      <c r="SXW158"/>
      <c r="SXX158"/>
      <c r="SXY158"/>
      <c r="SXZ158"/>
      <c r="SYA158"/>
      <c r="SYB158"/>
      <c r="SYC158"/>
      <c r="SYD158"/>
      <c r="SYE158"/>
      <c r="SYF158"/>
      <c r="SYG158"/>
      <c r="SYH158"/>
      <c r="SYI158"/>
      <c r="SYJ158"/>
      <c r="SYK158"/>
      <c r="SYL158"/>
      <c r="SYM158"/>
      <c r="SYN158"/>
      <c r="SYO158"/>
      <c r="SYP158"/>
      <c r="SYQ158"/>
      <c r="SYR158"/>
      <c r="SYS158"/>
      <c r="SYT158"/>
      <c r="SYU158"/>
      <c r="SYV158"/>
      <c r="SYW158"/>
      <c r="SYX158"/>
      <c r="SYY158"/>
      <c r="SYZ158"/>
      <c r="SZA158"/>
      <c r="SZB158"/>
      <c r="SZC158"/>
      <c r="SZD158"/>
      <c r="SZE158"/>
      <c r="SZF158"/>
      <c r="SZG158"/>
      <c r="SZH158"/>
      <c r="SZI158"/>
      <c r="SZJ158"/>
      <c r="SZK158"/>
      <c r="SZL158"/>
      <c r="SZM158"/>
      <c r="SZN158"/>
      <c r="SZO158"/>
      <c r="SZP158"/>
      <c r="SZQ158"/>
      <c r="SZR158"/>
      <c r="SZS158"/>
      <c r="SZT158"/>
      <c r="SZU158"/>
      <c r="SZV158"/>
      <c r="SZW158"/>
      <c r="SZX158"/>
      <c r="SZY158"/>
      <c r="SZZ158"/>
      <c r="TAA158"/>
      <c r="TAB158"/>
      <c r="TAC158"/>
      <c r="TAD158"/>
      <c r="TAE158"/>
      <c r="TAF158"/>
      <c r="TAG158"/>
      <c r="TAH158"/>
      <c r="TAI158"/>
      <c r="TAJ158"/>
      <c r="TAK158"/>
      <c r="TAL158"/>
      <c r="TAM158"/>
      <c r="TAN158"/>
      <c r="TAO158"/>
      <c r="TAP158"/>
      <c r="TAQ158"/>
      <c r="TAR158"/>
      <c r="TAS158"/>
      <c r="TAT158"/>
      <c r="TAU158"/>
      <c r="TAV158"/>
      <c r="TAW158"/>
      <c r="TAX158"/>
      <c r="TAY158"/>
      <c r="TAZ158"/>
      <c r="TBA158"/>
      <c r="TBB158"/>
      <c r="TBC158"/>
      <c r="TBD158"/>
      <c r="TBE158"/>
      <c r="TBF158"/>
      <c r="TBG158"/>
      <c r="TBH158"/>
      <c r="TBI158"/>
      <c r="TBJ158"/>
      <c r="TBK158"/>
      <c r="TBL158"/>
      <c r="TBM158"/>
      <c r="TBN158"/>
      <c r="TBO158"/>
      <c r="TBP158"/>
      <c r="TBQ158"/>
      <c r="TBR158"/>
      <c r="TBS158"/>
      <c r="TBT158"/>
      <c r="TBU158"/>
      <c r="TBV158"/>
      <c r="TBW158"/>
      <c r="TBX158"/>
      <c r="TBY158"/>
      <c r="TBZ158"/>
      <c r="TCA158"/>
      <c r="TCB158"/>
      <c r="TCC158"/>
      <c r="TCD158"/>
      <c r="TCE158"/>
      <c r="TCF158"/>
      <c r="TCG158"/>
      <c r="TCH158"/>
      <c r="TCI158"/>
      <c r="TCJ158"/>
      <c r="TCK158"/>
      <c r="TCL158"/>
      <c r="TCM158"/>
      <c r="TCN158"/>
      <c r="TCO158"/>
      <c r="TCP158"/>
      <c r="TCQ158"/>
      <c r="TCR158"/>
      <c r="TCS158"/>
      <c r="TCT158"/>
      <c r="TCU158"/>
      <c r="TCV158"/>
      <c r="TCW158"/>
      <c r="TCX158"/>
      <c r="TCY158"/>
      <c r="TCZ158"/>
      <c r="TDA158"/>
      <c r="TDB158"/>
      <c r="TDC158"/>
      <c r="TDD158"/>
      <c r="TDE158"/>
      <c r="TDF158"/>
      <c r="TDG158"/>
      <c r="TDH158"/>
      <c r="TDI158"/>
      <c r="TDJ158"/>
      <c r="TDK158"/>
      <c r="TDL158"/>
      <c r="TDM158"/>
      <c r="TDN158"/>
      <c r="TDO158"/>
      <c r="TDP158"/>
      <c r="TDQ158"/>
      <c r="TDR158"/>
      <c r="TDS158"/>
      <c r="TDT158"/>
      <c r="TDU158"/>
      <c r="TDV158"/>
      <c r="TDW158"/>
      <c r="TDX158"/>
      <c r="TDY158"/>
      <c r="TDZ158"/>
      <c r="TEA158"/>
      <c r="TEB158"/>
      <c r="TEC158"/>
      <c r="TED158"/>
      <c r="TEE158"/>
      <c r="TEF158"/>
      <c r="TEG158"/>
      <c r="TEH158"/>
      <c r="TEI158"/>
      <c r="TEJ158"/>
      <c r="TEK158"/>
      <c r="TEL158"/>
      <c r="TEM158"/>
      <c r="TEN158"/>
      <c r="TEO158"/>
      <c r="TEP158"/>
      <c r="TEQ158"/>
      <c r="TER158"/>
      <c r="TES158"/>
      <c r="TET158"/>
      <c r="TEU158"/>
      <c r="TEV158"/>
      <c r="TEW158"/>
      <c r="TEX158"/>
      <c r="TEY158"/>
      <c r="TEZ158"/>
      <c r="TFA158"/>
      <c r="TFB158"/>
      <c r="TFC158"/>
      <c r="TFD158"/>
      <c r="TFE158"/>
      <c r="TFF158"/>
      <c r="TFG158"/>
      <c r="TFH158"/>
      <c r="TFI158"/>
      <c r="TFJ158"/>
      <c r="TFK158"/>
      <c r="TFL158"/>
      <c r="TFM158"/>
      <c r="TFN158"/>
      <c r="TFO158"/>
      <c r="TFP158"/>
      <c r="TFQ158"/>
      <c r="TFR158"/>
      <c r="TFS158"/>
      <c r="TFT158"/>
      <c r="TFU158"/>
      <c r="TFV158"/>
      <c r="TFW158"/>
      <c r="TFX158"/>
      <c r="TFY158"/>
      <c r="TFZ158"/>
      <c r="TGA158"/>
      <c r="TGB158"/>
      <c r="TGC158"/>
      <c r="TGD158"/>
      <c r="TGE158"/>
      <c r="TGF158"/>
      <c r="TGG158"/>
      <c r="TGH158"/>
      <c r="TGI158"/>
      <c r="TGJ158"/>
      <c r="TGK158"/>
      <c r="TGL158"/>
      <c r="TGM158"/>
      <c r="TGN158"/>
      <c r="TGO158"/>
      <c r="TGP158"/>
      <c r="TGQ158"/>
      <c r="TGR158"/>
      <c r="TGS158"/>
      <c r="TGT158"/>
      <c r="TGU158"/>
      <c r="TGV158"/>
      <c r="TGW158"/>
      <c r="TGX158"/>
      <c r="TGY158"/>
      <c r="TGZ158"/>
      <c r="THA158"/>
      <c r="THB158"/>
      <c r="THC158"/>
      <c r="THD158"/>
      <c r="THE158"/>
      <c r="THF158"/>
      <c r="THG158"/>
      <c r="THH158"/>
      <c r="THI158"/>
      <c r="THJ158"/>
      <c r="THK158"/>
      <c r="THL158"/>
      <c r="THM158"/>
      <c r="THN158"/>
      <c r="THO158"/>
      <c r="THP158"/>
      <c r="THQ158"/>
      <c r="THR158"/>
      <c r="THS158"/>
      <c r="THT158"/>
      <c r="THU158"/>
      <c r="THV158"/>
      <c r="THW158"/>
      <c r="THX158"/>
      <c r="THY158"/>
      <c r="THZ158"/>
      <c r="TIA158"/>
      <c r="TIB158"/>
      <c r="TIC158"/>
      <c r="TID158"/>
      <c r="TIE158"/>
      <c r="TIF158"/>
      <c r="TIG158"/>
      <c r="TIH158"/>
      <c r="TII158"/>
      <c r="TIJ158"/>
      <c r="TIK158"/>
      <c r="TIL158"/>
      <c r="TIM158"/>
      <c r="TIN158"/>
      <c r="TIO158"/>
      <c r="TIP158"/>
      <c r="TIQ158"/>
      <c r="TIR158"/>
      <c r="TIS158"/>
      <c r="TIT158"/>
      <c r="TIU158"/>
      <c r="TIV158"/>
      <c r="TIW158"/>
      <c r="TIX158"/>
      <c r="TIY158"/>
      <c r="TIZ158"/>
      <c r="TJA158"/>
      <c r="TJB158"/>
      <c r="TJC158"/>
      <c r="TJD158"/>
      <c r="TJE158"/>
      <c r="TJF158"/>
      <c r="TJG158"/>
      <c r="TJH158"/>
      <c r="TJI158"/>
      <c r="TJJ158"/>
      <c r="TJK158"/>
      <c r="TJL158"/>
      <c r="TJM158"/>
      <c r="TJN158"/>
      <c r="TJO158"/>
      <c r="TJP158"/>
      <c r="TJQ158"/>
      <c r="TJR158"/>
      <c r="TJS158"/>
      <c r="TJT158"/>
      <c r="TJU158"/>
      <c r="TJV158"/>
      <c r="TJW158"/>
      <c r="TJX158"/>
      <c r="TJY158"/>
      <c r="TJZ158"/>
      <c r="TKA158"/>
      <c r="TKB158"/>
      <c r="TKC158"/>
      <c r="TKD158"/>
      <c r="TKE158"/>
      <c r="TKF158"/>
      <c r="TKG158"/>
      <c r="TKH158"/>
      <c r="TKI158"/>
      <c r="TKJ158"/>
      <c r="TKK158"/>
      <c r="TKL158"/>
      <c r="TKM158"/>
      <c r="TKN158"/>
      <c r="TKO158"/>
      <c r="TKP158"/>
      <c r="TKQ158"/>
      <c r="TKR158"/>
      <c r="TKS158"/>
      <c r="TKT158"/>
      <c r="TKU158"/>
      <c r="TKV158"/>
      <c r="TKW158"/>
      <c r="TKX158"/>
      <c r="TKY158"/>
      <c r="TKZ158"/>
      <c r="TLA158"/>
      <c r="TLB158"/>
      <c r="TLC158"/>
      <c r="TLD158"/>
      <c r="TLE158"/>
      <c r="TLF158"/>
      <c r="TLG158"/>
      <c r="TLH158"/>
      <c r="TLI158"/>
      <c r="TLJ158"/>
      <c r="TLK158"/>
      <c r="TLL158"/>
      <c r="TLM158"/>
      <c r="TLN158"/>
      <c r="TLO158"/>
      <c r="TLP158"/>
      <c r="TLQ158"/>
      <c r="TLR158"/>
      <c r="TLS158"/>
      <c r="TLT158"/>
      <c r="TLU158"/>
      <c r="TLV158"/>
      <c r="TLW158"/>
      <c r="TLX158"/>
      <c r="TLY158"/>
      <c r="TLZ158"/>
      <c r="TMA158"/>
      <c r="TMB158"/>
      <c r="TMC158"/>
      <c r="TMD158"/>
      <c r="TME158"/>
      <c r="TMF158"/>
      <c r="TMG158"/>
      <c r="TMH158"/>
      <c r="TMI158"/>
      <c r="TMJ158"/>
      <c r="TMK158"/>
      <c r="TML158"/>
      <c r="TMM158"/>
      <c r="TMN158"/>
      <c r="TMO158"/>
      <c r="TMP158"/>
      <c r="TMQ158"/>
      <c r="TMR158"/>
      <c r="TMS158"/>
      <c r="TMT158"/>
      <c r="TMU158"/>
      <c r="TMV158"/>
      <c r="TMW158"/>
      <c r="TMX158"/>
      <c r="TMY158"/>
      <c r="TMZ158"/>
      <c r="TNA158"/>
      <c r="TNB158"/>
      <c r="TNC158"/>
      <c r="TND158"/>
      <c r="TNE158"/>
      <c r="TNF158"/>
      <c r="TNG158"/>
      <c r="TNH158"/>
      <c r="TNI158"/>
      <c r="TNJ158"/>
      <c r="TNK158"/>
      <c r="TNL158"/>
      <c r="TNM158"/>
      <c r="TNN158"/>
      <c r="TNO158"/>
      <c r="TNP158"/>
      <c r="TNQ158"/>
      <c r="TNR158"/>
      <c r="TNS158"/>
      <c r="TNT158"/>
      <c r="TNU158"/>
      <c r="TNV158"/>
      <c r="TNW158"/>
      <c r="TNX158"/>
      <c r="TNY158"/>
      <c r="TNZ158"/>
      <c r="TOA158"/>
      <c r="TOB158"/>
      <c r="TOC158"/>
      <c r="TOD158"/>
      <c r="TOE158"/>
      <c r="TOF158"/>
      <c r="TOG158"/>
      <c r="TOH158"/>
      <c r="TOI158"/>
      <c r="TOJ158"/>
      <c r="TOK158"/>
      <c r="TOL158"/>
      <c r="TOM158"/>
      <c r="TON158"/>
      <c r="TOO158"/>
      <c r="TOP158"/>
      <c r="TOQ158"/>
      <c r="TOR158"/>
      <c r="TOS158"/>
      <c r="TOT158"/>
      <c r="TOU158"/>
      <c r="TOV158"/>
      <c r="TOW158"/>
      <c r="TOX158"/>
      <c r="TOY158"/>
      <c r="TOZ158"/>
      <c r="TPA158"/>
      <c r="TPB158"/>
      <c r="TPC158"/>
      <c r="TPD158"/>
      <c r="TPE158"/>
      <c r="TPF158"/>
      <c r="TPG158"/>
      <c r="TPH158"/>
      <c r="TPI158"/>
      <c r="TPJ158"/>
      <c r="TPK158"/>
      <c r="TPL158"/>
      <c r="TPM158"/>
      <c r="TPN158"/>
      <c r="TPO158"/>
      <c r="TPP158"/>
      <c r="TPQ158"/>
      <c r="TPR158"/>
      <c r="TPS158"/>
      <c r="TPT158"/>
      <c r="TPU158"/>
      <c r="TPV158"/>
      <c r="TPW158"/>
      <c r="TPX158"/>
      <c r="TPY158"/>
      <c r="TPZ158"/>
      <c r="TQA158"/>
      <c r="TQB158"/>
      <c r="TQC158"/>
      <c r="TQD158"/>
      <c r="TQE158"/>
      <c r="TQF158"/>
      <c r="TQG158"/>
      <c r="TQH158"/>
      <c r="TQI158"/>
      <c r="TQJ158"/>
      <c r="TQK158"/>
      <c r="TQL158"/>
      <c r="TQM158"/>
      <c r="TQN158"/>
      <c r="TQO158"/>
      <c r="TQP158"/>
      <c r="TQQ158"/>
      <c r="TQR158"/>
      <c r="TQS158"/>
      <c r="TQT158"/>
      <c r="TQU158"/>
      <c r="TQV158"/>
      <c r="TQW158"/>
      <c r="TQX158"/>
      <c r="TQY158"/>
      <c r="TQZ158"/>
      <c r="TRA158"/>
      <c r="TRB158"/>
      <c r="TRC158"/>
      <c r="TRD158"/>
      <c r="TRE158"/>
      <c r="TRF158"/>
      <c r="TRG158"/>
      <c r="TRH158"/>
      <c r="TRI158"/>
      <c r="TRJ158"/>
      <c r="TRK158"/>
      <c r="TRL158"/>
      <c r="TRM158"/>
      <c r="TRN158"/>
      <c r="TRO158"/>
      <c r="TRP158"/>
      <c r="TRQ158"/>
      <c r="TRR158"/>
      <c r="TRS158"/>
      <c r="TRT158"/>
      <c r="TRU158"/>
      <c r="TRV158"/>
      <c r="TRW158"/>
      <c r="TRX158"/>
      <c r="TRY158"/>
      <c r="TRZ158"/>
      <c r="TSA158"/>
      <c r="TSB158"/>
      <c r="TSC158"/>
      <c r="TSD158"/>
      <c r="TSE158"/>
      <c r="TSF158"/>
      <c r="TSG158"/>
      <c r="TSH158"/>
      <c r="TSI158"/>
      <c r="TSJ158"/>
      <c r="TSK158"/>
      <c r="TSL158"/>
      <c r="TSM158"/>
      <c r="TSN158"/>
      <c r="TSO158"/>
      <c r="TSP158"/>
      <c r="TSQ158"/>
      <c r="TSR158"/>
      <c r="TSS158"/>
      <c r="TST158"/>
      <c r="TSU158"/>
      <c r="TSV158"/>
      <c r="TSW158"/>
      <c r="TSX158"/>
      <c r="TSY158"/>
      <c r="TSZ158"/>
      <c r="TTA158"/>
      <c r="TTB158"/>
      <c r="TTC158"/>
      <c r="TTD158"/>
      <c r="TTE158"/>
      <c r="TTF158"/>
      <c r="TTG158"/>
      <c r="TTH158"/>
      <c r="TTI158"/>
      <c r="TTJ158"/>
      <c r="TTK158"/>
      <c r="TTL158"/>
      <c r="TTM158"/>
      <c r="TTN158"/>
      <c r="TTO158"/>
      <c r="TTP158"/>
      <c r="TTQ158"/>
      <c r="TTR158"/>
      <c r="TTS158"/>
      <c r="TTT158"/>
      <c r="TTU158"/>
      <c r="TTV158"/>
      <c r="TTW158"/>
      <c r="TTX158"/>
      <c r="TTY158"/>
      <c r="TTZ158"/>
      <c r="TUA158"/>
      <c r="TUB158"/>
      <c r="TUC158"/>
      <c r="TUD158"/>
      <c r="TUE158"/>
      <c r="TUF158"/>
      <c r="TUG158"/>
      <c r="TUH158"/>
      <c r="TUI158"/>
      <c r="TUJ158"/>
      <c r="TUK158"/>
      <c r="TUL158"/>
      <c r="TUM158"/>
      <c r="TUN158"/>
      <c r="TUO158"/>
      <c r="TUP158"/>
      <c r="TUQ158"/>
      <c r="TUR158"/>
      <c r="TUS158"/>
      <c r="TUT158"/>
      <c r="TUU158"/>
      <c r="TUV158"/>
      <c r="TUW158"/>
      <c r="TUX158"/>
      <c r="TUY158"/>
      <c r="TUZ158"/>
      <c r="TVA158"/>
      <c r="TVB158"/>
      <c r="TVC158"/>
      <c r="TVD158"/>
      <c r="TVE158"/>
      <c r="TVF158"/>
      <c r="TVG158"/>
      <c r="TVH158"/>
      <c r="TVI158"/>
      <c r="TVJ158"/>
      <c r="TVK158"/>
      <c r="TVL158"/>
      <c r="TVM158"/>
      <c r="TVN158"/>
      <c r="TVO158"/>
      <c r="TVP158"/>
      <c r="TVQ158"/>
      <c r="TVR158"/>
      <c r="TVS158"/>
      <c r="TVT158"/>
      <c r="TVU158"/>
      <c r="TVV158"/>
      <c r="TVW158"/>
      <c r="TVX158"/>
      <c r="TVY158"/>
      <c r="TVZ158"/>
      <c r="TWA158"/>
      <c r="TWB158"/>
      <c r="TWC158"/>
      <c r="TWD158"/>
      <c r="TWE158"/>
      <c r="TWF158"/>
      <c r="TWG158"/>
      <c r="TWH158"/>
      <c r="TWI158"/>
      <c r="TWJ158"/>
      <c r="TWK158"/>
      <c r="TWL158"/>
      <c r="TWM158"/>
      <c r="TWN158"/>
      <c r="TWO158"/>
      <c r="TWP158"/>
      <c r="TWQ158"/>
      <c r="TWR158"/>
      <c r="TWS158"/>
      <c r="TWT158"/>
      <c r="TWU158"/>
      <c r="TWV158"/>
      <c r="TWW158"/>
      <c r="TWX158"/>
      <c r="TWY158"/>
      <c r="TWZ158"/>
      <c r="TXA158"/>
      <c r="TXB158"/>
      <c r="TXC158"/>
      <c r="TXD158"/>
      <c r="TXE158"/>
      <c r="TXF158"/>
      <c r="TXG158"/>
      <c r="TXH158"/>
      <c r="TXI158"/>
      <c r="TXJ158"/>
      <c r="TXK158"/>
      <c r="TXL158"/>
      <c r="TXM158"/>
      <c r="TXN158"/>
      <c r="TXO158"/>
      <c r="TXP158"/>
      <c r="TXQ158"/>
      <c r="TXR158"/>
      <c r="TXS158"/>
      <c r="TXT158"/>
      <c r="TXU158"/>
      <c r="TXV158"/>
      <c r="TXW158"/>
      <c r="TXX158"/>
      <c r="TXY158"/>
      <c r="TXZ158"/>
      <c r="TYA158"/>
      <c r="TYB158"/>
      <c r="TYC158"/>
      <c r="TYD158"/>
      <c r="TYE158"/>
      <c r="TYF158"/>
      <c r="TYG158"/>
      <c r="TYH158"/>
      <c r="TYI158"/>
      <c r="TYJ158"/>
      <c r="TYK158"/>
      <c r="TYL158"/>
      <c r="TYM158"/>
      <c r="TYN158"/>
      <c r="TYO158"/>
      <c r="TYP158"/>
      <c r="TYQ158"/>
      <c r="TYR158"/>
      <c r="TYS158"/>
      <c r="TYT158"/>
      <c r="TYU158"/>
      <c r="TYV158"/>
      <c r="TYW158"/>
      <c r="TYX158"/>
      <c r="TYY158"/>
      <c r="TYZ158"/>
      <c r="TZA158"/>
      <c r="TZB158"/>
      <c r="TZC158"/>
      <c r="TZD158"/>
      <c r="TZE158"/>
      <c r="TZF158"/>
      <c r="TZG158"/>
      <c r="TZH158"/>
      <c r="TZI158"/>
      <c r="TZJ158"/>
      <c r="TZK158"/>
      <c r="TZL158"/>
      <c r="TZM158"/>
      <c r="TZN158"/>
      <c r="TZO158"/>
      <c r="TZP158"/>
      <c r="TZQ158"/>
      <c r="TZR158"/>
      <c r="TZS158"/>
      <c r="TZT158"/>
      <c r="TZU158"/>
      <c r="TZV158"/>
      <c r="TZW158"/>
      <c r="TZX158"/>
      <c r="TZY158"/>
      <c r="TZZ158"/>
      <c r="UAA158"/>
      <c r="UAB158"/>
      <c r="UAC158"/>
      <c r="UAD158"/>
      <c r="UAE158"/>
      <c r="UAF158"/>
      <c r="UAG158"/>
      <c r="UAH158"/>
      <c r="UAI158"/>
      <c r="UAJ158"/>
      <c r="UAK158"/>
      <c r="UAL158"/>
      <c r="UAM158"/>
      <c r="UAN158"/>
      <c r="UAO158"/>
      <c r="UAP158"/>
      <c r="UAQ158"/>
      <c r="UAR158"/>
      <c r="UAS158"/>
      <c r="UAT158"/>
      <c r="UAU158"/>
      <c r="UAV158"/>
      <c r="UAW158"/>
      <c r="UAX158"/>
      <c r="UAY158"/>
      <c r="UAZ158"/>
      <c r="UBA158"/>
      <c r="UBB158"/>
      <c r="UBC158"/>
      <c r="UBD158"/>
      <c r="UBE158"/>
      <c r="UBF158"/>
      <c r="UBG158"/>
      <c r="UBH158"/>
      <c r="UBI158"/>
      <c r="UBJ158"/>
      <c r="UBK158"/>
      <c r="UBL158"/>
      <c r="UBM158"/>
      <c r="UBN158"/>
      <c r="UBO158"/>
      <c r="UBP158"/>
      <c r="UBQ158"/>
      <c r="UBR158"/>
      <c r="UBS158"/>
      <c r="UBT158"/>
      <c r="UBU158"/>
      <c r="UBV158"/>
      <c r="UBW158"/>
      <c r="UBX158"/>
      <c r="UBY158"/>
      <c r="UBZ158"/>
      <c r="UCA158"/>
      <c r="UCB158"/>
      <c r="UCC158"/>
      <c r="UCD158"/>
      <c r="UCE158"/>
      <c r="UCF158"/>
      <c r="UCG158"/>
      <c r="UCH158"/>
      <c r="UCI158"/>
      <c r="UCJ158"/>
      <c r="UCK158"/>
      <c r="UCL158"/>
      <c r="UCM158"/>
      <c r="UCN158"/>
      <c r="UCO158"/>
      <c r="UCP158"/>
      <c r="UCQ158"/>
      <c r="UCR158"/>
      <c r="UCS158"/>
      <c r="UCT158"/>
      <c r="UCU158"/>
      <c r="UCV158"/>
      <c r="UCW158"/>
      <c r="UCX158"/>
      <c r="UCY158"/>
      <c r="UCZ158"/>
      <c r="UDA158"/>
      <c r="UDB158"/>
      <c r="UDC158"/>
      <c r="UDD158"/>
      <c r="UDE158"/>
      <c r="UDF158"/>
      <c r="UDG158"/>
      <c r="UDH158"/>
      <c r="UDI158"/>
      <c r="UDJ158"/>
      <c r="UDK158"/>
      <c r="UDL158"/>
      <c r="UDM158"/>
      <c r="UDN158"/>
      <c r="UDO158"/>
      <c r="UDP158"/>
      <c r="UDQ158"/>
      <c r="UDR158"/>
      <c r="UDS158"/>
      <c r="UDT158"/>
      <c r="UDU158"/>
      <c r="UDV158"/>
      <c r="UDW158"/>
      <c r="UDX158"/>
      <c r="UDY158"/>
      <c r="UDZ158"/>
      <c r="UEA158"/>
      <c r="UEB158"/>
      <c r="UEC158"/>
      <c r="UED158"/>
      <c r="UEE158"/>
      <c r="UEF158"/>
      <c r="UEG158"/>
      <c r="UEH158"/>
      <c r="UEI158"/>
      <c r="UEJ158"/>
      <c r="UEK158"/>
      <c r="UEL158"/>
      <c r="UEM158"/>
      <c r="UEN158"/>
      <c r="UEO158"/>
      <c r="UEP158"/>
      <c r="UEQ158"/>
      <c r="UER158"/>
      <c r="UES158"/>
      <c r="UET158"/>
      <c r="UEU158"/>
      <c r="UEV158"/>
      <c r="UEW158"/>
      <c r="UEX158"/>
      <c r="UEY158"/>
      <c r="UEZ158"/>
      <c r="UFA158"/>
      <c r="UFB158"/>
      <c r="UFC158"/>
      <c r="UFD158"/>
      <c r="UFE158"/>
      <c r="UFF158"/>
      <c r="UFG158"/>
      <c r="UFH158"/>
      <c r="UFI158"/>
      <c r="UFJ158"/>
      <c r="UFK158"/>
      <c r="UFL158"/>
      <c r="UFM158"/>
      <c r="UFN158"/>
      <c r="UFO158"/>
      <c r="UFP158"/>
      <c r="UFQ158"/>
      <c r="UFR158"/>
      <c r="UFS158"/>
      <c r="UFT158"/>
      <c r="UFU158"/>
      <c r="UFV158"/>
      <c r="UFW158"/>
      <c r="UFX158"/>
      <c r="UFY158"/>
      <c r="UFZ158"/>
      <c r="UGA158"/>
      <c r="UGB158"/>
      <c r="UGC158"/>
      <c r="UGD158"/>
      <c r="UGE158"/>
      <c r="UGF158"/>
      <c r="UGG158"/>
      <c r="UGH158"/>
      <c r="UGI158"/>
      <c r="UGJ158"/>
      <c r="UGK158"/>
      <c r="UGL158"/>
      <c r="UGM158"/>
      <c r="UGN158"/>
      <c r="UGO158"/>
      <c r="UGP158"/>
      <c r="UGQ158"/>
      <c r="UGR158"/>
      <c r="UGS158"/>
      <c r="UGT158"/>
      <c r="UGU158"/>
      <c r="UGV158"/>
      <c r="UGW158"/>
      <c r="UGX158"/>
      <c r="UGY158"/>
      <c r="UGZ158"/>
      <c r="UHA158"/>
      <c r="UHB158"/>
      <c r="UHC158"/>
      <c r="UHD158"/>
      <c r="UHE158"/>
      <c r="UHF158"/>
      <c r="UHG158"/>
      <c r="UHH158"/>
      <c r="UHI158"/>
      <c r="UHJ158"/>
      <c r="UHK158"/>
      <c r="UHL158"/>
      <c r="UHM158"/>
      <c r="UHN158"/>
      <c r="UHO158"/>
      <c r="UHP158"/>
      <c r="UHQ158"/>
      <c r="UHR158"/>
      <c r="UHS158"/>
      <c r="UHT158"/>
      <c r="UHU158"/>
      <c r="UHV158"/>
      <c r="UHW158"/>
      <c r="UHX158"/>
      <c r="UHY158"/>
      <c r="UHZ158"/>
      <c r="UIA158"/>
      <c r="UIB158"/>
      <c r="UIC158"/>
      <c r="UID158"/>
      <c r="UIE158"/>
      <c r="UIF158"/>
      <c r="UIG158"/>
      <c r="UIH158"/>
      <c r="UII158"/>
      <c r="UIJ158"/>
      <c r="UIK158"/>
      <c r="UIL158"/>
      <c r="UIM158"/>
      <c r="UIN158"/>
      <c r="UIO158"/>
      <c r="UIP158"/>
      <c r="UIQ158"/>
      <c r="UIR158"/>
      <c r="UIS158"/>
      <c r="UIT158"/>
      <c r="UIU158"/>
      <c r="UIV158"/>
      <c r="UIW158"/>
      <c r="UIX158"/>
      <c r="UIY158"/>
      <c r="UIZ158"/>
      <c r="UJA158"/>
      <c r="UJB158"/>
      <c r="UJC158"/>
      <c r="UJD158"/>
      <c r="UJE158"/>
      <c r="UJF158"/>
      <c r="UJG158"/>
      <c r="UJH158"/>
      <c r="UJI158"/>
      <c r="UJJ158"/>
      <c r="UJK158"/>
      <c r="UJL158"/>
      <c r="UJM158"/>
      <c r="UJN158"/>
      <c r="UJO158"/>
      <c r="UJP158"/>
      <c r="UJQ158"/>
      <c r="UJR158"/>
      <c r="UJS158"/>
      <c r="UJT158"/>
      <c r="UJU158"/>
      <c r="UJV158"/>
      <c r="UJW158"/>
      <c r="UJX158"/>
      <c r="UJY158"/>
      <c r="UJZ158"/>
      <c r="UKA158"/>
      <c r="UKB158"/>
      <c r="UKC158"/>
      <c r="UKD158"/>
      <c r="UKE158"/>
      <c r="UKF158"/>
      <c r="UKG158"/>
      <c r="UKH158"/>
      <c r="UKI158"/>
      <c r="UKJ158"/>
      <c r="UKK158"/>
      <c r="UKL158"/>
      <c r="UKM158"/>
      <c r="UKN158"/>
      <c r="UKO158"/>
      <c r="UKP158"/>
      <c r="UKQ158"/>
      <c r="UKR158"/>
      <c r="UKS158"/>
      <c r="UKT158"/>
      <c r="UKU158"/>
      <c r="UKV158"/>
      <c r="UKW158"/>
      <c r="UKX158"/>
      <c r="UKY158"/>
      <c r="UKZ158"/>
      <c r="ULA158"/>
      <c r="ULB158"/>
      <c r="ULC158"/>
      <c r="ULD158"/>
      <c r="ULE158"/>
      <c r="ULF158"/>
      <c r="ULG158"/>
      <c r="ULH158"/>
      <c r="ULI158"/>
      <c r="ULJ158"/>
      <c r="ULK158"/>
      <c r="ULL158"/>
      <c r="ULM158"/>
      <c r="ULN158"/>
      <c r="ULO158"/>
      <c r="ULP158"/>
      <c r="ULQ158"/>
      <c r="ULR158"/>
      <c r="ULS158"/>
      <c r="ULT158"/>
      <c r="ULU158"/>
      <c r="ULV158"/>
      <c r="ULW158"/>
      <c r="ULX158"/>
      <c r="ULY158"/>
      <c r="ULZ158"/>
      <c r="UMA158"/>
      <c r="UMB158"/>
      <c r="UMC158"/>
      <c r="UMD158"/>
      <c r="UME158"/>
      <c r="UMF158"/>
      <c r="UMG158"/>
      <c r="UMH158"/>
      <c r="UMI158"/>
      <c r="UMJ158"/>
      <c r="UMK158"/>
      <c r="UML158"/>
      <c r="UMM158"/>
      <c r="UMN158"/>
      <c r="UMO158"/>
      <c r="UMP158"/>
      <c r="UMQ158"/>
      <c r="UMR158"/>
      <c r="UMS158"/>
      <c r="UMT158"/>
      <c r="UMU158"/>
      <c r="UMV158"/>
      <c r="UMW158"/>
      <c r="UMX158"/>
      <c r="UMY158"/>
      <c r="UMZ158"/>
      <c r="UNA158"/>
      <c r="UNB158"/>
      <c r="UNC158"/>
      <c r="UND158"/>
      <c r="UNE158"/>
      <c r="UNF158"/>
      <c r="UNG158"/>
      <c r="UNH158"/>
      <c r="UNI158"/>
      <c r="UNJ158"/>
      <c r="UNK158"/>
      <c r="UNL158"/>
      <c r="UNM158"/>
      <c r="UNN158"/>
      <c r="UNO158"/>
      <c r="UNP158"/>
      <c r="UNQ158"/>
      <c r="UNR158"/>
      <c r="UNS158"/>
      <c r="UNT158"/>
      <c r="UNU158"/>
      <c r="UNV158"/>
      <c r="UNW158"/>
      <c r="UNX158"/>
      <c r="UNY158"/>
      <c r="UNZ158"/>
      <c r="UOA158"/>
      <c r="UOB158"/>
      <c r="UOC158"/>
      <c r="UOD158"/>
      <c r="UOE158"/>
      <c r="UOF158"/>
      <c r="UOG158"/>
      <c r="UOH158"/>
      <c r="UOI158"/>
      <c r="UOJ158"/>
      <c r="UOK158"/>
      <c r="UOL158"/>
      <c r="UOM158"/>
      <c r="UON158"/>
      <c r="UOO158"/>
      <c r="UOP158"/>
      <c r="UOQ158"/>
      <c r="UOR158"/>
      <c r="UOS158"/>
      <c r="UOT158"/>
      <c r="UOU158"/>
      <c r="UOV158"/>
      <c r="UOW158"/>
      <c r="UOX158"/>
      <c r="UOY158"/>
      <c r="UOZ158"/>
      <c r="UPA158"/>
      <c r="UPB158"/>
      <c r="UPC158"/>
      <c r="UPD158"/>
      <c r="UPE158"/>
      <c r="UPF158"/>
      <c r="UPG158"/>
      <c r="UPH158"/>
      <c r="UPI158"/>
      <c r="UPJ158"/>
      <c r="UPK158"/>
      <c r="UPL158"/>
      <c r="UPM158"/>
      <c r="UPN158"/>
      <c r="UPO158"/>
      <c r="UPP158"/>
      <c r="UPQ158"/>
      <c r="UPR158"/>
      <c r="UPS158"/>
      <c r="UPT158"/>
      <c r="UPU158"/>
      <c r="UPV158"/>
      <c r="UPW158"/>
      <c r="UPX158"/>
      <c r="UPY158"/>
      <c r="UPZ158"/>
      <c r="UQA158"/>
      <c r="UQB158"/>
      <c r="UQC158"/>
      <c r="UQD158"/>
      <c r="UQE158"/>
      <c r="UQF158"/>
      <c r="UQG158"/>
      <c r="UQH158"/>
      <c r="UQI158"/>
      <c r="UQJ158"/>
      <c r="UQK158"/>
      <c r="UQL158"/>
      <c r="UQM158"/>
      <c r="UQN158"/>
      <c r="UQO158"/>
      <c r="UQP158"/>
      <c r="UQQ158"/>
      <c r="UQR158"/>
      <c r="UQS158"/>
      <c r="UQT158"/>
      <c r="UQU158"/>
      <c r="UQV158"/>
      <c r="UQW158"/>
      <c r="UQX158"/>
      <c r="UQY158"/>
      <c r="UQZ158"/>
      <c r="URA158"/>
      <c r="URB158"/>
      <c r="URC158"/>
      <c r="URD158"/>
      <c r="URE158"/>
      <c r="URF158"/>
      <c r="URG158"/>
      <c r="URH158"/>
      <c r="URI158"/>
      <c r="URJ158"/>
      <c r="URK158"/>
      <c r="URL158"/>
      <c r="URM158"/>
      <c r="URN158"/>
      <c r="URO158"/>
      <c r="URP158"/>
      <c r="URQ158"/>
      <c r="URR158"/>
      <c r="URS158"/>
      <c r="URT158"/>
      <c r="URU158"/>
      <c r="URV158"/>
      <c r="URW158"/>
      <c r="URX158"/>
      <c r="URY158"/>
      <c r="URZ158"/>
      <c r="USA158"/>
      <c r="USB158"/>
      <c r="USC158"/>
      <c r="USD158"/>
      <c r="USE158"/>
      <c r="USF158"/>
      <c r="USG158"/>
      <c r="USH158"/>
      <c r="USI158"/>
      <c r="USJ158"/>
      <c r="USK158"/>
      <c r="USL158"/>
      <c r="USM158"/>
      <c r="USN158"/>
      <c r="USO158"/>
      <c r="USP158"/>
      <c r="USQ158"/>
      <c r="USR158"/>
      <c r="USS158"/>
      <c r="UST158"/>
      <c r="USU158"/>
      <c r="USV158"/>
      <c r="USW158"/>
      <c r="USX158"/>
      <c r="USY158"/>
      <c r="USZ158"/>
      <c r="UTA158"/>
      <c r="UTB158"/>
      <c r="UTC158"/>
      <c r="UTD158"/>
      <c r="UTE158"/>
      <c r="UTF158"/>
      <c r="UTG158"/>
      <c r="UTH158"/>
      <c r="UTI158"/>
      <c r="UTJ158"/>
      <c r="UTK158"/>
      <c r="UTL158"/>
      <c r="UTM158"/>
      <c r="UTN158"/>
      <c r="UTO158"/>
      <c r="UTP158"/>
      <c r="UTQ158"/>
      <c r="UTR158"/>
      <c r="UTS158"/>
      <c r="UTT158"/>
      <c r="UTU158"/>
      <c r="UTV158"/>
      <c r="UTW158"/>
      <c r="UTX158"/>
      <c r="UTY158"/>
      <c r="UTZ158"/>
      <c r="UUA158"/>
      <c r="UUB158"/>
      <c r="UUC158"/>
      <c r="UUD158"/>
      <c r="UUE158"/>
      <c r="UUF158"/>
      <c r="UUG158"/>
      <c r="UUH158"/>
      <c r="UUI158"/>
      <c r="UUJ158"/>
      <c r="UUK158"/>
      <c r="UUL158"/>
      <c r="UUM158"/>
      <c r="UUN158"/>
      <c r="UUO158"/>
      <c r="UUP158"/>
      <c r="UUQ158"/>
      <c r="UUR158"/>
      <c r="UUS158"/>
      <c r="UUT158"/>
      <c r="UUU158"/>
      <c r="UUV158"/>
      <c r="UUW158"/>
      <c r="UUX158"/>
      <c r="UUY158"/>
      <c r="UUZ158"/>
      <c r="UVA158"/>
      <c r="UVB158"/>
      <c r="UVC158"/>
      <c r="UVD158"/>
      <c r="UVE158"/>
      <c r="UVF158"/>
      <c r="UVG158"/>
      <c r="UVH158"/>
      <c r="UVI158"/>
      <c r="UVJ158"/>
      <c r="UVK158"/>
      <c r="UVL158"/>
      <c r="UVM158"/>
      <c r="UVN158"/>
      <c r="UVO158"/>
      <c r="UVP158"/>
      <c r="UVQ158"/>
      <c r="UVR158"/>
      <c r="UVS158"/>
      <c r="UVT158"/>
      <c r="UVU158"/>
      <c r="UVV158"/>
      <c r="UVW158"/>
      <c r="UVX158"/>
      <c r="UVY158"/>
      <c r="UVZ158"/>
      <c r="UWA158"/>
      <c r="UWB158"/>
      <c r="UWC158"/>
      <c r="UWD158"/>
      <c r="UWE158"/>
      <c r="UWF158"/>
      <c r="UWG158"/>
      <c r="UWH158"/>
      <c r="UWI158"/>
      <c r="UWJ158"/>
      <c r="UWK158"/>
      <c r="UWL158"/>
      <c r="UWM158"/>
      <c r="UWN158"/>
      <c r="UWO158"/>
      <c r="UWP158"/>
      <c r="UWQ158"/>
      <c r="UWR158"/>
      <c r="UWS158"/>
      <c r="UWT158"/>
      <c r="UWU158"/>
      <c r="UWV158"/>
      <c r="UWW158"/>
      <c r="UWX158"/>
      <c r="UWY158"/>
      <c r="UWZ158"/>
      <c r="UXA158"/>
      <c r="UXB158"/>
      <c r="UXC158"/>
      <c r="UXD158"/>
      <c r="UXE158"/>
      <c r="UXF158"/>
      <c r="UXG158"/>
      <c r="UXH158"/>
      <c r="UXI158"/>
      <c r="UXJ158"/>
      <c r="UXK158"/>
      <c r="UXL158"/>
      <c r="UXM158"/>
      <c r="UXN158"/>
      <c r="UXO158"/>
      <c r="UXP158"/>
      <c r="UXQ158"/>
      <c r="UXR158"/>
      <c r="UXS158"/>
      <c r="UXT158"/>
      <c r="UXU158"/>
      <c r="UXV158"/>
      <c r="UXW158"/>
      <c r="UXX158"/>
      <c r="UXY158"/>
      <c r="UXZ158"/>
      <c r="UYA158"/>
      <c r="UYB158"/>
      <c r="UYC158"/>
      <c r="UYD158"/>
      <c r="UYE158"/>
      <c r="UYF158"/>
      <c r="UYG158"/>
      <c r="UYH158"/>
      <c r="UYI158"/>
      <c r="UYJ158"/>
      <c r="UYK158"/>
      <c r="UYL158"/>
      <c r="UYM158"/>
      <c r="UYN158"/>
      <c r="UYO158"/>
      <c r="UYP158"/>
      <c r="UYQ158"/>
      <c r="UYR158"/>
      <c r="UYS158"/>
      <c r="UYT158"/>
      <c r="UYU158"/>
      <c r="UYV158"/>
      <c r="UYW158"/>
      <c r="UYX158"/>
      <c r="UYY158"/>
      <c r="UYZ158"/>
      <c r="UZA158"/>
      <c r="UZB158"/>
      <c r="UZC158"/>
      <c r="UZD158"/>
      <c r="UZE158"/>
      <c r="UZF158"/>
      <c r="UZG158"/>
      <c r="UZH158"/>
      <c r="UZI158"/>
      <c r="UZJ158"/>
      <c r="UZK158"/>
      <c r="UZL158"/>
      <c r="UZM158"/>
      <c r="UZN158"/>
      <c r="UZO158"/>
      <c r="UZP158"/>
      <c r="UZQ158"/>
      <c r="UZR158"/>
      <c r="UZS158"/>
      <c r="UZT158"/>
      <c r="UZU158"/>
      <c r="UZV158"/>
      <c r="UZW158"/>
      <c r="UZX158"/>
      <c r="UZY158"/>
      <c r="UZZ158"/>
      <c r="VAA158"/>
      <c r="VAB158"/>
      <c r="VAC158"/>
      <c r="VAD158"/>
      <c r="VAE158"/>
      <c r="VAF158"/>
      <c r="VAG158"/>
      <c r="VAH158"/>
      <c r="VAI158"/>
      <c r="VAJ158"/>
      <c r="VAK158"/>
      <c r="VAL158"/>
      <c r="VAM158"/>
      <c r="VAN158"/>
      <c r="VAO158"/>
      <c r="VAP158"/>
      <c r="VAQ158"/>
      <c r="VAR158"/>
      <c r="VAS158"/>
      <c r="VAT158"/>
      <c r="VAU158"/>
      <c r="VAV158"/>
      <c r="VAW158"/>
      <c r="VAX158"/>
      <c r="VAY158"/>
      <c r="VAZ158"/>
      <c r="VBA158"/>
      <c r="VBB158"/>
      <c r="VBC158"/>
      <c r="VBD158"/>
      <c r="VBE158"/>
      <c r="VBF158"/>
      <c r="VBG158"/>
      <c r="VBH158"/>
      <c r="VBI158"/>
      <c r="VBJ158"/>
      <c r="VBK158"/>
      <c r="VBL158"/>
      <c r="VBM158"/>
      <c r="VBN158"/>
      <c r="VBO158"/>
      <c r="VBP158"/>
      <c r="VBQ158"/>
      <c r="VBR158"/>
      <c r="VBS158"/>
      <c r="VBT158"/>
      <c r="VBU158"/>
      <c r="VBV158"/>
      <c r="VBW158"/>
      <c r="VBX158"/>
      <c r="VBY158"/>
      <c r="VBZ158"/>
      <c r="VCA158"/>
      <c r="VCB158"/>
      <c r="VCC158"/>
      <c r="VCD158"/>
      <c r="VCE158"/>
      <c r="VCF158"/>
      <c r="VCG158"/>
      <c r="VCH158"/>
      <c r="VCI158"/>
      <c r="VCJ158"/>
      <c r="VCK158"/>
      <c r="VCL158"/>
      <c r="VCM158"/>
      <c r="VCN158"/>
      <c r="VCO158"/>
      <c r="VCP158"/>
      <c r="VCQ158"/>
      <c r="VCR158"/>
      <c r="VCS158"/>
      <c r="VCT158"/>
      <c r="VCU158"/>
      <c r="VCV158"/>
      <c r="VCW158"/>
      <c r="VCX158"/>
      <c r="VCY158"/>
      <c r="VCZ158"/>
      <c r="VDA158"/>
      <c r="VDB158"/>
      <c r="VDC158"/>
      <c r="VDD158"/>
      <c r="VDE158"/>
      <c r="VDF158"/>
      <c r="VDG158"/>
      <c r="VDH158"/>
      <c r="VDI158"/>
      <c r="VDJ158"/>
      <c r="VDK158"/>
      <c r="VDL158"/>
      <c r="VDM158"/>
      <c r="VDN158"/>
      <c r="VDO158"/>
      <c r="VDP158"/>
      <c r="VDQ158"/>
      <c r="VDR158"/>
      <c r="VDS158"/>
      <c r="VDT158"/>
      <c r="VDU158"/>
      <c r="VDV158"/>
      <c r="VDW158"/>
      <c r="VDX158"/>
      <c r="VDY158"/>
      <c r="VDZ158"/>
      <c r="VEA158"/>
      <c r="VEB158"/>
      <c r="VEC158"/>
      <c r="VED158"/>
      <c r="VEE158"/>
      <c r="VEF158"/>
      <c r="VEG158"/>
      <c r="VEH158"/>
      <c r="VEI158"/>
      <c r="VEJ158"/>
      <c r="VEK158"/>
      <c r="VEL158"/>
      <c r="VEM158"/>
      <c r="VEN158"/>
      <c r="VEO158"/>
      <c r="VEP158"/>
      <c r="VEQ158"/>
      <c r="VER158"/>
      <c r="VES158"/>
      <c r="VET158"/>
      <c r="VEU158"/>
      <c r="VEV158"/>
      <c r="VEW158"/>
      <c r="VEX158"/>
      <c r="VEY158"/>
      <c r="VEZ158"/>
      <c r="VFA158"/>
      <c r="VFB158"/>
      <c r="VFC158"/>
      <c r="VFD158"/>
      <c r="VFE158"/>
      <c r="VFF158"/>
      <c r="VFG158"/>
      <c r="VFH158"/>
      <c r="VFI158"/>
      <c r="VFJ158"/>
      <c r="VFK158"/>
      <c r="VFL158"/>
      <c r="VFM158"/>
      <c r="VFN158"/>
      <c r="VFO158"/>
      <c r="VFP158"/>
      <c r="VFQ158"/>
      <c r="VFR158"/>
      <c r="VFS158"/>
      <c r="VFT158"/>
      <c r="VFU158"/>
      <c r="VFV158"/>
      <c r="VFW158"/>
      <c r="VFX158"/>
      <c r="VFY158"/>
      <c r="VFZ158"/>
      <c r="VGA158"/>
      <c r="VGB158"/>
      <c r="VGC158"/>
      <c r="VGD158"/>
      <c r="VGE158"/>
      <c r="VGF158"/>
      <c r="VGG158"/>
      <c r="VGH158"/>
      <c r="VGI158"/>
      <c r="VGJ158"/>
      <c r="VGK158"/>
      <c r="VGL158"/>
      <c r="VGM158"/>
      <c r="VGN158"/>
      <c r="VGO158"/>
      <c r="VGP158"/>
      <c r="VGQ158"/>
      <c r="VGR158"/>
      <c r="VGS158"/>
      <c r="VGT158"/>
      <c r="VGU158"/>
      <c r="VGV158"/>
      <c r="VGW158"/>
      <c r="VGX158"/>
      <c r="VGY158"/>
      <c r="VGZ158"/>
      <c r="VHA158"/>
      <c r="VHB158"/>
      <c r="VHC158"/>
      <c r="VHD158"/>
      <c r="VHE158"/>
      <c r="VHF158"/>
      <c r="VHG158"/>
      <c r="VHH158"/>
      <c r="VHI158"/>
      <c r="VHJ158"/>
      <c r="VHK158"/>
      <c r="VHL158"/>
      <c r="VHM158"/>
      <c r="VHN158"/>
      <c r="VHO158"/>
      <c r="VHP158"/>
      <c r="VHQ158"/>
      <c r="VHR158"/>
      <c r="VHS158"/>
      <c r="VHT158"/>
      <c r="VHU158"/>
      <c r="VHV158"/>
      <c r="VHW158"/>
      <c r="VHX158"/>
      <c r="VHY158"/>
      <c r="VHZ158"/>
      <c r="VIA158"/>
      <c r="VIB158"/>
      <c r="VIC158"/>
      <c r="VID158"/>
      <c r="VIE158"/>
      <c r="VIF158"/>
      <c r="VIG158"/>
      <c r="VIH158"/>
      <c r="VII158"/>
      <c r="VIJ158"/>
      <c r="VIK158"/>
      <c r="VIL158"/>
      <c r="VIM158"/>
      <c r="VIN158"/>
      <c r="VIO158"/>
      <c r="VIP158"/>
      <c r="VIQ158"/>
      <c r="VIR158"/>
      <c r="VIS158"/>
      <c r="VIT158"/>
      <c r="VIU158"/>
      <c r="VIV158"/>
      <c r="VIW158"/>
      <c r="VIX158"/>
      <c r="VIY158"/>
      <c r="VIZ158"/>
      <c r="VJA158"/>
      <c r="VJB158"/>
      <c r="VJC158"/>
      <c r="VJD158"/>
      <c r="VJE158"/>
      <c r="VJF158"/>
      <c r="VJG158"/>
      <c r="VJH158"/>
      <c r="VJI158"/>
      <c r="VJJ158"/>
      <c r="VJK158"/>
      <c r="VJL158"/>
      <c r="VJM158"/>
      <c r="VJN158"/>
      <c r="VJO158"/>
      <c r="VJP158"/>
      <c r="VJQ158"/>
      <c r="VJR158"/>
      <c r="VJS158"/>
      <c r="VJT158"/>
      <c r="VJU158"/>
      <c r="VJV158"/>
      <c r="VJW158"/>
      <c r="VJX158"/>
      <c r="VJY158"/>
      <c r="VJZ158"/>
      <c r="VKA158"/>
      <c r="VKB158"/>
      <c r="VKC158"/>
      <c r="VKD158"/>
      <c r="VKE158"/>
      <c r="VKF158"/>
      <c r="VKG158"/>
      <c r="VKH158"/>
      <c r="VKI158"/>
      <c r="VKJ158"/>
      <c r="VKK158"/>
      <c r="VKL158"/>
      <c r="VKM158"/>
      <c r="VKN158"/>
      <c r="VKO158"/>
      <c r="VKP158"/>
      <c r="VKQ158"/>
      <c r="VKR158"/>
      <c r="VKS158"/>
      <c r="VKT158"/>
      <c r="VKU158"/>
      <c r="VKV158"/>
      <c r="VKW158"/>
      <c r="VKX158"/>
      <c r="VKY158"/>
      <c r="VKZ158"/>
      <c r="VLA158"/>
      <c r="VLB158"/>
      <c r="VLC158"/>
      <c r="VLD158"/>
      <c r="VLE158"/>
      <c r="VLF158"/>
      <c r="VLG158"/>
      <c r="VLH158"/>
      <c r="VLI158"/>
      <c r="VLJ158"/>
      <c r="VLK158"/>
      <c r="VLL158"/>
      <c r="VLM158"/>
      <c r="VLN158"/>
      <c r="VLO158"/>
      <c r="VLP158"/>
      <c r="VLQ158"/>
      <c r="VLR158"/>
      <c r="VLS158"/>
      <c r="VLT158"/>
      <c r="VLU158"/>
      <c r="VLV158"/>
      <c r="VLW158"/>
      <c r="VLX158"/>
      <c r="VLY158"/>
      <c r="VLZ158"/>
      <c r="VMA158"/>
      <c r="VMB158"/>
      <c r="VMC158"/>
      <c r="VMD158"/>
      <c r="VME158"/>
      <c r="VMF158"/>
      <c r="VMG158"/>
      <c r="VMH158"/>
      <c r="VMI158"/>
      <c r="VMJ158"/>
      <c r="VMK158"/>
      <c r="VML158"/>
      <c r="VMM158"/>
      <c r="VMN158"/>
      <c r="VMO158"/>
      <c r="VMP158"/>
      <c r="VMQ158"/>
      <c r="VMR158"/>
      <c r="VMS158"/>
      <c r="VMT158"/>
      <c r="VMU158"/>
      <c r="VMV158"/>
      <c r="VMW158"/>
      <c r="VMX158"/>
      <c r="VMY158"/>
      <c r="VMZ158"/>
      <c r="VNA158"/>
      <c r="VNB158"/>
      <c r="VNC158"/>
      <c r="VND158"/>
      <c r="VNE158"/>
      <c r="VNF158"/>
      <c r="VNG158"/>
      <c r="VNH158"/>
      <c r="VNI158"/>
      <c r="VNJ158"/>
      <c r="VNK158"/>
      <c r="VNL158"/>
      <c r="VNM158"/>
      <c r="VNN158"/>
      <c r="VNO158"/>
      <c r="VNP158"/>
      <c r="VNQ158"/>
      <c r="VNR158"/>
      <c r="VNS158"/>
      <c r="VNT158"/>
      <c r="VNU158"/>
      <c r="VNV158"/>
      <c r="VNW158"/>
      <c r="VNX158"/>
      <c r="VNY158"/>
      <c r="VNZ158"/>
      <c r="VOA158"/>
      <c r="VOB158"/>
      <c r="VOC158"/>
      <c r="VOD158"/>
      <c r="VOE158"/>
      <c r="VOF158"/>
      <c r="VOG158"/>
      <c r="VOH158"/>
      <c r="VOI158"/>
      <c r="VOJ158"/>
      <c r="VOK158"/>
      <c r="VOL158"/>
      <c r="VOM158"/>
      <c r="VON158"/>
      <c r="VOO158"/>
      <c r="VOP158"/>
      <c r="VOQ158"/>
      <c r="VOR158"/>
      <c r="VOS158"/>
      <c r="VOT158"/>
      <c r="VOU158"/>
      <c r="VOV158"/>
      <c r="VOW158"/>
      <c r="VOX158"/>
      <c r="VOY158"/>
      <c r="VOZ158"/>
      <c r="VPA158"/>
      <c r="VPB158"/>
      <c r="VPC158"/>
      <c r="VPD158"/>
      <c r="VPE158"/>
      <c r="VPF158"/>
      <c r="VPG158"/>
      <c r="VPH158"/>
      <c r="VPI158"/>
      <c r="VPJ158"/>
      <c r="VPK158"/>
      <c r="VPL158"/>
      <c r="VPM158"/>
      <c r="VPN158"/>
      <c r="VPO158"/>
      <c r="VPP158"/>
      <c r="VPQ158"/>
      <c r="VPR158"/>
      <c r="VPS158"/>
      <c r="VPT158"/>
      <c r="VPU158"/>
      <c r="VPV158"/>
      <c r="VPW158"/>
      <c r="VPX158"/>
      <c r="VPY158"/>
      <c r="VPZ158"/>
      <c r="VQA158"/>
      <c r="VQB158"/>
      <c r="VQC158"/>
      <c r="VQD158"/>
      <c r="VQE158"/>
      <c r="VQF158"/>
      <c r="VQG158"/>
      <c r="VQH158"/>
      <c r="VQI158"/>
      <c r="VQJ158"/>
      <c r="VQK158"/>
      <c r="VQL158"/>
      <c r="VQM158"/>
      <c r="VQN158"/>
      <c r="VQO158"/>
      <c r="VQP158"/>
      <c r="VQQ158"/>
      <c r="VQR158"/>
      <c r="VQS158"/>
      <c r="VQT158"/>
      <c r="VQU158"/>
      <c r="VQV158"/>
      <c r="VQW158"/>
      <c r="VQX158"/>
      <c r="VQY158"/>
      <c r="VQZ158"/>
      <c r="VRA158"/>
      <c r="VRB158"/>
      <c r="VRC158"/>
      <c r="VRD158"/>
      <c r="VRE158"/>
      <c r="VRF158"/>
      <c r="VRG158"/>
      <c r="VRH158"/>
      <c r="VRI158"/>
      <c r="VRJ158"/>
      <c r="VRK158"/>
      <c r="VRL158"/>
      <c r="VRM158"/>
      <c r="VRN158"/>
      <c r="VRO158"/>
      <c r="VRP158"/>
      <c r="VRQ158"/>
      <c r="VRR158"/>
      <c r="VRS158"/>
      <c r="VRT158"/>
      <c r="VRU158"/>
      <c r="VRV158"/>
      <c r="VRW158"/>
      <c r="VRX158"/>
      <c r="VRY158"/>
      <c r="VRZ158"/>
      <c r="VSA158"/>
      <c r="VSB158"/>
      <c r="VSC158"/>
      <c r="VSD158"/>
      <c r="VSE158"/>
      <c r="VSF158"/>
      <c r="VSG158"/>
      <c r="VSH158"/>
      <c r="VSI158"/>
      <c r="VSJ158"/>
      <c r="VSK158"/>
      <c r="VSL158"/>
      <c r="VSM158"/>
      <c r="VSN158"/>
      <c r="VSO158"/>
      <c r="VSP158"/>
      <c r="VSQ158"/>
      <c r="VSR158"/>
      <c r="VSS158"/>
      <c r="VST158"/>
      <c r="VSU158"/>
      <c r="VSV158"/>
      <c r="VSW158"/>
      <c r="VSX158"/>
      <c r="VSY158"/>
      <c r="VSZ158"/>
      <c r="VTA158"/>
      <c r="VTB158"/>
      <c r="VTC158"/>
      <c r="VTD158"/>
      <c r="VTE158"/>
      <c r="VTF158"/>
      <c r="VTG158"/>
      <c r="VTH158"/>
      <c r="VTI158"/>
      <c r="VTJ158"/>
      <c r="VTK158"/>
      <c r="VTL158"/>
      <c r="VTM158"/>
      <c r="VTN158"/>
      <c r="VTO158"/>
      <c r="VTP158"/>
      <c r="VTQ158"/>
      <c r="VTR158"/>
      <c r="VTS158"/>
      <c r="VTT158"/>
      <c r="VTU158"/>
      <c r="VTV158"/>
      <c r="VTW158"/>
      <c r="VTX158"/>
      <c r="VTY158"/>
      <c r="VTZ158"/>
      <c r="VUA158"/>
      <c r="VUB158"/>
      <c r="VUC158"/>
      <c r="VUD158"/>
      <c r="VUE158"/>
      <c r="VUF158"/>
      <c r="VUG158"/>
      <c r="VUH158"/>
      <c r="VUI158"/>
      <c r="VUJ158"/>
      <c r="VUK158"/>
      <c r="VUL158"/>
      <c r="VUM158"/>
      <c r="VUN158"/>
      <c r="VUO158"/>
      <c r="VUP158"/>
      <c r="VUQ158"/>
      <c r="VUR158"/>
      <c r="VUS158"/>
      <c r="VUT158"/>
      <c r="VUU158"/>
      <c r="VUV158"/>
      <c r="VUW158"/>
      <c r="VUX158"/>
      <c r="VUY158"/>
      <c r="VUZ158"/>
      <c r="VVA158"/>
      <c r="VVB158"/>
      <c r="VVC158"/>
      <c r="VVD158"/>
      <c r="VVE158"/>
      <c r="VVF158"/>
      <c r="VVG158"/>
      <c r="VVH158"/>
      <c r="VVI158"/>
      <c r="VVJ158"/>
      <c r="VVK158"/>
      <c r="VVL158"/>
      <c r="VVM158"/>
      <c r="VVN158"/>
      <c r="VVO158"/>
      <c r="VVP158"/>
      <c r="VVQ158"/>
      <c r="VVR158"/>
      <c r="VVS158"/>
      <c r="VVT158"/>
      <c r="VVU158"/>
      <c r="VVV158"/>
      <c r="VVW158"/>
      <c r="VVX158"/>
      <c r="VVY158"/>
      <c r="VVZ158"/>
      <c r="VWA158"/>
      <c r="VWB158"/>
      <c r="VWC158"/>
      <c r="VWD158"/>
      <c r="VWE158"/>
      <c r="VWF158"/>
      <c r="VWG158"/>
      <c r="VWH158"/>
      <c r="VWI158"/>
      <c r="VWJ158"/>
      <c r="VWK158"/>
      <c r="VWL158"/>
      <c r="VWM158"/>
      <c r="VWN158"/>
      <c r="VWO158"/>
      <c r="VWP158"/>
      <c r="VWQ158"/>
      <c r="VWR158"/>
      <c r="VWS158"/>
      <c r="VWT158"/>
      <c r="VWU158"/>
      <c r="VWV158"/>
      <c r="VWW158"/>
      <c r="VWX158"/>
      <c r="VWY158"/>
      <c r="VWZ158"/>
      <c r="VXA158"/>
      <c r="VXB158"/>
      <c r="VXC158"/>
      <c r="VXD158"/>
      <c r="VXE158"/>
      <c r="VXF158"/>
      <c r="VXG158"/>
      <c r="VXH158"/>
      <c r="VXI158"/>
      <c r="VXJ158"/>
      <c r="VXK158"/>
      <c r="VXL158"/>
      <c r="VXM158"/>
      <c r="VXN158"/>
      <c r="VXO158"/>
      <c r="VXP158"/>
      <c r="VXQ158"/>
      <c r="VXR158"/>
      <c r="VXS158"/>
      <c r="VXT158"/>
      <c r="VXU158"/>
      <c r="VXV158"/>
      <c r="VXW158"/>
      <c r="VXX158"/>
      <c r="VXY158"/>
      <c r="VXZ158"/>
      <c r="VYA158"/>
      <c r="VYB158"/>
      <c r="VYC158"/>
      <c r="VYD158"/>
      <c r="VYE158"/>
      <c r="VYF158"/>
      <c r="VYG158"/>
      <c r="VYH158"/>
      <c r="VYI158"/>
      <c r="VYJ158"/>
      <c r="VYK158"/>
      <c r="VYL158"/>
      <c r="VYM158"/>
      <c r="VYN158"/>
      <c r="VYO158"/>
      <c r="VYP158"/>
      <c r="VYQ158"/>
      <c r="VYR158"/>
      <c r="VYS158"/>
      <c r="VYT158"/>
      <c r="VYU158"/>
      <c r="VYV158"/>
      <c r="VYW158"/>
      <c r="VYX158"/>
      <c r="VYY158"/>
      <c r="VYZ158"/>
      <c r="VZA158"/>
      <c r="VZB158"/>
      <c r="VZC158"/>
      <c r="VZD158"/>
      <c r="VZE158"/>
      <c r="VZF158"/>
      <c r="VZG158"/>
      <c r="VZH158"/>
      <c r="VZI158"/>
      <c r="VZJ158"/>
      <c r="VZK158"/>
      <c r="VZL158"/>
      <c r="VZM158"/>
      <c r="VZN158"/>
      <c r="VZO158"/>
      <c r="VZP158"/>
      <c r="VZQ158"/>
      <c r="VZR158"/>
      <c r="VZS158"/>
      <c r="VZT158"/>
      <c r="VZU158"/>
      <c r="VZV158"/>
      <c r="VZW158"/>
      <c r="VZX158"/>
      <c r="VZY158"/>
      <c r="VZZ158"/>
      <c r="WAA158"/>
      <c r="WAB158"/>
      <c r="WAC158"/>
      <c r="WAD158"/>
      <c r="WAE158"/>
      <c r="WAF158"/>
      <c r="WAG158"/>
      <c r="WAH158"/>
      <c r="WAI158"/>
      <c r="WAJ158"/>
      <c r="WAK158"/>
      <c r="WAL158"/>
      <c r="WAM158"/>
      <c r="WAN158"/>
      <c r="WAO158"/>
      <c r="WAP158"/>
      <c r="WAQ158"/>
      <c r="WAR158"/>
      <c r="WAS158"/>
      <c r="WAT158"/>
      <c r="WAU158"/>
      <c r="WAV158"/>
      <c r="WAW158"/>
      <c r="WAX158"/>
      <c r="WAY158"/>
      <c r="WAZ158"/>
      <c r="WBA158"/>
      <c r="WBB158"/>
      <c r="WBC158"/>
      <c r="WBD158"/>
      <c r="WBE158"/>
      <c r="WBF158"/>
      <c r="WBG158"/>
      <c r="WBH158"/>
      <c r="WBI158"/>
      <c r="WBJ158"/>
      <c r="WBK158"/>
      <c r="WBL158"/>
      <c r="WBM158"/>
      <c r="WBN158"/>
      <c r="WBO158"/>
      <c r="WBP158"/>
      <c r="WBQ158"/>
      <c r="WBR158"/>
      <c r="WBS158"/>
      <c r="WBT158"/>
      <c r="WBU158"/>
      <c r="WBV158"/>
      <c r="WBW158"/>
      <c r="WBX158"/>
      <c r="WBY158"/>
      <c r="WBZ158"/>
      <c r="WCA158"/>
      <c r="WCB158"/>
      <c r="WCC158"/>
      <c r="WCD158"/>
      <c r="WCE158"/>
      <c r="WCF158"/>
      <c r="WCG158"/>
      <c r="WCH158"/>
      <c r="WCI158"/>
      <c r="WCJ158"/>
      <c r="WCK158"/>
      <c r="WCL158"/>
      <c r="WCM158"/>
      <c r="WCN158"/>
      <c r="WCO158"/>
      <c r="WCP158"/>
      <c r="WCQ158"/>
      <c r="WCR158"/>
      <c r="WCS158"/>
      <c r="WCT158"/>
      <c r="WCU158"/>
      <c r="WCV158"/>
      <c r="WCW158"/>
      <c r="WCX158"/>
      <c r="WCY158"/>
      <c r="WCZ158"/>
      <c r="WDA158"/>
      <c r="WDB158"/>
      <c r="WDC158"/>
      <c r="WDD158"/>
      <c r="WDE158"/>
      <c r="WDF158"/>
      <c r="WDG158"/>
      <c r="WDH158"/>
      <c r="WDI158"/>
      <c r="WDJ158"/>
      <c r="WDK158"/>
      <c r="WDL158"/>
      <c r="WDM158"/>
      <c r="WDN158"/>
      <c r="WDO158"/>
      <c r="WDP158"/>
      <c r="WDQ158"/>
      <c r="WDR158"/>
      <c r="WDS158"/>
      <c r="WDT158"/>
      <c r="WDU158"/>
      <c r="WDV158"/>
      <c r="WDW158"/>
      <c r="WDX158"/>
      <c r="WDY158"/>
      <c r="WDZ158"/>
      <c r="WEA158"/>
      <c r="WEB158"/>
      <c r="WEC158"/>
      <c r="WED158"/>
      <c r="WEE158"/>
      <c r="WEF158"/>
      <c r="WEG158"/>
      <c r="WEH158"/>
      <c r="WEI158"/>
      <c r="WEJ158"/>
      <c r="WEK158"/>
      <c r="WEL158"/>
      <c r="WEM158"/>
      <c r="WEN158"/>
      <c r="WEO158"/>
      <c r="WEP158"/>
      <c r="WEQ158"/>
      <c r="WER158"/>
      <c r="WES158"/>
      <c r="WET158"/>
      <c r="WEU158"/>
      <c r="WEV158"/>
      <c r="WEW158"/>
      <c r="WEX158"/>
      <c r="WEY158"/>
      <c r="WEZ158"/>
      <c r="WFA158"/>
      <c r="WFB158"/>
      <c r="WFC158"/>
      <c r="WFD158"/>
      <c r="WFE158"/>
      <c r="WFF158"/>
      <c r="WFG158"/>
      <c r="WFH158"/>
      <c r="WFI158"/>
      <c r="WFJ158"/>
      <c r="WFK158"/>
      <c r="WFL158"/>
      <c r="WFM158"/>
      <c r="WFN158"/>
      <c r="WFO158"/>
      <c r="WFP158"/>
      <c r="WFQ158"/>
      <c r="WFR158"/>
      <c r="WFS158"/>
      <c r="WFT158"/>
      <c r="WFU158"/>
      <c r="WFV158"/>
      <c r="WFW158"/>
      <c r="WFX158"/>
      <c r="WFY158"/>
      <c r="WFZ158"/>
      <c r="WGA158"/>
      <c r="WGB158"/>
      <c r="WGC158"/>
      <c r="WGD158"/>
      <c r="WGE158"/>
      <c r="WGF158"/>
      <c r="WGG158"/>
      <c r="WGH158"/>
      <c r="WGI158"/>
      <c r="WGJ158"/>
      <c r="WGK158"/>
      <c r="WGL158"/>
      <c r="WGM158"/>
      <c r="WGN158"/>
      <c r="WGO158"/>
      <c r="WGP158"/>
      <c r="WGQ158"/>
      <c r="WGR158"/>
      <c r="WGS158"/>
      <c r="WGT158"/>
      <c r="WGU158"/>
      <c r="WGV158"/>
      <c r="WGW158"/>
      <c r="WGX158"/>
      <c r="WGY158"/>
      <c r="WGZ158"/>
      <c r="WHA158"/>
      <c r="WHB158"/>
      <c r="WHC158"/>
      <c r="WHD158"/>
      <c r="WHE158"/>
      <c r="WHF158"/>
      <c r="WHG158"/>
      <c r="WHH158"/>
      <c r="WHI158"/>
      <c r="WHJ158"/>
      <c r="WHK158"/>
      <c r="WHL158"/>
      <c r="WHM158"/>
      <c r="WHN158"/>
      <c r="WHO158"/>
      <c r="WHP158"/>
      <c r="WHQ158"/>
      <c r="WHR158"/>
      <c r="WHS158"/>
      <c r="WHT158"/>
      <c r="WHU158"/>
      <c r="WHV158"/>
      <c r="WHW158"/>
      <c r="WHX158"/>
      <c r="WHY158"/>
      <c r="WHZ158"/>
      <c r="WIA158"/>
      <c r="WIB158"/>
      <c r="WIC158"/>
      <c r="WID158"/>
      <c r="WIE158"/>
      <c r="WIF158"/>
      <c r="WIG158"/>
      <c r="WIH158"/>
      <c r="WII158"/>
      <c r="WIJ158"/>
      <c r="WIK158"/>
      <c r="WIL158"/>
      <c r="WIM158"/>
      <c r="WIN158"/>
      <c r="WIO158"/>
      <c r="WIP158"/>
      <c r="WIQ158"/>
      <c r="WIR158"/>
      <c r="WIS158"/>
      <c r="WIT158"/>
      <c r="WIU158"/>
      <c r="WIV158"/>
      <c r="WIW158"/>
      <c r="WIX158"/>
      <c r="WIY158"/>
      <c r="WIZ158"/>
      <c r="WJA158"/>
      <c r="WJB158"/>
      <c r="WJC158"/>
      <c r="WJD158"/>
      <c r="WJE158"/>
      <c r="WJF158"/>
      <c r="WJG158"/>
      <c r="WJH158"/>
      <c r="WJI158"/>
      <c r="WJJ158"/>
      <c r="WJK158"/>
      <c r="WJL158"/>
      <c r="WJM158"/>
      <c r="WJN158"/>
      <c r="WJO158"/>
      <c r="WJP158"/>
      <c r="WJQ158"/>
      <c r="WJR158"/>
      <c r="WJS158"/>
      <c r="WJT158"/>
      <c r="WJU158"/>
      <c r="WJV158"/>
      <c r="WJW158"/>
      <c r="WJX158"/>
      <c r="WJY158"/>
      <c r="WJZ158"/>
      <c r="WKA158"/>
      <c r="WKB158"/>
      <c r="WKC158"/>
      <c r="WKD158"/>
      <c r="WKE158"/>
      <c r="WKF158"/>
      <c r="WKG158"/>
      <c r="WKH158"/>
      <c r="WKI158"/>
      <c r="WKJ158"/>
      <c r="WKK158"/>
      <c r="WKL158"/>
      <c r="WKM158"/>
      <c r="WKN158"/>
      <c r="WKO158"/>
      <c r="WKP158"/>
      <c r="WKQ158"/>
      <c r="WKR158"/>
      <c r="WKS158"/>
      <c r="WKT158"/>
      <c r="WKU158"/>
      <c r="WKV158"/>
      <c r="WKW158"/>
      <c r="WKX158"/>
      <c r="WKY158"/>
      <c r="WKZ158"/>
      <c r="WLA158"/>
      <c r="WLB158"/>
      <c r="WLC158"/>
      <c r="WLD158"/>
      <c r="WLE158"/>
      <c r="WLF158"/>
      <c r="WLG158"/>
      <c r="WLH158"/>
      <c r="WLI158"/>
      <c r="WLJ158"/>
      <c r="WLK158"/>
      <c r="WLL158"/>
      <c r="WLM158"/>
      <c r="WLN158"/>
      <c r="WLO158"/>
      <c r="WLP158"/>
      <c r="WLQ158"/>
      <c r="WLR158"/>
      <c r="WLS158"/>
      <c r="WLT158"/>
      <c r="WLU158"/>
      <c r="WLV158"/>
      <c r="WLW158"/>
      <c r="WLX158"/>
      <c r="WLY158"/>
      <c r="WLZ158"/>
      <c r="WMA158"/>
      <c r="WMB158"/>
      <c r="WMC158"/>
      <c r="WMD158"/>
      <c r="WME158"/>
      <c r="WMF158"/>
      <c r="WMG158"/>
      <c r="WMH158"/>
      <c r="WMI158"/>
      <c r="WMJ158"/>
      <c r="WMK158"/>
      <c r="WML158"/>
      <c r="WMM158"/>
      <c r="WMN158"/>
      <c r="WMO158"/>
      <c r="WMP158"/>
      <c r="WMQ158"/>
      <c r="WMR158"/>
      <c r="WMS158"/>
      <c r="WMT158"/>
      <c r="WMU158"/>
      <c r="WMV158"/>
      <c r="WMW158"/>
      <c r="WMX158"/>
      <c r="WMY158"/>
      <c r="WMZ158"/>
      <c r="WNA158"/>
      <c r="WNB158"/>
      <c r="WNC158"/>
      <c r="WND158"/>
      <c r="WNE158"/>
      <c r="WNF158"/>
      <c r="WNG158"/>
      <c r="WNH158"/>
      <c r="WNI158"/>
      <c r="WNJ158"/>
      <c r="WNK158"/>
      <c r="WNL158"/>
      <c r="WNM158"/>
      <c r="WNN158"/>
      <c r="WNO158"/>
      <c r="WNP158"/>
      <c r="WNQ158"/>
      <c r="WNR158"/>
      <c r="WNS158"/>
      <c r="WNT158"/>
      <c r="WNU158"/>
      <c r="WNV158"/>
      <c r="WNW158"/>
      <c r="WNX158"/>
      <c r="WNY158"/>
      <c r="WNZ158"/>
      <c r="WOA158"/>
      <c r="WOB158"/>
      <c r="WOC158"/>
      <c r="WOD158"/>
      <c r="WOE158"/>
      <c r="WOF158"/>
      <c r="WOG158"/>
      <c r="WOH158"/>
      <c r="WOI158"/>
      <c r="WOJ158"/>
      <c r="WOK158"/>
      <c r="WOL158"/>
      <c r="WOM158"/>
      <c r="WON158"/>
      <c r="WOO158"/>
      <c r="WOP158"/>
      <c r="WOQ158"/>
      <c r="WOR158"/>
      <c r="WOS158"/>
      <c r="WOT158"/>
      <c r="WOU158"/>
      <c r="WOV158"/>
      <c r="WOW158"/>
      <c r="WOX158"/>
      <c r="WOY158"/>
      <c r="WOZ158"/>
      <c r="WPA158"/>
      <c r="WPB158"/>
      <c r="WPC158"/>
      <c r="WPD158"/>
      <c r="WPE158"/>
      <c r="WPF158"/>
      <c r="WPG158"/>
      <c r="WPH158"/>
      <c r="WPI158"/>
      <c r="WPJ158"/>
      <c r="WPK158"/>
      <c r="WPL158"/>
      <c r="WPM158"/>
      <c r="WPN158"/>
      <c r="WPO158"/>
      <c r="WPP158"/>
      <c r="WPQ158"/>
      <c r="WPR158"/>
      <c r="WPS158"/>
      <c r="WPT158"/>
      <c r="WPU158"/>
      <c r="WPV158"/>
      <c r="WPW158"/>
      <c r="WPX158"/>
      <c r="WPY158"/>
      <c r="WPZ158"/>
      <c r="WQA158"/>
      <c r="WQB158"/>
      <c r="WQC158"/>
      <c r="WQD158"/>
      <c r="WQE158"/>
      <c r="WQF158"/>
      <c r="WQG158"/>
      <c r="WQH158"/>
      <c r="WQI158"/>
      <c r="WQJ158"/>
      <c r="WQK158"/>
      <c r="WQL158"/>
      <c r="WQM158"/>
      <c r="WQN158"/>
      <c r="WQO158"/>
      <c r="WQP158"/>
      <c r="WQQ158"/>
      <c r="WQR158"/>
      <c r="WQS158"/>
      <c r="WQT158"/>
      <c r="WQU158"/>
      <c r="WQV158"/>
      <c r="WQW158"/>
      <c r="WQX158"/>
      <c r="WQY158"/>
      <c r="WQZ158"/>
      <c r="WRA158"/>
      <c r="WRB158"/>
      <c r="WRC158"/>
      <c r="WRD158"/>
      <c r="WRE158"/>
      <c r="WRF158"/>
      <c r="WRG158"/>
      <c r="WRH158"/>
      <c r="WRI158"/>
      <c r="WRJ158"/>
      <c r="WRK158"/>
      <c r="WRL158"/>
      <c r="WRM158"/>
      <c r="WRN158"/>
      <c r="WRO158"/>
      <c r="WRP158"/>
      <c r="WRQ158"/>
      <c r="WRR158"/>
      <c r="WRS158"/>
      <c r="WRT158"/>
      <c r="WRU158"/>
      <c r="WRV158"/>
      <c r="WRW158"/>
      <c r="WRX158"/>
      <c r="WRY158"/>
      <c r="WRZ158"/>
      <c r="WSA158"/>
      <c r="WSB158"/>
      <c r="WSC158"/>
      <c r="WSD158"/>
      <c r="WSE158"/>
      <c r="WSF158"/>
      <c r="WSG158"/>
      <c r="WSH158"/>
      <c r="WSI158"/>
      <c r="WSJ158"/>
      <c r="WSK158"/>
      <c r="WSL158"/>
      <c r="WSM158"/>
      <c r="WSN158"/>
      <c r="WSO158"/>
      <c r="WSP158"/>
      <c r="WSQ158"/>
      <c r="WSR158"/>
      <c r="WSS158"/>
      <c r="WST158"/>
      <c r="WSU158"/>
      <c r="WSV158"/>
      <c r="WSW158"/>
      <c r="WSX158"/>
      <c r="WSY158"/>
      <c r="WSZ158"/>
      <c r="WTA158"/>
      <c r="WTB158"/>
      <c r="WTC158"/>
      <c r="WTD158"/>
      <c r="WTE158"/>
      <c r="WTF158"/>
      <c r="WTG158"/>
      <c r="WTH158"/>
      <c r="WTI158"/>
      <c r="WTJ158"/>
      <c r="WTK158"/>
      <c r="WTL158"/>
      <c r="WTM158"/>
      <c r="WTN158"/>
      <c r="WTO158"/>
      <c r="WTP158"/>
      <c r="WTQ158"/>
      <c r="WTR158"/>
      <c r="WTS158"/>
      <c r="WTT158"/>
      <c r="WTU158"/>
      <c r="WTV158"/>
      <c r="WTW158"/>
      <c r="WTX158"/>
      <c r="WTY158"/>
      <c r="WTZ158"/>
      <c r="WUA158"/>
      <c r="WUB158"/>
      <c r="WUC158"/>
      <c r="WUD158"/>
      <c r="WUE158"/>
      <c r="WUF158"/>
      <c r="WUG158"/>
      <c r="WUH158"/>
      <c r="WUI158"/>
      <c r="WUJ158"/>
      <c r="WUK158"/>
      <c r="WUL158"/>
      <c r="WUM158"/>
      <c r="WUN158"/>
      <c r="WUO158"/>
      <c r="WUP158"/>
      <c r="WUQ158"/>
      <c r="WUR158"/>
      <c r="WUS158"/>
      <c r="WUT158"/>
      <c r="WUU158"/>
      <c r="WUV158"/>
      <c r="WUW158"/>
      <c r="WUX158"/>
      <c r="WUY158"/>
      <c r="WUZ158"/>
      <c r="WVA158"/>
      <c r="WVB158"/>
      <c r="WVC158"/>
      <c r="WVD158"/>
      <c r="WVE158"/>
      <c r="WVF158"/>
      <c r="WVG158"/>
      <c r="WVH158"/>
      <c r="WVI158"/>
      <c r="WVJ158"/>
      <c r="WVK158"/>
      <c r="WVL158"/>
      <c r="WVM158"/>
      <c r="WVN158"/>
      <c r="WVO158"/>
      <c r="WVP158"/>
      <c r="WVQ158"/>
      <c r="WVR158"/>
      <c r="WVS158"/>
      <c r="WVT158"/>
      <c r="WVU158"/>
      <c r="WVV158"/>
      <c r="WVW158"/>
      <c r="WVX158"/>
      <c r="WVY158"/>
      <c r="WVZ158"/>
      <c r="WWA158"/>
      <c r="WWB158"/>
      <c r="WWC158"/>
      <c r="WWD158"/>
      <c r="WWE158"/>
      <c r="WWF158"/>
      <c r="WWG158"/>
      <c r="WWH158"/>
      <c r="WWI158"/>
      <c r="WWJ158"/>
      <c r="WWK158"/>
      <c r="WWL158"/>
      <c r="WWM158"/>
      <c r="WWN158"/>
      <c r="WWO158"/>
      <c r="WWP158"/>
      <c r="WWQ158"/>
      <c r="WWR158"/>
      <c r="WWS158"/>
      <c r="WWT158"/>
      <c r="WWU158"/>
      <c r="WWV158"/>
      <c r="WWW158"/>
      <c r="WWX158"/>
      <c r="WWY158"/>
      <c r="WWZ158"/>
      <c r="WXA158"/>
      <c r="WXB158"/>
      <c r="WXC158"/>
      <c r="WXD158"/>
      <c r="WXE158"/>
      <c r="WXF158"/>
      <c r="WXG158"/>
      <c r="WXH158"/>
      <c r="WXI158"/>
      <c r="WXJ158"/>
      <c r="WXK158"/>
      <c r="WXL158"/>
      <c r="WXM158"/>
      <c r="WXN158"/>
      <c r="WXO158"/>
      <c r="WXP158"/>
      <c r="WXQ158"/>
      <c r="WXR158"/>
      <c r="WXS158"/>
      <c r="WXT158"/>
      <c r="WXU158"/>
      <c r="WXV158"/>
      <c r="WXW158"/>
      <c r="WXX158"/>
      <c r="WXY158"/>
      <c r="WXZ158"/>
      <c r="WYA158"/>
      <c r="WYB158"/>
      <c r="WYC158"/>
      <c r="WYD158"/>
      <c r="WYE158"/>
      <c r="WYF158"/>
      <c r="WYG158"/>
      <c r="WYH158"/>
      <c r="WYI158"/>
      <c r="WYJ158"/>
      <c r="WYK158"/>
      <c r="WYL158"/>
      <c r="WYM158"/>
      <c r="WYN158"/>
      <c r="WYO158"/>
      <c r="WYP158"/>
      <c r="WYQ158"/>
      <c r="WYR158"/>
      <c r="WYS158"/>
      <c r="WYT158"/>
      <c r="WYU158"/>
      <c r="WYV158"/>
      <c r="WYW158"/>
      <c r="WYX158"/>
      <c r="WYY158"/>
      <c r="WYZ158"/>
      <c r="WZA158"/>
      <c r="WZB158"/>
      <c r="WZC158"/>
      <c r="WZD158"/>
      <c r="WZE158"/>
      <c r="WZF158"/>
      <c r="WZG158"/>
      <c r="WZH158"/>
      <c r="WZI158"/>
      <c r="WZJ158"/>
      <c r="WZK158"/>
      <c r="WZL158"/>
      <c r="WZM158"/>
      <c r="WZN158"/>
      <c r="WZO158"/>
      <c r="WZP158"/>
      <c r="WZQ158"/>
      <c r="WZR158"/>
      <c r="WZS158"/>
      <c r="WZT158"/>
      <c r="WZU158"/>
      <c r="WZV158"/>
      <c r="WZW158"/>
      <c r="WZX158"/>
      <c r="WZY158"/>
      <c r="WZZ158"/>
      <c r="XAA158"/>
      <c r="XAB158"/>
      <c r="XAC158"/>
      <c r="XAD158"/>
      <c r="XAE158"/>
      <c r="XAF158"/>
      <c r="XAG158"/>
      <c r="XAH158"/>
      <c r="XAI158"/>
      <c r="XAJ158"/>
      <c r="XAK158"/>
      <c r="XAL158"/>
      <c r="XAM158"/>
      <c r="XAN158"/>
      <c r="XAO158"/>
      <c r="XAP158"/>
      <c r="XAQ158"/>
      <c r="XAR158"/>
      <c r="XAS158"/>
      <c r="XAT158"/>
      <c r="XAU158"/>
      <c r="XAV158"/>
      <c r="XAW158"/>
      <c r="XAX158"/>
      <c r="XAY158"/>
      <c r="XAZ158"/>
      <c r="XBA158"/>
      <c r="XBB158"/>
      <c r="XBC158"/>
      <c r="XBD158"/>
      <c r="XBE158"/>
      <c r="XBF158"/>
      <c r="XBG158"/>
      <c r="XBH158"/>
      <c r="XBI158"/>
      <c r="XBJ158"/>
      <c r="XBK158"/>
      <c r="XBL158"/>
      <c r="XBM158"/>
      <c r="XBN158"/>
      <c r="XBO158"/>
      <c r="XBP158"/>
      <c r="XBQ158"/>
      <c r="XBR158"/>
      <c r="XBS158"/>
      <c r="XBT158"/>
      <c r="XBU158"/>
      <c r="XBV158"/>
      <c r="XBW158"/>
      <c r="XBX158"/>
      <c r="XBY158"/>
      <c r="XBZ158"/>
      <c r="XCA158"/>
      <c r="XCB158"/>
      <c r="XCC158"/>
      <c r="XCD158"/>
      <c r="XCE158"/>
      <c r="XCF158"/>
      <c r="XCG158"/>
      <c r="XCH158"/>
      <c r="XCI158"/>
      <c r="XCJ158"/>
      <c r="XCK158"/>
      <c r="XCL158"/>
      <c r="XCM158"/>
      <c r="XCN158"/>
      <c r="XCO158"/>
      <c r="XCP158"/>
      <c r="XCQ158"/>
      <c r="XCR158"/>
      <c r="XCS158"/>
      <c r="XCT158"/>
      <c r="XCU158"/>
      <c r="XCV158"/>
      <c r="XCW158"/>
      <c r="XCX158"/>
      <c r="XCY158"/>
      <c r="XCZ158"/>
      <c r="XDA158"/>
      <c r="XDB158"/>
      <c r="XDC158"/>
      <c r="XDD158"/>
      <c r="XDE158"/>
      <c r="XDF158"/>
      <c r="XDG158"/>
      <c r="XDH158"/>
      <c r="XDI158"/>
      <c r="XDJ158"/>
      <c r="XDK158"/>
      <c r="XDL158"/>
      <c r="XDM158"/>
      <c r="XDN158"/>
      <c r="XDO158"/>
      <c r="XDP158"/>
      <c r="XDQ158"/>
      <c r="XDR158"/>
      <c r="XDS158"/>
      <c r="XDT158"/>
      <c r="XDU158"/>
      <c r="XDV158"/>
      <c r="XDW158"/>
      <c r="XDX158"/>
      <c r="XDY158"/>
      <c r="XDZ158"/>
      <c r="XEA158"/>
      <c r="XEB158"/>
      <c r="XEC158"/>
      <c r="XED158"/>
      <c r="XEE158"/>
      <c r="XEF158"/>
      <c r="XEG158"/>
      <c r="XEH158"/>
      <c r="XEI158"/>
      <c r="XEJ158"/>
      <c r="XEK158"/>
      <c r="XEL158"/>
      <c r="XEM158"/>
      <c r="XEN158"/>
      <c r="XEO158"/>
      <c r="XEP158"/>
      <c r="XEQ158"/>
      <c r="XER158"/>
      <c r="XES158"/>
      <c r="XET158"/>
    </row>
    <row r="159" spans="1:16374" s="117" customFormat="1" hidden="1" x14ac:dyDescent="0.3">
      <c r="A159"/>
      <c r="B159" s="115" t="s">
        <v>3759</v>
      </c>
      <c r="C159" s="92">
        <v>668181</v>
      </c>
      <c r="D159" s="83">
        <v>632383</v>
      </c>
      <c r="E159" s="83">
        <v>632361</v>
      </c>
      <c r="F159" s="83">
        <v>22</v>
      </c>
      <c r="G159" s="83">
        <v>22</v>
      </c>
      <c r="H159" s="83"/>
      <c r="I159" s="83" t="s">
        <v>3924</v>
      </c>
      <c r="J159" s="83" t="s">
        <v>3706</v>
      </c>
      <c r="K159" s="128" t="s">
        <v>3939</v>
      </c>
      <c r="L159" s="129" t="s">
        <v>3942</v>
      </c>
      <c r="M159" s="130" t="s">
        <v>3946</v>
      </c>
      <c r="N159" s="39"/>
      <c r="O159" s="39"/>
      <c r="P159" s="3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  <c r="JF159"/>
      <c r="JG159"/>
      <c r="JH159"/>
      <c r="JI159"/>
      <c r="JJ159"/>
      <c r="JK159"/>
      <c r="JL159"/>
      <c r="JM159"/>
      <c r="JN159"/>
      <c r="JO159"/>
      <c r="JP159"/>
      <c r="JQ159"/>
      <c r="JR159"/>
      <c r="JS159"/>
      <c r="JT159"/>
      <c r="JU159"/>
      <c r="JV159"/>
      <c r="JW159"/>
      <c r="JX159"/>
      <c r="JY159"/>
      <c r="JZ159"/>
      <c r="KA159"/>
      <c r="KB159"/>
      <c r="KC159"/>
      <c r="KD159"/>
      <c r="KE159"/>
      <c r="KF159"/>
      <c r="KG159"/>
      <c r="KH159"/>
      <c r="KI159"/>
      <c r="KJ159"/>
      <c r="KK159"/>
      <c r="KL159"/>
      <c r="KM159"/>
      <c r="KN159"/>
      <c r="KO159"/>
      <c r="KP159"/>
      <c r="KQ159"/>
      <c r="KR159"/>
      <c r="KS159"/>
      <c r="KT159"/>
      <c r="KU159"/>
      <c r="KV159"/>
      <c r="KW159"/>
      <c r="KX159"/>
      <c r="KY159"/>
      <c r="KZ159"/>
      <c r="LA159"/>
      <c r="LB159"/>
      <c r="LC159"/>
      <c r="LD159"/>
      <c r="LE159"/>
      <c r="LF159"/>
      <c r="LG159"/>
      <c r="LH159"/>
      <c r="LI159"/>
      <c r="LJ159"/>
      <c r="LK159"/>
      <c r="LL159"/>
      <c r="LM159"/>
      <c r="LN159"/>
      <c r="LO159"/>
      <c r="LP159"/>
      <c r="LQ159"/>
      <c r="LR159"/>
      <c r="LS159"/>
      <c r="LT159"/>
      <c r="LU159"/>
      <c r="LV159"/>
      <c r="LW159"/>
      <c r="LX159"/>
      <c r="LY159"/>
      <c r="LZ159"/>
      <c r="MA159"/>
      <c r="MB159"/>
      <c r="MC159"/>
      <c r="MD159"/>
      <c r="ME159"/>
      <c r="MF159"/>
      <c r="MG159"/>
      <c r="MH159"/>
      <c r="MI159"/>
      <c r="MJ159"/>
      <c r="MK159"/>
      <c r="ML159"/>
      <c r="MM159"/>
      <c r="MN159"/>
      <c r="MO159"/>
      <c r="MP159"/>
      <c r="MQ159"/>
      <c r="MR159"/>
      <c r="MS159"/>
      <c r="MT159"/>
      <c r="MU159"/>
      <c r="MV159"/>
      <c r="MW159"/>
      <c r="MX159"/>
      <c r="MY159"/>
      <c r="MZ159"/>
      <c r="NA159"/>
      <c r="NB159"/>
      <c r="NC159"/>
      <c r="ND159"/>
      <c r="NE159"/>
      <c r="NF159"/>
      <c r="NG159"/>
      <c r="NH159"/>
      <c r="NI159"/>
      <c r="NJ159"/>
      <c r="NK159"/>
      <c r="NL159"/>
      <c r="NM159"/>
      <c r="NN159"/>
      <c r="NO159"/>
      <c r="NP159"/>
      <c r="NQ159"/>
      <c r="NR159"/>
      <c r="NS159"/>
      <c r="NT159"/>
      <c r="NU159"/>
      <c r="NV159"/>
      <c r="NW159"/>
      <c r="NX159"/>
      <c r="NY159"/>
      <c r="NZ159"/>
      <c r="OA159"/>
      <c r="OB159"/>
      <c r="OC159"/>
      <c r="OD159"/>
      <c r="OE159"/>
      <c r="OF159"/>
      <c r="OG159"/>
      <c r="OH159"/>
      <c r="OI159"/>
      <c r="OJ159"/>
      <c r="OK159"/>
      <c r="OL159"/>
      <c r="OM159"/>
      <c r="ON159"/>
      <c r="OO159"/>
      <c r="OP159"/>
      <c r="OQ159"/>
      <c r="OR159"/>
      <c r="OS159"/>
      <c r="OT159"/>
      <c r="OU159"/>
      <c r="OV159"/>
      <c r="OW159"/>
      <c r="OX159"/>
      <c r="OY159"/>
      <c r="OZ159"/>
      <c r="PA159"/>
      <c r="PB159"/>
      <c r="PC159"/>
      <c r="PD159"/>
      <c r="PE159"/>
      <c r="PF159"/>
      <c r="PG159"/>
      <c r="PH159"/>
      <c r="PI159"/>
      <c r="PJ159"/>
      <c r="PK159"/>
      <c r="PL159"/>
      <c r="PM159"/>
      <c r="PN159"/>
      <c r="PO159"/>
      <c r="PP159"/>
      <c r="PQ159"/>
      <c r="PR159"/>
      <c r="PS159"/>
      <c r="PT159"/>
      <c r="PU159"/>
      <c r="PV159"/>
      <c r="PW159"/>
      <c r="PX159"/>
      <c r="PY159"/>
      <c r="PZ159"/>
      <c r="QA159"/>
      <c r="QB159"/>
      <c r="QC159"/>
      <c r="QD159"/>
      <c r="QE159"/>
      <c r="QF159"/>
      <c r="QG159"/>
      <c r="QH159"/>
      <c r="QI159"/>
      <c r="QJ159"/>
      <c r="QK159"/>
      <c r="QL159"/>
      <c r="QM159"/>
      <c r="QN159"/>
      <c r="QO159"/>
      <c r="QP159"/>
      <c r="QQ159"/>
      <c r="QR159"/>
      <c r="QS159"/>
      <c r="QT159"/>
      <c r="QU159"/>
      <c r="QV159"/>
      <c r="QW159"/>
      <c r="QX159"/>
      <c r="QY159"/>
      <c r="QZ159"/>
      <c r="RA159"/>
      <c r="RB159"/>
      <c r="RC159"/>
      <c r="RD159"/>
      <c r="RE159"/>
      <c r="RF159"/>
      <c r="RG159"/>
      <c r="RH159"/>
      <c r="RI159"/>
      <c r="RJ159"/>
      <c r="RK159"/>
      <c r="RL159"/>
      <c r="RM159"/>
      <c r="RN159"/>
      <c r="RO159"/>
      <c r="RP159"/>
      <c r="RQ159"/>
      <c r="RR159"/>
      <c r="RS159"/>
      <c r="RT159"/>
      <c r="RU159"/>
      <c r="RV159"/>
      <c r="RW159"/>
      <c r="RX159"/>
      <c r="RY159"/>
      <c r="RZ159"/>
      <c r="SA159"/>
      <c r="SB159"/>
      <c r="SC159"/>
      <c r="SD159"/>
      <c r="SE159"/>
      <c r="SF159"/>
      <c r="SG159"/>
      <c r="SH159"/>
      <c r="SI159"/>
      <c r="SJ159"/>
      <c r="SK159"/>
      <c r="SL159"/>
      <c r="SM159"/>
      <c r="SN159"/>
      <c r="SO159"/>
      <c r="SP159"/>
      <c r="SQ159"/>
      <c r="SR159"/>
      <c r="SS159"/>
      <c r="ST159"/>
      <c r="SU159"/>
      <c r="SV159"/>
      <c r="SW159"/>
      <c r="SX159"/>
      <c r="SY159"/>
      <c r="SZ159"/>
      <c r="TA159"/>
      <c r="TB159"/>
      <c r="TC159"/>
      <c r="TD159"/>
      <c r="TE159"/>
      <c r="TF159"/>
      <c r="TG159"/>
      <c r="TH159"/>
      <c r="TI159"/>
      <c r="TJ159"/>
      <c r="TK159"/>
      <c r="TL159"/>
      <c r="TM159"/>
      <c r="TN159"/>
      <c r="TO159"/>
      <c r="TP159"/>
      <c r="TQ159"/>
      <c r="TR159"/>
      <c r="TS159"/>
      <c r="TT159"/>
      <c r="TU159"/>
      <c r="TV159"/>
      <c r="TW159"/>
      <c r="TX159"/>
      <c r="TY159"/>
      <c r="TZ159"/>
      <c r="UA159"/>
      <c r="UB159"/>
      <c r="UC159"/>
      <c r="UD159"/>
      <c r="UE159"/>
      <c r="UF159"/>
      <c r="UG159"/>
      <c r="UH159"/>
      <c r="UI159"/>
      <c r="UJ159"/>
      <c r="UK159"/>
      <c r="UL159"/>
      <c r="UM159"/>
      <c r="UN159"/>
      <c r="UO159"/>
      <c r="UP159"/>
      <c r="UQ159"/>
      <c r="UR159"/>
      <c r="US159"/>
      <c r="UT159"/>
      <c r="UU159"/>
      <c r="UV159"/>
      <c r="UW159"/>
      <c r="UX159"/>
      <c r="UY159"/>
      <c r="UZ159"/>
      <c r="VA159"/>
      <c r="VB159"/>
      <c r="VC159"/>
      <c r="VD159"/>
      <c r="VE159"/>
      <c r="VF159"/>
      <c r="VG159"/>
      <c r="VH159"/>
      <c r="VI159"/>
      <c r="VJ159"/>
      <c r="VK159"/>
      <c r="VL159"/>
      <c r="VM159"/>
      <c r="VN159"/>
      <c r="VO159"/>
      <c r="VP159"/>
      <c r="VQ159"/>
      <c r="VR159"/>
      <c r="VS159"/>
      <c r="VT159"/>
      <c r="VU159"/>
      <c r="VV159"/>
      <c r="VW159"/>
      <c r="VX159"/>
      <c r="VY159"/>
      <c r="VZ159"/>
      <c r="WA159"/>
      <c r="WB159"/>
      <c r="WC159"/>
      <c r="WD159"/>
      <c r="WE159"/>
      <c r="WF159"/>
      <c r="WG159"/>
      <c r="WH159"/>
      <c r="WI159"/>
      <c r="WJ159"/>
      <c r="WK159"/>
      <c r="WL159"/>
      <c r="WM159"/>
      <c r="WN159"/>
      <c r="WO159"/>
      <c r="WP159"/>
      <c r="WQ159"/>
      <c r="WR159"/>
      <c r="WS159"/>
      <c r="WT159"/>
      <c r="WU159"/>
      <c r="WV159"/>
      <c r="WW159"/>
      <c r="WX159"/>
      <c r="WY159"/>
      <c r="WZ159"/>
      <c r="XA159"/>
      <c r="XB159"/>
      <c r="XC159"/>
      <c r="XD159"/>
      <c r="XE159"/>
      <c r="XF159"/>
      <c r="XG159"/>
      <c r="XH159"/>
      <c r="XI159"/>
      <c r="XJ159"/>
      <c r="XK159"/>
      <c r="XL159"/>
      <c r="XM159"/>
      <c r="XN159"/>
      <c r="XO159"/>
      <c r="XP159"/>
      <c r="XQ159"/>
      <c r="XR159"/>
      <c r="XS159"/>
      <c r="XT159"/>
      <c r="XU159"/>
      <c r="XV159"/>
      <c r="XW159"/>
      <c r="XX159"/>
      <c r="XY159"/>
      <c r="XZ159"/>
      <c r="YA159"/>
      <c r="YB159"/>
      <c r="YC159"/>
      <c r="YD159"/>
      <c r="YE159"/>
      <c r="YF159"/>
      <c r="YG159"/>
      <c r="YH159"/>
      <c r="YI159"/>
      <c r="YJ159"/>
      <c r="YK159"/>
      <c r="YL159"/>
      <c r="YM159"/>
      <c r="YN159"/>
      <c r="YO159"/>
      <c r="YP159"/>
      <c r="YQ159"/>
      <c r="YR159"/>
      <c r="YS159"/>
      <c r="YT159"/>
      <c r="YU159"/>
      <c r="YV159"/>
      <c r="YW159"/>
      <c r="YX159"/>
      <c r="YY159"/>
      <c r="YZ159"/>
      <c r="ZA159"/>
      <c r="ZB159"/>
      <c r="ZC159"/>
      <c r="ZD159"/>
      <c r="ZE159"/>
      <c r="ZF159"/>
      <c r="ZG159"/>
      <c r="ZH159"/>
      <c r="ZI159"/>
      <c r="ZJ159"/>
      <c r="ZK159"/>
      <c r="ZL159"/>
      <c r="ZM159"/>
      <c r="ZN159"/>
      <c r="ZO159"/>
      <c r="ZP159"/>
      <c r="ZQ159"/>
      <c r="ZR159"/>
      <c r="ZS159"/>
      <c r="ZT159"/>
      <c r="ZU159"/>
      <c r="ZV159"/>
      <c r="ZW159"/>
      <c r="ZX159"/>
      <c r="ZY159"/>
      <c r="ZZ159"/>
      <c r="AAA159"/>
      <c r="AAB159"/>
      <c r="AAC159"/>
      <c r="AAD159"/>
      <c r="AAE159"/>
      <c r="AAF159"/>
      <c r="AAG159"/>
      <c r="AAH159"/>
      <c r="AAI159"/>
      <c r="AAJ159"/>
      <c r="AAK159"/>
      <c r="AAL159"/>
      <c r="AAM159"/>
      <c r="AAN159"/>
      <c r="AAO159"/>
      <c r="AAP159"/>
      <c r="AAQ159"/>
      <c r="AAR159"/>
      <c r="AAS159"/>
      <c r="AAT159"/>
      <c r="AAU159"/>
      <c r="AAV159"/>
      <c r="AAW159"/>
      <c r="AAX159"/>
      <c r="AAY159"/>
      <c r="AAZ159"/>
      <c r="ABA159"/>
      <c r="ABB159"/>
      <c r="ABC159"/>
      <c r="ABD159"/>
      <c r="ABE159"/>
      <c r="ABF159"/>
      <c r="ABG159"/>
      <c r="ABH159"/>
      <c r="ABI159"/>
      <c r="ABJ159"/>
      <c r="ABK159"/>
      <c r="ABL159"/>
      <c r="ABM159"/>
      <c r="ABN159"/>
      <c r="ABO159"/>
      <c r="ABP159"/>
      <c r="ABQ159"/>
      <c r="ABR159"/>
      <c r="ABS159"/>
      <c r="ABT159"/>
      <c r="ABU159"/>
      <c r="ABV159"/>
      <c r="ABW159"/>
      <c r="ABX159"/>
      <c r="ABY159"/>
      <c r="ABZ159"/>
      <c r="ACA159"/>
      <c r="ACB159"/>
      <c r="ACC159"/>
      <c r="ACD159"/>
      <c r="ACE159"/>
      <c r="ACF159"/>
      <c r="ACG159"/>
      <c r="ACH159"/>
      <c r="ACI159"/>
      <c r="ACJ159"/>
      <c r="ACK159"/>
      <c r="ACL159"/>
      <c r="ACM159"/>
      <c r="ACN159"/>
      <c r="ACO159"/>
      <c r="ACP159"/>
      <c r="ACQ159"/>
      <c r="ACR159"/>
      <c r="ACS159"/>
      <c r="ACT159"/>
      <c r="ACU159"/>
      <c r="ACV159"/>
      <c r="ACW159"/>
      <c r="ACX159"/>
      <c r="ACY159"/>
      <c r="ACZ159"/>
      <c r="ADA159"/>
      <c r="ADB159"/>
      <c r="ADC159"/>
      <c r="ADD159"/>
      <c r="ADE159"/>
      <c r="ADF159"/>
      <c r="ADG159"/>
      <c r="ADH159"/>
      <c r="ADI159"/>
      <c r="ADJ159"/>
      <c r="ADK159"/>
      <c r="ADL159"/>
      <c r="ADM159"/>
      <c r="ADN159"/>
      <c r="ADO159"/>
      <c r="ADP159"/>
      <c r="ADQ159"/>
      <c r="ADR159"/>
      <c r="ADS159"/>
      <c r="ADT159"/>
      <c r="ADU159"/>
      <c r="ADV159"/>
      <c r="ADW159"/>
      <c r="ADX159"/>
      <c r="ADY159"/>
      <c r="ADZ159"/>
      <c r="AEA159"/>
      <c r="AEB159"/>
      <c r="AEC159"/>
      <c r="AED159"/>
      <c r="AEE159"/>
      <c r="AEF159"/>
      <c r="AEG159"/>
      <c r="AEH159"/>
      <c r="AEI159"/>
      <c r="AEJ159"/>
      <c r="AEK159"/>
      <c r="AEL159"/>
      <c r="AEM159"/>
      <c r="AEN159"/>
      <c r="AEO159"/>
      <c r="AEP159"/>
      <c r="AEQ159"/>
      <c r="AER159"/>
      <c r="AES159"/>
      <c r="AET159"/>
      <c r="AEU159"/>
      <c r="AEV159"/>
      <c r="AEW159"/>
      <c r="AEX159"/>
      <c r="AEY159"/>
      <c r="AEZ159"/>
      <c r="AFA159"/>
      <c r="AFB159"/>
      <c r="AFC159"/>
      <c r="AFD159"/>
      <c r="AFE159"/>
      <c r="AFF159"/>
      <c r="AFG159"/>
      <c r="AFH159"/>
      <c r="AFI159"/>
      <c r="AFJ159"/>
      <c r="AFK159"/>
      <c r="AFL159"/>
      <c r="AFM159"/>
      <c r="AFN159"/>
      <c r="AFO159"/>
      <c r="AFP159"/>
      <c r="AFQ159"/>
      <c r="AFR159"/>
      <c r="AFS159"/>
      <c r="AFT159"/>
      <c r="AFU159"/>
      <c r="AFV159"/>
      <c r="AFW159"/>
      <c r="AFX159"/>
      <c r="AFY159"/>
      <c r="AFZ159"/>
      <c r="AGA159"/>
      <c r="AGB159"/>
      <c r="AGC159"/>
      <c r="AGD159"/>
      <c r="AGE159"/>
      <c r="AGF159"/>
      <c r="AGG159"/>
      <c r="AGH159"/>
      <c r="AGI159"/>
      <c r="AGJ159"/>
      <c r="AGK159"/>
      <c r="AGL159"/>
      <c r="AGM159"/>
      <c r="AGN159"/>
      <c r="AGO159"/>
      <c r="AGP159"/>
      <c r="AGQ159"/>
      <c r="AGR159"/>
      <c r="AGS159"/>
      <c r="AGT159"/>
      <c r="AGU159"/>
      <c r="AGV159"/>
      <c r="AGW159"/>
      <c r="AGX159"/>
      <c r="AGY159"/>
      <c r="AGZ159"/>
      <c r="AHA159"/>
      <c r="AHB159"/>
      <c r="AHC159"/>
      <c r="AHD159"/>
      <c r="AHE159"/>
      <c r="AHF159"/>
      <c r="AHG159"/>
      <c r="AHH159"/>
      <c r="AHI159"/>
      <c r="AHJ159"/>
      <c r="AHK159"/>
      <c r="AHL159"/>
      <c r="AHM159"/>
      <c r="AHN159"/>
      <c r="AHO159"/>
      <c r="AHP159"/>
      <c r="AHQ159"/>
      <c r="AHR159"/>
      <c r="AHS159"/>
      <c r="AHT159"/>
      <c r="AHU159"/>
      <c r="AHV159"/>
      <c r="AHW159"/>
      <c r="AHX159"/>
      <c r="AHY159"/>
      <c r="AHZ159"/>
      <c r="AIA159"/>
      <c r="AIB159"/>
      <c r="AIC159"/>
      <c r="AID159"/>
      <c r="AIE159"/>
      <c r="AIF159"/>
      <c r="AIG159"/>
      <c r="AIH159"/>
      <c r="AII159"/>
      <c r="AIJ159"/>
      <c r="AIK159"/>
      <c r="AIL159"/>
      <c r="AIM159"/>
      <c r="AIN159"/>
      <c r="AIO159"/>
      <c r="AIP159"/>
      <c r="AIQ159"/>
      <c r="AIR159"/>
      <c r="AIS159"/>
      <c r="AIT159"/>
      <c r="AIU159"/>
      <c r="AIV159"/>
      <c r="AIW159"/>
      <c r="AIX159"/>
      <c r="AIY159"/>
      <c r="AIZ159"/>
      <c r="AJA159"/>
      <c r="AJB159"/>
      <c r="AJC159"/>
      <c r="AJD159"/>
      <c r="AJE159"/>
      <c r="AJF159"/>
      <c r="AJG159"/>
      <c r="AJH159"/>
      <c r="AJI159"/>
      <c r="AJJ159"/>
      <c r="AJK159"/>
      <c r="AJL159"/>
      <c r="AJM159"/>
      <c r="AJN159"/>
      <c r="AJO159"/>
      <c r="AJP159"/>
      <c r="AJQ159"/>
      <c r="AJR159"/>
      <c r="AJS159"/>
      <c r="AJT159"/>
      <c r="AJU159"/>
      <c r="AJV159"/>
      <c r="AJW159"/>
      <c r="AJX159"/>
      <c r="AJY159"/>
      <c r="AJZ159"/>
      <c r="AKA159"/>
      <c r="AKB159"/>
      <c r="AKC159"/>
      <c r="AKD159"/>
      <c r="AKE159"/>
      <c r="AKF159"/>
      <c r="AKG159"/>
      <c r="AKH159"/>
      <c r="AKI159"/>
      <c r="AKJ159"/>
      <c r="AKK159"/>
      <c r="AKL159"/>
      <c r="AKM159"/>
      <c r="AKN159"/>
      <c r="AKO159"/>
      <c r="AKP159"/>
      <c r="AKQ159"/>
      <c r="AKR159"/>
      <c r="AKS159"/>
      <c r="AKT159"/>
      <c r="AKU159"/>
      <c r="AKV159"/>
      <c r="AKW159"/>
      <c r="AKX159"/>
      <c r="AKY159"/>
      <c r="AKZ159"/>
      <c r="ALA159"/>
      <c r="ALB159"/>
      <c r="ALC159"/>
      <c r="ALD159"/>
      <c r="ALE159"/>
      <c r="ALF159"/>
      <c r="ALG159"/>
      <c r="ALH159"/>
      <c r="ALI159"/>
      <c r="ALJ159"/>
      <c r="ALK159"/>
      <c r="ALL159"/>
      <c r="ALM159"/>
      <c r="ALN159"/>
      <c r="ALO159"/>
      <c r="ALP159"/>
      <c r="ALQ159"/>
      <c r="ALR159"/>
      <c r="ALS159"/>
      <c r="ALT159"/>
      <c r="ALU159"/>
      <c r="ALV159"/>
      <c r="ALW159"/>
      <c r="ALX159"/>
      <c r="ALY159"/>
      <c r="ALZ159"/>
      <c r="AMA159"/>
      <c r="AMB159"/>
      <c r="AMC159"/>
      <c r="AMD159"/>
      <c r="AME159"/>
      <c r="AMF159"/>
      <c r="AMG159"/>
      <c r="AMH159"/>
      <c r="AMI159"/>
      <c r="AMJ159"/>
      <c r="AMK159"/>
      <c r="AML159"/>
      <c r="AMM159"/>
      <c r="AMN159"/>
      <c r="AMO159"/>
      <c r="AMP159"/>
      <c r="AMQ159"/>
      <c r="AMR159"/>
      <c r="AMS159"/>
      <c r="AMT159"/>
      <c r="AMU159"/>
      <c r="AMV159"/>
      <c r="AMW159"/>
      <c r="AMX159"/>
      <c r="AMY159"/>
      <c r="AMZ159"/>
      <c r="ANA159"/>
      <c r="ANB159"/>
      <c r="ANC159"/>
      <c r="AND159"/>
      <c r="ANE159"/>
      <c r="ANF159"/>
      <c r="ANG159"/>
      <c r="ANH159"/>
      <c r="ANI159"/>
      <c r="ANJ159"/>
      <c r="ANK159"/>
      <c r="ANL159"/>
      <c r="ANM159"/>
      <c r="ANN159"/>
      <c r="ANO159"/>
      <c r="ANP159"/>
      <c r="ANQ159"/>
      <c r="ANR159"/>
      <c r="ANS159"/>
      <c r="ANT159"/>
      <c r="ANU159"/>
      <c r="ANV159"/>
      <c r="ANW159"/>
      <c r="ANX159"/>
      <c r="ANY159"/>
      <c r="ANZ159"/>
      <c r="AOA159"/>
      <c r="AOB159"/>
      <c r="AOC159"/>
      <c r="AOD159"/>
      <c r="AOE159"/>
      <c r="AOF159"/>
      <c r="AOG159"/>
      <c r="AOH159"/>
      <c r="AOI159"/>
      <c r="AOJ159"/>
      <c r="AOK159"/>
      <c r="AOL159"/>
      <c r="AOM159"/>
      <c r="AON159"/>
      <c r="AOO159"/>
      <c r="AOP159"/>
      <c r="AOQ159"/>
      <c r="AOR159"/>
      <c r="AOS159"/>
      <c r="AOT159"/>
      <c r="AOU159"/>
      <c r="AOV159"/>
      <c r="AOW159"/>
      <c r="AOX159"/>
      <c r="AOY159"/>
      <c r="AOZ159"/>
      <c r="APA159"/>
      <c r="APB159"/>
      <c r="APC159"/>
      <c r="APD159"/>
      <c r="APE159"/>
      <c r="APF159"/>
      <c r="APG159"/>
      <c r="APH159"/>
      <c r="API159"/>
      <c r="APJ159"/>
      <c r="APK159"/>
      <c r="APL159"/>
      <c r="APM159"/>
      <c r="APN159"/>
      <c r="APO159"/>
      <c r="APP159"/>
      <c r="APQ159"/>
      <c r="APR159"/>
      <c r="APS159"/>
      <c r="APT159"/>
      <c r="APU159"/>
      <c r="APV159"/>
      <c r="APW159"/>
      <c r="APX159"/>
      <c r="APY159"/>
      <c r="APZ159"/>
      <c r="AQA159"/>
      <c r="AQB159"/>
      <c r="AQC159"/>
      <c r="AQD159"/>
      <c r="AQE159"/>
      <c r="AQF159"/>
      <c r="AQG159"/>
      <c r="AQH159"/>
      <c r="AQI159"/>
      <c r="AQJ159"/>
      <c r="AQK159"/>
      <c r="AQL159"/>
      <c r="AQM159"/>
      <c r="AQN159"/>
      <c r="AQO159"/>
      <c r="AQP159"/>
      <c r="AQQ159"/>
      <c r="AQR159"/>
      <c r="AQS159"/>
      <c r="AQT159"/>
      <c r="AQU159"/>
      <c r="AQV159"/>
      <c r="AQW159"/>
      <c r="AQX159"/>
      <c r="AQY159"/>
      <c r="AQZ159"/>
      <c r="ARA159"/>
      <c r="ARB159"/>
      <c r="ARC159"/>
      <c r="ARD159"/>
      <c r="ARE159"/>
      <c r="ARF159"/>
      <c r="ARG159"/>
      <c r="ARH159"/>
      <c r="ARI159"/>
      <c r="ARJ159"/>
      <c r="ARK159"/>
      <c r="ARL159"/>
      <c r="ARM159"/>
      <c r="ARN159"/>
      <c r="ARO159"/>
      <c r="ARP159"/>
      <c r="ARQ159"/>
      <c r="ARR159"/>
      <c r="ARS159"/>
      <c r="ART159"/>
      <c r="ARU159"/>
      <c r="ARV159"/>
      <c r="ARW159"/>
      <c r="ARX159"/>
      <c r="ARY159"/>
      <c r="ARZ159"/>
      <c r="ASA159"/>
      <c r="ASB159"/>
      <c r="ASC159"/>
      <c r="ASD159"/>
      <c r="ASE159"/>
      <c r="ASF159"/>
      <c r="ASG159"/>
      <c r="ASH159"/>
      <c r="ASI159"/>
      <c r="ASJ159"/>
      <c r="ASK159"/>
      <c r="ASL159"/>
      <c r="ASM159"/>
      <c r="ASN159"/>
      <c r="ASO159"/>
      <c r="ASP159"/>
      <c r="ASQ159"/>
      <c r="ASR159"/>
      <c r="ASS159"/>
      <c r="AST159"/>
      <c r="ASU159"/>
      <c r="ASV159"/>
      <c r="ASW159"/>
      <c r="ASX159"/>
      <c r="ASY159"/>
      <c r="ASZ159"/>
      <c r="ATA159"/>
      <c r="ATB159"/>
      <c r="ATC159"/>
      <c r="ATD159"/>
      <c r="ATE159"/>
      <c r="ATF159"/>
      <c r="ATG159"/>
      <c r="ATH159"/>
      <c r="ATI159"/>
      <c r="ATJ159"/>
      <c r="ATK159"/>
      <c r="ATL159"/>
      <c r="ATM159"/>
      <c r="ATN159"/>
      <c r="ATO159"/>
      <c r="ATP159"/>
      <c r="ATQ159"/>
      <c r="ATR159"/>
      <c r="ATS159"/>
      <c r="ATT159"/>
      <c r="ATU159"/>
      <c r="ATV159"/>
      <c r="ATW159"/>
      <c r="ATX159"/>
      <c r="ATY159"/>
      <c r="ATZ159"/>
      <c r="AUA159"/>
      <c r="AUB159"/>
      <c r="AUC159"/>
      <c r="AUD159"/>
      <c r="AUE159"/>
      <c r="AUF159"/>
      <c r="AUG159"/>
      <c r="AUH159"/>
      <c r="AUI159"/>
      <c r="AUJ159"/>
      <c r="AUK159"/>
      <c r="AUL159"/>
      <c r="AUM159"/>
      <c r="AUN159"/>
      <c r="AUO159"/>
      <c r="AUP159"/>
      <c r="AUQ159"/>
      <c r="AUR159"/>
      <c r="AUS159"/>
      <c r="AUT159"/>
      <c r="AUU159"/>
      <c r="AUV159"/>
      <c r="AUW159"/>
      <c r="AUX159"/>
      <c r="AUY159"/>
      <c r="AUZ159"/>
      <c r="AVA159"/>
      <c r="AVB159"/>
      <c r="AVC159"/>
      <c r="AVD159"/>
      <c r="AVE159"/>
      <c r="AVF159"/>
      <c r="AVG159"/>
      <c r="AVH159"/>
      <c r="AVI159"/>
      <c r="AVJ159"/>
      <c r="AVK159"/>
      <c r="AVL159"/>
      <c r="AVM159"/>
      <c r="AVN159"/>
      <c r="AVO159"/>
      <c r="AVP159"/>
      <c r="AVQ159"/>
      <c r="AVR159"/>
      <c r="AVS159"/>
      <c r="AVT159"/>
      <c r="AVU159"/>
      <c r="AVV159"/>
      <c r="AVW159"/>
      <c r="AVX159"/>
      <c r="AVY159"/>
      <c r="AVZ159"/>
      <c r="AWA159"/>
      <c r="AWB159"/>
      <c r="AWC159"/>
      <c r="AWD159"/>
      <c r="AWE159"/>
      <c r="AWF159"/>
      <c r="AWG159"/>
      <c r="AWH159"/>
      <c r="AWI159"/>
      <c r="AWJ159"/>
      <c r="AWK159"/>
      <c r="AWL159"/>
      <c r="AWM159"/>
      <c r="AWN159"/>
      <c r="AWO159"/>
      <c r="AWP159"/>
      <c r="AWQ159"/>
      <c r="AWR159"/>
      <c r="AWS159"/>
      <c r="AWT159"/>
      <c r="AWU159"/>
      <c r="AWV159"/>
      <c r="AWW159"/>
      <c r="AWX159"/>
      <c r="AWY159"/>
      <c r="AWZ159"/>
      <c r="AXA159"/>
      <c r="AXB159"/>
      <c r="AXC159"/>
      <c r="AXD159"/>
      <c r="AXE159"/>
      <c r="AXF159"/>
      <c r="AXG159"/>
      <c r="AXH159"/>
      <c r="AXI159"/>
      <c r="AXJ159"/>
      <c r="AXK159"/>
      <c r="AXL159"/>
      <c r="AXM159"/>
      <c r="AXN159"/>
      <c r="AXO159"/>
      <c r="AXP159"/>
      <c r="AXQ159"/>
      <c r="AXR159"/>
      <c r="AXS159"/>
      <c r="AXT159"/>
      <c r="AXU159"/>
      <c r="AXV159"/>
      <c r="AXW159"/>
      <c r="AXX159"/>
      <c r="AXY159"/>
      <c r="AXZ159"/>
      <c r="AYA159"/>
      <c r="AYB159"/>
      <c r="AYC159"/>
      <c r="AYD159"/>
      <c r="AYE159"/>
      <c r="AYF159"/>
      <c r="AYG159"/>
      <c r="AYH159"/>
      <c r="AYI159"/>
      <c r="AYJ159"/>
      <c r="AYK159"/>
      <c r="AYL159"/>
      <c r="AYM159"/>
      <c r="AYN159"/>
      <c r="AYO159"/>
      <c r="AYP159"/>
      <c r="AYQ159"/>
      <c r="AYR159"/>
      <c r="AYS159"/>
      <c r="AYT159"/>
      <c r="AYU159"/>
      <c r="AYV159"/>
      <c r="AYW159"/>
      <c r="AYX159"/>
      <c r="AYY159"/>
      <c r="AYZ159"/>
      <c r="AZA159"/>
      <c r="AZB159"/>
      <c r="AZC159"/>
      <c r="AZD159"/>
      <c r="AZE159"/>
      <c r="AZF159"/>
      <c r="AZG159"/>
      <c r="AZH159"/>
      <c r="AZI159"/>
      <c r="AZJ159"/>
      <c r="AZK159"/>
      <c r="AZL159"/>
      <c r="AZM159"/>
      <c r="AZN159"/>
      <c r="AZO159"/>
      <c r="AZP159"/>
      <c r="AZQ159"/>
      <c r="AZR159"/>
      <c r="AZS159"/>
      <c r="AZT159"/>
      <c r="AZU159"/>
      <c r="AZV159"/>
      <c r="AZW159"/>
      <c r="AZX159"/>
      <c r="AZY159"/>
      <c r="AZZ159"/>
      <c r="BAA159"/>
      <c r="BAB159"/>
      <c r="BAC159"/>
      <c r="BAD159"/>
      <c r="BAE159"/>
      <c r="BAF159"/>
      <c r="BAG159"/>
      <c r="BAH159"/>
      <c r="BAI159"/>
      <c r="BAJ159"/>
      <c r="BAK159"/>
      <c r="BAL159"/>
      <c r="BAM159"/>
      <c r="BAN159"/>
      <c r="BAO159"/>
      <c r="BAP159"/>
      <c r="BAQ159"/>
      <c r="BAR159"/>
      <c r="BAS159"/>
      <c r="BAT159"/>
      <c r="BAU159"/>
      <c r="BAV159"/>
      <c r="BAW159"/>
      <c r="BAX159"/>
      <c r="BAY159"/>
      <c r="BAZ159"/>
      <c r="BBA159"/>
      <c r="BBB159"/>
      <c r="BBC159"/>
      <c r="BBD159"/>
      <c r="BBE159"/>
      <c r="BBF159"/>
      <c r="BBG159"/>
      <c r="BBH159"/>
      <c r="BBI159"/>
      <c r="BBJ159"/>
      <c r="BBK159"/>
      <c r="BBL159"/>
      <c r="BBM159"/>
      <c r="BBN159"/>
      <c r="BBO159"/>
      <c r="BBP159"/>
      <c r="BBQ159"/>
      <c r="BBR159"/>
      <c r="BBS159"/>
      <c r="BBT159"/>
      <c r="BBU159"/>
      <c r="BBV159"/>
      <c r="BBW159"/>
      <c r="BBX159"/>
      <c r="BBY159"/>
      <c r="BBZ159"/>
      <c r="BCA159"/>
      <c r="BCB159"/>
      <c r="BCC159"/>
      <c r="BCD159"/>
      <c r="BCE159"/>
      <c r="BCF159"/>
      <c r="BCG159"/>
      <c r="BCH159"/>
      <c r="BCI159"/>
      <c r="BCJ159"/>
      <c r="BCK159"/>
      <c r="BCL159"/>
      <c r="BCM159"/>
      <c r="BCN159"/>
      <c r="BCO159"/>
      <c r="BCP159"/>
      <c r="BCQ159"/>
      <c r="BCR159"/>
      <c r="BCS159"/>
      <c r="BCT159"/>
      <c r="BCU159"/>
      <c r="BCV159"/>
      <c r="BCW159"/>
      <c r="BCX159"/>
      <c r="BCY159"/>
      <c r="BCZ159"/>
      <c r="BDA159"/>
      <c r="BDB159"/>
      <c r="BDC159"/>
      <c r="BDD159"/>
      <c r="BDE159"/>
      <c r="BDF159"/>
      <c r="BDG159"/>
      <c r="BDH159"/>
      <c r="BDI159"/>
      <c r="BDJ159"/>
      <c r="BDK159"/>
      <c r="BDL159"/>
      <c r="BDM159"/>
      <c r="BDN159"/>
      <c r="BDO159"/>
      <c r="BDP159"/>
      <c r="BDQ159"/>
      <c r="BDR159"/>
      <c r="BDS159"/>
      <c r="BDT159"/>
      <c r="BDU159"/>
      <c r="BDV159"/>
      <c r="BDW159"/>
      <c r="BDX159"/>
      <c r="BDY159"/>
      <c r="BDZ159"/>
      <c r="BEA159"/>
      <c r="BEB159"/>
      <c r="BEC159"/>
      <c r="BED159"/>
      <c r="BEE159"/>
      <c r="BEF159"/>
      <c r="BEG159"/>
      <c r="BEH159"/>
      <c r="BEI159"/>
      <c r="BEJ159"/>
      <c r="BEK159"/>
      <c r="BEL159"/>
      <c r="BEM159"/>
      <c r="BEN159"/>
      <c r="BEO159"/>
      <c r="BEP159"/>
      <c r="BEQ159"/>
      <c r="BER159"/>
      <c r="BES159"/>
      <c r="BET159"/>
      <c r="BEU159"/>
      <c r="BEV159"/>
      <c r="BEW159"/>
      <c r="BEX159"/>
      <c r="BEY159"/>
      <c r="BEZ159"/>
      <c r="BFA159"/>
      <c r="BFB159"/>
      <c r="BFC159"/>
      <c r="BFD159"/>
      <c r="BFE159"/>
      <c r="BFF159"/>
      <c r="BFG159"/>
      <c r="BFH159"/>
      <c r="BFI159"/>
      <c r="BFJ159"/>
      <c r="BFK159"/>
      <c r="BFL159"/>
      <c r="BFM159"/>
      <c r="BFN159"/>
      <c r="BFO159"/>
      <c r="BFP159"/>
      <c r="BFQ159"/>
      <c r="BFR159"/>
      <c r="BFS159"/>
      <c r="BFT159"/>
      <c r="BFU159"/>
      <c r="BFV159"/>
      <c r="BFW159"/>
      <c r="BFX159"/>
      <c r="BFY159"/>
      <c r="BFZ159"/>
      <c r="BGA159"/>
      <c r="BGB159"/>
      <c r="BGC159"/>
      <c r="BGD159"/>
      <c r="BGE159"/>
      <c r="BGF159"/>
      <c r="BGG159"/>
      <c r="BGH159"/>
      <c r="BGI159"/>
      <c r="BGJ159"/>
      <c r="BGK159"/>
      <c r="BGL159"/>
      <c r="BGM159"/>
      <c r="BGN159"/>
      <c r="BGO159"/>
      <c r="BGP159"/>
      <c r="BGQ159"/>
      <c r="BGR159"/>
      <c r="BGS159"/>
      <c r="BGT159"/>
      <c r="BGU159"/>
      <c r="BGV159"/>
      <c r="BGW159"/>
      <c r="BGX159"/>
      <c r="BGY159"/>
      <c r="BGZ159"/>
      <c r="BHA159"/>
      <c r="BHB159"/>
      <c r="BHC159"/>
      <c r="BHD159"/>
      <c r="BHE159"/>
      <c r="BHF159"/>
      <c r="BHG159"/>
      <c r="BHH159"/>
      <c r="BHI159"/>
      <c r="BHJ159"/>
      <c r="BHK159"/>
      <c r="BHL159"/>
      <c r="BHM159"/>
      <c r="BHN159"/>
      <c r="BHO159"/>
      <c r="BHP159"/>
      <c r="BHQ159"/>
      <c r="BHR159"/>
      <c r="BHS159"/>
      <c r="BHT159"/>
      <c r="BHU159"/>
      <c r="BHV159"/>
      <c r="BHW159"/>
      <c r="BHX159"/>
      <c r="BHY159"/>
      <c r="BHZ159"/>
      <c r="BIA159"/>
      <c r="BIB159"/>
      <c r="BIC159"/>
      <c r="BID159"/>
      <c r="BIE159"/>
      <c r="BIF159"/>
      <c r="BIG159"/>
      <c r="BIH159"/>
      <c r="BII159"/>
      <c r="BIJ159"/>
      <c r="BIK159"/>
      <c r="BIL159"/>
      <c r="BIM159"/>
      <c r="BIN159"/>
      <c r="BIO159"/>
      <c r="BIP159"/>
      <c r="BIQ159"/>
      <c r="BIR159"/>
      <c r="BIS159"/>
      <c r="BIT159"/>
      <c r="BIU159"/>
      <c r="BIV159"/>
      <c r="BIW159"/>
      <c r="BIX159"/>
      <c r="BIY159"/>
      <c r="BIZ159"/>
      <c r="BJA159"/>
      <c r="BJB159"/>
      <c r="BJC159"/>
      <c r="BJD159"/>
      <c r="BJE159"/>
      <c r="BJF159"/>
      <c r="BJG159"/>
      <c r="BJH159"/>
      <c r="BJI159"/>
      <c r="BJJ159"/>
      <c r="BJK159"/>
      <c r="BJL159"/>
      <c r="BJM159"/>
      <c r="BJN159"/>
      <c r="BJO159"/>
      <c r="BJP159"/>
      <c r="BJQ159"/>
      <c r="BJR159"/>
      <c r="BJS159"/>
      <c r="BJT159"/>
      <c r="BJU159"/>
      <c r="BJV159"/>
      <c r="BJW159"/>
      <c r="BJX159"/>
      <c r="BJY159"/>
      <c r="BJZ159"/>
      <c r="BKA159"/>
      <c r="BKB159"/>
      <c r="BKC159"/>
      <c r="BKD159"/>
      <c r="BKE159"/>
      <c r="BKF159"/>
      <c r="BKG159"/>
      <c r="BKH159"/>
      <c r="BKI159"/>
      <c r="BKJ159"/>
      <c r="BKK159"/>
      <c r="BKL159"/>
      <c r="BKM159"/>
      <c r="BKN159"/>
      <c r="BKO159"/>
      <c r="BKP159"/>
      <c r="BKQ159"/>
      <c r="BKR159"/>
      <c r="BKS159"/>
      <c r="BKT159"/>
      <c r="BKU159"/>
      <c r="BKV159"/>
      <c r="BKW159"/>
      <c r="BKX159"/>
      <c r="BKY159"/>
      <c r="BKZ159"/>
      <c r="BLA159"/>
      <c r="BLB159"/>
      <c r="BLC159"/>
      <c r="BLD159"/>
      <c r="BLE159"/>
      <c r="BLF159"/>
      <c r="BLG159"/>
      <c r="BLH159"/>
      <c r="BLI159"/>
      <c r="BLJ159"/>
      <c r="BLK159"/>
      <c r="BLL159"/>
      <c r="BLM159"/>
      <c r="BLN159"/>
      <c r="BLO159"/>
      <c r="BLP159"/>
      <c r="BLQ159"/>
      <c r="BLR159"/>
      <c r="BLS159"/>
      <c r="BLT159"/>
      <c r="BLU159"/>
      <c r="BLV159"/>
      <c r="BLW159"/>
      <c r="BLX159"/>
      <c r="BLY159"/>
      <c r="BLZ159"/>
      <c r="BMA159"/>
      <c r="BMB159"/>
      <c r="BMC159"/>
      <c r="BMD159"/>
      <c r="BME159"/>
      <c r="BMF159"/>
      <c r="BMG159"/>
      <c r="BMH159"/>
      <c r="BMI159"/>
      <c r="BMJ159"/>
      <c r="BMK159"/>
      <c r="BML159"/>
      <c r="BMM159"/>
      <c r="BMN159"/>
      <c r="BMO159"/>
      <c r="BMP159"/>
      <c r="BMQ159"/>
      <c r="BMR159"/>
      <c r="BMS159"/>
      <c r="BMT159"/>
      <c r="BMU159"/>
      <c r="BMV159"/>
      <c r="BMW159"/>
      <c r="BMX159"/>
      <c r="BMY159"/>
      <c r="BMZ159"/>
      <c r="BNA159"/>
      <c r="BNB159"/>
      <c r="BNC159"/>
      <c r="BND159"/>
      <c r="BNE159"/>
      <c r="BNF159"/>
      <c r="BNG159"/>
      <c r="BNH159"/>
      <c r="BNI159"/>
      <c r="BNJ159"/>
      <c r="BNK159"/>
      <c r="BNL159"/>
      <c r="BNM159"/>
      <c r="BNN159"/>
      <c r="BNO159"/>
      <c r="BNP159"/>
      <c r="BNQ159"/>
      <c r="BNR159"/>
      <c r="BNS159"/>
      <c r="BNT159"/>
      <c r="BNU159"/>
      <c r="BNV159"/>
      <c r="BNW159"/>
      <c r="BNX159"/>
      <c r="BNY159"/>
      <c r="BNZ159"/>
      <c r="BOA159"/>
      <c r="BOB159"/>
      <c r="BOC159"/>
      <c r="BOD159"/>
      <c r="BOE159"/>
      <c r="BOF159"/>
      <c r="BOG159"/>
      <c r="BOH159"/>
      <c r="BOI159"/>
      <c r="BOJ159"/>
      <c r="BOK159"/>
      <c r="BOL159"/>
      <c r="BOM159"/>
      <c r="BON159"/>
      <c r="BOO159"/>
      <c r="BOP159"/>
      <c r="BOQ159"/>
      <c r="BOR159"/>
      <c r="BOS159"/>
      <c r="BOT159"/>
      <c r="BOU159"/>
      <c r="BOV159"/>
      <c r="BOW159"/>
      <c r="BOX159"/>
      <c r="BOY159"/>
      <c r="BOZ159"/>
      <c r="BPA159"/>
      <c r="BPB159"/>
      <c r="BPC159"/>
      <c r="BPD159"/>
      <c r="BPE159"/>
      <c r="BPF159"/>
      <c r="BPG159"/>
      <c r="BPH159"/>
      <c r="BPI159"/>
      <c r="BPJ159"/>
      <c r="BPK159"/>
      <c r="BPL159"/>
      <c r="BPM159"/>
      <c r="BPN159"/>
      <c r="BPO159"/>
      <c r="BPP159"/>
      <c r="BPQ159"/>
      <c r="BPR159"/>
      <c r="BPS159"/>
      <c r="BPT159"/>
      <c r="BPU159"/>
      <c r="BPV159"/>
      <c r="BPW159"/>
      <c r="BPX159"/>
      <c r="BPY159"/>
      <c r="BPZ159"/>
      <c r="BQA159"/>
      <c r="BQB159"/>
      <c r="BQC159"/>
      <c r="BQD159"/>
      <c r="BQE159"/>
      <c r="BQF159"/>
      <c r="BQG159"/>
      <c r="BQH159"/>
      <c r="BQI159"/>
      <c r="BQJ159"/>
      <c r="BQK159"/>
      <c r="BQL159"/>
      <c r="BQM159"/>
      <c r="BQN159"/>
      <c r="BQO159"/>
      <c r="BQP159"/>
      <c r="BQQ159"/>
      <c r="BQR159"/>
      <c r="BQS159"/>
      <c r="BQT159"/>
      <c r="BQU159"/>
      <c r="BQV159"/>
      <c r="BQW159"/>
      <c r="BQX159"/>
      <c r="BQY159"/>
      <c r="BQZ159"/>
      <c r="BRA159"/>
      <c r="BRB159"/>
      <c r="BRC159"/>
      <c r="BRD159"/>
      <c r="BRE159"/>
      <c r="BRF159"/>
      <c r="BRG159"/>
      <c r="BRH159"/>
      <c r="BRI159"/>
      <c r="BRJ159"/>
      <c r="BRK159"/>
      <c r="BRL159"/>
      <c r="BRM159"/>
      <c r="BRN159"/>
      <c r="BRO159"/>
      <c r="BRP159"/>
      <c r="BRQ159"/>
      <c r="BRR159"/>
      <c r="BRS159"/>
      <c r="BRT159"/>
      <c r="BRU159"/>
      <c r="BRV159"/>
      <c r="BRW159"/>
      <c r="BRX159"/>
      <c r="BRY159"/>
      <c r="BRZ159"/>
      <c r="BSA159"/>
      <c r="BSB159"/>
      <c r="BSC159"/>
      <c r="BSD159"/>
      <c r="BSE159"/>
      <c r="BSF159"/>
      <c r="BSG159"/>
      <c r="BSH159"/>
      <c r="BSI159"/>
      <c r="BSJ159"/>
      <c r="BSK159"/>
      <c r="BSL159"/>
      <c r="BSM159"/>
      <c r="BSN159"/>
      <c r="BSO159"/>
      <c r="BSP159"/>
      <c r="BSQ159"/>
      <c r="BSR159"/>
      <c r="BSS159"/>
      <c r="BST159"/>
      <c r="BSU159"/>
      <c r="BSV159"/>
      <c r="BSW159"/>
      <c r="BSX159"/>
      <c r="BSY159"/>
      <c r="BSZ159"/>
      <c r="BTA159"/>
      <c r="BTB159"/>
      <c r="BTC159"/>
      <c r="BTD159"/>
      <c r="BTE159"/>
      <c r="BTF159"/>
      <c r="BTG159"/>
      <c r="BTH159"/>
      <c r="BTI159"/>
      <c r="BTJ159"/>
      <c r="BTK159"/>
      <c r="BTL159"/>
      <c r="BTM159"/>
      <c r="BTN159"/>
      <c r="BTO159"/>
      <c r="BTP159"/>
      <c r="BTQ159"/>
      <c r="BTR159"/>
      <c r="BTS159"/>
      <c r="BTT159"/>
      <c r="BTU159"/>
      <c r="BTV159"/>
      <c r="BTW159"/>
      <c r="BTX159"/>
      <c r="BTY159"/>
      <c r="BTZ159"/>
      <c r="BUA159"/>
      <c r="BUB159"/>
      <c r="BUC159"/>
      <c r="BUD159"/>
      <c r="BUE159"/>
      <c r="BUF159"/>
      <c r="BUG159"/>
      <c r="BUH159"/>
      <c r="BUI159"/>
      <c r="BUJ159"/>
      <c r="BUK159"/>
      <c r="BUL159"/>
      <c r="BUM159"/>
      <c r="BUN159"/>
      <c r="BUO159"/>
      <c r="BUP159"/>
      <c r="BUQ159"/>
      <c r="BUR159"/>
      <c r="BUS159"/>
      <c r="BUT159"/>
      <c r="BUU159"/>
      <c r="BUV159"/>
      <c r="BUW159"/>
      <c r="BUX159"/>
      <c r="BUY159"/>
      <c r="BUZ159"/>
      <c r="BVA159"/>
      <c r="BVB159"/>
      <c r="BVC159"/>
      <c r="BVD159"/>
      <c r="BVE159"/>
      <c r="BVF159"/>
      <c r="BVG159"/>
      <c r="BVH159"/>
      <c r="BVI159"/>
      <c r="BVJ159"/>
      <c r="BVK159"/>
      <c r="BVL159"/>
      <c r="BVM159"/>
      <c r="BVN159"/>
      <c r="BVO159"/>
      <c r="BVP159"/>
      <c r="BVQ159"/>
      <c r="BVR159"/>
      <c r="BVS159"/>
      <c r="BVT159"/>
      <c r="BVU159"/>
      <c r="BVV159"/>
      <c r="BVW159"/>
      <c r="BVX159"/>
      <c r="BVY159"/>
      <c r="BVZ159"/>
      <c r="BWA159"/>
      <c r="BWB159"/>
      <c r="BWC159"/>
      <c r="BWD159"/>
      <c r="BWE159"/>
      <c r="BWF159"/>
      <c r="BWG159"/>
      <c r="BWH159"/>
      <c r="BWI159"/>
      <c r="BWJ159"/>
      <c r="BWK159"/>
      <c r="BWL159"/>
      <c r="BWM159"/>
      <c r="BWN159"/>
      <c r="BWO159"/>
      <c r="BWP159"/>
      <c r="BWQ159"/>
      <c r="BWR159"/>
      <c r="BWS159"/>
      <c r="BWT159"/>
      <c r="BWU159"/>
      <c r="BWV159"/>
      <c r="BWW159"/>
      <c r="BWX159"/>
      <c r="BWY159"/>
      <c r="BWZ159"/>
      <c r="BXA159"/>
      <c r="BXB159"/>
      <c r="BXC159"/>
      <c r="BXD159"/>
      <c r="BXE159"/>
      <c r="BXF159"/>
      <c r="BXG159"/>
      <c r="BXH159"/>
      <c r="BXI159"/>
      <c r="BXJ159"/>
      <c r="BXK159"/>
      <c r="BXL159"/>
      <c r="BXM159"/>
      <c r="BXN159"/>
      <c r="BXO159"/>
      <c r="BXP159"/>
      <c r="BXQ159"/>
      <c r="BXR159"/>
      <c r="BXS159"/>
      <c r="BXT159"/>
      <c r="BXU159"/>
      <c r="BXV159"/>
      <c r="BXW159"/>
      <c r="BXX159"/>
      <c r="BXY159"/>
      <c r="BXZ159"/>
      <c r="BYA159"/>
      <c r="BYB159"/>
      <c r="BYC159"/>
      <c r="BYD159"/>
      <c r="BYE159"/>
      <c r="BYF159"/>
      <c r="BYG159"/>
      <c r="BYH159"/>
      <c r="BYI159"/>
      <c r="BYJ159"/>
      <c r="BYK159"/>
      <c r="BYL159"/>
      <c r="BYM159"/>
      <c r="BYN159"/>
      <c r="BYO159"/>
      <c r="BYP159"/>
      <c r="BYQ159"/>
      <c r="BYR159"/>
      <c r="BYS159"/>
      <c r="BYT159"/>
      <c r="BYU159"/>
      <c r="BYV159"/>
      <c r="BYW159"/>
      <c r="BYX159"/>
      <c r="BYY159"/>
      <c r="BYZ159"/>
      <c r="BZA159"/>
      <c r="BZB159"/>
      <c r="BZC159"/>
      <c r="BZD159"/>
      <c r="BZE159"/>
      <c r="BZF159"/>
      <c r="BZG159"/>
      <c r="BZH159"/>
      <c r="BZI159"/>
      <c r="BZJ159"/>
      <c r="BZK159"/>
      <c r="BZL159"/>
      <c r="BZM159"/>
      <c r="BZN159"/>
      <c r="BZO159"/>
      <c r="BZP159"/>
      <c r="BZQ159"/>
      <c r="BZR159"/>
      <c r="BZS159"/>
      <c r="BZT159"/>
      <c r="BZU159"/>
      <c r="BZV159"/>
      <c r="BZW159"/>
      <c r="BZX159"/>
      <c r="BZY159"/>
      <c r="BZZ159"/>
      <c r="CAA159"/>
      <c r="CAB159"/>
      <c r="CAC159"/>
      <c r="CAD159"/>
      <c r="CAE159"/>
      <c r="CAF159"/>
      <c r="CAG159"/>
      <c r="CAH159"/>
      <c r="CAI159"/>
      <c r="CAJ159"/>
      <c r="CAK159"/>
      <c r="CAL159"/>
      <c r="CAM159"/>
      <c r="CAN159"/>
      <c r="CAO159"/>
      <c r="CAP159"/>
      <c r="CAQ159"/>
      <c r="CAR159"/>
      <c r="CAS159"/>
      <c r="CAT159"/>
      <c r="CAU159"/>
      <c r="CAV159"/>
      <c r="CAW159"/>
      <c r="CAX159"/>
      <c r="CAY159"/>
      <c r="CAZ159"/>
      <c r="CBA159"/>
      <c r="CBB159"/>
      <c r="CBC159"/>
      <c r="CBD159"/>
      <c r="CBE159"/>
      <c r="CBF159"/>
      <c r="CBG159"/>
      <c r="CBH159"/>
      <c r="CBI159"/>
      <c r="CBJ159"/>
      <c r="CBK159"/>
      <c r="CBL159"/>
      <c r="CBM159"/>
      <c r="CBN159"/>
      <c r="CBO159"/>
      <c r="CBP159"/>
      <c r="CBQ159"/>
      <c r="CBR159"/>
      <c r="CBS159"/>
      <c r="CBT159"/>
      <c r="CBU159"/>
      <c r="CBV159"/>
      <c r="CBW159"/>
      <c r="CBX159"/>
      <c r="CBY159"/>
      <c r="CBZ159"/>
      <c r="CCA159"/>
      <c r="CCB159"/>
      <c r="CCC159"/>
      <c r="CCD159"/>
      <c r="CCE159"/>
      <c r="CCF159"/>
      <c r="CCG159"/>
      <c r="CCH159"/>
      <c r="CCI159"/>
      <c r="CCJ159"/>
      <c r="CCK159"/>
      <c r="CCL159"/>
      <c r="CCM159"/>
      <c r="CCN159"/>
      <c r="CCO159"/>
      <c r="CCP159"/>
      <c r="CCQ159"/>
      <c r="CCR159"/>
      <c r="CCS159"/>
      <c r="CCT159"/>
      <c r="CCU159"/>
      <c r="CCV159"/>
      <c r="CCW159"/>
      <c r="CCX159"/>
      <c r="CCY159"/>
      <c r="CCZ159"/>
      <c r="CDA159"/>
      <c r="CDB159"/>
      <c r="CDC159"/>
      <c r="CDD159"/>
      <c r="CDE159"/>
      <c r="CDF159"/>
      <c r="CDG159"/>
      <c r="CDH159"/>
      <c r="CDI159"/>
      <c r="CDJ159"/>
      <c r="CDK159"/>
      <c r="CDL159"/>
      <c r="CDM159"/>
      <c r="CDN159"/>
      <c r="CDO159"/>
      <c r="CDP159"/>
      <c r="CDQ159"/>
      <c r="CDR159"/>
      <c r="CDS159"/>
      <c r="CDT159"/>
      <c r="CDU159"/>
      <c r="CDV159"/>
      <c r="CDW159"/>
      <c r="CDX159"/>
      <c r="CDY159"/>
      <c r="CDZ159"/>
      <c r="CEA159"/>
      <c r="CEB159"/>
      <c r="CEC159"/>
      <c r="CED159"/>
      <c r="CEE159"/>
      <c r="CEF159"/>
      <c r="CEG159"/>
      <c r="CEH159"/>
      <c r="CEI159"/>
      <c r="CEJ159"/>
      <c r="CEK159"/>
      <c r="CEL159"/>
      <c r="CEM159"/>
      <c r="CEN159"/>
      <c r="CEO159"/>
      <c r="CEP159"/>
      <c r="CEQ159"/>
      <c r="CER159"/>
      <c r="CES159"/>
      <c r="CET159"/>
      <c r="CEU159"/>
      <c r="CEV159"/>
      <c r="CEW159"/>
      <c r="CEX159"/>
      <c r="CEY159"/>
      <c r="CEZ159"/>
      <c r="CFA159"/>
      <c r="CFB159"/>
      <c r="CFC159"/>
      <c r="CFD159"/>
      <c r="CFE159"/>
      <c r="CFF159"/>
      <c r="CFG159"/>
      <c r="CFH159"/>
      <c r="CFI159"/>
      <c r="CFJ159"/>
      <c r="CFK159"/>
      <c r="CFL159"/>
      <c r="CFM159"/>
      <c r="CFN159"/>
      <c r="CFO159"/>
      <c r="CFP159"/>
      <c r="CFQ159"/>
      <c r="CFR159"/>
      <c r="CFS159"/>
      <c r="CFT159"/>
      <c r="CFU159"/>
      <c r="CFV159"/>
      <c r="CFW159"/>
      <c r="CFX159"/>
      <c r="CFY159"/>
      <c r="CFZ159"/>
      <c r="CGA159"/>
      <c r="CGB159"/>
      <c r="CGC159"/>
      <c r="CGD159"/>
      <c r="CGE159"/>
      <c r="CGF159"/>
      <c r="CGG159"/>
      <c r="CGH159"/>
      <c r="CGI159"/>
      <c r="CGJ159"/>
      <c r="CGK159"/>
      <c r="CGL159"/>
      <c r="CGM159"/>
      <c r="CGN159"/>
      <c r="CGO159"/>
      <c r="CGP159"/>
      <c r="CGQ159"/>
      <c r="CGR159"/>
      <c r="CGS159"/>
      <c r="CGT159"/>
      <c r="CGU159"/>
      <c r="CGV159"/>
      <c r="CGW159"/>
      <c r="CGX159"/>
      <c r="CGY159"/>
      <c r="CGZ159"/>
      <c r="CHA159"/>
      <c r="CHB159"/>
      <c r="CHC159"/>
      <c r="CHD159"/>
      <c r="CHE159"/>
      <c r="CHF159"/>
      <c r="CHG159"/>
      <c r="CHH159"/>
      <c r="CHI159"/>
      <c r="CHJ159"/>
      <c r="CHK159"/>
      <c r="CHL159"/>
      <c r="CHM159"/>
      <c r="CHN159"/>
      <c r="CHO159"/>
      <c r="CHP159"/>
      <c r="CHQ159"/>
      <c r="CHR159"/>
      <c r="CHS159"/>
      <c r="CHT159"/>
      <c r="CHU159"/>
      <c r="CHV159"/>
      <c r="CHW159"/>
      <c r="CHX159"/>
      <c r="CHY159"/>
      <c r="CHZ159"/>
      <c r="CIA159"/>
      <c r="CIB159"/>
      <c r="CIC159"/>
      <c r="CID159"/>
      <c r="CIE159"/>
      <c r="CIF159"/>
      <c r="CIG159"/>
      <c r="CIH159"/>
      <c r="CII159"/>
      <c r="CIJ159"/>
      <c r="CIK159"/>
      <c r="CIL159"/>
      <c r="CIM159"/>
      <c r="CIN159"/>
      <c r="CIO159"/>
      <c r="CIP159"/>
      <c r="CIQ159"/>
      <c r="CIR159"/>
      <c r="CIS159"/>
      <c r="CIT159"/>
      <c r="CIU159"/>
      <c r="CIV159"/>
      <c r="CIW159"/>
      <c r="CIX159"/>
      <c r="CIY159"/>
      <c r="CIZ159"/>
      <c r="CJA159"/>
      <c r="CJB159"/>
      <c r="CJC159"/>
      <c r="CJD159"/>
      <c r="CJE159"/>
      <c r="CJF159"/>
      <c r="CJG159"/>
      <c r="CJH159"/>
      <c r="CJI159"/>
      <c r="CJJ159"/>
      <c r="CJK159"/>
      <c r="CJL159"/>
      <c r="CJM159"/>
      <c r="CJN159"/>
      <c r="CJO159"/>
      <c r="CJP159"/>
      <c r="CJQ159"/>
      <c r="CJR159"/>
      <c r="CJS159"/>
      <c r="CJT159"/>
      <c r="CJU159"/>
      <c r="CJV159"/>
      <c r="CJW159"/>
      <c r="CJX159"/>
      <c r="CJY159"/>
      <c r="CJZ159"/>
      <c r="CKA159"/>
      <c r="CKB159"/>
      <c r="CKC159"/>
      <c r="CKD159"/>
      <c r="CKE159"/>
      <c r="CKF159"/>
      <c r="CKG159"/>
      <c r="CKH159"/>
      <c r="CKI159"/>
      <c r="CKJ159"/>
      <c r="CKK159"/>
      <c r="CKL159"/>
      <c r="CKM159"/>
      <c r="CKN159"/>
      <c r="CKO159"/>
      <c r="CKP159"/>
      <c r="CKQ159"/>
      <c r="CKR159"/>
      <c r="CKS159"/>
      <c r="CKT159"/>
      <c r="CKU159"/>
      <c r="CKV159"/>
      <c r="CKW159"/>
      <c r="CKX159"/>
      <c r="CKY159"/>
      <c r="CKZ159"/>
      <c r="CLA159"/>
      <c r="CLB159"/>
      <c r="CLC159"/>
      <c r="CLD159"/>
      <c r="CLE159"/>
      <c r="CLF159"/>
      <c r="CLG159"/>
      <c r="CLH159"/>
      <c r="CLI159"/>
      <c r="CLJ159"/>
      <c r="CLK159"/>
      <c r="CLL159"/>
      <c r="CLM159"/>
      <c r="CLN159"/>
      <c r="CLO159"/>
      <c r="CLP159"/>
      <c r="CLQ159"/>
      <c r="CLR159"/>
      <c r="CLS159"/>
      <c r="CLT159"/>
      <c r="CLU159"/>
      <c r="CLV159"/>
      <c r="CLW159"/>
      <c r="CLX159"/>
      <c r="CLY159"/>
      <c r="CLZ159"/>
      <c r="CMA159"/>
      <c r="CMB159"/>
      <c r="CMC159"/>
      <c r="CMD159"/>
      <c r="CME159"/>
      <c r="CMF159"/>
      <c r="CMG159"/>
      <c r="CMH159"/>
      <c r="CMI159"/>
      <c r="CMJ159"/>
      <c r="CMK159"/>
      <c r="CML159"/>
      <c r="CMM159"/>
      <c r="CMN159"/>
      <c r="CMO159"/>
      <c r="CMP159"/>
      <c r="CMQ159"/>
      <c r="CMR159"/>
      <c r="CMS159"/>
      <c r="CMT159"/>
      <c r="CMU159"/>
      <c r="CMV159"/>
      <c r="CMW159"/>
      <c r="CMX159"/>
      <c r="CMY159"/>
      <c r="CMZ159"/>
      <c r="CNA159"/>
      <c r="CNB159"/>
      <c r="CNC159"/>
      <c r="CND159"/>
      <c r="CNE159"/>
      <c r="CNF159"/>
      <c r="CNG159"/>
      <c r="CNH159"/>
      <c r="CNI159"/>
      <c r="CNJ159"/>
      <c r="CNK159"/>
      <c r="CNL159"/>
      <c r="CNM159"/>
      <c r="CNN159"/>
      <c r="CNO159"/>
      <c r="CNP159"/>
      <c r="CNQ159"/>
      <c r="CNR159"/>
      <c r="CNS159"/>
      <c r="CNT159"/>
      <c r="CNU159"/>
      <c r="CNV159"/>
      <c r="CNW159"/>
      <c r="CNX159"/>
      <c r="CNY159"/>
      <c r="CNZ159"/>
      <c r="COA159"/>
      <c r="COB159"/>
      <c r="COC159"/>
      <c r="COD159"/>
      <c r="COE159"/>
      <c r="COF159"/>
      <c r="COG159"/>
      <c r="COH159"/>
      <c r="COI159"/>
      <c r="COJ159"/>
      <c r="COK159"/>
      <c r="COL159"/>
      <c r="COM159"/>
      <c r="CON159"/>
      <c r="COO159"/>
      <c r="COP159"/>
      <c r="COQ159"/>
      <c r="COR159"/>
      <c r="COS159"/>
      <c r="COT159"/>
      <c r="COU159"/>
      <c r="COV159"/>
      <c r="COW159"/>
      <c r="COX159"/>
      <c r="COY159"/>
      <c r="COZ159"/>
      <c r="CPA159"/>
      <c r="CPB159"/>
      <c r="CPC159"/>
      <c r="CPD159"/>
      <c r="CPE159"/>
      <c r="CPF159"/>
      <c r="CPG159"/>
      <c r="CPH159"/>
      <c r="CPI159"/>
      <c r="CPJ159"/>
      <c r="CPK159"/>
      <c r="CPL159"/>
      <c r="CPM159"/>
      <c r="CPN159"/>
      <c r="CPO159"/>
      <c r="CPP159"/>
      <c r="CPQ159"/>
      <c r="CPR159"/>
      <c r="CPS159"/>
      <c r="CPT159"/>
      <c r="CPU159"/>
      <c r="CPV159"/>
      <c r="CPW159"/>
      <c r="CPX159"/>
      <c r="CPY159"/>
      <c r="CPZ159"/>
      <c r="CQA159"/>
      <c r="CQB159"/>
      <c r="CQC159"/>
      <c r="CQD159"/>
      <c r="CQE159"/>
      <c r="CQF159"/>
      <c r="CQG159"/>
      <c r="CQH159"/>
      <c r="CQI159"/>
      <c r="CQJ159"/>
      <c r="CQK159"/>
      <c r="CQL159"/>
      <c r="CQM159"/>
      <c r="CQN159"/>
      <c r="CQO159"/>
      <c r="CQP159"/>
      <c r="CQQ159"/>
      <c r="CQR159"/>
      <c r="CQS159"/>
      <c r="CQT159"/>
      <c r="CQU159"/>
      <c r="CQV159"/>
      <c r="CQW159"/>
      <c r="CQX159"/>
      <c r="CQY159"/>
      <c r="CQZ159"/>
      <c r="CRA159"/>
      <c r="CRB159"/>
      <c r="CRC159"/>
      <c r="CRD159"/>
      <c r="CRE159"/>
      <c r="CRF159"/>
      <c r="CRG159"/>
      <c r="CRH159"/>
      <c r="CRI159"/>
      <c r="CRJ159"/>
      <c r="CRK159"/>
      <c r="CRL159"/>
      <c r="CRM159"/>
      <c r="CRN159"/>
      <c r="CRO159"/>
      <c r="CRP159"/>
      <c r="CRQ159"/>
      <c r="CRR159"/>
      <c r="CRS159"/>
      <c r="CRT159"/>
      <c r="CRU159"/>
      <c r="CRV159"/>
      <c r="CRW159"/>
      <c r="CRX159"/>
      <c r="CRY159"/>
      <c r="CRZ159"/>
      <c r="CSA159"/>
      <c r="CSB159"/>
      <c r="CSC159"/>
      <c r="CSD159"/>
      <c r="CSE159"/>
      <c r="CSF159"/>
      <c r="CSG159"/>
      <c r="CSH159"/>
      <c r="CSI159"/>
      <c r="CSJ159"/>
      <c r="CSK159"/>
      <c r="CSL159"/>
      <c r="CSM159"/>
      <c r="CSN159"/>
      <c r="CSO159"/>
      <c r="CSP159"/>
      <c r="CSQ159"/>
      <c r="CSR159"/>
      <c r="CSS159"/>
      <c r="CST159"/>
      <c r="CSU159"/>
      <c r="CSV159"/>
      <c r="CSW159"/>
      <c r="CSX159"/>
      <c r="CSY159"/>
      <c r="CSZ159"/>
      <c r="CTA159"/>
      <c r="CTB159"/>
      <c r="CTC159"/>
      <c r="CTD159"/>
      <c r="CTE159"/>
      <c r="CTF159"/>
      <c r="CTG159"/>
      <c r="CTH159"/>
      <c r="CTI159"/>
      <c r="CTJ159"/>
      <c r="CTK159"/>
      <c r="CTL159"/>
      <c r="CTM159"/>
      <c r="CTN159"/>
      <c r="CTO159"/>
      <c r="CTP159"/>
      <c r="CTQ159"/>
      <c r="CTR159"/>
      <c r="CTS159"/>
      <c r="CTT159"/>
      <c r="CTU159"/>
      <c r="CTV159"/>
      <c r="CTW159"/>
      <c r="CTX159"/>
      <c r="CTY159"/>
      <c r="CTZ159"/>
      <c r="CUA159"/>
      <c r="CUB159"/>
      <c r="CUC159"/>
      <c r="CUD159"/>
      <c r="CUE159"/>
      <c r="CUF159"/>
      <c r="CUG159"/>
      <c r="CUH159"/>
      <c r="CUI159"/>
      <c r="CUJ159"/>
      <c r="CUK159"/>
      <c r="CUL159"/>
      <c r="CUM159"/>
      <c r="CUN159"/>
      <c r="CUO159"/>
      <c r="CUP159"/>
      <c r="CUQ159"/>
      <c r="CUR159"/>
      <c r="CUS159"/>
      <c r="CUT159"/>
      <c r="CUU159"/>
      <c r="CUV159"/>
      <c r="CUW159"/>
      <c r="CUX159"/>
      <c r="CUY159"/>
      <c r="CUZ159"/>
      <c r="CVA159"/>
      <c r="CVB159"/>
      <c r="CVC159"/>
      <c r="CVD159"/>
      <c r="CVE159"/>
      <c r="CVF159"/>
      <c r="CVG159"/>
      <c r="CVH159"/>
      <c r="CVI159"/>
      <c r="CVJ159"/>
      <c r="CVK159"/>
      <c r="CVL159"/>
      <c r="CVM159"/>
      <c r="CVN159"/>
      <c r="CVO159"/>
      <c r="CVP159"/>
      <c r="CVQ159"/>
      <c r="CVR159"/>
      <c r="CVS159"/>
      <c r="CVT159"/>
      <c r="CVU159"/>
      <c r="CVV159"/>
      <c r="CVW159"/>
      <c r="CVX159"/>
      <c r="CVY159"/>
      <c r="CVZ159"/>
      <c r="CWA159"/>
      <c r="CWB159"/>
      <c r="CWC159"/>
      <c r="CWD159"/>
      <c r="CWE159"/>
      <c r="CWF159"/>
      <c r="CWG159"/>
      <c r="CWH159"/>
      <c r="CWI159"/>
      <c r="CWJ159"/>
      <c r="CWK159"/>
      <c r="CWL159"/>
      <c r="CWM159"/>
      <c r="CWN159"/>
      <c r="CWO159"/>
      <c r="CWP159"/>
      <c r="CWQ159"/>
      <c r="CWR159"/>
      <c r="CWS159"/>
      <c r="CWT159"/>
      <c r="CWU159"/>
      <c r="CWV159"/>
      <c r="CWW159"/>
      <c r="CWX159"/>
      <c r="CWY159"/>
      <c r="CWZ159"/>
      <c r="CXA159"/>
      <c r="CXB159"/>
      <c r="CXC159"/>
      <c r="CXD159"/>
      <c r="CXE159"/>
      <c r="CXF159"/>
      <c r="CXG159"/>
      <c r="CXH159"/>
      <c r="CXI159"/>
      <c r="CXJ159"/>
      <c r="CXK159"/>
      <c r="CXL159"/>
      <c r="CXM159"/>
      <c r="CXN159"/>
      <c r="CXO159"/>
      <c r="CXP159"/>
      <c r="CXQ159"/>
      <c r="CXR159"/>
      <c r="CXS159"/>
      <c r="CXT159"/>
      <c r="CXU159"/>
      <c r="CXV159"/>
      <c r="CXW159"/>
      <c r="CXX159"/>
      <c r="CXY159"/>
      <c r="CXZ159"/>
      <c r="CYA159"/>
      <c r="CYB159"/>
      <c r="CYC159"/>
      <c r="CYD159"/>
      <c r="CYE159"/>
      <c r="CYF159"/>
      <c r="CYG159"/>
      <c r="CYH159"/>
      <c r="CYI159"/>
      <c r="CYJ159"/>
      <c r="CYK159"/>
      <c r="CYL159"/>
      <c r="CYM159"/>
      <c r="CYN159"/>
      <c r="CYO159"/>
      <c r="CYP159"/>
      <c r="CYQ159"/>
      <c r="CYR159"/>
      <c r="CYS159"/>
      <c r="CYT159"/>
      <c r="CYU159"/>
      <c r="CYV159"/>
      <c r="CYW159"/>
      <c r="CYX159"/>
      <c r="CYY159"/>
      <c r="CYZ159"/>
      <c r="CZA159"/>
      <c r="CZB159"/>
      <c r="CZC159"/>
      <c r="CZD159"/>
      <c r="CZE159"/>
      <c r="CZF159"/>
      <c r="CZG159"/>
      <c r="CZH159"/>
      <c r="CZI159"/>
      <c r="CZJ159"/>
      <c r="CZK159"/>
      <c r="CZL159"/>
      <c r="CZM159"/>
      <c r="CZN159"/>
      <c r="CZO159"/>
      <c r="CZP159"/>
      <c r="CZQ159"/>
      <c r="CZR159"/>
      <c r="CZS159"/>
      <c r="CZT159"/>
      <c r="CZU159"/>
      <c r="CZV159"/>
      <c r="CZW159"/>
      <c r="CZX159"/>
      <c r="CZY159"/>
      <c r="CZZ159"/>
      <c r="DAA159"/>
      <c r="DAB159"/>
      <c r="DAC159"/>
      <c r="DAD159"/>
      <c r="DAE159"/>
      <c r="DAF159"/>
      <c r="DAG159"/>
      <c r="DAH159"/>
      <c r="DAI159"/>
      <c r="DAJ159"/>
      <c r="DAK159"/>
      <c r="DAL159"/>
      <c r="DAM159"/>
      <c r="DAN159"/>
      <c r="DAO159"/>
      <c r="DAP159"/>
      <c r="DAQ159"/>
      <c r="DAR159"/>
      <c r="DAS159"/>
      <c r="DAT159"/>
      <c r="DAU159"/>
      <c r="DAV159"/>
      <c r="DAW159"/>
      <c r="DAX159"/>
      <c r="DAY159"/>
      <c r="DAZ159"/>
      <c r="DBA159"/>
      <c r="DBB159"/>
      <c r="DBC159"/>
      <c r="DBD159"/>
      <c r="DBE159"/>
      <c r="DBF159"/>
      <c r="DBG159"/>
      <c r="DBH159"/>
      <c r="DBI159"/>
      <c r="DBJ159"/>
      <c r="DBK159"/>
      <c r="DBL159"/>
      <c r="DBM159"/>
      <c r="DBN159"/>
      <c r="DBO159"/>
      <c r="DBP159"/>
      <c r="DBQ159"/>
      <c r="DBR159"/>
      <c r="DBS159"/>
      <c r="DBT159"/>
      <c r="DBU159"/>
      <c r="DBV159"/>
      <c r="DBW159"/>
      <c r="DBX159"/>
      <c r="DBY159"/>
      <c r="DBZ159"/>
      <c r="DCA159"/>
      <c r="DCB159"/>
      <c r="DCC159"/>
      <c r="DCD159"/>
      <c r="DCE159"/>
      <c r="DCF159"/>
      <c r="DCG159"/>
      <c r="DCH159"/>
      <c r="DCI159"/>
      <c r="DCJ159"/>
      <c r="DCK159"/>
      <c r="DCL159"/>
      <c r="DCM159"/>
      <c r="DCN159"/>
      <c r="DCO159"/>
      <c r="DCP159"/>
      <c r="DCQ159"/>
      <c r="DCR159"/>
      <c r="DCS159"/>
      <c r="DCT159"/>
      <c r="DCU159"/>
      <c r="DCV159"/>
      <c r="DCW159"/>
      <c r="DCX159"/>
      <c r="DCY159"/>
      <c r="DCZ159"/>
      <c r="DDA159"/>
      <c r="DDB159"/>
      <c r="DDC159"/>
      <c r="DDD159"/>
      <c r="DDE159"/>
      <c r="DDF159"/>
      <c r="DDG159"/>
      <c r="DDH159"/>
      <c r="DDI159"/>
      <c r="DDJ159"/>
      <c r="DDK159"/>
      <c r="DDL159"/>
      <c r="DDM159"/>
      <c r="DDN159"/>
      <c r="DDO159"/>
      <c r="DDP159"/>
      <c r="DDQ159"/>
      <c r="DDR159"/>
      <c r="DDS159"/>
      <c r="DDT159"/>
      <c r="DDU159"/>
      <c r="DDV159"/>
      <c r="DDW159"/>
      <c r="DDX159"/>
      <c r="DDY159"/>
      <c r="DDZ159"/>
      <c r="DEA159"/>
      <c r="DEB159"/>
      <c r="DEC159"/>
      <c r="DED159"/>
      <c r="DEE159"/>
      <c r="DEF159"/>
      <c r="DEG159"/>
      <c r="DEH159"/>
      <c r="DEI159"/>
      <c r="DEJ159"/>
      <c r="DEK159"/>
      <c r="DEL159"/>
      <c r="DEM159"/>
      <c r="DEN159"/>
      <c r="DEO159"/>
      <c r="DEP159"/>
      <c r="DEQ159"/>
      <c r="DER159"/>
      <c r="DES159"/>
      <c r="DET159"/>
      <c r="DEU159"/>
      <c r="DEV159"/>
      <c r="DEW159"/>
      <c r="DEX159"/>
      <c r="DEY159"/>
      <c r="DEZ159"/>
      <c r="DFA159"/>
      <c r="DFB159"/>
      <c r="DFC159"/>
      <c r="DFD159"/>
      <c r="DFE159"/>
      <c r="DFF159"/>
      <c r="DFG159"/>
      <c r="DFH159"/>
      <c r="DFI159"/>
      <c r="DFJ159"/>
      <c r="DFK159"/>
      <c r="DFL159"/>
      <c r="DFM159"/>
      <c r="DFN159"/>
      <c r="DFO159"/>
      <c r="DFP159"/>
      <c r="DFQ159"/>
      <c r="DFR159"/>
      <c r="DFS159"/>
      <c r="DFT159"/>
      <c r="DFU159"/>
      <c r="DFV159"/>
      <c r="DFW159"/>
      <c r="DFX159"/>
      <c r="DFY159"/>
      <c r="DFZ159"/>
      <c r="DGA159"/>
      <c r="DGB159"/>
      <c r="DGC159"/>
      <c r="DGD159"/>
      <c r="DGE159"/>
      <c r="DGF159"/>
      <c r="DGG159"/>
      <c r="DGH159"/>
      <c r="DGI159"/>
      <c r="DGJ159"/>
      <c r="DGK159"/>
      <c r="DGL159"/>
      <c r="DGM159"/>
      <c r="DGN159"/>
      <c r="DGO159"/>
      <c r="DGP159"/>
      <c r="DGQ159"/>
      <c r="DGR159"/>
      <c r="DGS159"/>
      <c r="DGT159"/>
      <c r="DGU159"/>
      <c r="DGV159"/>
      <c r="DGW159"/>
      <c r="DGX159"/>
      <c r="DGY159"/>
      <c r="DGZ159"/>
      <c r="DHA159"/>
      <c r="DHB159"/>
      <c r="DHC159"/>
      <c r="DHD159"/>
      <c r="DHE159"/>
      <c r="DHF159"/>
      <c r="DHG159"/>
      <c r="DHH159"/>
      <c r="DHI159"/>
      <c r="DHJ159"/>
      <c r="DHK159"/>
      <c r="DHL159"/>
      <c r="DHM159"/>
      <c r="DHN159"/>
      <c r="DHO159"/>
      <c r="DHP159"/>
      <c r="DHQ159"/>
      <c r="DHR159"/>
      <c r="DHS159"/>
      <c r="DHT159"/>
      <c r="DHU159"/>
      <c r="DHV159"/>
      <c r="DHW159"/>
      <c r="DHX159"/>
      <c r="DHY159"/>
      <c r="DHZ159"/>
      <c r="DIA159"/>
      <c r="DIB159"/>
      <c r="DIC159"/>
      <c r="DID159"/>
      <c r="DIE159"/>
      <c r="DIF159"/>
      <c r="DIG159"/>
      <c r="DIH159"/>
      <c r="DII159"/>
      <c r="DIJ159"/>
      <c r="DIK159"/>
      <c r="DIL159"/>
      <c r="DIM159"/>
      <c r="DIN159"/>
      <c r="DIO159"/>
      <c r="DIP159"/>
      <c r="DIQ159"/>
      <c r="DIR159"/>
      <c r="DIS159"/>
      <c r="DIT159"/>
      <c r="DIU159"/>
      <c r="DIV159"/>
      <c r="DIW159"/>
      <c r="DIX159"/>
      <c r="DIY159"/>
      <c r="DIZ159"/>
      <c r="DJA159"/>
      <c r="DJB159"/>
      <c r="DJC159"/>
      <c r="DJD159"/>
      <c r="DJE159"/>
      <c r="DJF159"/>
      <c r="DJG159"/>
      <c r="DJH159"/>
      <c r="DJI159"/>
      <c r="DJJ159"/>
      <c r="DJK159"/>
      <c r="DJL159"/>
      <c r="DJM159"/>
      <c r="DJN159"/>
      <c r="DJO159"/>
      <c r="DJP159"/>
      <c r="DJQ159"/>
      <c r="DJR159"/>
      <c r="DJS159"/>
      <c r="DJT159"/>
      <c r="DJU159"/>
      <c r="DJV159"/>
      <c r="DJW159"/>
      <c r="DJX159"/>
      <c r="DJY159"/>
      <c r="DJZ159"/>
      <c r="DKA159"/>
      <c r="DKB159"/>
      <c r="DKC159"/>
      <c r="DKD159"/>
      <c r="DKE159"/>
      <c r="DKF159"/>
      <c r="DKG159"/>
      <c r="DKH159"/>
      <c r="DKI159"/>
      <c r="DKJ159"/>
      <c r="DKK159"/>
      <c r="DKL159"/>
      <c r="DKM159"/>
      <c r="DKN159"/>
      <c r="DKO159"/>
      <c r="DKP159"/>
      <c r="DKQ159"/>
      <c r="DKR159"/>
      <c r="DKS159"/>
      <c r="DKT159"/>
      <c r="DKU159"/>
      <c r="DKV159"/>
      <c r="DKW159"/>
      <c r="DKX159"/>
      <c r="DKY159"/>
      <c r="DKZ159"/>
      <c r="DLA159"/>
      <c r="DLB159"/>
      <c r="DLC159"/>
      <c r="DLD159"/>
      <c r="DLE159"/>
      <c r="DLF159"/>
      <c r="DLG159"/>
      <c r="DLH159"/>
      <c r="DLI159"/>
      <c r="DLJ159"/>
      <c r="DLK159"/>
      <c r="DLL159"/>
      <c r="DLM159"/>
      <c r="DLN159"/>
      <c r="DLO159"/>
      <c r="DLP159"/>
      <c r="DLQ159"/>
      <c r="DLR159"/>
      <c r="DLS159"/>
      <c r="DLT159"/>
      <c r="DLU159"/>
      <c r="DLV159"/>
      <c r="DLW159"/>
      <c r="DLX159"/>
      <c r="DLY159"/>
      <c r="DLZ159"/>
      <c r="DMA159"/>
      <c r="DMB159"/>
      <c r="DMC159"/>
      <c r="DMD159"/>
      <c r="DME159"/>
      <c r="DMF159"/>
      <c r="DMG159"/>
      <c r="DMH159"/>
      <c r="DMI159"/>
      <c r="DMJ159"/>
      <c r="DMK159"/>
      <c r="DML159"/>
      <c r="DMM159"/>
      <c r="DMN159"/>
      <c r="DMO159"/>
      <c r="DMP159"/>
      <c r="DMQ159"/>
      <c r="DMR159"/>
      <c r="DMS159"/>
      <c r="DMT159"/>
      <c r="DMU159"/>
      <c r="DMV159"/>
      <c r="DMW159"/>
      <c r="DMX159"/>
      <c r="DMY159"/>
      <c r="DMZ159"/>
      <c r="DNA159"/>
      <c r="DNB159"/>
      <c r="DNC159"/>
      <c r="DND159"/>
      <c r="DNE159"/>
      <c r="DNF159"/>
      <c r="DNG159"/>
      <c r="DNH159"/>
      <c r="DNI159"/>
      <c r="DNJ159"/>
      <c r="DNK159"/>
      <c r="DNL159"/>
      <c r="DNM159"/>
      <c r="DNN159"/>
      <c r="DNO159"/>
      <c r="DNP159"/>
      <c r="DNQ159"/>
      <c r="DNR159"/>
      <c r="DNS159"/>
      <c r="DNT159"/>
      <c r="DNU159"/>
      <c r="DNV159"/>
      <c r="DNW159"/>
      <c r="DNX159"/>
      <c r="DNY159"/>
      <c r="DNZ159"/>
      <c r="DOA159"/>
      <c r="DOB159"/>
      <c r="DOC159"/>
      <c r="DOD159"/>
      <c r="DOE159"/>
      <c r="DOF159"/>
      <c r="DOG159"/>
      <c r="DOH159"/>
      <c r="DOI159"/>
      <c r="DOJ159"/>
      <c r="DOK159"/>
      <c r="DOL159"/>
      <c r="DOM159"/>
      <c r="DON159"/>
      <c r="DOO159"/>
      <c r="DOP159"/>
      <c r="DOQ159"/>
      <c r="DOR159"/>
      <c r="DOS159"/>
      <c r="DOT159"/>
      <c r="DOU159"/>
      <c r="DOV159"/>
      <c r="DOW159"/>
      <c r="DOX159"/>
      <c r="DOY159"/>
      <c r="DOZ159"/>
      <c r="DPA159"/>
      <c r="DPB159"/>
      <c r="DPC159"/>
      <c r="DPD159"/>
      <c r="DPE159"/>
      <c r="DPF159"/>
      <c r="DPG159"/>
      <c r="DPH159"/>
      <c r="DPI159"/>
      <c r="DPJ159"/>
      <c r="DPK159"/>
      <c r="DPL159"/>
      <c r="DPM159"/>
      <c r="DPN159"/>
      <c r="DPO159"/>
      <c r="DPP159"/>
      <c r="DPQ159"/>
      <c r="DPR159"/>
      <c r="DPS159"/>
      <c r="DPT159"/>
      <c r="DPU159"/>
      <c r="DPV159"/>
      <c r="DPW159"/>
      <c r="DPX159"/>
      <c r="DPY159"/>
      <c r="DPZ159"/>
      <c r="DQA159"/>
      <c r="DQB159"/>
      <c r="DQC159"/>
      <c r="DQD159"/>
      <c r="DQE159"/>
      <c r="DQF159"/>
      <c r="DQG159"/>
      <c r="DQH159"/>
      <c r="DQI159"/>
      <c r="DQJ159"/>
      <c r="DQK159"/>
      <c r="DQL159"/>
      <c r="DQM159"/>
      <c r="DQN159"/>
      <c r="DQO159"/>
      <c r="DQP159"/>
      <c r="DQQ159"/>
      <c r="DQR159"/>
      <c r="DQS159"/>
      <c r="DQT159"/>
      <c r="DQU159"/>
      <c r="DQV159"/>
      <c r="DQW159"/>
      <c r="DQX159"/>
      <c r="DQY159"/>
      <c r="DQZ159"/>
      <c r="DRA159"/>
      <c r="DRB159"/>
      <c r="DRC159"/>
      <c r="DRD159"/>
      <c r="DRE159"/>
      <c r="DRF159"/>
      <c r="DRG159"/>
      <c r="DRH159"/>
      <c r="DRI159"/>
      <c r="DRJ159"/>
      <c r="DRK159"/>
      <c r="DRL159"/>
      <c r="DRM159"/>
      <c r="DRN159"/>
      <c r="DRO159"/>
      <c r="DRP159"/>
      <c r="DRQ159"/>
      <c r="DRR159"/>
      <c r="DRS159"/>
      <c r="DRT159"/>
      <c r="DRU159"/>
      <c r="DRV159"/>
      <c r="DRW159"/>
      <c r="DRX159"/>
      <c r="DRY159"/>
      <c r="DRZ159"/>
      <c r="DSA159"/>
      <c r="DSB159"/>
      <c r="DSC159"/>
      <c r="DSD159"/>
      <c r="DSE159"/>
      <c r="DSF159"/>
      <c r="DSG159"/>
      <c r="DSH159"/>
      <c r="DSI159"/>
      <c r="DSJ159"/>
      <c r="DSK159"/>
      <c r="DSL159"/>
      <c r="DSM159"/>
      <c r="DSN159"/>
      <c r="DSO159"/>
      <c r="DSP159"/>
      <c r="DSQ159"/>
      <c r="DSR159"/>
      <c r="DSS159"/>
      <c r="DST159"/>
      <c r="DSU159"/>
      <c r="DSV159"/>
      <c r="DSW159"/>
      <c r="DSX159"/>
      <c r="DSY159"/>
      <c r="DSZ159"/>
      <c r="DTA159"/>
      <c r="DTB159"/>
      <c r="DTC159"/>
      <c r="DTD159"/>
      <c r="DTE159"/>
      <c r="DTF159"/>
      <c r="DTG159"/>
      <c r="DTH159"/>
      <c r="DTI159"/>
      <c r="DTJ159"/>
      <c r="DTK159"/>
      <c r="DTL159"/>
      <c r="DTM159"/>
      <c r="DTN159"/>
      <c r="DTO159"/>
      <c r="DTP159"/>
      <c r="DTQ159"/>
      <c r="DTR159"/>
      <c r="DTS159"/>
      <c r="DTT159"/>
      <c r="DTU159"/>
      <c r="DTV159"/>
      <c r="DTW159"/>
      <c r="DTX159"/>
      <c r="DTY159"/>
      <c r="DTZ159"/>
      <c r="DUA159"/>
      <c r="DUB159"/>
      <c r="DUC159"/>
      <c r="DUD159"/>
      <c r="DUE159"/>
      <c r="DUF159"/>
      <c r="DUG159"/>
      <c r="DUH159"/>
      <c r="DUI159"/>
      <c r="DUJ159"/>
      <c r="DUK159"/>
      <c r="DUL159"/>
      <c r="DUM159"/>
      <c r="DUN159"/>
      <c r="DUO159"/>
      <c r="DUP159"/>
      <c r="DUQ159"/>
      <c r="DUR159"/>
      <c r="DUS159"/>
      <c r="DUT159"/>
      <c r="DUU159"/>
      <c r="DUV159"/>
      <c r="DUW159"/>
      <c r="DUX159"/>
      <c r="DUY159"/>
      <c r="DUZ159"/>
      <c r="DVA159"/>
      <c r="DVB159"/>
      <c r="DVC159"/>
      <c r="DVD159"/>
      <c r="DVE159"/>
      <c r="DVF159"/>
      <c r="DVG159"/>
      <c r="DVH159"/>
      <c r="DVI159"/>
      <c r="DVJ159"/>
      <c r="DVK159"/>
      <c r="DVL159"/>
      <c r="DVM159"/>
      <c r="DVN159"/>
      <c r="DVO159"/>
      <c r="DVP159"/>
      <c r="DVQ159"/>
      <c r="DVR159"/>
      <c r="DVS159"/>
      <c r="DVT159"/>
      <c r="DVU159"/>
      <c r="DVV159"/>
      <c r="DVW159"/>
      <c r="DVX159"/>
      <c r="DVY159"/>
      <c r="DVZ159"/>
      <c r="DWA159"/>
      <c r="DWB159"/>
      <c r="DWC159"/>
      <c r="DWD159"/>
      <c r="DWE159"/>
      <c r="DWF159"/>
      <c r="DWG159"/>
      <c r="DWH159"/>
      <c r="DWI159"/>
      <c r="DWJ159"/>
      <c r="DWK159"/>
      <c r="DWL159"/>
      <c r="DWM159"/>
      <c r="DWN159"/>
      <c r="DWO159"/>
      <c r="DWP159"/>
      <c r="DWQ159"/>
      <c r="DWR159"/>
      <c r="DWS159"/>
      <c r="DWT159"/>
      <c r="DWU159"/>
      <c r="DWV159"/>
      <c r="DWW159"/>
      <c r="DWX159"/>
      <c r="DWY159"/>
      <c r="DWZ159"/>
      <c r="DXA159"/>
      <c r="DXB159"/>
      <c r="DXC159"/>
      <c r="DXD159"/>
      <c r="DXE159"/>
      <c r="DXF159"/>
      <c r="DXG159"/>
      <c r="DXH159"/>
      <c r="DXI159"/>
      <c r="DXJ159"/>
      <c r="DXK159"/>
      <c r="DXL159"/>
      <c r="DXM159"/>
      <c r="DXN159"/>
      <c r="DXO159"/>
      <c r="DXP159"/>
      <c r="DXQ159"/>
      <c r="DXR159"/>
      <c r="DXS159"/>
      <c r="DXT159"/>
      <c r="DXU159"/>
      <c r="DXV159"/>
      <c r="DXW159"/>
      <c r="DXX159"/>
      <c r="DXY159"/>
      <c r="DXZ159"/>
      <c r="DYA159"/>
      <c r="DYB159"/>
      <c r="DYC159"/>
      <c r="DYD159"/>
      <c r="DYE159"/>
      <c r="DYF159"/>
      <c r="DYG159"/>
      <c r="DYH159"/>
      <c r="DYI159"/>
      <c r="DYJ159"/>
      <c r="DYK159"/>
      <c r="DYL159"/>
      <c r="DYM159"/>
      <c r="DYN159"/>
      <c r="DYO159"/>
      <c r="DYP159"/>
      <c r="DYQ159"/>
      <c r="DYR159"/>
      <c r="DYS159"/>
      <c r="DYT159"/>
      <c r="DYU159"/>
      <c r="DYV159"/>
      <c r="DYW159"/>
      <c r="DYX159"/>
      <c r="DYY159"/>
      <c r="DYZ159"/>
      <c r="DZA159"/>
      <c r="DZB159"/>
      <c r="DZC159"/>
      <c r="DZD159"/>
      <c r="DZE159"/>
      <c r="DZF159"/>
      <c r="DZG159"/>
      <c r="DZH159"/>
      <c r="DZI159"/>
      <c r="DZJ159"/>
      <c r="DZK159"/>
      <c r="DZL159"/>
      <c r="DZM159"/>
      <c r="DZN159"/>
      <c r="DZO159"/>
      <c r="DZP159"/>
      <c r="DZQ159"/>
      <c r="DZR159"/>
      <c r="DZS159"/>
      <c r="DZT159"/>
      <c r="DZU159"/>
      <c r="DZV159"/>
      <c r="DZW159"/>
      <c r="DZX159"/>
      <c r="DZY159"/>
      <c r="DZZ159"/>
      <c r="EAA159"/>
      <c r="EAB159"/>
      <c r="EAC159"/>
      <c r="EAD159"/>
      <c r="EAE159"/>
      <c r="EAF159"/>
      <c r="EAG159"/>
      <c r="EAH159"/>
      <c r="EAI159"/>
      <c r="EAJ159"/>
      <c r="EAK159"/>
      <c r="EAL159"/>
      <c r="EAM159"/>
      <c r="EAN159"/>
      <c r="EAO159"/>
      <c r="EAP159"/>
      <c r="EAQ159"/>
      <c r="EAR159"/>
      <c r="EAS159"/>
      <c r="EAT159"/>
      <c r="EAU159"/>
      <c r="EAV159"/>
      <c r="EAW159"/>
      <c r="EAX159"/>
      <c r="EAY159"/>
      <c r="EAZ159"/>
      <c r="EBA159"/>
      <c r="EBB159"/>
      <c r="EBC159"/>
      <c r="EBD159"/>
      <c r="EBE159"/>
      <c r="EBF159"/>
      <c r="EBG159"/>
      <c r="EBH159"/>
      <c r="EBI159"/>
      <c r="EBJ159"/>
      <c r="EBK159"/>
      <c r="EBL159"/>
      <c r="EBM159"/>
      <c r="EBN159"/>
      <c r="EBO159"/>
      <c r="EBP159"/>
      <c r="EBQ159"/>
      <c r="EBR159"/>
      <c r="EBS159"/>
      <c r="EBT159"/>
      <c r="EBU159"/>
      <c r="EBV159"/>
      <c r="EBW159"/>
      <c r="EBX159"/>
      <c r="EBY159"/>
      <c r="EBZ159"/>
      <c r="ECA159"/>
      <c r="ECB159"/>
      <c r="ECC159"/>
      <c r="ECD159"/>
      <c r="ECE159"/>
      <c r="ECF159"/>
      <c r="ECG159"/>
      <c r="ECH159"/>
      <c r="ECI159"/>
      <c r="ECJ159"/>
      <c r="ECK159"/>
      <c r="ECL159"/>
      <c r="ECM159"/>
      <c r="ECN159"/>
      <c r="ECO159"/>
      <c r="ECP159"/>
      <c r="ECQ159"/>
      <c r="ECR159"/>
      <c r="ECS159"/>
      <c r="ECT159"/>
      <c r="ECU159"/>
      <c r="ECV159"/>
      <c r="ECW159"/>
      <c r="ECX159"/>
      <c r="ECY159"/>
      <c r="ECZ159"/>
      <c r="EDA159"/>
      <c r="EDB159"/>
      <c r="EDC159"/>
      <c r="EDD159"/>
      <c r="EDE159"/>
      <c r="EDF159"/>
      <c r="EDG159"/>
      <c r="EDH159"/>
      <c r="EDI159"/>
      <c r="EDJ159"/>
      <c r="EDK159"/>
      <c r="EDL159"/>
      <c r="EDM159"/>
      <c r="EDN159"/>
      <c r="EDO159"/>
      <c r="EDP159"/>
      <c r="EDQ159"/>
      <c r="EDR159"/>
      <c r="EDS159"/>
      <c r="EDT159"/>
      <c r="EDU159"/>
      <c r="EDV159"/>
      <c r="EDW159"/>
      <c r="EDX159"/>
      <c r="EDY159"/>
      <c r="EDZ159"/>
      <c r="EEA159"/>
      <c r="EEB159"/>
      <c r="EEC159"/>
      <c r="EED159"/>
      <c r="EEE159"/>
      <c r="EEF159"/>
      <c r="EEG159"/>
      <c r="EEH159"/>
      <c r="EEI159"/>
      <c r="EEJ159"/>
      <c r="EEK159"/>
      <c r="EEL159"/>
      <c r="EEM159"/>
      <c r="EEN159"/>
      <c r="EEO159"/>
      <c r="EEP159"/>
      <c r="EEQ159"/>
      <c r="EER159"/>
      <c r="EES159"/>
      <c r="EET159"/>
      <c r="EEU159"/>
      <c r="EEV159"/>
      <c r="EEW159"/>
      <c r="EEX159"/>
      <c r="EEY159"/>
      <c r="EEZ159"/>
      <c r="EFA159"/>
      <c r="EFB159"/>
      <c r="EFC159"/>
      <c r="EFD159"/>
      <c r="EFE159"/>
      <c r="EFF159"/>
      <c r="EFG159"/>
      <c r="EFH159"/>
      <c r="EFI159"/>
      <c r="EFJ159"/>
      <c r="EFK159"/>
      <c r="EFL159"/>
      <c r="EFM159"/>
      <c r="EFN159"/>
      <c r="EFO159"/>
      <c r="EFP159"/>
      <c r="EFQ159"/>
      <c r="EFR159"/>
      <c r="EFS159"/>
      <c r="EFT159"/>
      <c r="EFU159"/>
      <c r="EFV159"/>
      <c r="EFW159"/>
      <c r="EFX159"/>
      <c r="EFY159"/>
      <c r="EFZ159"/>
      <c r="EGA159"/>
      <c r="EGB159"/>
      <c r="EGC159"/>
      <c r="EGD159"/>
      <c r="EGE159"/>
      <c r="EGF159"/>
      <c r="EGG159"/>
      <c r="EGH159"/>
      <c r="EGI159"/>
      <c r="EGJ159"/>
      <c r="EGK159"/>
      <c r="EGL159"/>
      <c r="EGM159"/>
      <c r="EGN159"/>
      <c r="EGO159"/>
      <c r="EGP159"/>
      <c r="EGQ159"/>
      <c r="EGR159"/>
      <c r="EGS159"/>
      <c r="EGT159"/>
      <c r="EGU159"/>
      <c r="EGV159"/>
      <c r="EGW159"/>
      <c r="EGX159"/>
      <c r="EGY159"/>
      <c r="EGZ159"/>
      <c r="EHA159"/>
      <c r="EHB159"/>
      <c r="EHC159"/>
      <c r="EHD159"/>
      <c r="EHE159"/>
      <c r="EHF159"/>
      <c r="EHG159"/>
      <c r="EHH159"/>
      <c r="EHI159"/>
      <c r="EHJ159"/>
      <c r="EHK159"/>
      <c r="EHL159"/>
      <c r="EHM159"/>
      <c r="EHN159"/>
      <c r="EHO159"/>
      <c r="EHP159"/>
      <c r="EHQ159"/>
      <c r="EHR159"/>
      <c r="EHS159"/>
      <c r="EHT159"/>
      <c r="EHU159"/>
      <c r="EHV159"/>
      <c r="EHW159"/>
      <c r="EHX159"/>
      <c r="EHY159"/>
      <c r="EHZ159"/>
      <c r="EIA159"/>
      <c r="EIB159"/>
      <c r="EIC159"/>
      <c r="EID159"/>
      <c r="EIE159"/>
      <c r="EIF159"/>
      <c r="EIG159"/>
      <c r="EIH159"/>
      <c r="EII159"/>
      <c r="EIJ159"/>
      <c r="EIK159"/>
      <c r="EIL159"/>
      <c r="EIM159"/>
      <c r="EIN159"/>
      <c r="EIO159"/>
      <c r="EIP159"/>
      <c r="EIQ159"/>
      <c r="EIR159"/>
      <c r="EIS159"/>
      <c r="EIT159"/>
      <c r="EIU159"/>
      <c r="EIV159"/>
      <c r="EIW159"/>
      <c r="EIX159"/>
      <c r="EIY159"/>
      <c r="EIZ159"/>
      <c r="EJA159"/>
      <c r="EJB159"/>
      <c r="EJC159"/>
      <c r="EJD159"/>
      <c r="EJE159"/>
      <c r="EJF159"/>
      <c r="EJG159"/>
      <c r="EJH159"/>
      <c r="EJI159"/>
      <c r="EJJ159"/>
      <c r="EJK159"/>
      <c r="EJL159"/>
      <c r="EJM159"/>
      <c r="EJN159"/>
      <c r="EJO159"/>
      <c r="EJP159"/>
      <c r="EJQ159"/>
      <c r="EJR159"/>
      <c r="EJS159"/>
      <c r="EJT159"/>
      <c r="EJU159"/>
      <c r="EJV159"/>
      <c r="EJW159"/>
      <c r="EJX159"/>
      <c r="EJY159"/>
      <c r="EJZ159"/>
      <c r="EKA159"/>
      <c r="EKB159"/>
      <c r="EKC159"/>
      <c r="EKD159"/>
      <c r="EKE159"/>
      <c r="EKF159"/>
      <c r="EKG159"/>
      <c r="EKH159"/>
      <c r="EKI159"/>
      <c r="EKJ159"/>
      <c r="EKK159"/>
      <c r="EKL159"/>
      <c r="EKM159"/>
      <c r="EKN159"/>
      <c r="EKO159"/>
      <c r="EKP159"/>
      <c r="EKQ159"/>
      <c r="EKR159"/>
      <c r="EKS159"/>
      <c r="EKT159"/>
      <c r="EKU159"/>
      <c r="EKV159"/>
      <c r="EKW159"/>
      <c r="EKX159"/>
      <c r="EKY159"/>
      <c r="EKZ159"/>
      <c r="ELA159"/>
      <c r="ELB159"/>
      <c r="ELC159"/>
      <c r="ELD159"/>
      <c r="ELE159"/>
      <c r="ELF159"/>
      <c r="ELG159"/>
      <c r="ELH159"/>
      <c r="ELI159"/>
      <c r="ELJ159"/>
      <c r="ELK159"/>
      <c r="ELL159"/>
      <c r="ELM159"/>
      <c r="ELN159"/>
      <c r="ELO159"/>
      <c r="ELP159"/>
      <c r="ELQ159"/>
      <c r="ELR159"/>
      <c r="ELS159"/>
      <c r="ELT159"/>
      <c r="ELU159"/>
      <c r="ELV159"/>
      <c r="ELW159"/>
      <c r="ELX159"/>
      <c r="ELY159"/>
      <c r="ELZ159"/>
      <c r="EMA159"/>
      <c r="EMB159"/>
      <c r="EMC159"/>
      <c r="EMD159"/>
      <c r="EME159"/>
      <c r="EMF159"/>
      <c r="EMG159"/>
      <c r="EMH159"/>
      <c r="EMI159"/>
      <c r="EMJ159"/>
      <c r="EMK159"/>
      <c r="EML159"/>
      <c r="EMM159"/>
      <c r="EMN159"/>
      <c r="EMO159"/>
      <c r="EMP159"/>
      <c r="EMQ159"/>
      <c r="EMR159"/>
      <c r="EMS159"/>
      <c r="EMT159"/>
      <c r="EMU159"/>
      <c r="EMV159"/>
      <c r="EMW159"/>
      <c r="EMX159"/>
      <c r="EMY159"/>
      <c r="EMZ159"/>
      <c r="ENA159"/>
      <c r="ENB159"/>
      <c r="ENC159"/>
      <c r="END159"/>
      <c r="ENE159"/>
      <c r="ENF159"/>
      <c r="ENG159"/>
      <c r="ENH159"/>
      <c r="ENI159"/>
      <c r="ENJ159"/>
      <c r="ENK159"/>
      <c r="ENL159"/>
      <c r="ENM159"/>
      <c r="ENN159"/>
      <c r="ENO159"/>
      <c r="ENP159"/>
      <c r="ENQ159"/>
      <c r="ENR159"/>
      <c r="ENS159"/>
      <c r="ENT159"/>
      <c r="ENU159"/>
      <c r="ENV159"/>
      <c r="ENW159"/>
      <c r="ENX159"/>
      <c r="ENY159"/>
      <c r="ENZ159"/>
      <c r="EOA159"/>
      <c r="EOB159"/>
      <c r="EOC159"/>
      <c r="EOD159"/>
      <c r="EOE159"/>
      <c r="EOF159"/>
      <c r="EOG159"/>
      <c r="EOH159"/>
      <c r="EOI159"/>
      <c r="EOJ159"/>
      <c r="EOK159"/>
      <c r="EOL159"/>
      <c r="EOM159"/>
      <c r="EON159"/>
      <c r="EOO159"/>
      <c r="EOP159"/>
      <c r="EOQ159"/>
      <c r="EOR159"/>
      <c r="EOS159"/>
      <c r="EOT159"/>
      <c r="EOU159"/>
      <c r="EOV159"/>
      <c r="EOW159"/>
      <c r="EOX159"/>
      <c r="EOY159"/>
      <c r="EOZ159"/>
      <c r="EPA159"/>
      <c r="EPB159"/>
      <c r="EPC159"/>
      <c r="EPD159"/>
      <c r="EPE159"/>
      <c r="EPF159"/>
      <c r="EPG159"/>
      <c r="EPH159"/>
      <c r="EPI159"/>
      <c r="EPJ159"/>
      <c r="EPK159"/>
      <c r="EPL159"/>
      <c r="EPM159"/>
      <c r="EPN159"/>
      <c r="EPO159"/>
      <c r="EPP159"/>
      <c r="EPQ159"/>
      <c r="EPR159"/>
      <c r="EPS159"/>
      <c r="EPT159"/>
      <c r="EPU159"/>
      <c r="EPV159"/>
      <c r="EPW159"/>
      <c r="EPX159"/>
      <c r="EPY159"/>
      <c r="EPZ159"/>
      <c r="EQA159"/>
      <c r="EQB159"/>
      <c r="EQC159"/>
      <c r="EQD159"/>
      <c r="EQE159"/>
      <c r="EQF159"/>
      <c r="EQG159"/>
      <c r="EQH159"/>
      <c r="EQI159"/>
      <c r="EQJ159"/>
      <c r="EQK159"/>
      <c r="EQL159"/>
      <c r="EQM159"/>
      <c r="EQN159"/>
      <c r="EQO159"/>
      <c r="EQP159"/>
      <c r="EQQ159"/>
      <c r="EQR159"/>
      <c r="EQS159"/>
      <c r="EQT159"/>
      <c r="EQU159"/>
      <c r="EQV159"/>
      <c r="EQW159"/>
      <c r="EQX159"/>
      <c r="EQY159"/>
      <c r="EQZ159"/>
      <c r="ERA159"/>
      <c r="ERB159"/>
      <c r="ERC159"/>
      <c r="ERD159"/>
      <c r="ERE159"/>
      <c r="ERF159"/>
      <c r="ERG159"/>
      <c r="ERH159"/>
      <c r="ERI159"/>
      <c r="ERJ159"/>
      <c r="ERK159"/>
      <c r="ERL159"/>
      <c r="ERM159"/>
      <c r="ERN159"/>
      <c r="ERO159"/>
      <c r="ERP159"/>
      <c r="ERQ159"/>
      <c r="ERR159"/>
      <c r="ERS159"/>
      <c r="ERT159"/>
      <c r="ERU159"/>
      <c r="ERV159"/>
      <c r="ERW159"/>
      <c r="ERX159"/>
      <c r="ERY159"/>
      <c r="ERZ159"/>
      <c r="ESA159"/>
      <c r="ESB159"/>
      <c r="ESC159"/>
      <c r="ESD159"/>
      <c r="ESE159"/>
      <c r="ESF159"/>
      <c r="ESG159"/>
      <c r="ESH159"/>
      <c r="ESI159"/>
      <c r="ESJ159"/>
      <c r="ESK159"/>
      <c r="ESL159"/>
      <c r="ESM159"/>
      <c r="ESN159"/>
      <c r="ESO159"/>
      <c r="ESP159"/>
      <c r="ESQ159"/>
      <c r="ESR159"/>
      <c r="ESS159"/>
      <c r="EST159"/>
      <c r="ESU159"/>
      <c r="ESV159"/>
      <c r="ESW159"/>
      <c r="ESX159"/>
      <c r="ESY159"/>
      <c r="ESZ159"/>
      <c r="ETA159"/>
      <c r="ETB159"/>
      <c r="ETC159"/>
      <c r="ETD159"/>
      <c r="ETE159"/>
      <c r="ETF159"/>
      <c r="ETG159"/>
      <c r="ETH159"/>
      <c r="ETI159"/>
      <c r="ETJ159"/>
      <c r="ETK159"/>
      <c r="ETL159"/>
      <c r="ETM159"/>
      <c r="ETN159"/>
      <c r="ETO159"/>
      <c r="ETP159"/>
      <c r="ETQ159"/>
      <c r="ETR159"/>
      <c r="ETS159"/>
      <c r="ETT159"/>
      <c r="ETU159"/>
      <c r="ETV159"/>
      <c r="ETW159"/>
      <c r="ETX159"/>
      <c r="ETY159"/>
      <c r="ETZ159"/>
      <c r="EUA159"/>
      <c r="EUB159"/>
      <c r="EUC159"/>
      <c r="EUD159"/>
      <c r="EUE159"/>
      <c r="EUF159"/>
      <c r="EUG159"/>
      <c r="EUH159"/>
      <c r="EUI159"/>
      <c r="EUJ159"/>
      <c r="EUK159"/>
      <c r="EUL159"/>
      <c r="EUM159"/>
      <c r="EUN159"/>
      <c r="EUO159"/>
      <c r="EUP159"/>
      <c r="EUQ159"/>
      <c r="EUR159"/>
      <c r="EUS159"/>
      <c r="EUT159"/>
      <c r="EUU159"/>
      <c r="EUV159"/>
      <c r="EUW159"/>
      <c r="EUX159"/>
      <c r="EUY159"/>
      <c r="EUZ159"/>
      <c r="EVA159"/>
      <c r="EVB159"/>
      <c r="EVC159"/>
      <c r="EVD159"/>
      <c r="EVE159"/>
      <c r="EVF159"/>
      <c r="EVG159"/>
      <c r="EVH159"/>
      <c r="EVI159"/>
      <c r="EVJ159"/>
      <c r="EVK159"/>
      <c r="EVL159"/>
      <c r="EVM159"/>
      <c r="EVN159"/>
      <c r="EVO159"/>
      <c r="EVP159"/>
      <c r="EVQ159"/>
      <c r="EVR159"/>
      <c r="EVS159"/>
      <c r="EVT159"/>
      <c r="EVU159"/>
      <c r="EVV159"/>
      <c r="EVW159"/>
      <c r="EVX159"/>
      <c r="EVY159"/>
      <c r="EVZ159"/>
      <c r="EWA159"/>
      <c r="EWB159"/>
      <c r="EWC159"/>
      <c r="EWD159"/>
      <c r="EWE159"/>
      <c r="EWF159"/>
      <c r="EWG159"/>
      <c r="EWH159"/>
      <c r="EWI159"/>
      <c r="EWJ159"/>
      <c r="EWK159"/>
      <c r="EWL159"/>
      <c r="EWM159"/>
      <c r="EWN159"/>
      <c r="EWO159"/>
      <c r="EWP159"/>
      <c r="EWQ159"/>
      <c r="EWR159"/>
      <c r="EWS159"/>
      <c r="EWT159"/>
      <c r="EWU159"/>
      <c r="EWV159"/>
      <c r="EWW159"/>
      <c r="EWX159"/>
      <c r="EWY159"/>
      <c r="EWZ159"/>
      <c r="EXA159"/>
      <c r="EXB159"/>
      <c r="EXC159"/>
      <c r="EXD159"/>
      <c r="EXE159"/>
      <c r="EXF159"/>
      <c r="EXG159"/>
      <c r="EXH159"/>
      <c r="EXI159"/>
      <c r="EXJ159"/>
      <c r="EXK159"/>
      <c r="EXL159"/>
      <c r="EXM159"/>
      <c r="EXN159"/>
      <c r="EXO159"/>
      <c r="EXP159"/>
      <c r="EXQ159"/>
      <c r="EXR159"/>
      <c r="EXS159"/>
      <c r="EXT159"/>
      <c r="EXU159"/>
      <c r="EXV159"/>
      <c r="EXW159"/>
      <c r="EXX159"/>
      <c r="EXY159"/>
      <c r="EXZ159"/>
      <c r="EYA159"/>
      <c r="EYB159"/>
      <c r="EYC159"/>
      <c r="EYD159"/>
      <c r="EYE159"/>
      <c r="EYF159"/>
      <c r="EYG159"/>
      <c r="EYH159"/>
      <c r="EYI159"/>
      <c r="EYJ159"/>
      <c r="EYK159"/>
      <c r="EYL159"/>
      <c r="EYM159"/>
      <c r="EYN159"/>
      <c r="EYO159"/>
      <c r="EYP159"/>
      <c r="EYQ159"/>
      <c r="EYR159"/>
      <c r="EYS159"/>
      <c r="EYT159"/>
      <c r="EYU159"/>
      <c r="EYV159"/>
      <c r="EYW159"/>
      <c r="EYX159"/>
      <c r="EYY159"/>
      <c r="EYZ159"/>
      <c r="EZA159"/>
      <c r="EZB159"/>
      <c r="EZC159"/>
      <c r="EZD159"/>
      <c r="EZE159"/>
      <c r="EZF159"/>
      <c r="EZG159"/>
      <c r="EZH159"/>
      <c r="EZI159"/>
      <c r="EZJ159"/>
      <c r="EZK159"/>
      <c r="EZL159"/>
      <c r="EZM159"/>
      <c r="EZN159"/>
      <c r="EZO159"/>
      <c r="EZP159"/>
      <c r="EZQ159"/>
      <c r="EZR159"/>
      <c r="EZS159"/>
      <c r="EZT159"/>
      <c r="EZU159"/>
      <c r="EZV159"/>
      <c r="EZW159"/>
      <c r="EZX159"/>
      <c r="EZY159"/>
      <c r="EZZ159"/>
      <c r="FAA159"/>
      <c r="FAB159"/>
      <c r="FAC159"/>
      <c r="FAD159"/>
      <c r="FAE159"/>
      <c r="FAF159"/>
      <c r="FAG159"/>
      <c r="FAH159"/>
      <c r="FAI159"/>
      <c r="FAJ159"/>
      <c r="FAK159"/>
      <c r="FAL159"/>
      <c r="FAM159"/>
      <c r="FAN159"/>
      <c r="FAO159"/>
      <c r="FAP159"/>
      <c r="FAQ159"/>
      <c r="FAR159"/>
      <c r="FAS159"/>
      <c r="FAT159"/>
      <c r="FAU159"/>
      <c r="FAV159"/>
      <c r="FAW159"/>
      <c r="FAX159"/>
      <c r="FAY159"/>
      <c r="FAZ159"/>
      <c r="FBA159"/>
      <c r="FBB159"/>
      <c r="FBC159"/>
      <c r="FBD159"/>
      <c r="FBE159"/>
      <c r="FBF159"/>
      <c r="FBG159"/>
      <c r="FBH159"/>
      <c r="FBI159"/>
      <c r="FBJ159"/>
      <c r="FBK159"/>
      <c r="FBL159"/>
      <c r="FBM159"/>
      <c r="FBN159"/>
      <c r="FBO159"/>
      <c r="FBP159"/>
      <c r="FBQ159"/>
      <c r="FBR159"/>
      <c r="FBS159"/>
      <c r="FBT159"/>
      <c r="FBU159"/>
      <c r="FBV159"/>
      <c r="FBW159"/>
      <c r="FBX159"/>
      <c r="FBY159"/>
      <c r="FBZ159"/>
      <c r="FCA159"/>
      <c r="FCB159"/>
      <c r="FCC159"/>
      <c r="FCD159"/>
      <c r="FCE159"/>
      <c r="FCF159"/>
      <c r="FCG159"/>
      <c r="FCH159"/>
      <c r="FCI159"/>
      <c r="FCJ159"/>
      <c r="FCK159"/>
      <c r="FCL159"/>
      <c r="FCM159"/>
      <c r="FCN159"/>
      <c r="FCO159"/>
      <c r="FCP159"/>
      <c r="FCQ159"/>
      <c r="FCR159"/>
      <c r="FCS159"/>
      <c r="FCT159"/>
      <c r="FCU159"/>
      <c r="FCV159"/>
      <c r="FCW159"/>
      <c r="FCX159"/>
      <c r="FCY159"/>
      <c r="FCZ159"/>
      <c r="FDA159"/>
      <c r="FDB159"/>
      <c r="FDC159"/>
      <c r="FDD159"/>
      <c r="FDE159"/>
      <c r="FDF159"/>
      <c r="FDG159"/>
      <c r="FDH159"/>
      <c r="FDI159"/>
      <c r="FDJ159"/>
      <c r="FDK159"/>
      <c r="FDL159"/>
      <c r="FDM159"/>
      <c r="FDN159"/>
      <c r="FDO159"/>
      <c r="FDP159"/>
      <c r="FDQ159"/>
      <c r="FDR159"/>
      <c r="FDS159"/>
      <c r="FDT159"/>
      <c r="FDU159"/>
      <c r="FDV159"/>
      <c r="FDW159"/>
      <c r="FDX159"/>
      <c r="FDY159"/>
      <c r="FDZ159"/>
      <c r="FEA159"/>
      <c r="FEB159"/>
      <c r="FEC159"/>
      <c r="FED159"/>
      <c r="FEE159"/>
      <c r="FEF159"/>
      <c r="FEG159"/>
      <c r="FEH159"/>
      <c r="FEI159"/>
      <c r="FEJ159"/>
      <c r="FEK159"/>
      <c r="FEL159"/>
      <c r="FEM159"/>
      <c r="FEN159"/>
      <c r="FEO159"/>
      <c r="FEP159"/>
      <c r="FEQ159"/>
      <c r="FER159"/>
      <c r="FES159"/>
      <c r="FET159"/>
      <c r="FEU159"/>
      <c r="FEV159"/>
      <c r="FEW159"/>
      <c r="FEX159"/>
      <c r="FEY159"/>
      <c r="FEZ159"/>
      <c r="FFA159"/>
      <c r="FFB159"/>
      <c r="FFC159"/>
      <c r="FFD159"/>
      <c r="FFE159"/>
      <c r="FFF159"/>
      <c r="FFG159"/>
      <c r="FFH159"/>
      <c r="FFI159"/>
      <c r="FFJ159"/>
      <c r="FFK159"/>
      <c r="FFL159"/>
      <c r="FFM159"/>
      <c r="FFN159"/>
      <c r="FFO159"/>
      <c r="FFP159"/>
      <c r="FFQ159"/>
      <c r="FFR159"/>
      <c r="FFS159"/>
      <c r="FFT159"/>
      <c r="FFU159"/>
      <c r="FFV159"/>
      <c r="FFW159"/>
      <c r="FFX159"/>
      <c r="FFY159"/>
      <c r="FFZ159"/>
      <c r="FGA159"/>
      <c r="FGB159"/>
      <c r="FGC159"/>
      <c r="FGD159"/>
      <c r="FGE159"/>
      <c r="FGF159"/>
      <c r="FGG159"/>
      <c r="FGH159"/>
      <c r="FGI159"/>
      <c r="FGJ159"/>
      <c r="FGK159"/>
      <c r="FGL159"/>
      <c r="FGM159"/>
      <c r="FGN159"/>
      <c r="FGO159"/>
      <c r="FGP159"/>
      <c r="FGQ159"/>
      <c r="FGR159"/>
      <c r="FGS159"/>
      <c r="FGT159"/>
      <c r="FGU159"/>
      <c r="FGV159"/>
      <c r="FGW159"/>
      <c r="FGX159"/>
      <c r="FGY159"/>
      <c r="FGZ159"/>
      <c r="FHA159"/>
      <c r="FHB159"/>
      <c r="FHC159"/>
      <c r="FHD159"/>
      <c r="FHE159"/>
      <c r="FHF159"/>
      <c r="FHG159"/>
      <c r="FHH159"/>
      <c r="FHI159"/>
      <c r="FHJ159"/>
      <c r="FHK159"/>
      <c r="FHL159"/>
      <c r="FHM159"/>
      <c r="FHN159"/>
      <c r="FHO159"/>
      <c r="FHP159"/>
      <c r="FHQ159"/>
      <c r="FHR159"/>
      <c r="FHS159"/>
      <c r="FHT159"/>
      <c r="FHU159"/>
      <c r="FHV159"/>
      <c r="FHW159"/>
      <c r="FHX159"/>
      <c r="FHY159"/>
      <c r="FHZ159"/>
      <c r="FIA159"/>
      <c r="FIB159"/>
      <c r="FIC159"/>
      <c r="FID159"/>
      <c r="FIE159"/>
      <c r="FIF159"/>
      <c r="FIG159"/>
      <c r="FIH159"/>
      <c r="FII159"/>
      <c r="FIJ159"/>
      <c r="FIK159"/>
      <c r="FIL159"/>
      <c r="FIM159"/>
      <c r="FIN159"/>
      <c r="FIO159"/>
      <c r="FIP159"/>
      <c r="FIQ159"/>
      <c r="FIR159"/>
      <c r="FIS159"/>
      <c r="FIT159"/>
      <c r="FIU159"/>
      <c r="FIV159"/>
      <c r="FIW159"/>
      <c r="FIX159"/>
      <c r="FIY159"/>
      <c r="FIZ159"/>
      <c r="FJA159"/>
      <c r="FJB159"/>
      <c r="FJC159"/>
      <c r="FJD159"/>
      <c r="FJE159"/>
      <c r="FJF159"/>
      <c r="FJG159"/>
      <c r="FJH159"/>
      <c r="FJI159"/>
      <c r="FJJ159"/>
      <c r="FJK159"/>
      <c r="FJL159"/>
      <c r="FJM159"/>
      <c r="FJN159"/>
      <c r="FJO159"/>
      <c r="FJP159"/>
      <c r="FJQ159"/>
      <c r="FJR159"/>
      <c r="FJS159"/>
      <c r="FJT159"/>
      <c r="FJU159"/>
      <c r="FJV159"/>
      <c r="FJW159"/>
      <c r="FJX159"/>
      <c r="FJY159"/>
      <c r="FJZ159"/>
      <c r="FKA159"/>
      <c r="FKB159"/>
      <c r="FKC159"/>
      <c r="FKD159"/>
      <c r="FKE159"/>
      <c r="FKF159"/>
      <c r="FKG159"/>
      <c r="FKH159"/>
      <c r="FKI159"/>
      <c r="FKJ159"/>
      <c r="FKK159"/>
      <c r="FKL159"/>
      <c r="FKM159"/>
      <c r="FKN159"/>
      <c r="FKO159"/>
      <c r="FKP159"/>
      <c r="FKQ159"/>
      <c r="FKR159"/>
      <c r="FKS159"/>
      <c r="FKT159"/>
      <c r="FKU159"/>
      <c r="FKV159"/>
      <c r="FKW159"/>
      <c r="FKX159"/>
      <c r="FKY159"/>
      <c r="FKZ159"/>
      <c r="FLA159"/>
      <c r="FLB159"/>
      <c r="FLC159"/>
      <c r="FLD159"/>
      <c r="FLE159"/>
      <c r="FLF159"/>
      <c r="FLG159"/>
      <c r="FLH159"/>
      <c r="FLI159"/>
      <c r="FLJ159"/>
      <c r="FLK159"/>
      <c r="FLL159"/>
      <c r="FLM159"/>
      <c r="FLN159"/>
      <c r="FLO159"/>
      <c r="FLP159"/>
      <c r="FLQ159"/>
      <c r="FLR159"/>
      <c r="FLS159"/>
      <c r="FLT159"/>
      <c r="FLU159"/>
      <c r="FLV159"/>
      <c r="FLW159"/>
      <c r="FLX159"/>
      <c r="FLY159"/>
      <c r="FLZ159"/>
      <c r="FMA159"/>
      <c r="FMB159"/>
      <c r="FMC159"/>
      <c r="FMD159"/>
      <c r="FME159"/>
      <c r="FMF159"/>
      <c r="FMG159"/>
      <c r="FMH159"/>
      <c r="FMI159"/>
      <c r="FMJ159"/>
      <c r="FMK159"/>
      <c r="FML159"/>
      <c r="FMM159"/>
      <c r="FMN159"/>
      <c r="FMO159"/>
      <c r="FMP159"/>
      <c r="FMQ159"/>
      <c r="FMR159"/>
      <c r="FMS159"/>
      <c r="FMT159"/>
      <c r="FMU159"/>
      <c r="FMV159"/>
      <c r="FMW159"/>
      <c r="FMX159"/>
      <c r="FMY159"/>
      <c r="FMZ159"/>
      <c r="FNA159"/>
      <c r="FNB159"/>
      <c r="FNC159"/>
      <c r="FND159"/>
      <c r="FNE159"/>
      <c r="FNF159"/>
      <c r="FNG159"/>
      <c r="FNH159"/>
      <c r="FNI159"/>
      <c r="FNJ159"/>
      <c r="FNK159"/>
      <c r="FNL159"/>
      <c r="FNM159"/>
      <c r="FNN159"/>
      <c r="FNO159"/>
      <c r="FNP159"/>
      <c r="FNQ159"/>
      <c r="FNR159"/>
      <c r="FNS159"/>
      <c r="FNT159"/>
      <c r="FNU159"/>
      <c r="FNV159"/>
      <c r="FNW159"/>
      <c r="FNX159"/>
      <c r="FNY159"/>
      <c r="FNZ159"/>
      <c r="FOA159"/>
      <c r="FOB159"/>
      <c r="FOC159"/>
      <c r="FOD159"/>
      <c r="FOE159"/>
      <c r="FOF159"/>
      <c r="FOG159"/>
      <c r="FOH159"/>
      <c r="FOI159"/>
      <c r="FOJ159"/>
      <c r="FOK159"/>
      <c r="FOL159"/>
      <c r="FOM159"/>
      <c r="FON159"/>
      <c r="FOO159"/>
      <c r="FOP159"/>
      <c r="FOQ159"/>
      <c r="FOR159"/>
      <c r="FOS159"/>
      <c r="FOT159"/>
      <c r="FOU159"/>
      <c r="FOV159"/>
      <c r="FOW159"/>
      <c r="FOX159"/>
      <c r="FOY159"/>
      <c r="FOZ159"/>
      <c r="FPA159"/>
      <c r="FPB159"/>
      <c r="FPC159"/>
      <c r="FPD159"/>
      <c r="FPE159"/>
      <c r="FPF159"/>
      <c r="FPG159"/>
      <c r="FPH159"/>
      <c r="FPI159"/>
      <c r="FPJ159"/>
      <c r="FPK159"/>
      <c r="FPL159"/>
      <c r="FPM159"/>
      <c r="FPN159"/>
      <c r="FPO159"/>
      <c r="FPP159"/>
      <c r="FPQ159"/>
      <c r="FPR159"/>
      <c r="FPS159"/>
      <c r="FPT159"/>
      <c r="FPU159"/>
      <c r="FPV159"/>
      <c r="FPW159"/>
      <c r="FPX159"/>
      <c r="FPY159"/>
      <c r="FPZ159"/>
      <c r="FQA159"/>
      <c r="FQB159"/>
      <c r="FQC159"/>
      <c r="FQD159"/>
      <c r="FQE159"/>
      <c r="FQF159"/>
      <c r="FQG159"/>
      <c r="FQH159"/>
      <c r="FQI159"/>
      <c r="FQJ159"/>
      <c r="FQK159"/>
      <c r="FQL159"/>
      <c r="FQM159"/>
      <c r="FQN159"/>
      <c r="FQO159"/>
      <c r="FQP159"/>
      <c r="FQQ159"/>
      <c r="FQR159"/>
      <c r="FQS159"/>
      <c r="FQT159"/>
      <c r="FQU159"/>
      <c r="FQV159"/>
      <c r="FQW159"/>
      <c r="FQX159"/>
      <c r="FQY159"/>
      <c r="FQZ159"/>
      <c r="FRA159"/>
      <c r="FRB159"/>
      <c r="FRC159"/>
      <c r="FRD159"/>
      <c r="FRE159"/>
      <c r="FRF159"/>
      <c r="FRG159"/>
      <c r="FRH159"/>
      <c r="FRI159"/>
      <c r="FRJ159"/>
      <c r="FRK159"/>
      <c r="FRL159"/>
      <c r="FRM159"/>
      <c r="FRN159"/>
      <c r="FRO159"/>
      <c r="FRP159"/>
      <c r="FRQ159"/>
      <c r="FRR159"/>
      <c r="FRS159"/>
      <c r="FRT159"/>
      <c r="FRU159"/>
      <c r="FRV159"/>
      <c r="FRW159"/>
      <c r="FRX159"/>
      <c r="FRY159"/>
      <c r="FRZ159"/>
      <c r="FSA159"/>
      <c r="FSB159"/>
      <c r="FSC159"/>
      <c r="FSD159"/>
      <c r="FSE159"/>
      <c r="FSF159"/>
      <c r="FSG159"/>
      <c r="FSH159"/>
      <c r="FSI159"/>
      <c r="FSJ159"/>
      <c r="FSK159"/>
      <c r="FSL159"/>
      <c r="FSM159"/>
      <c r="FSN159"/>
      <c r="FSO159"/>
      <c r="FSP159"/>
      <c r="FSQ159"/>
      <c r="FSR159"/>
      <c r="FSS159"/>
      <c r="FST159"/>
      <c r="FSU159"/>
      <c r="FSV159"/>
      <c r="FSW159"/>
      <c r="FSX159"/>
      <c r="FSY159"/>
      <c r="FSZ159"/>
      <c r="FTA159"/>
      <c r="FTB159"/>
      <c r="FTC159"/>
      <c r="FTD159"/>
      <c r="FTE159"/>
      <c r="FTF159"/>
      <c r="FTG159"/>
      <c r="FTH159"/>
      <c r="FTI159"/>
      <c r="FTJ159"/>
      <c r="FTK159"/>
      <c r="FTL159"/>
      <c r="FTM159"/>
      <c r="FTN159"/>
      <c r="FTO159"/>
      <c r="FTP159"/>
      <c r="FTQ159"/>
      <c r="FTR159"/>
      <c r="FTS159"/>
      <c r="FTT159"/>
      <c r="FTU159"/>
      <c r="FTV159"/>
      <c r="FTW159"/>
      <c r="FTX159"/>
      <c r="FTY159"/>
      <c r="FTZ159"/>
      <c r="FUA159"/>
      <c r="FUB159"/>
      <c r="FUC159"/>
      <c r="FUD159"/>
      <c r="FUE159"/>
      <c r="FUF159"/>
      <c r="FUG159"/>
      <c r="FUH159"/>
      <c r="FUI159"/>
      <c r="FUJ159"/>
      <c r="FUK159"/>
      <c r="FUL159"/>
      <c r="FUM159"/>
      <c r="FUN159"/>
      <c r="FUO159"/>
      <c r="FUP159"/>
      <c r="FUQ159"/>
      <c r="FUR159"/>
      <c r="FUS159"/>
      <c r="FUT159"/>
      <c r="FUU159"/>
      <c r="FUV159"/>
      <c r="FUW159"/>
      <c r="FUX159"/>
      <c r="FUY159"/>
      <c r="FUZ159"/>
      <c r="FVA159"/>
      <c r="FVB159"/>
      <c r="FVC159"/>
      <c r="FVD159"/>
      <c r="FVE159"/>
      <c r="FVF159"/>
      <c r="FVG159"/>
      <c r="FVH159"/>
      <c r="FVI159"/>
      <c r="FVJ159"/>
      <c r="FVK159"/>
      <c r="FVL159"/>
      <c r="FVM159"/>
      <c r="FVN159"/>
      <c r="FVO159"/>
      <c r="FVP159"/>
      <c r="FVQ159"/>
      <c r="FVR159"/>
      <c r="FVS159"/>
      <c r="FVT159"/>
      <c r="FVU159"/>
      <c r="FVV159"/>
      <c r="FVW159"/>
      <c r="FVX159"/>
      <c r="FVY159"/>
      <c r="FVZ159"/>
      <c r="FWA159"/>
      <c r="FWB159"/>
      <c r="FWC159"/>
      <c r="FWD159"/>
      <c r="FWE159"/>
      <c r="FWF159"/>
      <c r="FWG159"/>
      <c r="FWH159"/>
      <c r="FWI159"/>
      <c r="FWJ159"/>
      <c r="FWK159"/>
      <c r="FWL159"/>
      <c r="FWM159"/>
      <c r="FWN159"/>
      <c r="FWO159"/>
      <c r="FWP159"/>
      <c r="FWQ159"/>
      <c r="FWR159"/>
      <c r="FWS159"/>
      <c r="FWT159"/>
      <c r="FWU159"/>
      <c r="FWV159"/>
      <c r="FWW159"/>
      <c r="FWX159"/>
      <c r="FWY159"/>
      <c r="FWZ159"/>
      <c r="FXA159"/>
      <c r="FXB159"/>
      <c r="FXC159"/>
      <c r="FXD159"/>
      <c r="FXE159"/>
      <c r="FXF159"/>
      <c r="FXG159"/>
      <c r="FXH159"/>
      <c r="FXI159"/>
      <c r="FXJ159"/>
      <c r="FXK159"/>
      <c r="FXL159"/>
      <c r="FXM159"/>
      <c r="FXN159"/>
      <c r="FXO159"/>
      <c r="FXP159"/>
      <c r="FXQ159"/>
      <c r="FXR159"/>
      <c r="FXS159"/>
      <c r="FXT159"/>
      <c r="FXU159"/>
      <c r="FXV159"/>
      <c r="FXW159"/>
      <c r="FXX159"/>
      <c r="FXY159"/>
      <c r="FXZ159"/>
      <c r="FYA159"/>
      <c r="FYB159"/>
      <c r="FYC159"/>
      <c r="FYD159"/>
      <c r="FYE159"/>
      <c r="FYF159"/>
      <c r="FYG159"/>
      <c r="FYH159"/>
      <c r="FYI159"/>
      <c r="FYJ159"/>
      <c r="FYK159"/>
      <c r="FYL159"/>
      <c r="FYM159"/>
      <c r="FYN159"/>
      <c r="FYO159"/>
      <c r="FYP159"/>
      <c r="FYQ159"/>
      <c r="FYR159"/>
      <c r="FYS159"/>
      <c r="FYT159"/>
      <c r="FYU159"/>
      <c r="FYV159"/>
      <c r="FYW159"/>
      <c r="FYX159"/>
      <c r="FYY159"/>
      <c r="FYZ159"/>
      <c r="FZA159"/>
      <c r="FZB159"/>
      <c r="FZC159"/>
      <c r="FZD159"/>
      <c r="FZE159"/>
      <c r="FZF159"/>
      <c r="FZG159"/>
      <c r="FZH159"/>
      <c r="FZI159"/>
      <c r="FZJ159"/>
      <c r="FZK159"/>
      <c r="FZL159"/>
      <c r="FZM159"/>
      <c r="FZN159"/>
      <c r="FZO159"/>
      <c r="FZP159"/>
      <c r="FZQ159"/>
      <c r="FZR159"/>
      <c r="FZS159"/>
      <c r="FZT159"/>
      <c r="FZU159"/>
      <c r="FZV159"/>
      <c r="FZW159"/>
      <c r="FZX159"/>
      <c r="FZY159"/>
      <c r="FZZ159"/>
      <c r="GAA159"/>
      <c r="GAB159"/>
      <c r="GAC159"/>
      <c r="GAD159"/>
      <c r="GAE159"/>
      <c r="GAF159"/>
      <c r="GAG159"/>
      <c r="GAH159"/>
      <c r="GAI159"/>
      <c r="GAJ159"/>
      <c r="GAK159"/>
      <c r="GAL159"/>
      <c r="GAM159"/>
      <c r="GAN159"/>
      <c r="GAO159"/>
      <c r="GAP159"/>
      <c r="GAQ159"/>
      <c r="GAR159"/>
      <c r="GAS159"/>
      <c r="GAT159"/>
      <c r="GAU159"/>
      <c r="GAV159"/>
      <c r="GAW159"/>
      <c r="GAX159"/>
      <c r="GAY159"/>
      <c r="GAZ159"/>
      <c r="GBA159"/>
      <c r="GBB159"/>
      <c r="GBC159"/>
      <c r="GBD159"/>
      <c r="GBE159"/>
      <c r="GBF159"/>
      <c r="GBG159"/>
      <c r="GBH159"/>
      <c r="GBI159"/>
      <c r="GBJ159"/>
      <c r="GBK159"/>
      <c r="GBL159"/>
      <c r="GBM159"/>
      <c r="GBN159"/>
      <c r="GBO159"/>
      <c r="GBP159"/>
      <c r="GBQ159"/>
      <c r="GBR159"/>
      <c r="GBS159"/>
      <c r="GBT159"/>
      <c r="GBU159"/>
      <c r="GBV159"/>
      <c r="GBW159"/>
      <c r="GBX159"/>
      <c r="GBY159"/>
      <c r="GBZ159"/>
      <c r="GCA159"/>
      <c r="GCB159"/>
      <c r="GCC159"/>
      <c r="GCD159"/>
      <c r="GCE159"/>
      <c r="GCF159"/>
      <c r="GCG159"/>
      <c r="GCH159"/>
      <c r="GCI159"/>
      <c r="GCJ159"/>
      <c r="GCK159"/>
      <c r="GCL159"/>
      <c r="GCM159"/>
      <c r="GCN159"/>
      <c r="GCO159"/>
      <c r="GCP159"/>
      <c r="GCQ159"/>
      <c r="GCR159"/>
      <c r="GCS159"/>
      <c r="GCT159"/>
      <c r="GCU159"/>
      <c r="GCV159"/>
      <c r="GCW159"/>
      <c r="GCX159"/>
      <c r="GCY159"/>
      <c r="GCZ159"/>
      <c r="GDA159"/>
      <c r="GDB159"/>
      <c r="GDC159"/>
      <c r="GDD159"/>
      <c r="GDE159"/>
      <c r="GDF159"/>
      <c r="GDG159"/>
      <c r="GDH159"/>
      <c r="GDI159"/>
      <c r="GDJ159"/>
      <c r="GDK159"/>
      <c r="GDL159"/>
      <c r="GDM159"/>
      <c r="GDN159"/>
      <c r="GDO159"/>
      <c r="GDP159"/>
      <c r="GDQ159"/>
      <c r="GDR159"/>
      <c r="GDS159"/>
      <c r="GDT159"/>
      <c r="GDU159"/>
      <c r="GDV159"/>
      <c r="GDW159"/>
      <c r="GDX159"/>
      <c r="GDY159"/>
      <c r="GDZ159"/>
      <c r="GEA159"/>
      <c r="GEB159"/>
      <c r="GEC159"/>
      <c r="GED159"/>
      <c r="GEE159"/>
      <c r="GEF159"/>
      <c r="GEG159"/>
      <c r="GEH159"/>
      <c r="GEI159"/>
      <c r="GEJ159"/>
      <c r="GEK159"/>
      <c r="GEL159"/>
      <c r="GEM159"/>
      <c r="GEN159"/>
      <c r="GEO159"/>
      <c r="GEP159"/>
      <c r="GEQ159"/>
      <c r="GER159"/>
      <c r="GES159"/>
      <c r="GET159"/>
      <c r="GEU159"/>
      <c r="GEV159"/>
      <c r="GEW159"/>
      <c r="GEX159"/>
      <c r="GEY159"/>
      <c r="GEZ159"/>
      <c r="GFA159"/>
      <c r="GFB159"/>
      <c r="GFC159"/>
      <c r="GFD159"/>
      <c r="GFE159"/>
      <c r="GFF159"/>
      <c r="GFG159"/>
      <c r="GFH159"/>
      <c r="GFI159"/>
      <c r="GFJ159"/>
      <c r="GFK159"/>
      <c r="GFL159"/>
      <c r="GFM159"/>
      <c r="GFN159"/>
      <c r="GFO159"/>
      <c r="GFP159"/>
      <c r="GFQ159"/>
      <c r="GFR159"/>
      <c r="GFS159"/>
      <c r="GFT159"/>
      <c r="GFU159"/>
      <c r="GFV159"/>
      <c r="GFW159"/>
      <c r="GFX159"/>
      <c r="GFY159"/>
      <c r="GFZ159"/>
      <c r="GGA159"/>
      <c r="GGB159"/>
      <c r="GGC159"/>
      <c r="GGD159"/>
      <c r="GGE159"/>
      <c r="GGF159"/>
      <c r="GGG159"/>
      <c r="GGH159"/>
      <c r="GGI159"/>
      <c r="GGJ159"/>
      <c r="GGK159"/>
      <c r="GGL159"/>
      <c r="GGM159"/>
      <c r="GGN159"/>
      <c r="GGO159"/>
      <c r="GGP159"/>
      <c r="GGQ159"/>
      <c r="GGR159"/>
      <c r="GGS159"/>
      <c r="GGT159"/>
      <c r="GGU159"/>
      <c r="GGV159"/>
      <c r="GGW159"/>
      <c r="GGX159"/>
      <c r="GGY159"/>
      <c r="GGZ159"/>
      <c r="GHA159"/>
      <c r="GHB159"/>
      <c r="GHC159"/>
      <c r="GHD159"/>
      <c r="GHE159"/>
      <c r="GHF159"/>
      <c r="GHG159"/>
      <c r="GHH159"/>
      <c r="GHI159"/>
      <c r="GHJ159"/>
      <c r="GHK159"/>
      <c r="GHL159"/>
      <c r="GHM159"/>
      <c r="GHN159"/>
      <c r="GHO159"/>
      <c r="GHP159"/>
      <c r="GHQ159"/>
      <c r="GHR159"/>
      <c r="GHS159"/>
      <c r="GHT159"/>
      <c r="GHU159"/>
      <c r="GHV159"/>
      <c r="GHW159"/>
      <c r="GHX159"/>
      <c r="GHY159"/>
      <c r="GHZ159"/>
      <c r="GIA159"/>
      <c r="GIB159"/>
      <c r="GIC159"/>
      <c r="GID159"/>
      <c r="GIE159"/>
      <c r="GIF159"/>
      <c r="GIG159"/>
      <c r="GIH159"/>
      <c r="GII159"/>
      <c r="GIJ159"/>
      <c r="GIK159"/>
      <c r="GIL159"/>
      <c r="GIM159"/>
      <c r="GIN159"/>
      <c r="GIO159"/>
      <c r="GIP159"/>
      <c r="GIQ159"/>
      <c r="GIR159"/>
      <c r="GIS159"/>
      <c r="GIT159"/>
      <c r="GIU159"/>
      <c r="GIV159"/>
      <c r="GIW159"/>
      <c r="GIX159"/>
      <c r="GIY159"/>
      <c r="GIZ159"/>
      <c r="GJA159"/>
      <c r="GJB159"/>
      <c r="GJC159"/>
      <c r="GJD159"/>
      <c r="GJE159"/>
      <c r="GJF159"/>
      <c r="GJG159"/>
      <c r="GJH159"/>
      <c r="GJI159"/>
      <c r="GJJ159"/>
      <c r="GJK159"/>
      <c r="GJL159"/>
      <c r="GJM159"/>
      <c r="GJN159"/>
      <c r="GJO159"/>
      <c r="GJP159"/>
      <c r="GJQ159"/>
      <c r="GJR159"/>
      <c r="GJS159"/>
      <c r="GJT159"/>
      <c r="GJU159"/>
      <c r="GJV159"/>
      <c r="GJW159"/>
      <c r="GJX159"/>
      <c r="GJY159"/>
      <c r="GJZ159"/>
      <c r="GKA159"/>
      <c r="GKB159"/>
      <c r="GKC159"/>
      <c r="GKD159"/>
      <c r="GKE159"/>
      <c r="GKF159"/>
      <c r="GKG159"/>
      <c r="GKH159"/>
      <c r="GKI159"/>
      <c r="GKJ159"/>
      <c r="GKK159"/>
      <c r="GKL159"/>
      <c r="GKM159"/>
      <c r="GKN159"/>
      <c r="GKO159"/>
      <c r="GKP159"/>
      <c r="GKQ159"/>
      <c r="GKR159"/>
      <c r="GKS159"/>
      <c r="GKT159"/>
      <c r="GKU159"/>
      <c r="GKV159"/>
      <c r="GKW159"/>
      <c r="GKX159"/>
      <c r="GKY159"/>
      <c r="GKZ159"/>
      <c r="GLA159"/>
      <c r="GLB159"/>
      <c r="GLC159"/>
      <c r="GLD159"/>
      <c r="GLE159"/>
      <c r="GLF159"/>
      <c r="GLG159"/>
      <c r="GLH159"/>
      <c r="GLI159"/>
      <c r="GLJ159"/>
      <c r="GLK159"/>
      <c r="GLL159"/>
      <c r="GLM159"/>
      <c r="GLN159"/>
      <c r="GLO159"/>
      <c r="GLP159"/>
      <c r="GLQ159"/>
      <c r="GLR159"/>
      <c r="GLS159"/>
      <c r="GLT159"/>
      <c r="GLU159"/>
      <c r="GLV159"/>
      <c r="GLW159"/>
      <c r="GLX159"/>
      <c r="GLY159"/>
      <c r="GLZ159"/>
      <c r="GMA159"/>
      <c r="GMB159"/>
      <c r="GMC159"/>
      <c r="GMD159"/>
      <c r="GME159"/>
      <c r="GMF159"/>
      <c r="GMG159"/>
      <c r="GMH159"/>
      <c r="GMI159"/>
      <c r="GMJ159"/>
      <c r="GMK159"/>
      <c r="GML159"/>
      <c r="GMM159"/>
      <c r="GMN159"/>
      <c r="GMO159"/>
      <c r="GMP159"/>
      <c r="GMQ159"/>
      <c r="GMR159"/>
      <c r="GMS159"/>
      <c r="GMT159"/>
      <c r="GMU159"/>
      <c r="GMV159"/>
      <c r="GMW159"/>
      <c r="GMX159"/>
      <c r="GMY159"/>
      <c r="GMZ159"/>
      <c r="GNA159"/>
      <c r="GNB159"/>
      <c r="GNC159"/>
      <c r="GND159"/>
      <c r="GNE159"/>
      <c r="GNF159"/>
      <c r="GNG159"/>
      <c r="GNH159"/>
      <c r="GNI159"/>
      <c r="GNJ159"/>
      <c r="GNK159"/>
      <c r="GNL159"/>
      <c r="GNM159"/>
      <c r="GNN159"/>
      <c r="GNO159"/>
      <c r="GNP159"/>
      <c r="GNQ159"/>
      <c r="GNR159"/>
      <c r="GNS159"/>
      <c r="GNT159"/>
      <c r="GNU159"/>
      <c r="GNV159"/>
      <c r="GNW159"/>
      <c r="GNX159"/>
      <c r="GNY159"/>
      <c r="GNZ159"/>
      <c r="GOA159"/>
      <c r="GOB159"/>
      <c r="GOC159"/>
      <c r="GOD159"/>
      <c r="GOE159"/>
      <c r="GOF159"/>
      <c r="GOG159"/>
      <c r="GOH159"/>
      <c r="GOI159"/>
      <c r="GOJ159"/>
      <c r="GOK159"/>
      <c r="GOL159"/>
      <c r="GOM159"/>
      <c r="GON159"/>
      <c r="GOO159"/>
      <c r="GOP159"/>
      <c r="GOQ159"/>
      <c r="GOR159"/>
      <c r="GOS159"/>
      <c r="GOT159"/>
      <c r="GOU159"/>
      <c r="GOV159"/>
      <c r="GOW159"/>
      <c r="GOX159"/>
      <c r="GOY159"/>
      <c r="GOZ159"/>
      <c r="GPA159"/>
      <c r="GPB159"/>
      <c r="GPC159"/>
      <c r="GPD159"/>
      <c r="GPE159"/>
      <c r="GPF159"/>
      <c r="GPG159"/>
      <c r="GPH159"/>
      <c r="GPI159"/>
      <c r="GPJ159"/>
      <c r="GPK159"/>
      <c r="GPL159"/>
      <c r="GPM159"/>
      <c r="GPN159"/>
      <c r="GPO159"/>
      <c r="GPP159"/>
      <c r="GPQ159"/>
      <c r="GPR159"/>
      <c r="GPS159"/>
      <c r="GPT159"/>
      <c r="GPU159"/>
      <c r="GPV159"/>
      <c r="GPW159"/>
      <c r="GPX159"/>
      <c r="GPY159"/>
      <c r="GPZ159"/>
      <c r="GQA159"/>
      <c r="GQB159"/>
      <c r="GQC159"/>
      <c r="GQD159"/>
      <c r="GQE159"/>
      <c r="GQF159"/>
      <c r="GQG159"/>
      <c r="GQH159"/>
      <c r="GQI159"/>
      <c r="GQJ159"/>
      <c r="GQK159"/>
      <c r="GQL159"/>
      <c r="GQM159"/>
      <c r="GQN159"/>
      <c r="GQO159"/>
      <c r="GQP159"/>
      <c r="GQQ159"/>
      <c r="GQR159"/>
      <c r="GQS159"/>
      <c r="GQT159"/>
      <c r="GQU159"/>
      <c r="GQV159"/>
      <c r="GQW159"/>
      <c r="GQX159"/>
      <c r="GQY159"/>
      <c r="GQZ159"/>
      <c r="GRA159"/>
      <c r="GRB159"/>
      <c r="GRC159"/>
      <c r="GRD159"/>
      <c r="GRE159"/>
      <c r="GRF159"/>
      <c r="GRG159"/>
      <c r="GRH159"/>
      <c r="GRI159"/>
      <c r="GRJ159"/>
      <c r="GRK159"/>
      <c r="GRL159"/>
      <c r="GRM159"/>
      <c r="GRN159"/>
      <c r="GRO159"/>
      <c r="GRP159"/>
      <c r="GRQ159"/>
      <c r="GRR159"/>
      <c r="GRS159"/>
      <c r="GRT159"/>
      <c r="GRU159"/>
      <c r="GRV159"/>
      <c r="GRW159"/>
      <c r="GRX159"/>
      <c r="GRY159"/>
      <c r="GRZ159"/>
      <c r="GSA159"/>
      <c r="GSB159"/>
      <c r="GSC159"/>
      <c r="GSD159"/>
      <c r="GSE159"/>
      <c r="GSF159"/>
      <c r="GSG159"/>
      <c r="GSH159"/>
      <c r="GSI159"/>
      <c r="GSJ159"/>
      <c r="GSK159"/>
      <c r="GSL159"/>
      <c r="GSM159"/>
      <c r="GSN159"/>
      <c r="GSO159"/>
      <c r="GSP159"/>
      <c r="GSQ159"/>
      <c r="GSR159"/>
      <c r="GSS159"/>
      <c r="GST159"/>
      <c r="GSU159"/>
      <c r="GSV159"/>
      <c r="GSW159"/>
      <c r="GSX159"/>
      <c r="GSY159"/>
      <c r="GSZ159"/>
      <c r="GTA159"/>
      <c r="GTB159"/>
      <c r="GTC159"/>
      <c r="GTD159"/>
      <c r="GTE159"/>
      <c r="GTF159"/>
      <c r="GTG159"/>
      <c r="GTH159"/>
      <c r="GTI159"/>
      <c r="GTJ159"/>
      <c r="GTK159"/>
      <c r="GTL159"/>
      <c r="GTM159"/>
      <c r="GTN159"/>
      <c r="GTO159"/>
      <c r="GTP159"/>
      <c r="GTQ159"/>
      <c r="GTR159"/>
      <c r="GTS159"/>
      <c r="GTT159"/>
      <c r="GTU159"/>
      <c r="GTV159"/>
      <c r="GTW159"/>
      <c r="GTX159"/>
      <c r="GTY159"/>
      <c r="GTZ159"/>
      <c r="GUA159"/>
      <c r="GUB159"/>
      <c r="GUC159"/>
      <c r="GUD159"/>
      <c r="GUE159"/>
      <c r="GUF159"/>
      <c r="GUG159"/>
      <c r="GUH159"/>
      <c r="GUI159"/>
      <c r="GUJ159"/>
      <c r="GUK159"/>
      <c r="GUL159"/>
      <c r="GUM159"/>
      <c r="GUN159"/>
      <c r="GUO159"/>
      <c r="GUP159"/>
      <c r="GUQ159"/>
      <c r="GUR159"/>
      <c r="GUS159"/>
      <c r="GUT159"/>
      <c r="GUU159"/>
      <c r="GUV159"/>
      <c r="GUW159"/>
      <c r="GUX159"/>
      <c r="GUY159"/>
      <c r="GUZ159"/>
      <c r="GVA159"/>
      <c r="GVB159"/>
      <c r="GVC159"/>
      <c r="GVD159"/>
      <c r="GVE159"/>
      <c r="GVF159"/>
      <c r="GVG159"/>
      <c r="GVH159"/>
      <c r="GVI159"/>
      <c r="GVJ159"/>
      <c r="GVK159"/>
      <c r="GVL159"/>
      <c r="GVM159"/>
      <c r="GVN159"/>
      <c r="GVO159"/>
      <c r="GVP159"/>
      <c r="GVQ159"/>
      <c r="GVR159"/>
      <c r="GVS159"/>
      <c r="GVT159"/>
      <c r="GVU159"/>
      <c r="GVV159"/>
      <c r="GVW159"/>
      <c r="GVX159"/>
      <c r="GVY159"/>
      <c r="GVZ159"/>
      <c r="GWA159"/>
      <c r="GWB159"/>
      <c r="GWC159"/>
      <c r="GWD159"/>
      <c r="GWE159"/>
      <c r="GWF159"/>
      <c r="GWG159"/>
      <c r="GWH159"/>
      <c r="GWI159"/>
      <c r="GWJ159"/>
      <c r="GWK159"/>
      <c r="GWL159"/>
      <c r="GWM159"/>
      <c r="GWN159"/>
      <c r="GWO159"/>
      <c r="GWP159"/>
      <c r="GWQ159"/>
      <c r="GWR159"/>
      <c r="GWS159"/>
      <c r="GWT159"/>
      <c r="GWU159"/>
      <c r="GWV159"/>
      <c r="GWW159"/>
      <c r="GWX159"/>
      <c r="GWY159"/>
      <c r="GWZ159"/>
      <c r="GXA159"/>
      <c r="GXB159"/>
      <c r="GXC159"/>
      <c r="GXD159"/>
      <c r="GXE159"/>
      <c r="GXF159"/>
      <c r="GXG159"/>
      <c r="GXH159"/>
      <c r="GXI159"/>
      <c r="GXJ159"/>
      <c r="GXK159"/>
      <c r="GXL159"/>
      <c r="GXM159"/>
      <c r="GXN159"/>
      <c r="GXO159"/>
      <c r="GXP159"/>
      <c r="GXQ159"/>
      <c r="GXR159"/>
      <c r="GXS159"/>
      <c r="GXT159"/>
      <c r="GXU159"/>
      <c r="GXV159"/>
      <c r="GXW159"/>
      <c r="GXX159"/>
      <c r="GXY159"/>
      <c r="GXZ159"/>
      <c r="GYA159"/>
      <c r="GYB159"/>
      <c r="GYC159"/>
      <c r="GYD159"/>
      <c r="GYE159"/>
      <c r="GYF159"/>
      <c r="GYG159"/>
      <c r="GYH159"/>
      <c r="GYI159"/>
      <c r="GYJ159"/>
      <c r="GYK159"/>
      <c r="GYL159"/>
      <c r="GYM159"/>
      <c r="GYN159"/>
      <c r="GYO159"/>
      <c r="GYP159"/>
      <c r="GYQ159"/>
      <c r="GYR159"/>
      <c r="GYS159"/>
      <c r="GYT159"/>
      <c r="GYU159"/>
      <c r="GYV159"/>
      <c r="GYW159"/>
      <c r="GYX159"/>
      <c r="GYY159"/>
      <c r="GYZ159"/>
      <c r="GZA159"/>
      <c r="GZB159"/>
      <c r="GZC159"/>
      <c r="GZD159"/>
      <c r="GZE159"/>
      <c r="GZF159"/>
      <c r="GZG159"/>
      <c r="GZH159"/>
      <c r="GZI159"/>
      <c r="GZJ159"/>
      <c r="GZK159"/>
      <c r="GZL159"/>
      <c r="GZM159"/>
      <c r="GZN159"/>
      <c r="GZO159"/>
      <c r="GZP159"/>
      <c r="GZQ159"/>
      <c r="GZR159"/>
      <c r="GZS159"/>
      <c r="GZT159"/>
      <c r="GZU159"/>
      <c r="GZV159"/>
      <c r="GZW159"/>
      <c r="GZX159"/>
      <c r="GZY159"/>
      <c r="GZZ159"/>
      <c r="HAA159"/>
      <c r="HAB159"/>
      <c r="HAC159"/>
      <c r="HAD159"/>
      <c r="HAE159"/>
      <c r="HAF159"/>
      <c r="HAG159"/>
      <c r="HAH159"/>
      <c r="HAI159"/>
      <c r="HAJ159"/>
      <c r="HAK159"/>
      <c r="HAL159"/>
      <c r="HAM159"/>
      <c r="HAN159"/>
      <c r="HAO159"/>
      <c r="HAP159"/>
      <c r="HAQ159"/>
      <c r="HAR159"/>
      <c r="HAS159"/>
      <c r="HAT159"/>
      <c r="HAU159"/>
      <c r="HAV159"/>
      <c r="HAW159"/>
      <c r="HAX159"/>
      <c r="HAY159"/>
      <c r="HAZ159"/>
      <c r="HBA159"/>
      <c r="HBB159"/>
      <c r="HBC159"/>
      <c r="HBD159"/>
      <c r="HBE159"/>
      <c r="HBF159"/>
      <c r="HBG159"/>
      <c r="HBH159"/>
      <c r="HBI159"/>
      <c r="HBJ159"/>
      <c r="HBK159"/>
      <c r="HBL159"/>
      <c r="HBM159"/>
      <c r="HBN159"/>
      <c r="HBO159"/>
      <c r="HBP159"/>
      <c r="HBQ159"/>
      <c r="HBR159"/>
      <c r="HBS159"/>
      <c r="HBT159"/>
      <c r="HBU159"/>
      <c r="HBV159"/>
      <c r="HBW159"/>
      <c r="HBX159"/>
      <c r="HBY159"/>
      <c r="HBZ159"/>
      <c r="HCA159"/>
      <c r="HCB159"/>
      <c r="HCC159"/>
      <c r="HCD159"/>
      <c r="HCE159"/>
      <c r="HCF159"/>
      <c r="HCG159"/>
      <c r="HCH159"/>
      <c r="HCI159"/>
      <c r="HCJ159"/>
      <c r="HCK159"/>
      <c r="HCL159"/>
      <c r="HCM159"/>
      <c r="HCN159"/>
      <c r="HCO159"/>
      <c r="HCP159"/>
      <c r="HCQ159"/>
      <c r="HCR159"/>
      <c r="HCS159"/>
      <c r="HCT159"/>
      <c r="HCU159"/>
      <c r="HCV159"/>
      <c r="HCW159"/>
      <c r="HCX159"/>
      <c r="HCY159"/>
      <c r="HCZ159"/>
      <c r="HDA159"/>
      <c r="HDB159"/>
      <c r="HDC159"/>
      <c r="HDD159"/>
      <c r="HDE159"/>
      <c r="HDF159"/>
      <c r="HDG159"/>
      <c r="HDH159"/>
      <c r="HDI159"/>
      <c r="HDJ159"/>
      <c r="HDK159"/>
      <c r="HDL159"/>
      <c r="HDM159"/>
      <c r="HDN159"/>
      <c r="HDO159"/>
      <c r="HDP159"/>
      <c r="HDQ159"/>
      <c r="HDR159"/>
      <c r="HDS159"/>
      <c r="HDT159"/>
      <c r="HDU159"/>
      <c r="HDV159"/>
      <c r="HDW159"/>
      <c r="HDX159"/>
      <c r="HDY159"/>
      <c r="HDZ159"/>
      <c r="HEA159"/>
      <c r="HEB159"/>
      <c r="HEC159"/>
      <c r="HED159"/>
      <c r="HEE159"/>
      <c r="HEF159"/>
      <c r="HEG159"/>
      <c r="HEH159"/>
      <c r="HEI159"/>
      <c r="HEJ159"/>
      <c r="HEK159"/>
      <c r="HEL159"/>
      <c r="HEM159"/>
      <c r="HEN159"/>
      <c r="HEO159"/>
      <c r="HEP159"/>
      <c r="HEQ159"/>
      <c r="HER159"/>
      <c r="HES159"/>
      <c r="HET159"/>
      <c r="HEU159"/>
      <c r="HEV159"/>
      <c r="HEW159"/>
      <c r="HEX159"/>
      <c r="HEY159"/>
      <c r="HEZ159"/>
      <c r="HFA159"/>
      <c r="HFB159"/>
      <c r="HFC159"/>
      <c r="HFD159"/>
      <c r="HFE159"/>
      <c r="HFF159"/>
      <c r="HFG159"/>
      <c r="HFH159"/>
      <c r="HFI159"/>
      <c r="HFJ159"/>
      <c r="HFK159"/>
      <c r="HFL159"/>
      <c r="HFM159"/>
      <c r="HFN159"/>
      <c r="HFO159"/>
      <c r="HFP159"/>
      <c r="HFQ159"/>
      <c r="HFR159"/>
      <c r="HFS159"/>
      <c r="HFT159"/>
      <c r="HFU159"/>
      <c r="HFV159"/>
      <c r="HFW159"/>
      <c r="HFX159"/>
      <c r="HFY159"/>
      <c r="HFZ159"/>
      <c r="HGA159"/>
      <c r="HGB159"/>
      <c r="HGC159"/>
      <c r="HGD159"/>
      <c r="HGE159"/>
      <c r="HGF159"/>
      <c r="HGG159"/>
      <c r="HGH159"/>
      <c r="HGI159"/>
      <c r="HGJ159"/>
      <c r="HGK159"/>
      <c r="HGL159"/>
      <c r="HGM159"/>
      <c r="HGN159"/>
      <c r="HGO159"/>
      <c r="HGP159"/>
      <c r="HGQ159"/>
      <c r="HGR159"/>
      <c r="HGS159"/>
      <c r="HGT159"/>
      <c r="HGU159"/>
      <c r="HGV159"/>
      <c r="HGW159"/>
      <c r="HGX159"/>
      <c r="HGY159"/>
      <c r="HGZ159"/>
      <c r="HHA159"/>
      <c r="HHB159"/>
      <c r="HHC159"/>
      <c r="HHD159"/>
      <c r="HHE159"/>
      <c r="HHF159"/>
      <c r="HHG159"/>
      <c r="HHH159"/>
      <c r="HHI159"/>
      <c r="HHJ159"/>
      <c r="HHK159"/>
      <c r="HHL159"/>
      <c r="HHM159"/>
      <c r="HHN159"/>
      <c r="HHO159"/>
      <c r="HHP159"/>
      <c r="HHQ159"/>
      <c r="HHR159"/>
      <c r="HHS159"/>
      <c r="HHT159"/>
      <c r="HHU159"/>
      <c r="HHV159"/>
      <c r="HHW159"/>
      <c r="HHX159"/>
      <c r="HHY159"/>
      <c r="HHZ159"/>
      <c r="HIA159"/>
      <c r="HIB159"/>
      <c r="HIC159"/>
      <c r="HID159"/>
      <c r="HIE159"/>
      <c r="HIF159"/>
      <c r="HIG159"/>
      <c r="HIH159"/>
      <c r="HII159"/>
      <c r="HIJ159"/>
      <c r="HIK159"/>
      <c r="HIL159"/>
      <c r="HIM159"/>
      <c r="HIN159"/>
      <c r="HIO159"/>
      <c r="HIP159"/>
      <c r="HIQ159"/>
      <c r="HIR159"/>
      <c r="HIS159"/>
      <c r="HIT159"/>
      <c r="HIU159"/>
      <c r="HIV159"/>
      <c r="HIW159"/>
      <c r="HIX159"/>
      <c r="HIY159"/>
      <c r="HIZ159"/>
      <c r="HJA159"/>
      <c r="HJB159"/>
      <c r="HJC159"/>
      <c r="HJD159"/>
      <c r="HJE159"/>
      <c r="HJF159"/>
      <c r="HJG159"/>
      <c r="HJH159"/>
      <c r="HJI159"/>
      <c r="HJJ159"/>
      <c r="HJK159"/>
      <c r="HJL159"/>
      <c r="HJM159"/>
      <c r="HJN159"/>
      <c r="HJO159"/>
      <c r="HJP159"/>
      <c r="HJQ159"/>
      <c r="HJR159"/>
      <c r="HJS159"/>
      <c r="HJT159"/>
      <c r="HJU159"/>
      <c r="HJV159"/>
      <c r="HJW159"/>
      <c r="HJX159"/>
      <c r="HJY159"/>
      <c r="HJZ159"/>
      <c r="HKA159"/>
      <c r="HKB159"/>
      <c r="HKC159"/>
      <c r="HKD159"/>
      <c r="HKE159"/>
      <c r="HKF159"/>
      <c r="HKG159"/>
      <c r="HKH159"/>
      <c r="HKI159"/>
      <c r="HKJ159"/>
      <c r="HKK159"/>
      <c r="HKL159"/>
      <c r="HKM159"/>
      <c r="HKN159"/>
      <c r="HKO159"/>
      <c r="HKP159"/>
      <c r="HKQ159"/>
      <c r="HKR159"/>
      <c r="HKS159"/>
      <c r="HKT159"/>
      <c r="HKU159"/>
      <c r="HKV159"/>
      <c r="HKW159"/>
      <c r="HKX159"/>
      <c r="HKY159"/>
      <c r="HKZ159"/>
      <c r="HLA159"/>
      <c r="HLB159"/>
      <c r="HLC159"/>
      <c r="HLD159"/>
      <c r="HLE159"/>
      <c r="HLF159"/>
      <c r="HLG159"/>
      <c r="HLH159"/>
      <c r="HLI159"/>
      <c r="HLJ159"/>
      <c r="HLK159"/>
      <c r="HLL159"/>
      <c r="HLM159"/>
      <c r="HLN159"/>
      <c r="HLO159"/>
      <c r="HLP159"/>
      <c r="HLQ159"/>
      <c r="HLR159"/>
      <c r="HLS159"/>
      <c r="HLT159"/>
      <c r="HLU159"/>
      <c r="HLV159"/>
      <c r="HLW159"/>
      <c r="HLX159"/>
      <c r="HLY159"/>
      <c r="HLZ159"/>
      <c r="HMA159"/>
      <c r="HMB159"/>
      <c r="HMC159"/>
      <c r="HMD159"/>
      <c r="HME159"/>
      <c r="HMF159"/>
      <c r="HMG159"/>
      <c r="HMH159"/>
      <c r="HMI159"/>
      <c r="HMJ159"/>
      <c r="HMK159"/>
      <c r="HML159"/>
      <c r="HMM159"/>
      <c r="HMN159"/>
      <c r="HMO159"/>
      <c r="HMP159"/>
      <c r="HMQ159"/>
      <c r="HMR159"/>
      <c r="HMS159"/>
      <c r="HMT159"/>
      <c r="HMU159"/>
      <c r="HMV159"/>
      <c r="HMW159"/>
      <c r="HMX159"/>
      <c r="HMY159"/>
      <c r="HMZ159"/>
      <c r="HNA159"/>
      <c r="HNB159"/>
      <c r="HNC159"/>
      <c r="HND159"/>
      <c r="HNE159"/>
      <c r="HNF159"/>
      <c r="HNG159"/>
      <c r="HNH159"/>
      <c r="HNI159"/>
      <c r="HNJ159"/>
      <c r="HNK159"/>
      <c r="HNL159"/>
      <c r="HNM159"/>
      <c r="HNN159"/>
      <c r="HNO159"/>
      <c r="HNP159"/>
      <c r="HNQ159"/>
      <c r="HNR159"/>
      <c r="HNS159"/>
      <c r="HNT159"/>
      <c r="HNU159"/>
      <c r="HNV159"/>
      <c r="HNW159"/>
      <c r="HNX159"/>
      <c r="HNY159"/>
      <c r="HNZ159"/>
      <c r="HOA159"/>
      <c r="HOB159"/>
      <c r="HOC159"/>
      <c r="HOD159"/>
      <c r="HOE159"/>
      <c r="HOF159"/>
      <c r="HOG159"/>
      <c r="HOH159"/>
      <c r="HOI159"/>
      <c r="HOJ159"/>
      <c r="HOK159"/>
      <c r="HOL159"/>
      <c r="HOM159"/>
      <c r="HON159"/>
      <c r="HOO159"/>
      <c r="HOP159"/>
      <c r="HOQ159"/>
      <c r="HOR159"/>
      <c r="HOS159"/>
      <c r="HOT159"/>
      <c r="HOU159"/>
      <c r="HOV159"/>
      <c r="HOW159"/>
      <c r="HOX159"/>
      <c r="HOY159"/>
      <c r="HOZ159"/>
      <c r="HPA159"/>
      <c r="HPB159"/>
      <c r="HPC159"/>
      <c r="HPD159"/>
      <c r="HPE159"/>
      <c r="HPF159"/>
      <c r="HPG159"/>
      <c r="HPH159"/>
      <c r="HPI159"/>
      <c r="HPJ159"/>
      <c r="HPK159"/>
      <c r="HPL159"/>
      <c r="HPM159"/>
      <c r="HPN159"/>
      <c r="HPO159"/>
      <c r="HPP159"/>
      <c r="HPQ159"/>
      <c r="HPR159"/>
      <c r="HPS159"/>
      <c r="HPT159"/>
      <c r="HPU159"/>
      <c r="HPV159"/>
      <c r="HPW159"/>
      <c r="HPX159"/>
      <c r="HPY159"/>
      <c r="HPZ159"/>
      <c r="HQA159"/>
      <c r="HQB159"/>
      <c r="HQC159"/>
      <c r="HQD159"/>
      <c r="HQE159"/>
      <c r="HQF159"/>
      <c r="HQG159"/>
      <c r="HQH159"/>
      <c r="HQI159"/>
      <c r="HQJ159"/>
      <c r="HQK159"/>
      <c r="HQL159"/>
      <c r="HQM159"/>
      <c r="HQN159"/>
      <c r="HQO159"/>
      <c r="HQP159"/>
      <c r="HQQ159"/>
      <c r="HQR159"/>
      <c r="HQS159"/>
      <c r="HQT159"/>
      <c r="HQU159"/>
      <c r="HQV159"/>
      <c r="HQW159"/>
      <c r="HQX159"/>
      <c r="HQY159"/>
      <c r="HQZ159"/>
      <c r="HRA159"/>
      <c r="HRB159"/>
      <c r="HRC159"/>
      <c r="HRD159"/>
      <c r="HRE159"/>
      <c r="HRF159"/>
      <c r="HRG159"/>
      <c r="HRH159"/>
      <c r="HRI159"/>
      <c r="HRJ159"/>
      <c r="HRK159"/>
      <c r="HRL159"/>
      <c r="HRM159"/>
      <c r="HRN159"/>
      <c r="HRO159"/>
      <c r="HRP159"/>
      <c r="HRQ159"/>
      <c r="HRR159"/>
      <c r="HRS159"/>
      <c r="HRT159"/>
      <c r="HRU159"/>
      <c r="HRV159"/>
      <c r="HRW159"/>
      <c r="HRX159"/>
      <c r="HRY159"/>
      <c r="HRZ159"/>
      <c r="HSA159"/>
      <c r="HSB159"/>
      <c r="HSC159"/>
      <c r="HSD159"/>
      <c r="HSE159"/>
      <c r="HSF159"/>
      <c r="HSG159"/>
      <c r="HSH159"/>
      <c r="HSI159"/>
      <c r="HSJ159"/>
      <c r="HSK159"/>
      <c r="HSL159"/>
      <c r="HSM159"/>
      <c r="HSN159"/>
      <c r="HSO159"/>
      <c r="HSP159"/>
      <c r="HSQ159"/>
      <c r="HSR159"/>
      <c r="HSS159"/>
      <c r="HST159"/>
      <c r="HSU159"/>
      <c r="HSV159"/>
      <c r="HSW159"/>
      <c r="HSX159"/>
      <c r="HSY159"/>
      <c r="HSZ159"/>
      <c r="HTA159"/>
      <c r="HTB159"/>
      <c r="HTC159"/>
      <c r="HTD159"/>
      <c r="HTE159"/>
      <c r="HTF159"/>
      <c r="HTG159"/>
      <c r="HTH159"/>
      <c r="HTI159"/>
      <c r="HTJ159"/>
      <c r="HTK159"/>
      <c r="HTL159"/>
      <c r="HTM159"/>
      <c r="HTN159"/>
      <c r="HTO159"/>
      <c r="HTP159"/>
      <c r="HTQ159"/>
      <c r="HTR159"/>
      <c r="HTS159"/>
      <c r="HTT159"/>
      <c r="HTU159"/>
      <c r="HTV159"/>
      <c r="HTW159"/>
      <c r="HTX159"/>
      <c r="HTY159"/>
      <c r="HTZ159"/>
      <c r="HUA159"/>
      <c r="HUB159"/>
      <c r="HUC159"/>
      <c r="HUD159"/>
      <c r="HUE159"/>
      <c r="HUF159"/>
      <c r="HUG159"/>
      <c r="HUH159"/>
      <c r="HUI159"/>
      <c r="HUJ159"/>
      <c r="HUK159"/>
      <c r="HUL159"/>
      <c r="HUM159"/>
      <c r="HUN159"/>
      <c r="HUO159"/>
      <c r="HUP159"/>
      <c r="HUQ159"/>
      <c r="HUR159"/>
      <c r="HUS159"/>
      <c r="HUT159"/>
      <c r="HUU159"/>
      <c r="HUV159"/>
      <c r="HUW159"/>
      <c r="HUX159"/>
      <c r="HUY159"/>
      <c r="HUZ159"/>
      <c r="HVA159"/>
      <c r="HVB159"/>
      <c r="HVC159"/>
      <c r="HVD159"/>
      <c r="HVE159"/>
      <c r="HVF159"/>
      <c r="HVG159"/>
      <c r="HVH159"/>
      <c r="HVI159"/>
      <c r="HVJ159"/>
      <c r="HVK159"/>
      <c r="HVL159"/>
      <c r="HVM159"/>
      <c r="HVN159"/>
      <c r="HVO159"/>
      <c r="HVP159"/>
      <c r="HVQ159"/>
      <c r="HVR159"/>
      <c r="HVS159"/>
      <c r="HVT159"/>
      <c r="HVU159"/>
      <c r="HVV159"/>
      <c r="HVW159"/>
      <c r="HVX159"/>
      <c r="HVY159"/>
      <c r="HVZ159"/>
      <c r="HWA159"/>
      <c r="HWB159"/>
      <c r="HWC159"/>
      <c r="HWD159"/>
      <c r="HWE159"/>
      <c r="HWF159"/>
      <c r="HWG159"/>
      <c r="HWH159"/>
      <c r="HWI159"/>
      <c r="HWJ159"/>
      <c r="HWK159"/>
      <c r="HWL159"/>
      <c r="HWM159"/>
      <c r="HWN159"/>
      <c r="HWO159"/>
      <c r="HWP159"/>
      <c r="HWQ159"/>
      <c r="HWR159"/>
      <c r="HWS159"/>
      <c r="HWT159"/>
      <c r="HWU159"/>
      <c r="HWV159"/>
      <c r="HWW159"/>
      <c r="HWX159"/>
      <c r="HWY159"/>
      <c r="HWZ159"/>
      <c r="HXA159"/>
      <c r="HXB159"/>
      <c r="HXC159"/>
      <c r="HXD159"/>
      <c r="HXE159"/>
      <c r="HXF159"/>
      <c r="HXG159"/>
      <c r="HXH159"/>
      <c r="HXI159"/>
      <c r="HXJ159"/>
      <c r="HXK159"/>
      <c r="HXL159"/>
      <c r="HXM159"/>
      <c r="HXN159"/>
      <c r="HXO159"/>
      <c r="HXP159"/>
      <c r="HXQ159"/>
      <c r="HXR159"/>
      <c r="HXS159"/>
      <c r="HXT159"/>
      <c r="HXU159"/>
      <c r="HXV159"/>
      <c r="HXW159"/>
      <c r="HXX159"/>
      <c r="HXY159"/>
      <c r="HXZ159"/>
      <c r="HYA159"/>
      <c r="HYB159"/>
      <c r="HYC159"/>
      <c r="HYD159"/>
      <c r="HYE159"/>
      <c r="HYF159"/>
      <c r="HYG159"/>
      <c r="HYH159"/>
      <c r="HYI159"/>
      <c r="HYJ159"/>
      <c r="HYK159"/>
      <c r="HYL159"/>
      <c r="HYM159"/>
      <c r="HYN159"/>
      <c r="HYO159"/>
      <c r="HYP159"/>
      <c r="HYQ159"/>
      <c r="HYR159"/>
      <c r="HYS159"/>
      <c r="HYT159"/>
      <c r="HYU159"/>
      <c r="HYV159"/>
      <c r="HYW159"/>
      <c r="HYX159"/>
      <c r="HYY159"/>
      <c r="HYZ159"/>
      <c r="HZA159"/>
      <c r="HZB159"/>
      <c r="HZC159"/>
      <c r="HZD159"/>
      <c r="HZE159"/>
      <c r="HZF159"/>
      <c r="HZG159"/>
      <c r="HZH159"/>
      <c r="HZI159"/>
      <c r="HZJ159"/>
      <c r="HZK159"/>
      <c r="HZL159"/>
      <c r="HZM159"/>
      <c r="HZN159"/>
      <c r="HZO159"/>
      <c r="HZP159"/>
      <c r="HZQ159"/>
      <c r="HZR159"/>
      <c r="HZS159"/>
      <c r="HZT159"/>
      <c r="HZU159"/>
      <c r="HZV159"/>
      <c r="HZW159"/>
      <c r="HZX159"/>
      <c r="HZY159"/>
      <c r="HZZ159"/>
      <c r="IAA159"/>
      <c r="IAB159"/>
      <c r="IAC159"/>
      <c r="IAD159"/>
      <c r="IAE159"/>
      <c r="IAF159"/>
      <c r="IAG159"/>
      <c r="IAH159"/>
      <c r="IAI159"/>
      <c r="IAJ159"/>
      <c r="IAK159"/>
      <c r="IAL159"/>
      <c r="IAM159"/>
      <c r="IAN159"/>
      <c r="IAO159"/>
      <c r="IAP159"/>
      <c r="IAQ159"/>
      <c r="IAR159"/>
      <c r="IAS159"/>
      <c r="IAT159"/>
      <c r="IAU159"/>
      <c r="IAV159"/>
      <c r="IAW159"/>
      <c r="IAX159"/>
      <c r="IAY159"/>
      <c r="IAZ159"/>
      <c r="IBA159"/>
      <c r="IBB159"/>
      <c r="IBC159"/>
      <c r="IBD159"/>
      <c r="IBE159"/>
      <c r="IBF159"/>
      <c r="IBG159"/>
      <c r="IBH159"/>
      <c r="IBI159"/>
      <c r="IBJ159"/>
      <c r="IBK159"/>
      <c r="IBL159"/>
      <c r="IBM159"/>
      <c r="IBN159"/>
      <c r="IBO159"/>
      <c r="IBP159"/>
      <c r="IBQ159"/>
      <c r="IBR159"/>
      <c r="IBS159"/>
      <c r="IBT159"/>
      <c r="IBU159"/>
      <c r="IBV159"/>
      <c r="IBW159"/>
      <c r="IBX159"/>
      <c r="IBY159"/>
      <c r="IBZ159"/>
      <c r="ICA159"/>
      <c r="ICB159"/>
      <c r="ICC159"/>
      <c r="ICD159"/>
      <c r="ICE159"/>
      <c r="ICF159"/>
      <c r="ICG159"/>
      <c r="ICH159"/>
      <c r="ICI159"/>
      <c r="ICJ159"/>
      <c r="ICK159"/>
      <c r="ICL159"/>
      <c r="ICM159"/>
      <c r="ICN159"/>
      <c r="ICO159"/>
      <c r="ICP159"/>
      <c r="ICQ159"/>
      <c r="ICR159"/>
      <c r="ICS159"/>
      <c r="ICT159"/>
      <c r="ICU159"/>
      <c r="ICV159"/>
      <c r="ICW159"/>
      <c r="ICX159"/>
      <c r="ICY159"/>
      <c r="ICZ159"/>
      <c r="IDA159"/>
      <c r="IDB159"/>
      <c r="IDC159"/>
      <c r="IDD159"/>
      <c r="IDE159"/>
      <c r="IDF159"/>
      <c r="IDG159"/>
      <c r="IDH159"/>
      <c r="IDI159"/>
      <c r="IDJ159"/>
      <c r="IDK159"/>
      <c r="IDL159"/>
      <c r="IDM159"/>
      <c r="IDN159"/>
      <c r="IDO159"/>
      <c r="IDP159"/>
      <c r="IDQ159"/>
      <c r="IDR159"/>
      <c r="IDS159"/>
      <c r="IDT159"/>
      <c r="IDU159"/>
      <c r="IDV159"/>
      <c r="IDW159"/>
      <c r="IDX159"/>
      <c r="IDY159"/>
      <c r="IDZ159"/>
      <c r="IEA159"/>
      <c r="IEB159"/>
      <c r="IEC159"/>
      <c r="IED159"/>
      <c r="IEE159"/>
      <c r="IEF159"/>
      <c r="IEG159"/>
      <c r="IEH159"/>
      <c r="IEI159"/>
      <c r="IEJ159"/>
      <c r="IEK159"/>
      <c r="IEL159"/>
      <c r="IEM159"/>
      <c r="IEN159"/>
      <c r="IEO159"/>
      <c r="IEP159"/>
      <c r="IEQ159"/>
      <c r="IER159"/>
      <c r="IES159"/>
      <c r="IET159"/>
      <c r="IEU159"/>
      <c r="IEV159"/>
      <c r="IEW159"/>
      <c r="IEX159"/>
      <c r="IEY159"/>
      <c r="IEZ159"/>
      <c r="IFA159"/>
      <c r="IFB159"/>
      <c r="IFC159"/>
      <c r="IFD159"/>
      <c r="IFE159"/>
      <c r="IFF159"/>
      <c r="IFG159"/>
      <c r="IFH159"/>
      <c r="IFI159"/>
      <c r="IFJ159"/>
      <c r="IFK159"/>
      <c r="IFL159"/>
      <c r="IFM159"/>
      <c r="IFN159"/>
      <c r="IFO159"/>
      <c r="IFP159"/>
      <c r="IFQ159"/>
      <c r="IFR159"/>
      <c r="IFS159"/>
      <c r="IFT159"/>
      <c r="IFU159"/>
      <c r="IFV159"/>
      <c r="IFW159"/>
      <c r="IFX159"/>
      <c r="IFY159"/>
      <c r="IFZ159"/>
      <c r="IGA159"/>
      <c r="IGB159"/>
      <c r="IGC159"/>
      <c r="IGD159"/>
      <c r="IGE159"/>
      <c r="IGF159"/>
      <c r="IGG159"/>
      <c r="IGH159"/>
      <c r="IGI159"/>
      <c r="IGJ159"/>
      <c r="IGK159"/>
      <c r="IGL159"/>
      <c r="IGM159"/>
      <c r="IGN159"/>
      <c r="IGO159"/>
      <c r="IGP159"/>
      <c r="IGQ159"/>
      <c r="IGR159"/>
      <c r="IGS159"/>
      <c r="IGT159"/>
      <c r="IGU159"/>
      <c r="IGV159"/>
      <c r="IGW159"/>
      <c r="IGX159"/>
      <c r="IGY159"/>
      <c r="IGZ159"/>
      <c r="IHA159"/>
      <c r="IHB159"/>
      <c r="IHC159"/>
      <c r="IHD159"/>
      <c r="IHE159"/>
      <c r="IHF159"/>
      <c r="IHG159"/>
      <c r="IHH159"/>
      <c r="IHI159"/>
      <c r="IHJ159"/>
      <c r="IHK159"/>
      <c r="IHL159"/>
      <c r="IHM159"/>
      <c r="IHN159"/>
      <c r="IHO159"/>
      <c r="IHP159"/>
      <c r="IHQ159"/>
      <c r="IHR159"/>
      <c r="IHS159"/>
      <c r="IHT159"/>
      <c r="IHU159"/>
      <c r="IHV159"/>
      <c r="IHW159"/>
      <c r="IHX159"/>
      <c r="IHY159"/>
      <c r="IHZ159"/>
      <c r="IIA159"/>
      <c r="IIB159"/>
      <c r="IIC159"/>
      <c r="IID159"/>
      <c r="IIE159"/>
      <c r="IIF159"/>
      <c r="IIG159"/>
      <c r="IIH159"/>
      <c r="III159"/>
      <c r="IIJ159"/>
      <c r="IIK159"/>
      <c r="IIL159"/>
      <c r="IIM159"/>
      <c r="IIN159"/>
      <c r="IIO159"/>
      <c r="IIP159"/>
      <c r="IIQ159"/>
      <c r="IIR159"/>
      <c r="IIS159"/>
      <c r="IIT159"/>
      <c r="IIU159"/>
      <c r="IIV159"/>
      <c r="IIW159"/>
      <c r="IIX159"/>
      <c r="IIY159"/>
      <c r="IIZ159"/>
      <c r="IJA159"/>
      <c r="IJB159"/>
      <c r="IJC159"/>
      <c r="IJD159"/>
      <c r="IJE159"/>
      <c r="IJF159"/>
      <c r="IJG159"/>
      <c r="IJH159"/>
      <c r="IJI159"/>
      <c r="IJJ159"/>
      <c r="IJK159"/>
      <c r="IJL159"/>
      <c r="IJM159"/>
      <c r="IJN159"/>
      <c r="IJO159"/>
      <c r="IJP159"/>
      <c r="IJQ159"/>
      <c r="IJR159"/>
      <c r="IJS159"/>
      <c r="IJT159"/>
      <c r="IJU159"/>
      <c r="IJV159"/>
      <c r="IJW159"/>
      <c r="IJX159"/>
      <c r="IJY159"/>
      <c r="IJZ159"/>
      <c r="IKA159"/>
      <c r="IKB159"/>
      <c r="IKC159"/>
      <c r="IKD159"/>
      <c r="IKE159"/>
      <c r="IKF159"/>
      <c r="IKG159"/>
      <c r="IKH159"/>
      <c r="IKI159"/>
      <c r="IKJ159"/>
      <c r="IKK159"/>
      <c r="IKL159"/>
      <c r="IKM159"/>
      <c r="IKN159"/>
      <c r="IKO159"/>
      <c r="IKP159"/>
      <c r="IKQ159"/>
      <c r="IKR159"/>
      <c r="IKS159"/>
      <c r="IKT159"/>
      <c r="IKU159"/>
      <c r="IKV159"/>
      <c r="IKW159"/>
      <c r="IKX159"/>
      <c r="IKY159"/>
      <c r="IKZ159"/>
      <c r="ILA159"/>
      <c r="ILB159"/>
      <c r="ILC159"/>
      <c r="ILD159"/>
      <c r="ILE159"/>
      <c r="ILF159"/>
      <c r="ILG159"/>
      <c r="ILH159"/>
      <c r="ILI159"/>
      <c r="ILJ159"/>
      <c r="ILK159"/>
      <c r="ILL159"/>
      <c r="ILM159"/>
      <c r="ILN159"/>
      <c r="ILO159"/>
      <c r="ILP159"/>
      <c r="ILQ159"/>
      <c r="ILR159"/>
      <c r="ILS159"/>
      <c r="ILT159"/>
      <c r="ILU159"/>
      <c r="ILV159"/>
      <c r="ILW159"/>
      <c r="ILX159"/>
      <c r="ILY159"/>
      <c r="ILZ159"/>
      <c r="IMA159"/>
      <c r="IMB159"/>
      <c r="IMC159"/>
      <c r="IMD159"/>
      <c r="IME159"/>
      <c r="IMF159"/>
      <c r="IMG159"/>
      <c r="IMH159"/>
      <c r="IMI159"/>
      <c r="IMJ159"/>
      <c r="IMK159"/>
      <c r="IML159"/>
      <c r="IMM159"/>
      <c r="IMN159"/>
      <c r="IMO159"/>
      <c r="IMP159"/>
      <c r="IMQ159"/>
      <c r="IMR159"/>
      <c r="IMS159"/>
      <c r="IMT159"/>
      <c r="IMU159"/>
      <c r="IMV159"/>
      <c r="IMW159"/>
      <c r="IMX159"/>
      <c r="IMY159"/>
      <c r="IMZ159"/>
      <c r="INA159"/>
      <c r="INB159"/>
      <c r="INC159"/>
      <c r="IND159"/>
      <c r="INE159"/>
      <c r="INF159"/>
      <c r="ING159"/>
      <c r="INH159"/>
      <c r="INI159"/>
      <c r="INJ159"/>
      <c r="INK159"/>
      <c r="INL159"/>
      <c r="INM159"/>
      <c r="INN159"/>
      <c r="INO159"/>
      <c r="INP159"/>
      <c r="INQ159"/>
      <c r="INR159"/>
      <c r="INS159"/>
      <c r="INT159"/>
      <c r="INU159"/>
      <c r="INV159"/>
      <c r="INW159"/>
      <c r="INX159"/>
      <c r="INY159"/>
      <c r="INZ159"/>
      <c r="IOA159"/>
      <c r="IOB159"/>
      <c r="IOC159"/>
      <c r="IOD159"/>
      <c r="IOE159"/>
      <c r="IOF159"/>
      <c r="IOG159"/>
      <c r="IOH159"/>
      <c r="IOI159"/>
      <c r="IOJ159"/>
      <c r="IOK159"/>
      <c r="IOL159"/>
      <c r="IOM159"/>
      <c r="ION159"/>
      <c r="IOO159"/>
      <c r="IOP159"/>
      <c r="IOQ159"/>
      <c r="IOR159"/>
      <c r="IOS159"/>
      <c r="IOT159"/>
      <c r="IOU159"/>
      <c r="IOV159"/>
      <c r="IOW159"/>
      <c r="IOX159"/>
      <c r="IOY159"/>
      <c r="IOZ159"/>
      <c r="IPA159"/>
      <c r="IPB159"/>
      <c r="IPC159"/>
      <c r="IPD159"/>
      <c r="IPE159"/>
      <c r="IPF159"/>
      <c r="IPG159"/>
      <c r="IPH159"/>
      <c r="IPI159"/>
      <c r="IPJ159"/>
      <c r="IPK159"/>
      <c r="IPL159"/>
      <c r="IPM159"/>
      <c r="IPN159"/>
      <c r="IPO159"/>
      <c r="IPP159"/>
      <c r="IPQ159"/>
      <c r="IPR159"/>
      <c r="IPS159"/>
      <c r="IPT159"/>
      <c r="IPU159"/>
      <c r="IPV159"/>
      <c r="IPW159"/>
      <c r="IPX159"/>
      <c r="IPY159"/>
      <c r="IPZ159"/>
      <c r="IQA159"/>
      <c r="IQB159"/>
      <c r="IQC159"/>
      <c r="IQD159"/>
      <c r="IQE159"/>
      <c r="IQF159"/>
      <c r="IQG159"/>
      <c r="IQH159"/>
      <c r="IQI159"/>
      <c r="IQJ159"/>
      <c r="IQK159"/>
      <c r="IQL159"/>
      <c r="IQM159"/>
      <c r="IQN159"/>
      <c r="IQO159"/>
      <c r="IQP159"/>
      <c r="IQQ159"/>
      <c r="IQR159"/>
      <c r="IQS159"/>
      <c r="IQT159"/>
      <c r="IQU159"/>
      <c r="IQV159"/>
      <c r="IQW159"/>
      <c r="IQX159"/>
      <c r="IQY159"/>
      <c r="IQZ159"/>
      <c r="IRA159"/>
      <c r="IRB159"/>
      <c r="IRC159"/>
      <c r="IRD159"/>
      <c r="IRE159"/>
      <c r="IRF159"/>
      <c r="IRG159"/>
      <c r="IRH159"/>
      <c r="IRI159"/>
      <c r="IRJ159"/>
      <c r="IRK159"/>
      <c r="IRL159"/>
      <c r="IRM159"/>
      <c r="IRN159"/>
      <c r="IRO159"/>
      <c r="IRP159"/>
      <c r="IRQ159"/>
      <c r="IRR159"/>
      <c r="IRS159"/>
      <c r="IRT159"/>
      <c r="IRU159"/>
      <c r="IRV159"/>
      <c r="IRW159"/>
      <c r="IRX159"/>
      <c r="IRY159"/>
      <c r="IRZ159"/>
      <c r="ISA159"/>
      <c r="ISB159"/>
      <c r="ISC159"/>
      <c r="ISD159"/>
      <c r="ISE159"/>
      <c r="ISF159"/>
      <c r="ISG159"/>
      <c r="ISH159"/>
      <c r="ISI159"/>
      <c r="ISJ159"/>
      <c r="ISK159"/>
      <c r="ISL159"/>
      <c r="ISM159"/>
      <c r="ISN159"/>
      <c r="ISO159"/>
      <c r="ISP159"/>
      <c r="ISQ159"/>
      <c r="ISR159"/>
      <c r="ISS159"/>
      <c r="IST159"/>
      <c r="ISU159"/>
      <c r="ISV159"/>
      <c r="ISW159"/>
      <c r="ISX159"/>
      <c r="ISY159"/>
      <c r="ISZ159"/>
      <c r="ITA159"/>
      <c r="ITB159"/>
      <c r="ITC159"/>
      <c r="ITD159"/>
      <c r="ITE159"/>
      <c r="ITF159"/>
      <c r="ITG159"/>
      <c r="ITH159"/>
      <c r="ITI159"/>
      <c r="ITJ159"/>
      <c r="ITK159"/>
      <c r="ITL159"/>
      <c r="ITM159"/>
      <c r="ITN159"/>
      <c r="ITO159"/>
      <c r="ITP159"/>
      <c r="ITQ159"/>
      <c r="ITR159"/>
      <c r="ITS159"/>
      <c r="ITT159"/>
      <c r="ITU159"/>
      <c r="ITV159"/>
      <c r="ITW159"/>
      <c r="ITX159"/>
      <c r="ITY159"/>
      <c r="ITZ159"/>
      <c r="IUA159"/>
      <c r="IUB159"/>
      <c r="IUC159"/>
      <c r="IUD159"/>
      <c r="IUE159"/>
      <c r="IUF159"/>
      <c r="IUG159"/>
      <c r="IUH159"/>
      <c r="IUI159"/>
      <c r="IUJ159"/>
      <c r="IUK159"/>
      <c r="IUL159"/>
      <c r="IUM159"/>
      <c r="IUN159"/>
      <c r="IUO159"/>
      <c r="IUP159"/>
      <c r="IUQ159"/>
      <c r="IUR159"/>
      <c r="IUS159"/>
      <c r="IUT159"/>
      <c r="IUU159"/>
      <c r="IUV159"/>
      <c r="IUW159"/>
      <c r="IUX159"/>
      <c r="IUY159"/>
      <c r="IUZ159"/>
      <c r="IVA159"/>
      <c r="IVB159"/>
      <c r="IVC159"/>
      <c r="IVD159"/>
      <c r="IVE159"/>
      <c r="IVF159"/>
      <c r="IVG159"/>
      <c r="IVH159"/>
      <c r="IVI159"/>
      <c r="IVJ159"/>
      <c r="IVK159"/>
      <c r="IVL159"/>
      <c r="IVM159"/>
      <c r="IVN159"/>
      <c r="IVO159"/>
      <c r="IVP159"/>
      <c r="IVQ159"/>
      <c r="IVR159"/>
      <c r="IVS159"/>
      <c r="IVT159"/>
      <c r="IVU159"/>
      <c r="IVV159"/>
      <c r="IVW159"/>
      <c r="IVX159"/>
      <c r="IVY159"/>
      <c r="IVZ159"/>
      <c r="IWA159"/>
      <c r="IWB159"/>
      <c r="IWC159"/>
      <c r="IWD159"/>
      <c r="IWE159"/>
      <c r="IWF159"/>
      <c r="IWG159"/>
      <c r="IWH159"/>
      <c r="IWI159"/>
      <c r="IWJ159"/>
      <c r="IWK159"/>
      <c r="IWL159"/>
      <c r="IWM159"/>
      <c r="IWN159"/>
      <c r="IWO159"/>
      <c r="IWP159"/>
      <c r="IWQ159"/>
      <c r="IWR159"/>
      <c r="IWS159"/>
      <c r="IWT159"/>
      <c r="IWU159"/>
      <c r="IWV159"/>
      <c r="IWW159"/>
      <c r="IWX159"/>
      <c r="IWY159"/>
      <c r="IWZ159"/>
      <c r="IXA159"/>
      <c r="IXB159"/>
      <c r="IXC159"/>
      <c r="IXD159"/>
      <c r="IXE159"/>
      <c r="IXF159"/>
      <c r="IXG159"/>
      <c r="IXH159"/>
      <c r="IXI159"/>
      <c r="IXJ159"/>
      <c r="IXK159"/>
      <c r="IXL159"/>
      <c r="IXM159"/>
      <c r="IXN159"/>
      <c r="IXO159"/>
      <c r="IXP159"/>
      <c r="IXQ159"/>
      <c r="IXR159"/>
      <c r="IXS159"/>
      <c r="IXT159"/>
      <c r="IXU159"/>
      <c r="IXV159"/>
      <c r="IXW159"/>
      <c r="IXX159"/>
      <c r="IXY159"/>
      <c r="IXZ159"/>
      <c r="IYA159"/>
      <c r="IYB159"/>
      <c r="IYC159"/>
      <c r="IYD159"/>
      <c r="IYE159"/>
      <c r="IYF159"/>
      <c r="IYG159"/>
      <c r="IYH159"/>
      <c r="IYI159"/>
      <c r="IYJ159"/>
      <c r="IYK159"/>
      <c r="IYL159"/>
      <c r="IYM159"/>
      <c r="IYN159"/>
      <c r="IYO159"/>
      <c r="IYP159"/>
      <c r="IYQ159"/>
      <c r="IYR159"/>
      <c r="IYS159"/>
      <c r="IYT159"/>
      <c r="IYU159"/>
      <c r="IYV159"/>
      <c r="IYW159"/>
      <c r="IYX159"/>
      <c r="IYY159"/>
      <c r="IYZ159"/>
      <c r="IZA159"/>
      <c r="IZB159"/>
      <c r="IZC159"/>
      <c r="IZD159"/>
      <c r="IZE159"/>
      <c r="IZF159"/>
      <c r="IZG159"/>
      <c r="IZH159"/>
      <c r="IZI159"/>
      <c r="IZJ159"/>
      <c r="IZK159"/>
      <c r="IZL159"/>
      <c r="IZM159"/>
      <c r="IZN159"/>
      <c r="IZO159"/>
      <c r="IZP159"/>
      <c r="IZQ159"/>
      <c r="IZR159"/>
      <c r="IZS159"/>
      <c r="IZT159"/>
      <c r="IZU159"/>
      <c r="IZV159"/>
      <c r="IZW159"/>
      <c r="IZX159"/>
      <c r="IZY159"/>
      <c r="IZZ159"/>
      <c r="JAA159"/>
      <c r="JAB159"/>
      <c r="JAC159"/>
      <c r="JAD159"/>
      <c r="JAE159"/>
      <c r="JAF159"/>
      <c r="JAG159"/>
      <c r="JAH159"/>
      <c r="JAI159"/>
      <c r="JAJ159"/>
      <c r="JAK159"/>
      <c r="JAL159"/>
      <c r="JAM159"/>
      <c r="JAN159"/>
      <c r="JAO159"/>
      <c r="JAP159"/>
      <c r="JAQ159"/>
      <c r="JAR159"/>
      <c r="JAS159"/>
      <c r="JAT159"/>
      <c r="JAU159"/>
      <c r="JAV159"/>
      <c r="JAW159"/>
      <c r="JAX159"/>
      <c r="JAY159"/>
      <c r="JAZ159"/>
      <c r="JBA159"/>
      <c r="JBB159"/>
      <c r="JBC159"/>
      <c r="JBD159"/>
      <c r="JBE159"/>
      <c r="JBF159"/>
      <c r="JBG159"/>
      <c r="JBH159"/>
      <c r="JBI159"/>
      <c r="JBJ159"/>
      <c r="JBK159"/>
      <c r="JBL159"/>
      <c r="JBM159"/>
      <c r="JBN159"/>
      <c r="JBO159"/>
      <c r="JBP159"/>
      <c r="JBQ159"/>
      <c r="JBR159"/>
      <c r="JBS159"/>
      <c r="JBT159"/>
      <c r="JBU159"/>
      <c r="JBV159"/>
      <c r="JBW159"/>
      <c r="JBX159"/>
      <c r="JBY159"/>
      <c r="JBZ159"/>
      <c r="JCA159"/>
      <c r="JCB159"/>
      <c r="JCC159"/>
      <c r="JCD159"/>
      <c r="JCE159"/>
      <c r="JCF159"/>
      <c r="JCG159"/>
      <c r="JCH159"/>
      <c r="JCI159"/>
      <c r="JCJ159"/>
      <c r="JCK159"/>
      <c r="JCL159"/>
      <c r="JCM159"/>
      <c r="JCN159"/>
      <c r="JCO159"/>
      <c r="JCP159"/>
      <c r="JCQ159"/>
      <c r="JCR159"/>
      <c r="JCS159"/>
      <c r="JCT159"/>
      <c r="JCU159"/>
      <c r="JCV159"/>
      <c r="JCW159"/>
      <c r="JCX159"/>
      <c r="JCY159"/>
      <c r="JCZ159"/>
      <c r="JDA159"/>
      <c r="JDB159"/>
      <c r="JDC159"/>
      <c r="JDD159"/>
      <c r="JDE159"/>
      <c r="JDF159"/>
      <c r="JDG159"/>
      <c r="JDH159"/>
      <c r="JDI159"/>
      <c r="JDJ159"/>
      <c r="JDK159"/>
      <c r="JDL159"/>
      <c r="JDM159"/>
      <c r="JDN159"/>
      <c r="JDO159"/>
      <c r="JDP159"/>
      <c r="JDQ159"/>
      <c r="JDR159"/>
      <c r="JDS159"/>
      <c r="JDT159"/>
      <c r="JDU159"/>
      <c r="JDV159"/>
      <c r="JDW159"/>
      <c r="JDX159"/>
      <c r="JDY159"/>
      <c r="JDZ159"/>
      <c r="JEA159"/>
      <c r="JEB159"/>
      <c r="JEC159"/>
      <c r="JED159"/>
      <c r="JEE159"/>
      <c r="JEF159"/>
      <c r="JEG159"/>
      <c r="JEH159"/>
      <c r="JEI159"/>
      <c r="JEJ159"/>
      <c r="JEK159"/>
      <c r="JEL159"/>
      <c r="JEM159"/>
      <c r="JEN159"/>
      <c r="JEO159"/>
      <c r="JEP159"/>
      <c r="JEQ159"/>
      <c r="JER159"/>
      <c r="JES159"/>
      <c r="JET159"/>
      <c r="JEU159"/>
      <c r="JEV159"/>
      <c r="JEW159"/>
      <c r="JEX159"/>
      <c r="JEY159"/>
      <c r="JEZ159"/>
      <c r="JFA159"/>
      <c r="JFB159"/>
      <c r="JFC159"/>
      <c r="JFD159"/>
      <c r="JFE159"/>
      <c r="JFF159"/>
      <c r="JFG159"/>
      <c r="JFH159"/>
      <c r="JFI159"/>
      <c r="JFJ159"/>
      <c r="JFK159"/>
      <c r="JFL159"/>
      <c r="JFM159"/>
      <c r="JFN159"/>
      <c r="JFO159"/>
      <c r="JFP159"/>
      <c r="JFQ159"/>
      <c r="JFR159"/>
      <c r="JFS159"/>
      <c r="JFT159"/>
      <c r="JFU159"/>
      <c r="JFV159"/>
      <c r="JFW159"/>
      <c r="JFX159"/>
      <c r="JFY159"/>
      <c r="JFZ159"/>
      <c r="JGA159"/>
      <c r="JGB159"/>
      <c r="JGC159"/>
      <c r="JGD159"/>
      <c r="JGE159"/>
      <c r="JGF159"/>
      <c r="JGG159"/>
      <c r="JGH159"/>
      <c r="JGI159"/>
      <c r="JGJ159"/>
      <c r="JGK159"/>
      <c r="JGL159"/>
      <c r="JGM159"/>
      <c r="JGN159"/>
      <c r="JGO159"/>
      <c r="JGP159"/>
      <c r="JGQ159"/>
      <c r="JGR159"/>
      <c r="JGS159"/>
      <c r="JGT159"/>
      <c r="JGU159"/>
      <c r="JGV159"/>
      <c r="JGW159"/>
      <c r="JGX159"/>
      <c r="JGY159"/>
      <c r="JGZ159"/>
      <c r="JHA159"/>
      <c r="JHB159"/>
      <c r="JHC159"/>
      <c r="JHD159"/>
      <c r="JHE159"/>
      <c r="JHF159"/>
      <c r="JHG159"/>
      <c r="JHH159"/>
      <c r="JHI159"/>
      <c r="JHJ159"/>
      <c r="JHK159"/>
      <c r="JHL159"/>
      <c r="JHM159"/>
      <c r="JHN159"/>
      <c r="JHO159"/>
      <c r="JHP159"/>
      <c r="JHQ159"/>
      <c r="JHR159"/>
      <c r="JHS159"/>
      <c r="JHT159"/>
      <c r="JHU159"/>
      <c r="JHV159"/>
      <c r="JHW159"/>
      <c r="JHX159"/>
      <c r="JHY159"/>
      <c r="JHZ159"/>
      <c r="JIA159"/>
      <c r="JIB159"/>
      <c r="JIC159"/>
      <c r="JID159"/>
      <c r="JIE159"/>
      <c r="JIF159"/>
      <c r="JIG159"/>
      <c r="JIH159"/>
      <c r="JII159"/>
      <c r="JIJ159"/>
      <c r="JIK159"/>
      <c r="JIL159"/>
      <c r="JIM159"/>
      <c r="JIN159"/>
      <c r="JIO159"/>
      <c r="JIP159"/>
      <c r="JIQ159"/>
      <c r="JIR159"/>
      <c r="JIS159"/>
      <c r="JIT159"/>
      <c r="JIU159"/>
      <c r="JIV159"/>
      <c r="JIW159"/>
      <c r="JIX159"/>
      <c r="JIY159"/>
      <c r="JIZ159"/>
      <c r="JJA159"/>
      <c r="JJB159"/>
      <c r="JJC159"/>
      <c r="JJD159"/>
      <c r="JJE159"/>
      <c r="JJF159"/>
      <c r="JJG159"/>
      <c r="JJH159"/>
      <c r="JJI159"/>
      <c r="JJJ159"/>
      <c r="JJK159"/>
      <c r="JJL159"/>
      <c r="JJM159"/>
      <c r="JJN159"/>
      <c r="JJO159"/>
      <c r="JJP159"/>
      <c r="JJQ159"/>
      <c r="JJR159"/>
      <c r="JJS159"/>
      <c r="JJT159"/>
      <c r="JJU159"/>
      <c r="JJV159"/>
      <c r="JJW159"/>
      <c r="JJX159"/>
      <c r="JJY159"/>
      <c r="JJZ159"/>
      <c r="JKA159"/>
      <c r="JKB159"/>
      <c r="JKC159"/>
      <c r="JKD159"/>
      <c r="JKE159"/>
      <c r="JKF159"/>
      <c r="JKG159"/>
      <c r="JKH159"/>
      <c r="JKI159"/>
      <c r="JKJ159"/>
      <c r="JKK159"/>
      <c r="JKL159"/>
      <c r="JKM159"/>
      <c r="JKN159"/>
      <c r="JKO159"/>
      <c r="JKP159"/>
      <c r="JKQ159"/>
      <c r="JKR159"/>
      <c r="JKS159"/>
      <c r="JKT159"/>
      <c r="JKU159"/>
      <c r="JKV159"/>
      <c r="JKW159"/>
      <c r="JKX159"/>
      <c r="JKY159"/>
      <c r="JKZ159"/>
      <c r="JLA159"/>
      <c r="JLB159"/>
      <c r="JLC159"/>
      <c r="JLD159"/>
      <c r="JLE159"/>
      <c r="JLF159"/>
      <c r="JLG159"/>
      <c r="JLH159"/>
      <c r="JLI159"/>
      <c r="JLJ159"/>
      <c r="JLK159"/>
      <c r="JLL159"/>
      <c r="JLM159"/>
      <c r="JLN159"/>
      <c r="JLO159"/>
      <c r="JLP159"/>
      <c r="JLQ159"/>
      <c r="JLR159"/>
      <c r="JLS159"/>
      <c r="JLT159"/>
      <c r="JLU159"/>
      <c r="JLV159"/>
      <c r="JLW159"/>
      <c r="JLX159"/>
      <c r="JLY159"/>
      <c r="JLZ159"/>
      <c r="JMA159"/>
      <c r="JMB159"/>
      <c r="JMC159"/>
      <c r="JMD159"/>
      <c r="JME159"/>
      <c r="JMF159"/>
      <c r="JMG159"/>
      <c r="JMH159"/>
      <c r="JMI159"/>
      <c r="JMJ159"/>
      <c r="JMK159"/>
      <c r="JML159"/>
      <c r="JMM159"/>
      <c r="JMN159"/>
      <c r="JMO159"/>
      <c r="JMP159"/>
      <c r="JMQ159"/>
      <c r="JMR159"/>
      <c r="JMS159"/>
      <c r="JMT159"/>
      <c r="JMU159"/>
      <c r="JMV159"/>
      <c r="JMW159"/>
      <c r="JMX159"/>
      <c r="JMY159"/>
      <c r="JMZ159"/>
      <c r="JNA159"/>
      <c r="JNB159"/>
      <c r="JNC159"/>
      <c r="JND159"/>
      <c r="JNE159"/>
      <c r="JNF159"/>
      <c r="JNG159"/>
      <c r="JNH159"/>
      <c r="JNI159"/>
      <c r="JNJ159"/>
      <c r="JNK159"/>
      <c r="JNL159"/>
      <c r="JNM159"/>
      <c r="JNN159"/>
      <c r="JNO159"/>
      <c r="JNP159"/>
      <c r="JNQ159"/>
      <c r="JNR159"/>
      <c r="JNS159"/>
      <c r="JNT159"/>
      <c r="JNU159"/>
      <c r="JNV159"/>
      <c r="JNW159"/>
      <c r="JNX159"/>
      <c r="JNY159"/>
      <c r="JNZ159"/>
      <c r="JOA159"/>
      <c r="JOB159"/>
      <c r="JOC159"/>
      <c r="JOD159"/>
      <c r="JOE159"/>
      <c r="JOF159"/>
      <c r="JOG159"/>
      <c r="JOH159"/>
      <c r="JOI159"/>
      <c r="JOJ159"/>
      <c r="JOK159"/>
      <c r="JOL159"/>
      <c r="JOM159"/>
      <c r="JON159"/>
      <c r="JOO159"/>
      <c r="JOP159"/>
      <c r="JOQ159"/>
      <c r="JOR159"/>
      <c r="JOS159"/>
      <c r="JOT159"/>
      <c r="JOU159"/>
      <c r="JOV159"/>
      <c r="JOW159"/>
      <c r="JOX159"/>
      <c r="JOY159"/>
      <c r="JOZ159"/>
      <c r="JPA159"/>
      <c r="JPB159"/>
      <c r="JPC159"/>
      <c r="JPD159"/>
      <c r="JPE159"/>
      <c r="JPF159"/>
      <c r="JPG159"/>
      <c r="JPH159"/>
      <c r="JPI159"/>
      <c r="JPJ159"/>
      <c r="JPK159"/>
      <c r="JPL159"/>
      <c r="JPM159"/>
      <c r="JPN159"/>
      <c r="JPO159"/>
      <c r="JPP159"/>
      <c r="JPQ159"/>
      <c r="JPR159"/>
      <c r="JPS159"/>
      <c r="JPT159"/>
      <c r="JPU159"/>
      <c r="JPV159"/>
      <c r="JPW159"/>
      <c r="JPX159"/>
      <c r="JPY159"/>
      <c r="JPZ159"/>
      <c r="JQA159"/>
      <c r="JQB159"/>
      <c r="JQC159"/>
      <c r="JQD159"/>
      <c r="JQE159"/>
      <c r="JQF159"/>
      <c r="JQG159"/>
      <c r="JQH159"/>
      <c r="JQI159"/>
      <c r="JQJ159"/>
      <c r="JQK159"/>
      <c r="JQL159"/>
      <c r="JQM159"/>
      <c r="JQN159"/>
      <c r="JQO159"/>
      <c r="JQP159"/>
      <c r="JQQ159"/>
      <c r="JQR159"/>
      <c r="JQS159"/>
      <c r="JQT159"/>
      <c r="JQU159"/>
      <c r="JQV159"/>
      <c r="JQW159"/>
      <c r="JQX159"/>
      <c r="JQY159"/>
      <c r="JQZ159"/>
      <c r="JRA159"/>
      <c r="JRB159"/>
      <c r="JRC159"/>
      <c r="JRD159"/>
      <c r="JRE159"/>
      <c r="JRF159"/>
      <c r="JRG159"/>
      <c r="JRH159"/>
      <c r="JRI159"/>
      <c r="JRJ159"/>
      <c r="JRK159"/>
      <c r="JRL159"/>
      <c r="JRM159"/>
      <c r="JRN159"/>
      <c r="JRO159"/>
      <c r="JRP159"/>
      <c r="JRQ159"/>
      <c r="JRR159"/>
      <c r="JRS159"/>
      <c r="JRT159"/>
      <c r="JRU159"/>
      <c r="JRV159"/>
      <c r="JRW159"/>
      <c r="JRX159"/>
      <c r="JRY159"/>
      <c r="JRZ159"/>
      <c r="JSA159"/>
      <c r="JSB159"/>
      <c r="JSC159"/>
      <c r="JSD159"/>
      <c r="JSE159"/>
      <c r="JSF159"/>
      <c r="JSG159"/>
      <c r="JSH159"/>
      <c r="JSI159"/>
      <c r="JSJ159"/>
      <c r="JSK159"/>
      <c r="JSL159"/>
      <c r="JSM159"/>
      <c r="JSN159"/>
      <c r="JSO159"/>
      <c r="JSP159"/>
      <c r="JSQ159"/>
      <c r="JSR159"/>
      <c r="JSS159"/>
      <c r="JST159"/>
      <c r="JSU159"/>
      <c r="JSV159"/>
      <c r="JSW159"/>
      <c r="JSX159"/>
      <c r="JSY159"/>
      <c r="JSZ159"/>
      <c r="JTA159"/>
      <c r="JTB159"/>
      <c r="JTC159"/>
      <c r="JTD159"/>
      <c r="JTE159"/>
      <c r="JTF159"/>
      <c r="JTG159"/>
      <c r="JTH159"/>
      <c r="JTI159"/>
      <c r="JTJ159"/>
      <c r="JTK159"/>
      <c r="JTL159"/>
      <c r="JTM159"/>
      <c r="JTN159"/>
      <c r="JTO159"/>
      <c r="JTP159"/>
      <c r="JTQ159"/>
      <c r="JTR159"/>
      <c r="JTS159"/>
      <c r="JTT159"/>
      <c r="JTU159"/>
      <c r="JTV159"/>
      <c r="JTW159"/>
      <c r="JTX159"/>
      <c r="JTY159"/>
      <c r="JTZ159"/>
      <c r="JUA159"/>
      <c r="JUB159"/>
      <c r="JUC159"/>
      <c r="JUD159"/>
      <c r="JUE159"/>
      <c r="JUF159"/>
      <c r="JUG159"/>
      <c r="JUH159"/>
      <c r="JUI159"/>
      <c r="JUJ159"/>
      <c r="JUK159"/>
      <c r="JUL159"/>
      <c r="JUM159"/>
      <c r="JUN159"/>
      <c r="JUO159"/>
      <c r="JUP159"/>
      <c r="JUQ159"/>
      <c r="JUR159"/>
      <c r="JUS159"/>
      <c r="JUT159"/>
      <c r="JUU159"/>
      <c r="JUV159"/>
      <c r="JUW159"/>
      <c r="JUX159"/>
      <c r="JUY159"/>
      <c r="JUZ159"/>
      <c r="JVA159"/>
      <c r="JVB159"/>
      <c r="JVC159"/>
      <c r="JVD159"/>
      <c r="JVE159"/>
      <c r="JVF159"/>
      <c r="JVG159"/>
      <c r="JVH159"/>
      <c r="JVI159"/>
      <c r="JVJ159"/>
      <c r="JVK159"/>
      <c r="JVL159"/>
      <c r="JVM159"/>
      <c r="JVN159"/>
      <c r="JVO159"/>
      <c r="JVP159"/>
      <c r="JVQ159"/>
      <c r="JVR159"/>
      <c r="JVS159"/>
      <c r="JVT159"/>
      <c r="JVU159"/>
      <c r="JVV159"/>
      <c r="JVW159"/>
      <c r="JVX159"/>
      <c r="JVY159"/>
      <c r="JVZ159"/>
      <c r="JWA159"/>
      <c r="JWB159"/>
      <c r="JWC159"/>
      <c r="JWD159"/>
      <c r="JWE159"/>
      <c r="JWF159"/>
      <c r="JWG159"/>
      <c r="JWH159"/>
      <c r="JWI159"/>
      <c r="JWJ159"/>
      <c r="JWK159"/>
      <c r="JWL159"/>
      <c r="JWM159"/>
      <c r="JWN159"/>
      <c r="JWO159"/>
      <c r="JWP159"/>
      <c r="JWQ159"/>
      <c r="JWR159"/>
      <c r="JWS159"/>
      <c r="JWT159"/>
      <c r="JWU159"/>
      <c r="JWV159"/>
      <c r="JWW159"/>
      <c r="JWX159"/>
      <c r="JWY159"/>
      <c r="JWZ159"/>
      <c r="JXA159"/>
      <c r="JXB159"/>
      <c r="JXC159"/>
      <c r="JXD159"/>
      <c r="JXE159"/>
      <c r="JXF159"/>
      <c r="JXG159"/>
      <c r="JXH159"/>
      <c r="JXI159"/>
      <c r="JXJ159"/>
      <c r="JXK159"/>
      <c r="JXL159"/>
      <c r="JXM159"/>
      <c r="JXN159"/>
      <c r="JXO159"/>
      <c r="JXP159"/>
      <c r="JXQ159"/>
      <c r="JXR159"/>
      <c r="JXS159"/>
      <c r="JXT159"/>
      <c r="JXU159"/>
      <c r="JXV159"/>
      <c r="JXW159"/>
      <c r="JXX159"/>
      <c r="JXY159"/>
      <c r="JXZ159"/>
      <c r="JYA159"/>
      <c r="JYB159"/>
      <c r="JYC159"/>
      <c r="JYD159"/>
      <c r="JYE159"/>
      <c r="JYF159"/>
      <c r="JYG159"/>
      <c r="JYH159"/>
      <c r="JYI159"/>
      <c r="JYJ159"/>
      <c r="JYK159"/>
      <c r="JYL159"/>
      <c r="JYM159"/>
      <c r="JYN159"/>
      <c r="JYO159"/>
      <c r="JYP159"/>
      <c r="JYQ159"/>
      <c r="JYR159"/>
      <c r="JYS159"/>
      <c r="JYT159"/>
      <c r="JYU159"/>
      <c r="JYV159"/>
      <c r="JYW159"/>
      <c r="JYX159"/>
      <c r="JYY159"/>
      <c r="JYZ159"/>
      <c r="JZA159"/>
      <c r="JZB159"/>
      <c r="JZC159"/>
      <c r="JZD159"/>
      <c r="JZE159"/>
      <c r="JZF159"/>
      <c r="JZG159"/>
      <c r="JZH159"/>
      <c r="JZI159"/>
      <c r="JZJ159"/>
      <c r="JZK159"/>
      <c r="JZL159"/>
      <c r="JZM159"/>
      <c r="JZN159"/>
      <c r="JZO159"/>
      <c r="JZP159"/>
      <c r="JZQ159"/>
      <c r="JZR159"/>
      <c r="JZS159"/>
      <c r="JZT159"/>
      <c r="JZU159"/>
      <c r="JZV159"/>
      <c r="JZW159"/>
      <c r="JZX159"/>
      <c r="JZY159"/>
      <c r="JZZ159"/>
      <c r="KAA159"/>
      <c r="KAB159"/>
      <c r="KAC159"/>
      <c r="KAD159"/>
      <c r="KAE159"/>
      <c r="KAF159"/>
      <c r="KAG159"/>
      <c r="KAH159"/>
      <c r="KAI159"/>
      <c r="KAJ159"/>
      <c r="KAK159"/>
      <c r="KAL159"/>
      <c r="KAM159"/>
      <c r="KAN159"/>
      <c r="KAO159"/>
      <c r="KAP159"/>
      <c r="KAQ159"/>
      <c r="KAR159"/>
      <c r="KAS159"/>
      <c r="KAT159"/>
      <c r="KAU159"/>
      <c r="KAV159"/>
      <c r="KAW159"/>
      <c r="KAX159"/>
      <c r="KAY159"/>
      <c r="KAZ159"/>
      <c r="KBA159"/>
      <c r="KBB159"/>
      <c r="KBC159"/>
      <c r="KBD159"/>
      <c r="KBE159"/>
      <c r="KBF159"/>
      <c r="KBG159"/>
      <c r="KBH159"/>
      <c r="KBI159"/>
      <c r="KBJ159"/>
      <c r="KBK159"/>
      <c r="KBL159"/>
      <c r="KBM159"/>
      <c r="KBN159"/>
      <c r="KBO159"/>
      <c r="KBP159"/>
      <c r="KBQ159"/>
      <c r="KBR159"/>
      <c r="KBS159"/>
      <c r="KBT159"/>
      <c r="KBU159"/>
      <c r="KBV159"/>
      <c r="KBW159"/>
      <c r="KBX159"/>
      <c r="KBY159"/>
      <c r="KBZ159"/>
      <c r="KCA159"/>
      <c r="KCB159"/>
      <c r="KCC159"/>
      <c r="KCD159"/>
      <c r="KCE159"/>
      <c r="KCF159"/>
      <c r="KCG159"/>
      <c r="KCH159"/>
      <c r="KCI159"/>
      <c r="KCJ159"/>
      <c r="KCK159"/>
      <c r="KCL159"/>
      <c r="KCM159"/>
      <c r="KCN159"/>
      <c r="KCO159"/>
      <c r="KCP159"/>
      <c r="KCQ159"/>
      <c r="KCR159"/>
      <c r="KCS159"/>
      <c r="KCT159"/>
      <c r="KCU159"/>
      <c r="KCV159"/>
      <c r="KCW159"/>
      <c r="KCX159"/>
      <c r="KCY159"/>
      <c r="KCZ159"/>
      <c r="KDA159"/>
      <c r="KDB159"/>
      <c r="KDC159"/>
      <c r="KDD159"/>
      <c r="KDE159"/>
      <c r="KDF159"/>
      <c r="KDG159"/>
      <c r="KDH159"/>
      <c r="KDI159"/>
      <c r="KDJ159"/>
      <c r="KDK159"/>
      <c r="KDL159"/>
      <c r="KDM159"/>
      <c r="KDN159"/>
      <c r="KDO159"/>
      <c r="KDP159"/>
      <c r="KDQ159"/>
      <c r="KDR159"/>
      <c r="KDS159"/>
      <c r="KDT159"/>
      <c r="KDU159"/>
      <c r="KDV159"/>
      <c r="KDW159"/>
      <c r="KDX159"/>
      <c r="KDY159"/>
      <c r="KDZ159"/>
      <c r="KEA159"/>
      <c r="KEB159"/>
      <c r="KEC159"/>
      <c r="KED159"/>
      <c r="KEE159"/>
      <c r="KEF159"/>
      <c r="KEG159"/>
      <c r="KEH159"/>
      <c r="KEI159"/>
      <c r="KEJ159"/>
      <c r="KEK159"/>
      <c r="KEL159"/>
      <c r="KEM159"/>
      <c r="KEN159"/>
      <c r="KEO159"/>
      <c r="KEP159"/>
      <c r="KEQ159"/>
      <c r="KER159"/>
      <c r="KES159"/>
      <c r="KET159"/>
      <c r="KEU159"/>
      <c r="KEV159"/>
      <c r="KEW159"/>
      <c r="KEX159"/>
      <c r="KEY159"/>
      <c r="KEZ159"/>
      <c r="KFA159"/>
      <c r="KFB159"/>
      <c r="KFC159"/>
      <c r="KFD159"/>
      <c r="KFE159"/>
      <c r="KFF159"/>
      <c r="KFG159"/>
      <c r="KFH159"/>
      <c r="KFI159"/>
      <c r="KFJ159"/>
      <c r="KFK159"/>
      <c r="KFL159"/>
      <c r="KFM159"/>
      <c r="KFN159"/>
      <c r="KFO159"/>
      <c r="KFP159"/>
      <c r="KFQ159"/>
      <c r="KFR159"/>
      <c r="KFS159"/>
      <c r="KFT159"/>
      <c r="KFU159"/>
      <c r="KFV159"/>
      <c r="KFW159"/>
      <c r="KFX159"/>
      <c r="KFY159"/>
      <c r="KFZ159"/>
      <c r="KGA159"/>
      <c r="KGB159"/>
      <c r="KGC159"/>
      <c r="KGD159"/>
      <c r="KGE159"/>
      <c r="KGF159"/>
      <c r="KGG159"/>
      <c r="KGH159"/>
      <c r="KGI159"/>
      <c r="KGJ159"/>
      <c r="KGK159"/>
      <c r="KGL159"/>
      <c r="KGM159"/>
      <c r="KGN159"/>
      <c r="KGO159"/>
      <c r="KGP159"/>
      <c r="KGQ159"/>
      <c r="KGR159"/>
      <c r="KGS159"/>
      <c r="KGT159"/>
      <c r="KGU159"/>
      <c r="KGV159"/>
      <c r="KGW159"/>
      <c r="KGX159"/>
      <c r="KGY159"/>
      <c r="KGZ159"/>
      <c r="KHA159"/>
      <c r="KHB159"/>
      <c r="KHC159"/>
      <c r="KHD159"/>
      <c r="KHE159"/>
      <c r="KHF159"/>
      <c r="KHG159"/>
      <c r="KHH159"/>
      <c r="KHI159"/>
      <c r="KHJ159"/>
      <c r="KHK159"/>
      <c r="KHL159"/>
      <c r="KHM159"/>
      <c r="KHN159"/>
      <c r="KHO159"/>
      <c r="KHP159"/>
      <c r="KHQ159"/>
      <c r="KHR159"/>
      <c r="KHS159"/>
      <c r="KHT159"/>
      <c r="KHU159"/>
      <c r="KHV159"/>
      <c r="KHW159"/>
      <c r="KHX159"/>
      <c r="KHY159"/>
      <c r="KHZ159"/>
      <c r="KIA159"/>
      <c r="KIB159"/>
      <c r="KIC159"/>
      <c r="KID159"/>
      <c r="KIE159"/>
      <c r="KIF159"/>
      <c r="KIG159"/>
      <c r="KIH159"/>
      <c r="KII159"/>
      <c r="KIJ159"/>
      <c r="KIK159"/>
      <c r="KIL159"/>
      <c r="KIM159"/>
      <c r="KIN159"/>
      <c r="KIO159"/>
      <c r="KIP159"/>
      <c r="KIQ159"/>
      <c r="KIR159"/>
      <c r="KIS159"/>
      <c r="KIT159"/>
      <c r="KIU159"/>
      <c r="KIV159"/>
      <c r="KIW159"/>
      <c r="KIX159"/>
      <c r="KIY159"/>
      <c r="KIZ159"/>
      <c r="KJA159"/>
      <c r="KJB159"/>
      <c r="KJC159"/>
      <c r="KJD159"/>
      <c r="KJE159"/>
      <c r="KJF159"/>
      <c r="KJG159"/>
      <c r="KJH159"/>
      <c r="KJI159"/>
      <c r="KJJ159"/>
      <c r="KJK159"/>
      <c r="KJL159"/>
      <c r="KJM159"/>
      <c r="KJN159"/>
      <c r="KJO159"/>
      <c r="KJP159"/>
      <c r="KJQ159"/>
      <c r="KJR159"/>
      <c r="KJS159"/>
      <c r="KJT159"/>
      <c r="KJU159"/>
      <c r="KJV159"/>
      <c r="KJW159"/>
      <c r="KJX159"/>
      <c r="KJY159"/>
      <c r="KJZ159"/>
      <c r="KKA159"/>
      <c r="KKB159"/>
      <c r="KKC159"/>
      <c r="KKD159"/>
      <c r="KKE159"/>
      <c r="KKF159"/>
      <c r="KKG159"/>
      <c r="KKH159"/>
      <c r="KKI159"/>
      <c r="KKJ159"/>
      <c r="KKK159"/>
      <c r="KKL159"/>
      <c r="KKM159"/>
      <c r="KKN159"/>
      <c r="KKO159"/>
      <c r="KKP159"/>
      <c r="KKQ159"/>
      <c r="KKR159"/>
      <c r="KKS159"/>
      <c r="KKT159"/>
      <c r="KKU159"/>
      <c r="KKV159"/>
      <c r="KKW159"/>
      <c r="KKX159"/>
      <c r="KKY159"/>
      <c r="KKZ159"/>
      <c r="KLA159"/>
      <c r="KLB159"/>
      <c r="KLC159"/>
      <c r="KLD159"/>
      <c r="KLE159"/>
      <c r="KLF159"/>
      <c r="KLG159"/>
      <c r="KLH159"/>
      <c r="KLI159"/>
      <c r="KLJ159"/>
      <c r="KLK159"/>
      <c r="KLL159"/>
      <c r="KLM159"/>
      <c r="KLN159"/>
      <c r="KLO159"/>
      <c r="KLP159"/>
      <c r="KLQ159"/>
      <c r="KLR159"/>
      <c r="KLS159"/>
      <c r="KLT159"/>
      <c r="KLU159"/>
      <c r="KLV159"/>
      <c r="KLW159"/>
      <c r="KLX159"/>
      <c r="KLY159"/>
      <c r="KLZ159"/>
      <c r="KMA159"/>
      <c r="KMB159"/>
      <c r="KMC159"/>
      <c r="KMD159"/>
      <c r="KME159"/>
      <c r="KMF159"/>
      <c r="KMG159"/>
      <c r="KMH159"/>
      <c r="KMI159"/>
      <c r="KMJ159"/>
      <c r="KMK159"/>
      <c r="KML159"/>
      <c r="KMM159"/>
      <c r="KMN159"/>
      <c r="KMO159"/>
      <c r="KMP159"/>
      <c r="KMQ159"/>
      <c r="KMR159"/>
      <c r="KMS159"/>
      <c r="KMT159"/>
      <c r="KMU159"/>
      <c r="KMV159"/>
      <c r="KMW159"/>
      <c r="KMX159"/>
      <c r="KMY159"/>
      <c r="KMZ159"/>
      <c r="KNA159"/>
      <c r="KNB159"/>
      <c r="KNC159"/>
      <c r="KND159"/>
      <c r="KNE159"/>
      <c r="KNF159"/>
      <c r="KNG159"/>
      <c r="KNH159"/>
      <c r="KNI159"/>
      <c r="KNJ159"/>
      <c r="KNK159"/>
      <c r="KNL159"/>
      <c r="KNM159"/>
      <c r="KNN159"/>
      <c r="KNO159"/>
      <c r="KNP159"/>
      <c r="KNQ159"/>
      <c r="KNR159"/>
      <c r="KNS159"/>
      <c r="KNT159"/>
      <c r="KNU159"/>
      <c r="KNV159"/>
      <c r="KNW159"/>
      <c r="KNX159"/>
      <c r="KNY159"/>
      <c r="KNZ159"/>
      <c r="KOA159"/>
      <c r="KOB159"/>
      <c r="KOC159"/>
      <c r="KOD159"/>
      <c r="KOE159"/>
      <c r="KOF159"/>
      <c r="KOG159"/>
      <c r="KOH159"/>
      <c r="KOI159"/>
      <c r="KOJ159"/>
      <c r="KOK159"/>
      <c r="KOL159"/>
      <c r="KOM159"/>
      <c r="KON159"/>
      <c r="KOO159"/>
      <c r="KOP159"/>
      <c r="KOQ159"/>
      <c r="KOR159"/>
      <c r="KOS159"/>
      <c r="KOT159"/>
      <c r="KOU159"/>
      <c r="KOV159"/>
      <c r="KOW159"/>
      <c r="KOX159"/>
      <c r="KOY159"/>
      <c r="KOZ159"/>
      <c r="KPA159"/>
      <c r="KPB159"/>
      <c r="KPC159"/>
      <c r="KPD159"/>
      <c r="KPE159"/>
      <c r="KPF159"/>
      <c r="KPG159"/>
      <c r="KPH159"/>
      <c r="KPI159"/>
      <c r="KPJ159"/>
      <c r="KPK159"/>
      <c r="KPL159"/>
      <c r="KPM159"/>
      <c r="KPN159"/>
      <c r="KPO159"/>
      <c r="KPP159"/>
      <c r="KPQ159"/>
      <c r="KPR159"/>
      <c r="KPS159"/>
      <c r="KPT159"/>
      <c r="KPU159"/>
      <c r="KPV159"/>
      <c r="KPW159"/>
      <c r="KPX159"/>
      <c r="KPY159"/>
      <c r="KPZ159"/>
      <c r="KQA159"/>
      <c r="KQB159"/>
      <c r="KQC159"/>
      <c r="KQD159"/>
      <c r="KQE159"/>
      <c r="KQF159"/>
      <c r="KQG159"/>
      <c r="KQH159"/>
      <c r="KQI159"/>
      <c r="KQJ159"/>
      <c r="KQK159"/>
      <c r="KQL159"/>
      <c r="KQM159"/>
      <c r="KQN159"/>
      <c r="KQO159"/>
      <c r="KQP159"/>
      <c r="KQQ159"/>
      <c r="KQR159"/>
      <c r="KQS159"/>
      <c r="KQT159"/>
      <c r="KQU159"/>
      <c r="KQV159"/>
      <c r="KQW159"/>
      <c r="KQX159"/>
      <c r="KQY159"/>
      <c r="KQZ159"/>
      <c r="KRA159"/>
      <c r="KRB159"/>
      <c r="KRC159"/>
      <c r="KRD159"/>
      <c r="KRE159"/>
      <c r="KRF159"/>
      <c r="KRG159"/>
      <c r="KRH159"/>
      <c r="KRI159"/>
      <c r="KRJ159"/>
      <c r="KRK159"/>
      <c r="KRL159"/>
      <c r="KRM159"/>
      <c r="KRN159"/>
      <c r="KRO159"/>
      <c r="KRP159"/>
      <c r="KRQ159"/>
      <c r="KRR159"/>
      <c r="KRS159"/>
      <c r="KRT159"/>
      <c r="KRU159"/>
      <c r="KRV159"/>
      <c r="KRW159"/>
      <c r="KRX159"/>
      <c r="KRY159"/>
      <c r="KRZ159"/>
      <c r="KSA159"/>
      <c r="KSB159"/>
      <c r="KSC159"/>
      <c r="KSD159"/>
      <c r="KSE159"/>
      <c r="KSF159"/>
      <c r="KSG159"/>
      <c r="KSH159"/>
      <c r="KSI159"/>
      <c r="KSJ159"/>
      <c r="KSK159"/>
      <c r="KSL159"/>
      <c r="KSM159"/>
      <c r="KSN159"/>
      <c r="KSO159"/>
      <c r="KSP159"/>
      <c r="KSQ159"/>
      <c r="KSR159"/>
      <c r="KSS159"/>
      <c r="KST159"/>
      <c r="KSU159"/>
      <c r="KSV159"/>
      <c r="KSW159"/>
      <c r="KSX159"/>
      <c r="KSY159"/>
      <c r="KSZ159"/>
      <c r="KTA159"/>
      <c r="KTB159"/>
      <c r="KTC159"/>
      <c r="KTD159"/>
      <c r="KTE159"/>
      <c r="KTF159"/>
      <c r="KTG159"/>
      <c r="KTH159"/>
      <c r="KTI159"/>
      <c r="KTJ159"/>
      <c r="KTK159"/>
      <c r="KTL159"/>
      <c r="KTM159"/>
      <c r="KTN159"/>
      <c r="KTO159"/>
      <c r="KTP159"/>
      <c r="KTQ159"/>
      <c r="KTR159"/>
      <c r="KTS159"/>
      <c r="KTT159"/>
      <c r="KTU159"/>
      <c r="KTV159"/>
      <c r="KTW159"/>
      <c r="KTX159"/>
      <c r="KTY159"/>
      <c r="KTZ159"/>
      <c r="KUA159"/>
      <c r="KUB159"/>
      <c r="KUC159"/>
      <c r="KUD159"/>
      <c r="KUE159"/>
      <c r="KUF159"/>
      <c r="KUG159"/>
      <c r="KUH159"/>
      <c r="KUI159"/>
      <c r="KUJ159"/>
      <c r="KUK159"/>
      <c r="KUL159"/>
      <c r="KUM159"/>
      <c r="KUN159"/>
      <c r="KUO159"/>
      <c r="KUP159"/>
      <c r="KUQ159"/>
      <c r="KUR159"/>
      <c r="KUS159"/>
      <c r="KUT159"/>
      <c r="KUU159"/>
      <c r="KUV159"/>
      <c r="KUW159"/>
      <c r="KUX159"/>
      <c r="KUY159"/>
      <c r="KUZ159"/>
      <c r="KVA159"/>
      <c r="KVB159"/>
      <c r="KVC159"/>
      <c r="KVD159"/>
      <c r="KVE159"/>
      <c r="KVF159"/>
      <c r="KVG159"/>
      <c r="KVH159"/>
      <c r="KVI159"/>
      <c r="KVJ159"/>
      <c r="KVK159"/>
      <c r="KVL159"/>
      <c r="KVM159"/>
      <c r="KVN159"/>
      <c r="KVO159"/>
      <c r="KVP159"/>
      <c r="KVQ159"/>
      <c r="KVR159"/>
      <c r="KVS159"/>
      <c r="KVT159"/>
      <c r="KVU159"/>
      <c r="KVV159"/>
      <c r="KVW159"/>
      <c r="KVX159"/>
      <c r="KVY159"/>
      <c r="KVZ159"/>
      <c r="KWA159"/>
      <c r="KWB159"/>
      <c r="KWC159"/>
      <c r="KWD159"/>
      <c r="KWE159"/>
      <c r="KWF159"/>
      <c r="KWG159"/>
      <c r="KWH159"/>
      <c r="KWI159"/>
      <c r="KWJ159"/>
      <c r="KWK159"/>
      <c r="KWL159"/>
      <c r="KWM159"/>
      <c r="KWN159"/>
      <c r="KWO159"/>
      <c r="KWP159"/>
      <c r="KWQ159"/>
      <c r="KWR159"/>
      <c r="KWS159"/>
      <c r="KWT159"/>
      <c r="KWU159"/>
      <c r="KWV159"/>
      <c r="KWW159"/>
      <c r="KWX159"/>
      <c r="KWY159"/>
      <c r="KWZ159"/>
      <c r="KXA159"/>
      <c r="KXB159"/>
      <c r="KXC159"/>
      <c r="KXD159"/>
      <c r="KXE159"/>
      <c r="KXF159"/>
      <c r="KXG159"/>
      <c r="KXH159"/>
      <c r="KXI159"/>
      <c r="KXJ159"/>
      <c r="KXK159"/>
      <c r="KXL159"/>
      <c r="KXM159"/>
      <c r="KXN159"/>
      <c r="KXO159"/>
      <c r="KXP159"/>
      <c r="KXQ159"/>
      <c r="KXR159"/>
      <c r="KXS159"/>
      <c r="KXT159"/>
      <c r="KXU159"/>
      <c r="KXV159"/>
      <c r="KXW159"/>
      <c r="KXX159"/>
      <c r="KXY159"/>
      <c r="KXZ159"/>
      <c r="KYA159"/>
      <c r="KYB159"/>
      <c r="KYC159"/>
      <c r="KYD159"/>
      <c r="KYE159"/>
      <c r="KYF159"/>
      <c r="KYG159"/>
      <c r="KYH159"/>
      <c r="KYI159"/>
      <c r="KYJ159"/>
      <c r="KYK159"/>
      <c r="KYL159"/>
      <c r="KYM159"/>
      <c r="KYN159"/>
      <c r="KYO159"/>
      <c r="KYP159"/>
      <c r="KYQ159"/>
      <c r="KYR159"/>
      <c r="KYS159"/>
      <c r="KYT159"/>
      <c r="KYU159"/>
      <c r="KYV159"/>
      <c r="KYW159"/>
      <c r="KYX159"/>
      <c r="KYY159"/>
      <c r="KYZ159"/>
      <c r="KZA159"/>
      <c r="KZB159"/>
      <c r="KZC159"/>
      <c r="KZD159"/>
      <c r="KZE159"/>
      <c r="KZF159"/>
      <c r="KZG159"/>
      <c r="KZH159"/>
      <c r="KZI159"/>
      <c r="KZJ159"/>
      <c r="KZK159"/>
      <c r="KZL159"/>
      <c r="KZM159"/>
      <c r="KZN159"/>
      <c r="KZO159"/>
      <c r="KZP159"/>
      <c r="KZQ159"/>
      <c r="KZR159"/>
      <c r="KZS159"/>
      <c r="KZT159"/>
      <c r="KZU159"/>
      <c r="KZV159"/>
      <c r="KZW159"/>
      <c r="KZX159"/>
      <c r="KZY159"/>
      <c r="KZZ159"/>
      <c r="LAA159"/>
      <c r="LAB159"/>
      <c r="LAC159"/>
      <c r="LAD159"/>
      <c r="LAE159"/>
      <c r="LAF159"/>
      <c r="LAG159"/>
      <c r="LAH159"/>
      <c r="LAI159"/>
      <c r="LAJ159"/>
      <c r="LAK159"/>
      <c r="LAL159"/>
      <c r="LAM159"/>
      <c r="LAN159"/>
      <c r="LAO159"/>
      <c r="LAP159"/>
      <c r="LAQ159"/>
      <c r="LAR159"/>
      <c r="LAS159"/>
      <c r="LAT159"/>
      <c r="LAU159"/>
      <c r="LAV159"/>
      <c r="LAW159"/>
      <c r="LAX159"/>
      <c r="LAY159"/>
      <c r="LAZ159"/>
      <c r="LBA159"/>
      <c r="LBB159"/>
      <c r="LBC159"/>
      <c r="LBD159"/>
      <c r="LBE159"/>
      <c r="LBF159"/>
      <c r="LBG159"/>
      <c r="LBH159"/>
      <c r="LBI159"/>
      <c r="LBJ159"/>
      <c r="LBK159"/>
      <c r="LBL159"/>
      <c r="LBM159"/>
      <c r="LBN159"/>
      <c r="LBO159"/>
      <c r="LBP159"/>
      <c r="LBQ159"/>
      <c r="LBR159"/>
      <c r="LBS159"/>
      <c r="LBT159"/>
      <c r="LBU159"/>
      <c r="LBV159"/>
      <c r="LBW159"/>
      <c r="LBX159"/>
      <c r="LBY159"/>
      <c r="LBZ159"/>
      <c r="LCA159"/>
      <c r="LCB159"/>
      <c r="LCC159"/>
      <c r="LCD159"/>
      <c r="LCE159"/>
      <c r="LCF159"/>
      <c r="LCG159"/>
      <c r="LCH159"/>
      <c r="LCI159"/>
      <c r="LCJ159"/>
      <c r="LCK159"/>
      <c r="LCL159"/>
      <c r="LCM159"/>
      <c r="LCN159"/>
      <c r="LCO159"/>
      <c r="LCP159"/>
      <c r="LCQ159"/>
      <c r="LCR159"/>
      <c r="LCS159"/>
      <c r="LCT159"/>
      <c r="LCU159"/>
      <c r="LCV159"/>
      <c r="LCW159"/>
      <c r="LCX159"/>
      <c r="LCY159"/>
      <c r="LCZ159"/>
      <c r="LDA159"/>
      <c r="LDB159"/>
      <c r="LDC159"/>
      <c r="LDD159"/>
      <c r="LDE159"/>
      <c r="LDF159"/>
      <c r="LDG159"/>
      <c r="LDH159"/>
      <c r="LDI159"/>
      <c r="LDJ159"/>
      <c r="LDK159"/>
      <c r="LDL159"/>
      <c r="LDM159"/>
      <c r="LDN159"/>
      <c r="LDO159"/>
      <c r="LDP159"/>
      <c r="LDQ159"/>
      <c r="LDR159"/>
      <c r="LDS159"/>
      <c r="LDT159"/>
      <c r="LDU159"/>
      <c r="LDV159"/>
      <c r="LDW159"/>
      <c r="LDX159"/>
      <c r="LDY159"/>
      <c r="LDZ159"/>
      <c r="LEA159"/>
      <c r="LEB159"/>
      <c r="LEC159"/>
      <c r="LED159"/>
      <c r="LEE159"/>
      <c r="LEF159"/>
      <c r="LEG159"/>
      <c r="LEH159"/>
      <c r="LEI159"/>
      <c r="LEJ159"/>
      <c r="LEK159"/>
      <c r="LEL159"/>
      <c r="LEM159"/>
      <c r="LEN159"/>
      <c r="LEO159"/>
      <c r="LEP159"/>
      <c r="LEQ159"/>
      <c r="LER159"/>
      <c r="LES159"/>
      <c r="LET159"/>
      <c r="LEU159"/>
      <c r="LEV159"/>
      <c r="LEW159"/>
      <c r="LEX159"/>
      <c r="LEY159"/>
      <c r="LEZ159"/>
      <c r="LFA159"/>
      <c r="LFB159"/>
      <c r="LFC159"/>
      <c r="LFD159"/>
      <c r="LFE159"/>
      <c r="LFF159"/>
      <c r="LFG159"/>
      <c r="LFH159"/>
      <c r="LFI159"/>
      <c r="LFJ159"/>
      <c r="LFK159"/>
      <c r="LFL159"/>
      <c r="LFM159"/>
      <c r="LFN159"/>
      <c r="LFO159"/>
      <c r="LFP159"/>
      <c r="LFQ159"/>
      <c r="LFR159"/>
      <c r="LFS159"/>
      <c r="LFT159"/>
      <c r="LFU159"/>
      <c r="LFV159"/>
      <c r="LFW159"/>
      <c r="LFX159"/>
      <c r="LFY159"/>
      <c r="LFZ159"/>
      <c r="LGA159"/>
      <c r="LGB159"/>
      <c r="LGC159"/>
      <c r="LGD159"/>
      <c r="LGE159"/>
      <c r="LGF159"/>
      <c r="LGG159"/>
      <c r="LGH159"/>
      <c r="LGI159"/>
      <c r="LGJ159"/>
      <c r="LGK159"/>
      <c r="LGL159"/>
      <c r="LGM159"/>
      <c r="LGN159"/>
      <c r="LGO159"/>
      <c r="LGP159"/>
      <c r="LGQ159"/>
      <c r="LGR159"/>
      <c r="LGS159"/>
      <c r="LGT159"/>
      <c r="LGU159"/>
      <c r="LGV159"/>
      <c r="LGW159"/>
      <c r="LGX159"/>
      <c r="LGY159"/>
      <c r="LGZ159"/>
      <c r="LHA159"/>
      <c r="LHB159"/>
      <c r="LHC159"/>
      <c r="LHD159"/>
      <c r="LHE159"/>
      <c r="LHF159"/>
      <c r="LHG159"/>
      <c r="LHH159"/>
      <c r="LHI159"/>
      <c r="LHJ159"/>
      <c r="LHK159"/>
      <c r="LHL159"/>
      <c r="LHM159"/>
      <c r="LHN159"/>
      <c r="LHO159"/>
      <c r="LHP159"/>
      <c r="LHQ159"/>
      <c r="LHR159"/>
      <c r="LHS159"/>
      <c r="LHT159"/>
      <c r="LHU159"/>
      <c r="LHV159"/>
      <c r="LHW159"/>
      <c r="LHX159"/>
      <c r="LHY159"/>
      <c r="LHZ159"/>
      <c r="LIA159"/>
      <c r="LIB159"/>
      <c r="LIC159"/>
      <c r="LID159"/>
      <c r="LIE159"/>
      <c r="LIF159"/>
      <c r="LIG159"/>
      <c r="LIH159"/>
      <c r="LII159"/>
      <c r="LIJ159"/>
      <c r="LIK159"/>
      <c r="LIL159"/>
      <c r="LIM159"/>
      <c r="LIN159"/>
      <c r="LIO159"/>
      <c r="LIP159"/>
      <c r="LIQ159"/>
      <c r="LIR159"/>
      <c r="LIS159"/>
      <c r="LIT159"/>
      <c r="LIU159"/>
      <c r="LIV159"/>
      <c r="LIW159"/>
      <c r="LIX159"/>
      <c r="LIY159"/>
      <c r="LIZ159"/>
      <c r="LJA159"/>
      <c r="LJB159"/>
      <c r="LJC159"/>
      <c r="LJD159"/>
      <c r="LJE159"/>
      <c r="LJF159"/>
      <c r="LJG159"/>
      <c r="LJH159"/>
      <c r="LJI159"/>
      <c r="LJJ159"/>
      <c r="LJK159"/>
      <c r="LJL159"/>
      <c r="LJM159"/>
      <c r="LJN159"/>
      <c r="LJO159"/>
      <c r="LJP159"/>
      <c r="LJQ159"/>
      <c r="LJR159"/>
      <c r="LJS159"/>
      <c r="LJT159"/>
      <c r="LJU159"/>
      <c r="LJV159"/>
      <c r="LJW159"/>
      <c r="LJX159"/>
      <c r="LJY159"/>
      <c r="LJZ159"/>
      <c r="LKA159"/>
      <c r="LKB159"/>
      <c r="LKC159"/>
      <c r="LKD159"/>
      <c r="LKE159"/>
      <c r="LKF159"/>
      <c r="LKG159"/>
      <c r="LKH159"/>
      <c r="LKI159"/>
      <c r="LKJ159"/>
      <c r="LKK159"/>
      <c r="LKL159"/>
      <c r="LKM159"/>
      <c r="LKN159"/>
      <c r="LKO159"/>
      <c r="LKP159"/>
      <c r="LKQ159"/>
      <c r="LKR159"/>
      <c r="LKS159"/>
      <c r="LKT159"/>
      <c r="LKU159"/>
      <c r="LKV159"/>
      <c r="LKW159"/>
      <c r="LKX159"/>
      <c r="LKY159"/>
      <c r="LKZ159"/>
      <c r="LLA159"/>
      <c r="LLB159"/>
      <c r="LLC159"/>
      <c r="LLD159"/>
      <c r="LLE159"/>
      <c r="LLF159"/>
      <c r="LLG159"/>
      <c r="LLH159"/>
      <c r="LLI159"/>
      <c r="LLJ159"/>
      <c r="LLK159"/>
      <c r="LLL159"/>
      <c r="LLM159"/>
      <c r="LLN159"/>
      <c r="LLO159"/>
      <c r="LLP159"/>
      <c r="LLQ159"/>
      <c r="LLR159"/>
      <c r="LLS159"/>
      <c r="LLT159"/>
      <c r="LLU159"/>
      <c r="LLV159"/>
      <c r="LLW159"/>
      <c r="LLX159"/>
      <c r="LLY159"/>
      <c r="LLZ159"/>
      <c r="LMA159"/>
      <c r="LMB159"/>
      <c r="LMC159"/>
      <c r="LMD159"/>
      <c r="LME159"/>
      <c r="LMF159"/>
      <c r="LMG159"/>
      <c r="LMH159"/>
      <c r="LMI159"/>
      <c r="LMJ159"/>
      <c r="LMK159"/>
      <c r="LML159"/>
      <c r="LMM159"/>
      <c r="LMN159"/>
      <c r="LMO159"/>
      <c r="LMP159"/>
      <c r="LMQ159"/>
      <c r="LMR159"/>
      <c r="LMS159"/>
      <c r="LMT159"/>
      <c r="LMU159"/>
      <c r="LMV159"/>
      <c r="LMW159"/>
      <c r="LMX159"/>
      <c r="LMY159"/>
      <c r="LMZ159"/>
      <c r="LNA159"/>
      <c r="LNB159"/>
      <c r="LNC159"/>
      <c r="LND159"/>
      <c r="LNE159"/>
      <c r="LNF159"/>
      <c r="LNG159"/>
      <c r="LNH159"/>
      <c r="LNI159"/>
      <c r="LNJ159"/>
      <c r="LNK159"/>
      <c r="LNL159"/>
      <c r="LNM159"/>
      <c r="LNN159"/>
      <c r="LNO159"/>
      <c r="LNP159"/>
      <c r="LNQ159"/>
      <c r="LNR159"/>
      <c r="LNS159"/>
      <c r="LNT159"/>
      <c r="LNU159"/>
      <c r="LNV159"/>
      <c r="LNW159"/>
      <c r="LNX159"/>
      <c r="LNY159"/>
      <c r="LNZ159"/>
      <c r="LOA159"/>
      <c r="LOB159"/>
      <c r="LOC159"/>
      <c r="LOD159"/>
      <c r="LOE159"/>
      <c r="LOF159"/>
      <c r="LOG159"/>
      <c r="LOH159"/>
      <c r="LOI159"/>
      <c r="LOJ159"/>
      <c r="LOK159"/>
      <c r="LOL159"/>
      <c r="LOM159"/>
      <c r="LON159"/>
      <c r="LOO159"/>
      <c r="LOP159"/>
      <c r="LOQ159"/>
      <c r="LOR159"/>
      <c r="LOS159"/>
      <c r="LOT159"/>
      <c r="LOU159"/>
      <c r="LOV159"/>
      <c r="LOW159"/>
      <c r="LOX159"/>
      <c r="LOY159"/>
      <c r="LOZ159"/>
      <c r="LPA159"/>
      <c r="LPB159"/>
      <c r="LPC159"/>
      <c r="LPD159"/>
      <c r="LPE159"/>
      <c r="LPF159"/>
      <c r="LPG159"/>
      <c r="LPH159"/>
      <c r="LPI159"/>
      <c r="LPJ159"/>
      <c r="LPK159"/>
      <c r="LPL159"/>
      <c r="LPM159"/>
      <c r="LPN159"/>
      <c r="LPO159"/>
      <c r="LPP159"/>
      <c r="LPQ159"/>
      <c r="LPR159"/>
      <c r="LPS159"/>
      <c r="LPT159"/>
      <c r="LPU159"/>
      <c r="LPV159"/>
      <c r="LPW159"/>
      <c r="LPX159"/>
      <c r="LPY159"/>
      <c r="LPZ159"/>
      <c r="LQA159"/>
      <c r="LQB159"/>
      <c r="LQC159"/>
      <c r="LQD159"/>
      <c r="LQE159"/>
      <c r="LQF159"/>
      <c r="LQG159"/>
      <c r="LQH159"/>
      <c r="LQI159"/>
      <c r="LQJ159"/>
      <c r="LQK159"/>
      <c r="LQL159"/>
      <c r="LQM159"/>
      <c r="LQN159"/>
      <c r="LQO159"/>
      <c r="LQP159"/>
      <c r="LQQ159"/>
      <c r="LQR159"/>
      <c r="LQS159"/>
      <c r="LQT159"/>
      <c r="LQU159"/>
      <c r="LQV159"/>
      <c r="LQW159"/>
      <c r="LQX159"/>
      <c r="LQY159"/>
      <c r="LQZ159"/>
      <c r="LRA159"/>
      <c r="LRB159"/>
      <c r="LRC159"/>
      <c r="LRD159"/>
      <c r="LRE159"/>
      <c r="LRF159"/>
      <c r="LRG159"/>
      <c r="LRH159"/>
      <c r="LRI159"/>
      <c r="LRJ159"/>
      <c r="LRK159"/>
      <c r="LRL159"/>
      <c r="LRM159"/>
      <c r="LRN159"/>
      <c r="LRO159"/>
      <c r="LRP159"/>
      <c r="LRQ159"/>
      <c r="LRR159"/>
      <c r="LRS159"/>
      <c r="LRT159"/>
      <c r="LRU159"/>
      <c r="LRV159"/>
      <c r="LRW159"/>
      <c r="LRX159"/>
      <c r="LRY159"/>
      <c r="LRZ159"/>
      <c r="LSA159"/>
      <c r="LSB159"/>
      <c r="LSC159"/>
      <c r="LSD159"/>
      <c r="LSE159"/>
      <c r="LSF159"/>
      <c r="LSG159"/>
      <c r="LSH159"/>
      <c r="LSI159"/>
      <c r="LSJ159"/>
      <c r="LSK159"/>
      <c r="LSL159"/>
      <c r="LSM159"/>
      <c r="LSN159"/>
      <c r="LSO159"/>
      <c r="LSP159"/>
      <c r="LSQ159"/>
      <c r="LSR159"/>
      <c r="LSS159"/>
      <c r="LST159"/>
      <c r="LSU159"/>
      <c r="LSV159"/>
      <c r="LSW159"/>
      <c r="LSX159"/>
      <c r="LSY159"/>
      <c r="LSZ159"/>
      <c r="LTA159"/>
      <c r="LTB159"/>
      <c r="LTC159"/>
      <c r="LTD159"/>
      <c r="LTE159"/>
      <c r="LTF159"/>
      <c r="LTG159"/>
      <c r="LTH159"/>
      <c r="LTI159"/>
      <c r="LTJ159"/>
      <c r="LTK159"/>
      <c r="LTL159"/>
      <c r="LTM159"/>
      <c r="LTN159"/>
      <c r="LTO159"/>
      <c r="LTP159"/>
      <c r="LTQ159"/>
      <c r="LTR159"/>
      <c r="LTS159"/>
      <c r="LTT159"/>
      <c r="LTU159"/>
      <c r="LTV159"/>
      <c r="LTW159"/>
      <c r="LTX159"/>
      <c r="LTY159"/>
      <c r="LTZ159"/>
      <c r="LUA159"/>
      <c r="LUB159"/>
      <c r="LUC159"/>
      <c r="LUD159"/>
      <c r="LUE159"/>
      <c r="LUF159"/>
      <c r="LUG159"/>
      <c r="LUH159"/>
      <c r="LUI159"/>
      <c r="LUJ159"/>
      <c r="LUK159"/>
      <c r="LUL159"/>
      <c r="LUM159"/>
      <c r="LUN159"/>
      <c r="LUO159"/>
      <c r="LUP159"/>
      <c r="LUQ159"/>
      <c r="LUR159"/>
      <c r="LUS159"/>
      <c r="LUT159"/>
      <c r="LUU159"/>
      <c r="LUV159"/>
      <c r="LUW159"/>
      <c r="LUX159"/>
      <c r="LUY159"/>
      <c r="LUZ159"/>
      <c r="LVA159"/>
      <c r="LVB159"/>
      <c r="LVC159"/>
      <c r="LVD159"/>
      <c r="LVE159"/>
      <c r="LVF159"/>
      <c r="LVG159"/>
      <c r="LVH159"/>
      <c r="LVI159"/>
      <c r="LVJ159"/>
      <c r="LVK159"/>
      <c r="LVL159"/>
      <c r="LVM159"/>
      <c r="LVN159"/>
      <c r="LVO159"/>
      <c r="LVP159"/>
      <c r="LVQ159"/>
      <c r="LVR159"/>
      <c r="LVS159"/>
      <c r="LVT159"/>
      <c r="LVU159"/>
      <c r="LVV159"/>
      <c r="LVW159"/>
      <c r="LVX159"/>
      <c r="LVY159"/>
      <c r="LVZ159"/>
      <c r="LWA159"/>
      <c r="LWB159"/>
      <c r="LWC159"/>
      <c r="LWD159"/>
      <c r="LWE159"/>
      <c r="LWF159"/>
      <c r="LWG159"/>
      <c r="LWH159"/>
      <c r="LWI159"/>
      <c r="LWJ159"/>
      <c r="LWK159"/>
      <c r="LWL159"/>
      <c r="LWM159"/>
      <c r="LWN159"/>
      <c r="LWO159"/>
      <c r="LWP159"/>
      <c r="LWQ159"/>
      <c r="LWR159"/>
      <c r="LWS159"/>
      <c r="LWT159"/>
      <c r="LWU159"/>
      <c r="LWV159"/>
      <c r="LWW159"/>
      <c r="LWX159"/>
      <c r="LWY159"/>
      <c r="LWZ159"/>
      <c r="LXA159"/>
      <c r="LXB159"/>
      <c r="LXC159"/>
      <c r="LXD159"/>
      <c r="LXE159"/>
      <c r="LXF159"/>
      <c r="LXG159"/>
      <c r="LXH159"/>
      <c r="LXI159"/>
      <c r="LXJ159"/>
      <c r="LXK159"/>
      <c r="LXL159"/>
      <c r="LXM159"/>
      <c r="LXN159"/>
      <c r="LXO159"/>
      <c r="LXP159"/>
      <c r="LXQ159"/>
      <c r="LXR159"/>
      <c r="LXS159"/>
      <c r="LXT159"/>
      <c r="LXU159"/>
      <c r="LXV159"/>
      <c r="LXW159"/>
      <c r="LXX159"/>
      <c r="LXY159"/>
      <c r="LXZ159"/>
      <c r="LYA159"/>
      <c r="LYB159"/>
      <c r="LYC159"/>
      <c r="LYD159"/>
      <c r="LYE159"/>
      <c r="LYF159"/>
      <c r="LYG159"/>
      <c r="LYH159"/>
      <c r="LYI159"/>
      <c r="LYJ159"/>
      <c r="LYK159"/>
      <c r="LYL159"/>
      <c r="LYM159"/>
      <c r="LYN159"/>
      <c r="LYO159"/>
      <c r="LYP159"/>
      <c r="LYQ159"/>
      <c r="LYR159"/>
      <c r="LYS159"/>
      <c r="LYT159"/>
      <c r="LYU159"/>
      <c r="LYV159"/>
      <c r="LYW159"/>
      <c r="LYX159"/>
      <c r="LYY159"/>
      <c r="LYZ159"/>
      <c r="LZA159"/>
      <c r="LZB159"/>
      <c r="LZC159"/>
      <c r="LZD159"/>
      <c r="LZE159"/>
      <c r="LZF159"/>
      <c r="LZG159"/>
      <c r="LZH159"/>
      <c r="LZI159"/>
      <c r="LZJ159"/>
      <c r="LZK159"/>
      <c r="LZL159"/>
      <c r="LZM159"/>
      <c r="LZN159"/>
      <c r="LZO159"/>
      <c r="LZP159"/>
      <c r="LZQ159"/>
      <c r="LZR159"/>
      <c r="LZS159"/>
      <c r="LZT159"/>
      <c r="LZU159"/>
      <c r="LZV159"/>
      <c r="LZW159"/>
      <c r="LZX159"/>
      <c r="LZY159"/>
      <c r="LZZ159"/>
      <c r="MAA159"/>
      <c r="MAB159"/>
      <c r="MAC159"/>
      <c r="MAD159"/>
      <c r="MAE159"/>
      <c r="MAF159"/>
      <c r="MAG159"/>
      <c r="MAH159"/>
      <c r="MAI159"/>
      <c r="MAJ159"/>
      <c r="MAK159"/>
      <c r="MAL159"/>
      <c r="MAM159"/>
      <c r="MAN159"/>
      <c r="MAO159"/>
      <c r="MAP159"/>
      <c r="MAQ159"/>
      <c r="MAR159"/>
      <c r="MAS159"/>
      <c r="MAT159"/>
      <c r="MAU159"/>
      <c r="MAV159"/>
      <c r="MAW159"/>
      <c r="MAX159"/>
      <c r="MAY159"/>
      <c r="MAZ159"/>
      <c r="MBA159"/>
      <c r="MBB159"/>
      <c r="MBC159"/>
      <c r="MBD159"/>
      <c r="MBE159"/>
      <c r="MBF159"/>
      <c r="MBG159"/>
      <c r="MBH159"/>
      <c r="MBI159"/>
      <c r="MBJ159"/>
      <c r="MBK159"/>
      <c r="MBL159"/>
      <c r="MBM159"/>
      <c r="MBN159"/>
      <c r="MBO159"/>
      <c r="MBP159"/>
      <c r="MBQ159"/>
      <c r="MBR159"/>
      <c r="MBS159"/>
      <c r="MBT159"/>
      <c r="MBU159"/>
      <c r="MBV159"/>
      <c r="MBW159"/>
      <c r="MBX159"/>
      <c r="MBY159"/>
      <c r="MBZ159"/>
      <c r="MCA159"/>
      <c r="MCB159"/>
      <c r="MCC159"/>
      <c r="MCD159"/>
      <c r="MCE159"/>
      <c r="MCF159"/>
      <c r="MCG159"/>
      <c r="MCH159"/>
      <c r="MCI159"/>
      <c r="MCJ159"/>
      <c r="MCK159"/>
      <c r="MCL159"/>
      <c r="MCM159"/>
      <c r="MCN159"/>
      <c r="MCO159"/>
      <c r="MCP159"/>
      <c r="MCQ159"/>
      <c r="MCR159"/>
      <c r="MCS159"/>
      <c r="MCT159"/>
      <c r="MCU159"/>
      <c r="MCV159"/>
      <c r="MCW159"/>
      <c r="MCX159"/>
      <c r="MCY159"/>
      <c r="MCZ159"/>
      <c r="MDA159"/>
      <c r="MDB159"/>
      <c r="MDC159"/>
      <c r="MDD159"/>
      <c r="MDE159"/>
      <c r="MDF159"/>
      <c r="MDG159"/>
      <c r="MDH159"/>
      <c r="MDI159"/>
      <c r="MDJ159"/>
      <c r="MDK159"/>
      <c r="MDL159"/>
      <c r="MDM159"/>
      <c r="MDN159"/>
      <c r="MDO159"/>
      <c r="MDP159"/>
      <c r="MDQ159"/>
      <c r="MDR159"/>
      <c r="MDS159"/>
      <c r="MDT159"/>
      <c r="MDU159"/>
      <c r="MDV159"/>
      <c r="MDW159"/>
      <c r="MDX159"/>
      <c r="MDY159"/>
      <c r="MDZ159"/>
      <c r="MEA159"/>
      <c r="MEB159"/>
      <c r="MEC159"/>
      <c r="MED159"/>
      <c r="MEE159"/>
      <c r="MEF159"/>
      <c r="MEG159"/>
      <c r="MEH159"/>
      <c r="MEI159"/>
      <c r="MEJ159"/>
      <c r="MEK159"/>
      <c r="MEL159"/>
      <c r="MEM159"/>
      <c r="MEN159"/>
      <c r="MEO159"/>
      <c r="MEP159"/>
      <c r="MEQ159"/>
      <c r="MER159"/>
      <c r="MES159"/>
      <c r="MET159"/>
      <c r="MEU159"/>
      <c r="MEV159"/>
      <c r="MEW159"/>
      <c r="MEX159"/>
      <c r="MEY159"/>
      <c r="MEZ159"/>
      <c r="MFA159"/>
      <c r="MFB159"/>
      <c r="MFC159"/>
      <c r="MFD159"/>
      <c r="MFE159"/>
      <c r="MFF159"/>
      <c r="MFG159"/>
      <c r="MFH159"/>
      <c r="MFI159"/>
      <c r="MFJ159"/>
      <c r="MFK159"/>
      <c r="MFL159"/>
      <c r="MFM159"/>
      <c r="MFN159"/>
      <c r="MFO159"/>
      <c r="MFP159"/>
      <c r="MFQ159"/>
      <c r="MFR159"/>
      <c r="MFS159"/>
      <c r="MFT159"/>
      <c r="MFU159"/>
      <c r="MFV159"/>
      <c r="MFW159"/>
      <c r="MFX159"/>
      <c r="MFY159"/>
      <c r="MFZ159"/>
      <c r="MGA159"/>
      <c r="MGB159"/>
      <c r="MGC159"/>
      <c r="MGD159"/>
      <c r="MGE159"/>
      <c r="MGF159"/>
      <c r="MGG159"/>
      <c r="MGH159"/>
      <c r="MGI159"/>
      <c r="MGJ159"/>
      <c r="MGK159"/>
      <c r="MGL159"/>
      <c r="MGM159"/>
      <c r="MGN159"/>
      <c r="MGO159"/>
      <c r="MGP159"/>
      <c r="MGQ159"/>
      <c r="MGR159"/>
      <c r="MGS159"/>
      <c r="MGT159"/>
      <c r="MGU159"/>
      <c r="MGV159"/>
      <c r="MGW159"/>
      <c r="MGX159"/>
      <c r="MGY159"/>
      <c r="MGZ159"/>
      <c r="MHA159"/>
      <c r="MHB159"/>
      <c r="MHC159"/>
      <c r="MHD159"/>
      <c r="MHE159"/>
      <c r="MHF159"/>
      <c r="MHG159"/>
      <c r="MHH159"/>
      <c r="MHI159"/>
      <c r="MHJ159"/>
      <c r="MHK159"/>
      <c r="MHL159"/>
      <c r="MHM159"/>
      <c r="MHN159"/>
      <c r="MHO159"/>
      <c r="MHP159"/>
      <c r="MHQ159"/>
      <c r="MHR159"/>
      <c r="MHS159"/>
      <c r="MHT159"/>
      <c r="MHU159"/>
      <c r="MHV159"/>
      <c r="MHW159"/>
      <c r="MHX159"/>
      <c r="MHY159"/>
      <c r="MHZ159"/>
      <c r="MIA159"/>
      <c r="MIB159"/>
      <c r="MIC159"/>
      <c r="MID159"/>
      <c r="MIE159"/>
      <c r="MIF159"/>
      <c r="MIG159"/>
      <c r="MIH159"/>
      <c r="MII159"/>
      <c r="MIJ159"/>
      <c r="MIK159"/>
      <c r="MIL159"/>
      <c r="MIM159"/>
      <c r="MIN159"/>
      <c r="MIO159"/>
      <c r="MIP159"/>
      <c r="MIQ159"/>
      <c r="MIR159"/>
      <c r="MIS159"/>
      <c r="MIT159"/>
      <c r="MIU159"/>
      <c r="MIV159"/>
      <c r="MIW159"/>
      <c r="MIX159"/>
      <c r="MIY159"/>
      <c r="MIZ159"/>
      <c r="MJA159"/>
      <c r="MJB159"/>
      <c r="MJC159"/>
      <c r="MJD159"/>
      <c r="MJE159"/>
      <c r="MJF159"/>
      <c r="MJG159"/>
      <c r="MJH159"/>
      <c r="MJI159"/>
      <c r="MJJ159"/>
      <c r="MJK159"/>
      <c r="MJL159"/>
      <c r="MJM159"/>
      <c r="MJN159"/>
      <c r="MJO159"/>
      <c r="MJP159"/>
      <c r="MJQ159"/>
      <c r="MJR159"/>
      <c r="MJS159"/>
      <c r="MJT159"/>
      <c r="MJU159"/>
      <c r="MJV159"/>
      <c r="MJW159"/>
      <c r="MJX159"/>
      <c r="MJY159"/>
      <c r="MJZ159"/>
      <c r="MKA159"/>
      <c r="MKB159"/>
      <c r="MKC159"/>
      <c r="MKD159"/>
      <c r="MKE159"/>
      <c r="MKF159"/>
      <c r="MKG159"/>
      <c r="MKH159"/>
      <c r="MKI159"/>
      <c r="MKJ159"/>
      <c r="MKK159"/>
      <c r="MKL159"/>
      <c r="MKM159"/>
      <c r="MKN159"/>
      <c r="MKO159"/>
      <c r="MKP159"/>
      <c r="MKQ159"/>
      <c r="MKR159"/>
      <c r="MKS159"/>
      <c r="MKT159"/>
      <c r="MKU159"/>
      <c r="MKV159"/>
      <c r="MKW159"/>
      <c r="MKX159"/>
      <c r="MKY159"/>
      <c r="MKZ159"/>
      <c r="MLA159"/>
      <c r="MLB159"/>
      <c r="MLC159"/>
      <c r="MLD159"/>
      <c r="MLE159"/>
      <c r="MLF159"/>
      <c r="MLG159"/>
      <c r="MLH159"/>
      <c r="MLI159"/>
      <c r="MLJ159"/>
      <c r="MLK159"/>
      <c r="MLL159"/>
      <c r="MLM159"/>
      <c r="MLN159"/>
      <c r="MLO159"/>
      <c r="MLP159"/>
      <c r="MLQ159"/>
      <c r="MLR159"/>
      <c r="MLS159"/>
      <c r="MLT159"/>
      <c r="MLU159"/>
      <c r="MLV159"/>
      <c r="MLW159"/>
      <c r="MLX159"/>
      <c r="MLY159"/>
      <c r="MLZ159"/>
      <c r="MMA159"/>
      <c r="MMB159"/>
      <c r="MMC159"/>
      <c r="MMD159"/>
      <c r="MME159"/>
      <c r="MMF159"/>
      <c r="MMG159"/>
      <c r="MMH159"/>
      <c r="MMI159"/>
      <c r="MMJ159"/>
      <c r="MMK159"/>
      <c r="MML159"/>
      <c r="MMM159"/>
      <c r="MMN159"/>
      <c r="MMO159"/>
      <c r="MMP159"/>
      <c r="MMQ159"/>
      <c r="MMR159"/>
      <c r="MMS159"/>
      <c r="MMT159"/>
      <c r="MMU159"/>
      <c r="MMV159"/>
      <c r="MMW159"/>
      <c r="MMX159"/>
      <c r="MMY159"/>
      <c r="MMZ159"/>
      <c r="MNA159"/>
      <c r="MNB159"/>
      <c r="MNC159"/>
      <c r="MND159"/>
      <c r="MNE159"/>
      <c r="MNF159"/>
      <c r="MNG159"/>
      <c r="MNH159"/>
      <c r="MNI159"/>
      <c r="MNJ159"/>
      <c r="MNK159"/>
      <c r="MNL159"/>
      <c r="MNM159"/>
      <c r="MNN159"/>
      <c r="MNO159"/>
      <c r="MNP159"/>
      <c r="MNQ159"/>
      <c r="MNR159"/>
      <c r="MNS159"/>
      <c r="MNT159"/>
      <c r="MNU159"/>
      <c r="MNV159"/>
      <c r="MNW159"/>
      <c r="MNX159"/>
      <c r="MNY159"/>
      <c r="MNZ159"/>
      <c r="MOA159"/>
      <c r="MOB159"/>
      <c r="MOC159"/>
      <c r="MOD159"/>
      <c r="MOE159"/>
      <c r="MOF159"/>
      <c r="MOG159"/>
      <c r="MOH159"/>
      <c r="MOI159"/>
      <c r="MOJ159"/>
      <c r="MOK159"/>
      <c r="MOL159"/>
      <c r="MOM159"/>
      <c r="MON159"/>
      <c r="MOO159"/>
      <c r="MOP159"/>
      <c r="MOQ159"/>
      <c r="MOR159"/>
      <c r="MOS159"/>
      <c r="MOT159"/>
      <c r="MOU159"/>
      <c r="MOV159"/>
      <c r="MOW159"/>
      <c r="MOX159"/>
      <c r="MOY159"/>
      <c r="MOZ159"/>
      <c r="MPA159"/>
      <c r="MPB159"/>
      <c r="MPC159"/>
      <c r="MPD159"/>
      <c r="MPE159"/>
      <c r="MPF159"/>
      <c r="MPG159"/>
      <c r="MPH159"/>
      <c r="MPI159"/>
      <c r="MPJ159"/>
      <c r="MPK159"/>
      <c r="MPL159"/>
      <c r="MPM159"/>
      <c r="MPN159"/>
      <c r="MPO159"/>
      <c r="MPP159"/>
      <c r="MPQ159"/>
      <c r="MPR159"/>
      <c r="MPS159"/>
      <c r="MPT159"/>
      <c r="MPU159"/>
      <c r="MPV159"/>
      <c r="MPW159"/>
      <c r="MPX159"/>
      <c r="MPY159"/>
      <c r="MPZ159"/>
      <c r="MQA159"/>
      <c r="MQB159"/>
      <c r="MQC159"/>
      <c r="MQD159"/>
      <c r="MQE159"/>
      <c r="MQF159"/>
      <c r="MQG159"/>
      <c r="MQH159"/>
      <c r="MQI159"/>
      <c r="MQJ159"/>
      <c r="MQK159"/>
      <c r="MQL159"/>
      <c r="MQM159"/>
      <c r="MQN159"/>
      <c r="MQO159"/>
      <c r="MQP159"/>
      <c r="MQQ159"/>
      <c r="MQR159"/>
      <c r="MQS159"/>
      <c r="MQT159"/>
      <c r="MQU159"/>
      <c r="MQV159"/>
      <c r="MQW159"/>
      <c r="MQX159"/>
      <c r="MQY159"/>
      <c r="MQZ159"/>
      <c r="MRA159"/>
      <c r="MRB159"/>
      <c r="MRC159"/>
      <c r="MRD159"/>
      <c r="MRE159"/>
      <c r="MRF159"/>
      <c r="MRG159"/>
      <c r="MRH159"/>
      <c r="MRI159"/>
      <c r="MRJ159"/>
      <c r="MRK159"/>
      <c r="MRL159"/>
      <c r="MRM159"/>
      <c r="MRN159"/>
      <c r="MRO159"/>
      <c r="MRP159"/>
      <c r="MRQ159"/>
      <c r="MRR159"/>
      <c r="MRS159"/>
      <c r="MRT159"/>
      <c r="MRU159"/>
      <c r="MRV159"/>
      <c r="MRW159"/>
      <c r="MRX159"/>
      <c r="MRY159"/>
      <c r="MRZ159"/>
      <c r="MSA159"/>
      <c r="MSB159"/>
      <c r="MSC159"/>
      <c r="MSD159"/>
      <c r="MSE159"/>
      <c r="MSF159"/>
      <c r="MSG159"/>
      <c r="MSH159"/>
      <c r="MSI159"/>
      <c r="MSJ159"/>
      <c r="MSK159"/>
      <c r="MSL159"/>
      <c r="MSM159"/>
      <c r="MSN159"/>
      <c r="MSO159"/>
      <c r="MSP159"/>
      <c r="MSQ159"/>
      <c r="MSR159"/>
      <c r="MSS159"/>
      <c r="MST159"/>
      <c r="MSU159"/>
      <c r="MSV159"/>
      <c r="MSW159"/>
      <c r="MSX159"/>
      <c r="MSY159"/>
      <c r="MSZ159"/>
      <c r="MTA159"/>
      <c r="MTB159"/>
      <c r="MTC159"/>
      <c r="MTD159"/>
      <c r="MTE159"/>
      <c r="MTF159"/>
      <c r="MTG159"/>
      <c r="MTH159"/>
      <c r="MTI159"/>
      <c r="MTJ159"/>
      <c r="MTK159"/>
      <c r="MTL159"/>
      <c r="MTM159"/>
      <c r="MTN159"/>
      <c r="MTO159"/>
      <c r="MTP159"/>
      <c r="MTQ159"/>
      <c r="MTR159"/>
      <c r="MTS159"/>
      <c r="MTT159"/>
      <c r="MTU159"/>
      <c r="MTV159"/>
      <c r="MTW159"/>
      <c r="MTX159"/>
      <c r="MTY159"/>
      <c r="MTZ159"/>
      <c r="MUA159"/>
      <c r="MUB159"/>
      <c r="MUC159"/>
      <c r="MUD159"/>
      <c r="MUE159"/>
      <c r="MUF159"/>
      <c r="MUG159"/>
      <c r="MUH159"/>
      <c r="MUI159"/>
      <c r="MUJ159"/>
      <c r="MUK159"/>
      <c r="MUL159"/>
      <c r="MUM159"/>
      <c r="MUN159"/>
      <c r="MUO159"/>
      <c r="MUP159"/>
      <c r="MUQ159"/>
      <c r="MUR159"/>
      <c r="MUS159"/>
      <c r="MUT159"/>
      <c r="MUU159"/>
      <c r="MUV159"/>
      <c r="MUW159"/>
      <c r="MUX159"/>
      <c r="MUY159"/>
      <c r="MUZ159"/>
      <c r="MVA159"/>
      <c r="MVB159"/>
      <c r="MVC159"/>
      <c r="MVD159"/>
      <c r="MVE159"/>
      <c r="MVF159"/>
      <c r="MVG159"/>
      <c r="MVH159"/>
      <c r="MVI159"/>
      <c r="MVJ159"/>
      <c r="MVK159"/>
      <c r="MVL159"/>
      <c r="MVM159"/>
      <c r="MVN159"/>
      <c r="MVO159"/>
      <c r="MVP159"/>
      <c r="MVQ159"/>
      <c r="MVR159"/>
      <c r="MVS159"/>
      <c r="MVT159"/>
      <c r="MVU159"/>
      <c r="MVV159"/>
      <c r="MVW159"/>
      <c r="MVX159"/>
      <c r="MVY159"/>
      <c r="MVZ159"/>
      <c r="MWA159"/>
      <c r="MWB159"/>
      <c r="MWC159"/>
      <c r="MWD159"/>
      <c r="MWE159"/>
      <c r="MWF159"/>
      <c r="MWG159"/>
      <c r="MWH159"/>
      <c r="MWI159"/>
      <c r="MWJ159"/>
      <c r="MWK159"/>
      <c r="MWL159"/>
      <c r="MWM159"/>
      <c r="MWN159"/>
      <c r="MWO159"/>
      <c r="MWP159"/>
      <c r="MWQ159"/>
      <c r="MWR159"/>
      <c r="MWS159"/>
      <c r="MWT159"/>
      <c r="MWU159"/>
      <c r="MWV159"/>
      <c r="MWW159"/>
      <c r="MWX159"/>
      <c r="MWY159"/>
      <c r="MWZ159"/>
      <c r="MXA159"/>
      <c r="MXB159"/>
      <c r="MXC159"/>
      <c r="MXD159"/>
      <c r="MXE159"/>
      <c r="MXF159"/>
      <c r="MXG159"/>
      <c r="MXH159"/>
      <c r="MXI159"/>
      <c r="MXJ159"/>
      <c r="MXK159"/>
      <c r="MXL159"/>
      <c r="MXM159"/>
      <c r="MXN159"/>
      <c r="MXO159"/>
      <c r="MXP159"/>
      <c r="MXQ159"/>
      <c r="MXR159"/>
      <c r="MXS159"/>
      <c r="MXT159"/>
      <c r="MXU159"/>
      <c r="MXV159"/>
      <c r="MXW159"/>
      <c r="MXX159"/>
      <c r="MXY159"/>
      <c r="MXZ159"/>
      <c r="MYA159"/>
      <c r="MYB159"/>
      <c r="MYC159"/>
      <c r="MYD159"/>
      <c r="MYE159"/>
      <c r="MYF159"/>
      <c r="MYG159"/>
      <c r="MYH159"/>
      <c r="MYI159"/>
      <c r="MYJ159"/>
      <c r="MYK159"/>
      <c r="MYL159"/>
      <c r="MYM159"/>
      <c r="MYN159"/>
      <c r="MYO159"/>
      <c r="MYP159"/>
      <c r="MYQ159"/>
      <c r="MYR159"/>
      <c r="MYS159"/>
      <c r="MYT159"/>
      <c r="MYU159"/>
      <c r="MYV159"/>
      <c r="MYW159"/>
      <c r="MYX159"/>
      <c r="MYY159"/>
      <c r="MYZ159"/>
      <c r="MZA159"/>
      <c r="MZB159"/>
      <c r="MZC159"/>
      <c r="MZD159"/>
      <c r="MZE159"/>
      <c r="MZF159"/>
      <c r="MZG159"/>
      <c r="MZH159"/>
      <c r="MZI159"/>
      <c r="MZJ159"/>
      <c r="MZK159"/>
      <c r="MZL159"/>
      <c r="MZM159"/>
      <c r="MZN159"/>
      <c r="MZO159"/>
      <c r="MZP159"/>
      <c r="MZQ159"/>
      <c r="MZR159"/>
      <c r="MZS159"/>
      <c r="MZT159"/>
      <c r="MZU159"/>
      <c r="MZV159"/>
      <c r="MZW159"/>
      <c r="MZX159"/>
      <c r="MZY159"/>
      <c r="MZZ159"/>
      <c r="NAA159"/>
      <c r="NAB159"/>
      <c r="NAC159"/>
      <c r="NAD159"/>
      <c r="NAE159"/>
      <c r="NAF159"/>
      <c r="NAG159"/>
      <c r="NAH159"/>
      <c r="NAI159"/>
      <c r="NAJ159"/>
      <c r="NAK159"/>
      <c r="NAL159"/>
      <c r="NAM159"/>
      <c r="NAN159"/>
      <c r="NAO159"/>
      <c r="NAP159"/>
      <c r="NAQ159"/>
      <c r="NAR159"/>
      <c r="NAS159"/>
      <c r="NAT159"/>
      <c r="NAU159"/>
      <c r="NAV159"/>
      <c r="NAW159"/>
      <c r="NAX159"/>
      <c r="NAY159"/>
      <c r="NAZ159"/>
      <c r="NBA159"/>
      <c r="NBB159"/>
      <c r="NBC159"/>
      <c r="NBD159"/>
      <c r="NBE159"/>
      <c r="NBF159"/>
      <c r="NBG159"/>
      <c r="NBH159"/>
      <c r="NBI159"/>
      <c r="NBJ159"/>
      <c r="NBK159"/>
      <c r="NBL159"/>
      <c r="NBM159"/>
      <c r="NBN159"/>
      <c r="NBO159"/>
      <c r="NBP159"/>
      <c r="NBQ159"/>
      <c r="NBR159"/>
      <c r="NBS159"/>
      <c r="NBT159"/>
      <c r="NBU159"/>
      <c r="NBV159"/>
      <c r="NBW159"/>
      <c r="NBX159"/>
      <c r="NBY159"/>
      <c r="NBZ159"/>
      <c r="NCA159"/>
      <c r="NCB159"/>
      <c r="NCC159"/>
      <c r="NCD159"/>
      <c r="NCE159"/>
      <c r="NCF159"/>
      <c r="NCG159"/>
      <c r="NCH159"/>
      <c r="NCI159"/>
      <c r="NCJ159"/>
      <c r="NCK159"/>
      <c r="NCL159"/>
      <c r="NCM159"/>
      <c r="NCN159"/>
      <c r="NCO159"/>
      <c r="NCP159"/>
      <c r="NCQ159"/>
      <c r="NCR159"/>
      <c r="NCS159"/>
      <c r="NCT159"/>
      <c r="NCU159"/>
      <c r="NCV159"/>
      <c r="NCW159"/>
      <c r="NCX159"/>
      <c r="NCY159"/>
      <c r="NCZ159"/>
      <c r="NDA159"/>
      <c r="NDB159"/>
      <c r="NDC159"/>
      <c r="NDD159"/>
      <c r="NDE159"/>
      <c r="NDF159"/>
      <c r="NDG159"/>
      <c r="NDH159"/>
      <c r="NDI159"/>
      <c r="NDJ159"/>
      <c r="NDK159"/>
      <c r="NDL159"/>
      <c r="NDM159"/>
      <c r="NDN159"/>
      <c r="NDO159"/>
      <c r="NDP159"/>
      <c r="NDQ159"/>
      <c r="NDR159"/>
      <c r="NDS159"/>
      <c r="NDT159"/>
      <c r="NDU159"/>
      <c r="NDV159"/>
      <c r="NDW159"/>
      <c r="NDX159"/>
      <c r="NDY159"/>
      <c r="NDZ159"/>
      <c r="NEA159"/>
      <c r="NEB159"/>
      <c r="NEC159"/>
      <c r="NED159"/>
      <c r="NEE159"/>
      <c r="NEF159"/>
      <c r="NEG159"/>
      <c r="NEH159"/>
      <c r="NEI159"/>
      <c r="NEJ159"/>
      <c r="NEK159"/>
      <c r="NEL159"/>
      <c r="NEM159"/>
      <c r="NEN159"/>
      <c r="NEO159"/>
      <c r="NEP159"/>
      <c r="NEQ159"/>
      <c r="NER159"/>
      <c r="NES159"/>
      <c r="NET159"/>
      <c r="NEU159"/>
      <c r="NEV159"/>
      <c r="NEW159"/>
      <c r="NEX159"/>
      <c r="NEY159"/>
      <c r="NEZ159"/>
      <c r="NFA159"/>
      <c r="NFB159"/>
      <c r="NFC159"/>
      <c r="NFD159"/>
      <c r="NFE159"/>
      <c r="NFF159"/>
      <c r="NFG159"/>
      <c r="NFH159"/>
      <c r="NFI159"/>
      <c r="NFJ159"/>
      <c r="NFK159"/>
      <c r="NFL159"/>
      <c r="NFM159"/>
      <c r="NFN159"/>
      <c r="NFO159"/>
      <c r="NFP159"/>
      <c r="NFQ159"/>
      <c r="NFR159"/>
      <c r="NFS159"/>
      <c r="NFT159"/>
      <c r="NFU159"/>
      <c r="NFV159"/>
      <c r="NFW159"/>
      <c r="NFX159"/>
      <c r="NFY159"/>
      <c r="NFZ159"/>
      <c r="NGA159"/>
      <c r="NGB159"/>
      <c r="NGC159"/>
      <c r="NGD159"/>
      <c r="NGE159"/>
      <c r="NGF159"/>
      <c r="NGG159"/>
      <c r="NGH159"/>
      <c r="NGI159"/>
      <c r="NGJ159"/>
      <c r="NGK159"/>
      <c r="NGL159"/>
      <c r="NGM159"/>
      <c r="NGN159"/>
      <c r="NGO159"/>
      <c r="NGP159"/>
      <c r="NGQ159"/>
      <c r="NGR159"/>
      <c r="NGS159"/>
      <c r="NGT159"/>
      <c r="NGU159"/>
      <c r="NGV159"/>
      <c r="NGW159"/>
      <c r="NGX159"/>
      <c r="NGY159"/>
      <c r="NGZ159"/>
      <c r="NHA159"/>
      <c r="NHB159"/>
      <c r="NHC159"/>
      <c r="NHD159"/>
      <c r="NHE159"/>
      <c r="NHF159"/>
      <c r="NHG159"/>
      <c r="NHH159"/>
      <c r="NHI159"/>
      <c r="NHJ159"/>
      <c r="NHK159"/>
      <c r="NHL159"/>
      <c r="NHM159"/>
      <c r="NHN159"/>
      <c r="NHO159"/>
      <c r="NHP159"/>
      <c r="NHQ159"/>
      <c r="NHR159"/>
      <c r="NHS159"/>
      <c r="NHT159"/>
      <c r="NHU159"/>
      <c r="NHV159"/>
      <c r="NHW159"/>
      <c r="NHX159"/>
      <c r="NHY159"/>
      <c r="NHZ159"/>
      <c r="NIA159"/>
      <c r="NIB159"/>
      <c r="NIC159"/>
      <c r="NID159"/>
      <c r="NIE159"/>
      <c r="NIF159"/>
      <c r="NIG159"/>
      <c r="NIH159"/>
      <c r="NII159"/>
      <c r="NIJ159"/>
      <c r="NIK159"/>
      <c r="NIL159"/>
      <c r="NIM159"/>
      <c r="NIN159"/>
      <c r="NIO159"/>
      <c r="NIP159"/>
      <c r="NIQ159"/>
      <c r="NIR159"/>
      <c r="NIS159"/>
      <c r="NIT159"/>
      <c r="NIU159"/>
      <c r="NIV159"/>
      <c r="NIW159"/>
      <c r="NIX159"/>
      <c r="NIY159"/>
      <c r="NIZ159"/>
      <c r="NJA159"/>
      <c r="NJB159"/>
      <c r="NJC159"/>
      <c r="NJD159"/>
      <c r="NJE159"/>
      <c r="NJF159"/>
      <c r="NJG159"/>
      <c r="NJH159"/>
      <c r="NJI159"/>
      <c r="NJJ159"/>
      <c r="NJK159"/>
      <c r="NJL159"/>
      <c r="NJM159"/>
      <c r="NJN159"/>
      <c r="NJO159"/>
      <c r="NJP159"/>
      <c r="NJQ159"/>
      <c r="NJR159"/>
      <c r="NJS159"/>
      <c r="NJT159"/>
      <c r="NJU159"/>
      <c r="NJV159"/>
      <c r="NJW159"/>
      <c r="NJX159"/>
      <c r="NJY159"/>
      <c r="NJZ159"/>
      <c r="NKA159"/>
      <c r="NKB159"/>
      <c r="NKC159"/>
      <c r="NKD159"/>
      <c r="NKE159"/>
      <c r="NKF159"/>
      <c r="NKG159"/>
      <c r="NKH159"/>
      <c r="NKI159"/>
      <c r="NKJ159"/>
      <c r="NKK159"/>
      <c r="NKL159"/>
      <c r="NKM159"/>
      <c r="NKN159"/>
      <c r="NKO159"/>
      <c r="NKP159"/>
      <c r="NKQ159"/>
      <c r="NKR159"/>
      <c r="NKS159"/>
      <c r="NKT159"/>
      <c r="NKU159"/>
      <c r="NKV159"/>
      <c r="NKW159"/>
      <c r="NKX159"/>
      <c r="NKY159"/>
      <c r="NKZ159"/>
      <c r="NLA159"/>
      <c r="NLB159"/>
      <c r="NLC159"/>
      <c r="NLD159"/>
      <c r="NLE159"/>
      <c r="NLF159"/>
      <c r="NLG159"/>
      <c r="NLH159"/>
      <c r="NLI159"/>
      <c r="NLJ159"/>
      <c r="NLK159"/>
      <c r="NLL159"/>
      <c r="NLM159"/>
      <c r="NLN159"/>
      <c r="NLO159"/>
      <c r="NLP159"/>
      <c r="NLQ159"/>
      <c r="NLR159"/>
      <c r="NLS159"/>
      <c r="NLT159"/>
      <c r="NLU159"/>
      <c r="NLV159"/>
      <c r="NLW159"/>
      <c r="NLX159"/>
      <c r="NLY159"/>
      <c r="NLZ159"/>
      <c r="NMA159"/>
      <c r="NMB159"/>
      <c r="NMC159"/>
      <c r="NMD159"/>
      <c r="NME159"/>
      <c r="NMF159"/>
      <c r="NMG159"/>
      <c r="NMH159"/>
      <c r="NMI159"/>
      <c r="NMJ159"/>
      <c r="NMK159"/>
      <c r="NML159"/>
      <c r="NMM159"/>
      <c r="NMN159"/>
      <c r="NMO159"/>
      <c r="NMP159"/>
      <c r="NMQ159"/>
      <c r="NMR159"/>
      <c r="NMS159"/>
      <c r="NMT159"/>
      <c r="NMU159"/>
      <c r="NMV159"/>
      <c r="NMW159"/>
      <c r="NMX159"/>
      <c r="NMY159"/>
      <c r="NMZ159"/>
      <c r="NNA159"/>
      <c r="NNB159"/>
      <c r="NNC159"/>
      <c r="NND159"/>
      <c r="NNE159"/>
      <c r="NNF159"/>
      <c r="NNG159"/>
      <c r="NNH159"/>
      <c r="NNI159"/>
      <c r="NNJ159"/>
      <c r="NNK159"/>
      <c r="NNL159"/>
      <c r="NNM159"/>
      <c r="NNN159"/>
      <c r="NNO159"/>
      <c r="NNP159"/>
      <c r="NNQ159"/>
      <c r="NNR159"/>
      <c r="NNS159"/>
      <c r="NNT159"/>
      <c r="NNU159"/>
      <c r="NNV159"/>
      <c r="NNW159"/>
      <c r="NNX159"/>
      <c r="NNY159"/>
      <c r="NNZ159"/>
      <c r="NOA159"/>
      <c r="NOB159"/>
      <c r="NOC159"/>
      <c r="NOD159"/>
      <c r="NOE159"/>
      <c r="NOF159"/>
      <c r="NOG159"/>
      <c r="NOH159"/>
      <c r="NOI159"/>
      <c r="NOJ159"/>
      <c r="NOK159"/>
      <c r="NOL159"/>
      <c r="NOM159"/>
      <c r="NON159"/>
      <c r="NOO159"/>
      <c r="NOP159"/>
      <c r="NOQ159"/>
      <c r="NOR159"/>
      <c r="NOS159"/>
      <c r="NOT159"/>
      <c r="NOU159"/>
      <c r="NOV159"/>
      <c r="NOW159"/>
      <c r="NOX159"/>
      <c r="NOY159"/>
      <c r="NOZ159"/>
      <c r="NPA159"/>
      <c r="NPB159"/>
      <c r="NPC159"/>
      <c r="NPD159"/>
      <c r="NPE159"/>
      <c r="NPF159"/>
      <c r="NPG159"/>
      <c r="NPH159"/>
      <c r="NPI159"/>
      <c r="NPJ159"/>
      <c r="NPK159"/>
      <c r="NPL159"/>
      <c r="NPM159"/>
      <c r="NPN159"/>
      <c r="NPO159"/>
      <c r="NPP159"/>
      <c r="NPQ159"/>
      <c r="NPR159"/>
      <c r="NPS159"/>
      <c r="NPT159"/>
      <c r="NPU159"/>
      <c r="NPV159"/>
      <c r="NPW159"/>
      <c r="NPX159"/>
      <c r="NPY159"/>
      <c r="NPZ159"/>
      <c r="NQA159"/>
      <c r="NQB159"/>
      <c r="NQC159"/>
      <c r="NQD159"/>
      <c r="NQE159"/>
      <c r="NQF159"/>
      <c r="NQG159"/>
      <c r="NQH159"/>
      <c r="NQI159"/>
      <c r="NQJ159"/>
      <c r="NQK159"/>
      <c r="NQL159"/>
      <c r="NQM159"/>
      <c r="NQN159"/>
      <c r="NQO159"/>
      <c r="NQP159"/>
      <c r="NQQ159"/>
      <c r="NQR159"/>
      <c r="NQS159"/>
      <c r="NQT159"/>
      <c r="NQU159"/>
      <c r="NQV159"/>
      <c r="NQW159"/>
      <c r="NQX159"/>
      <c r="NQY159"/>
      <c r="NQZ159"/>
      <c r="NRA159"/>
      <c r="NRB159"/>
      <c r="NRC159"/>
      <c r="NRD159"/>
      <c r="NRE159"/>
      <c r="NRF159"/>
      <c r="NRG159"/>
      <c r="NRH159"/>
      <c r="NRI159"/>
      <c r="NRJ159"/>
      <c r="NRK159"/>
      <c r="NRL159"/>
      <c r="NRM159"/>
      <c r="NRN159"/>
      <c r="NRO159"/>
      <c r="NRP159"/>
      <c r="NRQ159"/>
      <c r="NRR159"/>
      <c r="NRS159"/>
      <c r="NRT159"/>
      <c r="NRU159"/>
      <c r="NRV159"/>
      <c r="NRW159"/>
      <c r="NRX159"/>
      <c r="NRY159"/>
      <c r="NRZ159"/>
      <c r="NSA159"/>
      <c r="NSB159"/>
      <c r="NSC159"/>
      <c r="NSD159"/>
      <c r="NSE159"/>
      <c r="NSF159"/>
      <c r="NSG159"/>
      <c r="NSH159"/>
      <c r="NSI159"/>
      <c r="NSJ159"/>
      <c r="NSK159"/>
      <c r="NSL159"/>
      <c r="NSM159"/>
      <c r="NSN159"/>
      <c r="NSO159"/>
      <c r="NSP159"/>
      <c r="NSQ159"/>
      <c r="NSR159"/>
      <c r="NSS159"/>
      <c r="NST159"/>
      <c r="NSU159"/>
      <c r="NSV159"/>
      <c r="NSW159"/>
      <c r="NSX159"/>
      <c r="NSY159"/>
      <c r="NSZ159"/>
      <c r="NTA159"/>
      <c r="NTB159"/>
      <c r="NTC159"/>
      <c r="NTD159"/>
      <c r="NTE159"/>
      <c r="NTF159"/>
      <c r="NTG159"/>
      <c r="NTH159"/>
      <c r="NTI159"/>
      <c r="NTJ159"/>
      <c r="NTK159"/>
      <c r="NTL159"/>
      <c r="NTM159"/>
      <c r="NTN159"/>
      <c r="NTO159"/>
      <c r="NTP159"/>
      <c r="NTQ159"/>
      <c r="NTR159"/>
      <c r="NTS159"/>
      <c r="NTT159"/>
      <c r="NTU159"/>
      <c r="NTV159"/>
      <c r="NTW159"/>
      <c r="NTX159"/>
      <c r="NTY159"/>
      <c r="NTZ159"/>
      <c r="NUA159"/>
      <c r="NUB159"/>
      <c r="NUC159"/>
      <c r="NUD159"/>
      <c r="NUE159"/>
      <c r="NUF159"/>
      <c r="NUG159"/>
      <c r="NUH159"/>
      <c r="NUI159"/>
      <c r="NUJ159"/>
      <c r="NUK159"/>
      <c r="NUL159"/>
      <c r="NUM159"/>
      <c r="NUN159"/>
      <c r="NUO159"/>
      <c r="NUP159"/>
      <c r="NUQ159"/>
      <c r="NUR159"/>
      <c r="NUS159"/>
      <c r="NUT159"/>
      <c r="NUU159"/>
      <c r="NUV159"/>
      <c r="NUW159"/>
      <c r="NUX159"/>
      <c r="NUY159"/>
      <c r="NUZ159"/>
      <c r="NVA159"/>
      <c r="NVB159"/>
      <c r="NVC159"/>
      <c r="NVD159"/>
      <c r="NVE159"/>
      <c r="NVF159"/>
      <c r="NVG159"/>
      <c r="NVH159"/>
      <c r="NVI159"/>
      <c r="NVJ159"/>
      <c r="NVK159"/>
      <c r="NVL159"/>
      <c r="NVM159"/>
      <c r="NVN159"/>
      <c r="NVO159"/>
      <c r="NVP159"/>
      <c r="NVQ159"/>
      <c r="NVR159"/>
      <c r="NVS159"/>
      <c r="NVT159"/>
      <c r="NVU159"/>
      <c r="NVV159"/>
      <c r="NVW159"/>
      <c r="NVX159"/>
      <c r="NVY159"/>
      <c r="NVZ159"/>
      <c r="NWA159"/>
      <c r="NWB159"/>
      <c r="NWC159"/>
      <c r="NWD159"/>
      <c r="NWE159"/>
      <c r="NWF159"/>
      <c r="NWG159"/>
      <c r="NWH159"/>
      <c r="NWI159"/>
      <c r="NWJ159"/>
      <c r="NWK159"/>
      <c r="NWL159"/>
      <c r="NWM159"/>
      <c r="NWN159"/>
      <c r="NWO159"/>
      <c r="NWP159"/>
      <c r="NWQ159"/>
      <c r="NWR159"/>
      <c r="NWS159"/>
      <c r="NWT159"/>
      <c r="NWU159"/>
      <c r="NWV159"/>
      <c r="NWW159"/>
      <c r="NWX159"/>
      <c r="NWY159"/>
      <c r="NWZ159"/>
      <c r="NXA159"/>
      <c r="NXB159"/>
      <c r="NXC159"/>
      <c r="NXD159"/>
      <c r="NXE159"/>
      <c r="NXF159"/>
      <c r="NXG159"/>
      <c r="NXH159"/>
      <c r="NXI159"/>
      <c r="NXJ159"/>
      <c r="NXK159"/>
      <c r="NXL159"/>
      <c r="NXM159"/>
      <c r="NXN159"/>
      <c r="NXO159"/>
      <c r="NXP159"/>
      <c r="NXQ159"/>
      <c r="NXR159"/>
      <c r="NXS159"/>
      <c r="NXT159"/>
      <c r="NXU159"/>
      <c r="NXV159"/>
      <c r="NXW159"/>
      <c r="NXX159"/>
      <c r="NXY159"/>
      <c r="NXZ159"/>
      <c r="NYA159"/>
      <c r="NYB159"/>
      <c r="NYC159"/>
      <c r="NYD159"/>
      <c r="NYE159"/>
      <c r="NYF159"/>
      <c r="NYG159"/>
      <c r="NYH159"/>
      <c r="NYI159"/>
      <c r="NYJ159"/>
      <c r="NYK159"/>
      <c r="NYL159"/>
      <c r="NYM159"/>
      <c r="NYN159"/>
      <c r="NYO159"/>
      <c r="NYP159"/>
      <c r="NYQ159"/>
      <c r="NYR159"/>
      <c r="NYS159"/>
      <c r="NYT159"/>
      <c r="NYU159"/>
      <c r="NYV159"/>
      <c r="NYW159"/>
      <c r="NYX159"/>
      <c r="NYY159"/>
      <c r="NYZ159"/>
      <c r="NZA159"/>
      <c r="NZB159"/>
      <c r="NZC159"/>
      <c r="NZD159"/>
      <c r="NZE159"/>
      <c r="NZF159"/>
      <c r="NZG159"/>
      <c r="NZH159"/>
      <c r="NZI159"/>
      <c r="NZJ159"/>
      <c r="NZK159"/>
      <c r="NZL159"/>
      <c r="NZM159"/>
      <c r="NZN159"/>
      <c r="NZO159"/>
      <c r="NZP159"/>
      <c r="NZQ159"/>
      <c r="NZR159"/>
      <c r="NZS159"/>
      <c r="NZT159"/>
      <c r="NZU159"/>
      <c r="NZV159"/>
      <c r="NZW159"/>
      <c r="NZX159"/>
      <c r="NZY159"/>
      <c r="NZZ159"/>
      <c r="OAA159"/>
      <c r="OAB159"/>
      <c r="OAC159"/>
      <c r="OAD159"/>
      <c r="OAE159"/>
      <c r="OAF159"/>
      <c r="OAG159"/>
      <c r="OAH159"/>
      <c r="OAI159"/>
      <c r="OAJ159"/>
      <c r="OAK159"/>
      <c r="OAL159"/>
      <c r="OAM159"/>
      <c r="OAN159"/>
      <c r="OAO159"/>
      <c r="OAP159"/>
      <c r="OAQ159"/>
      <c r="OAR159"/>
      <c r="OAS159"/>
      <c r="OAT159"/>
      <c r="OAU159"/>
      <c r="OAV159"/>
      <c r="OAW159"/>
      <c r="OAX159"/>
      <c r="OAY159"/>
      <c r="OAZ159"/>
      <c r="OBA159"/>
      <c r="OBB159"/>
      <c r="OBC159"/>
      <c r="OBD159"/>
      <c r="OBE159"/>
      <c r="OBF159"/>
      <c r="OBG159"/>
      <c r="OBH159"/>
      <c r="OBI159"/>
      <c r="OBJ159"/>
      <c r="OBK159"/>
      <c r="OBL159"/>
      <c r="OBM159"/>
      <c r="OBN159"/>
      <c r="OBO159"/>
      <c r="OBP159"/>
      <c r="OBQ159"/>
      <c r="OBR159"/>
      <c r="OBS159"/>
      <c r="OBT159"/>
      <c r="OBU159"/>
      <c r="OBV159"/>
      <c r="OBW159"/>
      <c r="OBX159"/>
      <c r="OBY159"/>
      <c r="OBZ159"/>
      <c r="OCA159"/>
      <c r="OCB159"/>
      <c r="OCC159"/>
      <c r="OCD159"/>
      <c r="OCE159"/>
      <c r="OCF159"/>
      <c r="OCG159"/>
      <c r="OCH159"/>
      <c r="OCI159"/>
      <c r="OCJ159"/>
      <c r="OCK159"/>
      <c r="OCL159"/>
      <c r="OCM159"/>
      <c r="OCN159"/>
      <c r="OCO159"/>
      <c r="OCP159"/>
      <c r="OCQ159"/>
      <c r="OCR159"/>
      <c r="OCS159"/>
      <c r="OCT159"/>
      <c r="OCU159"/>
      <c r="OCV159"/>
      <c r="OCW159"/>
      <c r="OCX159"/>
      <c r="OCY159"/>
      <c r="OCZ159"/>
      <c r="ODA159"/>
      <c r="ODB159"/>
      <c r="ODC159"/>
      <c r="ODD159"/>
      <c r="ODE159"/>
      <c r="ODF159"/>
      <c r="ODG159"/>
      <c r="ODH159"/>
      <c r="ODI159"/>
      <c r="ODJ159"/>
      <c r="ODK159"/>
      <c r="ODL159"/>
      <c r="ODM159"/>
      <c r="ODN159"/>
      <c r="ODO159"/>
      <c r="ODP159"/>
      <c r="ODQ159"/>
      <c r="ODR159"/>
      <c r="ODS159"/>
      <c r="ODT159"/>
      <c r="ODU159"/>
      <c r="ODV159"/>
      <c r="ODW159"/>
      <c r="ODX159"/>
      <c r="ODY159"/>
      <c r="ODZ159"/>
      <c r="OEA159"/>
      <c r="OEB159"/>
      <c r="OEC159"/>
      <c r="OED159"/>
      <c r="OEE159"/>
      <c r="OEF159"/>
      <c r="OEG159"/>
      <c r="OEH159"/>
      <c r="OEI159"/>
      <c r="OEJ159"/>
      <c r="OEK159"/>
      <c r="OEL159"/>
      <c r="OEM159"/>
      <c r="OEN159"/>
      <c r="OEO159"/>
      <c r="OEP159"/>
      <c r="OEQ159"/>
      <c r="OER159"/>
      <c r="OES159"/>
      <c r="OET159"/>
      <c r="OEU159"/>
      <c r="OEV159"/>
      <c r="OEW159"/>
      <c r="OEX159"/>
      <c r="OEY159"/>
      <c r="OEZ159"/>
      <c r="OFA159"/>
      <c r="OFB159"/>
      <c r="OFC159"/>
      <c r="OFD159"/>
      <c r="OFE159"/>
      <c r="OFF159"/>
      <c r="OFG159"/>
      <c r="OFH159"/>
      <c r="OFI159"/>
      <c r="OFJ159"/>
      <c r="OFK159"/>
      <c r="OFL159"/>
      <c r="OFM159"/>
      <c r="OFN159"/>
      <c r="OFO159"/>
      <c r="OFP159"/>
      <c r="OFQ159"/>
      <c r="OFR159"/>
      <c r="OFS159"/>
      <c r="OFT159"/>
      <c r="OFU159"/>
      <c r="OFV159"/>
      <c r="OFW159"/>
      <c r="OFX159"/>
      <c r="OFY159"/>
      <c r="OFZ159"/>
      <c r="OGA159"/>
      <c r="OGB159"/>
      <c r="OGC159"/>
      <c r="OGD159"/>
      <c r="OGE159"/>
      <c r="OGF159"/>
      <c r="OGG159"/>
      <c r="OGH159"/>
      <c r="OGI159"/>
      <c r="OGJ159"/>
      <c r="OGK159"/>
      <c r="OGL159"/>
      <c r="OGM159"/>
      <c r="OGN159"/>
      <c r="OGO159"/>
      <c r="OGP159"/>
      <c r="OGQ159"/>
      <c r="OGR159"/>
      <c r="OGS159"/>
      <c r="OGT159"/>
      <c r="OGU159"/>
      <c r="OGV159"/>
      <c r="OGW159"/>
      <c r="OGX159"/>
      <c r="OGY159"/>
      <c r="OGZ159"/>
      <c r="OHA159"/>
      <c r="OHB159"/>
      <c r="OHC159"/>
      <c r="OHD159"/>
      <c r="OHE159"/>
      <c r="OHF159"/>
      <c r="OHG159"/>
      <c r="OHH159"/>
      <c r="OHI159"/>
      <c r="OHJ159"/>
      <c r="OHK159"/>
      <c r="OHL159"/>
      <c r="OHM159"/>
      <c r="OHN159"/>
      <c r="OHO159"/>
      <c r="OHP159"/>
      <c r="OHQ159"/>
      <c r="OHR159"/>
      <c r="OHS159"/>
      <c r="OHT159"/>
      <c r="OHU159"/>
      <c r="OHV159"/>
      <c r="OHW159"/>
      <c r="OHX159"/>
      <c r="OHY159"/>
      <c r="OHZ159"/>
      <c r="OIA159"/>
      <c r="OIB159"/>
      <c r="OIC159"/>
      <c r="OID159"/>
      <c r="OIE159"/>
      <c r="OIF159"/>
      <c r="OIG159"/>
      <c r="OIH159"/>
      <c r="OII159"/>
      <c r="OIJ159"/>
      <c r="OIK159"/>
      <c r="OIL159"/>
      <c r="OIM159"/>
      <c r="OIN159"/>
      <c r="OIO159"/>
      <c r="OIP159"/>
      <c r="OIQ159"/>
      <c r="OIR159"/>
      <c r="OIS159"/>
      <c r="OIT159"/>
      <c r="OIU159"/>
      <c r="OIV159"/>
      <c r="OIW159"/>
      <c r="OIX159"/>
      <c r="OIY159"/>
      <c r="OIZ159"/>
      <c r="OJA159"/>
      <c r="OJB159"/>
      <c r="OJC159"/>
      <c r="OJD159"/>
      <c r="OJE159"/>
      <c r="OJF159"/>
      <c r="OJG159"/>
      <c r="OJH159"/>
      <c r="OJI159"/>
      <c r="OJJ159"/>
      <c r="OJK159"/>
      <c r="OJL159"/>
      <c r="OJM159"/>
      <c r="OJN159"/>
      <c r="OJO159"/>
      <c r="OJP159"/>
      <c r="OJQ159"/>
      <c r="OJR159"/>
      <c r="OJS159"/>
      <c r="OJT159"/>
      <c r="OJU159"/>
      <c r="OJV159"/>
      <c r="OJW159"/>
      <c r="OJX159"/>
      <c r="OJY159"/>
      <c r="OJZ159"/>
      <c r="OKA159"/>
      <c r="OKB159"/>
      <c r="OKC159"/>
      <c r="OKD159"/>
      <c r="OKE159"/>
      <c r="OKF159"/>
      <c r="OKG159"/>
      <c r="OKH159"/>
      <c r="OKI159"/>
      <c r="OKJ159"/>
      <c r="OKK159"/>
      <c r="OKL159"/>
      <c r="OKM159"/>
      <c r="OKN159"/>
      <c r="OKO159"/>
      <c r="OKP159"/>
      <c r="OKQ159"/>
      <c r="OKR159"/>
      <c r="OKS159"/>
      <c r="OKT159"/>
      <c r="OKU159"/>
      <c r="OKV159"/>
      <c r="OKW159"/>
      <c r="OKX159"/>
      <c r="OKY159"/>
      <c r="OKZ159"/>
      <c r="OLA159"/>
      <c r="OLB159"/>
      <c r="OLC159"/>
      <c r="OLD159"/>
      <c r="OLE159"/>
      <c r="OLF159"/>
      <c r="OLG159"/>
      <c r="OLH159"/>
      <c r="OLI159"/>
      <c r="OLJ159"/>
      <c r="OLK159"/>
      <c r="OLL159"/>
      <c r="OLM159"/>
      <c r="OLN159"/>
      <c r="OLO159"/>
      <c r="OLP159"/>
      <c r="OLQ159"/>
      <c r="OLR159"/>
      <c r="OLS159"/>
      <c r="OLT159"/>
      <c r="OLU159"/>
      <c r="OLV159"/>
      <c r="OLW159"/>
      <c r="OLX159"/>
      <c r="OLY159"/>
      <c r="OLZ159"/>
      <c r="OMA159"/>
      <c r="OMB159"/>
      <c r="OMC159"/>
      <c r="OMD159"/>
      <c r="OME159"/>
      <c r="OMF159"/>
      <c r="OMG159"/>
      <c r="OMH159"/>
      <c r="OMI159"/>
      <c r="OMJ159"/>
      <c r="OMK159"/>
      <c r="OML159"/>
      <c r="OMM159"/>
      <c r="OMN159"/>
      <c r="OMO159"/>
      <c r="OMP159"/>
      <c r="OMQ159"/>
      <c r="OMR159"/>
      <c r="OMS159"/>
      <c r="OMT159"/>
      <c r="OMU159"/>
      <c r="OMV159"/>
      <c r="OMW159"/>
      <c r="OMX159"/>
      <c r="OMY159"/>
      <c r="OMZ159"/>
      <c r="ONA159"/>
      <c r="ONB159"/>
      <c r="ONC159"/>
      <c r="OND159"/>
      <c r="ONE159"/>
      <c r="ONF159"/>
      <c r="ONG159"/>
      <c r="ONH159"/>
      <c r="ONI159"/>
      <c r="ONJ159"/>
      <c r="ONK159"/>
      <c r="ONL159"/>
      <c r="ONM159"/>
      <c r="ONN159"/>
      <c r="ONO159"/>
      <c r="ONP159"/>
      <c r="ONQ159"/>
      <c r="ONR159"/>
      <c r="ONS159"/>
      <c r="ONT159"/>
      <c r="ONU159"/>
      <c r="ONV159"/>
      <c r="ONW159"/>
      <c r="ONX159"/>
      <c r="ONY159"/>
      <c r="ONZ159"/>
      <c r="OOA159"/>
      <c r="OOB159"/>
      <c r="OOC159"/>
      <c r="OOD159"/>
      <c r="OOE159"/>
      <c r="OOF159"/>
      <c r="OOG159"/>
      <c r="OOH159"/>
      <c r="OOI159"/>
      <c r="OOJ159"/>
      <c r="OOK159"/>
      <c r="OOL159"/>
      <c r="OOM159"/>
      <c r="OON159"/>
      <c r="OOO159"/>
      <c r="OOP159"/>
      <c r="OOQ159"/>
      <c r="OOR159"/>
      <c r="OOS159"/>
      <c r="OOT159"/>
      <c r="OOU159"/>
      <c r="OOV159"/>
      <c r="OOW159"/>
      <c r="OOX159"/>
      <c r="OOY159"/>
      <c r="OOZ159"/>
      <c r="OPA159"/>
      <c r="OPB159"/>
      <c r="OPC159"/>
      <c r="OPD159"/>
      <c r="OPE159"/>
      <c r="OPF159"/>
      <c r="OPG159"/>
      <c r="OPH159"/>
      <c r="OPI159"/>
      <c r="OPJ159"/>
      <c r="OPK159"/>
      <c r="OPL159"/>
      <c r="OPM159"/>
      <c r="OPN159"/>
      <c r="OPO159"/>
      <c r="OPP159"/>
      <c r="OPQ159"/>
      <c r="OPR159"/>
      <c r="OPS159"/>
      <c r="OPT159"/>
      <c r="OPU159"/>
      <c r="OPV159"/>
      <c r="OPW159"/>
      <c r="OPX159"/>
      <c r="OPY159"/>
      <c r="OPZ159"/>
      <c r="OQA159"/>
      <c r="OQB159"/>
      <c r="OQC159"/>
      <c r="OQD159"/>
      <c r="OQE159"/>
      <c r="OQF159"/>
      <c r="OQG159"/>
      <c r="OQH159"/>
      <c r="OQI159"/>
      <c r="OQJ159"/>
      <c r="OQK159"/>
      <c r="OQL159"/>
      <c r="OQM159"/>
      <c r="OQN159"/>
      <c r="OQO159"/>
      <c r="OQP159"/>
      <c r="OQQ159"/>
      <c r="OQR159"/>
      <c r="OQS159"/>
      <c r="OQT159"/>
      <c r="OQU159"/>
      <c r="OQV159"/>
      <c r="OQW159"/>
      <c r="OQX159"/>
      <c r="OQY159"/>
      <c r="OQZ159"/>
      <c r="ORA159"/>
      <c r="ORB159"/>
      <c r="ORC159"/>
      <c r="ORD159"/>
      <c r="ORE159"/>
      <c r="ORF159"/>
      <c r="ORG159"/>
      <c r="ORH159"/>
      <c r="ORI159"/>
      <c r="ORJ159"/>
      <c r="ORK159"/>
      <c r="ORL159"/>
      <c r="ORM159"/>
      <c r="ORN159"/>
      <c r="ORO159"/>
      <c r="ORP159"/>
      <c r="ORQ159"/>
      <c r="ORR159"/>
      <c r="ORS159"/>
      <c r="ORT159"/>
      <c r="ORU159"/>
      <c r="ORV159"/>
      <c r="ORW159"/>
      <c r="ORX159"/>
      <c r="ORY159"/>
      <c r="ORZ159"/>
      <c r="OSA159"/>
      <c r="OSB159"/>
      <c r="OSC159"/>
      <c r="OSD159"/>
      <c r="OSE159"/>
      <c r="OSF159"/>
      <c r="OSG159"/>
      <c r="OSH159"/>
      <c r="OSI159"/>
      <c r="OSJ159"/>
      <c r="OSK159"/>
      <c r="OSL159"/>
      <c r="OSM159"/>
      <c r="OSN159"/>
      <c r="OSO159"/>
      <c r="OSP159"/>
      <c r="OSQ159"/>
      <c r="OSR159"/>
      <c r="OSS159"/>
      <c r="OST159"/>
      <c r="OSU159"/>
      <c r="OSV159"/>
      <c r="OSW159"/>
      <c r="OSX159"/>
      <c r="OSY159"/>
      <c r="OSZ159"/>
      <c r="OTA159"/>
      <c r="OTB159"/>
      <c r="OTC159"/>
      <c r="OTD159"/>
      <c r="OTE159"/>
      <c r="OTF159"/>
      <c r="OTG159"/>
      <c r="OTH159"/>
      <c r="OTI159"/>
      <c r="OTJ159"/>
      <c r="OTK159"/>
      <c r="OTL159"/>
      <c r="OTM159"/>
      <c r="OTN159"/>
      <c r="OTO159"/>
      <c r="OTP159"/>
      <c r="OTQ159"/>
      <c r="OTR159"/>
      <c r="OTS159"/>
      <c r="OTT159"/>
      <c r="OTU159"/>
      <c r="OTV159"/>
      <c r="OTW159"/>
      <c r="OTX159"/>
      <c r="OTY159"/>
      <c r="OTZ159"/>
      <c r="OUA159"/>
      <c r="OUB159"/>
      <c r="OUC159"/>
      <c r="OUD159"/>
      <c r="OUE159"/>
      <c r="OUF159"/>
      <c r="OUG159"/>
      <c r="OUH159"/>
      <c r="OUI159"/>
      <c r="OUJ159"/>
      <c r="OUK159"/>
      <c r="OUL159"/>
      <c r="OUM159"/>
      <c r="OUN159"/>
      <c r="OUO159"/>
      <c r="OUP159"/>
      <c r="OUQ159"/>
      <c r="OUR159"/>
      <c r="OUS159"/>
      <c r="OUT159"/>
      <c r="OUU159"/>
      <c r="OUV159"/>
      <c r="OUW159"/>
      <c r="OUX159"/>
      <c r="OUY159"/>
      <c r="OUZ159"/>
      <c r="OVA159"/>
      <c r="OVB159"/>
      <c r="OVC159"/>
      <c r="OVD159"/>
      <c r="OVE159"/>
      <c r="OVF159"/>
      <c r="OVG159"/>
      <c r="OVH159"/>
      <c r="OVI159"/>
      <c r="OVJ159"/>
      <c r="OVK159"/>
      <c r="OVL159"/>
      <c r="OVM159"/>
      <c r="OVN159"/>
      <c r="OVO159"/>
      <c r="OVP159"/>
      <c r="OVQ159"/>
      <c r="OVR159"/>
      <c r="OVS159"/>
      <c r="OVT159"/>
      <c r="OVU159"/>
      <c r="OVV159"/>
      <c r="OVW159"/>
      <c r="OVX159"/>
      <c r="OVY159"/>
      <c r="OVZ159"/>
      <c r="OWA159"/>
      <c r="OWB159"/>
      <c r="OWC159"/>
      <c r="OWD159"/>
      <c r="OWE159"/>
      <c r="OWF159"/>
      <c r="OWG159"/>
      <c r="OWH159"/>
      <c r="OWI159"/>
      <c r="OWJ159"/>
      <c r="OWK159"/>
      <c r="OWL159"/>
      <c r="OWM159"/>
      <c r="OWN159"/>
      <c r="OWO159"/>
      <c r="OWP159"/>
      <c r="OWQ159"/>
      <c r="OWR159"/>
      <c r="OWS159"/>
      <c r="OWT159"/>
      <c r="OWU159"/>
      <c r="OWV159"/>
      <c r="OWW159"/>
      <c r="OWX159"/>
      <c r="OWY159"/>
      <c r="OWZ159"/>
      <c r="OXA159"/>
      <c r="OXB159"/>
      <c r="OXC159"/>
      <c r="OXD159"/>
      <c r="OXE159"/>
      <c r="OXF159"/>
      <c r="OXG159"/>
      <c r="OXH159"/>
      <c r="OXI159"/>
      <c r="OXJ159"/>
      <c r="OXK159"/>
      <c r="OXL159"/>
      <c r="OXM159"/>
      <c r="OXN159"/>
      <c r="OXO159"/>
      <c r="OXP159"/>
      <c r="OXQ159"/>
      <c r="OXR159"/>
      <c r="OXS159"/>
      <c r="OXT159"/>
      <c r="OXU159"/>
      <c r="OXV159"/>
      <c r="OXW159"/>
      <c r="OXX159"/>
      <c r="OXY159"/>
      <c r="OXZ159"/>
      <c r="OYA159"/>
      <c r="OYB159"/>
      <c r="OYC159"/>
      <c r="OYD159"/>
      <c r="OYE159"/>
      <c r="OYF159"/>
      <c r="OYG159"/>
      <c r="OYH159"/>
      <c r="OYI159"/>
      <c r="OYJ159"/>
      <c r="OYK159"/>
      <c r="OYL159"/>
      <c r="OYM159"/>
      <c r="OYN159"/>
      <c r="OYO159"/>
      <c r="OYP159"/>
      <c r="OYQ159"/>
      <c r="OYR159"/>
      <c r="OYS159"/>
      <c r="OYT159"/>
      <c r="OYU159"/>
      <c r="OYV159"/>
      <c r="OYW159"/>
      <c r="OYX159"/>
      <c r="OYY159"/>
      <c r="OYZ159"/>
      <c r="OZA159"/>
      <c r="OZB159"/>
      <c r="OZC159"/>
      <c r="OZD159"/>
      <c r="OZE159"/>
      <c r="OZF159"/>
      <c r="OZG159"/>
      <c r="OZH159"/>
      <c r="OZI159"/>
      <c r="OZJ159"/>
      <c r="OZK159"/>
      <c r="OZL159"/>
      <c r="OZM159"/>
      <c r="OZN159"/>
      <c r="OZO159"/>
      <c r="OZP159"/>
      <c r="OZQ159"/>
      <c r="OZR159"/>
      <c r="OZS159"/>
      <c r="OZT159"/>
      <c r="OZU159"/>
      <c r="OZV159"/>
      <c r="OZW159"/>
      <c r="OZX159"/>
      <c r="OZY159"/>
      <c r="OZZ159"/>
      <c r="PAA159"/>
      <c r="PAB159"/>
      <c r="PAC159"/>
      <c r="PAD159"/>
      <c r="PAE159"/>
      <c r="PAF159"/>
      <c r="PAG159"/>
      <c r="PAH159"/>
      <c r="PAI159"/>
      <c r="PAJ159"/>
      <c r="PAK159"/>
      <c r="PAL159"/>
      <c r="PAM159"/>
      <c r="PAN159"/>
      <c r="PAO159"/>
      <c r="PAP159"/>
      <c r="PAQ159"/>
      <c r="PAR159"/>
      <c r="PAS159"/>
      <c r="PAT159"/>
      <c r="PAU159"/>
      <c r="PAV159"/>
      <c r="PAW159"/>
      <c r="PAX159"/>
      <c r="PAY159"/>
      <c r="PAZ159"/>
      <c r="PBA159"/>
      <c r="PBB159"/>
      <c r="PBC159"/>
      <c r="PBD159"/>
      <c r="PBE159"/>
      <c r="PBF159"/>
      <c r="PBG159"/>
      <c r="PBH159"/>
      <c r="PBI159"/>
      <c r="PBJ159"/>
      <c r="PBK159"/>
      <c r="PBL159"/>
      <c r="PBM159"/>
      <c r="PBN159"/>
      <c r="PBO159"/>
      <c r="PBP159"/>
      <c r="PBQ159"/>
      <c r="PBR159"/>
      <c r="PBS159"/>
      <c r="PBT159"/>
      <c r="PBU159"/>
      <c r="PBV159"/>
      <c r="PBW159"/>
      <c r="PBX159"/>
      <c r="PBY159"/>
      <c r="PBZ159"/>
      <c r="PCA159"/>
      <c r="PCB159"/>
      <c r="PCC159"/>
      <c r="PCD159"/>
      <c r="PCE159"/>
      <c r="PCF159"/>
      <c r="PCG159"/>
      <c r="PCH159"/>
      <c r="PCI159"/>
      <c r="PCJ159"/>
      <c r="PCK159"/>
      <c r="PCL159"/>
      <c r="PCM159"/>
      <c r="PCN159"/>
      <c r="PCO159"/>
      <c r="PCP159"/>
      <c r="PCQ159"/>
      <c r="PCR159"/>
      <c r="PCS159"/>
      <c r="PCT159"/>
      <c r="PCU159"/>
      <c r="PCV159"/>
      <c r="PCW159"/>
      <c r="PCX159"/>
      <c r="PCY159"/>
      <c r="PCZ159"/>
      <c r="PDA159"/>
      <c r="PDB159"/>
      <c r="PDC159"/>
      <c r="PDD159"/>
      <c r="PDE159"/>
      <c r="PDF159"/>
      <c r="PDG159"/>
      <c r="PDH159"/>
      <c r="PDI159"/>
      <c r="PDJ159"/>
      <c r="PDK159"/>
      <c r="PDL159"/>
      <c r="PDM159"/>
      <c r="PDN159"/>
      <c r="PDO159"/>
      <c r="PDP159"/>
      <c r="PDQ159"/>
      <c r="PDR159"/>
      <c r="PDS159"/>
      <c r="PDT159"/>
      <c r="PDU159"/>
      <c r="PDV159"/>
      <c r="PDW159"/>
      <c r="PDX159"/>
      <c r="PDY159"/>
      <c r="PDZ159"/>
      <c r="PEA159"/>
      <c r="PEB159"/>
      <c r="PEC159"/>
      <c r="PED159"/>
      <c r="PEE159"/>
      <c r="PEF159"/>
      <c r="PEG159"/>
      <c r="PEH159"/>
      <c r="PEI159"/>
      <c r="PEJ159"/>
      <c r="PEK159"/>
      <c r="PEL159"/>
      <c r="PEM159"/>
      <c r="PEN159"/>
      <c r="PEO159"/>
      <c r="PEP159"/>
      <c r="PEQ159"/>
      <c r="PER159"/>
      <c r="PES159"/>
      <c r="PET159"/>
      <c r="PEU159"/>
      <c r="PEV159"/>
      <c r="PEW159"/>
      <c r="PEX159"/>
      <c r="PEY159"/>
      <c r="PEZ159"/>
      <c r="PFA159"/>
      <c r="PFB159"/>
      <c r="PFC159"/>
      <c r="PFD159"/>
      <c r="PFE159"/>
      <c r="PFF159"/>
      <c r="PFG159"/>
      <c r="PFH159"/>
      <c r="PFI159"/>
      <c r="PFJ159"/>
      <c r="PFK159"/>
      <c r="PFL159"/>
      <c r="PFM159"/>
      <c r="PFN159"/>
      <c r="PFO159"/>
      <c r="PFP159"/>
      <c r="PFQ159"/>
      <c r="PFR159"/>
      <c r="PFS159"/>
      <c r="PFT159"/>
      <c r="PFU159"/>
      <c r="PFV159"/>
      <c r="PFW159"/>
      <c r="PFX159"/>
      <c r="PFY159"/>
      <c r="PFZ159"/>
      <c r="PGA159"/>
      <c r="PGB159"/>
      <c r="PGC159"/>
      <c r="PGD159"/>
      <c r="PGE159"/>
      <c r="PGF159"/>
      <c r="PGG159"/>
      <c r="PGH159"/>
      <c r="PGI159"/>
      <c r="PGJ159"/>
      <c r="PGK159"/>
      <c r="PGL159"/>
      <c r="PGM159"/>
      <c r="PGN159"/>
      <c r="PGO159"/>
      <c r="PGP159"/>
      <c r="PGQ159"/>
      <c r="PGR159"/>
      <c r="PGS159"/>
      <c r="PGT159"/>
      <c r="PGU159"/>
      <c r="PGV159"/>
      <c r="PGW159"/>
      <c r="PGX159"/>
      <c r="PGY159"/>
      <c r="PGZ159"/>
      <c r="PHA159"/>
      <c r="PHB159"/>
      <c r="PHC159"/>
      <c r="PHD159"/>
      <c r="PHE159"/>
      <c r="PHF159"/>
      <c r="PHG159"/>
      <c r="PHH159"/>
      <c r="PHI159"/>
      <c r="PHJ159"/>
      <c r="PHK159"/>
      <c r="PHL159"/>
      <c r="PHM159"/>
      <c r="PHN159"/>
      <c r="PHO159"/>
      <c r="PHP159"/>
      <c r="PHQ159"/>
      <c r="PHR159"/>
      <c r="PHS159"/>
      <c r="PHT159"/>
      <c r="PHU159"/>
      <c r="PHV159"/>
      <c r="PHW159"/>
      <c r="PHX159"/>
      <c r="PHY159"/>
      <c r="PHZ159"/>
      <c r="PIA159"/>
      <c r="PIB159"/>
      <c r="PIC159"/>
      <c r="PID159"/>
      <c r="PIE159"/>
      <c r="PIF159"/>
      <c r="PIG159"/>
      <c r="PIH159"/>
      <c r="PII159"/>
      <c r="PIJ159"/>
      <c r="PIK159"/>
      <c r="PIL159"/>
      <c r="PIM159"/>
      <c r="PIN159"/>
      <c r="PIO159"/>
      <c r="PIP159"/>
      <c r="PIQ159"/>
      <c r="PIR159"/>
      <c r="PIS159"/>
      <c r="PIT159"/>
      <c r="PIU159"/>
      <c r="PIV159"/>
      <c r="PIW159"/>
      <c r="PIX159"/>
      <c r="PIY159"/>
      <c r="PIZ159"/>
      <c r="PJA159"/>
      <c r="PJB159"/>
      <c r="PJC159"/>
      <c r="PJD159"/>
      <c r="PJE159"/>
      <c r="PJF159"/>
      <c r="PJG159"/>
      <c r="PJH159"/>
      <c r="PJI159"/>
      <c r="PJJ159"/>
      <c r="PJK159"/>
      <c r="PJL159"/>
      <c r="PJM159"/>
      <c r="PJN159"/>
      <c r="PJO159"/>
      <c r="PJP159"/>
      <c r="PJQ159"/>
      <c r="PJR159"/>
      <c r="PJS159"/>
      <c r="PJT159"/>
      <c r="PJU159"/>
      <c r="PJV159"/>
      <c r="PJW159"/>
      <c r="PJX159"/>
      <c r="PJY159"/>
      <c r="PJZ159"/>
      <c r="PKA159"/>
      <c r="PKB159"/>
      <c r="PKC159"/>
      <c r="PKD159"/>
      <c r="PKE159"/>
      <c r="PKF159"/>
      <c r="PKG159"/>
      <c r="PKH159"/>
      <c r="PKI159"/>
      <c r="PKJ159"/>
      <c r="PKK159"/>
      <c r="PKL159"/>
      <c r="PKM159"/>
      <c r="PKN159"/>
      <c r="PKO159"/>
      <c r="PKP159"/>
      <c r="PKQ159"/>
      <c r="PKR159"/>
      <c r="PKS159"/>
      <c r="PKT159"/>
      <c r="PKU159"/>
      <c r="PKV159"/>
      <c r="PKW159"/>
      <c r="PKX159"/>
      <c r="PKY159"/>
      <c r="PKZ159"/>
      <c r="PLA159"/>
      <c r="PLB159"/>
      <c r="PLC159"/>
      <c r="PLD159"/>
      <c r="PLE159"/>
      <c r="PLF159"/>
      <c r="PLG159"/>
      <c r="PLH159"/>
      <c r="PLI159"/>
      <c r="PLJ159"/>
      <c r="PLK159"/>
      <c r="PLL159"/>
      <c r="PLM159"/>
      <c r="PLN159"/>
      <c r="PLO159"/>
      <c r="PLP159"/>
      <c r="PLQ159"/>
      <c r="PLR159"/>
      <c r="PLS159"/>
      <c r="PLT159"/>
      <c r="PLU159"/>
      <c r="PLV159"/>
      <c r="PLW159"/>
      <c r="PLX159"/>
      <c r="PLY159"/>
      <c r="PLZ159"/>
      <c r="PMA159"/>
      <c r="PMB159"/>
      <c r="PMC159"/>
      <c r="PMD159"/>
      <c r="PME159"/>
      <c r="PMF159"/>
      <c r="PMG159"/>
      <c r="PMH159"/>
      <c r="PMI159"/>
      <c r="PMJ159"/>
      <c r="PMK159"/>
      <c r="PML159"/>
      <c r="PMM159"/>
      <c r="PMN159"/>
      <c r="PMO159"/>
      <c r="PMP159"/>
      <c r="PMQ159"/>
      <c r="PMR159"/>
      <c r="PMS159"/>
      <c r="PMT159"/>
      <c r="PMU159"/>
      <c r="PMV159"/>
      <c r="PMW159"/>
      <c r="PMX159"/>
      <c r="PMY159"/>
      <c r="PMZ159"/>
      <c r="PNA159"/>
      <c r="PNB159"/>
      <c r="PNC159"/>
      <c r="PND159"/>
      <c r="PNE159"/>
      <c r="PNF159"/>
      <c r="PNG159"/>
      <c r="PNH159"/>
      <c r="PNI159"/>
      <c r="PNJ159"/>
      <c r="PNK159"/>
      <c r="PNL159"/>
      <c r="PNM159"/>
      <c r="PNN159"/>
      <c r="PNO159"/>
      <c r="PNP159"/>
      <c r="PNQ159"/>
      <c r="PNR159"/>
      <c r="PNS159"/>
      <c r="PNT159"/>
      <c r="PNU159"/>
      <c r="PNV159"/>
      <c r="PNW159"/>
      <c r="PNX159"/>
      <c r="PNY159"/>
      <c r="PNZ159"/>
      <c r="POA159"/>
      <c r="POB159"/>
      <c r="POC159"/>
      <c r="POD159"/>
      <c r="POE159"/>
      <c r="POF159"/>
      <c r="POG159"/>
      <c r="POH159"/>
      <c r="POI159"/>
      <c r="POJ159"/>
      <c r="POK159"/>
      <c r="POL159"/>
      <c r="POM159"/>
      <c r="PON159"/>
      <c r="POO159"/>
      <c r="POP159"/>
      <c r="POQ159"/>
      <c r="POR159"/>
      <c r="POS159"/>
      <c r="POT159"/>
      <c r="POU159"/>
      <c r="POV159"/>
      <c r="POW159"/>
      <c r="POX159"/>
      <c r="POY159"/>
      <c r="POZ159"/>
      <c r="PPA159"/>
      <c r="PPB159"/>
      <c r="PPC159"/>
      <c r="PPD159"/>
      <c r="PPE159"/>
      <c r="PPF159"/>
      <c r="PPG159"/>
      <c r="PPH159"/>
      <c r="PPI159"/>
      <c r="PPJ159"/>
      <c r="PPK159"/>
      <c r="PPL159"/>
      <c r="PPM159"/>
      <c r="PPN159"/>
      <c r="PPO159"/>
      <c r="PPP159"/>
      <c r="PPQ159"/>
      <c r="PPR159"/>
      <c r="PPS159"/>
      <c r="PPT159"/>
      <c r="PPU159"/>
      <c r="PPV159"/>
      <c r="PPW159"/>
      <c r="PPX159"/>
      <c r="PPY159"/>
      <c r="PPZ159"/>
      <c r="PQA159"/>
      <c r="PQB159"/>
      <c r="PQC159"/>
      <c r="PQD159"/>
      <c r="PQE159"/>
      <c r="PQF159"/>
      <c r="PQG159"/>
      <c r="PQH159"/>
      <c r="PQI159"/>
      <c r="PQJ159"/>
      <c r="PQK159"/>
      <c r="PQL159"/>
      <c r="PQM159"/>
      <c r="PQN159"/>
      <c r="PQO159"/>
      <c r="PQP159"/>
      <c r="PQQ159"/>
      <c r="PQR159"/>
      <c r="PQS159"/>
      <c r="PQT159"/>
      <c r="PQU159"/>
      <c r="PQV159"/>
      <c r="PQW159"/>
      <c r="PQX159"/>
      <c r="PQY159"/>
      <c r="PQZ159"/>
      <c r="PRA159"/>
      <c r="PRB159"/>
      <c r="PRC159"/>
      <c r="PRD159"/>
      <c r="PRE159"/>
      <c r="PRF159"/>
      <c r="PRG159"/>
      <c r="PRH159"/>
      <c r="PRI159"/>
      <c r="PRJ159"/>
      <c r="PRK159"/>
      <c r="PRL159"/>
      <c r="PRM159"/>
      <c r="PRN159"/>
      <c r="PRO159"/>
      <c r="PRP159"/>
      <c r="PRQ159"/>
      <c r="PRR159"/>
      <c r="PRS159"/>
      <c r="PRT159"/>
      <c r="PRU159"/>
      <c r="PRV159"/>
      <c r="PRW159"/>
      <c r="PRX159"/>
      <c r="PRY159"/>
      <c r="PRZ159"/>
      <c r="PSA159"/>
      <c r="PSB159"/>
      <c r="PSC159"/>
      <c r="PSD159"/>
      <c r="PSE159"/>
      <c r="PSF159"/>
      <c r="PSG159"/>
      <c r="PSH159"/>
      <c r="PSI159"/>
      <c r="PSJ159"/>
      <c r="PSK159"/>
      <c r="PSL159"/>
      <c r="PSM159"/>
      <c r="PSN159"/>
      <c r="PSO159"/>
      <c r="PSP159"/>
      <c r="PSQ159"/>
      <c r="PSR159"/>
      <c r="PSS159"/>
      <c r="PST159"/>
      <c r="PSU159"/>
      <c r="PSV159"/>
      <c r="PSW159"/>
      <c r="PSX159"/>
      <c r="PSY159"/>
      <c r="PSZ159"/>
      <c r="PTA159"/>
      <c r="PTB159"/>
      <c r="PTC159"/>
      <c r="PTD159"/>
      <c r="PTE159"/>
      <c r="PTF159"/>
      <c r="PTG159"/>
      <c r="PTH159"/>
      <c r="PTI159"/>
      <c r="PTJ159"/>
      <c r="PTK159"/>
      <c r="PTL159"/>
      <c r="PTM159"/>
      <c r="PTN159"/>
      <c r="PTO159"/>
      <c r="PTP159"/>
      <c r="PTQ159"/>
      <c r="PTR159"/>
      <c r="PTS159"/>
      <c r="PTT159"/>
      <c r="PTU159"/>
      <c r="PTV159"/>
      <c r="PTW159"/>
      <c r="PTX159"/>
      <c r="PTY159"/>
      <c r="PTZ159"/>
      <c r="PUA159"/>
      <c r="PUB159"/>
      <c r="PUC159"/>
      <c r="PUD159"/>
      <c r="PUE159"/>
      <c r="PUF159"/>
      <c r="PUG159"/>
      <c r="PUH159"/>
      <c r="PUI159"/>
      <c r="PUJ159"/>
      <c r="PUK159"/>
      <c r="PUL159"/>
      <c r="PUM159"/>
      <c r="PUN159"/>
      <c r="PUO159"/>
      <c r="PUP159"/>
      <c r="PUQ159"/>
      <c r="PUR159"/>
      <c r="PUS159"/>
      <c r="PUT159"/>
      <c r="PUU159"/>
      <c r="PUV159"/>
      <c r="PUW159"/>
      <c r="PUX159"/>
      <c r="PUY159"/>
      <c r="PUZ159"/>
      <c r="PVA159"/>
      <c r="PVB159"/>
      <c r="PVC159"/>
      <c r="PVD159"/>
      <c r="PVE159"/>
      <c r="PVF159"/>
      <c r="PVG159"/>
      <c r="PVH159"/>
      <c r="PVI159"/>
      <c r="PVJ159"/>
      <c r="PVK159"/>
      <c r="PVL159"/>
      <c r="PVM159"/>
      <c r="PVN159"/>
      <c r="PVO159"/>
      <c r="PVP159"/>
      <c r="PVQ159"/>
      <c r="PVR159"/>
      <c r="PVS159"/>
      <c r="PVT159"/>
      <c r="PVU159"/>
      <c r="PVV159"/>
      <c r="PVW159"/>
      <c r="PVX159"/>
      <c r="PVY159"/>
      <c r="PVZ159"/>
      <c r="PWA159"/>
      <c r="PWB159"/>
      <c r="PWC159"/>
      <c r="PWD159"/>
      <c r="PWE159"/>
      <c r="PWF159"/>
      <c r="PWG159"/>
      <c r="PWH159"/>
      <c r="PWI159"/>
      <c r="PWJ159"/>
      <c r="PWK159"/>
      <c r="PWL159"/>
      <c r="PWM159"/>
      <c r="PWN159"/>
      <c r="PWO159"/>
      <c r="PWP159"/>
      <c r="PWQ159"/>
      <c r="PWR159"/>
      <c r="PWS159"/>
      <c r="PWT159"/>
      <c r="PWU159"/>
      <c r="PWV159"/>
      <c r="PWW159"/>
      <c r="PWX159"/>
      <c r="PWY159"/>
      <c r="PWZ159"/>
      <c r="PXA159"/>
      <c r="PXB159"/>
      <c r="PXC159"/>
      <c r="PXD159"/>
      <c r="PXE159"/>
      <c r="PXF159"/>
      <c r="PXG159"/>
      <c r="PXH159"/>
      <c r="PXI159"/>
      <c r="PXJ159"/>
      <c r="PXK159"/>
      <c r="PXL159"/>
      <c r="PXM159"/>
      <c r="PXN159"/>
      <c r="PXO159"/>
      <c r="PXP159"/>
      <c r="PXQ159"/>
      <c r="PXR159"/>
      <c r="PXS159"/>
      <c r="PXT159"/>
      <c r="PXU159"/>
      <c r="PXV159"/>
      <c r="PXW159"/>
      <c r="PXX159"/>
      <c r="PXY159"/>
      <c r="PXZ159"/>
      <c r="PYA159"/>
      <c r="PYB159"/>
      <c r="PYC159"/>
      <c r="PYD159"/>
      <c r="PYE159"/>
      <c r="PYF159"/>
      <c r="PYG159"/>
      <c r="PYH159"/>
      <c r="PYI159"/>
      <c r="PYJ159"/>
      <c r="PYK159"/>
      <c r="PYL159"/>
      <c r="PYM159"/>
      <c r="PYN159"/>
      <c r="PYO159"/>
      <c r="PYP159"/>
      <c r="PYQ159"/>
      <c r="PYR159"/>
      <c r="PYS159"/>
      <c r="PYT159"/>
      <c r="PYU159"/>
      <c r="PYV159"/>
      <c r="PYW159"/>
      <c r="PYX159"/>
      <c r="PYY159"/>
      <c r="PYZ159"/>
      <c r="PZA159"/>
      <c r="PZB159"/>
      <c r="PZC159"/>
      <c r="PZD159"/>
      <c r="PZE159"/>
      <c r="PZF159"/>
      <c r="PZG159"/>
      <c r="PZH159"/>
      <c r="PZI159"/>
      <c r="PZJ159"/>
      <c r="PZK159"/>
      <c r="PZL159"/>
      <c r="PZM159"/>
      <c r="PZN159"/>
      <c r="PZO159"/>
      <c r="PZP159"/>
      <c r="PZQ159"/>
      <c r="PZR159"/>
      <c r="PZS159"/>
      <c r="PZT159"/>
      <c r="PZU159"/>
      <c r="PZV159"/>
      <c r="PZW159"/>
      <c r="PZX159"/>
      <c r="PZY159"/>
      <c r="PZZ159"/>
      <c r="QAA159"/>
      <c r="QAB159"/>
      <c r="QAC159"/>
      <c r="QAD159"/>
      <c r="QAE159"/>
      <c r="QAF159"/>
      <c r="QAG159"/>
      <c r="QAH159"/>
      <c r="QAI159"/>
      <c r="QAJ159"/>
      <c r="QAK159"/>
      <c r="QAL159"/>
      <c r="QAM159"/>
      <c r="QAN159"/>
      <c r="QAO159"/>
      <c r="QAP159"/>
      <c r="QAQ159"/>
      <c r="QAR159"/>
      <c r="QAS159"/>
      <c r="QAT159"/>
      <c r="QAU159"/>
      <c r="QAV159"/>
      <c r="QAW159"/>
      <c r="QAX159"/>
      <c r="QAY159"/>
      <c r="QAZ159"/>
      <c r="QBA159"/>
      <c r="QBB159"/>
      <c r="QBC159"/>
      <c r="QBD159"/>
      <c r="QBE159"/>
      <c r="QBF159"/>
      <c r="QBG159"/>
      <c r="QBH159"/>
      <c r="QBI159"/>
      <c r="QBJ159"/>
      <c r="QBK159"/>
      <c r="QBL159"/>
      <c r="QBM159"/>
      <c r="QBN159"/>
      <c r="QBO159"/>
      <c r="QBP159"/>
      <c r="QBQ159"/>
      <c r="QBR159"/>
      <c r="QBS159"/>
      <c r="QBT159"/>
      <c r="QBU159"/>
      <c r="QBV159"/>
      <c r="QBW159"/>
      <c r="QBX159"/>
      <c r="QBY159"/>
      <c r="QBZ159"/>
      <c r="QCA159"/>
      <c r="QCB159"/>
      <c r="QCC159"/>
      <c r="QCD159"/>
      <c r="QCE159"/>
      <c r="QCF159"/>
      <c r="QCG159"/>
      <c r="QCH159"/>
      <c r="QCI159"/>
      <c r="QCJ159"/>
      <c r="QCK159"/>
      <c r="QCL159"/>
      <c r="QCM159"/>
      <c r="QCN159"/>
      <c r="QCO159"/>
      <c r="QCP159"/>
      <c r="QCQ159"/>
      <c r="QCR159"/>
      <c r="QCS159"/>
      <c r="QCT159"/>
      <c r="QCU159"/>
      <c r="QCV159"/>
      <c r="QCW159"/>
      <c r="QCX159"/>
      <c r="QCY159"/>
      <c r="QCZ159"/>
      <c r="QDA159"/>
      <c r="QDB159"/>
      <c r="QDC159"/>
      <c r="QDD159"/>
      <c r="QDE159"/>
      <c r="QDF159"/>
      <c r="QDG159"/>
      <c r="QDH159"/>
      <c r="QDI159"/>
      <c r="QDJ159"/>
      <c r="QDK159"/>
      <c r="QDL159"/>
      <c r="QDM159"/>
      <c r="QDN159"/>
      <c r="QDO159"/>
      <c r="QDP159"/>
      <c r="QDQ159"/>
      <c r="QDR159"/>
      <c r="QDS159"/>
      <c r="QDT159"/>
      <c r="QDU159"/>
      <c r="QDV159"/>
      <c r="QDW159"/>
      <c r="QDX159"/>
      <c r="QDY159"/>
      <c r="QDZ159"/>
      <c r="QEA159"/>
      <c r="QEB159"/>
      <c r="QEC159"/>
      <c r="QED159"/>
      <c r="QEE159"/>
      <c r="QEF159"/>
      <c r="QEG159"/>
      <c r="QEH159"/>
      <c r="QEI159"/>
      <c r="QEJ159"/>
      <c r="QEK159"/>
      <c r="QEL159"/>
      <c r="QEM159"/>
      <c r="QEN159"/>
      <c r="QEO159"/>
      <c r="QEP159"/>
      <c r="QEQ159"/>
      <c r="QER159"/>
      <c r="QES159"/>
      <c r="QET159"/>
      <c r="QEU159"/>
      <c r="QEV159"/>
      <c r="QEW159"/>
      <c r="QEX159"/>
      <c r="QEY159"/>
      <c r="QEZ159"/>
      <c r="QFA159"/>
      <c r="QFB159"/>
      <c r="QFC159"/>
      <c r="QFD159"/>
      <c r="QFE159"/>
      <c r="QFF159"/>
      <c r="QFG159"/>
      <c r="QFH159"/>
      <c r="QFI159"/>
      <c r="QFJ159"/>
      <c r="QFK159"/>
      <c r="QFL159"/>
      <c r="QFM159"/>
      <c r="QFN159"/>
      <c r="QFO159"/>
      <c r="QFP159"/>
      <c r="QFQ159"/>
      <c r="QFR159"/>
      <c r="QFS159"/>
      <c r="QFT159"/>
      <c r="QFU159"/>
      <c r="QFV159"/>
      <c r="QFW159"/>
      <c r="QFX159"/>
      <c r="QFY159"/>
      <c r="QFZ159"/>
      <c r="QGA159"/>
      <c r="QGB159"/>
      <c r="QGC159"/>
      <c r="QGD159"/>
      <c r="QGE159"/>
      <c r="QGF159"/>
      <c r="QGG159"/>
      <c r="QGH159"/>
      <c r="QGI159"/>
      <c r="QGJ159"/>
      <c r="QGK159"/>
      <c r="QGL159"/>
      <c r="QGM159"/>
      <c r="QGN159"/>
      <c r="QGO159"/>
      <c r="QGP159"/>
      <c r="QGQ159"/>
      <c r="QGR159"/>
      <c r="QGS159"/>
      <c r="QGT159"/>
      <c r="QGU159"/>
      <c r="QGV159"/>
      <c r="QGW159"/>
      <c r="QGX159"/>
      <c r="QGY159"/>
      <c r="QGZ159"/>
      <c r="QHA159"/>
      <c r="QHB159"/>
      <c r="QHC159"/>
      <c r="QHD159"/>
      <c r="QHE159"/>
      <c r="QHF159"/>
      <c r="QHG159"/>
      <c r="QHH159"/>
      <c r="QHI159"/>
      <c r="QHJ159"/>
      <c r="QHK159"/>
      <c r="QHL159"/>
      <c r="QHM159"/>
      <c r="QHN159"/>
      <c r="QHO159"/>
      <c r="QHP159"/>
      <c r="QHQ159"/>
      <c r="QHR159"/>
      <c r="QHS159"/>
      <c r="QHT159"/>
      <c r="QHU159"/>
      <c r="QHV159"/>
      <c r="QHW159"/>
      <c r="QHX159"/>
      <c r="QHY159"/>
      <c r="QHZ159"/>
      <c r="QIA159"/>
      <c r="QIB159"/>
      <c r="QIC159"/>
      <c r="QID159"/>
      <c r="QIE159"/>
      <c r="QIF159"/>
      <c r="QIG159"/>
      <c r="QIH159"/>
      <c r="QII159"/>
      <c r="QIJ159"/>
      <c r="QIK159"/>
      <c r="QIL159"/>
      <c r="QIM159"/>
      <c r="QIN159"/>
      <c r="QIO159"/>
      <c r="QIP159"/>
      <c r="QIQ159"/>
      <c r="QIR159"/>
      <c r="QIS159"/>
      <c r="QIT159"/>
      <c r="QIU159"/>
      <c r="QIV159"/>
      <c r="QIW159"/>
      <c r="QIX159"/>
      <c r="QIY159"/>
      <c r="QIZ159"/>
      <c r="QJA159"/>
      <c r="QJB159"/>
      <c r="QJC159"/>
      <c r="QJD159"/>
      <c r="QJE159"/>
      <c r="QJF159"/>
      <c r="QJG159"/>
      <c r="QJH159"/>
      <c r="QJI159"/>
      <c r="QJJ159"/>
      <c r="QJK159"/>
      <c r="QJL159"/>
      <c r="QJM159"/>
      <c r="QJN159"/>
      <c r="QJO159"/>
      <c r="QJP159"/>
      <c r="QJQ159"/>
      <c r="QJR159"/>
      <c r="QJS159"/>
      <c r="QJT159"/>
      <c r="QJU159"/>
      <c r="QJV159"/>
      <c r="QJW159"/>
      <c r="QJX159"/>
      <c r="QJY159"/>
      <c r="QJZ159"/>
      <c r="QKA159"/>
      <c r="QKB159"/>
      <c r="QKC159"/>
      <c r="QKD159"/>
      <c r="QKE159"/>
      <c r="QKF159"/>
      <c r="QKG159"/>
      <c r="QKH159"/>
      <c r="QKI159"/>
      <c r="QKJ159"/>
      <c r="QKK159"/>
      <c r="QKL159"/>
      <c r="QKM159"/>
      <c r="QKN159"/>
      <c r="QKO159"/>
      <c r="QKP159"/>
      <c r="QKQ159"/>
      <c r="QKR159"/>
      <c r="QKS159"/>
      <c r="QKT159"/>
      <c r="QKU159"/>
      <c r="QKV159"/>
      <c r="QKW159"/>
      <c r="QKX159"/>
      <c r="QKY159"/>
      <c r="QKZ159"/>
      <c r="QLA159"/>
      <c r="QLB159"/>
      <c r="QLC159"/>
      <c r="QLD159"/>
      <c r="QLE159"/>
      <c r="QLF159"/>
      <c r="QLG159"/>
      <c r="QLH159"/>
      <c r="QLI159"/>
      <c r="QLJ159"/>
      <c r="QLK159"/>
      <c r="QLL159"/>
      <c r="QLM159"/>
      <c r="QLN159"/>
      <c r="QLO159"/>
      <c r="QLP159"/>
      <c r="QLQ159"/>
      <c r="QLR159"/>
      <c r="QLS159"/>
      <c r="QLT159"/>
      <c r="QLU159"/>
      <c r="QLV159"/>
      <c r="QLW159"/>
      <c r="QLX159"/>
      <c r="QLY159"/>
      <c r="QLZ159"/>
      <c r="QMA159"/>
      <c r="QMB159"/>
      <c r="QMC159"/>
      <c r="QMD159"/>
      <c r="QME159"/>
      <c r="QMF159"/>
      <c r="QMG159"/>
      <c r="QMH159"/>
      <c r="QMI159"/>
      <c r="QMJ159"/>
      <c r="QMK159"/>
      <c r="QML159"/>
      <c r="QMM159"/>
      <c r="QMN159"/>
      <c r="QMO159"/>
      <c r="QMP159"/>
      <c r="QMQ159"/>
      <c r="QMR159"/>
      <c r="QMS159"/>
      <c r="QMT159"/>
      <c r="QMU159"/>
      <c r="QMV159"/>
      <c r="QMW159"/>
      <c r="QMX159"/>
      <c r="QMY159"/>
      <c r="QMZ159"/>
      <c r="QNA159"/>
      <c r="QNB159"/>
      <c r="QNC159"/>
      <c r="QND159"/>
      <c r="QNE159"/>
      <c r="QNF159"/>
      <c r="QNG159"/>
      <c r="QNH159"/>
      <c r="QNI159"/>
      <c r="QNJ159"/>
      <c r="QNK159"/>
      <c r="QNL159"/>
      <c r="QNM159"/>
      <c r="QNN159"/>
      <c r="QNO159"/>
      <c r="QNP159"/>
      <c r="QNQ159"/>
      <c r="QNR159"/>
      <c r="QNS159"/>
      <c r="QNT159"/>
      <c r="QNU159"/>
      <c r="QNV159"/>
      <c r="QNW159"/>
      <c r="QNX159"/>
      <c r="QNY159"/>
      <c r="QNZ159"/>
      <c r="QOA159"/>
      <c r="QOB159"/>
      <c r="QOC159"/>
      <c r="QOD159"/>
      <c r="QOE159"/>
      <c r="QOF159"/>
      <c r="QOG159"/>
      <c r="QOH159"/>
      <c r="QOI159"/>
      <c r="QOJ159"/>
      <c r="QOK159"/>
      <c r="QOL159"/>
      <c r="QOM159"/>
      <c r="QON159"/>
      <c r="QOO159"/>
      <c r="QOP159"/>
      <c r="QOQ159"/>
      <c r="QOR159"/>
      <c r="QOS159"/>
      <c r="QOT159"/>
      <c r="QOU159"/>
      <c r="QOV159"/>
      <c r="QOW159"/>
      <c r="QOX159"/>
      <c r="QOY159"/>
      <c r="QOZ159"/>
      <c r="QPA159"/>
      <c r="QPB159"/>
      <c r="QPC159"/>
      <c r="QPD159"/>
      <c r="QPE159"/>
      <c r="QPF159"/>
      <c r="QPG159"/>
      <c r="QPH159"/>
      <c r="QPI159"/>
      <c r="QPJ159"/>
      <c r="QPK159"/>
      <c r="QPL159"/>
      <c r="QPM159"/>
      <c r="QPN159"/>
      <c r="QPO159"/>
      <c r="QPP159"/>
      <c r="QPQ159"/>
      <c r="QPR159"/>
      <c r="QPS159"/>
      <c r="QPT159"/>
      <c r="QPU159"/>
      <c r="QPV159"/>
      <c r="QPW159"/>
      <c r="QPX159"/>
      <c r="QPY159"/>
      <c r="QPZ159"/>
      <c r="QQA159"/>
      <c r="QQB159"/>
      <c r="QQC159"/>
      <c r="QQD159"/>
      <c r="QQE159"/>
      <c r="QQF159"/>
      <c r="QQG159"/>
      <c r="QQH159"/>
      <c r="QQI159"/>
      <c r="QQJ159"/>
      <c r="QQK159"/>
      <c r="QQL159"/>
      <c r="QQM159"/>
      <c r="QQN159"/>
      <c r="QQO159"/>
      <c r="QQP159"/>
      <c r="QQQ159"/>
      <c r="QQR159"/>
      <c r="QQS159"/>
      <c r="QQT159"/>
      <c r="QQU159"/>
      <c r="QQV159"/>
      <c r="QQW159"/>
      <c r="QQX159"/>
      <c r="QQY159"/>
      <c r="QQZ159"/>
      <c r="QRA159"/>
      <c r="QRB159"/>
      <c r="QRC159"/>
      <c r="QRD159"/>
      <c r="QRE159"/>
      <c r="QRF159"/>
      <c r="QRG159"/>
      <c r="QRH159"/>
      <c r="QRI159"/>
      <c r="QRJ159"/>
      <c r="QRK159"/>
      <c r="QRL159"/>
      <c r="QRM159"/>
      <c r="QRN159"/>
      <c r="QRO159"/>
      <c r="QRP159"/>
      <c r="QRQ159"/>
      <c r="QRR159"/>
      <c r="QRS159"/>
      <c r="QRT159"/>
      <c r="QRU159"/>
      <c r="QRV159"/>
      <c r="QRW159"/>
      <c r="QRX159"/>
      <c r="QRY159"/>
      <c r="QRZ159"/>
      <c r="QSA159"/>
      <c r="QSB159"/>
      <c r="QSC159"/>
      <c r="QSD159"/>
      <c r="QSE159"/>
      <c r="QSF159"/>
      <c r="QSG159"/>
      <c r="QSH159"/>
      <c r="QSI159"/>
      <c r="QSJ159"/>
      <c r="QSK159"/>
      <c r="QSL159"/>
      <c r="QSM159"/>
      <c r="QSN159"/>
      <c r="QSO159"/>
      <c r="QSP159"/>
      <c r="QSQ159"/>
      <c r="QSR159"/>
      <c r="QSS159"/>
      <c r="QST159"/>
      <c r="QSU159"/>
      <c r="QSV159"/>
      <c r="QSW159"/>
      <c r="QSX159"/>
      <c r="QSY159"/>
      <c r="QSZ159"/>
      <c r="QTA159"/>
      <c r="QTB159"/>
      <c r="QTC159"/>
      <c r="QTD159"/>
      <c r="QTE159"/>
      <c r="QTF159"/>
      <c r="QTG159"/>
      <c r="QTH159"/>
      <c r="QTI159"/>
      <c r="QTJ159"/>
      <c r="QTK159"/>
      <c r="QTL159"/>
      <c r="QTM159"/>
      <c r="QTN159"/>
      <c r="QTO159"/>
      <c r="QTP159"/>
      <c r="QTQ159"/>
      <c r="QTR159"/>
      <c r="QTS159"/>
      <c r="QTT159"/>
      <c r="QTU159"/>
      <c r="QTV159"/>
      <c r="QTW159"/>
      <c r="QTX159"/>
      <c r="QTY159"/>
      <c r="QTZ159"/>
      <c r="QUA159"/>
      <c r="QUB159"/>
      <c r="QUC159"/>
      <c r="QUD159"/>
      <c r="QUE159"/>
      <c r="QUF159"/>
      <c r="QUG159"/>
      <c r="QUH159"/>
      <c r="QUI159"/>
      <c r="QUJ159"/>
      <c r="QUK159"/>
      <c r="QUL159"/>
      <c r="QUM159"/>
      <c r="QUN159"/>
      <c r="QUO159"/>
      <c r="QUP159"/>
      <c r="QUQ159"/>
      <c r="QUR159"/>
      <c r="QUS159"/>
      <c r="QUT159"/>
      <c r="QUU159"/>
      <c r="QUV159"/>
      <c r="QUW159"/>
      <c r="QUX159"/>
      <c r="QUY159"/>
      <c r="QUZ159"/>
      <c r="QVA159"/>
      <c r="QVB159"/>
      <c r="QVC159"/>
      <c r="QVD159"/>
      <c r="QVE159"/>
      <c r="QVF159"/>
      <c r="QVG159"/>
      <c r="QVH159"/>
      <c r="QVI159"/>
      <c r="QVJ159"/>
      <c r="QVK159"/>
      <c r="QVL159"/>
      <c r="QVM159"/>
      <c r="QVN159"/>
      <c r="QVO159"/>
      <c r="QVP159"/>
      <c r="QVQ159"/>
      <c r="QVR159"/>
      <c r="QVS159"/>
      <c r="QVT159"/>
      <c r="QVU159"/>
      <c r="QVV159"/>
      <c r="QVW159"/>
      <c r="QVX159"/>
      <c r="QVY159"/>
      <c r="QVZ159"/>
      <c r="QWA159"/>
      <c r="QWB159"/>
      <c r="QWC159"/>
      <c r="QWD159"/>
      <c r="QWE159"/>
      <c r="QWF159"/>
      <c r="QWG159"/>
      <c r="QWH159"/>
      <c r="QWI159"/>
      <c r="QWJ159"/>
      <c r="QWK159"/>
      <c r="QWL159"/>
      <c r="QWM159"/>
      <c r="QWN159"/>
      <c r="QWO159"/>
      <c r="QWP159"/>
      <c r="QWQ159"/>
      <c r="QWR159"/>
      <c r="QWS159"/>
      <c r="QWT159"/>
      <c r="QWU159"/>
      <c r="QWV159"/>
      <c r="QWW159"/>
      <c r="QWX159"/>
      <c r="QWY159"/>
      <c r="QWZ159"/>
      <c r="QXA159"/>
      <c r="QXB159"/>
      <c r="QXC159"/>
      <c r="QXD159"/>
      <c r="QXE159"/>
      <c r="QXF159"/>
      <c r="QXG159"/>
      <c r="QXH159"/>
      <c r="QXI159"/>
      <c r="QXJ159"/>
      <c r="QXK159"/>
      <c r="QXL159"/>
      <c r="QXM159"/>
      <c r="QXN159"/>
      <c r="QXO159"/>
      <c r="QXP159"/>
      <c r="QXQ159"/>
      <c r="QXR159"/>
      <c r="QXS159"/>
      <c r="QXT159"/>
      <c r="QXU159"/>
      <c r="QXV159"/>
      <c r="QXW159"/>
      <c r="QXX159"/>
      <c r="QXY159"/>
      <c r="QXZ159"/>
      <c r="QYA159"/>
      <c r="QYB159"/>
      <c r="QYC159"/>
      <c r="QYD159"/>
      <c r="QYE159"/>
      <c r="QYF159"/>
      <c r="QYG159"/>
      <c r="QYH159"/>
      <c r="QYI159"/>
      <c r="QYJ159"/>
      <c r="QYK159"/>
      <c r="QYL159"/>
      <c r="QYM159"/>
      <c r="QYN159"/>
      <c r="QYO159"/>
      <c r="QYP159"/>
      <c r="QYQ159"/>
      <c r="QYR159"/>
      <c r="QYS159"/>
      <c r="QYT159"/>
      <c r="QYU159"/>
      <c r="QYV159"/>
      <c r="QYW159"/>
      <c r="QYX159"/>
      <c r="QYY159"/>
      <c r="QYZ159"/>
      <c r="QZA159"/>
      <c r="QZB159"/>
      <c r="QZC159"/>
      <c r="QZD159"/>
      <c r="QZE159"/>
      <c r="QZF159"/>
      <c r="QZG159"/>
      <c r="QZH159"/>
      <c r="QZI159"/>
      <c r="QZJ159"/>
      <c r="QZK159"/>
      <c r="QZL159"/>
      <c r="QZM159"/>
      <c r="QZN159"/>
      <c r="QZO159"/>
      <c r="QZP159"/>
      <c r="QZQ159"/>
      <c r="QZR159"/>
      <c r="QZS159"/>
      <c r="QZT159"/>
      <c r="QZU159"/>
      <c r="QZV159"/>
      <c r="QZW159"/>
      <c r="QZX159"/>
      <c r="QZY159"/>
      <c r="QZZ159"/>
      <c r="RAA159"/>
      <c r="RAB159"/>
      <c r="RAC159"/>
      <c r="RAD159"/>
      <c r="RAE159"/>
      <c r="RAF159"/>
      <c r="RAG159"/>
      <c r="RAH159"/>
      <c r="RAI159"/>
      <c r="RAJ159"/>
      <c r="RAK159"/>
      <c r="RAL159"/>
      <c r="RAM159"/>
      <c r="RAN159"/>
      <c r="RAO159"/>
      <c r="RAP159"/>
      <c r="RAQ159"/>
      <c r="RAR159"/>
      <c r="RAS159"/>
      <c r="RAT159"/>
      <c r="RAU159"/>
      <c r="RAV159"/>
      <c r="RAW159"/>
      <c r="RAX159"/>
      <c r="RAY159"/>
      <c r="RAZ159"/>
      <c r="RBA159"/>
      <c r="RBB159"/>
      <c r="RBC159"/>
      <c r="RBD159"/>
      <c r="RBE159"/>
      <c r="RBF159"/>
      <c r="RBG159"/>
      <c r="RBH159"/>
      <c r="RBI159"/>
      <c r="RBJ159"/>
      <c r="RBK159"/>
      <c r="RBL159"/>
      <c r="RBM159"/>
      <c r="RBN159"/>
      <c r="RBO159"/>
      <c r="RBP159"/>
      <c r="RBQ159"/>
      <c r="RBR159"/>
      <c r="RBS159"/>
      <c r="RBT159"/>
      <c r="RBU159"/>
      <c r="RBV159"/>
      <c r="RBW159"/>
      <c r="RBX159"/>
      <c r="RBY159"/>
      <c r="RBZ159"/>
      <c r="RCA159"/>
      <c r="RCB159"/>
      <c r="RCC159"/>
      <c r="RCD159"/>
      <c r="RCE159"/>
      <c r="RCF159"/>
      <c r="RCG159"/>
      <c r="RCH159"/>
      <c r="RCI159"/>
      <c r="RCJ159"/>
      <c r="RCK159"/>
      <c r="RCL159"/>
      <c r="RCM159"/>
      <c r="RCN159"/>
      <c r="RCO159"/>
      <c r="RCP159"/>
      <c r="RCQ159"/>
      <c r="RCR159"/>
      <c r="RCS159"/>
      <c r="RCT159"/>
      <c r="RCU159"/>
      <c r="RCV159"/>
      <c r="RCW159"/>
      <c r="RCX159"/>
      <c r="RCY159"/>
      <c r="RCZ159"/>
      <c r="RDA159"/>
      <c r="RDB159"/>
      <c r="RDC159"/>
      <c r="RDD159"/>
      <c r="RDE159"/>
      <c r="RDF159"/>
      <c r="RDG159"/>
      <c r="RDH159"/>
      <c r="RDI159"/>
      <c r="RDJ159"/>
      <c r="RDK159"/>
      <c r="RDL159"/>
      <c r="RDM159"/>
      <c r="RDN159"/>
      <c r="RDO159"/>
      <c r="RDP159"/>
      <c r="RDQ159"/>
      <c r="RDR159"/>
      <c r="RDS159"/>
      <c r="RDT159"/>
      <c r="RDU159"/>
      <c r="RDV159"/>
      <c r="RDW159"/>
      <c r="RDX159"/>
      <c r="RDY159"/>
      <c r="RDZ159"/>
      <c r="REA159"/>
      <c r="REB159"/>
      <c r="REC159"/>
      <c r="RED159"/>
      <c r="REE159"/>
      <c r="REF159"/>
      <c r="REG159"/>
      <c r="REH159"/>
      <c r="REI159"/>
      <c r="REJ159"/>
      <c r="REK159"/>
      <c r="REL159"/>
      <c r="REM159"/>
      <c r="REN159"/>
      <c r="REO159"/>
      <c r="REP159"/>
      <c r="REQ159"/>
      <c r="RER159"/>
      <c r="RES159"/>
      <c r="RET159"/>
      <c r="REU159"/>
      <c r="REV159"/>
      <c r="REW159"/>
      <c r="REX159"/>
      <c r="REY159"/>
      <c r="REZ159"/>
      <c r="RFA159"/>
      <c r="RFB159"/>
      <c r="RFC159"/>
      <c r="RFD159"/>
      <c r="RFE159"/>
      <c r="RFF159"/>
      <c r="RFG159"/>
      <c r="RFH159"/>
      <c r="RFI159"/>
      <c r="RFJ159"/>
      <c r="RFK159"/>
      <c r="RFL159"/>
      <c r="RFM159"/>
      <c r="RFN159"/>
      <c r="RFO159"/>
      <c r="RFP159"/>
      <c r="RFQ159"/>
      <c r="RFR159"/>
      <c r="RFS159"/>
      <c r="RFT159"/>
      <c r="RFU159"/>
      <c r="RFV159"/>
      <c r="RFW159"/>
      <c r="RFX159"/>
      <c r="RFY159"/>
      <c r="RFZ159"/>
      <c r="RGA159"/>
      <c r="RGB159"/>
      <c r="RGC159"/>
      <c r="RGD159"/>
      <c r="RGE159"/>
      <c r="RGF159"/>
      <c r="RGG159"/>
      <c r="RGH159"/>
      <c r="RGI159"/>
      <c r="RGJ159"/>
      <c r="RGK159"/>
      <c r="RGL159"/>
      <c r="RGM159"/>
      <c r="RGN159"/>
      <c r="RGO159"/>
      <c r="RGP159"/>
      <c r="RGQ159"/>
      <c r="RGR159"/>
      <c r="RGS159"/>
      <c r="RGT159"/>
      <c r="RGU159"/>
      <c r="RGV159"/>
      <c r="RGW159"/>
      <c r="RGX159"/>
      <c r="RGY159"/>
      <c r="RGZ159"/>
      <c r="RHA159"/>
      <c r="RHB159"/>
      <c r="RHC159"/>
      <c r="RHD159"/>
      <c r="RHE159"/>
      <c r="RHF159"/>
      <c r="RHG159"/>
      <c r="RHH159"/>
      <c r="RHI159"/>
      <c r="RHJ159"/>
      <c r="RHK159"/>
      <c r="RHL159"/>
      <c r="RHM159"/>
      <c r="RHN159"/>
      <c r="RHO159"/>
      <c r="RHP159"/>
      <c r="RHQ159"/>
      <c r="RHR159"/>
      <c r="RHS159"/>
      <c r="RHT159"/>
      <c r="RHU159"/>
      <c r="RHV159"/>
      <c r="RHW159"/>
      <c r="RHX159"/>
      <c r="RHY159"/>
      <c r="RHZ159"/>
      <c r="RIA159"/>
      <c r="RIB159"/>
      <c r="RIC159"/>
      <c r="RID159"/>
      <c r="RIE159"/>
      <c r="RIF159"/>
      <c r="RIG159"/>
      <c r="RIH159"/>
      <c r="RII159"/>
      <c r="RIJ159"/>
      <c r="RIK159"/>
      <c r="RIL159"/>
      <c r="RIM159"/>
      <c r="RIN159"/>
      <c r="RIO159"/>
      <c r="RIP159"/>
      <c r="RIQ159"/>
      <c r="RIR159"/>
      <c r="RIS159"/>
      <c r="RIT159"/>
      <c r="RIU159"/>
      <c r="RIV159"/>
      <c r="RIW159"/>
      <c r="RIX159"/>
      <c r="RIY159"/>
      <c r="RIZ159"/>
      <c r="RJA159"/>
      <c r="RJB159"/>
      <c r="RJC159"/>
      <c r="RJD159"/>
      <c r="RJE159"/>
      <c r="RJF159"/>
      <c r="RJG159"/>
      <c r="RJH159"/>
      <c r="RJI159"/>
      <c r="RJJ159"/>
      <c r="RJK159"/>
      <c r="RJL159"/>
      <c r="RJM159"/>
      <c r="RJN159"/>
      <c r="RJO159"/>
      <c r="RJP159"/>
      <c r="RJQ159"/>
      <c r="RJR159"/>
      <c r="RJS159"/>
      <c r="RJT159"/>
      <c r="RJU159"/>
      <c r="RJV159"/>
      <c r="RJW159"/>
      <c r="RJX159"/>
      <c r="RJY159"/>
      <c r="RJZ159"/>
      <c r="RKA159"/>
      <c r="RKB159"/>
      <c r="RKC159"/>
      <c r="RKD159"/>
      <c r="RKE159"/>
      <c r="RKF159"/>
      <c r="RKG159"/>
      <c r="RKH159"/>
      <c r="RKI159"/>
      <c r="RKJ159"/>
      <c r="RKK159"/>
      <c r="RKL159"/>
      <c r="RKM159"/>
      <c r="RKN159"/>
      <c r="RKO159"/>
      <c r="RKP159"/>
      <c r="RKQ159"/>
      <c r="RKR159"/>
      <c r="RKS159"/>
      <c r="RKT159"/>
      <c r="RKU159"/>
      <c r="RKV159"/>
      <c r="RKW159"/>
      <c r="RKX159"/>
      <c r="RKY159"/>
      <c r="RKZ159"/>
      <c r="RLA159"/>
      <c r="RLB159"/>
      <c r="RLC159"/>
      <c r="RLD159"/>
      <c r="RLE159"/>
      <c r="RLF159"/>
      <c r="RLG159"/>
      <c r="RLH159"/>
      <c r="RLI159"/>
      <c r="RLJ159"/>
      <c r="RLK159"/>
      <c r="RLL159"/>
      <c r="RLM159"/>
      <c r="RLN159"/>
      <c r="RLO159"/>
      <c r="RLP159"/>
      <c r="RLQ159"/>
      <c r="RLR159"/>
      <c r="RLS159"/>
      <c r="RLT159"/>
      <c r="RLU159"/>
      <c r="RLV159"/>
      <c r="RLW159"/>
      <c r="RLX159"/>
      <c r="RLY159"/>
      <c r="RLZ159"/>
      <c r="RMA159"/>
      <c r="RMB159"/>
      <c r="RMC159"/>
      <c r="RMD159"/>
      <c r="RME159"/>
      <c r="RMF159"/>
      <c r="RMG159"/>
      <c r="RMH159"/>
      <c r="RMI159"/>
      <c r="RMJ159"/>
      <c r="RMK159"/>
      <c r="RML159"/>
      <c r="RMM159"/>
      <c r="RMN159"/>
      <c r="RMO159"/>
      <c r="RMP159"/>
      <c r="RMQ159"/>
      <c r="RMR159"/>
      <c r="RMS159"/>
      <c r="RMT159"/>
      <c r="RMU159"/>
      <c r="RMV159"/>
      <c r="RMW159"/>
      <c r="RMX159"/>
      <c r="RMY159"/>
      <c r="RMZ159"/>
      <c r="RNA159"/>
      <c r="RNB159"/>
      <c r="RNC159"/>
      <c r="RND159"/>
      <c r="RNE159"/>
      <c r="RNF159"/>
      <c r="RNG159"/>
      <c r="RNH159"/>
      <c r="RNI159"/>
      <c r="RNJ159"/>
      <c r="RNK159"/>
      <c r="RNL159"/>
      <c r="RNM159"/>
      <c r="RNN159"/>
      <c r="RNO159"/>
      <c r="RNP159"/>
      <c r="RNQ159"/>
      <c r="RNR159"/>
      <c r="RNS159"/>
      <c r="RNT159"/>
      <c r="RNU159"/>
      <c r="RNV159"/>
      <c r="RNW159"/>
      <c r="RNX159"/>
      <c r="RNY159"/>
      <c r="RNZ159"/>
      <c r="ROA159"/>
      <c r="ROB159"/>
      <c r="ROC159"/>
      <c r="ROD159"/>
      <c r="ROE159"/>
      <c r="ROF159"/>
      <c r="ROG159"/>
      <c r="ROH159"/>
      <c r="ROI159"/>
      <c r="ROJ159"/>
      <c r="ROK159"/>
      <c r="ROL159"/>
      <c r="ROM159"/>
      <c r="RON159"/>
      <c r="ROO159"/>
      <c r="ROP159"/>
      <c r="ROQ159"/>
      <c r="ROR159"/>
      <c r="ROS159"/>
      <c r="ROT159"/>
      <c r="ROU159"/>
      <c r="ROV159"/>
      <c r="ROW159"/>
      <c r="ROX159"/>
      <c r="ROY159"/>
      <c r="ROZ159"/>
      <c r="RPA159"/>
      <c r="RPB159"/>
      <c r="RPC159"/>
      <c r="RPD159"/>
      <c r="RPE159"/>
      <c r="RPF159"/>
      <c r="RPG159"/>
      <c r="RPH159"/>
      <c r="RPI159"/>
      <c r="RPJ159"/>
      <c r="RPK159"/>
      <c r="RPL159"/>
      <c r="RPM159"/>
      <c r="RPN159"/>
      <c r="RPO159"/>
      <c r="RPP159"/>
      <c r="RPQ159"/>
      <c r="RPR159"/>
      <c r="RPS159"/>
      <c r="RPT159"/>
      <c r="RPU159"/>
      <c r="RPV159"/>
      <c r="RPW159"/>
      <c r="RPX159"/>
      <c r="RPY159"/>
      <c r="RPZ159"/>
      <c r="RQA159"/>
      <c r="RQB159"/>
      <c r="RQC159"/>
      <c r="RQD159"/>
      <c r="RQE159"/>
      <c r="RQF159"/>
      <c r="RQG159"/>
      <c r="RQH159"/>
      <c r="RQI159"/>
      <c r="RQJ159"/>
      <c r="RQK159"/>
      <c r="RQL159"/>
      <c r="RQM159"/>
      <c r="RQN159"/>
      <c r="RQO159"/>
      <c r="RQP159"/>
      <c r="RQQ159"/>
      <c r="RQR159"/>
      <c r="RQS159"/>
      <c r="RQT159"/>
      <c r="RQU159"/>
      <c r="RQV159"/>
      <c r="RQW159"/>
      <c r="RQX159"/>
      <c r="RQY159"/>
      <c r="RQZ159"/>
      <c r="RRA159"/>
      <c r="RRB159"/>
      <c r="RRC159"/>
      <c r="RRD159"/>
      <c r="RRE159"/>
      <c r="RRF159"/>
      <c r="RRG159"/>
      <c r="RRH159"/>
      <c r="RRI159"/>
      <c r="RRJ159"/>
      <c r="RRK159"/>
      <c r="RRL159"/>
      <c r="RRM159"/>
      <c r="RRN159"/>
      <c r="RRO159"/>
      <c r="RRP159"/>
      <c r="RRQ159"/>
      <c r="RRR159"/>
      <c r="RRS159"/>
      <c r="RRT159"/>
      <c r="RRU159"/>
      <c r="RRV159"/>
      <c r="RRW159"/>
      <c r="RRX159"/>
      <c r="RRY159"/>
      <c r="RRZ159"/>
      <c r="RSA159"/>
      <c r="RSB159"/>
      <c r="RSC159"/>
      <c r="RSD159"/>
      <c r="RSE159"/>
      <c r="RSF159"/>
      <c r="RSG159"/>
      <c r="RSH159"/>
      <c r="RSI159"/>
      <c r="RSJ159"/>
      <c r="RSK159"/>
      <c r="RSL159"/>
      <c r="RSM159"/>
      <c r="RSN159"/>
      <c r="RSO159"/>
      <c r="RSP159"/>
      <c r="RSQ159"/>
      <c r="RSR159"/>
      <c r="RSS159"/>
      <c r="RST159"/>
      <c r="RSU159"/>
      <c r="RSV159"/>
      <c r="RSW159"/>
      <c r="RSX159"/>
      <c r="RSY159"/>
      <c r="RSZ159"/>
      <c r="RTA159"/>
      <c r="RTB159"/>
      <c r="RTC159"/>
      <c r="RTD159"/>
      <c r="RTE159"/>
      <c r="RTF159"/>
      <c r="RTG159"/>
      <c r="RTH159"/>
      <c r="RTI159"/>
      <c r="RTJ159"/>
      <c r="RTK159"/>
      <c r="RTL159"/>
      <c r="RTM159"/>
      <c r="RTN159"/>
      <c r="RTO159"/>
      <c r="RTP159"/>
      <c r="RTQ159"/>
      <c r="RTR159"/>
      <c r="RTS159"/>
      <c r="RTT159"/>
      <c r="RTU159"/>
      <c r="RTV159"/>
      <c r="RTW159"/>
      <c r="RTX159"/>
      <c r="RTY159"/>
      <c r="RTZ159"/>
      <c r="RUA159"/>
      <c r="RUB159"/>
      <c r="RUC159"/>
      <c r="RUD159"/>
      <c r="RUE159"/>
      <c r="RUF159"/>
      <c r="RUG159"/>
      <c r="RUH159"/>
      <c r="RUI159"/>
      <c r="RUJ159"/>
      <c r="RUK159"/>
      <c r="RUL159"/>
      <c r="RUM159"/>
      <c r="RUN159"/>
      <c r="RUO159"/>
      <c r="RUP159"/>
      <c r="RUQ159"/>
      <c r="RUR159"/>
      <c r="RUS159"/>
      <c r="RUT159"/>
      <c r="RUU159"/>
      <c r="RUV159"/>
      <c r="RUW159"/>
      <c r="RUX159"/>
      <c r="RUY159"/>
      <c r="RUZ159"/>
      <c r="RVA159"/>
      <c r="RVB159"/>
      <c r="RVC159"/>
      <c r="RVD159"/>
      <c r="RVE159"/>
      <c r="RVF159"/>
      <c r="RVG159"/>
      <c r="RVH159"/>
      <c r="RVI159"/>
      <c r="RVJ159"/>
      <c r="RVK159"/>
      <c r="RVL159"/>
      <c r="RVM159"/>
      <c r="RVN159"/>
      <c r="RVO159"/>
      <c r="RVP159"/>
      <c r="RVQ159"/>
      <c r="RVR159"/>
      <c r="RVS159"/>
      <c r="RVT159"/>
      <c r="RVU159"/>
      <c r="RVV159"/>
      <c r="RVW159"/>
      <c r="RVX159"/>
      <c r="RVY159"/>
      <c r="RVZ159"/>
      <c r="RWA159"/>
      <c r="RWB159"/>
      <c r="RWC159"/>
      <c r="RWD159"/>
      <c r="RWE159"/>
      <c r="RWF159"/>
      <c r="RWG159"/>
      <c r="RWH159"/>
      <c r="RWI159"/>
      <c r="RWJ159"/>
      <c r="RWK159"/>
      <c r="RWL159"/>
      <c r="RWM159"/>
      <c r="RWN159"/>
      <c r="RWO159"/>
      <c r="RWP159"/>
      <c r="RWQ159"/>
      <c r="RWR159"/>
      <c r="RWS159"/>
      <c r="RWT159"/>
      <c r="RWU159"/>
      <c r="RWV159"/>
      <c r="RWW159"/>
      <c r="RWX159"/>
      <c r="RWY159"/>
      <c r="RWZ159"/>
      <c r="RXA159"/>
      <c r="RXB159"/>
      <c r="RXC159"/>
      <c r="RXD159"/>
      <c r="RXE159"/>
      <c r="RXF159"/>
      <c r="RXG159"/>
      <c r="RXH159"/>
      <c r="RXI159"/>
      <c r="RXJ159"/>
      <c r="RXK159"/>
      <c r="RXL159"/>
      <c r="RXM159"/>
      <c r="RXN159"/>
      <c r="RXO159"/>
      <c r="RXP159"/>
      <c r="RXQ159"/>
      <c r="RXR159"/>
      <c r="RXS159"/>
      <c r="RXT159"/>
      <c r="RXU159"/>
      <c r="RXV159"/>
      <c r="RXW159"/>
      <c r="RXX159"/>
      <c r="RXY159"/>
      <c r="RXZ159"/>
      <c r="RYA159"/>
      <c r="RYB159"/>
      <c r="RYC159"/>
      <c r="RYD159"/>
      <c r="RYE159"/>
      <c r="RYF159"/>
      <c r="RYG159"/>
      <c r="RYH159"/>
      <c r="RYI159"/>
      <c r="RYJ159"/>
      <c r="RYK159"/>
      <c r="RYL159"/>
      <c r="RYM159"/>
      <c r="RYN159"/>
      <c r="RYO159"/>
      <c r="RYP159"/>
      <c r="RYQ159"/>
      <c r="RYR159"/>
      <c r="RYS159"/>
      <c r="RYT159"/>
      <c r="RYU159"/>
      <c r="RYV159"/>
      <c r="RYW159"/>
      <c r="RYX159"/>
      <c r="RYY159"/>
      <c r="RYZ159"/>
      <c r="RZA159"/>
      <c r="RZB159"/>
      <c r="RZC159"/>
      <c r="RZD159"/>
      <c r="RZE159"/>
      <c r="RZF159"/>
      <c r="RZG159"/>
      <c r="RZH159"/>
      <c r="RZI159"/>
      <c r="RZJ159"/>
      <c r="RZK159"/>
      <c r="RZL159"/>
      <c r="RZM159"/>
      <c r="RZN159"/>
      <c r="RZO159"/>
      <c r="RZP159"/>
      <c r="RZQ159"/>
      <c r="RZR159"/>
      <c r="RZS159"/>
      <c r="RZT159"/>
      <c r="RZU159"/>
      <c r="RZV159"/>
      <c r="RZW159"/>
      <c r="RZX159"/>
      <c r="RZY159"/>
      <c r="RZZ159"/>
      <c r="SAA159"/>
      <c r="SAB159"/>
      <c r="SAC159"/>
      <c r="SAD159"/>
      <c r="SAE159"/>
      <c r="SAF159"/>
      <c r="SAG159"/>
      <c r="SAH159"/>
      <c r="SAI159"/>
      <c r="SAJ159"/>
      <c r="SAK159"/>
      <c r="SAL159"/>
      <c r="SAM159"/>
      <c r="SAN159"/>
      <c r="SAO159"/>
      <c r="SAP159"/>
      <c r="SAQ159"/>
      <c r="SAR159"/>
      <c r="SAS159"/>
      <c r="SAT159"/>
      <c r="SAU159"/>
      <c r="SAV159"/>
      <c r="SAW159"/>
      <c r="SAX159"/>
      <c r="SAY159"/>
      <c r="SAZ159"/>
      <c r="SBA159"/>
      <c r="SBB159"/>
      <c r="SBC159"/>
      <c r="SBD159"/>
      <c r="SBE159"/>
      <c r="SBF159"/>
      <c r="SBG159"/>
      <c r="SBH159"/>
      <c r="SBI159"/>
      <c r="SBJ159"/>
      <c r="SBK159"/>
      <c r="SBL159"/>
      <c r="SBM159"/>
      <c r="SBN159"/>
      <c r="SBO159"/>
      <c r="SBP159"/>
      <c r="SBQ159"/>
      <c r="SBR159"/>
      <c r="SBS159"/>
      <c r="SBT159"/>
      <c r="SBU159"/>
      <c r="SBV159"/>
      <c r="SBW159"/>
      <c r="SBX159"/>
      <c r="SBY159"/>
      <c r="SBZ159"/>
      <c r="SCA159"/>
      <c r="SCB159"/>
      <c r="SCC159"/>
      <c r="SCD159"/>
      <c r="SCE159"/>
      <c r="SCF159"/>
      <c r="SCG159"/>
      <c r="SCH159"/>
      <c r="SCI159"/>
      <c r="SCJ159"/>
      <c r="SCK159"/>
      <c r="SCL159"/>
      <c r="SCM159"/>
      <c r="SCN159"/>
      <c r="SCO159"/>
      <c r="SCP159"/>
      <c r="SCQ159"/>
      <c r="SCR159"/>
      <c r="SCS159"/>
      <c r="SCT159"/>
      <c r="SCU159"/>
      <c r="SCV159"/>
      <c r="SCW159"/>
      <c r="SCX159"/>
      <c r="SCY159"/>
      <c r="SCZ159"/>
      <c r="SDA159"/>
      <c r="SDB159"/>
      <c r="SDC159"/>
      <c r="SDD159"/>
      <c r="SDE159"/>
      <c r="SDF159"/>
      <c r="SDG159"/>
      <c r="SDH159"/>
      <c r="SDI159"/>
      <c r="SDJ159"/>
      <c r="SDK159"/>
      <c r="SDL159"/>
      <c r="SDM159"/>
      <c r="SDN159"/>
      <c r="SDO159"/>
      <c r="SDP159"/>
      <c r="SDQ159"/>
      <c r="SDR159"/>
      <c r="SDS159"/>
      <c r="SDT159"/>
      <c r="SDU159"/>
      <c r="SDV159"/>
      <c r="SDW159"/>
      <c r="SDX159"/>
      <c r="SDY159"/>
      <c r="SDZ159"/>
      <c r="SEA159"/>
      <c r="SEB159"/>
      <c r="SEC159"/>
      <c r="SED159"/>
      <c r="SEE159"/>
      <c r="SEF159"/>
      <c r="SEG159"/>
      <c r="SEH159"/>
      <c r="SEI159"/>
      <c r="SEJ159"/>
      <c r="SEK159"/>
      <c r="SEL159"/>
      <c r="SEM159"/>
      <c r="SEN159"/>
      <c r="SEO159"/>
      <c r="SEP159"/>
      <c r="SEQ159"/>
      <c r="SER159"/>
      <c r="SES159"/>
      <c r="SET159"/>
      <c r="SEU159"/>
      <c r="SEV159"/>
      <c r="SEW159"/>
      <c r="SEX159"/>
      <c r="SEY159"/>
      <c r="SEZ159"/>
      <c r="SFA159"/>
      <c r="SFB159"/>
      <c r="SFC159"/>
      <c r="SFD159"/>
      <c r="SFE159"/>
      <c r="SFF159"/>
      <c r="SFG159"/>
      <c r="SFH159"/>
      <c r="SFI159"/>
      <c r="SFJ159"/>
      <c r="SFK159"/>
      <c r="SFL159"/>
      <c r="SFM159"/>
      <c r="SFN159"/>
      <c r="SFO159"/>
      <c r="SFP159"/>
      <c r="SFQ159"/>
      <c r="SFR159"/>
      <c r="SFS159"/>
      <c r="SFT159"/>
      <c r="SFU159"/>
      <c r="SFV159"/>
      <c r="SFW159"/>
      <c r="SFX159"/>
      <c r="SFY159"/>
      <c r="SFZ159"/>
      <c r="SGA159"/>
      <c r="SGB159"/>
      <c r="SGC159"/>
      <c r="SGD159"/>
      <c r="SGE159"/>
      <c r="SGF159"/>
      <c r="SGG159"/>
      <c r="SGH159"/>
      <c r="SGI159"/>
      <c r="SGJ159"/>
      <c r="SGK159"/>
      <c r="SGL159"/>
      <c r="SGM159"/>
      <c r="SGN159"/>
      <c r="SGO159"/>
      <c r="SGP159"/>
      <c r="SGQ159"/>
      <c r="SGR159"/>
      <c r="SGS159"/>
      <c r="SGT159"/>
      <c r="SGU159"/>
      <c r="SGV159"/>
      <c r="SGW159"/>
      <c r="SGX159"/>
      <c r="SGY159"/>
      <c r="SGZ159"/>
      <c r="SHA159"/>
      <c r="SHB159"/>
      <c r="SHC159"/>
      <c r="SHD159"/>
      <c r="SHE159"/>
      <c r="SHF159"/>
      <c r="SHG159"/>
      <c r="SHH159"/>
      <c r="SHI159"/>
      <c r="SHJ159"/>
      <c r="SHK159"/>
      <c r="SHL159"/>
      <c r="SHM159"/>
      <c r="SHN159"/>
      <c r="SHO159"/>
      <c r="SHP159"/>
      <c r="SHQ159"/>
      <c r="SHR159"/>
      <c r="SHS159"/>
      <c r="SHT159"/>
      <c r="SHU159"/>
      <c r="SHV159"/>
      <c r="SHW159"/>
      <c r="SHX159"/>
      <c r="SHY159"/>
      <c r="SHZ159"/>
      <c r="SIA159"/>
      <c r="SIB159"/>
      <c r="SIC159"/>
      <c r="SID159"/>
      <c r="SIE159"/>
      <c r="SIF159"/>
      <c r="SIG159"/>
      <c r="SIH159"/>
      <c r="SII159"/>
      <c r="SIJ159"/>
      <c r="SIK159"/>
      <c r="SIL159"/>
      <c r="SIM159"/>
      <c r="SIN159"/>
      <c r="SIO159"/>
      <c r="SIP159"/>
      <c r="SIQ159"/>
      <c r="SIR159"/>
      <c r="SIS159"/>
      <c r="SIT159"/>
      <c r="SIU159"/>
      <c r="SIV159"/>
      <c r="SIW159"/>
      <c r="SIX159"/>
      <c r="SIY159"/>
      <c r="SIZ159"/>
      <c r="SJA159"/>
      <c r="SJB159"/>
      <c r="SJC159"/>
      <c r="SJD159"/>
      <c r="SJE159"/>
      <c r="SJF159"/>
      <c r="SJG159"/>
      <c r="SJH159"/>
      <c r="SJI159"/>
      <c r="SJJ159"/>
      <c r="SJK159"/>
      <c r="SJL159"/>
      <c r="SJM159"/>
      <c r="SJN159"/>
      <c r="SJO159"/>
      <c r="SJP159"/>
      <c r="SJQ159"/>
      <c r="SJR159"/>
      <c r="SJS159"/>
      <c r="SJT159"/>
      <c r="SJU159"/>
      <c r="SJV159"/>
      <c r="SJW159"/>
      <c r="SJX159"/>
      <c r="SJY159"/>
      <c r="SJZ159"/>
      <c r="SKA159"/>
      <c r="SKB159"/>
      <c r="SKC159"/>
      <c r="SKD159"/>
      <c r="SKE159"/>
      <c r="SKF159"/>
      <c r="SKG159"/>
      <c r="SKH159"/>
      <c r="SKI159"/>
      <c r="SKJ159"/>
      <c r="SKK159"/>
      <c r="SKL159"/>
      <c r="SKM159"/>
      <c r="SKN159"/>
      <c r="SKO159"/>
      <c r="SKP159"/>
      <c r="SKQ159"/>
      <c r="SKR159"/>
      <c r="SKS159"/>
      <c r="SKT159"/>
      <c r="SKU159"/>
      <c r="SKV159"/>
      <c r="SKW159"/>
      <c r="SKX159"/>
      <c r="SKY159"/>
      <c r="SKZ159"/>
      <c r="SLA159"/>
      <c r="SLB159"/>
      <c r="SLC159"/>
      <c r="SLD159"/>
      <c r="SLE159"/>
      <c r="SLF159"/>
      <c r="SLG159"/>
      <c r="SLH159"/>
      <c r="SLI159"/>
      <c r="SLJ159"/>
      <c r="SLK159"/>
      <c r="SLL159"/>
      <c r="SLM159"/>
      <c r="SLN159"/>
      <c r="SLO159"/>
      <c r="SLP159"/>
      <c r="SLQ159"/>
      <c r="SLR159"/>
      <c r="SLS159"/>
      <c r="SLT159"/>
      <c r="SLU159"/>
      <c r="SLV159"/>
      <c r="SLW159"/>
      <c r="SLX159"/>
      <c r="SLY159"/>
      <c r="SLZ159"/>
      <c r="SMA159"/>
      <c r="SMB159"/>
      <c r="SMC159"/>
      <c r="SMD159"/>
      <c r="SME159"/>
      <c r="SMF159"/>
      <c r="SMG159"/>
      <c r="SMH159"/>
      <c r="SMI159"/>
      <c r="SMJ159"/>
      <c r="SMK159"/>
      <c r="SML159"/>
      <c r="SMM159"/>
      <c r="SMN159"/>
      <c r="SMO159"/>
      <c r="SMP159"/>
      <c r="SMQ159"/>
      <c r="SMR159"/>
      <c r="SMS159"/>
      <c r="SMT159"/>
      <c r="SMU159"/>
      <c r="SMV159"/>
      <c r="SMW159"/>
      <c r="SMX159"/>
      <c r="SMY159"/>
      <c r="SMZ159"/>
      <c r="SNA159"/>
      <c r="SNB159"/>
      <c r="SNC159"/>
      <c r="SND159"/>
      <c r="SNE159"/>
      <c r="SNF159"/>
      <c r="SNG159"/>
      <c r="SNH159"/>
      <c r="SNI159"/>
      <c r="SNJ159"/>
      <c r="SNK159"/>
      <c r="SNL159"/>
      <c r="SNM159"/>
      <c r="SNN159"/>
      <c r="SNO159"/>
      <c r="SNP159"/>
      <c r="SNQ159"/>
      <c r="SNR159"/>
      <c r="SNS159"/>
      <c r="SNT159"/>
      <c r="SNU159"/>
      <c r="SNV159"/>
      <c r="SNW159"/>
      <c r="SNX159"/>
      <c r="SNY159"/>
      <c r="SNZ159"/>
      <c r="SOA159"/>
      <c r="SOB159"/>
      <c r="SOC159"/>
      <c r="SOD159"/>
      <c r="SOE159"/>
      <c r="SOF159"/>
      <c r="SOG159"/>
      <c r="SOH159"/>
      <c r="SOI159"/>
      <c r="SOJ159"/>
      <c r="SOK159"/>
      <c r="SOL159"/>
      <c r="SOM159"/>
      <c r="SON159"/>
      <c r="SOO159"/>
      <c r="SOP159"/>
      <c r="SOQ159"/>
      <c r="SOR159"/>
      <c r="SOS159"/>
      <c r="SOT159"/>
      <c r="SOU159"/>
      <c r="SOV159"/>
      <c r="SOW159"/>
      <c r="SOX159"/>
      <c r="SOY159"/>
      <c r="SOZ159"/>
      <c r="SPA159"/>
      <c r="SPB159"/>
      <c r="SPC159"/>
      <c r="SPD159"/>
      <c r="SPE159"/>
      <c r="SPF159"/>
      <c r="SPG159"/>
      <c r="SPH159"/>
      <c r="SPI159"/>
      <c r="SPJ159"/>
      <c r="SPK159"/>
      <c r="SPL159"/>
      <c r="SPM159"/>
      <c r="SPN159"/>
      <c r="SPO159"/>
      <c r="SPP159"/>
      <c r="SPQ159"/>
      <c r="SPR159"/>
      <c r="SPS159"/>
      <c r="SPT159"/>
      <c r="SPU159"/>
      <c r="SPV159"/>
      <c r="SPW159"/>
      <c r="SPX159"/>
      <c r="SPY159"/>
      <c r="SPZ159"/>
      <c r="SQA159"/>
      <c r="SQB159"/>
      <c r="SQC159"/>
      <c r="SQD159"/>
      <c r="SQE159"/>
      <c r="SQF159"/>
      <c r="SQG159"/>
      <c r="SQH159"/>
      <c r="SQI159"/>
      <c r="SQJ159"/>
      <c r="SQK159"/>
      <c r="SQL159"/>
      <c r="SQM159"/>
      <c r="SQN159"/>
      <c r="SQO159"/>
      <c r="SQP159"/>
      <c r="SQQ159"/>
      <c r="SQR159"/>
      <c r="SQS159"/>
      <c r="SQT159"/>
      <c r="SQU159"/>
      <c r="SQV159"/>
      <c r="SQW159"/>
      <c r="SQX159"/>
      <c r="SQY159"/>
      <c r="SQZ159"/>
      <c r="SRA159"/>
      <c r="SRB159"/>
      <c r="SRC159"/>
      <c r="SRD159"/>
      <c r="SRE159"/>
      <c r="SRF159"/>
      <c r="SRG159"/>
      <c r="SRH159"/>
      <c r="SRI159"/>
      <c r="SRJ159"/>
      <c r="SRK159"/>
      <c r="SRL159"/>
      <c r="SRM159"/>
      <c r="SRN159"/>
      <c r="SRO159"/>
      <c r="SRP159"/>
      <c r="SRQ159"/>
      <c r="SRR159"/>
      <c r="SRS159"/>
      <c r="SRT159"/>
      <c r="SRU159"/>
      <c r="SRV159"/>
      <c r="SRW159"/>
      <c r="SRX159"/>
      <c r="SRY159"/>
      <c r="SRZ159"/>
      <c r="SSA159"/>
      <c r="SSB159"/>
      <c r="SSC159"/>
      <c r="SSD159"/>
      <c r="SSE159"/>
      <c r="SSF159"/>
      <c r="SSG159"/>
      <c r="SSH159"/>
      <c r="SSI159"/>
      <c r="SSJ159"/>
      <c r="SSK159"/>
      <c r="SSL159"/>
      <c r="SSM159"/>
      <c r="SSN159"/>
      <c r="SSO159"/>
      <c r="SSP159"/>
      <c r="SSQ159"/>
      <c r="SSR159"/>
      <c r="SSS159"/>
      <c r="SST159"/>
      <c r="SSU159"/>
      <c r="SSV159"/>
      <c r="SSW159"/>
      <c r="SSX159"/>
      <c r="SSY159"/>
      <c r="SSZ159"/>
      <c r="STA159"/>
      <c r="STB159"/>
      <c r="STC159"/>
      <c r="STD159"/>
      <c r="STE159"/>
      <c r="STF159"/>
      <c r="STG159"/>
      <c r="STH159"/>
      <c r="STI159"/>
      <c r="STJ159"/>
      <c r="STK159"/>
      <c r="STL159"/>
      <c r="STM159"/>
      <c r="STN159"/>
      <c r="STO159"/>
      <c r="STP159"/>
      <c r="STQ159"/>
      <c r="STR159"/>
      <c r="STS159"/>
      <c r="STT159"/>
      <c r="STU159"/>
      <c r="STV159"/>
      <c r="STW159"/>
      <c r="STX159"/>
      <c r="STY159"/>
      <c r="STZ159"/>
      <c r="SUA159"/>
      <c r="SUB159"/>
      <c r="SUC159"/>
      <c r="SUD159"/>
      <c r="SUE159"/>
      <c r="SUF159"/>
      <c r="SUG159"/>
      <c r="SUH159"/>
      <c r="SUI159"/>
      <c r="SUJ159"/>
      <c r="SUK159"/>
      <c r="SUL159"/>
      <c r="SUM159"/>
      <c r="SUN159"/>
      <c r="SUO159"/>
      <c r="SUP159"/>
      <c r="SUQ159"/>
      <c r="SUR159"/>
      <c r="SUS159"/>
      <c r="SUT159"/>
      <c r="SUU159"/>
      <c r="SUV159"/>
      <c r="SUW159"/>
      <c r="SUX159"/>
      <c r="SUY159"/>
      <c r="SUZ159"/>
      <c r="SVA159"/>
      <c r="SVB159"/>
      <c r="SVC159"/>
      <c r="SVD159"/>
      <c r="SVE159"/>
      <c r="SVF159"/>
      <c r="SVG159"/>
      <c r="SVH159"/>
      <c r="SVI159"/>
      <c r="SVJ159"/>
      <c r="SVK159"/>
      <c r="SVL159"/>
      <c r="SVM159"/>
      <c r="SVN159"/>
      <c r="SVO159"/>
      <c r="SVP159"/>
      <c r="SVQ159"/>
      <c r="SVR159"/>
      <c r="SVS159"/>
      <c r="SVT159"/>
      <c r="SVU159"/>
      <c r="SVV159"/>
      <c r="SVW159"/>
      <c r="SVX159"/>
      <c r="SVY159"/>
      <c r="SVZ159"/>
      <c r="SWA159"/>
      <c r="SWB159"/>
      <c r="SWC159"/>
      <c r="SWD159"/>
      <c r="SWE159"/>
      <c r="SWF159"/>
      <c r="SWG159"/>
      <c r="SWH159"/>
      <c r="SWI159"/>
      <c r="SWJ159"/>
      <c r="SWK159"/>
      <c r="SWL159"/>
      <c r="SWM159"/>
      <c r="SWN159"/>
      <c r="SWO159"/>
      <c r="SWP159"/>
      <c r="SWQ159"/>
      <c r="SWR159"/>
      <c r="SWS159"/>
      <c r="SWT159"/>
      <c r="SWU159"/>
      <c r="SWV159"/>
      <c r="SWW159"/>
      <c r="SWX159"/>
      <c r="SWY159"/>
      <c r="SWZ159"/>
      <c r="SXA159"/>
      <c r="SXB159"/>
      <c r="SXC159"/>
      <c r="SXD159"/>
      <c r="SXE159"/>
      <c r="SXF159"/>
      <c r="SXG159"/>
      <c r="SXH159"/>
      <c r="SXI159"/>
      <c r="SXJ159"/>
      <c r="SXK159"/>
      <c r="SXL159"/>
      <c r="SXM159"/>
      <c r="SXN159"/>
      <c r="SXO159"/>
      <c r="SXP159"/>
      <c r="SXQ159"/>
      <c r="SXR159"/>
      <c r="SXS159"/>
      <c r="SXT159"/>
      <c r="SXU159"/>
      <c r="SXV159"/>
      <c r="SXW159"/>
      <c r="SXX159"/>
      <c r="SXY159"/>
      <c r="SXZ159"/>
      <c r="SYA159"/>
      <c r="SYB159"/>
      <c r="SYC159"/>
      <c r="SYD159"/>
      <c r="SYE159"/>
      <c r="SYF159"/>
      <c r="SYG159"/>
      <c r="SYH159"/>
      <c r="SYI159"/>
      <c r="SYJ159"/>
      <c r="SYK159"/>
      <c r="SYL159"/>
      <c r="SYM159"/>
      <c r="SYN159"/>
      <c r="SYO159"/>
      <c r="SYP159"/>
      <c r="SYQ159"/>
      <c r="SYR159"/>
      <c r="SYS159"/>
      <c r="SYT159"/>
      <c r="SYU159"/>
      <c r="SYV159"/>
      <c r="SYW159"/>
      <c r="SYX159"/>
      <c r="SYY159"/>
      <c r="SYZ159"/>
      <c r="SZA159"/>
      <c r="SZB159"/>
      <c r="SZC159"/>
      <c r="SZD159"/>
      <c r="SZE159"/>
      <c r="SZF159"/>
      <c r="SZG159"/>
      <c r="SZH159"/>
      <c r="SZI159"/>
      <c r="SZJ159"/>
      <c r="SZK159"/>
      <c r="SZL159"/>
      <c r="SZM159"/>
      <c r="SZN159"/>
      <c r="SZO159"/>
      <c r="SZP159"/>
      <c r="SZQ159"/>
      <c r="SZR159"/>
      <c r="SZS159"/>
      <c r="SZT159"/>
      <c r="SZU159"/>
      <c r="SZV159"/>
      <c r="SZW159"/>
      <c r="SZX159"/>
      <c r="SZY159"/>
      <c r="SZZ159"/>
      <c r="TAA159"/>
      <c r="TAB159"/>
      <c r="TAC159"/>
      <c r="TAD159"/>
      <c r="TAE159"/>
      <c r="TAF159"/>
      <c r="TAG159"/>
      <c r="TAH159"/>
      <c r="TAI159"/>
      <c r="TAJ159"/>
      <c r="TAK159"/>
      <c r="TAL159"/>
      <c r="TAM159"/>
      <c r="TAN159"/>
      <c r="TAO159"/>
      <c r="TAP159"/>
      <c r="TAQ159"/>
      <c r="TAR159"/>
      <c r="TAS159"/>
      <c r="TAT159"/>
      <c r="TAU159"/>
      <c r="TAV159"/>
      <c r="TAW159"/>
      <c r="TAX159"/>
      <c r="TAY159"/>
      <c r="TAZ159"/>
      <c r="TBA159"/>
      <c r="TBB159"/>
      <c r="TBC159"/>
      <c r="TBD159"/>
      <c r="TBE159"/>
      <c r="TBF159"/>
      <c r="TBG159"/>
      <c r="TBH159"/>
      <c r="TBI159"/>
      <c r="TBJ159"/>
      <c r="TBK159"/>
      <c r="TBL159"/>
      <c r="TBM159"/>
      <c r="TBN159"/>
      <c r="TBO159"/>
      <c r="TBP159"/>
      <c r="TBQ159"/>
      <c r="TBR159"/>
      <c r="TBS159"/>
      <c r="TBT159"/>
      <c r="TBU159"/>
      <c r="TBV159"/>
      <c r="TBW159"/>
      <c r="TBX159"/>
      <c r="TBY159"/>
      <c r="TBZ159"/>
      <c r="TCA159"/>
      <c r="TCB159"/>
      <c r="TCC159"/>
      <c r="TCD159"/>
      <c r="TCE159"/>
      <c r="TCF159"/>
      <c r="TCG159"/>
      <c r="TCH159"/>
      <c r="TCI159"/>
      <c r="TCJ159"/>
      <c r="TCK159"/>
      <c r="TCL159"/>
      <c r="TCM159"/>
      <c r="TCN159"/>
      <c r="TCO159"/>
      <c r="TCP159"/>
      <c r="TCQ159"/>
      <c r="TCR159"/>
      <c r="TCS159"/>
      <c r="TCT159"/>
      <c r="TCU159"/>
      <c r="TCV159"/>
      <c r="TCW159"/>
      <c r="TCX159"/>
      <c r="TCY159"/>
      <c r="TCZ159"/>
      <c r="TDA159"/>
      <c r="TDB159"/>
      <c r="TDC159"/>
      <c r="TDD159"/>
      <c r="TDE159"/>
      <c r="TDF159"/>
      <c r="TDG159"/>
      <c r="TDH159"/>
      <c r="TDI159"/>
      <c r="TDJ159"/>
      <c r="TDK159"/>
      <c r="TDL159"/>
      <c r="TDM159"/>
      <c r="TDN159"/>
      <c r="TDO159"/>
      <c r="TDP159"/>
      <c r="TDQ159"/>
      <c r="TDR159"/>
      <c r="TDS159"/>
      <c r="TDT159"/>
      <c r="TDU159"/>
      <c r="TDV159"/>
      <c r="TDW159"/>
      <c r="TDX159"/>
      <c r="TDY159"/>
      <c r="TDZ159"/>
      <c r="TEA159"/>
      <c r="TEB159"/>
      <c r="TEC159"/>
      <c r="TED159"/>
      <c r="TEE159"/>
      <c r="TEF159"/>
      <c r="TEG159"/>
      <c r="TEH159"/>
      <c r="TEI159"/>
      <c r="TEJ159"/>
      <c r="TEK159"/>
      <c r="TEL159"/>
      <c r="TEM159"/>
      <c r="TEN159"/>
      <c r="TEO159"/>
      <c r="TEP159"/>
      <c r="TEQ159"/>
      <c r="TER159"/>
      <c r="TES159"/>
      <c r="TET159"/>
      <c r="TEU159"/>
      <c r="TEV159"/>
      <c r="TEW159"/>
      <c r="TEX159"/>
      <c r="TEY159"/>
      <c r="TEZ159"/>
      <c r="TFA159"/>
      <c r="TFB159"/>
      <c r="TFC159"/>
      <c r="TFD159"/>
      <c r="TFE159"/>
      <c r="TFF159"/>
      <c r="TFG159"/>
      <c r="TFH159"/>
      <c r="TFI159"/>
      <c r="TFJ159"/>
      <c r="TFK159"/>
      <c r="TFL159"/>
      <c r="TFM159"/>
      <c r="TFN159"/>
      <c r="TFO159"/>
      <c r="TFP159"/>
      <c r="TFQ159"/>
      <c r="TFR159"/>
      <c r="TFS159"/>
      <c r="TFT159"/>
      <c r="TFU159"/>
      <c r="TFV159"/>
      <c r="TFW159"/>
      <c r="TFX159"/>
      <c r="TFY159"/>
      <c r="TFZ159"/>
      <c r="TGA159"/>
      <c r="TGB159"/>
      <c r="TGC159"/>
      <c r="TGD159"/>
      <c r="TGE159"/>
      <c r="TGF159"/>
      <c r="TGG159"/>
      <c r="TGH159"/>
      <c r="TGI159"/>
      <c r="TGJ159"/>
      <c r="TGK159"/>
      <c r="TGL159"/>
      <c r="TGM159"/>
      <c r="TGN159"/>
      <c r="TGO159"/>
      <c r="TGP159"/>
      <c r="TGQ159"/>
      <c r="TGR159"/>
      <c r="TGS159"/>
      <c r="TGT159"/>
      <c r="TGU159"/>
      <c r="TGV159"/>
      <c r="TGW159"/>
      <c r="TGX159"/>
      <c r="TGY159"/>
      <c r="TGZ159"/>
      <c r="THA159"/>
      <c r="THB159"/>
      <c r="THC159"/>
      <c r="THD159"/>
      <c r="THE159"/>
      <c r="THF159"/>
      <c r="THG159"/>
      <c r="THH159"/>
      <c r="THI159"/>
      <c r="THJ159"/>
      <c r="THK159"/>
      <c r="THL159"/>
      <c r="THM159"/>
      <c r="THN159"/>
      <c r="THO159"/>
      <c r="THP159"/>
      <c r="THQ159"/>
      <c r="THR159"/>
      <c r="THS159"/>
      <c r="THT159"/>
      <c r="THU159"/>
      <c r="THV159"/>
      <c r="THW159"/>
      <c r="THX159"/>
      <c r="THY159"/>
      <c r="THZ159"/>
      <c r="TIA159"/>
      <c r="TIB159"/>
      <c r="TIC159"/>
      <c r="TID159"/>
      <c r="TIE159"/>
      <c r="TIF159"/>
      <c r="TIG159"/>
      <c r="TIH159"/>
      <c r="TII159"/>
      <c r="TIJ159"/>
      <c r="TIK159"/>
      <c r="TIL159"/>
      <c r="TIM159"/>
      <c r="TIN159"/>
      <c r="TIO159"/>
      <c r="TIP159"/>
      <c r="TIQ159"/>
      <c r="TIR159"/>
      <c r="TIS159"/>
      <c r="TIT159"/>
      <c r="TIU159"/>
      <c r="TIV159"/>
      <c r="TIW159"/>
      <c r="TIX159"/>
      <c r="TIY159"/>
      <c r="TIZ159"/>
      <c r="TJA159"/>
      <c r="TJB159"/>
      <c r="TJC159"/>
      <c r="TJD159"/>
      <c r="TJE159"/>
      <c r="TJF159"/>
      <c r="TJG159"/>
      <c r="TJH159"/>
      <c r="TJI159"/>
      <c r="TJJ159"/>
      <c r="TJK159"/>
      <c r="TJL159"/>
      <c r="TJM159"/>
      <c r="TJN159"/>
      <c r="TJO159"/>
      <c r="TJP159"/>
      <c r="TJQ159"/>
      <c r="TJR159"/>
      <c r="TJS159"/>
      <c r="TJT159"/>
      <c r="TJU159"/>
      <c r="TJV159"/>
      <c r="TJW159"/>
      <c r="TJX159"/>
      <c r="TJY159"/>
      <c r="TJZ159"/>
      <c r="TKA159"/>
      <c r="TKB159"/>
      <c r="TKC159"/>
      <c r="TKD159"/>
      <c r="TKE159"/>
      <c r="TKF159"/>
      <c r="TKG159"/>
      <c r="TKH159"/>
      <c r="TKI159"/>
      <c r="TKJ159"/>
      <c r="TKK159"/>
      <c r="TKL159"/>
      <c r="TKM159"/>
      <c r="TKN159"/>
      <c r="TKO159"/>
      <c r="TKP159"/>
      <c r="TKQ159"/>
      <c r="TKR159"/>
      <c r="TKS159"/>
      <c r="TKT159"/>
      <c r="TKU159"/>
      <c r="TKV159"/>
      <c r="TKW159"/>
      <c r="TKX159"/>
      <c r="TKY159"/>
      <c r="TKZ159"/>
      <c r="TLA159"/>
      <c r="TLB159"/>
      <c r="TLC159"/>
      <c r="TLD159"/>
      <c r="TLE159"/>
      <c r="TLF159"/>
      <c r="TLG159"/>
      <c r="TLH159"/>
      <c r="TLI159"/>
      <c r="TLJ159"/>
      <c r="TLK159"/>
      <c r="TLL159"/>
      <c r="TLM159"/>
      <c r="TLN159"/>
      <c r="TLO159"/>
      <c r="TLP159"/>
      <c r="TLQ159"/>
      <c r="TLR159"/>
      <c r="TLS159"/>
      <c r="TLT159"/>
      <c r="TLU159"/>
      <c r="TLV159"/>
      <c r="TLW159"/>
      <c r="TLX159"/>
      <c r="TLY159"/>
      <c r="TLZ159"/>
      <c r="TMA159"/>
      <c r="TMB159"/>
      <c r="TMC159"/>
      <c r="TMD159"/>
      <c r="TME159"/>
      <c r="TMF159"/>
      <c r="TMG159"/>
      <c r="TMH159"/>
      <c r="TMI159"/>
      <c r="TMJ159"/>
      <c r="TMK159"/>
      <c r="TML159"/>
      <c r="TMM159"/>
      <c r="TMN159"/>
      <c r="TMO159"/>
      <c r="TMP159"/>
      <c r="TMQ159"/>
      <c r="TMR159"/>
      <c r="TMS159"/>
      <c r="TMT159"/>
      <c r="TMU159"/>
      <c r="TMV159"/>
      <c r="TMW159"/>
      <c r="TMX159"/>
      <c r="TMY159"/>
      <c r="TMZ159"/>
      <c r="TNA159"/>
      <c r="TNB159"/>
      <c r="TNC159"/>
      <c r="TND159"/>
      <c r="TNE159"/>
      <c r="TNF159"/>
      <c r="TNG159"/>
      <c r="TNH159"/>
      <c r="TNI159"/>
      <c r="TNJ159"/>
      <c r="TNK159"/>
      <c r="TNL159"/>
      <c r="TNM159"/>
      <c r="TNN159"/>
      <c r="TNO159"/>
      <c r="TNP159"/>
      <c r="TNQ159"/>
      <c r="TNR159"/>
      <c r="TNS159"/>
      <c r="TNT159"/>
      <c r="TNU159"/>
      <c r="TNV159"/>
      <c r="TNW159"/>
      <c r="TNX159"/>
      <c r="TNY159"/>
      <c r="TNZ159"/>
      <c r="TOA159"/>
      <c r="TOB159"/>
      <c r="TOC159"/>
      <c r="TOD159"/>
      <c r="TOE159"/>
      <c r="TOF159"/>
      <c r="TOG159"/>
      <c r="TOH159"/>
      <c r="TOI159"/>
      <c r="TOJ159"/>
      <c r="TOK159"/>
      <c r="TOL159"/>
      <c r="TOM159"/>
      <c r="TON159"/>
      <c r="TOO159"/>
      <c r="TOP159"/>
      <c r="TOQ159"/>
      <c r="TOR159"/>
      <c r="TOS159"/>
      <c r="TOT159"/>
      <c r="TOU159"/>
      <c r="TOV159"/>
      <c r="TOW159"/>
      <c r="TOX159"/>
      <c r="TOY159"/>
      <c r="TOZ159"/>
      <c r="TPA159"/>
      <c r="TPB159"/>
      <c r="TPC159"/>
      <c r="TPD159"/>
      <c r="TPE159"/>
      <c r="TPF159"/>
      <c r="TPG159"/>
      <c r="TPH159"/>
      <c r="TPI159"/>
      <c r="TPJ159"/>
      <c r="TPK159"/>
      <c r="TPL159"/>
      <c r="TPM159"/>
      <c r="TPN159"/>
      <c r="TPO159"/>
      <c r="TPP159"/>
      <c r="TPQ159"/>
      <c r="TPR159"/>
      <c r="TPS159"/>
      <c r="TPT159"/>
      <c r="TPU159"/>
      <c r="TPV159"/>
      <c r="TPW159"/>
      <c r="TPX159"/>
      <c r="TPY159"/>
      <c r="TPZ159"/>
      <c r="TQA159"/>
      <c r="TQB159"/>
      <c r="TQC159"/>
      <c r="TQD159"/>
      <c r="TQE159"/>
      <c r="TQF159"/>
      <c r="TQG159"/>
      <c r="TQH159"/>
      <c r="TQI159"/>
      <c r="TQJ159"/>
      <c r="TQK159"/>
      <c r="TQL159"/>
      <c r="TQM159"/>
      <c r="TQN159"/>
      <c r="TQO159"/>
      <c r="TQP159"/>
      <c r="TQQ159"/>
      <c r="TQR159"/>
      <c r="TQS159"/>
      <c r="TQT159"/>
      <c r="TQU159"/>
      <c r="TQV159"/>
      <c r="TQW159"/>
      <c r="TQX159"/>
      <c r="TQY159"/>
      <c r="TQZ159"/>
      <c r="TRA159"/>
      <c r="TRB159"/>
      <c r="TRC159"/>
      <c r="TRD159"/>
      <c r="TRE159"/>
      <c r="TRF159"/>
      <c r="TRG159"/>
      <c r="TRH159"/>
      <c r="TRI159"/>
      <c r="TRJ159"/>
      <c r="TRK159"/>
      <c r="TRL159"/>
      <c r="TRM159"/>
      <c r="TRN159"/>
      <c r="TRO159"/>
      <c r="TRP159"/>
      <c r="TRQ159"/>
      <c r="TRR159"/>
      <c r="TRS159"/>
      <c r="TRT159"/>
      <c r="TRU159"/>
      <c r="TRV159"/>
      <c r="TRW159"/>
      <c r="TRX159"/>
      <c r="TRY159"/>
      <c r="TRZ159"/>
      <c r="TSA159"/>
      <c r="TSB159"/>
      <c r="TSC159"/>
      <c r="TSD159"/>
      <c r="TSE159"/>
      <c r="TSF159"/>
      <c r="TSG159"/>
      <c r="TSH159"/>
      <c r="TSI159"/>
      <c r="TSJ159"/>
      <c r="TSK159"/>
      <c r="TSL159"/>
      <c r="TSM159"/>
      <c r="TSN159"/>
      <c r="TSO159"/>
      <c r="TSP159"/>
      <c r="TSQ159"/>
      <c r="TSR159"/>
      <c r="TSS159"/>
      <c r="TST159"/>
      <c r="TSU159"/>
      <c r="TSV159"/>
      <c r="TSW159"/>
      <c r="TSX159"/>
      <c r="TSY159"/>
      <c r="TSZ159"/>
      <c r="TTA159"/>
      <c r="TTB159"/>
      <c r="TTC159"/>
      <c r="TTD159"/>
      <c r="TTE159"/>
      <c r="TTF159"/>
      <c r="TTG159"/>
      <c r="TTH159"/>
      <c r="TTI159"/>
      <c r="TTJ159"/>
      <c r="TTK159"/>
      <c r="TTL159"/>
      <c r="TTM159"/>
      <c r="TTN159"/>
      <c r="TTO159"/>
      <c r="TTP159"/>
      <c r="TTQ159"/>
      <c r="TTR159"/>
      <c r="TTS159"/>
      <c r="TTT159"/>
      <c r="TTU159"/>
      <c r="TTV159"/>
      <c r="TTW159"/>
      <c r="TTX159"/>
      <c r="TTY159"/>
      <c r="TTZ159"/>
      <c r="TUA159"/>
      <c r="TUB159"/>
      <c r="TUC159"/>
      <c r="TUD159"/>
      <c r="TUE159"/>
      <c r="TUF159"/>
      <c r="TUG159"/>
      <c r="TUH159"/>
      <c r="TUI159"/>
      <c r="TUJ159"/>
      <c r="TUK159"/>
      <c r="TUL159"/>
      <c r="TUM159"/>
      <c r="TUN159"/>
      <c r="TUO159"/>
      <c r="TUP159"/>
      <c r="TUQ159"/>
      <c r="TUR159"/>
      <c r="TUS159"/>
      <c r="TUT159"/>
      <c r="TUU159"/>
      <c r="TUV159"/>
      <c r="TUW159"/>
      <c r="TUX159"/>
      <c r="TUY159"/>
      <c r="TUZ159"/>
      <c r="TVA159"/>
      <c r="TVB159"/>
      <c r="TVC159"/>
      <c r="TVD159"/>
      <c r="TVE159"/>
      <c r="TVF159"/>
      <c r="TVG159"/>
      <c r="TVH159"/>
      <c r="TVI159"/>
      <c r="TVJ159"/>
      <c r="TVK159"/>
      <c r="TVL159"/>
      <c r="TVM159"/>
      <c r="TVN159"/>
      <c r="TVO159"/>
      <c r="TVP159"/>
      <c r="TVQ159"/>
      <c r="TVR159"/>
      <c r="TVS159"/>
      <c r="TVT159"/>
      <c r="TVU159"/>
      <c r="TVV159"/>
      <c r="TVW159"/>
      <c r="TVX159"/>
      <c r="TVY159"/>
      <c r="TVZ159"/>
      <c r="TWA159"/>
      <c r="TWB159"/>
      <c r="TWC159"/>
      <c r="TWD159"/>
      <c r="TWE159"/>
      <c r="TWF159"/>
      <c r="TWG159"/>
      <c r="TWH159"/>
      <c r="TWI159"/>
      <c r="TWJ159"/>
      <c r="TWK159"/>
      <c r="TWL159"/>
      <c r="TWM159"/>
      <c r="TWN159"/>
      <c r="TWO159"/>
      <c r="TWP159"/>
      <c r="TWQ159"/>
      <c r="TWR159"/>
      <c r="TWS159"/>
      <c r="TWT159"/>
      <c r="TWU159"/>
      <c r="TWV159"/>
      <c r="TWW159"/>
      <c r="TWX159"/>
      <c r="TWY159"/>
      <c r="TWZ159"/>
      <c r="TXA159"/>
      <c r="TXB159"/>
      <c r="TXC159"/>
      <c r="TXD159"/>
      <c r="TXE159"/>
      <c r="TXF159"/>
      <c r="TXG159"/>
      <c r="TXH159"/>
      <c r="TXI159"/>
      <c r="TXJ159"/>
      <c r="TXK159"/>
      <c r="TXL159"/>
      <c r="TXM159"/>
      <c r="TXN159"/>
      <c r="TXO159"/>
      <c r="TXP159"/>
      <c r="TXQ159"/>
      <c r="TXR159"/>
      <c r="TXS159"/>
      <c r="TXT159"/>
      <c r="TXU159"/>
      <c r="TXV159"/>
      <c r="TXW159"/>
      <c r="TXX159"/>
      <c r="TXY159"/>
      <c r="TXZ159"/>
      <c r="TYA159"/>
      <c r="TYB159"/>
      <c r="TYC159"/>
      <c r="TYD159"/>
      <c r="TYE159"/>
      <c r="TYF159"/>
      <c r="TYG159"/>
      <c r="TYH159"/>
      <c r="TYI159"/>
      <c r="TYJ159"/>
      <c r="TYK159"/>
      <c r="TYL159"/>
      <c r="TYM159"/>
      <c r="TYN159"/>
      <c r="TYO159"/>
      <c r="TYP159"/>
      <c r="TYQ159"/>
      <c r="TYR159"/>
      <c r="TYS159"/>
      <c r="TYT159"/>
      <c r="TYU159"/>
      <c r="TYV159"/>
      <c r="TYW159"/>
      <c r="TYX159"/>
      <c r="TYY159"/>
      <c r="TYZ159"/>
      <c r="TZA159"/>
      <c r="TZB159"/>
      <c r="TZC159"/>
      <c r="TZD159"/>
      <c r="TZE159"/>
      <c r="TZF159"/>
      <c r="TZG159"/>
      <c r="TZH159"/>
      <c r="TZI159"/>
      <c r="TZJ159"/>
      <c r="TZK159"/>
      <c r="TZL159"/>
      <c r="TZM159"/>
      <c r="TZN159"/>
      <c r="TZO159"/>
      <c r="TZP159"/>
      <c r="TZQ159"/>
      <c r="TZR159"/>
      <c r="TZS159"/>
      <c r="TZT159"/>
      <c r="TZU159"/>
      <c r="TZV159"/>
      <c r="TZW159"/>
      <c r="TZX159"/>
      <c r="TZY159"/>
      <c r="TZZ159"/>
      <c r="UAA159"/>
      <c r="UAB159"/>
      <c r="UAC159"/>
      <c r="UAD159"/>
      <c r="UAE159"/>
      <c r="UAF159"/>
      <c r="UAG159"/>
      <c r="UAH159"/>
      <c r="UAI159"/>
      <c r="UAJ159"/>
      <c r="UAK159"/>
      <c r="UAL159"/>
      <c r="UAM159"/>
      <c r="UAN159"/>
      <c r="UAO159"/>
      <c r="UAP159"/>
      <c r="UAQ159"/>
      <c r="UAR159"/>
      <c r="UAS159"/>
      <c r="UAT159"/>
      <c r="UAU159"/>
      <c r="UAV159"/>
      <c r="UAW159"/>
      <c r="UAX159"/>
      <c r="UAY159"/>
      <c r="UAZ159"/>
      <c r="UBA159"/>
      <c r="UBB159"/>
      <c r="UBC159"/>
      <c r="UBD159"/>
      <c r="UBE159"/>
      <c r="UBF159"/>
      <c r="UBG159"/>
      <c r="UBH159"/>
      <c r="UBI159"/>
      <c r="UBJ159"/>
      <c r="UBK159"/>
      <c r="UBL159"/>
      <c r="UBM159"/>
      <c r="UBN159"/>
      <c r="UBO159"/>
      <c r="UBP159"/>
      <c r="UBQ159"/>
      <c r="UBR159"/>
      <c r="UBS159"/>
      <c r="UBT159"/>
      <c r="UBU159"/>
      <c r="UBV159"/>
      <c r="UBW159"/>
      <c r="UBX159"/>
      <c r="UBY159"/>
      <c r="UBZ159"/>
      <c r="UCA159"/>
      <c r="UCB159"/>
      <c r="UCC159"/>
      <c r="UCD159"/>
      <c r="UCE159"/>
      <c r="UCF159"/>
      <c r="UCG159"/>
      <c r="UCH159"/>
      <c r="UCI159"/>
      <c r="UCJ159"/>
      <c r="UCK159"/>
      <c r="UCL159"/>
      <c r="UCM159"/>
      <c r="UCN159"/>
      <c r="UCO159"/>
      <c r="UCP159"/>
      <c r="UCQ159"/>
      <c r="UCR159"/>
      <c r="UCS159"/>
      <c r="UCT159"/>
      <c r="UCU159"/>
      <c r="UCV159"/>
      <c r="UCW159"/>
      <c r="UCX159"/>
      <c r="UCY159"/>
      <c r="UCZ159"/>
      <c r="UDA159"/>
      <c r="UDB159"/>
      <c r="UDC159"/>
      <c r="UDD159"/>
      <c r="UDE159"/>
      <c r="UDF159"/>
      <c r="UDG159"/>
      <c r="UDH159"/>
      <c r="UDI159"/>
      <c r="UDJ159"/>
      <c r="UDK159"/>
      <c r="UDL159"/>
      <c r="UDM159"/>
      <c r="UDN159"/>
      <c r="UDO159"/>
      <c r="UDP159"/>
      <c r="UDQ159"/>
      <c r="UDR159"/>
      <c r="UDS159"/>
      <c r="UDT159"/>
      <c r="UDU159"/>
      <c r="UDV159"/>
      <c r="UDW159"/>
      <c r="UDX159"/>
      <c r="UDY159"/>
      <c r="UDZ159"/>
      <c r="UEA159"/>
      <c r="UEB159"/>
      <c r="UEC159"/>
      <c r="UED159"/>
      <c r="UEE159"/>
      <c r="UEF159"/>
      <c r="UEG159"/>
      <c r="UEH159"/>
      <c r="UEI159"/>
      <c r="UEJ159"/>
      <c r="UEK159"/>
      <c r="UEL159"/>
      <c r="UEM159"/>
      <c r="UEN159"/>
      <c r="UEO159"/>
      <c r="UEP159"/>
      <c r="UEQ159"/>
      <c r="UER159"/>
      <c r="UES159"/>
      <c r="UET159"/>
      <c r="UEU159"/>
      <c r="UEV159"/>
      <c r="UEW159"/>
      <c r="UEX159"/>
      <c r="UEY159"/>
      <c r="UEZ159"/>
      <c r="UFA159"/>
      <c r="UFB159"/>
      <c r="UFC159"/>
      <c r="UFD159"/>
      <c r="UFE159"/>
      <c r="UFF159"/>
      <c r="UFG159"/>
      <c r="UFH159"/>
      <c r="UFI159"/>
      <c r="UFJ159"/>
      <c r="UFK159"/>
      <c r="UFL159"/>
      <c r="UFM159"/>
      <c r="UFN159"/>
      <c r="UFO159"/>
      <c r="UFP159"/>
      <c r="UFQ159"/>
      <c r="UFR159"/>
      <c r="UFS159"/>
      <c r="UFT159"/>
      <c r="UFU159"/>
      <c r="UFV159"/>
      <c r="UFW159"/>
      <c r="UFX159"/>
      <c r="UFY159"/>
      <c r="UFZ159"/>
      <c r="UGA159"/>
      <c r="UGB159"/>
      <c r="UGC159"/>
      <c r="UGD159"/>
      <c r="UGE159"/>
      <c r="UGF159"/>
      <c r="UGG159"/>
      <c r="UGH159"/>
      <c r="UGI159"/>
      <c r="UGJ159"/>
      <c r="UGK159"/>
      <c r="UGL159"/>
      <c r="UGM159"/>
      <c r="UGN159"/>
      <c r="UGO159"/>
      <c r="UGP159"/>
      <c r="UGQ159"/>
      <c r="UGR159"/>
      <c r="UGS159"/>
      <c r="UGT159"/>
      <c r="UGU159"/>
      <c r="UGV159"/>
      <c r="UGW159"/>
      <c r="UGX159"/>
      <c r="UGY159"/>
      <c r="UGZ159"/>
      <c r="UHA159"/>
      <c r="UHB159"/>
      <c r="UHC159"/>
      <c r="UHD159"/>
      <c r="UHE159"/>
      <c r="UHF159"/>
      <c r="UHG159"/>
      <c r="UHH159"/>
      <c r="UHI159"/>
      <c r="UHJ159"/>
      <c r="UHK159"/>
      <c r="UHL159"/>
      <c r="UHM159"/>
      <c r="UHN159"/>
      <c r="UHO159"/>
      <c r="UHP159"/>
      <c r="UHQ159"/>
      <c r="UHR159"/>
      <c r="UHS159"/>
      <c r="UHT159"/>
      <c r="UHU159"/>
      <c r="UHV159"/>
      <c r="UHW159"/>
      <c r="UHX159"/>
      <c r="UHY159"/>
      <c r="UHZ159"/>
      <c r="UIA159"/>
      <c r="UIB159"/>
      <c r="UIC159"/>
      <c r="UID159"/>
      <c r="UIE159"/>
      <c r="UIF159"/>
      <c r="UIG159"/>
      <c r="UIH159"/>
      <c r="UII159"/>
      <c r="UIJ159"/>
      <c r="UIK159"/>
      <c r="UIL159"/>
      <c r="UIM159"/>
      <c r="UIN159"/>
      <c r="UIO159"/>
      <c r="UIP159"/>
      <c r="UIQ159"/>
      <c r="UIR159"/>
      <c r="UIS159"/>
      <c r="UIT159"/>
      <c r="UIU159"/>
      <c r="UIV159"/>
      <c r="UIW159"/>
      <c r="UIX159"/>
      <c r="UIY159"/>
      <c r="UIZ159"/>
      <c r="UJA159"/>
      <c r="UJB159"/>
      <c r="UJC159"/>
      <c r="UJD159"/>
      <c r="UJE159"/>
      <c r="UJF159"/>
      <c r="UJG159"/>
      <c r="UJH159"/>
      <c r="UJI159"/>
      <c r="UJJ159"/>
      <c r="UJK159"/>
      <c r="UJL159"/>
      <c r="UJM159"/>
      <c r="UJN159"/>
      <c r="UJO159"/>
      <c r="UJP159"/>
      <c r="UJQ159"/>
      <c r="UJR159"/>
      <c r="UJS159"/>
      <c r="UJT159"/>
      <c r="UJU159"/>
      <c r="UJV159"/>
      <c r="UJW159"/>
      <c r="UJX159"/>
      <c r="UJY159"/>
      <c r="UJZ159"/>
      <c r="UKA159"/>
      <c r="UKB159"/>
      <c r="UKC159"/>
      <c r="UKD159"/>
      <c r="UKE159"/>
      <c r="UKF159"/>
      <c r="UKG159"/>
      <c r="UKH159"/>
      <c r="UKI159"/>
      <c r="UKJ159"/>
      <c r="UKK159"/>
      <c r="UKL159"/>
      <c r="UKM159"/>
      <c r="UKN159"/>
      <c r="UKO159"/>
      <c r="UKP159"/>
      <c r="UKQ159"/>
      <c r="UKR159"/>
      <c r="UKS159"/>
      <c r="UKT159"/>
      <c r="UKU159"/>
      <c r="UKV159"/>
      <c r="UKW159"/>
      <c r="UKX159"/>
      <c r="UKY159"/>
      <c r="UKZ159"/>
      <c r="ULA159"/>
      <c r="ULB159"/>
      <c r="ULC159"/>
      <c r="ULD159"/>
      <c r="ULE159"/>
      <c r="ULF159"/>
      <c r="ULG159"/>
      <c r="ULH159"/>
      <c r="ULI159"/>
      <c r="ULJ159"/>
      <c r="ULK159"/>
      <c r="ULL159"/>
      <c r="ULM159"/>
      <c r="ULN159"/>
      <c r="ULO159"/>
      <c r="ULP159"/>
      <c r="ULQ159"/>
      <c r="ULR159"/>
      <c r="ULS159"/>
      <c r="ULT159"/>
      <c r="ULU159"/>
      <c r="ULV159"/>
      <c r="ULW159"/>
      <c r="ULX159"/>
      <c r="ULY159"/>
      <c r="ULZ159"/>
      <c r="UMA159"/>
      <c r="UMB159"/>
      <c r="UMC159"/>
      <c r="UMD159"/>
      <c r="UME159"/>
      <c r="UMF159"/>
      <c r="UMG159"/>
      <c r="UMH159"/>
      <c r="UMI159"/>
      <c r="UMJ159"/>
      <c r="UMK159"/>
      <c r="UML159"/>
      <c r="UMM159"/>
      <c r="UMN159"/>
      <c r="UMO159"/>
      <c r="UMP159"/>
      <c r="UMQ159"/>
      <c r="UMR159"/>
      <c r="UMS159"/>
      <c r="UMT159"/>
      <c r="UMU159"/>
      <c r="UMV159"/>
      <c r="UMW159"/>
      <c r="UMX159"/>
      <c r="UMY159"/>
      <c r="UMZ159"/>
      <c r="UNA159"/>
      <c r="UNB159"/>
      <c r="UNC159"/>
      <c r="UND159"/>
      <c r="UNE159"/>
      <c r="UNF159"/>
      <c r="UNG159"/>
      <c r="UNH159"/>
      <c r="UNI159"/>
      <c r="UNJ159"/>
      <c r="UNK159"/>
      <c r="UNL159"/>
      <c r="UNM159"/>
      <c r="UNN159"/>
      <c r="UNO159"/>
      <c r="UNP159"/>
      <c r="UNQ159"/>
      <c r="UNR159"/>
      <c r="UNS159"/>
      <c r="UNT159"/>
      <c r="UNU159"/>
      <c r="UNV159"/>
      <c r="UNW159"/>
      <c r="UNX159"/>
      <c r="UNY159"/>
      <c r="UNZ159"/>
      <c r="UOA159"/>
      <c r="UOB159"/>
      <c r="UOC159"/>
      <c r="UOD159"/>
      <c r="UOE159"/>
      <c r="UOF159"/>
      <c r="UOG159"/>
      <c r="UOH159"/>
      <c r="UOI159"/>
      <c r="UOJ159"/>
      <c r="UOK159"/>
      <c r="UOL159"/>
      <c r="UOM159"/>
      <c r="UON159"/>
      <c r="UOO159"/>
      <c r="UOP159"/>
      <c r="UOQ159"/>
      <c r="UOR159"/>
      <c r="UOS159"/>
      <c r="UOT159"/>
      <c r="UOU159"/>
      <c r="UOV159"/>
      <c r="UOW159"/>
      <c r="UOX159"/>
      <c r="UOY159"/>
      <c r="UOZ159"/>
      <c r="UPA159"/>
      <c r="UPB159"/>
      <c r="UPC159"/>
      <c r="UPD159"/>
      <c r="UPE159"/>
      <c r="UPF159"/>
      <c r="UPG159"/>
      <c r="UPH159"/>
      <c r="UPI159"/>
      <c r="UPJ159"/>
      <c r="UPK159"/>
      <c r="UPL159"/>
      <c r="UPM159"/>
      <c r="UPN159"/>
      <c r="UPO159"/>
      <c r="UPP159"/>
      <c r="UPQ159"/>
      <c r="UPR159"/>
      <c r="UPS159"/>
      <c r="UPT159"/>
      <c r="UPU159"/>
      <c r="UPV159"/>
      <c r="UPW159"/>
      <c r="UPX159"/>
      <c r="UPY159"/>
      <c r="UPZ159"/>
      <c r="UQA159"/>
      <c r="UQB159"/>
      <c r="UQC159"/>
      <c r="UQD159"/>
      <c r="UQE159"/>
      <c r="UQF159"/>
      <c r="UQG159"/>
      <c r="UQH159"/>
      <c r="UQI159"/>
      <c r="UQJ159"/>
      <c r="UQK159"/>
      <c r="UQL159"/>
      <c r="UQM159"/>
      <c r="UQN159"/>
      <c r="UQO159"/>
      <c r="UQP159"/>
      <c r="UQQ159"/>
      <c r="UQR159"/>
      <c r="UQS159"/>
      <c r="UQT159"/>
      <c r="UQU159"/>
      <c r="UQV159"/>
      <c r="UQW159"/>
      <c r="UQX159"/>
      <c r="UQY159"/>
      <c r="UQZ159"/>
      <c r="URA159"/>
      <c r="URB159"/>
      <c r="URC159"/>
      <c r="URD159"/>
      <c r="URE159"/>
      <c r="URF159"/>
      <c r="URG159"/>
      <c r="URH159"/>
      <c r="URI159"/>
      <c r="URJ159"/>
      <c r="URK159"/>
      <c r="URL159"/>
      <c r="URM159"/>
      <c r="URN159"/>
      <c r="URO159"/>
      <c r="URP159"/>
      <c r="URQ159"/>
      <c r="URR159"/>
      <c r="URS159"/>
      <c r="URT159"/>
      <c r="URU159"/>
      <c r="URV159"/>
      <c r="URW159"/>
      <c r="URX159"/>
      <c r="URY159"/>
      <c r="URZ159"/>
      <c r="USA159"/>
      <c r="USB159"/>
      <c r="USC159"/>
      <c r="USD159"/>
      <c r="USE159"/>
      <c r="USF159"/>
      <c r="USG159"/>
      <c r="USH159"/>
      <c r="USI159"/>
      <c r="USJ159"/>
      <c r="USK159"/>
      <c r="USL159"/>
      <c r="USM159"/>
      <c r="USN159"/>
      <c r="USO159"/>
      <c r="USP159"/>
      <c r="USQ159"/>
      <c r="USR159"/>
      <c r="USS159"/>
      <c r="UST159"/>
      <c r="USU159"/>
      <c r="USV159"/>
      <c r="USW159"/>
      <c r="USX159"/>
      <c r="USY159"/>
      <c r="USZ159"/>
      <c r="UTA159"/>
      <c r="UTB159"/>
      <c r="UTC159"/>
      <c r="UTD159"/>
      <c r="UTE159"/>
      <c r="UTF159"/>
      <c r="UTG159"/>
      <c r="UTH159"/>
      <c r="UTI159"/>
      <c r="UTJ159"/>
      <c r="UTK159"/>
      <c r="UTL159"/>
      <c r="UTM159"/>
      <c r="UTN159"/>
      <c r="UTO159"/>
      <c r="UTP159"/>
      <c r="UTQ159"/>
      <c r="UTR159"/>
      <c r="UTS159"/>
      <c r="UTT159"/>
      <c r="UTU159"/>
      <c r="UTV159"/>
      <c r="UTW159"/>
      <c r="UTX159"/>
      <c r="UTY159"/>
      <c r="UTZ159"/>
      <c r="UUA159"/>
      <c r="UUB159"/>
      <c r="UUC159"/>
      <c r="UUD159"/>
      <c r="UUE159"/>
      <c r="UUF159"/>
      <c r="UUG159"/>
      <c r="UUH159"/>
      <c r="UUI159"/>
      <c r="UUJ159"/>
      <c r="UUK159"/>
      <c r="UUL159"/>
      <c r="UUM159"/>
      <c r="UUN159"/>
      <c r="UUO159"/>
      <c r="UUP159"/>
      <c r="UUQ159"/>
      <c r="UUR159"/>
      <c r="UUS159"/>
      <c r="UUT159"/>
      <c r="UUU159"/>
      <c r="UUV159"/>
      <c r="UUW159"/>
      <c r="UUX159"/>
      <c r="UUY159"/>
      <c r="UUZ159"/>
      <c r="UVA159"/>
      <c r="UVB159"/>
      <c r="UVC159"/>
      <c r="UVD159"/>
      <c r="UVE159"/>
      <c r="UVF159"/>
      <c r="UVG159"/>
      <c r="UVH159"/>
      <c r="UVI159"/>
      <c r="UVJ159"/>
      <c r="UVK159"/>
      <c r="UVL159"/>
      <c r="UVM159"/>
      <c r="UVN159"/>
      <c r="UVO159"/>
      <c r="UVP159"/>
      <c r="UVQ159"/>
      <c r="UVR159"/>
      <c r="UVS159"/>
      <c r="UVT159"/>
      <c r="UVU159"/>
      <c r="UVV159"/>
      <c r="UVW159"/>
      <c r="UVX159"/>
      <c r="UVY159"/>
      <c r="UVZ159"/>
      <c r="UWA159"/>
      <c r="UWB159"/>
      <c r="UWC159"/>
      <c r="UWD159"/>
      <c r="UWE159"/>
      <c r="UWF159"/>
      <c r="UWG159"/>
      <c r="UWH159"/>
      <c r="UWI159"/>
      <c r="UWJ159"/>
      <c r="UWK159"/>
      <c r="UWL159"/>
      <c r="UWM159"/>
      <c r="UWN159"/>
      <c r="UWO159"/>
      <c r="UWP159"/>
      <c r="UWQ159"/>
      <c r="UWR159"/>
      <c r="UWS159"/>
      <c r="UWT159"/>
      <c r="UWU159"/>
      <c r="UWV159"/>
      <c r="UWW159"/>
      <c r="UWX159"/>
      <c r="UWY159"/>
      <c r="UWZ159"/>
      <c r="UXA159"/>
      <c r="UXB159"/>
      <c r="UXC159"/>
      <c r="UXD159"/>
      <c r="UXE159"/>
      <c r="UXF159"/>
      <c r="UXG159"/>
      <c r="UXH159"/>
      <c r="UXI159"/>
      <c r="UXJ159"/>
      <c r="UXK159"/>
      <c r="UXL159"/>
      <c r="UXM159"/>
      <c r="UXN159"/>
      <c r="UXO159"/>
      <c r="UXP159"/>
      <c r="UXQ159"/>
      <c r="UXR159"/>
      <c r="UXS159"/>
      <c r="UXT159"/>
      <c r="UXU159"/>
      <c r="UXV159"/>
      <c r="UXW159"/>
      <c r="UXX159"/>
      <c r="UXY159"/>
      <c r="UXZ159"/>
      <c r="UYA159"/>
      <c r="UYB159"/>
      <c r="UYC159"/>
      <c r="UYD159"/>
      <c r="UYE159"/>
      <c r="UYF159"/>
      <c r="UYG159"/>
      <c r="UYH159"/>
      <c r="UYI159"/>
      <c r="UYJ159"/>
      <c r="UYK159"/>
      <c r="UYL159"/>
      <c r="UYM159"/>
      <c r="UYN159"/>
      <c r="UYO159"/>
      <c r="UYP159"/>
      <c r="UYQ159"/>
      <c r="UYR159"/>
      <c r="UYS159"/>
      <c r="UYT159"/>
      <c r="UYU159"/>
      <c r="UYV159"/>
      <c r="UYW159"/>
      <c r="UYX159"/>
      <c r="UYY159"/>
      <c r="UYZ159"/>
      <c r="UZA159"/>
      <c r="UZB159"/>
      <c r="UZC159"/>
      <c r="UZD159"/>
      <c r="UZE159"/>
      <c r="UZF159"/>
      <c r="UZG159"/>
      <c r="UZH159"/>
      <c r="UZI159"/>
      <c r="UZJ159"/>
      <c r="UZK159"/>
      <c r="UZL159"/>
      <c r="UZM159"/>
      <c r="UZN159"/>
      <c r="UZO159"/>
      <c r="UZP159"/>
      <c r="UZQ159"/>
      <c r="UZR159"/>
      <c r="UZS159"/>
      <c r="UZT159"/>
      <c r="UZU159"/>
      <c r="UZV159"/>
      <c r="UZW159"/>
      <c r="UZX159"/>
      <c r="UZY159"/>
      <c r="UZZ159"/>
      <c r="VAA159"/>
      <c r="VAB159"/>
      <c r="VAC159"/>
      <c r="VAD159"/>
      <c r="VAE159"/>
      <c r="VAF159"/>
      <c r="VAG159"/>
      <c r="VAH159"/>
      <c r="VAI159"/>
      <c r="VAJ159"/>
      <c r="VAK159"/>
      <c r="VAL159"/>
      <c r="VAM159"/>
      <c r="VAN159"/>
      <c r="VAO159"/>
      <c r="VAP159"/>
      <c r="VAQ159"/>
      <c r="VAR159"/>
      <c r="VAS159"/>
      <c r="VAT159"/>
      <c r="VAU159"/>
      <c r="VAV159"/>
      <c r="VAW159"/>
      <c r="VAX159"/>
      <c r="VAY159"/>
      <c r="VAZ159"/>
      <c r="VBA159"/>
      <c r="VBB159"/>
      <c r="VBC159"/>
      <c r="VBD159"/>
      <c r="VBE159"/>
      <c r="VBF159"/>
      <c r="VBG159"/>
      <c r="VBH159"/>
      <c r="VBI159"/>
      <c r="VBJ159"/>
      <c r="VBK159"/>
      <c r="VBL159"/>
      <c r="VBM159"/>
      <c r="VBN159"/>
      <c r="VBO159"/>
      <c r="VBP159"/>
      <c r="VBQ159"/>
      <c r="VBR159"/>
      <c r="VBS159"/>
      <c r="VBT159"/>
      <c r="VBU159"/>
      <c r="VBV159"/>
      <c r="VBW159"/>
      <c r="VBX159"/>
      <c r="VBY159"/>
      <c r="VBZ159"/>
      <c r="VCA159"/>
      <c r="VCB159"/>
      <c r="VCC159"/>
      <c r="VCD159"/>
      <c r="VCE159"/>
      <c r="VCF159"/>
      <c r="VCG159"/>
      <c r="VCH159"/>
      <c r="VCI159"/>
      <c r="VCJ159"/>
      <c r="VCK159"/>
      <c r="VCL159"/>
      <c r="VCM159"/>
      <c r="VCN159"/>
      <c r="VCO159"/>
      <c r="VCP159"/>
      <c r="VCQ159"/>
      <c r="VCR159"/>
      <c r="VCS159"/>
      <c r="VCT159"/>
      <c r="VCU159"/>
      <c r="VCV159"/>
      <c r="VCW159"/>
      <c r="VCX159"/>
      <c r="VCY159"/>
      <c r="VCZ159"/>
      <c r="VDA159"/>
      <c r="VDB159"/>
      <c r="VDC159"/>
      <c r="VDD159"/>
      <c r="VDE159"/>
      <c r="VDF159"/>
      <c r="VDG159"/>
      <c r="VDH159"/>
      <c r="VDI159"/>
      <c r="VDJ159"/>
      <c r="VDK159"/>
      <c r="VDL159"/>
      <c r="VDM159"/>
      <c r="VDN159"/>
      <c r="VDO159"/>
      <c r="VDP159"/>
      <c r="VDQ159"/>
      <c r="VDR159"/>
      <c r="VDS159"/>
      <c r="VDT159"/>
      <c r="VDU159"/>
      <c r="VDV159"/>
      <c r="VDW159"/>
      <c r="VDX159"/>
      <c r="VDY159"/>
      <c r="VDZ159"/>
      <c r="VEA159"/>
      <c r="VEB159"/>
      <c r="VEC159"/>
      <c r="VED159"/>
      <c r="VEE159"/>
      <c r="VEF159"/>
      <c r="VEG159"/>
      <c r="VEH159"/>
      <c r="VEI159"/>
      <c r="VEJ159"/>
      <c r="VEK159"/>
      <c r="VEL159"/>
      <c r="VEM159"/>
      <c r="VEN159"/>
      <c r="VEO159"/>
      <c r="VEP159"/>
      <c r="VEQ159"/>
      <c r="VER159"/>
      <c r="VES159"/>
      <c r="VET159"/>
      <c r="VEU159"/>
      <c r="VEV159"/>
      <c r="VEW159"/>
      <c r="VEX159"/>
      <c r="VEY159"/>
      <c r="VEZ159"/>
      <c r="VFA159"/>
      <c r="VFB159"/>
      <c r="VFC159"/>
      <c r="VFD159"/>
      <c r="VFE159"/>
      <c r="VFF159"/>
      <c r="VFG159"/>
      <c r="VFH159"/>
      <c r="VFI159"/>
      <c r="VFJ159"/>
      <c r="VFK159"/>
      <c r="VFL159"/>
      <c r="VFM159"/>
      <c r="VFN159"/>
      <c r="VFO159"/>
      <c r="VFP159"/>
      <c r="VFQ159"/>
      <c r="VFR159"/>
      <c r="VFS159"/>
      <c r="VFT159"/>
      <c r="VFU159"/>
      <c r="VFV159"/>
      <c r="VFW159"/>
      <c r="VFX159"/>
      <c r="VFY159"/>
      <c r="VFZ159"/>
      <c r="VGA159"/>
      <c r="VGB159"/>
      <c r="VGC159"/>
      <c r="VGD159"/>
      <c r="VGE159"/>
      <c r="VGF159"/>
      <c r="VGG159"/>
      <c r="VGH159"/>
      <c r="VGI159"/>
      <c r="VGJ159"/>
      <c r="VGK159"/>
      <c r="VGL159"/>
      <c r="VGM159"/>
      <c r="VGN159"/>
      <c r="VGO159"/>
      <c r="VGP159"/>
      <c r="VGQ159"/>
      <c r="VGR159"/>
      <c r="VGS159"/>
      <c r="VGT159"/>
      <c r="VGU159"/>
      <c r="VGV159"/>
      <c r="VGW159"/>
      <c r="VGX159"/>
      <c r="VGY159"/>
      <c r="VGZ159"/>
      <c r="VHA159"/>
      <c r="VHB159"/>
      <c r="VHC159"/>
      <c r="VHD159"/>
      <c r="VHE159"/>
      <c r="VHF159"/>
      <c r="VHG159"/>
      <c r="VHH159"/>
      <c r="VHI159"/>
      <c r="VHJ159"/>
      <c r="VHK159"/>
      <c r="VHL159"/>
      <c r="VHM159"/>
      <c r="VHN159"/>
      <c r="VHO159"/>
      <c r="VHP159"/>
      <c r="VHQ159"/>
      <c r="VHR159"/>
      <c r="VHS159"/>
      <c r="VHT159"/>
      <c r="VHU159"/>
      <c r="VHV159"/>
      <c r="VHW159"/>
      <c r="VHX159"/>
      <c r="VHY159"/>
      <c r="VHZ159"/>
      <c r="VIA159"/>
      <c r="VIB159"/>
      <c r="VIC159"/>
      <c r="VID159"/>
      <c r="VIE159"/>
      <c r="VIF159"/>
      <c r="VIG159"/>
      <c r="VIH159"/>
      <c r="VII159"/>
      <c r="VIJ159"/>
      <c r="VIK159"/>
      <c r="VIL159"/>
      <c r="VIM159"/>
      <c r="VIN159"/>
      <c r="VIO159"/>
      <c r="VIP159"/>
      <c r="VIQ159"/>
      <c r="VIR159"/>
      <c r="VIS159"/>
      <c r="VIT159"/>
      <c r="VIU159"/>
      <c r="VIV159"/>
      <c r="VIW159"/>
      <c r="VIX159"/>
      <c r="VIY159"/>
      <c r="VIZ159"/>
      <c r="VJA159"/>
      <c r="VJB159"/>
      <c r="VJC159"/>
      <c r="VJD159"/>
      <c r="VJE159"/>
      <c r="VJF159"/>
      <c r="VJG159"/>
      <c r="VJH159"/>
      <c r="VJI159"/>
      <c r="VJJ159"/>
      <c r="VJK159"/>
      <c r="VJL159"/>
      <c r="VJM159"/>
      <c r="VJN159"/>
      <c r="VJO159"/>
      <c r="VJP159"/>
      <c r="VJQ159"/>
      <c r="VJR159"/>
      <c r="VJS159"/>
      <c r="VJT159"/>
      <c r="VJU159"/>
      <c r="VJV159"/>
      <c r="VJW159"/>
      <c r="VJX159"/>
      <c r="VJY159"/>
      <c r="VJZ159"/>
      <c r="VKA159"/>
      <c r="VKB159"/>
      <c r="VKC159"/>
      <c r="VKD159"/>
      <c r="VKE159"/>
      <c r="VKF159"/>
      <c r="VKG159"/>
      <c r="VKH159"/>
      <c r="VKI159"/>
      <c r="VKJ159"/>
      <c r="VKK159"/>
      <c r="VKL159"/>
      <c r="VKM159"/>
      <c r="VKN159"/>
      <c r="VKO159"/>
      <c r="VKP159"/>
      <c r="VKQ159"/>
      <c r="VKR159"/>
      <c r="VKS159"/>
      <c r="VKT159"/>
      <c r="VKU159"/>
      <c r="VKV159"/>
      <c r="VKW159"/>
      <c r="VKX159"/>
      <c r="VKY159"/>
      <c r="VKZ159"/>
      <c r="VLA159"/>
      <c r="VLB159"/>
      <c r="VLC159"/>
      <c r="VLD159"/>
      <c r="VLE159"/>
      <c r="VLF159"/>
      <c r="VLG159"/>
      <c r="VLH159"/>
      <c r="VLI159"/>
      <c r="VLJ159"/>
      <c r="VLK159"/>
      <c r="VLL159"/>
      <c r="VLM159"/>
      <c r="VLN159"/>
      <c r="VLO159"/>
      <c r="VLP159"/>
      <c r="VLQ159"/>
      <c r="VLR159"/>
      <c r="VLS159"/>
      <c r="VLT159"/>
      <c r="VLU159"/>
      <c r="VLV159"/>
      <c r="VLW159"/>
      <c r="VLX159"/>
      <c r="VLY159"/>
      <c r="VLZ159"/>
      <c r="VMA159"/>
      <c r="VMB159"/>
      <c r="VMC159"/>
      <c r="VMD159"/>
      <c r="VME159"/>
      <c r="VMF159"/>
      <c r="VMG159"/>
      <c r="VMH159"/>
      <c r="VMI159"/>
      <c r="VMJ159"/>
      <c r="VMK159"/>
      <c r="VML159"/>
      <c r="VMM159"/>
      <c r="VMN159"/>
      <c r="VMO159"/>
      <c r="VMP159"/>
      <c r="VMQ159"/>
      <c r="VMR159"/>
      <c r="VMS159"/>
      <c r="VMT159"/>
      <c r="VMU159"/>
      <c r="VMV159"/>
      <c r="VMW159"/>
      <c r="VMX159"/>
      <c r="VMY159"/>
      <c r="VMZ159"/>
      <c r="VNA159"/>
      <c r="VNB159"/>
      <c r="VNC159"/>
      <c r="VND159"/>
      <c r="VNE159"/>
      <c r="VNF159"/>
      <c r="VNG159"/>
      <c r="VNH159"/>
      <c r="VNI159"/>
      <c r="VNJ159"/>
      <c r="VNK159"/>
      <c r="VNL159"/>
      <c r="VNM159"/>
      <c r="VNN159"/>
      <c r="VNO159"/>
      <c r="VNP159"/>
      <c r="VNQ159"/>
      <c r="VNR159"/>
      <c r="VNS159"/>
      <c r="VNT159"/>
      <c r="VNU159"/>
      <c r="VNV159"/>
      <c r="VNW159"/>
      <c r="VNX159"/>
      <c r="VNY159"/>
      <c r="VNZ159"/>
      <c r="VOA159"/>
      <c r="VOB159"/>
      <c r="VOC159"/>
      <c r="VOD159"/>
      <c r="VOE159"/>
      <c r="VOF159"/>
      <c r="VOG159"/>
      <c r="VOH159"/>
      <c r="VOI159"/>
      <c r="VOJ159"/>
      <c r="VOK159"/>
      <c r="VOL159"/>
      <c r="VOM159"/>
      <c r="VON159"/>
      <c r="VOO159"/>
      <c r="VOP159"/>
      <c r="VOQ159"/>
      <c r="VOR159"/>
      <c r="VOS159"/>
      <c r="VOT159"/>
      <c r="VOU159"/>
      <c r="VOV159"/>
      <c r="VOW159"/>
      <c r="VOX159"/>
      <c r="VOY159"/>
      <c r="VOZ159"/>
      <c r="VPA159"/>
      <c r="VPB159"/>
      <c r="VPC159"/>
      <c r="VPD159"/>
      <c r="VPE159"/>
      <c r="VPF159"/>
      <c r="VPG159"/>
      <c r="VPH159"/>
      <c r="VPI159"/>
      <c r="VPJ159"/>
      <c r="VPK159"/>
      <c r="VPL159"/>
      <c r="VPM159"/>
      <c r="VPN159"/>
      <c r="VPO159"/>
      <c r="VPP159"/>
      <c r="VPQ159"/>
      <c r="VPR159"/>
      <c r="VPS159"/>
      <c r="VPT159"/>
      <c r="VPU159"/>
      <c r="VPV159"/>
      <c r="VPW159"/>
      <c r="VPX159"/>
      <c r="VPY159"/>
      <c r="VPZ159"/>
      <c r="VQA159"/>
      <c r="VQB159"/>
      <c r="VQC159"/>
      <c r="VQD159"/>
      <c r="VQE159"/>
      <c r="VQF159"/>
      <c r="VQG159"/>
      <c r="VQH159"/>
      <c r="VQI159"/>
      <c r="VQJ159"/>
      <c r="VQK159"/>
      <c r="VQL159"/>
      <c r="VQM159"/>
      <c r="VQN159"/>
      <c r="VQO159"/>
      <c r="VQP159"/>
      <c r="VQQ159"/>
      <c r="VQR159"/>
      <c r="VQS159"/>
      <c r="VQT159"/>
      <c r="VQU159"/>
      <c r="VQV159"/>
      <c r="VQW159"/>
      <c r="VQX159"/>
      <c r="VQY159"/>
      <c r="VQZ159"/>
      <c r="VRA159"/>
      <c r="VRB159"/>
      <c r="VRC159"/>
      <c r="VRD159"/>
      <c r="VRE159"/>
      <c r="VRF159"/>
      <c r="VRG159"/>
      <c r="VRH159"/>
      <c r="VRI159"/>
      <c r="VRJ159"/>
      <c r="VRK159"/>
      <c r="VRL159"/>
      <c r="VRM159"/>
      <c r="VRN159"/>
      <c r="VRO159"/>
      <c r="VRP159"/>
      <c r="VRQ159"/>
      <c r="VRR159"/>
      <c r="VRS159"/>
      <c r="VRT159"/>
      <c r="VRU159"/>
      <c r="VRV159"/>
      <c r="VRW159"/>
      <c r="VRX159"/>
      <c r="VRY159"/>
      <c r="VRZ159"/>
      <c r="VSA159"/>
      <c r="VSB159"/>
      <c r="VSC159"/>
      <c r="VSD159"/>
      <c r="VSE159"/>
      <c r="VSF159"/>
      <c r="VSG159"/>
      <c r="VSH159"/>
      <c r="VSI159"/>
      <c r="VSJ159"/>
      <c r="VSK159"/>
      <c r="VSL159"/>
      <c r="VSM159"/>
      <c r="VSN159"/>
      <c r="VSO159"/>
      <c r="VSP159"/>
      <c r="VSQ159"/>
      <c r="VSR159"/>
      <c r="VSS159"/>
      <c r="VST159"/>
      <c r="VSU159"/>
      <c r="VSV159"/>
      <c r="VSW159"/>
      <c r="VSX159"/>
      <c r="VSY159"/>
      <c r="VSZ159"/>
      <c r="VTA159"/>
      <c r="VTB159"/>
      <c r="VTC159"/>
      <c r="VTD159"/>
      <c r="VTE159"/>
      <c r="VTF159"/>
      <c r="VTG159"/>
      <c r="VTH159"/>
      <c r="VTI159"/>
      <c r="VTJ159"/>
      <c r="VTK159"/>
      <c r="VTL159"/>
      <c r="VTM159"/>
      <c r="VTN159"/>
      <c r="VTO159"/>
      <c r="VTP159"/>
      <c r="VTQ159"/>
      <c r="VTR159"/>
      <c r="VTS159"/>
      <c r="VTT159"/>
      <c r="VTU159"/>
      <c r="VTV159"/>
      <c r="VTW159"/>
      <c r="VTX159"/>
      <c r="VTY159"/>
      <c r="VTZ159"/>
      <c r="VUA159"/>
      <c r="VUB159"/>
      <c r="VUC159"/>
      <c r="VUD159"/>
      <c r="VUE159"/>
      <c r="VUF159"/>
      <c r="VUG159"/>
      <c r="VUH159"/>
      <c r="VUI159"/>
      <c r="VUJ159"/>
      <c r="VUK159"/>
      <c r="VUL159"/>
      <c r="VUM159"/>
      <c r="VUN159"/>
      <c r="VUO159"/>
      <c r="VUP159"/>
      <c r="VUQ159"/>
      <c r="VUR159"/>
      <c r="VUS159"/>
      <c r="VUT159"/>
      <c r="VUU159"/>
      <c r="VUV159"/>
      <c r="VUW159"/>
      <c r="VUX159"/>
      <c r="VUY159"/>
      <c r="VUZ159"/>
      <c r="VVA159"/>
      <c r="VVB159"/>
      <c r="VVC159"/>
      <c r="VVD159"/>
      <c r="VVE159"/>
      <c r="VVF159"/>
      <c r="VVG159"/>
      <c r="VVH159"/>
      <c r="VVI159"/>
      <c r="VVJ159"/>
      <c r="VVK159"/>
      <c r="VVL159"/>
      <c r="VVM159"/>
      <c r="VVN159"/>
      <c r="VVO159"/>
      <c r="VVP159"/>
      <c r="VVQ159"/>
      <c r="VVR159"/>
      <c r="VVS159"/>
      <c r="VVT159"/>
      <c r="VVU159"/>
      <c r="VVV159"/>
      <c r="VVW159"/>
      <c r="VVX159"/>
      <c r="VVY159"/>
      <c r="VVZ159"/>
      <c r="VWA159"/>
      <c r="VWB159"/>
      <c r="VWC159"/>
      <c r="VWD159"/>
      <c r="VWE159"/>
      <c r="VWF159"/>
      <c r="VWG159"/>
      <c r="VWH159"/>
      <c r="VWI159"/>
      <c r="VWJ159"/>
      <c r="VWK159"/>
      <c r="VWL159"/>
      <c r="VWM159"/>
      <c r="VWN159"/>
      <c r="VWO159"/>
      <c r="VWP159"/>
      <c r="VWQ159"/>
      <c r="VWR159"/>
      <c r="VWS159"/>
      <c r="VWT159"/>
      <c r="VWU159"/>
      <c r="VWV159"/>
      <c r="VWW159"/>
      <c r="VWX159"/>
      <c r="VWY159"/>
      <c r="VWZ159"/>
      <c r="VXA159"/>
      <c r="VXB159"/>
      <c r="VXC159"/>
      <c r="VXD159"/>
      <c r="VXE159"/>
      <c r="VXF159"/>
      <c r="VXG159"/>
      <c r="VXH159"/>
      <c r="VXI159"/>
      <c r="VXJ159"/>
      <c r="VXK159"/>
      <c r="VXL159"/>
      <c r="VXM159"/>
      <c r="VXN159"/>
      <c r="VXO159"/>
      <c r="VXP159"/>
      <c r="VXQ159"/>
      <c r="VXR159"/>
      <c r="VXS159"/>
      <c r="VXT159"/>
      <c r="VXU159"/>
      <c r="VXV159"/>
      <c r="VXW159"/>
      <c r="VXX159"/>
      <c r="VXY159"/>
      <c r="VXZ159"/>
      <c r="VYA159"/>
      <c r="VYB159"/>
      <c r="VYC159"/>
      <c r="VYD159"/>
      <c r="VYE159"/>
      <c r="VYF159"/>
      <c r="VYG159"/>
      <c r="VYH159"/>
      <c r="VYI159"/>
      <c r="VYJ159"/>
      <c r="VYK159"/>
      <c r="VYL159"/>
      <c r="VYM159"/>
      <c r="VYN159"/>
      <c r="VYO159"/>
      <c r="VYP159"/>
      <c r="VYQ159"/>
      <c r="VYR159"/>
      <c r="VYS159"/>
      <c r="VYT159"/>
      <c r="VYU159"/>
      <c r="VYV159"/>
      <c r="VYW159"/>
      <c r="VYX159"/>
      <c r="VYY159"/>
      <c r="VYZ159"/>
      <c r="VZA159"/>
      <c r="VZB159"/>
      <c r="VZC159"/>
      <c r="VZD159"/>
      <c r="VZE159"/>
      <c r="VZF159"/>
      <c r="VZG159"/>
      <c r="VZH159"/>
      <c r="VZI159"/>
      <c r="VZJ159"/>
      <c r="VZK159"/>
      <c r="VZL159"/>
      <c r="VZM159"/>
      <c r="VZN159"/>
      <c r="VZO159"/>
      <c r="VZP159"/>
      <c r="VZQ159"/>
      <c r="VZR159"/>
      <c r="VZS159"/>
      <c r="VZT159"/>
      <c r="VZU159"/>
      <c r="VZV159"/>
      <c r="VZW159"/>
      <c r="VZX159"/>
      <c r="VZY159"/>
      <c r="VZZ159"/>
      <c r="WAA159"/>
      <c r="WAB159"/>
      <c r="WAC159"/>
      <c r="WAD159"/>
      <c r="WAE159"/>
      <c r="WAF159"/>
      <c r="WAG159"/>
      <c r="WAH159"/>
      <c r="WAI159"/>
      <c r="WAJ159"/>
      <c r="WAK159"/>
      <c r="WAL159"/>
      <c r="WAM159"/>
      <c r="WAN159"/>
      <c r="WAO159"/>
      <c r="WAP159"/>
      <c r="WAQ159"/>
      <c r="WAR159"/>
      <c r="WAS159"/>
      <c r="WAT159"/>
      <c r="WAU159"/>
      <c r="WAV159"/>
      <c r="WAW159"/>
      <c r="WAX159"/>
      <c r="WAY159"/>
      <c r="WAZ159"/>
      <c r="WBA159"/>
      <c r="WBB159"/>
      <c r="WBC159"/>
      <c r="WBD159"/>
      <c r="WBE159"/>
      <c r="WBF159"/>
      <c r="WBG159"/>
      <c r="WBH159"/>
      <c r="WBI159"/>
      <c r="WBJ159"/>
      <c r="WBK159"/>
      <c r="WBL159"/>
      <c r="WBM159"/>
      <c r="WBN159"/>
      <c r="WBO159"/>
      <c r="WBP159"/>
      <c r="WBQ159"/>
      <c r="WBR159"/>
      <c r="WBS159"/>
      <c r="WBT159"/>
      <c r="WBU159"/>
      <c r="WBV159"/>
      <c r="WBW159"/>
      <c r="WBX159"/>
      <c r="WBY159"/>
      <c r="WBZ159"/>
      <c r="WCA159"/>
      <c r="WCB159"/>
      <c r="WCC159"/>
      <c r="WCD159"/>
      <c r="WCE159"/>
      <c r="WCF159"/>
      <c r="WCG159"/>
      <c r="WCH159"/>
      <c r="WCI159"/>
      <c r="WCJ159"/>
      <c r="WCK159"/>
      <c r="WCL159"/>
      <c r="WCM159"/>
      <c r="WCN159"/>
      <c r="WCO159"/>
      <c r="WCP159"/>
      <c r="WCQ159"/>
      <c r="WCR159"/>
      <c r="WCS159"/>
      <c r="WCT159"/>
      <c r="WCU159"/>
      <c r="WCV159"/>
      <c r="WCW159"/>
      <c r="WCX159"/>
      <c r="WCY159"/>
      <c r="WCZ159"/>
      <c r="WDA159"/>
      <c r="WDB159"/>
      <c r="WDC159"/>
      <c r="WDD159"/>
      <c r="WDE159"/>
      <c r="WDF159"/>
      <c r="WDG159"/>
      <c r="WDH159"/>
      <c r="WDI159"/>
      <c r="WDJ159"/>
      <c r="WDK159"/>
      <c r="WDL159"/>
      <c r="WDM159"/>
      <c r="WDN159"/>
      <c r="WDO159"/>
      <c r="WDP159"/>
      <c r="WDQ159"/>
      <c r="WDR159"/>
      <c r="WDS159"/>
      <c r="WDT159"/>
      <c r="WDU159"/>
      <c r="WDV159"/>
      <c r="WDW159"/>
      <c r="WDX159"/>
      <c r="WDY159"/>
      <c r="WDZ159"/>
      <c r="WEA159"/>
      <c r="WEB159"/>
      <c r="WEC159"/>
      <c r="WED159"/>
      <c r="WEE159"/>
      <c r="WEF159"/>
      <c r="WEG159"/>
      <c r="WEH159"/>
      <c r="WEI159"/>
      <c r="WEJ159"/>
      <c r="WEK159"/>
      <c r="WEL159"/>
      <c r="WEM159"/>
      <c r="WEN159"/>
      <c r="WEO159"/>
      <c r="WEP159"/>
      <c r="WEQ159"/>
      <c r="WER159"/>
      <c r="WES159"/>
      <c r="WET159"/>
      <c r="WEU159"/>
      <c r="WEV159"/>
      <c r="WEW159"/>
      <c r="WEX159"/>
      <c r="WEY159"/>
      <c r="WEZ159"/>
      <c r="WFA159"/>
      <c r="WFB159"/>
      <c r="WFC159"/>
      <c r="WFD159"/>
      <c r="WFE159"/>
      <c r="WFF159"/>
      <c r="WFG159"/>
      <c r="WFH159"/>
      <c r="WFI159"/>
      <c r="WFJ159"/>
      <c r="WFK159"/>
      <c r="WFL159"/>
      <c r="WFM159"/>
      <c r="WFN159"/>
      <c r="WFO159"/>
      <c r="WFP159"/>
      <c r="WFQ159"/>
      <c r="WFR159"/>
      <c r="WFS159"/>
      <c r="WFT159"/>
      <c r="WFU159"/>
      <c r="WFV159"/>
      <c r="WFW159"/>
      <c r="WFX159"/>
      <c r="WFY159"/>
      <c r="WFZ159"/>
      <c r="WGA159"/>
      <c r="WGB159"/>
      <c r="WGC159"/>
      <c r="WGD159"/>
      <c r="WGE159"/>
      <c r="WGF159"/>
      <c r="WGG159"/>
      <c r="WGH159"/>
      <c r="WGI159"/>
      <c r="WGJ159"/>
      <c r="WGK159"/>
      <c r="WGL159"/>
      <c r="WGM159"/>
      <c r="WGN159"/>
      <c r="WGO159"/>
      <c r="WGP159"/>
      <c r="WGQ159"/>
      <c r="WGR159"/>
      <c r="WGS159"/>
      <c r="WGT159"/>
      <c r="WGU159"/>
      <c r="WGV159"/>
      <c r="WGW159"/>
      <c r="WGX159"/>
      <c r="WGY159"/>
      <c r="WGZ159"/>
      <c r="WHA159"/>
      <c r="WHB159"/>
      <c r="WHC159"/>
      <c r="WHD159"/>
      <c r="WHE159"/>
      <c r="WHF159"/>
      <c r="WHG159"/>
      <c r="WHH159"/>
      <c r="WHI159"/>
      <c r="WHJ159"/>
      <c r="WHK159"/>
      <c r="WHL159"/>
      <c r="WHM159"/>
      <c r="WHN159"/>
      <c r="WHO159"/>
      <c r="WHP159"/>
      <c r="WHQ159"/>
      <c r="WHR159"/>
      <c r="WHS159"/>
      <c r="WHT159"/>
      <c r="WHU159"/>
      <c r="WHV159"/>
      <c r="WHW159"/>
      <c r="WHX159"/>
      <c r="WHY159"/>
      <c r="WHZ159"/>
      <c r="WIA159"/>
      <c r="WIB159"/>
      <c r="WIC159"/>
      <c r="WID159"/>
      <c r="WIE159"/>
      <c r="WIF159"/>
      <c r="WIG159"/>
      <c r="WIH159"/>
      <c r="WII159"/>
      <c r="WIJ159"/>
      <c r="WIK159"/>
      <c r="WIL159"/>
      <c r="WIM159"/>
      <c r="WIN159"/>
      <c r="WIO159"/>
      <c r="WIP159"/>
      <c r="WIQ159"/>
      <c r="WIR159"/>
      <c r="WIS159"/>
      <c r="WIT159"/>
      <c r="WIU159"/>
      <c r="WIV159"/>
      <c r="WIW159"/>
      <c r="WIX159"/>
      <c r="WIY159"/>
      <c r="WIZ159"/>
      <c r="WJA159"/>
      <c r="WJB159"/>
      <c r="WJC159"/>
      <c r="WJD159"/>
      <c r="WJE159"/>
      <c r="WJF159"/>
      <c r="WJG159"/>
      <c r="WJH159"/>
      <c r="WJI159"/>
      <c r="WJJ159"/>
      <c r="WJK159"/>
      <c r="WJL159"/>
      <c r="WJM159"/>
      <c r="WJN159"/>
      <c r="WJO159"/>
      <c r="WJP159"/>
      <c r="WJQ159"/>
      <c r="WJR159"/>
      <c r="WJS159"/>
      <c r="WJT159"/>
      <c r="WJU159"/>
      <c r="WJV159"/>
      <c r="WJW159"/>
      <c r="WJX159"/>
      <c r="WJY159"/>
      <c r="WJZ159"/>
      <c r="WKA159"/>
      <c r="WKB159"/>
      <c r="WKC159"/>
      <c r="WKD159"/>
      <c r="WKE159"/>
      <c r="WKF159"/>
      <c r="WKG159"/>
      <c r="WKH159"/>
      <c r="WKI159"/>
      <c r="WKJ159"/>
      <c r="WKK159"/>
      <c r="WKL159"/>
      <c r="WKM159"/>
      <c r="WKN159"/>
      <c r="WKO159"/>
      <c r="WKP159"/>
      <c r="WKQ159"/>
      <c r="WKR159"/>
      <c r="WKS159"/>
      <c r="WKT159"/>
      <c r="WKU159"/>
      <c r="WKV159"/>
      <c r="WKW159"/>
      <c r="WKX159"/>
      <c r="WKY159"/>
      <c r="WKZ159"/>
      <c r="WLA159"/>
      <c r="WLB159"/>
      <c r="WLC159"/>
      <c r="WLD159"/>
      <c r="WLE159"/>
      <c r="WLF159"/>
      <c r="WLG159"/>
      <c r="WLH159"/>
      <c r="WLI159"/>
      <c r="WLJ159"/>
      <c r="WLK159"/>
      <c r="WLL159"/>
      <c r="WLM159"/>
      <c r="WLN159"/>
      <c r="WLO159"/>
      <c r="WLP159"/>
      <c r="WLQ159"/>
      <c r="WLR159"/>
      <c r="WLS159"/>
      <c r="WLT159"/>
      <c r="WLU159"/>
      <c r="WLV159"/>
      <c r="WLW159"/>
      <c r="WLX159"/>
      <c r="WLY159"/>
      <c r="WLZ159"/>
      <c r="WMA159"/>
      <c r="WMB159"/>
      <c r="WMC159"/>
      <c r="WMD159"/>
      <c r="WME159"/>
      <c r="WMF159"/>
      <c r="WMG159"/>
      <c r="WMH159"/>
      <c r="WMI159"/>
      <c r="WMJ159"/>
      <c r="WMK159"/>
      <c r="WML159"/>
      <c r="WMM159"/>
      <c r="WMN159"/>
      <c r="WMO159"/>
      <c r="WMP159"/>
      <c r="WMQ159"/>
      <c r="WMR159"/>
      <c r="WMS159"/>
      <c r="WMT159"/>
      <c r="WMU159"/>
      <c r="WMV159"/>
      <c r="WMW159"/>
      <c r="WMX159"/>
      <c r="WMY159"/>
      <c r="WMZ159"/>
      <c r="WNA159"/>
      <c r="WNB159"/>
      <c r="WNC159"/>
      <c r="WND159"/>
      <c r="WNE159"/>
      <c r="WNF159"/>
      <c r="WNG159"/>
      <c r="WNH159"/>
      <c r="WNI159"/>
      <c r="WNJ159"/>
      <c r="WNK159"/>
      <c r="WNL159"/>
      <c r="WNM159"/>
      <c r="WNN159"/>
      <c r="WNO159"/>
      <c r="WNP159"/>
      <c r="WNQ159"/>
      <c r="WNR159"/>
      <c r="WNS159"/>
      <c r="WNT159"/>
      <c r="WNU159"/>
      <c r="WNV159"/>
      <c r="WNW159"/>
      <c r="WNX159"/>
      <c r="WNY159"/>
      <c r="WNZ159"/>
      <c r="WOA159"/>
      <c r="WOB159"/>
      <c r="WOC159"/>
      <c r="WOD159"/>
      <c r="WOE159"/>
      <c r="WOF159"/>
      <c r="WOG159"/>
      <c r="WOH159"/>
      <c r="WOI159"/>
      <c r="WOJ159"/>
      <c r="WOK159"/>
      <c r="WOL159"/>
      <c r="WOM159"/>
      <c r="WON159"/>
      <c r="WOO159"/>
      <c r="WOP159"/>
      <c r="WOQ159"/>
      <c r="WOR159"/>
      <c r="WOS159"/>
      <c r="WOT159"/>
      <c r="WOU159"/>
      <c r="WOV159"/>
      <c r="WOW159"/>
      <c r="WOX159"/>
      <c r="WOY159"/>
      <c r="WOZ159"/>
      <c r="WPA159"/>
      <c r="WPB159"/>
      <c r="WPC159"/>
      <c r="WPD159"/>
      <c r="WPE159"/>
      <c r="WPF159"/>
      <c r="WPG159"/>
      <c r="WPH159"/>
      <c r="WPI159"/>
      <c r="WPJ159"/>
      <c r="WPK159"/>
      <c r="WPL159"/>
      <c r="WPM159"/>
      <c r="WPN159"/>
      <c r="WPO159"/>
      <c r="WPP159"/>
      <c r="WPQ159"/>
      <c r="WPR159"/>
      <c r="WPS159"/>
      <c r="WPT159"/>
      <c r="WPU159"/>
      <c r="WPV159"/>
      <c r="WPW159"/>
      <c r="WPX159"/>
      <c r="WPY159"/>
      <c r="WPZ159"/>
      <c r="WQA159"/>
      <c r="WQB159"/>
      <c r="WQC159"/>
      <c r="WQD159"/>
      <c r="WQE159"/>
      <c r="WQF159"/>
      <c r="WQG159"/>
      <c r="WQH159"/>
      <c r="WQI159"/>
      <c r="WQJ159"/>
      <c r="WQK159"/>
      <c r="WQL159"/>
      <c r="WQM159"/>
      <c r="WQN159"/>
      <c r="WQO159"/>
      <c r="WQP159"/>
      <c r="WQQ159"/>
      <c r="WQR159"/>
      <c r="WQS159"/>
      <c r="WQT159"/>
      <c r="WQU159"/>
      <c r="WQV159"/>
      <c r="WQW159"/>
      <c r="WQX159"/>
      <c r="WQY159"/>
      <c r="WQZ159"/>
      <c r="WRA159"/>
      <c r="WRB159"/>
      <c r="WRC159"/>
      <c r="WRD159"/>
      <c r="WRE159"/>
      <c r="WRF159"/>
      <c r="WRG159"/>
      <c r="WRH159"/>
      <c r="WRI159"/>
      <c r="WRJ159"/>
      <c r="WRK159"/>
      <c r="WRL159"/>
      <c r="WRM159"/>
      <c r="WRN159"/>
      <c r="WRO159"/>
      <c r="WRP159"/>
      <c r="WRQ159"/>
      <c r="WRR159"/>
      <c r="WRS159"/>
      <c r="WRT159"/>
      <c r="WRU159"/>
      <c r="WRV159"/>
      <c r="WRW159"/>
      <c r="WRX159"/>
      <c r="WRY159"/>
      <c r="WRZ159"/>
      <c r="WSA159"/>
      <c r="WSB159"/>
      <c r="WSC159"/>
      <c r="WSD159"/>
      <c r="WSE159"/>
      <c r="WSF159"/>
      <c r="WSG159"/>
      <c r="WSH159"/>
      <c r="WSI159"/>
      <c r="WSJ159"/>
      <c r="WSK159"/>
      <c r="WSL159"/>
      <c r="WSM159"/>
      <c r="WSN159"/>
      <c r="WSO159"/>
      <c r="WSP159"/>
      <c r="WSQ159"/>
      <c r="WSR159"/>
      <c r="WSS159"/>
      <c r="WST159"/>
      <c r="WSU159"/>
      <c r="WSV159"/>
      <c r="WSW159"/>
      <c r="WSX159"/>
      <c r="WSY159"/>
      <c r="WSZ159"/>
      <c r="WTA159"/>
      <c r="WTB159"/>
      <c r="WTC159"/>
      <c r="WTD159"/>
      <c r="WTE159"/>
      <c r="WTF159"/>
      <c r="WTG159"/>
      <c r="WTH159"/>
      <c r="WTI159"/>
      <c r="WTJ159"/>
      <c r="WTK159"/>
      <c r="WTL159"/>
      <c r="WTM159"/>
      <c r="WTN159"/>
      <c r="WTO159"/>
      <c r="WTP159"/>
      <c r="WTQ159"/>
      <c r="WTR159"/>
      <c r="WTS159"/>
      <c r="WTT159"/>
      <c r="WTU159"/>
      <c r="WTV159"/>
      <c r="WTW159"/>
      <c r="WTX159"/>
      <c r="WTY159"/>
      <c r="WTZ159"/>
      <c r="WUA159"/>
      <c r="WUB159"/>
      <c r="WUC159"/>
      <c r="WUD159"/>
      <c r="WUE159"/>
      <c r="WUF159"/>
      <c r="WUG159"/>
      <c r="WUH159"/>
      <c r="WUI159"/>
      <c r="WUJ159"/>
      <c r="WUK159"/>
      <c r="WUL159"/>
      <c r="WUM159"/>
      <c r="WUN159"/>
      <c r="WUO159"/>
      <c r="WUP159"/>
      <c r="WUQ159"/>
      <c r="WUR159"/>
      <c r="WUS159"/>
      <c r="WUT159"/>
      <c r="WUU159"/>
      <c r="WUV159"/>
      <c r="WUW159"/>
      <c r="WUX159"/>
      <c r="WUY159"/>
      <c r="WUZ159"/>
      <c r="WVA159"/>
      <c r="WVB159"/>
      <c r="WVC159"/>
      <c r="WVD159"/>
      <c r="WVE159"/>
      <c r="WVF159"/>
      <c r="WVG159"/>
      <c r="WVH159"/>
      <c r="WVI159"/>
      <c r="WVJ159"/>
      <c r="WVK159"/>
      <c r="WVL159"/>
      <c r="WVM159"/>
      <c r="WVN159"/>
      <c r="WVO159"/>
      <c r="WVP159"/>
      <c r="WVQ159"/>
      <c r="WVR159"/>
      <c r="WVS159"/>
      <c r="WVT159"/>
      <c r="WVU159"/>
      <c r="WVV159"/>
      <c r="WVW159"/>
      <c r="WVX159"/>
      <c r="WVY159"/>
      <c r="WVZ159"/>
      <c r="WWA159"/>
      <c r="WWB159"/>
      <c r="WWC159"/>
      <c r="WWD159"/>
      <c r="WWE159"/>
      <c r="WWF159"/>
      <c r="WWG159"/>
      <c r="WWH159"/>
      <c r="WWI159"/>
      <c r="WWJ159"/>
      <c r="WWK159"/>
      <c r="WWL159"/>
      <c r="WWM159"/>
      <c r="WWN159"/>
      <c r="WWO159"/>
      <c r="WWP159"/>
      <c r="WWQ159"/>
      <c r="WWR159"/>
      <c r="WWS159"/>
      <c r="WWT159"/>
      <c r="WWU159"/>
      <c r="WWV159"/>
      <c r="WWW159"/>
      <c r="WWX159"/>
      <c r="WWY159"/>
      <c r="WWZ159"/>
      <c r="WXA159"/>
      <c r="WXB159"/>
      <c r="WXC159"/>
      <c r="WXD159"/>
      <c r="WXE159"/>
      <c r="WXF159"/>
      <c r="WXG159"/>
      <c r="WXH159"/>
      <c r="WXI159"/>
      <c r="WXJ159"/>
      <c r="WXK159"/>
      <c r="WXL159"/>
      <c r="WXM159"/>
      <c r="WXN159"/>
      <c r="WXO159"/>
      <c r="WXP159"/>
      <c r="WXQ159"/>
      <c r="WXR159"/>
      <c r="WXS159"/>
      <c r="WXT159"/>
      <c r="WXU159"/>
      <c r="WXV159"/>
      <c r="WXW159"/>
      <c r="WXX159"/>
      <c r="WXY159"/>
      <c r="WXZ159"/>
      <c r="WYA159"/>
      <c r="WYB159"/>
      <c r="WYC159"/>
      <c r="WYD159"/>
      <c r="WYE159"/>
      <c r="WYF159"/>
      <c r="WYG159"/>
      <c r="WYH159"/>
      <c r="WYI159"/>
      <c r="WYJ159"/>
      <c r="WYK159"/>
      <c r="WYL159"/>
      <c r="WYM159"/>
      <c r="WYN159"/>
      <c r="WYO159"/>
      <c r="WYP159"/>
      <c r="WYQ159"/>
      <c r="WYR159"/>
      <c r="WYS159"/>
      <c r="WYT159"/>
      <c r="WYU159"/>
      <c r="WYV159"/>
      <c r="WYW159"/>
      <c r="WYX159"/>
      <c r="WYY159"/>
      <c r="WYZ159"/>
      <c r="WZA159"/>
      <c r="WZB159"/>
      <c r="WZC159"/>
      <c r="WZD159"/>
      <c r="WZE159"/>
      <c r="WZF159"/>
      <c r="WZG159"/>
      <c r="WZH159"/>
      <c r="WZI159"/>
      <c r="WZJ159"/>
      <c r="WZK159"/>
      <c r="WZL159"/>
      <c r="WZM159"/>
      <c r="WZN159"/>
      <c r="WZO159"/>
      <c r="WZP159"/>
      <c r="WZQ159"/>
      <c r="WZR159"/>
      <c r="WZS159"/>
      <c r="WZT159"/>
      <c r="WZU159"/>
      <c r="WZV159"/>
      <c r="WZW159"/>
      <c r="WZX159"/>
      <c r="WZY159"/>
      <c r="WZZ159"/>
      <c r="XAA159"/>
      <c r="XAB159"/>
      <c r="XAC159"/>
      <c r="XAD159"/>
      <c r="XAE159"/>
      <c r="XAF159"/>
      <c r="XAG159"/>
      <c r="XAH159"/>
      <c r="XAI159"/>
      <c r="XAJ159"/>
      <c r="XAK159"/>
      <c r="XAL159"/>
      <c r="XAM159"/>
      <c r="XAN159"/>
      <c r="XAO159"/>
      <c r="XAP159"/>
      <c r="XAQ159"/>
      <c r="XAR159"/>
      <c r="XAS159"/>
      <c r="XAT159"/>
      <c r="XAU159"/>
      <c r="XAV159"/>
      <c r="XAW159"/>
      <c r="XAX159"/>
      <c r="XAY159"/>
      <c r="XAZ159"/>
      <c r="XBA159"/>
      <c r="XBB159"/>
      <c r="XBC159"/>
      <c r="XBD159"/>
      <c r="XBE159"/>
      <c r="XBF159"/>
      <c r="XBG159"/>
      <c r="XBH159"/>
      <c r="XBI159"/>
      <c r="XBJ159"/>
      <c r="XBK159"/>
      <c r="XBL159"/>
      <c r="XBM159"/>
      <c r="XBN159"/>
      <c r="XBO159"/>
      <c r="XBP159"/>
      <c r="XBQ159"/>
      <c r="XBR159"/>
      <c r="XBS159"/>
      <c r="XBT159"/>
      <c r="XBU159"/>
      <c r="XBV159"/>
      <c r="XBW159"/>
      <c r="XBX159"/>
      <c r="XBY159"/>
      <c r="XBZ159"/>
      <c r="XCA159"/>
      <c r="XCB159"/>
      <c r="XCC159"/>
      <c r="XCD159"/>
      <c r="XCE159"/>
      <c r="XCF159"/>
      <c r="XCG159"/>
      <c r="XCH159"/>
      <c r="XCI159"/>
      <c r="XCJ159"/>
      <c r="XCK159"/>
      <c r="XCL159"/>
      <c r="XCM159"/>
      <c r="XCN159"/>
      <c r="XCO159"/>
      <c r="XCP159"/>
      <c r="XCQ159"/>
      <c r="XCR159"/>
      <c r="XCS159"/>
      <c r="XCT159"/>
      <c r="XCU159"/>
      <c r="XCV159"/>
      <c r="XCW159"/>
      <c r="XCX159"/>
      <c r="XCY159"/>
      <c r="XCZ159"/>
      <c r="XDA159"/>
      <c r="XDB159"/>
      <c r="XDC159"/>
      <c r="XDD159"/>
      <c r="XDE159"/>
      <c r="XDF159"/>
      <c r="XDG159"/>
      <c r="XDH159"/>
      <c r="XDI159"/>
      <c r="XDJ159"/>
      <c r="XDK159"/>
      <c r="XDL159"/>
      <c r="XDM159"/>
      <c r="XDN159"/>
      <c r="XDO159"/>
      <c r="XDP159"/>
      <c r="XDQ159"/>
      <c r="XDR159"/>
      <c r="XDS159"/>
      <c r="XDT159"/>
      <c r="XDU159"/>
      <c r="XDV159"/>
      <c r="XDW159"/>
      <c r="XDX159"/>
      <c r="XDY159"/>
      <c r="XDZ159"/>
      <c r="XEA159"/>
      <c r="XEB159"/>
      <c r="XEC159"/>
      <c r="XED159"/>
      <c r="XEE159"/>
      <c r="XEF159"/>
      <c r="XEG159"/>
      <c r="XEH159"/>
      <c r="XEI159"/>
      <c r="XEJ159"/>
      <c r="XEK159"/>
      <c r="XEL159"/>
      <c r="XEM159"/>
      <c r="XEN159"/>
      <c r="XEO159"/>
      <c r="XEP159"/>
      <c r="XEQ159"/>
      <c r="XER159"/>
      <c r="XES159"/>
      <c r="XET159"/>
    </row>
    <row r="160" spans="1:16374" hidden="1" x14ac:dyDescent="0.3">
      <c r="M160" s="39"/>
      <c r="N160" s="39"/>
      <c r="P160"/>
      <c r="Q160"/>
      <c r="R160"/>
      <c r="S160"/>
      <c r="T160"/>
      <c r="U160"/>
    </row>
    <row r="161" spans="1:21" hidden="1" x14ac:dyDescent="0.3">
      <c r="H161" s="1"/>
      <c r="M161" s="39"/>
      <c r="N161" s="39"/>
      <c r="P161"/>
      <c r="Q161"/>
      <c r="R161"/>
      <c r="S161"/>
      <c r="T161"/>
      <c r="U161"/>
    </row>
    <row r="162" spans="1:21" hidden="1" x14ac:dyDescent="0.3">
      <c r="F162" s="118"/>
      <c r="G162" s="59" t="s">
        <v>3936</v>
      </c>
      <c r="M162" s="39"/>
      <c r="N162" s="39"/>
      <c r="P162"/>
      <c r="Q162"/>
      <c r="R162"/>
      <c r="S162"/>
      <c r="T162"/>
      <c r="U162"/>
    </row>
    <row r="163" spans="1:21" hidden="1" x14ac:dyDescent="0.3">
      <c r="M163" s="39"/>
      <c r="N163" s="39"/>
      <c r="P163"/>
      <c r="Q163"/>
      <c r="R163"/>
      <c r="S163"/>
      <c r="T163"/>
      <c r="U163"/>
    </row>
    <row r="164" spans="1:21" hidden="1" x14ac:dyDescent="0.3">
      <c r="A164" t="s">
        <v>3933</v>
      </c>
      <c r="B164" s="112" t="s">
        <v>3912</v>
      </c>
      <c r="C164" s="112" t="s">
        <v>3918</v>
      </c>
      <c r="D164" s="112" t="s">
        <v>3706</v>
      </c>
      <c r="E164" s="112" t="s">
        <v>3707</v>
      </c>
      <c r="M164" s="39"/>
      <c r="N164" s="39"/>
      <c r="P164"/>
      <c r="Q164"/>
      <c r="R164"/>
      <c r="S164"/>
      <c r="T164"/>
      <c r="U164"/>
    </row>
    <row r="165" spans="1:21" hidden="1" x14ac:dyDescent="0.3">
      <c r="B165" t="s">
        <v>3947</v>
      </c>
      <c r="C165" s="92">
        <v>1226331</v>
      </c>
      <c r="D165" s="83">
        <v>1225899</v>
      </c>
      <c r="E165" s="83">
        <v>432</v>
      </c>
      <c r="M165" s="39"/>
      <c r="N165" s="39"/>
      <c r="P165"/>
      <c r="Q165"/>
      <c r="R165"/>
      <c r="S165"/>
      <c r="T165"/>
      <c r="U165"/>
    </row>
    <row r="166" spans="1:21" hidden="1" x14ac:dyDescent="0.3">
      <c r="M166" s="39"/>
      <c r="N166" s="39"/>
      <c r="P166"/>
      <c r="Q166"/>
      <c r="R166"/>
      <c r="S166"/>
      <c r="T166"/>
      <c r="U166"/>
    </row>
    <row r="167" spans="1:21" hidden="1" x14ac:dyDescent="0.3">
      <c r="M167" s="39"/>
      <c r="N167" s="39"/>
      <c r="P167"/>
      <c r="Q167"/>
      <c r="R167"/>
      <c r="S167"/>
      <c r="T167"/>
      <c r="U167"/>
    </row>
    <row r="168" spans="1:21" hidden="1" x14ac:dyDescent="0.3">
      <c r="A168" t="s">
        <v>3933</v>
      </c>
      <c r="B168" s="112" t="s">
        <v>3912</v>
      </c>
      <c r="C168" s="112" t="s">
        <v>3920</v>
      </c>
      <c r="D168" s="112" t="s">
        <v>3706</v>
      </c>
      <c r="E168" s="112" t="s">
        <v>3707</v>
      </c>
      <c r="M168" s="39"/>
      <c r="N168" s="39"/>
      <c r="P168"/>
      <c r="Q168"/>
      <c r="R168"/>
      <c r="S168"/>
      <c r="T168"/>
      <c r="U168"/>
    </row>
    <row r="169" spans="1:21" hidden="1" x14ac:dyDescent="0.3">
      <c r="B169" t="s">
        <v>3947</v>
      </c>
      <c r="C169" s="92">
        <v>668181</v>
      </c>
      <c r="D169" s="83">
        <v>668158</v>
      </c>
      <c r="E169" s="83">
        <v>23</v>
      </c>
      <c r="M169" s="39"/>
      <c r="N169" s="39"/>
      <c r="P169"/>
      <c r="Q169"/>
      <c r="R169"/>
      <c r="S169"/>
      <c r="T169"/>
      <c r="U169"/>
    </row>
    <row r="170" spans="1:21" hidden="1" x14ac:dyDescent="0.3">
      <c r="M170" s="39"/>
      <c r="N170" s="39"/>
      <c r="P170"/>
      <c r="Q170"/>
      <c r="R170"/>
      <c r="S170"/>
      <c r="T170"/>
      <c r="U170"/>
    </row>
    <row r="171" spans="1:21" hidden="1" x14ac:dyDescent="0.3">
      <c r="M171" s="39"/>
      <c r="N171" s="39"/>
      <c r="P171"/>
      <c r="Q171"/>
      <c r="R171"/>
      <c r="S171"/>
      <c r="T171"/>
      <c r="U171"/>
    </row>
    <row r="172" spans="1:21" hidden="1" x14ac:dyDescent="0.3">
      <c r="M172" s="39"/>
      <c r="N172" s="39"/>
      <c r="P172"/>
      <c r="Q172"/>
      <c r="R172"/>
      <c r="S172"/>
      <c r="T172"/>
      <c r="U172"/>
    </row>
    <row r="173" spans="1:21" hidden="1" x14ac:dyDescent="0.3">
      <c r="A173" t="s">
        <v>3706</v>
      </c>
      <c r="B173" s="112" t="s">
        <v>3912</v>
      </c>
      <c r="C173" s="112" t="s">
        <v>3918</v>
      </c>
      <c r="D173" s="112" t="s">
        <v>3706</v>
      </c>
      <c r="E173" s="112" t="s">
        <v>3707</v>
      </c>
      <c r="M173" s="39"/>
      <c r="N173" s="39"/>
      <c r="P173"/>
      <c r="Q173"/>
      <c r="R173"/>
      <c r="S173"/>
      <c r="T173"/>
      <c r="U173"/>
    </row>
    <row r="174" spans="1:21" hidden="1" x14ac:dyDescent="0.3">
      <c r="B174" t="s">
        <v>3767</v>
      </c>
      <c r="C174" s="92">
        <v>2020862</v>
      </c>
      <c r="D174" s="83">
        <v>2020821</v>
      </c>
      <c r="E174" s="83">
        <v>41</v>
      </c>
      <c r="M174" s="39"/>
      <c r="N174" s="39"/>
      <c r="P174"/>
      <c r="Q174"/>
      <c r="R174"/>
      <c r="S174"/>
      <c r="T174"/>
      <c r="U174"/>
    </row>
    <row r="175" spans="1:21" hidden="1" x14ac:dyDescent="0.3">
      <c r="M175" s="39"/>
      <c r="N175" s="39"/>
      <c r="P175"/>
      <c r="Q175"/>
      <c r="R175"/>
      <c r="S175"/>
      <c r="T175"/>
      <c r="U175"/>
    </row>
    <row r="176" spans="1:21" hidden="1" x14ac:dyDescent="0.3">
      <c r="M176" s="39"/>
      <c r="N176" s="39"/>
      <c r="P176"/>
      <c r="Q176"/>
      <c r="R176"/>
      <c r="S176"/>
      <c r="T176"/>
      <c r="U176"/>
    </row>
    <row r="177" spans="1:21" hidden="1" x14ac:dyDescent="0.3">
      <c r="A177" t="s">
        <v>3706</v>
      </c>
      <c r="B177" s="112" t="s">
        <v>3912</v>
      </c>
      <c r="C177" s="112" t="s">
        <v>3918</v>
      </c>
      <c r="D177" s="112" t="s">
        <v>3706</v>
      </c>
      <c r="E177" s="112" t="s">
        <v>3707</v>
      </c>
      <c r="M177" s="39"/>
      <c r="N177" s="39"/>
      <c r="P177"/>
      <c r="Q177"/>
      <c r="R177"/>
      <c r="S177"/>
      <c r="T177"/>
      <c r="U177"/>
    </row>
    <row r="178" spans="1:21" hidden="1" x14ac:dyDescent="0.3">
      <c r="B178" t="s">
        <v>3744</v>
      </c>
      <c r="C178" s="92">
        <v>2020862</v>
      </c>
      <c r="D178" s="83">
        <v>2020838</v>
      </c>
      <c r="E178" s="83">
        <v>24</v>
      </c>
      <c r="M178" s="39"/>
      <c r="N178" s="39"/>
      <c r="P178"/>
      <c r="Q178"/>
      <c r="R178"/>
      <c r="S178"/>
      <c r="T178"/>
      <c r="U178"/>
    </row>
    <row r="179" spans="1:21" hidden="1" x14ac:dyDescent="0.3">
      <c r="M179" s="39"/>
      <c r="N179" s="39"/>
      <c r="P179"/>
      <c r="Q179"/>
      <c r="R179"/>
      <c r="S179"/>
      <c r="T179"/>
      <c r="U179"/>
    </row>
    <row r="180" spans="1:21" hidden="1" x14ac:dyDescent="0.3">
      <c r="M180" s="39"/>
      <c r="N180" s="39"/>
      <c r="P180"/>
      <c r="Q180"/>
      <c r="R180"/>
      <c r="S180"/>
      <c r="T180"/>
      <c r="U180"/>
    </row>
    <row r="181" spans="1:21" hidden="1" x14ac:dyDescent="0.3">
      <c r="M181" s="39"/>
      <c r="N181" s="39"/>
      <c r="P181"/>
      <c r="Q181"/>
      <c r="R181"/>
      <c r="S181"/>
      <c r="T181"/>
      <c r="U181"/>
    </row>
    <row r="182" spans="1:21" hidden="1" x14ac:dyDescent="0.3">
      <c r="B182" s="165" t="s">
        <v>3912</v>
      </c>
      <c r="C182" s="166" t="s">
        <v>3956</v>
      </c>
      <c r="D182" s="166" t="s">
        <v>3706</v>
      </c>
      <c r="E182" s="167" t="s">
        <v>3707</v>
      </c>
      <c r="M182" s="112" t="s">
        <v>3912</v>
      </c>
      <c r="N182" s="112" t="s">
        <v>3920</v>
      </c>
      <c r="O182" s="112" t="s">
        <v>3913</v>
      </c>
      <c r="P182" s="112" t="s">
        <v>3706</v>
      </c>
      <c r="Q182" s="112" t="s">
        <v>3707</v>
      </c>
      <c r="R182" s="112" t="s">
        <v>3925</v>
      </c>
      <c r="S182"/>
      <c r="T182"/>
      <c r="U182"/>
    </row>
    <row r="183" spans="1:21" hidden="1" x14ac:dyDescent="0.3">
      <c r="B183" s="168" t="s">
        <v>3724</v>
      </c>
      <c r="C183" s="169">
        <v>632383</v>
      </c>
      <c r="D183" s="170">
        <v>631570</v>
      </c>
      <c r="E183" s="171">
        <v>813</v>
      </c>
      <c r="M183" s="115" t="s">
        <v>3751</v>
      </c>
      <c r="N183" s="92">
        <v>668181</v>
      </c>
      <c r="O183" s="75">
        <v>632383</v>
      </c>
      <c r="P183" s="73">
        <v>96013</v>
      </c>
      <c r="Q183" s="73">
        <v>536370</v>
      </c>
      <c r="R183" s="75">
        <v>22</v>
      </c>
      <c r="S183"/>
      <c r="T183"/>
      <c r="U183"/>
    </row>
    <row r="184" spans="1:21" hidden="1" x14ac:dyDescent="0.3">
      <c r="M184" s="39"/>
      <c r="N184" s="39"/>
      <c r="P184"/>
      <c r="Q184"/>
      <c r="R184"/>
      <c r="S184"/>
      <c r="T184"/>
      <c r="U184"/>
    </row>
    <row r="185" spans="1:21" hidden="1" x14ac:dyDescent="0.3">
      <c r="M185" s="39"/>
      <c r="N185" s="39"/>
      <c r="P185"/>
      <c r="Q185"/>
      <c r="R185"/>
      <c r="S185"/>
      <c r="T185"/>
      <c r="U185"/>
    </row>
    <row r="186" spans="1:21" hidden="1" x14ac:dyDescent="0.3">
      <c r="M186" s="39"/>
      <c r="N186" s="39"/>
      <c r="P186"/>
      <c r="Q186"/>
      <c r="R186"/>
      <c r="S186"/>
      <c r="T186"/>
      <c r="U186"/>
    </row>
    <row r="187" spans="1:21" hidden="1" x14ac:dyDescent="0.3">
      <c r="M187" s="39"/>
      <c r="N187" s="39"/>
      <c r="P187"/>
      <c r="Q187"/>
      <c r="R187"/>
      <c r="S187"/>
      <c r="T187"/>
      <c r="U187"/>
    </row>
    <row r="188" spans="1:21" x14ac:dyDescent="0.3">
      <c r="M188" s="39"/>
      <c r="N188" s="39"/>
      <c r="P188"/>
      <c r="Q188"/>
      <c r="R188"/>
      <c r="S188"/>
      <c r="T188"/>
      <c r="U188"/>
    </row>
    <row r="189" spans="1:21" x14ac:dyDescent="0.3">
      <c r="M189" s="39"/>
      <c r="N189" s="39"/>
      <c r="P189"/>
      <c r="Q189"/>
      <c r="R189"/>
      <c r="S189"/>
      <c r="T189"/>
      <c r="U189"/>
    </row>
    <row r="190" spans="1:21" x14ac:dyDescent="0.3">
      <c r="M190" s="39"/>
      <c r="N190" s="39"/>
      <c r="P190"/>
      <c r="Q190"/>
      <c r="R190"/>
      <c r="S190"/>
      <c r="T190"/>
      <c r="U190"/>
    </row>
    <row r="191" spans="1:21" ht="14.4" customHeight="1" x14ac:dyDescent="0.3">
      <c r="M191" s="39"/>
      <c r="N191" s="39"/>
      <c r="P191"/>
      <c r="Q191"/>
      <c r="R191"/>
      <c r="S191"/>
      <c r="T191"/>
      <c r="U191"/>
    </row>
    <row r="192" spans="1:21" ht="14.4" customHeight="1" x14ac:dyDescent="0.3">
      <c r="M192" s="39"/>
      <c r="N192" s="39"/>
      <c r="P192"/>
      <c r="Q192"/>
      <c r="R192"/>
      <c r="S192"/>
      <c r="T192"/>
      <c r="U192"/>
    </row>
    <row r="193" spans="6:8" ht="14.4" customHeight="1" x14ac:dyDescent="0.3"/>
    <row r="194" spans="6:8" ht="14.4" customHeight="1" x14ac:dyDescent="0.3"/>
    <row r="204" spans="6:8" x14ac:dyDescent="0.3">
      <c r="F204" s="8"/>
      <c r="G204" s="8"/>
      <c r="H204" s="8"/>
    </row>
    <row r="317" ht="13.8" customHeight="1" x14ac:dyDescent="0.3"/>
    <row r="1048574" spans="5:7" x14ac:dyDescent="0.3">
      <c r="E1048574" s="74"/>
      <c r="F1048574" s="74"/>
      <c r="G1048574" s="74"/>
    </row>
  </sheetData>
  <autoFilter ref="B3:AH54">
    <filterColumn colId="15">
      <filters>
        <filter val="Calculado"/>
        <filter val="Corporativo"/>
        <filter val="CT207"/>
        <filter val="CT209"/>
        <filter val="CT211"/>
        <filter val="Modelo Verde"/>
      </filters>
    </filterColumn>
  </autoFilter>
  <mergeCells count="8">
    <mergeCell ref="C1:N1"/>
    <mergeCell ref="C2:D2"/>
    <mergeCell ref="E2:F2"/>
    <mergeCell ref="G2:H2"/>
    <mergeCell ref="K2:L2"/>
    <mergeCell ref="M2:N2"/>
    <mergeCell ref="I2:J2"/>
    <mergeCell ref="S2:U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G12"/>
  <sheetViews>
    <sheetView workbookViewId="0">
      <selection activeCell="D23" sqref="D23"/>
    </sheetView>
  </sheetViews>
  <sheetFormatPr defaultRowHeight="14.4" x14ac:dyDescent="0.3"/>
  <cols>
    <col min="1" max="1" width="19.44140625" customWidth="1"/>
    <col min="2" max="2" width="10.44140625" customWidth="1"/>
    <col min="3" max="3" width="10" bestFit="1" customWidth="1"/>
    <col min="5" max="5" width="17.6640625" customWidth="1"/>
    <col min="6" max="7" width="11.44140625" bestFit="1" customWidth="1"/>
  </cols>
  <sheetData>
    <row r="1" spans="1:7" ht="30" customHeight="1" x14ac:dyDescent="0.3">
      <c r="A1" s="162" t="s">
        <v>3720</v>
      </c>
      <c r="B1" s="162"/>
      <c r="C1" s="162"/>
      <c r="D1" s="12"/>
      <c r="E1" s="162" t="s">
        <v>3721</v>
      </c>
      <c r="F1" s="162"/>
      <c r="G1" s="162"/>
    </row>
    <row r="2" spans="1:7" x14ac:dyDescent="0.3">
      <c r="A2" s="12"/>
      <c r="B2" s="12"/>
      <c r="C2" s="12"/>
      <c r="D2" s="12"/>
      <c r="E2" s="12"/>
      <c r="F2" s="12"/>
      <c r="G2" s="12"/>
    </row>
    <row r="3" spans="1:7" x14ac:dyDescent="0.3">
      <c r="A3" s="46" t="s">
        <v>3812</v>
      </c>
      <c r="B3" s="12"/>
      <c r="C3" s="12"/>
      <c r="D3" s="12"/>
      <c r="E3" s="46" t="s">
        <v>3812</v>
      </c>
      <c r="F3" s="12"/>
      <c r="G3" s="12"/>
    </row>
    <row r="4" spans="1:7" x14ac:dyDescent="0.3">
      <c r="A4" s="12" t="s">
        <v>3813</v>
      </c>
      <c r="B4" s="54">
        <v>395234</v>
      </c>
      <c r="C4" s="163">
        <v>801323</v>
      </c>
      <c r="D4" s="12"/>
      <c r="E4" s="12" t="s">
        <v>3813</v>
      </c>
      <c r="F4" s="54">
        <v>13991</v>
      </c>
      <c r="G4" s="163">
        <v>1175876</v>
      </c>
    </row>
    <row r="5" spans="1:7" x14ac:dyDescent="0.3">
      <c r="A5" s="12" t="s">
        <v>3814</v>
      </c>
      <c r="B5" s="54">
        <v>11579</v>
      </c>
      <c r="C5" s="163"/>
      <c r="D5" s="12"/>
      <c r="E5" s="12" t="s">
        <v>3815</v>
      </c>
      <c r="F5" s="54">
        <v>1161885</v>
      </c>
      <c r="G5" s="163"/>
    </row>
    <row r="6" spans="1:7" x14ac:dyDescent="0.3">
      <c r="A6" s="12" t="s">
        <v>3816</v>
      </c>
      <c r="B6" s="54">
        <v>1046</v>
      </c>
      <c r="C6" s="163"/>
      <c r="D6" s="12"/>
      <c r="E6" s="12"/>
      <c r="F6" s="54"/>
      <c r="G6" s="54"/>
    </row>
    <row r="7" spans="1:7" x14ac:dyDescent="0.3">
      <c r="A7" s="12" t="s">
        <v>3815</v>
      </c>
      <c r="B7" s="54">
        <v>393464</v>
      </c>
      <c r="C7" s="163"/>
      <c r="D7" s="12"/>
      <c r="E7" s="12"/>
      <c r="F7" s="54"/>
      <c r="G7" s="54"/>
    </row>
    <row r="8" spans="1:7" x14ac:dyDescent="0.3">
      <c r="A8" s="12"/>
      <c r="B8" s="54"/>
      <c r="C8" s="54"/>
      <c r="D8" s="12"/>
      <c r="E8" s="12"/>
      <c r="F8" s="54"/>
      <c r="G8" s="54"/>
    </row>
    <row r="9" spans="1:7" x14ac:dyDescent="0.3">
      <c r="A9" s="46" t="s">
        <v>3817</v>
      </c>
      <c r="B9" s="54"/>
      <c r="C9" s="54"/>
      <c r="D9" s="12"/>
      <c r="E9" s="46" t="s">
        <v>3817</v>
      </c>
      <c r="F9" s="54"/>
      <c r="G9" s="54"/>
    </row>
    <row r="10" spans="1:7" x14ac:dyDescent="0.3">
      <c r="A10" s="12" t="s">
        <v>3813</v>
      </c>
      <c r="B10" s="54">
        <v>365304</v>
      </c>
      <c r="C10" s="163">
        <v>383485</v>
      </c>
      <c r="D10" s="12"/>
      <c r="E10" s="12" t="s">
        <v>3813</v>
      </c>
      <c r="F10" s="54">
        <v>3137</v>
      </c>
      <c r="G10" s="163">
        <v>8932</v>
      </c>
    </row>
    <row r="11" spans="1:7" x14ac:dyDescent="0.3">
      <c r="A11" s="12" t="s">
        <v>3814</v>
      </c>
      <c r="B11" s="54">
        <v>2116</v>
      </c>
      <c r="C11" s="163"/>
      <c r="D11" s="12"/>
      <c r="E11" s="12" t="s">
        <v>3815</v>
      </c>
      <c r="F11" s="54">
        <v>5795</v>
      </c>
      <c r="G11" s="163"/>
    </row>
    <row r="12" spans="1:7" x14ac:dyDescent="0.3">
      <c r="A12" s="12" t="s">
        <v>3815</v>
      </c>
      <c r="B12" s="54">
        <v>16065</v>
      </c>
      <c r="C12" s="163"/>
      <c r="D12" s="12"/>
      <c r="E12" s="12"/>
      <c r="F12" s="12"/>
      <c r="G12" s="12"/>
    </row>
  </sheetData>
  <mergeCells count="6">
    <mergeCell ref="A1:C1"/>
    <mergeCell ref="E1:G1"/>
    <mergeCell ref="C4:C7"/>
    <mergeCell ref="G4:G5"/>
    <mergeCell ref="C10:C12"/>
    <mergeCell ref="G10:G1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C31"/>
  <sheetViews>
    <sheetView showGridLines="0" topLeftCell="A4" zoomScale="85" zoomScaleNormal="85" workbookViewId="0">
      <selection activeCell="C28" sqref="C28"/>
    </sheetView>
  </sheetViews>
  <sheetFormatPr defaultColWidth="9.109375" defaultRowHeight="13.8" x14ac:dyDescent="0.25"/>
  <cols>
    <col min="1" max="1" width="4.109375" style="62" customWidth="1"/>
    <col min="2" max="4" width="9.109375" style="62"/>
    <col min="5" max="5" width="7.6640625" style="62" customWidth="1"/>
    <col min="6" max="8" width="9.109375" style="62"/>
    <col min="9" max="9" width="5.109375" style="62" customWidth="1"/>
    <col min="10" max="10" width="4.6640625" style="62" customWidth="1"/>
    <col min="11" max="17" width="9.109375" style="62"/>
    <col min="18" max="18" width="4.33203125" style="62" customWidth="1"/>
    <col min="19" max="19" width="5.109375" style="62" customWidth="1"/>
    <col min="20" max="20" width="4.6640625" style="62" customWidth="1"/>
    <col min="21" max="22" width="11.5546875" style="62" customWidth="1"/>
    <col min="23" max="24" width="11.5546875" style="62" hidden="1" customWidth="1"/>
    <col min="25" max="16384" width="9.109375" style="62"/>
  </cols>
  <sheetData>
    <row r="1" spans="1:29" s="61" customFormat="1" x14ac:dyDescent="0.25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</row>
    <row r="2" spans="1:29" s="61" customForma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</row>
    <row r="3" spans="1:29" s="61" customFormat="1" ht="14.4" thickBot="1" x14ac:dyDescent="0.3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</row>
    <row r="4" spans="1:29" s="61" customFormat="1" x14ac:dyDescent="0.25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</row>
    <row r="5" spans="1:29" s="61" customFormat="1" x14ac:dyDescent="0.25">
      <c r="B5" s="49" t="s">
        <v>3802</v>
      </c>
      <c r="L5" s="49" t="s">
        <v>3824</v>
      </c>
      <c r="V5" s="49" t="s">
        <v>3833</v>
      </c>
    </row>
    <row r="6" spans="1:29" ht="14.4" thickBot="1" x14ac:dyDescent="0.3"/>
    <row r="7" spans="1:29" ht="15.6" x14ac:dyDescent="0.3">
      <c r="W7" s="53" t="s">
        <v>3712</v>
      </c>
      <c r="X7" s="53" t="s">
        <v>3713</v>
      </c>
    </row>
    <row r="8" spans="1:29" ht="4.5" customHeight="1" x14ac:dyDescent="0.25">
      <c r="W8" s="63"/>
      <c r="X8" s="63"/>
    </row>
    <row r="9" spans="1:29" ht="15.6" x14ac:dyDescent="0.3">
      <c r="W9" s="64">
        <f>SUMIF('Por campo'!R4:R54,"&lt;&gt;Removido 22/12/2023",'Por campo'!L4:L54)/50</f>
        <v>0.16652686823741555</v>
      </c>
      <c r="X9" s="64">
        <f>SUMIF('Por campo'!R4:R54,"&lt;&gt;Removido 22/12/2023",'Por campo'!N4:N54)/50</f>
        <v>8.3424795953409973E-4</v>
      </c>
    </row>
    <row r="21" spans="2:8" ht="5.25" customHeight="1" x14ac:dyDescent="0.25"/>
    <row r="22" spans="2:8" x14ac:dyDescent="0.25">
      <c r="B22" s="65" t="s">
        <v>3803</v>
      </c>
    </row>
    <row r="23" spans="2:8" ht="6.75" customHeight="1" x14ac:dyDescent="0.25"/>
    <row r="24" spans="2:8" ht="6.75" customHeight="1" x14ac:dyDescent="0.25"/>
    <row r="25" spans="2:8" x14ac:dyDescent="0.25">
      <c r="B25" s="49" t="s">
        <v>3825</v>
      </c>
      <c r="C25" s="61"/>
    </row>
    <row r="26" spans="2:8" ht="14.4" thickBot="1" x14ac:dyDescent="0.3"/>
    <row r="27" spans="2:8" ht="15.6" x14ac:dyDescent="0.3">
      <c r="C27" s="53" t="s">
        <v>3706</v>
      </c>
      <c r="D27" s="53" t="s">
        <v>3707</v>
      </c>
      <c r="E27" s="53" t="s">
        <v>3712</v>
      </c>
      <c r="F27" s="53" t="s">
        <v>3849</v>
      </c>
      <c r="G27" s="53" t="s">
        <v>3713</v>
      </c>
    </row>
    <row r="28" spans="2:8" ht="15.6" x14ac:dyDescent="0.3">
      <c r="C28" s="86">
        <f>SUMIF('Por campo'!R4:R54,"&lt;&gt;Removido 22/12/2023",'Por campo'!D4:D54)/50</f>
        <v>0.64916076406998602</v>
      </c>
      <c r="D28" s="86">
        <f>SUMIF('Por campo'!R4:R54,"&lt;&gt;Removido 22/12/2023",'Por campo'!H4:H54)/50</f>
        <v>0.1822268715033486</v>
      </c>
      <c r="E28" s="86">
        <f>SUMIF('Por campo'!R4:R54,"&lt;&gt;Removido 22/12/2023",'Por campo'!J4:J54)/50</f>
        <v>1.2723580333540837E-3</v>
      </c>
      <c r="F28" s="86">
        <f>SUMIF('Por campo'!R4:R54,"&lt;&gt;Removido 22/12/2023",'Por campo'!L4:L54)/50</f>
        <v>0.16652686823741555</v>
      </c>
      <c r="G28" s="86">
        <f>SUMIF('Por campo'!V4:V54,"&lt;&gt;Removido 22/12/2023",'Por campo'!N4:N54)/50</f>
        <v>8.3424795953409973E-4</v>
      </c>
    </row>
    <row r="29" spans="2:8" ht="18" x14ac:dyDescent="0.35">
      <c r="C29" s="85">
        <f>C28-C30</f>
        <v>1.3160764069986008E-2</v>
      </c>
      <c r="D29" s="85">
        <f>D28-D30</f>
        <v>-2.7731284966514003E-3</v>
      </c>
      <c r="E29" s="85">
        <f>E28-E30</f>
        <v>-9.7276419666459148E-3</v>
      </c>
      <c r="F29" s="85">
        <f>F28-F30</f>
        <v>-1.4731317625844564E-3</v>
      </c>
      <c r="G29" s="85">
        <f>G28-G30</f>
        <v>-1.6575204046590029E-4</v>
      </c>
      <c r="H29" s="68" t="s">
        <v>3834</v>
      </c>
    </row>
    <row r="30" spans="2:8" x14ac:dyDescent="0.25">
      <c r="C30" s="87">
        <v>0.63600000000000001</v>
      </c>
      <c r="D30" s="87">
        <v>0.185</v>
      </c>
      <c r="E30" s="145">
        <v>1.0999999999999999E-2</v>
      </c>
      <c r="F30" s="145">
        <v>0.16800000000000001</v>
      </c>
      <c r="G30" s="145">
        <v>1E-3</v>
      </c>
    </row>
    <row r="31" spans="2:8" x14ac:dyDescent="0.25">
      <c r="C31" s="65" t="s">
        <v>3850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P52"/>
  <sheetViews>
    <sheetView showGridLines="0" topLeftCell="D13" zoomScale="70" zoomScaleNormal="70" workbookViewId="0">
      <selection activeCell="O44" sqref="O44:P44"/>
      <pivotSelection pane="bottomRight" showHeader="1" extendable="1" start="2" max="6" activeRow="43" activeCol="14" click="1" r:id="rId5">
        <pivotArea dataOnly="0" fieldPosition="0">
          <references count="1">
            <reference field="6" count="1">
              <x v="2"/>
            </reference>
          </references>
        </pivotArea>
      </pivotSelection>
    </sheetView>
  </sheetViews>
  <sheetFormatPr defaultRowHeight="14.4" x14ac:dyDescent="0.3"/>
  <cols>
    <col min="1" max="1" width="39.44140625" bestFit="1" customWidth="1"/>
    <col min="2" max="5" width="12.5546875" customWidth="1"/>
    <col min="6" max="6" width="5.44140625" bestFit="1" customWidth="1"/>
    <col min="7" max="7" width="22.88671875" bestFit="1" customWidth="1"/>
    <col min="8" max="8" width="21.5546875" bestFit="1" customWidth="1"/>
    <col min="9" max="9" width="24.44140625" bestFit="1" customWidth="1"/>
    <col min="10" max="10" width="22.88671875" bestFit="1" customWidth="1"/>
    <col min="12" max="12" width="24.44140625" customWidth="1"/>
    <col min="13" max="13" width="15.109375" customWidth="1"/>
    <col min="14" max="14" width="19.6640625" customWidth="1"/>
    <col min="15" max="15" width="22.77734375" customWidth="1"/>
    <col min="16" max="16" width="23.109375" customWidth="1"/>
    <col min="17" max="17" width="10.6640625" customWidth="1"/>
    <col min="18" max="18" width="13.88671875" customWidth="1"/>
    <col min="19" max="19" width="11.33203125" customWidth="1"/>
    <col min="20" max="20" width="10.6640625" customWidth="1"/>
    <col min="21" max="21" width="8.88671875" customWidth="1"/>
    <col min="22" max="22" width="13.88671875" customWidth="1"/>
    <col min="23" max="23" width="10.6640625" customWidth="1"/>
    <col min="24" max="24" width="6.88671875" customWidth="1"/>
    <col min="25" max="25" width="13.88671875" customWidth="1"/>
    <col min="26" max="26" width="10.6640625" customWidth="1"/>
    <col min="27" max="27" width="6.88671875" customWidth="1"/>
    <col min="28" max="28" width="13.88671875" customWidth="1"/>
    <col min="29" max="29" width="11.33203125" customWidth="1"/>
    <col min="30" max="30" width="12.33203125" customWidth="1"/>
    <col min="31" max="31" width="6.88671875" customWidth="1"/>
    <col min="32" max="32" width="13.88671875" customWidth="1"/>
    <col min="33" max="33" width="10.6640625" customWidth="1"/>
    <col min="34" max="35" width="6.88671875" customWidth="1"/>
    <col min="36" max="36" width="13.88671875" customWidth="1"/>
    <col min="37" max="38" width="11.33203125" customWidth="1"/>
    <col min="39" max="39" width="10.6640625" customWidth="1"/>
    <col min="40" max="40" width="17.33203125" customWidth="1"/>
    <col min="41" max="41" width="17.44140625" customWidth="1"/>
    <col min="42" max="42" width="13.6640625" customWidth="1"/>
    <col min="43" max="43" width="13.88671875" customWidth="1"/>
    <col min="44" max="44" width="18.6640625" customWidth="1"/>
    <col min="45" max="45" width="18.88671875" customWidth="1"/>
    <col min="46" max="47" width="10.6640625" customWidth="1"/>
    <col min="48" max="48" width="17.33203125" customWidth="1"/>
    <col min="49" max="49" width="17.44140625" customWidth="1"/>
    <col min="50" max="50" width="11.5546875" customWidth="1"/>
    <col min="51" max="51" width="11.6640625" customWidth="1"/>
    <col min="52" max="52" width="18.6640625" customWidth="1"/>
    <col min="53" max="53" width="18.88671875" customWidth="1"/>
    <col min="54" max="55" width="10.6640625" customWidth="1"/>
    <col min="56" max="56" width="11.5546875" customWidth="1"/>
    <col min="57" max="57" width="11.6640625" customWidth="1"/>
    <col min="58" max="58" width="11.5546875" customWidth="1"/>
    <col min="59" max="59" width="11.6640625" customWidth="1"/>
    <col min="60" max="60" width="18.6640625" bestFit="1" customWidth="1"/>
    <col min="61" max="61" width="18.88671875" customWidth="1"/>
    <col min="62" max="62" width="15.109375" customWidth="1"/>
    <col min="63" max="63" width="15.33203125" customWidth="1"/>
    <col min="64" max="65" width="11.5546875" bestFit="1" customWidth="1"/>
    <col min="66" max="66" width="17.33203125" customWidth="1"/>
    <col min="67" max="67" width="18.6640625" customWidth="1"/>
    <col min="68" max="68" width="17.44140625" customWidth="1"/>
    <col min="69" max="69" width="11.5546875" customWidth="1"/>
    <col min="70" max="70" width="13.109375" customWidth="1"/>
    <col min="71" max="71" width="11.6640625" customWidth="1"/>
    <col min="72" max="72" width="18.6640625" customWidth="1"/>
    <col min="73" max="73" width="20.109375" customWidth="1"/>
    <col min="74" max="74" width="18.88671875" customWidth="1"/>
    <col min="75" max="78" width="11.5546875" customWidth="1"/>
    <col min="79" max="79" width="13.109375" customWidth="1"/>
    <col min="80" max="80" width="11.6640625" customWidth="1"/>
    <col min="81" max="81" width="11.5546875" bestFit="1" customWidth="1"/>
    <col min="82" max="82" width="13.109375" customWidth="1"/>
    <col min="83" max="83" width="11.6640625" customWidth="1"/>
    <col min="84" max="84" width="18.6640625" customWidth="1"/>
    <col min="85" max="85" width="20.109375" customWidth="1"/>
    <col min="86" max="86" width="18.88671875" customWidth="1"/>
    <col min="87" max="87" width="15.109375" customWidth="1"/>
    <col min="88" max="88" width="16.5546875" customWidth="1"/>
    <col min="89" max="89" width="15.33203125" customWidth="1"/>
    <col min="90" max="90" width="12.6640625" bestFit="1" customWidth="1"/>
    <col min="91" max="91" width="11.6640625" bestFit="1" customWidth="1"/>
    <col min="92" max="92" width="18.6640625" bestFit="1" customWidth="1"/>
    <col min="93" max="93" width="20.109375" bestFit="1" customWidth="1"/>
    <col min="94" max="94" width="19.88671875" bestFit="1" customWidth="1"/>
    <col min="95" max="95" width="18.88671875" bestFit="1" customWidth="1"/>
    <col min="96" max="100" width="11.5546875" bestFit="1" customWidth="1"/>
    <col min="101" max="101" width="13.109375" bestFit="1" customWidth="1"/>
    <col min="102" max="102" width="12.6640625" bestFit="1" customWidth="1"/>
    <col min="103" max="103" width="11.6640625" bestFit="1" customWidth="1"/>
    <col min="104" max="104" width="11.5546875" bestFit="1" customWidth="1"/>
    <col min="105" max="105" width="13.109375" bestFit="1" customWidth="1"/>
    <col min="106" max="106" width="12.6640625" bestFit="1" customWidth="1"/>
    <col min="107" max="107" width="11.6640625" bestFit="1" customWidth="1"/>
    <col min="108" max="108" width="18.6640625" bestFit="1" customWidth="1"/>
    <col min="109" max="109" width="20.109375" bestFit="1" customWidth="1"/>
    <col min="110" max="110" width="19.88671875" bestFit="1" customWidth="1"/>
    <col min="111" max="111" width="18.88671875" bestFit="1" customWidth="1"/>
    <col min="112" max="112" width="15.109375" bestFit="1" customWidth="1"/>
    <col min="113" max="113" width="16.5546875" bestFit="1" customWidth="1"/>
    <col min="114" max="114" width="16.33203125" bestFit="1" customWidth="1"/>
    <col min="115" max="115" width="15.33203125" bestFit="1" customWidth="1"/>
  </cols>
  <sheetData>
    <row r="1" spans="1:16" x14ac:dyDescent="0.3">
      <c r="A1" s="29" t="s">
        <v>3715</v>
      </c>
      <c r="B1" s="29" t="s">
        <v>3706</v>
      </c>
      <c r="C1" s="29" t="s">
        <v>3707</v>
      </c>
      <c r="D1" s="29" t="s">
        <v>3712</v>
      </c>
      <c r="E1" s="29" t="s">
        <v>3818</v>
      </c>
      <c r="F1" s="29" t="s">
        <v>3713</v>
      </c>
      <c r="G1" s="29" t="s">
        <v>3716</v>
      </c>
      <c r="H1" s="29" t="s">
        <v>3794</v>
      </c>
      <c r="I1" s="66" t="s">
        <v>3826</v>
      </c>
      <c r="J1" s="66" t="s">
        <v>3830</v>
      </c>
      <c r="O1" s="9" t="s">
        <v>3681</v>
      </c>
      <c r="P1" t="s">
        <v>3801</v>
      </c>
    </row>
    <row r="2" spans="1:16" x14ac:dyDescent="0.3">
      <c r="A2" s="26" t="s">
        <v>3745</v>
      </c>
      <c r="B2" s="2">
        <f>VLOOKUP(A2,'Por campo'!B:U,2,FALSE)</f>
        <v>2020862</v>
      </c>
      <c r="C2" s="2">
        <f>VLOOKUP(A2,'Por campo'!B:U,6,FALSE)</f>
        <v>0</v>
      </c>
      <c r="D2" s="2">
        <f>VLOOKUP(A2,'Por campo'!B:U,8,FALSE)</f>
        <v>0</v>
      </c>
      <c r="E2" s="2">
        <f>VLOOKUP(A2,'Por campo'!B:U,10,FALSE)</f>
        <v>0</v>
      </c>
      <c r="F2" s="2">
        <f>VLOOKUP($A2,'Por campo'!B:U,12,FALSE)</f>
        <v>0</v>
      </c>
      <c r="G2" t="str">
        <f>VLOOKUP($A2,'Por campo'!B:U,14,FALSE)</f>
        <v>Concluído</v>
      </c>
      <c r="H2" t="str">
        <f>VLOOKUP($A2,'Por campo'!B:U,17,FALSE)</f>
        <v>Sem alterações</v>
      </c>
      <c r="I2" t="str">
        <f>IF(OR(G2="Concluído",G2="Em teste"),"Disponibilizado para teste",IF(G2="Em correção","Disponibilizado para teste",IF(G2="Em especificação","Em especificação",IF(G2="Em implementação","Em implementação",IF(G2="Em análise de requisitos","Em análise de requisitos","NA")))))</f>
        <v>Disponibilizado para teste</v>
      </c>
      <c r="J2" t="str">
        <f>IF(G2="Concluído","OK",IF(G2="Em correção","NOK",G2))</f>
        <v>OK</v>
      </c>
      <c r="O2" s="10" t="s">
        <v>3796</v>
      </c>
      <c r="P2" s="11">
        <v>4</v>
      </c>
    </row>
    <row r="3" spans="1:16" x14ac:dyDescent="0.3">
      <c r="A3" s="26" t="s">
        <v>3741</v>
      </c>
      <c r="B3" s="2">
        <f>VLOOKUP(A3,'Por campo'!B:U,2,FALSE)</f>
        <v>2020862</v>
      </c>
      <c r="C3" s="2">
        <f>VLOOKUP(A3,'Por campo'!B:U,6,FALSE)</f>
        <v>0</v>
      </c>
      <c r="D3" s="2">
        <f>VLOOKUP(A3,'Por campo'!B:U,8,FALSE)</f>
        <v>0</v>
      </c>
      <c r="E3" s="2">
        <f>VLOOKUP(A3,'Por campo'!B:U,10,FALSE)</f>
        <v>0</v>
      </c>
      <c r="F3" s="2">
        <f>VLOOKUP($A3,'Por campo'!B:U,12,FALSE)</f>
        <v>0</v>
      </c>
      <c r="G3" t="str">
        <f>VLOOKUP($A3,'Por campo'!B:U,14,FALSE)</f>
        <v>Concluído</v>
      </c>
      <c r="H3" t="str">
        <f>VLOOKUP($A3,'Por campo'!B:U,17,FALSE)</f>
        <v>Sem alterações</v>
      </c>
      <c r="I3" t="str">
        <f t="shared" ref="I3:I52" si="0">IF(OR(G3="Concluído",G3="Em teste"),"Disponibilizado para teste",IF(G3="Em correção","Disponibilizado para teste",IF(G3="Em especificação","Em especificação",IF(G3="Em implementação","Em implementação",IF(G3="Em análise de requisitos","Em análise de requisitos","NA")))))</f>
        <v>Disponibilizado para teste</v>
      </c>
      <c r="J3" t="str">
        <f t="shared" ref="J3:J52" si="1">IF(G3="Concluído","OK",IF(G3="Em correção","NOK",G3))</f>
        <v>OK</v>
      </c>
      <c r="O3" s="10" t="s">
        <v>3798</v>
      </c>
      <c r="P3" s="11">
        <v>8</v>
      </c>
    </row>
    <row r="4" spans="1:16" x14ac:dyDescent="0.3">
      <c r="A4" s="26" t="s">
        <v>3731</v>
      </c>
      <c r="B4" s="2">
        <f>VLOOKUP(A4,'Por campo'!B:U,2,FALSE)</f>
        <v>2020862</v>
      </c>
      <c r="C4" s="2">
        <f>VLOOKUP(A4,'Por campo'!B:U,6,FALSE)</f>
        <v>0</v>
      </c>
      <c r="D4" s="2">
        <f>VLOOKUP(A4,'Por campo'!B:U,8,FALSE)</f>
        <v>0</v>
      </c>
      <c r="E4" s="2">
        <f>VLOOKUP(A4,'Por campo'!B:U,10,FALSE)</f>
        <v>0</v>
      </c>
      <c r="F4" s="2">
        <f>VLOOKUP($A4,'Por campo'!B:U,12,FALSE)</f>
        <v>0</v>
      </c>
      <c r="G4" t="str">
        <f>VLOOKUP($A4,'Por campo'!B:U,14,FALSE)</f>
        <v>Concluído</v>
      </c>
      <c r="H4" t="str">
        <f>VLOOKUP($A4,'Por campo'!B:U,17,FALSE)</f>
        <v>Sem alterações</v>
      </c>
      <c r="I4" t="str">
        <f t="shared" si="0"/>
        <v>Disponibilizado para teste</v>
      </c>
      <c r="J4" t="str">
        <f t="shared" si="1"/>
        <v>OK</v>
      </c>
      <c r="O4" s="10" t="s">
        <v>3795</v>
      </c>
      <c r="P4" s="11">
        <v>1</v>
      </c>
    </row>
    <row r="5" spans="1:16" x14ac:dyDescent="0.3">
      <c r="A5" s="26" t="s">
        <v>3735</v>
      </c>
      <c r="B5" s="2">
        <f>VLOOKUP(A5,'Por campo'!B:U,2,FALSE)</f>
        <v>2020862</v>
      </c>
      <c r="C5" s="2">
        <f>VLOOKUP(A5,'Por campo'!B:U,6,FALSE)</f>
        <v>0</v>
      </c>
      <c r="D5" s="2">
        <f>VLOOKUP(A5,'Por campo'!B:U,8,FALSE)</f>
        <v>0</v>
      </c>
      <c r="E5" s="2">
        <f>VLOOKUP(A5,'Por campo'!B:U,10,FALSE)</f>
        <v>0</v>
      </c>
      <c r="F5" s="2">
        <f>VLOOKUP($A5,'Por campo'!B:U,12,FALSE)</f>
        <v>0</v>
      </c>
      <c r="G5" t="str">
        <f>VLOOKUP($A5,'Por campo'!B:U,14,FALSE)</f>
        <v>Concluído</v>
      </c>
      <c r="H5" t="str">
        <f>VLOOKUP($A5,'Por campo'!B:U,17,FALSE)</f>
        <v>Sem alterações</v>
      </c>
      <c r="I5" t="str">
        <f t="shared" si="0"/>
        <v>Disponibilizado para teste</v>
      </c>
      <c r="J5" t="str">
        <f t="shared" si="1"/>
        <v>OK</v>
      </c>
      <c r="O5" s="10" t="s">
        <v>3800</v>
      </c>
      <c r="P5" s="11">
        <v>38</v>
      </c>
    </row>
    <row r="6" spans="1:16" x14ac:dyDescent="0.3">
      <c r="A6" s="26" t="s">
        <v>3799</v>
      </c>
      <c r="B6" s="2">
        <f>VLOOKUP(A6,'Por campo'!B:U,2,FALSE)</f>
        <v>0</v>
      </c>
      <c r="C6" s="2">
        <f>VLOOKUP(A6,'Por campo'!B:U,6,FALSE)</f>
        <v>2020862</v>
      </c>
      <c r="D6" s="2">
        <f>VLOOKUP(A6,'Por campo'!B:U,8,FALSE)</f>
        <v>0</v>
      </c>
      <c r="E6" s="2">
        <f>VLOOKUP(A6,'Por campo'!B:U,10,FALSE)</f>
        <v>0</v>
      </c>
      <c r="F6" s="2">
        <f>VLOOKUP($A6,'Por campo'!B:U,12,FALSE)</f>
        <v>0</v>
      </c>
      <c r="G6" t="str">
        <f>VLOOKUP($A6,'Por campo'!B:U,14,FALSE)</f>
        <v>NA</v>
      </c>
      <c r="H6" t="str">
        <f>VLOOKUP($A6,'Por campo'!B:U,17,FALSE)</f>
        <v>Removido 22/12/2023</v>
      </c>
      <c r="I6" t="str">
        <f t="shared" si="0"/>
        <v>NA</v>
      </c>
      <c r="J6" t="str">
        <f t="shared" si="1"/>
        <v>NA</v>
      </c>
      <c r="O6" s="10" t="s">
        <v>3683</v>
      </c>
      <c r="P6" s="11">
        <v>51</v>
      </c>
    </row>
    <row r="7" spans="1:16" x14ac:dyDescent="0.3">
      <c r="A7" s="26" t="s">
        <v>3739</v>
      </c>
      <c r="B7" s="2">
        <f>VLOOKUP(A7,'Por campo'!B:U,2,FALSE)</f>
        <v>2020862</v>
      </c>
      <c r="C7" s="2">
        <f>VLOOKUP(A7,'Por campo'!B:U,6,FALSE)</f>
        <v>0</v>
      </c>
      <c r="D7" s="2">
        <f>VLOOKUP(A7,'Por campo'!B:U,8,FALSE)</f>
        <v>0</v>
      </c>
      <c r="E7" s="2">
        <f>VLOOKUP(A7,'Por campo'!B:U,10,FALSE)</f>
        <v>0</v>
      </c>
      <c r="F7" s="2">
        <f>VLOOKUP($A7,'Por campo'!B:U,12,FALSE)</f>
        <v>0</v>
      </c>
      <c r="G7" t="str">
        <f>VLOOKUP($A7,'Por campo'!B:U,14,FALSE)</f>
        <v>Concluído</v>
      </c>
      <c r="H7" t="str">
        <f>VLOOKUP($A7,'Por campo'!B:U,17,FALSE)</f>
        <v>Sem alterações</v>
      </c>
      <c r="I7" t="str">
        <f t="shared" si="0"/>
        <v>Disponibilizado para teste</v>
      </c>
      <c r="J7" t="str">
        <f t="shared" si="1"/>
        <v>OK</v>
      </c>
    </row>
    <row r="8" spans="1:16" x14ac:dyDescent="0.3">
      <c r="A8" s="26" t="s">
        <v>3736</v>
      </c>
      <c r="B8" s="2">
        <f>VLOOKUP(A8,'Por campo'!B:U,2,FALSE)</f>
        <v>2020862</v>
      </c>
      <c r="C8" s="2">
        <f>VLOOKUP(A8,'Por campo'!B:U,6,FALSE)</f>
        <v>0</v>
      </c>
      <c r="D8" s="2">
        <f>VLOOKUP(A8,'Por campo'!B:U,8,FALSE)</f>
        <v>0</v>
      </c>
      <c r="E8" s="2">
        <f>VLOOKUP(A8,'Por campo'!B:U,10,FALSE)</f>
        <v>0</v>
      </c>
      <c r="F8" s="2">
        <f>VLOOKUP($A8,'Por campo'!B:U,12,FALSE)</f>
        <v>0</v>
      </c>
      <c r="G8" t="str">
        <f>VLOOKUP($A8,'Por campo'!B:U,14,FALSE)</f>
        <v>Concluído</v>
      </c>
      <c r="H8" t="str">
        <f>VLOOKUP($A8,'Por campo'!B:U,17,FALSE)</f>
        <v>Sem alterações</v>
      </c>
      <c r="I8" t="str">
        <f t="shared" si="0"/>
        <v>Disponibilizado para teste</v>
      </c>
      <c r="J8" t="str">
        <f t="shared" si="1"/>
        <v>OK</v>
      </c>
    </row>
    <row r="9" spans="1:16" x14ac:dyDescent="0.3">
      <c r="A9" s="26" t="s">
        <v>3742</v>
      </c>
      <c r="B9" s="2">
        <f>VLOOKUP(A9,'Por campo'!B:U,2,FALSE)</f>
        <v>2020862</v>
      </c>
      <c r="C9" s="2">
        <f>VLOOKUP(A9,'Por campo'!B:U,6,FALSE)</f>
        <v>0</v>
      </c>
      <c r="D9" s="2">
        <f>VLOOKUP(A9,'Por campo'!B:U,8,FALSE)</f>
        <v>0</v>
      </c>
      <c r="E9" s="2">
        <f>VLOOKUP(A9,'Por campo'!B:U,10,FALSE)</f>
        <v>0</v>
      </c>
      <c r="F9" s="2">
        <f>VLOOKUP($A9,'Por campo'!B:U,12,FALSE)</f>
        <v>0</v>
      </c>
      <c r="G9" t="str">
        <f>VLOOKUP($A9,'Por campo'!B:U,14,FALSE)</f>
        <v>Concluído</v>
      </c>
      <c r="H9" t="str">
        <f>VLOOKUP($A9,'Por campo'!B:U,17,FALSE)</f>
        <v>Sem alterações</v>
      </c>
      <c r="I9" t="str">
        <f t="shared" si="0"/>
        <v>Disponibilizado para teste</v>
      </c>
      <c r="J9" t="str">
        <f t="shared" si="1"/>
        <v>OK</v>
      </c>
      <c r="O9" s="9" t="s">
        <v>3794</v>
      </c>
      <c r="P9" t="s">
        <v>3829</v>
      </c>
    </row>
    <row r="10" spans="1:16" x14ac:dyDescent="0.3">
      <c r="A10" s="26" t="s">
        <v>3737</v>
      </c>
      <c r="B10" s="2">
        <f>VLOOKUP(A10,'Por campo'!B:U,2,FALSE)</f>
        <v>2020862</v>
      </c>
      <c r="C10" s="2">
        <f>VLOOKUP(A10,'Por campo'!B:U,6,FALSE)</f>
        <v>0</v>
      </c>
      <c r="D10" s="2">
        <f>VLOOKUP(A10,'Por campo'!B:U,8,FALSE)</f>
        <v>0</v>
      </c>
      <c r="E10" s="2">
        <f>VLOOKUP(A10,'Por campo'!B:U,10,FALSE)</f>
        <v>0</v>
      </c>
      <c r="F10" s="2">
        <f>VLOOKUP($A10,'Por campo'!B:U,12,FALSE)</f>
        <v>0</v>
      </c>
      <c r="G10" t="str">
        <f>VLOOKUP($A10,'Por campo'!B:U,14,FALSE)</f>
        <v>Concluído</v>
      </c>
      <c r="H10" t="str">
        <f>VLOOKUP($A10,'Por campo'!B:U,17,FALSE)</f>
        <v>Sem alterações</v>
      </c>
      <c r="I10" t="str">
        <f t="shared" si="0"/>
        <v>Disponibilizado para teste</v>
      </c>
      <c r="J10" t="str">
        <f t="shared" si="1"/>
        <v>OK</v>
      </c>
    </row>
    <row r="11" spans="1:16" x14ac:dyDescent="0.3">
      <c r="A11" s="26" t="s">
        <v>3743</v>
      </c>
      <c r="B11" s="2">
        <f>VLOOKUP(A11,'Por campo'!B:U,2,FALSE)</f>
        <v>2020862</v>
      </c>
      <c r="C11" s="2">
        <f>VLOOKUP(A11,'Por campo'!B:U,6,FALSE)</f>
        <v>0</v>
      </c>
      <c r="D11" s="2">
        <f>VLOOKUP(A11,'Por campo'!B:U,8,FALSE)</f>
        <v>0</v>
      </c>
      <c r="E11" s="2">
        <f>VLOOKUP(A11,'Por campo'!B:U,10,FALSE)</f>
        <v>0</v>
      </c>
      <c r="F11" s="2">
        <f>VLOOKUP($A11,'Por campo'!B:U,12,FALSE)</f>
        <v>0</v>
      </c>
      <c r="G11" t="str">
        <f>VLOOKUP($A11,'Por campo'!B:U,14,FALSE)</f>
        <v>Concluído</v>
      </c>
      <c r="H11" t="str">
        <f>VLOOKUP($A11,'Por campo'!B:U,17,FALSE)</f>
        <v>Sem alterações</v>
      </c>
      <c r="I11" t="str">
        <f t="shared" si="0"/>
        <v>Disponibilizado para teste</v>
      </c>
      <c r="J11" t="str">
        <f t="shared" si="1"/>
        <v>OK</v>
      </c>
      <c r="O11" s="9" t="s">
        <v>3681</v>
      </c>
      <c r="P11" t="s">
        <v>3801</v>
      </c>
    </row>
    <row r="12" spans="1:16" x14ac:dyDescent="0.3">
      <c r="A12" s="26" t="s">
        <v>3744</v>
      </c>
      <c r="B12" s="2">
        <f>VLOOKUP(A12,'Por campo'!B:U,2,FALSE)</f>
        <v>2020838</v>
      </c>
      <c r="C12" s="2">
        <f>VLOOKUP(A12,'Por campo'!B:U,6,FALSE)</f>
        <v>24</v>
      </c>
      <c r="D12" s="2">
        <f>VLOOKUP(A12,'Por campo'!B:U,8,FALSE)</f>
        <v>0</v>
      </c>
      <c r="E12" s="2">
        <f>VLOOKUP(A12,'Por campo'!B:U,10,FALSE)</f>
        <v>0</v>
      </c>
      <c r="F12" s="2">
        <f>VLOOKUP($A12,'Por campo'!B:U,12,FALSE)</f>
        <v>0</v>
      </c>
      <c r="G12" t="str">
        <f>VLOOKUP($A12,'Por campo'!B:U,14,FALSE)</f>
        <v>Em Correção</v>
      </c>
      <c r="H12" t="str">
        <f>VLOOKUP($A12,'Por campo'!B:U,17,FALSE)</f>
        <v>Sem alterações</v>
      </c>
      <c r="I12" t="str">
        <f t="shared" si="0"/>
        <v>Disponibilizado para teste</v>
      </c>
      <c r="J12" t="str">
        <f t="shared" si="1"/>
        <v>NOK</v>
      </c>
      <c r="O12" s="10" t="s">
        <v>3789</v>
      </c>
      <c r="P12" s="11">
        <v>19</v>
      </c>
    </row>
    <row r="13" spans="1:16" x14ac:dyDescent="0.3">
      <c r="A13" s="26" t="s">
        <v>3738</v>
      </c>
      <c r="B13" s="2">
        <f>VLOOKUP(A13,'Por campo'!B:U,2,FALSE)</f>
        <v>2020862</v>
      </c>
      <c r="C13" s="2">
        <f>VLOOKUP(A13,'Por campo'!B:U,6,FALSE)</f>
        <v>0</v>
      </c>
      <c r="D13" s="2">
        <f>VLOOKUP(A13,'Por campo'!B:U,8,FALSE)</f>
        <v>0</v>
      </c>
      <c r="E13" s="2">
        <f>VLOOKUP(A13,'Por campo'!B:U,10,FALSE)</f>
        <v>0</v>
      </c>
      <c r="F13" s="2">
        <f>VLOOKUP($A13,'Por campo'!B:U,12,FALSE)</f>
        <v>0</v>
      </c>
      <c r="G13" t="str">
        <f>VLOOKUP($A13,'Por campo'!B:U,14,FALSE)</f>
        <v>Concluído</v>
      </c>
      <c r="H13" t="str">
        <f>VLOOKUP($A13,'Por campo'!B:U,17,FALSE)</f>
        <v>Sem alterações</v>
      </c>
      <c r="I13" t="str">
        <f t="shared" si="0"/>
        <v>Disponibilizado para teste</v>
      </c>
      <c r="J13" t="str">
        <f t="shared" si="1"/>
        <v>OK</v>
      </c>
      <c r="O13" s="10" t="s">
        <v>3786</v>
      </c>
      <c r="P13" s="11">
        <v>6</v>
      </c>
    </row>
    <row r="14" spans="1:16" x14ac:dyDescent="0.3">
      <c r="A14" s="35" t="s">
        <v>3710</v>
      </c>
      <c r="B14" s="2">
        <f>VLOOKUP(A14,'Por campo'!B:U,2,FALSE)</f>
        <v>1894058</v>
      </c>
      <c r="C14" s="2">
        <f>VLOOKUP(A14,'Por campo'!B:U,6,FALSE)</f>
        <v>0</v>
      </c>
      <c r="D14" s="2">
        <f>VLOOKUP(A14,'Por campo'!B:U,8,FALSE)</f>
        <v>454</v>
      </c>
      <c r="E14" s="2">
        <f>VLOOKUP(A14,'Por campo'!B:U,10,FALSE)</f>
        <v>122685</v>
      </c>
      <c r="F14" s="2">
        <f>VLOOKUP($A14,'Por campo'!B:U,12,FALSE)</f>
        <v>3665</v>
      </c>
      <c r="G14" t="str">
        <f>VLOOKUP($A14,'Por campo'!B:U,14,FALSE)</f>
        <v>Em teste</v>
      </c>
      <c r="H14" t="str">
        <f>VLOOKUP($A14,'Por campo'!B:U,17,FALSE)</f>
        <v>Sem alterações</v>
      </c>
      <c r="I14" t="str">
        <f t="shared" si="0"/>
        <v>Disponibilizado para teste</v>
      </c>
      <c r="J14" t="str">
        <f t="shared" si="1"/>
        <v>Em teste</v>
      </c>
      <c r="O14" s="10" t="s">
        <v>3797</v>
      </c>
      <c r="P14" s="11">
        <v>13</v>
      </c>
    </row>
    <row r="15" spans="1:16" x14ac:dyDescent="0.3">
      <c r="A15" s="26" t="s">
        <v>3705</v>
      </c>
      <c r="B15" s="2">
        <f>VLOOKUP(A15,'Por campo'!B:U,2,FALSE)</f>
        <v>1894058</v>
      </c>
      <c r="C15" s="2">
        <f>VLOOKUP(A15,'Por campo'!B:U,6,FALSE)</f>
        <v>0</v>
      </c>
      <c r="D15" s="2">
        <f>VLOOKUP(A15,'Por campo'!B:U,8,FALSE)</f>
        <v>123139</v>
      </c>
      <c r="E15" s="2">
        <f>VLOOKUP(A15,'Por campo'!B:U,10,FALSE)</f>
        <v>0</v>
      </c>
      <c r="F15" s="2">
        <f>VLOOKUP($A15,'Por campo'!B:U,12,FALSE)</f>
        <v>3665</v>
      </c>
      <c r="G15" t="str">
        <f>VLOOKUP($A15,'Por campo'!B:U,14,FALSE)</f>
        <v>Em teste</v>
      </c>
      <c r="H15" t="str">
        <f>VLOOKUP($A15,'Por campo'!B:U,17,FALSE)</f>
        <v>Sem alterações</v>
      </c>
      <c r="I15" t="str">
        <f t="shared" si="0"/>
        <v>Disponibilizado para teste</v>
      </c>
      <c r="J15" t="str">
        <f t="shared" si="1"/>
        <v>Em teste</v>
      </c>
      <c r="O15" s="10" t="s">
        <v>3784</v>
      </c>
      <c r="P15" s="11">
        <v>10</v>
      </c>
    </row>
    <row r="16" spans="1:16" x14ac:dyDescent="0.3">
      <c r="A16" s="35" t="s">
        <v>3711</v>
      </c>
      <c r="B16" s="2">
        <f>VLOOKUP(A16,'Por campo'!B:U,2,FALSE)</f>
        <v>1851201</v>
      </c>
      <c r="C16" s="2">
        <f>VLOOKUP(A16,'Por campo'!B:U,6,FALSE)</f>
        <v>0</v>
      </c>
      <c r="D16" s="2">
        <f>VLOOKUP(A16,'Por campo'!B:U,8,FALSE)</f>
        <v>454</v>
      </c>
      <c r="E16" s="2">
        <f>VLOOKUP(A16,'Por campo'!B:U,10,FALSE)</f>
        <v>166884</v>
      </c>
      <c r="F16" s="2">
        <f>VLOOKUP($A16,'Por campo'!B:U,12,FALSE)</f>
        <v>3665</v>
      </c>
      <c r="G16" t="str">
        <f>VLOOKUP($A16,'Por campo'!B:U,14,FALSE)</f>
        <v>Em teste</v>
      </c>
      <c r="H16" t="str">
        <f>VLOOKUP($A16,'Por campo'!B:U,17,FALSE)</f>
        <v>Sem alterações</v>
      </c>
      <c r="I16" t="str">
        <f t="shared" si="0"/>
        <v>Disponibilizado para teste</v>
      </c>
      <c r="J16" t="str">
        <f t="shared" si="1"/>
        <v>Em teste</v>
      </c>
      <c r="O16" s="10" t="s">
        <v>3832</v>
      </c>
      <c r="P16" s="11">
        <v>2</v>
      </c>
    </row>
    <row r="17" spans="1:16" x14ac:dyDescent="0.3">
      <c r="A17" s="26" t="s">
        <v>3709</v>
      </c>
      <c r="B17" s="2">
        <f>VLOOKUP(A17,'Por campo'!B:U,2,FALSE)</f>
        <v>1894058</v>
      </c>
      <c r="C17" s="2">
        <f>VLOOKUP(A17,'Por campo'!B:U,6,FALSE)</f>
        <v>0</v>
      </c>
      <c r="D17" s="2">
        <f>VLOOKUP(A17,'Por campo'!B:U,8,FALSE)</f>
        <v>454</v>
      </c>
      <c r="E17" s="2">
        <f>VLOOKUP(A17,'Por campo'!B:U,10,FALSE)</f>
        <v>122685</v>
      </c>
      <c r="F17" s="2">
        <f>VLOOKUP($A17,'Por campo'!B:U,12,FALSE)</f>
        <v>3665</v>
      </c>
      <c r="G17" t="str">
        <f>VLOOKUP($A17,'Por campo'!B:U,14,FALSE)</f>
        <v>Em teste</v>
      </c>
      <c r="H17" t="str">
        <f>VLOOKUP($A17,'Por campo'!B:U,17,FALSE)</f>
        <v>Sem alterações</v>
      </c>
      <c r="I17" t="str">
        <f t="shared" si="0"/>
        <v>Disponibilizado para teste</v>
      </c>
      <c r="J17" t="str">
        <f t="shared" si="1"/>
        <v>Em teste</v>
      </c>
      <c r="O17" s="10" t="s">
        <v>3683</v>
      </c>
      <c r="P17" s="11">
        <v>50</v>
      </c>
    </row>
    <row r="18" spans="1:16" x14ac:dyDescent="0.3">
      <c r="A18" s="26" t="s">
        <v>3740</v>
      </c>
      <c r="B18" s="2">
        <f>VLOOKUP(A18,'Por campo'!B:U,2,FALSE)</f>
        <v>2020862</v>
      </c>
      <c r="C18" s="2">
        <f>VLOOKUP(A18,'Por campo'!B:U,6,FALSE)</f>
        <v>0</v>
      </c>
      <c r="D18" s="2">
        <f>VLOOKUP(A18,'Por campo'!B:U,8,FALSE)</f>
        <v>0</v>
      </c>
      <c r="E18" s="2">
        <f>VLOOKUP(A18,'Por campo'!B:U,10,FALSE)</f>
        <v>0</v>
      </c>
      <c r="F18" s="2">
        <f>VLOOKUP($A18,'Por campo'!B:U,12,FALSE)</f>
        <v>0</v>
      </c>
      <c r="G18" t="str">
        <f>VLOOKUP($A18,'Por campo'!B:U,14,FALSE)</f>
        <v>Concluído</v>
      </c>
      <c r="H18" t="str">
        <f>VLOOKUP($A18,'Por campo'!B:U,17,FALSE)</f>
        <v>Sem alterações</v>
      </c>
      <c r="I18" t="str">
        <f t="shared" si="0"/>
        <v>Disponibilizado para teste</v>
      </c>
      <c r="J18" t="str">
        <f t="shared" si="1"/>
        <v>OK</v>
      </c>
    </row>
    <row r="19" spans="1:16" x14ac:dyDescent="0.3">
      <c r="A19" s="26" t="s">
        <v>3708</v>
      </c>
      <c r="B19" s="2">
        <f>VLOOKUP(A19,'Por campo'!B:U,2,FALSE)</f>
        <v>1894058</v>
      </c>
      <c r="C19" s="2">
        <f>VLOOKUP(A19,'Por campo'!B:U,6,FALSE)</f>
        <v>0</v>
      </c>
      <c r="D19" s="2">
        <f>VLOOKUP(A19,'Por campo'!B:U,8,FALSE)</f>
        <v>454</v>
      </c>
      <c r="E19" s="2">
        <f>VLOOKUP(A19,'Por campo'!B:U,10,FALSE)</f>
        <v>122685</v>
      </c>
      <c r="F19" s="2">
        <f>VLOOKUP($A19,'Por campo'!B:U,12,FALSE)</f>
        <v>3665</v>
      </c>
      <c r="G19" t="str">
        <f>VLOOKUP($A19,'Por campo'!B:U,14,FALSE)</f>
        <v>Em teste</v>
      </c>
      <c r="H19" t="str">
        <f>VLOOKUP($A19,'Por campo'!B:U,17,FALSE)</f>
        <v>Sem alterações</v>
      </c>
      <c r="I19" t="str">
        <f t="shared" si="0"/>
        <v>Disponibilizado para teste</v>
      </c>
      <c r="J19" t="str">
        <f t="shared" si="1"/>
        <v>Em teste</v>
      </c>
    </row>
    <row r="20" spans="1:16" x14ac:dyDescent="0.3">
      <c r="A20" s="26" t="s">
        <v>3722</v>
      </c>
      <c r="B20" s="2">
        <f>VLOOKUP(A20,'Por campo'!B:U,2,FALSE)</f>
        <v>16935</v>
      </c>
      <c r="C20" s="2">
        <f>VLOOKUP(A20,'Por campo'!B:U,6,FALSE)</f>
        <v>1209396</v>
      </c>
      <c r="D20" s="2">
        <f>VLOOKUP(A20,'Por campo'!B:U,8,FALSE)</f>
        <v>0</v>
      </c>
      <c r="E20" s="2">
        <f>VLOOKUP(A20,'Por campo'!B:U,10,FALSE)</f>
        <v>790866</v>
      </c>
      <c r="F20" s="2">
        <f>VLOOKUP($A20,'Por campo'!B:U,12,FALSE)</f>
        <v>3665</v>
      </c>
      <c r="G20" t="str">
        <f>VLOOKUP($A20,'Por campo'!B:U,14,FALSE)</f>
        <v>Em Correção</v>
      </c>
      <c r="H20" t="str">
        <f>VLOOKUP($A20,'Por campo'!B:U,17,FALSE)</f>
        <v>Sem alterações</v>
      </c>
      <c r="I20" t="str">
        <f t="shared" si="0"/>
        <v>Disponibilizado para teste</v>
      </c>
      <c r="J20" t="str">
        <f t="shared" si="1"/>
        <v>NOK</v>
      </c>
    </row>
    <row r="21" spans="1:16" x14ac:dyDescent="0.3">
      <c r="A21" s="35" t="s">
        <v>3723</v>
      </c>
      <c r="B21" s="2">
        <f>VLOOKUP(A21,'Por campo'!B:U,2,FALSE)</f>
        <v>0</v>
      </c>
      <c r="C21" s="2">
        <f>VLOOKUP(A21,'Por campo'!B:U,6,FALSE)</f>
        <v>2017197</v>
      </c>
      <c r="D21" s="2">
        <f>VLOOKUP(A21,'Por campo'!B:U,8,FALSE)</f>
        <v>0</v>
      </c>
      <c r="E21" s="2">
        <f>VLOOKUP(A21,'Por campo'!B:U,10,FALSE)</f>
        <v>0</v>
      </c>
      <c r="F21" s="2">
        <f>VLOOKUP($A21,'Por campo'!B:U,12,FALSE)</f>
        <v>3665</v>
      </c>
      <c r="G21" t="str">
        <f>VLOOKUP($A21,'Por campo'!B:U,14,FALSE)</f>
        <v>Em Implementação</v>
      </c>
      <c r="H21" t="str">
        <f>VLOOKUP($A21,'Por campo'!B:U,17,FALSE)</f>
        <v>Sem alterações</v>
      </c>
      <c r="I21" t="str">
        <f t="shared" si="0"/>
        <v>Em implementação</v>
      </c>
      <c r="J21" t="str">
        <f t="shared" si="1"/>
        <v>Em Implementação</v>
      </c>
    </row>
    <row r="22" spans="1:16" x14ac:dyDescent="0.3">
      <c r="A22" s="26" t="s">
        <v>3757</v>
      </c>
      <c r="B22" s="2">
        <f>VLOOKUP(A22,'Por campo'!B:U,2,FALSE)</f>
        <v>2020862</v>
      </c>
      <c r="C22" s="2">
        <f>VLOOKUP(A22,'Por campo'!B:U,6,FALSE)</f>
        <v>0</v>
      </c>
      <c r="D22" s="2">
        <f>VLOOKUP(A22,'Por campo'!B:U,8,FALSE)</f>
        <v>0</v>
      </c>
      <c r="E22" s="2">
        <f>VLOOKUP(A22,'Por campo'!B:U,10,FALSE)</f>
        <v>0</v>
      </c>
      <c r="F22" s="2">
        <f>VLOOKUP($A22,'Por campo'!B:U,12,FALSE)</f>
        <v>0</v>
      </c>
      <c r="G22" t="str">
        <f>VLOOKUP($A22,'Por campo'!B:U,14,FALSE)</f>
        <v>Concluído</v>
      </c>
      <c r="H22" t="str">
        <f>VLOOKUP($A22,'Por campo'!B:U,17,FALSE)</f>
        <v>Sem alterações</v>
      </c>
      <c r="I22" t="str">
        <f t="shared" si="0"/>
        <v>Disponibilizado para teste</v>
      </c>
      <c r="J22" t="str">
        <f t="shared" si="1"/>
        <v>OK</v>
      </c>
      <c r="O22" s="9" t="s">
        <v>3794</v>
      </c>
      <c r="P22" t="s">
        <v>3829</v>
      </c>
    </row>
    <row r="23" spans="1:16" x14ac:dyDescent="0.3">
      <c r="A23" s="26" t="s">
        <v>3766</v>
      </c>
      <c r="B23" s="2">
        <f>VLOOKUP(A23,'Por campo'!B:U,2,FALSE)</f>
        <v>0</v>
      </c>
      <c r="C23" s="2">
        <f>VLOOKUP(A23,'Por campo'!B:U,6,FALSE)</f>
        <v>0</v>
      </c>
      <c r="D23" s="2">
        <f>VLOOKUP(A23,'Por campo'!B:U,8,FALSE)</f>
        <v>0</v>
      </c>
      <c r="E23" s="2">
        <f>VLOOKUP(A23,'Por campo'!B:U,10,FALSE)</f>
        <v>2020862</v>
      </c>
      <c r="F23" s="2">
        <f>VLOOKUP($A23,'Por campo'!B:U,12,FALSE)</f>
        <v>0</v>
      </c>
      <c r="G23" t="str">
        <f>VLOOKUP($A23,'Por campo'!B:U,14,FALSE)</f>
        <v>Em Implementação</v>
      </c>
      <c r="H23" t="str">
        <f>VLOOKUP($A23,'Por campo'!B:U,17,FALSE)</f>
        <v>Adicionado 22/12/2023</v>
      </c>
      <c r="I23" t="str">
        <f t="shared" si="0"/>
        <v>Em implementação</v>
      </c>
      <c r="J23" t="str">
        <f t="shared" si="1"/>
        <v>Em Implementação</v>
      </c>
    </row>
    <row r="24" spans="1:16" x14ac:dyDescent="0.3">
      <c r="A24" s="26" t="s">
        <v>3756</v>
      </c>
      <c r="B24" s="2">
        <f>VLOOKUP(A24,'Por campo'!B:U,2,FALSE)</f>
        <v>2020862</v>
      </c>
      <c r="C24" s="2">
        <f>VLOOKUP(A24,'Por campo'!B:U,6,FALSE)</f>
        <v>0</v>
      </c>
      <c r="D24" s="2">
        <f>VLOOKUP(A24,'Por campo'!B:U,8,FALSE)</f>
        <v>0</v>
      </c>
      <c r="E24" s="2">
        <f>VLOOKUP(A24,'Por campo'!B:U,10,FALSE)</f>
        <v>0</v>
      </c>
      <c r="F24" s="2">
        <f>VLOOKUP($A24,'Por campo'!B:U,12,FALSE)</f>
        <v>0</v>
      </c>
      <c r="G24" t="str">
        <f>VLOOKUP($A24,'Por campo'!B:U,14,FALSE)</f>
        <v>Concluído</v>
      </c>
      <c r="H24" t="str">
        <f>VLOOKUP($A24,'Por campo'!B:U,17,FALSE)</f>
        <v>Sem alterações</v>
      </c>
      <c r="I24" t="str">
        <f t="shared" si="0"/>
        <v>Disponibilizado para teste</v>
      </c>
      <c r="J24" t="str">
        <f t="shared" si="1"/>
        <v>OK</v>
      </c>
      <c r="O24" s="9" t="s">
        <v>3681</v>
      </c>
      <c r="P24" t="s">
        <v>3828</v>
      </c>
    </row>
    <row r="25" spans="1:16" x14ac:dyDescent="0.3">
      <c r="A25" s="26" t="s">
        <v>3746</v>
      </c>
      <c r="B25" s="2">
        <f>VLOOKUP(A25,'Por campo'!B:U,2,FALSE)</f>
        <v>0</v>
      </c>
      <c r="C25" s="2">
        <f>VLOOKUP(A25,'Por campo'!B:U,6,FALSE)</f>
        <v>0</v>
      </c>
      <c r="D25" s="2">
        <f>VLOOKUP(A25,'Por campo'!B:U,8,FALSE)</f>
        <v>0</v>
      </c>
      <c r="E25" s="2">
        <f>VLOOKUP(A25,'Por campo'!B:U,10,FALSE)</f>
        <v>2020862</v>
      </c>
      <c r="F25" s="2">
        <f>VLOOKUP($A25,'Por campo'!B:U,12,FALSE)</f>
        <v>0</v>
      </c>
      <c r="G25" t="str">
        <f>VLOOKUP($A25,'Por campo'!B:U,14,FALSE)</f>
        <v>Em Implementação</v>
      </c>
      <c r="H25" t="str">
        <f>VLOOKUP($A25,'Por campo'!B:U,17,FALSE)</f>
        <v>Adicionado 22/12/2023</v>
      </c>
      <c r="I25" t="str">
        <f t="shared" si="0"/>
        <v>Em implementação</v>
      </c>
      <c r="J25" t="str">
        <f t="shared" si="1"/>
        <v>Em Implementação</v>
      </c>
      <c r="O25" s="10" t="s">
        <v>3827</v>
      </c>
      <c r="P25" s="11">
        <v>35</v>
      </c>
    </row>
    <row r="26" spans="1:16" x14ac:dyDescent="0.3">
      <c r="A26" s="26" t="s">
        <v>3733</v>
      </c>
      <c r="B26" s="2">
        <f>VLOOKUP(A26,'Por campo'!B:U,2,FALSE)</f>
        <v>2020862</v>
      </c>
      <c r="C26" s="2">
        <f>VLOOKUP(A26,'Por campo'!B:U,6,FALSE)</f>
        <v>0</v>
      </c>
      <c r="D26" s="2">
        <f>VLOOKUP(A26,'Por campo'!B:U,8,FALSE)</f>
        <v>0</v>
      </c>
      <c r="E26" s="2">
        <f>VLOOKUP(A26,'Por campo'!B:U,10,FALSE)</f>
        <v>0</v>
      </c>
      <c r="F26" s="2">
        <f>VLOOKUP($A26,'Por campo'!B:U,12,FALSE)</f>
        <v>0</v>
      </c>
      <c r="G26" t="str">
        <f>VLOOKUP($A26,'Por campo'!B:U,14,FALSE)</f>
        <v>Concluído</v>
      </c>
      <c r="H26" t="str">
        <f>VLOOKUP($A26,'Por campo'!B:U,17,FALSE)</f>
        <v>Sem alterações</v>
      </c>
      <c r="I26" t="str">
        <f t="shared" si="0"/>
        <v>Disponibilizado para teste</v>
      </c>
      <c r="J26" t="str">
        <f t="shared" si="1"/>
        <v>OK</v>
      </c>
      <c r="O26" s="10" t="s">
        <v>3783</v>
      </c>
      <c r="P26" s="11">
        <v>13</v>
      </c>
    </row>
    <row r="27" spans="1:16" x14ac:dyDescent="0.3">
      <c r="A27" s="26" t="s">
        <v>3754</v>
      </c>
      <c r="B27" s="2">
        <f>VLOOKUP(A27,'Por campo'!B:U,2,FALSE)</f>
        <v>2020862</v>
      </c>
      <c r="C27" s="2">
        <f>VLOOKUP(A27,'Por campo'!B:U,6,FALSE)</f>
        <v>0</v>
      </c>
      <c r="D27" s="2">
        <f>VLOOKUP(A27,'Por campo'!B:U,8,FALSE)</f>
        <v>0</v>
      </c>
      <c r="E27" s="2">
        <f>VLOOKUP(A27,'Por campo'!B:U,10,FALSE)</f>
        <v>0</v>
      </c>
      <c r="F27" s="2">
        <f>VLOOKUP($A27,'Por campo'!B:U,12,FALSE)</f>
        <v>0</v>
      </c>
      <c r="G27" t="str">
        <f>VLOOKUP($A27,'Por campo'!B:U,14,FALSE)</f>
        <v>Concluído</v>
      </c>
      <c r="H27" t="str">
        <f>VLOOKUP($A27,'Por campo'!B:U,17,FALSE)</f>
        <v>Sem alterações</v>
      </c>
      <c r="I27" t="str">
        <f t="shared" si="0"/>
        <v>Disponibilizado para teste</v>
      </c>
      <c r="J27" t="str">
        <f t="shared" si="1"/>
        <v>OK</v>
      </c>
      <c r="O27" s="10" t="s">
        <v>3832</v>
      </c>
      <c r="P27" s="11">
        <v>2</v>
      </c>
    </row>
    <row r="28" spans="1:16" x14ac:dyDescent="0.3">
      <c r="A28" s="35" t="s">
        <v>3727</v>
      </c>
      <c r="B28" s="2">
        <f>VLOOKUP(A28,'Por campo'!B:U,2,FALSE)</f>
        <v>0</v>
      </c>
      <c r="C28" s="2">
        <f>VLOOKUP(A28,'Por campo'!B:U,6,FALSE)</f>
        <v>2017197</v>
      </c>
      <c r="D28" s="2">
        <f>VLOOKUP(A28,'Por campo'!B:U,8,FALSE)</f>
        <v>0</v>
      </c>
      <c r="E28" s="2">
        <f>VLOOKUP(A28,'Por campo'!B:U,10,FALSE)</f>
        <v>0</v>
      </c>
      <c r="F28" s="2">
        <f>VLOOKUP($A28,'Por campo'!B:U,12,FALSE)</f>
        <v>3665</v>
      </c>
      <c r="G28" t="str">
        <f>VLOOKUP($A28,'Por campo'!B:U,14,FALSE)</f>
        <v>Em Implementação</v>
      </c>
      <c r="H28" t="str">
        <f>VLOOKUP($A28,'Por campo'!B:U,17,FALSE)</f>
        <v>Sem alterações</v>
      </c>
      <c r="I28" t="str">
        <f t="shared" si="0"/>
        <v>Em implementação</v>
      </c>
      <c r="J28" t="str">
        <f t="shared" si="1"/>
        <v>Em Implementação</v>
      </c>
      <c r="O28" s="10" t="s">
        <v>3683</v>
      </c>
      <c r="P28" s="11">
        <v>50</v>
      </c>
    </row>
    <row r="29" spans="1:16" x14ac:dyDescent="0.3">
      <c r="A29" s="26" t="s">
        <v>3726</v>
      </c>
      <c r="B29" s="2">
        <f>VLOOKUP(A29,'Por campo'!B:U,2,FALSE)</f>
        <v>1816745</v>
      </c>
      <c r="C29" s="2">
        <f>VLOOKUP(A29,'Por campo'!B:U,6,FALSE)</f>
        <v>0</v>
      </c>
      <c r="D29" s="2">
        <f>VLOOKUP(A29,'Por campo'!B:U,8,FALSE)</f>
        <v>446</v>
      </c>
      <c r="E29" s="2">
        <f>VLOOKUP(A29,'Por campo'!B:U,10,FALSE)</f>
        <v>200006</v>
      </c>
      <c r="F29" s="2">
        <f>VLOOKUP($A29,'Por campo'!B:U,12,FALSE)</f>
        <v>3665</v>
      </c>
      <c r="G29" t="str">
        <f>VLOOKUP($A29,'Por campo'!B:U,14,FALSE)</f>
        <v>Em teste</v>
      </c>
      <c r="H29" t="str">
        <f>VLOOKUP($A29,'Por campo'!B:U,17,FALSE)</f>
        <v>Sem alterações</v>
      </c>
      <c r="I29" t="str">
        <f t="shared" si="0"/>
        <v>Disponibilizado para teste</v>
      </c>
      <c r="J29" t="str">
        <f t="shared" si="1"/>
        <v>Em teste</v>
      </c>
    </row>
    <row r="30" spans="1:16" x14ac:dyDescent="0.3">
      <c r="A30" s="26" t="s">
        <v>3753</v>
      </c>
      <c r="B30" s="2">
        <f>VLOOKUP(A30,'Por campo'!B:U,2,FALSE)</f>
        <v>1553247</v>
      </c>
      <c r="C30" s="2">
        <f>VLOOKUP(A30,'Por campo'!B:U,6,FALSE)</f>
        <v>305013</v>
      </c>
      <c r="D30" s="2">
        <f>VLOOKUP(A30,'Por campo'!B:U,8,FALSE)</f>
        <v>454</v>
      </c>
      <c r="E30" s="2">
        <f>VLOOKUP(A30,'Por campo'!B:U,10,FALSE)</f>
        <v>158483</v>
      </c>
      <c r="F30" s="2">
        <f>VLOOKUP($A30,'Por campo'!B:U,12,FALSE)</f>
        <v>3665</v>
      </c>
      <c r="G30" t="str">
        <f>VLOOKUP($A30,'Por campo'!B:U,14,FALSE)</f>
        <v>Em Correção</v>
      </c>
      <c r="H30" t="str">
        <f>VLOOKUP($A30,'Por campo'!B:U,17,FALSE)</f>
        <v>Alterado 22/12/2023</v>
      </c>
      <c r="I30" t="str">
        <f t="shared" si="0"/>
        <v>Disponibilizado para teste</v>
      </c>
      <c r="J30" t="str">
        <f t="shared" si="1"/>
        <v>NOK</v>
      </c>
    </row>
    <row r="31" spans="1:16" x14ac:dyDescent="0.3">
      <c r="A31" s="35" t="s">
        <v>3763</v>
      </c>
      <c r="B31" s="2">
        <f>VLOOKUP(A31,'Por campo'!B:U,2,FALSE)</f>
        <v>0</v>
      </c>
      <c r="C31" s="2">
        <f>VLOOKUP(A31,'Por campo'!B:U,6,FALSE)</f>
        <v>2017197</v>
      </c>
      <c r="D31" s="2">
        <f>VLOOKUP(A31,'Por campo'!B:U,8,FALSE)</f>
        <v>0</v>
      </c>
      <c r="E31" s="2">
        <f>VLOOKUP(A31,'Por campo'!B:U,10,FALSE)</f>
        <v>0</v>
      </c>
      <c r="F31" s="2">
        <f>VLOOKUP($A31,'Por campo'!B:U,12,FALSE)</f>
        <v>3665</v>
      </c>
      <c r="G31" t="str">
        <f>VLOOKUP($A31,'Por campo'!B:U,14,FALSE)</f>
        <v>Em Implementação</v>
      </c>
      <c r="H31" t="str">
        <f>VLOOKUP($A31,'Por campo'!B:U,17,FALSE)</f>
        <v>Alterado 22/12/2023</v>
      </c>
      <c r="I31" t="str">
        <f t="shared" si="0"/>
        <v>Em implementação</v>
      </c>
      <c r="J31" t="str">
        <f t="shared" si="1"/>
        <v>Em Implementação</v>
      </c>
      <c r="O31" s="9" t="s">
        <v>3794</v>
      </c>
      <c r="P31" t="s">
        <v>3829</v>
      </c>
    </row>
    <row r="32" spans="1:16" x14ac:dyDescent="0.3">
      <c r="A32" s="26" t="s">
        <v>3760</v>
      </c>
      <c r="B32" s="2">
        <f>VLOOKUP(A32,'Por campo'!B:U,2,FALSE)</f>
        <v>1858259</v>
      </c>
      <c r="C32" s="2">
        <f>VLOOKUP(A32,'Por campo'!B:U,6,FALSE)</f>
        <v>1</v>
      </c>
      <c r="D32" s="2">
        <f>VLOOKUP(A32,'Por campo'!B:U,8,FALSE)</f>
        <v>454</v>
      </c>
      <c r="E32" s="2">
        <f>VLOOKUP(A32,'Por campo'!B:U,10,FALSE)</f>
        <v>158483</v>
      </c>
      <c r="F32" s="2">
        <f>VLOOKUP($A32,'Por campo'!B:U,12,FALSE)</f>
        <v>3665</v>
      </c>
      <c r="G32" t="str">
        <f>VLOOKUP($A32,'Por campo'!B:U,14,FALSE)</f>
        <v>Em Correção</v>
      </c>
      <c r="H32" t="str">
        <f>VLOOKUP($A32,'Por campo'!B:U,17,FALSE)</f>
        <v>Alterado 22/12/2023</v>
      </c>
      <c r="I32" t="str">
        <f t="shared" si="0"/>
        <v>Disponibilizado para teste</v>
      </c>
      <c r="J32" t="str">
        <f t="shared" si="1"/>
        <v>NOK</v>
      </c>
    </row>
    <row r="33" spans="1:16" x14ac:dyDescent="0.3">
      <c r="A33" s="35" t="s">
        <v>3765</v>
      </c>
      <c r="B33" s="2">
        <f>VLOOKUP(A33,'Por campo'!B:U,2,FALSE)</f>
        <v>0</v>
      </c>
      <c r="C33" s="2">
        <f>VLOOKUP(A33,'Por campo'!B:U,6,FALSE)</f>
        <v>2017197</v>
      </c>
      <c r="D33" s="2">
        <f>VLOOKUP(A33,'Por campo'!B:U,8,FALSE)</f>
        <v>0</v>
      </c>
      <c r="E33" s="2">
        <f>VLOOKUP(A33,'Por campo'!B:U,10,FALSE)</f>
        <v>0</v>
      </c>
      <c r="F33" s="2">
        <f>VLOOKUP($A33,'Por campo'!B:U,12,FALSE)</f>
        <v>3665</v>
      </c>
      <c r="G33" t="str">
        <f>VLOOKUP($A33,'Por campo'!B:U,14,FALSE)</f>
        <v>Em Implementação</v>
      </c>
      <c r="H33" t="str">
        <f>VLOOKUP($A33,'Por campo'!B:U,17,FALSE)</f>
        <v>Alterado 22/12/2023</v>
      </c>
      <c r="I33" t="str">
        <f t="shared" si="0"/>
        <v>Em implementação</v>
      </c>
      <c r="J33" t="str">
        <f t="shared" si="1"/>
        <v>Em Implementação</v>
      </c>
      <c r="O33" s="9" t="s">
        <v>3681</v>
      </c>
      <c r="P33" t="s">
        <v>3831</v>
      </c>
    </row>
    <row r="34" spans="1:16" x14ac:dyDescent="0.3">
      <c r="A34" s="26" t="s">
        <v>3751</v>
      </c>
      <c r="B34" s="2">
        <f>VLOOKUP(A34,'Por campo'!B:U,2,FALSE)</f>
        <v>1097546</v>
      </c>
      <c r="C34" s="2">
        <f>VLOOKUP(A34,'Por campo'!B:U,6,FALSE)</f>
        <v>760714</v>
      </c>
      <c r="D34" s="2">
        <f>VLOOKUP(A34,'Por campo'!B:U,8,FALSE)</f>
        <v>454</v>
      </c>
      <c r="E34" s="2">
        <f>VLOOKUP(A34,'Por campo'!B:U,10,FALSE)</f>
        <v>158483</v>
      </c>
      <c r="F34" s="2">
        <f>VLOOKUP($A34,'Por campo'!B:U,12,FALSE)</f>
        <v>3665</v>
      </c>
      <c r="G34" t="str">
        <f>VLOOKUP($A34,'Por campo'!B:U,14,FALSE)</f>
        <v>Em Correção</v>
      </c>
      <c r="H34" t="str">
        <f>VLOOKUP($A34,'Por campo'!B:U,17,FALSE)</f>
        <v>Alterado 22/12/2023</v>
      </c>
      <c r="I34" t="str">
        <f t="shared" si="0"/>
        <v>Disponibilizado para teste</v>
      </c>
      <c r="J34" t="str">
        <f t="shared" si="1"/>
        <v>NOK</v>
      </c>
      <c r="O34" s="10" t="s">
        <v>3784</v>
      </c>
      <c r="P34" s="11">
        <v>10</v>
      </c>
    </row>
    <row r="35" spans="1:16" x14ac:dyDescent="0.3">
      <c r="A35" s="35" t="s">
        <v>3762</v>
      </c>
      <c r="B35" s="2">
        <f>VLOOKUP(A35,'Por campo'!B:U,2,FALSE)</f>
        <v>0</v>
      </c>
      <c r="C35" s="2">
        <f>VLOOKUP(A35,'Por campo'!B:U,6,FALSE)</f>
        <v>2017197</v>
      </c>
      <c r="D35" s="2">
        <f>VLOOKUP(A35,'Por campo'!B:U,8,FALSE)</f>
        <v>0</v>
      </c>
      <c r="E35" s="2">
        <f>VLOOKUP(A35,'Por campo'!B:U,10,FALSE)</f>
        <v>0</v>
      </c>
      <c r="F35" s="2">
        <f>VLOOKUP($A35,'Por campo'!B:U,12,FALSE)</f>
        <v>3665</v>
      </c>
      <c r="G35" t="str">
        <f>VLOOKUP($A35,'Por campo'!B:U,14,FALSE)</f>
        <v>Em Implementação</v>
      </c>
      <c r="H35" t="str">
        <f>VLOOKUP($A35,'Por campo'!B:U,17,FALSE)</f>
        <v>Alterado 22/12/2023</v>
      </c>
      <c r="I35" t="str">
        <f t="shared" si="0"/>
        <v>Em implementação</v>
      </c>
      <c r="J35" t="str">
        <f t="shared" si="1"/>
        <v>Em Implementação</v>
      </c>
      <c r="O35" s="10" t="s">
        <v>3707</v>
      </c>
      <c r="P35" s="11">
        <v>6</v>
      </c>
    </row>
    <row r="36" spans="1:16" x14ac:dyDescent="0.3">
      <c r="A36" s="26" t="s">
        <v>3759</v>
      </c>
      <c r="B36" s="2">
        <f>VLOOKUP(A36,'Por campo'!B:U,2,FALSE)</f>
        <v>1858258</v>
      </c>
      <c r="C36" s="2">
        <f>VLOOKUP(A36,'Por campo'!B:U,6,FALSE)</f>
        <v>2</v>
      </c>
      <c r="D36" s="2">
        <f>VLOOKUP(A36,'Por campo'!B:U,8,FALSE)</f>
        <v>454</v>
      </c>
      <c r="E36" s="2">
        <f>VLOOKUP(A36,'Por campo'!B:U,10,FALSE)</f>
        <v>158483</v>
      </c>
      <c r="F36" s="2">
        <f>VLOOKUP($A36,'Por campo'!B:U,12,FALSE)</f>
        <v>3665</v>
      </c>
      <c r="G36" t="str">
        <f>VLOOKUP($A36,'Por campo'!B:U,14,FALSE)</f>
        <v>Em Correção</v>
      </c>
      <c r="H36" t="str">
        <f>VLOOKUP($A36,'Por campo'!B:U,17,FALSE)</f>
        <v>Alterado 22/12/2023</v>
      </c>
      <c r="I36" t="str">
        <f t="shared" si="0"/>
        <v>Disponibilizado para teste</v>
      </c>
      <c r="J36" t="str">
        <f t="shared" si="1"/>
        <v>NOK</v>
      </c>
      <c r="O36" s="10" t="s">
        <v>3706</v>
      </c>
      <c r="P36" s="11">
        <v>19</v>
      </c>
    </row>
    <row r="37" spans="1:16" x14ac:dyDescent="0.3">
      <c r="A37" s="35" t="s">
        <v>3764</v>
      </c>
      <c r="B37" s="2">
        <f>VLOOKUP(A37,'Por campo'!B:U,2,FALSE)</f>
        <v>0</v>
      </c>
      <c r="C37" s="2">
        <f>VLOOKUP(A37,'Por campo'!B:U,6,FALSE)</f>
        <v>2017197</v>
      </c>
      <c r="D37" s="2">
        <f>VLOOKUP(A37,'Por campo'!B:U,8,FALSE)</f>
        <v>0</v>
      </c>
      <c r="E37" s="2">
        <f>VLOOKUP(A37,'Por campo'!B:U,10,FALSE)</f>
        <v>0</v>
      </c>
      <c r="F37" s="2">
        <f>VLOOKUP($A37,'Por campo'!B:U,12,FALSE)</f>
        <v>3665</v>
      </c>
      <c r="G37" t="str">
        <f>VLOOKUP($A37,'Por campo'!B:U,14,FALSE)</f>
        <v>Em Implementação</v>
      </c>
      <c r="H37" t="str">
        <f>VLOOKUP($A37,'Por campo'!B:U,17,FALSE)</f>
        <v>Alterado 22/12/2023</v>
      </c>
      <c r="I37" t="str">
        <f t="shared" si="0"/>
        <v>Em implementação</v>
      </c>
      <c r="J37" t="str">
        <f t="shared" si="1"/>
        <v>Em Implementação</v>
      </c>
      <c r="O37" s="10" t="s">
        <v>3683</v>
      </c>
      <c r="P37" s="11">
        <v>35</v>
      </c>
    </row>
    <row r="38" spans="1:16" x14ac:dyDescent="0.3">
      <c r="A38" s="35" t="s">
        <v>3728</v>
      </c>
      <c r="B38" s="2">
        <f>VLOOKUP(A38,'Por campo'!B:U,2,FALSE)</f>
        <v>1816745</v>
      </c>
      <c r="C38" s="2">
        <f>VLOOKUP(A38,'Por campo'!B:U,6,FALSE)</f>
        <v>0</v>
      </c>
      <c r="D38" s="2">
        <f>VLOOKUP(A38,'Por campo'!B:U,8,FALSE)</f>
        <v>446</v>
      </c>
      <c r="E38" s="2">
        <f>VLOOKUP(A38,'Por campo'!B:U,10,FALSE)</f>
        <v>200006</v>
      </c>
      <c r="F38" s="2">
        <f>VLOOKUP($A38,'Por campo'!B:U,12,FALSE)</f>
        <v>3665</v>
      </c>
      <c r="G38" t="str">
        <f>VLOOKUP($A38,'Por campo'!B:U,14,FALSE)</f>
        <v>Em teste</v>
      </c>
      <c r="H38" t="str">
        <f>VLOOKUP($A38,'Por campo'!B:U,17,FALSE)</f>
        <v>Sem alterações</v>
      </c>
      <c r="I38" t="str">
        <f t="shared" si="0"/>
        <v>Disponibilizado para teste</v>
      </c>
      <c r="J38" t="str">
        <f t="shared" si="1"/>
        <v>Em teste</v>
      </c>
    </row>
    <row r="39" spans="1:16" x14ac:dyDescent="0.3">
      <c r="A39" s="35" t="s">
        <v>3729</v>
      </c>
      <c r="B39" s="2">
        <f>VLOOKUP(A39,'Por campo'!B:U,2,FALSE)</f>
        <v>0</v>
      </c>
      <c r="C39" s="2">
        <f>VLOOKUP(A39,'Por campo'!B:U,6,FALSE)</f>
        <v>2017197</v>
      </c>
      <c r="D39" s="2">
        <f>VLOOKUP(A39,'Por campo'!B:U,8,FALSE)</f>
        <v>0</v>
      </c>
      <c r="E39" s="2">
        <f>VLOOKUP(A39,'Por campo'!B:U,10,FALSE)</f>
        <v>0</v>
      </c>
      <c r="F39" s="2">
        <f>VLOOKUP($A39,'Por campo'!B:U,12,FALSE)</f>
        <v>3665</v>
      </c>
      <c r="G39" t="str">
        <f>VLOOKUP($A39,'Por campo'!B:U,14,FALSE)</f>
        <v>Em Implementação</v>
      </c>
      <c r="H39" t="str">
        <f>VLOOKUP($A39,'Por campo'!B:U,17,FALSE)</f>
        <v>Sem alterações</v>
      </c>
      <c r="I39" t="str">
        <f t="shared" si="0"/>
        <v>Em implementação</v>
      </c>
      <c r="J39" t="str">
        <f t="shared" si="1"/>
        <v>Em Implementação</v>
      </c>
      <c r="O39" s="9" t="s">
        <v>3794</v>
      </c>
      <c r="P39" t="s">
        <v>3829</v>
      </c>
    </row>
    <row r="40" spans="1:16" x14ac:dyDescent="0.3">
      <c r="A40" s="35" t="s">
        <v>3724</v>
      </c>
      <c r="B40" s="2">
        <f>VLOOKUP(A40,'Por campo'!B:U,2,FALSE)</f>
        <v>1815954</v>
      </c>
      <c r="C40" s="2">
        <f>VLOOKUP(A40,'Por campo'!B:U,6,FALSE)</f>
        <v>0</v>
      </c>
      <c r="D40" s="2">
        <f>VLOOKUP(A40,'Por campo'!B:U,8,FALSE)</f>
        <v>446</v>
      </c>
      <c r="E40" s="2">
        <f>VLOOKUP(A40,'Por campo'!B:U,10,FALSE)</f>
        <v>201588</v>
      </c>
      <c r="F40" s="2">
        <f>VLOOKUP($A40,'Por campo'!B:U,12,FALSE)</f>
        <v>3665</v>
      </c>
      <c r="G40" t="str">
        <f>VLOOKUP($A40,'Por campo'!B:U,14,FALSE)</f>
        <v>Em teste</v>
      </c>
      <c r="H40" t="str">
        <f>VLOOKUP($A40,'Por campo'!B:U,17,FALSE)</f>
        <v>Sem alterações</v>
      </c>
      <c r="I40" t="str">
        <f t="shared" si="0"/>
        <v>Disponibilizado para teste</v>
      </c>
      <c r="J40" t="str">
        <f t="shared" si="1"/>
        <v>Em teste</v>
      </c>
    </row>
    <row r="41" spans="1:16" x14ac:dyDescent="0.3">
      <c r="A41" s="35" t="s">
        <v>3725</v>
      </c>
      <c r="B41" s="2">
        <f>VLOOKUP(A41,'Por campo'!B:U,2,FALSE)</f>
        <v>0</v>
      </c>
      <c r="C41" s="2">
        <f>VLOOKUP(A41,'Por campo'!B:U,6,FALSE)</f>
        <v>2017197</v>
      </c>
      <c r="D41" s="2">
        <f>VLOOKUP(A41,'Por campo'!B:U,8,FALSE)</f>
        <v>0</v>
      </c>
      <c r="E41" s="2">
        <f>VLOOKUP(A41,'Por campo'!B:U,10,FALSE)</f>
        <v>0</v>
      </c>
      <c r="F41" s="2">
        <f>VLOOKUP($A41,'Por campo'!B:U,12,FALSE)</f>
        <v>3665</v>
      </c>
      <c r="G41" t="str">
        <f>VLOOKUP($A41,'Por campo'!B:U,14,FALSE)</f>
        <v>Em Implementação</v>
      </c>
      <c r="H41" t="str">
        <f>VLOOKUP($A41,'Por campo'!B:U,17,FALSE)</f>
        <v>Sem alterações</v>
      </c>
      <c r="I41" t="str">
        <f t="shared" si="0"/>
        <v>Em implementação</v>
      </c>
      <c r="J41" t="str">
        <f t="shared" si="1"/>
        <v>Em Implementação</v>
      </c>
      <c r="O41" s="9" t="s">
        <v>3681</v>
      </c>
      <c r="P41" t="s">
        <v>3801</v>
      </c>
    </row>
    <row r="42" spans="1:16" x14ac:dyDescent="0.3">
      <c r="A42" s="26" t="s">
        <v>3767</v>
      </c>
      <c r="B42" s="2">
        <f>VLOOKUP(A42,'Por campo'!B:U,2,FALSE)</f>
        <v>2020821</v>
      </c>
      <c r="C42" s="2">
        <f>VLOOKUP(A42,'Por campo'!B:U,6,FALSE)</f>
        <v>41</v>
      </c>
      <c r="D42" s="2">
        <f>VLOOKUP(A42,'Por campo'!B:U,8,FALSE)</f>
        <v>0</v>
      </c>
      <c r="E42" s="2">
        <f>VLOOKUP(A42,'Por campo'!B:U,10,FALSE)</f>
        <v>0</v>
      </c>
      <c r="F42" s="2">
        <f>VLOOKUP($A42,'Por campo'!B:U,12,FALSE)</f>
        <v>0</v>
      </c>
      <c r="G42" t="str">
        <f>VLOOKUP($A42,'Por campo'!B:U,14,FALSE)</f>
        <v>Em Correção</v>
      </c>
      <c r="H42" t="str">
        <f>VLOOKUP($A42,'Por campo'!B:U,17,FALSE)</f>
        <v>Adicionado 22/12/2023</v>
      </c>
      <c r="I42" t="str">
        <f t="shared" si="0"/>
        <v>Disponibilizado para teste</v>
      </c>
      <c r="J42" t="str">
        <f t="shared" si="1"/>
        <v>NOK</v>
      </c>
      <c r="O42" s="10" t="s">
        <v>3789</v>
      </c>
      <c r="P42" s="11">
        <v>19</v>
      </c>
    </row>
    <row r="43" spans="1:16" x14ac:dyDescent="0.3">
      <c r="A43" s="26" t="s">
        <v>3734</v>
      </c>
      <c r="B43" s="2">
        <f>VLOOKUP(A43,'Por campo'!B:U,2,FALSE)</f>
        <v>2020862</v>
      </c>
      <c r="C43" s="2">
        <f>VLOOKUP(A43,'Por campo'!B:U,6,FALSE)</f>
        <v>0</v>
      </c>
      <c r="D43" s="2">
        <f>VLOOKUP(A43,'Por campo'!B:U,8,FALSE)</f>
        <v>0</v>
      </c>
      <c r="E43" s="2">
        <f>VLOOKUP(A43,'Por campo'!B:U,10,FALSE)</f>
        <v>0</v>
      </c>
      <c r="F43" s="2">
        <f>VLOOKUP($A43,'Por campo'!B:U,12,FALSE)</f>
        <v>0</v>
      </c>
      <c r="G43" t="str">
        <f>VLOOKUP($A43,'Por campo'!B:U,14,FALSE)</f>
        <v>Concluído</v>
      </c>
      <c r="H43" t="str">
        <f>VLOOKUP($A43,'Por campo'!B:U,17,FALSE)</f>
        <v>Sem alterações</v>
      </c>
      <c r="I43" t="str">
        <f t="shared" si="0"/>
        <v>Disponibilizado para teste</v>
      </c>
      <c r="J43" t="str">
        <f t="shared" si="1"/>
        <v>OK</v>
      </c>
      <c r="O43" s="10" t="s">
        <v>3786</v>
      </c>
      <c r="P43" s="11">
        <v>6</v>
      </c>
    </row>
    <row r="44" spans="1:16" x14ac:dyDescent="0.3">
      <c r="A44" s="26" t="s">
        <v>3755</v>
      </c>
      <c r="B44" s="2">
        <f>VLOOKUP(A44,'Por campo'!B:U,2,FALSE)</f>
        <v>2020862</v>
      </c>
      <c r="C44" s="2">
        <f>VLOOKUP(A44,'Por campo'!B:U,6,FALSE)</f>
        <v>0</v>
      </c>
      <c r="D44" s="2">
        <f>VLOOKUP(A44,'Por campo'!B:U,8,FALSE)</f>
        <v>0</v>
      </c>
      <c r="E44" s="2">
        <f>VLOOKUP(A44,'Por campo'!B:U,10,FALSE)</f>
        <v>0</v>
      </c>
      <c r="F44" s="2">
        <f>VLOOKUP($A44,'Por campo'!B:U,12,FALSE)</f>
        <v>0</v>
      </c>
      <c r="G44" t="str">
        <f>VLOOKUP($A44,'Por campo'!B:U,14,FALSE)</f>
        <v>Concluído</v>
      </c>
      <c r="H44" t="str">
        <f>VLOOKUP($A44,'Por campo'!B:U,17,FALSE)</f>
        <v>Sem alterações</v>
      </c>
      <c r="I44" t="str">
        <f t="shared" si="0"/>
        <v>Disponibilizado para teste</v>
      </c>
      <c r="J44" t="str">
        <f t="shared" si="1"/>
        <v>OK</v>
      </c>
      <c r="O44" s="10" t="s">
        <v>3797</v>
      </c>
      <c r="P44" s="11">
        <v>13</v>
      </c>
    </row>
    <row r="45" spans="1:16" x14ac:dyDescent="0.3">
      <c r="A45" s="26" t="s">
        <v>3758</v>
      </c>
      <c r="B45" s="2">
        <f>VLOOKUP(A45,'Por campo'!B:U,2,FALSE)</f>
        <v>0</v>
      </c>
      <c r="C45" s="2">
        <f>VLOOKUP(A45,'Por campo'!B:U,6,FALSE)</f>
        <v>0</v>
      </c>
      <c r="D45" s="2">
        <f>VLOOKUP(A45,'Por campo'!B:U,8,FALSE)</f>
        <v>0</v>
      </c>
      <c r="E45" s="2">
        <f>VLOOKUP(A45,'Por campo'!B:U,10,FALSE)</f>
        <v>2020862</v>
      </c>
      <c r="F45" s="2">
        <f>VLOOKUP($A45,'Por campo'!B:U,12,FALSE)</f>
        <v>0</v>
      </c>
      <c r="G45" t="str">
        <f>VLOOKUP($A45,'Por campo'!B:U,14,FALSE)</f>
        <v>Em análise de requisitos</v>
      </c>
      <c r="H45" t="str">
        <f>VLOOKUP($A45,'Por campo'!B:U,17,FALSE)</f>
        <v>Sem alterações</v>
      </c>
      <c r="I45" t="str">
        <f t="shared" si="0"/>
        <v>Em análise de requisitos</v>
      </c>
      <c r="J45" t="str">
        <f t="shared" si="1"/>
        <v>Em análise de requisitos</v>
      </c>
      <c r="L45" s="51"/>
      <c r="O45" s="10" t="s">
        <v>3784</v>
      </c>
      <c r="P45" s="11">
        <v>10</v>
      </c>
    </row>
    <row r="46" spans="1:16" x14ac:dyDescent="0.3">
      <c r="A46" s="26" t="s">
        <v>3747</v>
      </c>
      <c r="B46" s="2">
        <f>VLOOKUP(A46,'Por campo'!B:U,2,FALSE)</f>
        <v>2020862</v>
      </c>
      <c r="C46" s="2">
        <f>VLOOKUP(A46,'Por campo'!B:U,6,FALSE)</f>
        <v>0</v>
      </c>
      <c r="D46" s="2">
        <f>VLOOKUP(A46,'Por campo'!B:U,8,FALSE)</f>
        <v>0</v>
      </c>
      <c r="E46" s="2">
        <f>VLOOKUP(A46,'Por campo'!B:U,10,FALSE)</f>
        <v>0</v>
      </c>
      <c r="F46" s="2">
        <f>VLOOKUP($A46,'Por campo'!B:U,12,FALSE)</f>
        <v>0</v>
      </c>
      <c r="G46" t="str">
        <f>VLOOKUP($A46,'Por campo'!B:U,14,FALSE)</f>
        <v>Concluído</v>
      </c>
      <c r="H46" t="str">
        <f>VLOOKUP($A46,'Por campo'!B:U,17,FALSE)</f>
        <v>Adicionado 22/12/2023</v>
      </c>
      <c r="I46" t="str">
        <f t="shared" si="0"/>
        <v>Disponibilizado para teste</v>
      </c>
      <c r="J46" t="str">
        <f t="shared" si="1"/>
        <v>OK</v>
      </c>
      <c r="L46" s="52"/>
      <c r="O46" s="10" t="s">
        <v>3832</v>
      </c>
      <c r="P46" s="11">
        <v>2</v>
      </c>
    </row>
    <row r="47" spans="1:16" x14ac:dyDescent="0.3">
      <c r="A47" s="26" t="s">
        <v>3752</v>
      </c>
      <c r="B47" s="2">
        <f>VLOOKUP(A47,'Por campo'!B:U,2,FALSE)</f>
        <v>1894057</v>
      </c>
      <c r="C47" s="2">
        <f>VLOOKUP(A47,'Por campo'!B:U,6,FALSE)</f>
        <v>1</v>
      </c>
      <c r="D47" s="2">
        <f>VLOOKUP(A47,'Por campo'!B:U,8,FALSE)</f>
        <v>454</v>
      </c>
      <c r="E47" s="2">
        <f>VLOOKUP(A47,'Por campo'!B:U,10,FALSE)</f>
        <v>122685</v>
      </c>
      <c r="F47" s="2">
        <f>VLOOKUP($A47,'Por campo'!B:U,12,FALSE)</f>
        <v>3665</v>
      </c>
      <c r="G47" t="str">
        <f>VLOOKUP($A47,'Por campo'!B:U,14,FALSE)</f>
        <v>Em Correção</v>
      </c>
      <c r="H47" t="str">
        <f>VLOOKUP($A47,'Por campo'!B:U,17,FALSE)</f>
        <v>Sem alterações</v>
      </c>
      <c r="I47" t="str">
        <f t="shared" si="0"/>
        <v>Disponibilizado para teste</v>
      </c>
      <c r="J47" t="str">
        <f t="shared" si="1"/>
        <v>NOK</v>
      </c>
      <c r="L47" s="50"/>
      <c r="O47" s="10" t="s">
        <v>3683</v>
      </c>
      <c r="P47" s="11">
        <v>50</v>
      </c>
    </row>
    <row r="48" spans="1:16" x14ac:dyDescent="0.3">
      <c r="A48" s="26" t="s">
        <v>3750</v>
      </c>
      <c r="B48" s="2">
        <f>VLOOKUP(A48,'Por campo'!B:U,2,FALSE)</f>
        <v>0</v>
      </c>
      <c r="C48" s="2">
        <f>VLOOKUP(A48,'Por campo'!B:U,6,FALSE)</f>
        <v>0</v>
      </c>
      <c r="D48" s="2">
        <f>VLOOKUP(A48,'Por campo'!B:U,8,FALSE)</f>
        <v>0</v>
      </c>
      <c r="E48" s="2">
        <f>VLOOKUP(A48,'Por campo'!B:U,10,FALSE)</f>
        <v>2017197</v>
      </c>
      <c r="F48" s="2">
        <f>VLOOKUP($A48,'Por campo'!B:U,12,FALSE)</f>
        <v>3665</v>
      </c>
      <c r="G48" t="str">
        <f>VLOOKUP($A48,'Por campo'!B:U,14,FALSE)</f>
        <v>Em Implementação</v>
      </c>
      <c r="H48" t="str">
        <f>VLOOKUP($A48,'Por campo'!B:U,17,FALSE)</f>
        <v>Sem alterações</v>
      </c>
      <c r="I48" t="str">
        <f t="shared" si="0"/>
        <v>Em implementação</v>
      </c>
      <c r="J48" t="str">
        <f t="shared" si="1"/>
        <v>Em Implementação</v>
      </c>
    </row>
    <row r="49" spans="1:10" x14ac:dyDescent="0.3">
      <c r="A49" s="26" t="s">
        <v>3761</v>
      </c>
      <c r="B49" s="2">
        <f>VLOOKUP(A49,'Por campo'!B:U,2,FALSE)</f>
        <v>0</v>
      </c>
      <c r="C49" s="2">
        <f>VLOOKUP(A49,'Por campo'!B:U,6,FALSE)</f>
        <v>0</v>
      </c>
      <c r="D49" s="2">
        <f>VLOOKUP(A49,'Por campo'!B:U,8,FALSE)</f>
        <v>0</v>
      </c>
      <c r="E49" s="2">
        <f>VLOOKUP(A49,'Por campo'!B:U,10,FALSE)</f>
        <v>2020862</v>
      </c>
      <c r="F49" s="2">
        <f>VLOOKUP($A49,'Por campo'!B:U,12,FALSE)</f>
        <v>0</v>
      </c>
      <c r="G49" t="str">
        <f>VLOOKUP($A49,'Por campo'!B:U,14,FALSE)</f>
        <v>Em análise de requisitos</v>
      </c>
      <c r="H49" t="str">
        <f>VLOOKUP($A49,'Por campo'!B:U,17,FALSE)</f>
        <v>Sem alterações</v>
      </c>
      <c r="I49" t="str">
        <f t="shared" si="0"/>
        <v>Em análise de requisitos</v>
      </c>
      <c r="J49" t="str">
        <f t="shared" si="1"/>
        <v>Em análise de requisitos</v>
      </c>
    </row>
    <row r="50" spans="1:10" x14ac:dyDescent="0.3">
      <c r="A50" s="26" t="s">
        <v>3749</v>
      </c>
      <c r="B50" s="2">
        <f>VLOOKUP(A50,'Por campo'!B:U,2,FALSE)</f>
        <v>0</v>
      </c>
      <c r="C50" s="2">
        <f>VLOOKUP(A50,'Por campo'!B:U,6,FALSE)</f>
        <v>0</v>
      </c>
      <c r="D50" s="2">
        <f>VLOOKUP(A50,'Por campo'!B:U,8,FALSE)</f>
        <v>0</v>
      </c>
      <c r="E50" s="2">
        <f>VLOOKUP(A50,'Por campo'!B:U,10,FALSE)</f>
        <v>2020862</v>
      </c>
      <c r="F50" s="2">
        <f>VLOOKUP($A50,'Por campo'!B:U,12,FALSE)</f>
        <v>0</v>
      </c>
      <c r="G50" t="str">
        <f>VLOOKUP($A50,'Por campo'!B:U,14,FALSE)</f>
        <v>Em implementação</v>
      </c>
      <c r="H50" t="str">
        <f>VLOOKUP($A50,'Por campo'!B:U,17,FALSE)</f>
        <v>Sem alterações</v>
      </c>
      <c r="I50" t="str">
        <f t="shared" si="0"/>
        <v>Em implementação</v>
      </c>
      <c r="J50" t="str">
        <f t="shared" si="1"/>
        <v>Em implementação</v>
      </c>
    </row>
    <row r="51" spans="1:10" x14ac:dyDescent="0.3">
      <c r="A51" s="26" t="s">
        <v>3748</v>
      </c>
      <c r="B51" s="2">
        <f>VLOOKUP(A51,'Por campo'!B:U,2,FALSE)</f>
        <v>0</v>
      </c>
      <c r="C51" s="2">
        <f>VLOOKUP(A51,'Por campo'!B:U,6,FALSE)</f>
        <v>0</v>
      </c>
      <c r="D51" s="2">
        <f>VLOOKUP(A51,'Por campo'!B:U,8,FALSE)</f>
        <v>0</v>
      </c>
      <c r="E51" s="2">
        <f>VLOOKUP(A51,'Por campo'!B:U,10,FALSE)</f>
        <v>2020862</v>
      </c>
      <c r="F51" s="2">
        <f>VLOOKUP($A51,'Por campo'!B:U,12,FALSE)</f>
        <v>0</v>
      </c>
      <c r="G51" t="str">
        <f>VLOOKUP($A51,'Por campo'!B:U,14,FALSE)</f>
        <v>Em implementação</v>
      </c>
      <c r="H51" t="str">
        <f>VLOOKUP($A51,'Por campo'!B:U,17,FALSE)</f>
        <v>Sem alterações</v>
      </c>
      <c r="I51" t="str">
        <f t="shared" si="0"/>
        <v>Em implementação</v>
      </c>
      <c r="J51" t="str">
        <f t="shared" si="1"/>
        <v>Em implementação</v>
      </c>
    </row>
    <row r="52" spans="1:10" x14ac:dyDescent="0.3">
      <c r="A52" s="26" t="s">
        <v>3732</v>
      </c>
      <c r="B52" s="2">
        <f>VLOOKUP(A52,'Por campo'!B:U,2,FALSE)</f>
        <v>2020862</v>
      </c>
      <c r="C52" s="2">
        <f>VLOOKUP(A52,'Por campo'!B:U,6,FALSE)</f>
        <v>0</v>
      </c>
      <c r="D52" s="2">
        <f>VLOOKUP(A52,'Por campo'!B:U,8,FALSE)</f>
        <v>0</v>
      </c>
      <c r="E52" s="2">
        <f>VLOOKUP(A52,'Por campo'!B:U,10,FALSE)</f>
        <v>0</v>
      </c>
      <c r="F52" s="2">
        <f>VLOOKUP($A52,'Por campo'!B:U,12,FALSE)</f>
        <v>0</v>
      </c>
      <c r="G52" t="str">
        <f>VLOOKUP($A52,'Por campo'!B:U,14,FALSE)</f>
        <v>Concluído</v>
      </c>
      <c r="H52" t="str">
        <f>VLOOKUP($A52,'Por campo'!B:U,17,FALSE)</f>
        <v>Sem alterações</v>
      </c>
      <c r="I52" t="str">
        <f t="shared" si="0"/>
        <v>Disponibilizado para teste</v>
      </c>
      <c r="J52" t="str">
        <f t="shared" si="1"/>
        <v>OK</v>
      </c>
    </row>
  </sheetData>
  <autoFilter ref="A1:J52"/>
  <pageMargins left="0.7" right="0.7" top="0.75" bottom="0.75" header="0.3" footer="0.3"/>
  <pageSetup paperSize="9" orientation="portrait"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11375E9B6A4047927DE3870E45B8D5" ma:contentTypeVersion="14" ma:contentTypeDescription="Criar um novo documento." ma:contentTypeScope="" ma:versionID="8bb47f13ad30ed633bcb59df7732d20c">
  <xsd:schema xmlns:xsd="http://www.w3.org/2001/XMLSchema" xmlns:xs="http://www.w3.org/2001/XMLSchema" xmlns:p="http://schemas.microsoft.com/office/2006/metadata/properties" xmlns:ns1="http://schemas.microsoft.com/sharepoint/v3" xmlns:ns2="0683c779-04fc-4b63-89c9-6c25ffa1c0a4" xmlns:ns3="6ea7b29d-57ec-408d-9ea9-cf73b04f66d5" targetNamespace="http://schemas.microsoft.com/office/2006/metadata/properties" ma:root="true" ma:fieldsID="46cda3d50b7930df7472330ff160f145" ns1:_="" ns2:_="" ns3:_="">
    <xsd:import namespace="http://schemas.microsoft.com/sharepoint/v3"/>
    <xsd:import namespace="0683c779-04fc-4b63-89c9-6c25ffa1c0a4"/>
    <xsd:import namespace="6ea7b29d-57ec-408d-9ea9-cf73b04f6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3c779-04fc-4b63-89c9-6c25ffa1c0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b29d-57ec-408d-9ea9-cf73b04f6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28cb997-6b46-4ca3-ae12-c5a1f8f1297b}" ma:internalName="TaxCatchAll" ma:showField="CatchAllData" ma:web="6ea7b29d-57ec-408d-9ea9-cf73b04f6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683c779-04fc-4b63-89c9-6c25ffa1c0a4">
      <Terms xmlns="http://schemas.microsoft.com/office/infopath/2007/PartnerControls"/>
    </lcf76f155ced4ddcb4097134ff3c332f>
    <TaxCatchAll xmlns="6ea7b29d-57ec-408d-9ea9-cf73b04f66d5" xsi:nil="true"/>
  </documentManagement>
</p:properties>
</file>

<file path=customXml/itemProps1.xml><?xml version="1.0" encoding="utf-8"?>
<ds:datastoreItem xmlns:ds="http://schemas.openxmlformats.org/officeDocument/2006/customXml" ds:itemID="{50871A2D-9522-4938-90D6-42B04F4615B3}"/>
</file>

<file path=customXml/itemProps2.xml><?xml version="1.0" encoding="utf-8"?>
<ds:datastoreItem xmlns:ds="http://schemas.openxmlformats.org/officeDocument/2006/customXml" ds:itemID="{69A57489-EBD6-4106-8E77-D6640D4656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6360D6-1E3D-4BBA-9FE4-C78BC7356407}">
  <ds:schemaRefs>
    <ds:schemaRef ds:uri="http://purl.org/dc/elements/1.1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terms/"/>
    <ds:schemaRef ds:uri="http://schemas.microsoft.com/office/2006/documentManagement/types"/>
    <ds:schemaRef ds:uri="0683c779-04fc-4b63-89c9-6c25ffa1c0a4"/>
    <ds:schemaRef ds:uri="6ea7b29d-57ec-408d-9ea9-cf73b04f66d5"/>
    <ds:schemaRef ds:uri="http://schemas.openxmlformats.org/package/2006/metadata/core-properties"/>
    <ds:schemaRef ds:uri="http://schemas.microsoft.com/sharepoint/v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Indicadores</vt:lpstr>
      <vt:lpstr>Sheet2</vt:lpstr>
      <vt:lpstr>N Cruza</vt:lpstr>
      <vt:lpstr>Por campo</vt:lpstr>
      <vt:lpstr>Sheet7</vt:lpstr>
      <vt:lpstr>Dashboard</vt:lpstr>
      <vt:lpstr>aux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Alexandre Redondo Reia</dc:creator>
  <cp:lastModifiedBy>Henrique Crespo Rodrigues Antunes Correia</cp:lastModifiedBy>
  <dcterms:created xsi:type="dcterms:W3CDTF">2024-01-19T14:18:45Z</dcterms:created>
  <dcterms:modified xsi:type="dcterms:W3CDTF">2024-02-23T15:12:15Z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2024-01-22T14:52:54Z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1022f1ae-cd06-42c7-a740-b7f00eedfd76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0x0101007511375E9B6A4047927DE3870E45B8D5</vt:lpwstr>
  </property>
  <property fmtid="{D5CDD505-2E9C-101B-9397-08002B2CF9AE}" pid="10" name="MediaServiceImageTags">
    <vt:lpwstr/>
  </property>
</Properties>
</file>