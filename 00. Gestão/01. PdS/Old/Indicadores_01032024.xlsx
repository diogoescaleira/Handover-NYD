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activeTab="5"/>
  </bookViews>
  <sheets>
    <sheet name="Indicadores" sheetId="1" r:id="rId1"/>
    <sheet name="Sheet2" sheetId="3" state="hidden" r:id="rId2"/>
    <sheet name="N Cruza" sheetId="2" state="hidden" r:id="rId3"/>
    <sheet name="Sheet7" sheetId="8" state="hidden" r:id="rId4"/>
    <sheet name="Por campo" sheetId="11" r:id="rId5"/>
    <sheet name="Dashboard" sheetId="7" r:id="rId6"/>
    <sheet name="aux" sheetId="6" r:id="rId7"/>
  </sheets>
  <definedNames>
    <definedName name="_xlnm._FilterDatabase" localSheetId="6" hidden="1">aux!$A$1:$J$52</definedName>
    <definedName name="_xlnm._FilterDatabase" localSheetId="2" hidden="1">'N Cruza'!$A$1:$C$3666</definedName>
    <definedName name="_xlnm._FilterDatabase" localSheetId="4" hidden="1">'Por campo'!$C$20:$X$20</definedName>
    <definedName name="Slicer_1_FR___1_MIS">#N/A</definedName>
    <definedName name="Slicer_1_FR___N_MIS">#N/A</definedName>
    <definedName name="Slicer_N_FR___N_MIS">#N/A</definedName>
    <definedName name="Slicer_Owner">#N/A</definedName>
    <definedName name="Slicer_Resumo_Origem">#N/A</definedName>
    <definedName name="Slicer_Status_Universo">#N/A</definedName>
  </definedNames>
  <calcPr calcId="162913"/>
  <pivotCaches>
    <pivotCache cacheId="8" r:id="rId8"/>
    <pivotCache cacheId="9"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7" l="1"/>
  <c r="F28" i="7"/>
  <c r="G28" i="7"/>
  <c r="D28" i="7"/>
  <c r="C28" i="7"/>
  <c r="D29" i="7" l="1"/>
  <c r="G29" i="7"/>
  <c r="F29" i="7"/>
  <c r="E29" i="7"/>
  <c r="C29" i="7"/>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E48" i="6"/>
  <c r="D48" i="6"/>
  <c r="C48" i="6"/>
  <c r="B48" i="6"/>
  <c r="G47" i="6"/>
  <c r="J47" i="6" s="1"/>
  <c r="F47" i="6"/>
  <c r="D47" i="6"/>
  <c r="C47" i="6"/>
  <c r="B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C41" i="6"/>
  <c r="B41" i="6"/>
  <c r="G40" i="6"/>
  <c r="J40" i="6" s="1"/>
  <c r="F40" i="6"/>
  <c r="D40" i="6"/>
  <c r="C40" i="6"/>
  <c r="B40" i="6"/>
  <c r="G39" i="6"/>
  <c r="J39" i="6" s="1"/>
  <c r="F39" i="6"/>
  <c r="E39" i="6"/>
  <c r="D39" i="6"/>
  <c r="C39" i="6"/>
  <c r="B39" i="6"/>
  <c r="G38" i="6"/>
  <c r="J38" i="6" s="1"/>
  <c r="F38" i="6"/>
  <c r="D38" i="6"/>
  <c r="C38" i="6"/>
  <c r="B38" i="6"/>
  <c r="G37" i="6"/>
  <c r="I37" i="6" s="1"/>
  <c r="F37" i="6"/>
  <c r="E37" i="6"/>
  <c r="D37" i="6"/>
  <c r="C37" i="6"/>
  <c r="B37" i="6"/>
  <c r="G36" i="6"/>
  <c r="J36" i="6" s="1"/>
  <c r="F36" i="6"/>
  <c r="D36" i="6"/>
  <c r="C36" i="6"/>
  <c r="B36" i="6"/>
  <c r="G35" i="6"/>
  <c r="J35" i="6" s="1"/>
  <c r="F35" i="6"/>
  <c r="E35" i="6"/>
  <c r="D35" i="6"/>
  <c r="C35" i="6"/>
  <c r="B35" i="6"/>
  <c r="G34" i="6"/>
  <c r="J34" i="6" s="1"/>
  <c r="F34" i="6"/>
  <c r="D34" i="6"/>
  <c r="C34" i="6"/>
  <c r="B34" i="6"/>
  <c r="G33" i="6"/>
  <c r="I33" i="6" s="1"/>
  <c r="F33" i="6"/>
  <c r="E33" i="6"/>
  <c r="D33" i="6"/>
  <c r="C33" i="6"/>
  <c r="B33" i="6"/>
  <c r="G32" i="6"/>
  <c r="J32" i="6" s="1"/>
  <c r="F32" i="6"/>
  <c r="D32" i="6"/>
  <c r="C32" i="6"/>
  <c r="B32" i="6"/>
  <c r="G31" i="6"/>
  <c r="J31" i="6" s="1"/>
  <c r="F31" i="6"/>
  <c r="E31" i="6"/>
  <c r="D31" i="6"/>
  <c r="C31" i="6"/>
  <c r="B31" i="6"/>
  <c r="G30" i="6"/>
  <c r="J30" i="6" s="1"/>
  <c r="F30" i="6"/>
  <c r="D30" i="6"/>
  <c r="C30" i="6"/>
  <c r="B30" i="6"/>
  <c r="G29" i="6"/>
  <c r="I29" i="6" s="1"/>
  <c r="F29" i="6"/>
  <c r="D29" i="6"/>
  <c r="C29" i="6"/>
  <c r="B29" i="6"/>
  <c r="G28" i="6"/>
  <c r="J28" i="6" s="1"/>
  <c r="F28" i="6"/>
  <c r="E28" i="6"/>
  <c r="D28" i="6"/>
  <c r="C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C21" i="6"/>
  <c r="B21" i="6"/>
  <c r="G20" i="6"/>
  <c r="J20" i="6" s="1"/>
  <c r="F20" i="6"/>
  <c r="D20" i="6"/>
  <c r="C20" i="6"/>
  <c r="B20" i="6"/>
  <c r="G19" i="6"/>
  <c r="J19" i="6" s="1"/>
  <c r="F19" i="6"/>
  <c r="D19" i="6"/>
  <c r="C19" i="6"/>
  <c r="B19" i="6"/>
  <c r="G18" i="6"/>
  <c r="J18" i="6" s="1"/>
  <c r="F18" i="6"/>
  <c r="E18" i="6"/>
  <c r="D18" i="6"/>
  <c r="C18" i="6"/>
  <c r="B18" i="6"/>
  <c r="G17" i="6"/>
  <c r="I17" i="6" s="1"/>
  <c r="F17" i="6"/>
  <c r="D17" i="6"/>
  <c r="C17" i="6"/>
  <c r="B17" i="6"/>
  <c r="G16" i="6"/>
  <c r="J16" i="6" s="1"/>
  <c r="F16" i="6"/>
  <c r="D16" i="6"/>
  <c r="C16" i="6"/>
  <c r="B16" i="6"/>
  <c r="G15" i="6"/>
  <c r="J15" i="6" s="1"/>
  <c r="F15" i="6"/>
  <c r="E15" i="6"/>
  <c r="D15" i="6"/>
  <c r="C15" i="6"/>
  <c r="B15" i="6"/>
  <c r="G14" i="6"/>
  <c r="J14" i="6" s="1"/>
  <c r="F14" i="6"/>
  <c r="D14" i="6"/>
  <c r="C14" i="6"/>
  <c r="B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C31" i="11" l="1"/>
  <c r="I31" i="11" l="1"/>
  <c r="R21" i="11" l="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AI62" i="11" s="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L58" i="11"/>
  <c r="J58" i="11"/>
  <c r="H58" i="11"/>
  <c r="F58" i="11"/>
  <c r="D58" i="11"/>
  <c r="AJ57" i="11"/>
  <c r="AI57" i="11"/>
  <c r="V57" i="11"/>
  <c r="N57" i="11"/>
  <c r="L57" i="11"/>
  <c r="J57" i="11"/>
  <c r="H57" i="11"/>
  <c r="F57" i="11"/>
  <c r="D57" i="11"/>
  <c r="AJ56" i="11"/>
  <c r="AI56" i="11"/>
  <c r="V56" i="11"/>
  <c r="N56" i="11"/>
  <c r="L56" i="11"/>
  <c r="J56" i="11"/>
  <c r="H56" i="11"/>
  <c r="F56" i="11"/>
  <c r="D56" i="11"/>
  <c r="AJ55" i="11"/>
  <c r="V55" i="11"/>
  <c r="N55" i="11"/>
  <c r="L55" i="11"/>
  <c r="J55" i="11"/>
  <c r="G55" i="11"/>
  <c r="H55" i="11" s="1"/>
  <c r="F55" i="11"/>
  <c r="D55" i="11"/>
  <c r="AF54" i="11"/>
  <c r="AJ54" i="11" s="1"/>
  <c r="V54" i="11"/>
  <c r="N54" i="11"/>
  <c r="I54" i="11"/>
  <c r="J54" i="11" s="1"/>
  <c r="H54" i="11"/>
  <c r="F54" i="11"/>
  <c r="C54" i="11"/>
  <c r="K54" i="11" s="1"/>
  <c r="E40" i="6" s="1"/>
  <c r="AJ53" i="11"/>
  <c r="V53" i="11"/>
  <c r="N53" i="11"/>
  <c r="L53" i="11"/>
  <c r="J53" i="11"/>
  <c r="H53" i="11"/>
  <c r="G53" i="11"/>
  <c r="AI53" i="11" s="1"/>
  <c r="F53" i="11"/>
  <c r="D53" i="11"/>
  <c r="AF52" i="11"/>
  <c r="AJ52" i="11" s="1"/>
  <c r="V52" i="11"/>
  <c r="N52" i="11"/>
  <c r="I52" i="11"/>
  <c r="J52" i="11" s="1"/>
  <c r="H52" i="11"/>
  <c r="F52" i="11"/>
  <c r="C52" i="11"/>
  <c r="K52" i="11" s="1"/>
  <c r="E38" i="6" s="1"/>
  <c r="AJ51" i="11"/>
  <c r="AI51" i="11"/>
  <c r="V51" i="11"/>
  <c r="N51" i="11"/>
  <c r="L51" i="11"/>
  <c r="J51" i="11"/>
  <c r="H51" i="11"/>
  <c r="F51" i="11"/>
  <c r="D51" i="11"/>
  <c r="AJ50" i="11"/>
  <c r="V50" i="11"/>
  <c r="N50" i="11"/>
  <c r="L50" i="11"/>
  <c r="J50" i="11"/>
  <c r="G50" i="11"/>
  <c r="H50" i="11" s="1"/>
  <c r="F50" i="11"/>
  <c r="D50" i="11"/>
  <c r="AJ49" i="11"/>
  <c r="V49" i="11"/>
  <c r="N49" i="11"/>
  <c r="I49" i="11"/>
  <c r="J49" i="11" s="1"/>
  <c r="H49" i="11"/>
  <c r="F49" i="11"/>
  <c r="C49" i="11"/>
  <c r="AJ48" i="11"/>
  <c r="V48" i="11"/>
  <c r="N48" i="11"/>
  <c r="L48" i="11"/>
  <c r="J48" i="11"/>
  <c r="G48" i="11"/>
  <c r="AI48" i="11" s="1"/>
  <c r="F48" i="11"/>
  <c r="D48" i="11"/>
  <c r="AJ47" i="11"/>
  <c r="V47" i="11"/>
  <c r="N47" i="11"/>
  <c r="J47" i="11"/>
  <c r="I47" i="11"/>
  <c r="G47" i="11"/>
  <c r="H47" i="11" s="1"/>
  <c r="F47" i="11"/>
  <c r="C47" i="11"/>
  <c r="D47" i="11" s="1"/>
  <c r="AJ46" i="11"/>
  <c r="V46" i="11"/>
  <c r="N46" i="11"/>
  <c r="L46" i="11"/>
  <c r="J46" i="11"/>
  <c r="H46" i="11"/>
  <c r="G46" i="11"/>
  <c r="AI46" i="11" s="1"/>
  <c r="F46" i="11"/>
  <c r="D46" i="11"/>
  <c r="AJ45" i="11"/>
  <c r="V45" i="11"/>
  <c r="N45" i="11"/>
  <c r="I45" i="11"/>
  <c r="J45" i="11" s="1"/>
  <c r="H45" i="11"/>
  <c r="F45" i="11"/>
  <c r="C45" i="11"/>
  <c r="K45" i="11" s="1"/>
  <c r="AJ44" i="11"/>
  <c r="V44" i="11"/>
  <c r="N44" i="11"/>
  <c r="L44" i="11"/>
  <c r="J44" i="11"/>
  <c r="G44" i="11"/>
  <c r="AI44" i="11" s="1"/>
  <c r="F44" i="11"/>
  <c r="D44" i="11"/>
  <c r="AJ43" i="11"/>
  <c r="V43" i="11"/>
  <c r="N43" i="11"/>
  <c r="I43" i="11"/>
  <c r="J43" i="11" s="1"/>
  <c r="G43" i="11"/>
  <c r="H43" i="11" s="1"/>
  <c r="F43" i="11"/>
  <c r="C43" i="11"/>
  <c r="K43" i="11" s="1"/>
  <c r="E30" i="6" s="1"/>
  <c r="AJ42" i="11"/>
  <c r="V42" i="11"/>
  <c r="N42" i="11"/>
  <c r="I42" i="11"/>
  <c r="J42" i="11" s="1"/>
  <c r="H42" i="11"/>
  <c r="F42" i="11"/>
  <c r="C42" i="11"/>
  <c r="AJ41" i="11"/>
  <c r="V41" i="11"/>
  <c r="N41" i="11"/>
  <c r="L41" i="11"/>
  <c r="J41" i="11"/>
  <c r="G41" i="11"/>
  <c r="H41" i="11" s="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V32" i="11"/>
  <c r="N32" i="11"/>
  <c r="L32" i="11"/>
  <c r="J32" i="11"/>
  <c r="G32" i="11"/>
  <c r="H32" i="11" s="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J27" i="11" s="1"/>
  <c r="H27" i="11"/>
  <c r="F27" i="11"/>
  <c r="C27" i="11"/>
  <c r="AJ26" i="11"/>
  <c r="V26" i="11"/>
  <c r="N26" i="11"/>
  <c r="I26" i="11"/>
  <c r="J26" i="11" s="1"/>
  <c r="H26" i="11"/>
  <c r="F26" i="11"/>
  <c r="C26" i="11"/>
  <c r="AJ25" i="11"/>
  <c r="V25" i="11"/>
  <c r="N25" i="11"/>
  <c r="I25" i="11"/>
  <c r="J25" i="11" s="1"/>
  <c r="H25" i="11"/>
  <c r="F25" i="11"/>
  <c r="C25" i="11"/>
  <c r="K25" i="11" s="1"/>
  <c r="E47" i="6" s="1"/>
  <c r="AF24" i="11"/>
  <c r="AJ24" i="11" s="1"/>
  <c r="V24" i="11"/>
  <c r="N24" i="11"/>
  <c r="I24" i="11"/>
  <c r="J24" i="11" s="1"/>
  <c r="H24" i="11"/>
  <c r="F24" i="11"/>
  <c r="C24" i="11"/>
  <c r="AJ23" i="11"/>
  <c r="AI23" i="11"/>
  <c r="V23" i="11"/>
  <c r="N23" i="11"/>
  <c r="L23" i="11"/>
  <c r="J23" i="11"/>
  <c r="H23" i="11"/>
  <c r="F23" i="11"/>
  <c r="D23" i="11"/>
  <c r="AJ22" i="11"/>
  <c r="V22" i="11"/>
  <c r="N22" i="11"/>
  <c r="I22" i="11"/>
  <c r="J22" i="11" s="1"/>
  <c r="H22" i="11"/>
  <c r="F22" i="11"/>
  <c r="C22" i="11"/>
  <c r="AJ21" i="11"/>
  <c r="V21" i="11"/>
  <c r="N21" i="11"/>
  <c r="L21" i="11"/>
  <c r="I21" i="11"/>
  <c r="J21" i="11" s="1"/>
  <c r="H21" i="11"/>
  <c r="F21" i="11"/>
  <c r="C21" i="11"/>
  <c r="AI45" i="11" l="1"/>
  <c r="E32" i="6"/>
  <c r="K22" i="11"/>
  <c r="K24" i="11"/>
  <c r="AI21" i="11"/>
  <c r="K26" i="11"/>
  <c r="K42" i="11"/>
  <c r="D24" i="11"/>
  <c r="K27" i="11"/>
  <c r="H48" i="11"/>
  <c r="K49" i="11"/>
  <c r="D26" i="11"/>
  <c r="H31" i="11"/>
  <c r="D42" i="11"/>
  <c r="D45" i="11"/>
  <c r="L31" i="11"/>
  <c r="AI31" i="11"/>
  <c r="AI43" i="11"/>
  <c r="L43" i="11"/>
  <c r="L52" i="11"/>
  <c r="AI52" i="11"/>
  <c r="L54" i="11"/>
  <c r="AI54" i="11"/>
  <c r="AI25" i="11"/>
  <c r="L25" i="11"/>
  <c r="AI32" i="11"/>
  <c r="AI41" i="11"/>
  <c r="K47" i="11"/>
  <c r="E34" i="6" s="1"/>
  <c r="D49" i="11"/>
  <c r="D54" i="11"/>
  <c r="AI55" i="11"/>
  <c r="D22" i="11"/>
  <c r="D25" i="11"/>
  <c r="D27" i="11"/>
  <c r="H44" i="11"/>
  <c r="L45" i="11"/>
  <c r="D52" i="11"/>
  <c r="L62" i="11"/>
  <c r="AI50" i="11"/>
  <c r="D21" i="11"/>
  <c r="D43" i="11"/>
  <c r="L49" i="11" l="1"/>
  <c r="E36" i="6"/>
  <c r="L42" i="11"/>
  <c r="E29" i="6"/>
  <c r="AI24" i="11"/>
  <c r="E16" i="6"/>
  <c r="AI22" i="11"/>
  <c r="E19" i="6"/>
  <c r="AI26" i="11"/>
  <c r="E17" i="6"/>
  <c r="AI27" i="11"/>
  <c r="E14" i="6"/>
  <c r="L24" i="11"/>
  <c r="L22" i="11"/>
  <c r="L26" i="11"/>
  <c r="AI49" i="11"/>
  <c r="AI42" i="11"/>
  <c r="L27" i="11"/>
  <c r="AI47" i="11"/>
  <c r="L47" i="11"/>
  <c r="I8" i="1" l="1"/>
  <c r="I7" i="1"/>
  <c r="I6" i="1"/>
  <c r="I5" i="1"/>
  <c r="X9" i="7" l="1"/>
  <c r="W9" i="7" l="1"/>
</calcChain>
</file>

<file path=xl/sharedStrings.xml><?xml version="1.0" encoding="utf-8"?>
<sst xmlns="http://schemas.openxmlformats.org/spreadsheetml/2006/main" count="11597" uniqueCount="3861">
  <si>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</si>
  <si>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</si>
  <si>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</si>
  <si>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</si>
  <si>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</si>
  <si>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</si>
  <si>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</si>
  <si>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</si>
  <si>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</si>
  <si>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</si>
  <si>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</si>
  <si>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</si>
  <si>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</si>
  <si>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</si>
  <si>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</si>
  <si>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</si>
  <si>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</si>
  <si>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</si>
  <si>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</si>
  <si>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</si>
  <si>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</si>
  <si>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</si>
  <si>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</si>
  <si>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</si>
  <si>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</si>
  <si>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</si>
  <si>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</si>
  <si>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</si>
  <si>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</si>
  <si>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</si>
  <si>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</si>
  <si>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</si>
  <si>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</si>
  <si>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</si>
  <si>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</si>
  <si>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</si>
  <si>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</si>
  <si>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</si>
  <si>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</si>
  <si>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</si>
  <si>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</si>
  <si>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</si>
  <si>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</si>
  <si>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</si>
  <si>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</si>
  <si>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</si>
  <si>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</si>
  <si>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</si>
  <si>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</si>
  <si>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</si>
  <si>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</si>
  <si>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</si>
  <si>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</si>
  <si>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</si>
  <si>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</si>
  <si>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</si>
  <si>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</si>
  <si>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</si>
  <si>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</si>
  <si>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</si>
  <si>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</si>
  <si>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</si>
  <si>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</si>
  <si>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</si>
  <si>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</si>
  <si>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</si>
  <si>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</si>
  <si>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</si>
  <si>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</si>
  <si>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</si>
  <si>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</si>
  <si>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</si>
  <si>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</si>
  <si>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</si>
  <si>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</si>
  <si>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</si>
  <si>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</si>
  <si>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</si>
  <si>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</si>
  <si>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</si>
  <si>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</si>
  <si>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</si>
  <si>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</si>
  <si>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</si>
  <si>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</si>
  <si>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</si>
  <si>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</si>
  <si>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</si>
  <si>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</si>
  <si>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</si>
  <si>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</si>
  <si>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</si>
  <si>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</si>
  <si>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</si>
  <si>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</si>
  <si>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</si>
  <si>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</si>
  <si>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</si>
  <si>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</si>
  <si>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</si>
  <si>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</si>
  <si>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</si>
  <si>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</si>
  <si>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</si>
  <si>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</si>
  <si>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</si>
  <si>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</si>
  <si>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</si>
  <si>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</si>
  <si>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</si>
  <si>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</si>
  <si>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</si>
  <si>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</si>
  <si>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</si>
  <si>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</si>
  <si>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</si>
  <si>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</si>
  <si>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</si>
  <si>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</si>
  <si>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</si>
  <si>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</si>
  <si>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</si>
  <si>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</si>
  <si>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</si>
  <si>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</si>
  <si>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</si>
  <si>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</si>
  <si>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</si>
  <si>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</si>
  <si>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</si>
  <si>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</si>
  <si>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</si>
  <si>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</si>
  <si>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</si>
  <si>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</si>
  <si>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</si>
  <si>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</si>
  <si>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</si>
  <si>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</si>
  <si>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</si>
  <si>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</si>
  <si>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</si>
  <si>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</si>
  <si>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</si>
  <si>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</si>
  <si>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</si>
  <si>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</si>
  <si>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</si>
  <si>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</si>
  <si>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</si>
  <si>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</si>
  <si>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</si>
  <si>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</si>
  <si>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</si>
  <si>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</si>
  <si>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</si>
  <si>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</si>
  <si>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</si>
  <si>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</si>
  <si>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</si>
  <si>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</si>
  <si>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</si>
  <si>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</si>
  <si>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</si>
  <si>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</si>
  <si>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</si>
  <si>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</si>
  <si>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</si>
  <si>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</si>
  <si>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</si>
  <si>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</si>
  <si>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</si>
  <si>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</si>
  <si>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</si>
  <si>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</si>
  <si>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</si>
  <si>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</si>
  <si>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</si>
  <si>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</si>
  <si>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</si>
  <si>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</si>
  <si>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</si>
  <si>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</si>
  <si>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</si>
  <si>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</si>
  <si>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</si>
  <si>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</si>
  <si>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</si>
  <si>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</si>
  <si>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</si>
  <si>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</si>
  <si>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</si>
  <si>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</si>
  <si>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</si>
  <si>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</si>
  <si>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</si>
  <si>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</si>
  <si>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</si>
  <si>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</si>
  <si>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</si>
  <si>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</si>
  <si>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</si>
  <si>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</si>
  <si>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</si>
  <si>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</si>
  <si>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</si>
  <si>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</si>
  <si>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</si>
  <si>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</si>
  <si>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</si>
  <si>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</si>
  <si>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</si>
  <si>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</si>
  <si>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</si>
  <si>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</si>
  <si>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</si>
  <si>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</si>
  <si>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</si>
  <si>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</si>
  <si>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</si>
  <si>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</si>
  <si>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</si>
  <si>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</si>
  <si>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</si>
  <si>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</si>
  <si>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</si>
  <si>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</si>
  <si>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</si>
  <si>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</si>
  <si>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</si>
  <si>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</si>
  <si>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</si>
  <si>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</si>
  <si>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</si>
  <si>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</si>
  <si>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</si>
  <si>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</si>
  <si>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</si>
  <si>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</si>
  <si>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</si>
  <si>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</si>
  <si>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</si>
  <si>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</si>
  <si>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</si>
  <si>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</si>
  <si>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</si>
  <si>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</si>
  <si>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</si>
  <si>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</si>
  <si>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</si>
  <si>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</si>
  <si>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</si>
  <si>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</si>
  <si>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</si>
  <si>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</si>
  <si>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</si>
  <si>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</si>
  <si>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</si>
  <si>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</si>
  <si>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</si>
  <si>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</si>
  <si>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</si>
  <si>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</si>
  <si>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</si>
  <si>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</si>
  <si>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</si>
  <si>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</si>
  <si>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</si>
  <si>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</si>
  <si>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</si>
  <si>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</si>
  <si>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</si>
  <si>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</si>
  <si>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</si>
  <si>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</si>
  <si>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</si>
  <si>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</si>
  <si>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</si>
  <si>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</si>
  <si>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</si>
  <si>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</si>
  <si>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</si>
  <si>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</si>
  <si>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</si>
  <si>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</si>
  <si>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</si>
  <si>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</si>
  <si>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</si>
  <si>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</si>
  <si>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</si>
  <si>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</si>
  <si>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</si>
  <si>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</si>
  <si>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</si>
  <si>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</si>
  <si>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</si>
  <si>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</si>
  <si>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</si>
  <si>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</si>
  <si>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</si>
  <si>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</si>
  <si>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</si>
  <si>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</si>
  <si>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</si>
  <si>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</si>
  <si>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</si>
  <si>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</si>
  <si>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</si>
  <si>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</si>
  <si>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</si>
  <si>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</si>
  <si>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</si>
  <si>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</si>
  <si>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</si>
  <si>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</si>
  <si>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</si>
  <si>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</si>
  <si>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</si>
  <si>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</si>
  <si>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</si>
  <si>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</si>
  <si>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</si>
  <si>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</si>
  <si>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</si>
  <si>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</si>
  <si>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</si>
  <si>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</si>
  <si>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</si>
  <si>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</si>
  <si>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</si>
  <si>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</si>
  <si>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</si>
  <si>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</si>
  <si>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</si>
  <si>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</si>
  <si>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</si>
  <si>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</si>
  <si>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</si>
  <si>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</si>
  <si>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</si>
  <si>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</si>
  <si>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</si>
  <si>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</si>
  <si>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</si>
  <si>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</si>
  <si>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</si>
  <si>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</si>
  <si>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</si>
  <si>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</si>
  <si>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</si>
  <si>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</si>
  <si>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</si>
  <si>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</si>
  <si>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</si>
  <si>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</si>
  <si>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</si>
  <si>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</si>
  <si>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</si>
  <si>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</si>
  <si>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</si>
  <si>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</si>
  <si>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</si>
  <si>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</si>
  <si>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</si>
  <si>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</si>
  <si>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</si>
  <si>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</si>
  <si>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</si>
  <si>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</si>
  <si>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</si>
  <si>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</si>
  <si>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</si>
  <si>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</si>
  <si>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</si>
  <si>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</si>
  <si>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</si>
  <si>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</si>
  <si>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</si>
  <si>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</si>
  <si>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</si>
  <si>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</si>
  <si>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</si>
  <si>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</si>
  <si>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</si>
  <si>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</si>
  <si>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</si>
  <si>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</si>
  <si>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</si>
  <si>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</si>
  <si>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</si>
  <si>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</si>
  <si>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</si>
  <si>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</si>
  <si>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</si>
  <si>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</si>
  <si>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</si>
  <si>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</si>
  <si>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</si>
  <si>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</si>
  <si>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</si>
  <si>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</si>
  <si>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</si>
  <si>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</si>
  <si>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</si>
  <si>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</si>
  <si>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</si>
  <si>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</si>
  <si>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</si>
  <si>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</si>
  <si>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</si>
  <si>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</si>
  <si>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</si>
  <si>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</si>
  <si>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</si>
  <si>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</si>
  <si>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</si>
  <si>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</si>
  <si>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</si>
  <si>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</si>
  <si>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</si>
  <si>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</si>
  <si>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</si>
  <si>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</si>
  <si>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</si>
  <si>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</si>
  <si>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</si>
  <si>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</si>
  <si>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</si>
  <si>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</si>
  <si>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</si>
  <si>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</si>
  <si>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</si>
  <si>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</si>
  <si>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</si>
  <si>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</si>
  <si>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</si>
  <si>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</si>
  <si>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</si>
  <si>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</si>
  <si>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</si>
  <si>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</si>
  <si>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</si>
  <si>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</si>
  <si>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</si>
  <si>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</si>
  <si>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</si>
  <si>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</si>
  <si>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</si>
  <si>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</si>
  <si>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</si>
  <si>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</si>
  <si>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</si>
  <si>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</si>
  <si>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</si>
  <si>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</si>
  <si>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</si>
  <si>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</si>
  <si>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</si>
  <si>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</si>
  <si>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</si>
  <si>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</si>
  <si>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</si>
  <si>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</si>
  <si>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</si>
  <si>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</si>
  <si>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</si>
  <si>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</si>
  <si>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</si>
  <si>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</si>
  <si>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</si>
  <si>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</si>
  <si>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</si>
  <si>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</si>
  <si>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</si>
  <si>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</si>
  <si>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</si>
  <si>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</si>
  <si>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</si>
  <si>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</si>
  <si>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</si>
  <si>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</si>
  <si>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</si>
  <si>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</si>
  <si>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</si>
  <si>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</si>
  <si>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</si>
  <si>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</si>
  <si>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</si>
  <si>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</si>
  <si>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</si>
  <si>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</si>
  <si>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</si>
  <si>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</si>
  <si>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</si>
  <si>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</si>
  <si>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</si>
  <si>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</si>
  <si>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</si>
  <si>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</si>
  <si>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</si>
  <si>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</si>
  <si>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</si>
  <si>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</si>
  <si>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</si>
  <si>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</si>
  <si>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</si>
  <si>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</si>
  <si>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</si>
  <si>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</si>
  <si>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</si>
  <si>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</si>
  <si>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</si>
  <si>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</si>
  <si>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</si>
  <si>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</si>
  <si>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</si>
  <si>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</si>
  <si>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</si>
  <si>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</si>
  <si>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</si>
  <si>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</si>
  <si>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</si>
  <si>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</si>
  <si>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</si>
  <si>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</si>
  <si>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</si>
  <si>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</si>
  <si>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</si>
  <si>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</si>
  <si>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</si>
  <si>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</si>
  <si>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</si>
  <si>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</si>
  <si>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</si>
  <si>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</si>
  <si>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</si>
  <si>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</si>
  <si>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</si>
  <si>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</si>
  <si>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</si>
  <si>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</si>
  <si>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</si>
  <si>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</si>
  <si>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</si>
  <si>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</si>
  <si>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</si>
  <si>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</si>
  <si>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</si>
  <si>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</si>
  <si>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</si>
  <si>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</si>
  <si>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</si>
  <si>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</si>
  <si>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</si>
  <si>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</si>
  <si>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</si>
  <si>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</si>
  <si>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</si>
  <si>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</si>
  <si>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</si>
  <si>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</si>
  <si>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</si>
  <si>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</si>
  <si>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</si>
  <si>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</si>
  <si>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</si>
  <si>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</si>
  <si>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</si>
  <si>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</si>
  <si>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</si>
  <si>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</si>
  <si>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</si>
  <si>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</si>
  <si>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</si>
  <si>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</si>
  <si>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</si>
  <si>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</si>
  <si>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</si>
  <si>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</si>
  <si>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</si>
  <si>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</si>
  <si>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</si>
  <si>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</si>
  <si>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</si>
  <si>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</si>
  <si>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</si>
  <si>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</si>
  <si>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</si>
  <si>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</si>
  <si>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</si>
  <si>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</si>
  <si>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</si>
  <si>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</si>
  <si>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</si>
  <si>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</si>
  <si>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</si>
  <si>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</si>
  <si>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</si>
  <si>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</si>
  <si>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</si>
  <si>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</si>
  <si>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</si>
  <si>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</si>
  <si>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</si>
  <si>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</si>
  <si>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</si>
  <si>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</si>
  <si>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</si>
  <si>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</si>
  <si>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</si>
  <si>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</si>
  <si>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</si>
  <si>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</si>
  <si>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</si>
  <si>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</si>
  <si>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</si>
  <si>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</si>
  <si>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</si>
  <si>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</si>
  <si>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</si>
  <si>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</si>
  <si>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</si>
  <si>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</si>
  <si>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</si>
  <si>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</si>
  <si>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</si>
  <si>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</si>
  <si>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</si>
  <si>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</si>
  <si>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</si>
  <si>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</si>
  <si>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</si>
  <si>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</si>
  <si>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</si>
  <si>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</si>
  <si>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</si>
  <si>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</si>
  <si>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</si>
  <si>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</si>
  <si>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</si>
  <si>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</si>
  <si>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</si>
  <si>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</si>
  <si>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</si>
  <si>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</si>
  <si>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</si>
  <si>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</si>
  <si>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</si>
  <si>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</si>
  <si>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</si>
  <si>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</si>
  <si>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</si>
  <si>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</si>
  <si>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</si>
  <si>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</si>
  <si>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</si>
  <si>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</si>
  <si>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</si>
  <si>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</si>
  <si>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</si>
  <si>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</si>
  <si>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</si>
  <si>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</si>
  <si>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</si>
  <si>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</si>
  <si>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</si>
  <si>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</si>
  <si>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</si>
  <si>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</si>
  <si>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</si>
  <si>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</si>
  <si>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</si>
  <si>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</si>
  <si>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</si>
  <si>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</si>
  <si>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</si>
  <si>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</si>
  <si>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</si>
  <si>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</si>
  <si>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</si>
  <si>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</si>
  <si>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</si>
  <si>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</si>
  <si>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</si>
  <si>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</si>
  <si>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</si>
  <si>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</si>
  <si>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</si>
  <si>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</si>
  <si>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</si>
  <si>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</si>
  <si>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</si>
  <si>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</si>
  <si>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</si>
  <si>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</si>
  <si>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</si>
  <si>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</si>
  <si>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</si>
  <si>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</si>
  <si>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</si>
  <si>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</si>
  <si>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</si>
  <si>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</si>
  <si>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</si>
  <si>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</si>
  <si>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</si>
  <si>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</si>
  <si>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</si>
  <si>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</si>
  <si>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</si>
  <si>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</si>
  <si>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</si>
  <si>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</si>
  <si>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</si>
  <si>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</si>
  <si>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</si>
  <si>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</si>
  <si>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</si>
  <si>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</si>
  <si>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</si>
  <si>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</si>
  <si>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</si>
  <si>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</si>
  <si>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</si>
  <si>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</si>
  <si>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</si>
  <si>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</si>
  <si>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</si>
  <si>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</si>
  <si>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</si>
  <si>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</si>
  <si>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</si>
  <si>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</si>
  <si>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</si>
  <si>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</si>
  <si>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</si>
  <si>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</si>
  <si>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</si>
  <si>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</si>
  <si>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</si>
  <si>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</si>
  <si>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</si>
  <si>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</si>
  <si>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</si>
  <si>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</si>
  <si>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</si>
  <si>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</si>
  <si>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</si>
  <si>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</si>
  <si>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</si>
  <si>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</si>
  <si>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</si>
  <si>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</si>
  <si>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</si>
  <si>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</si>
  <si>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</si>
  <si>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</si>
  <si>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</si>
  <si>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</si>
  <si>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</si>
  <si>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</si>
  <si>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</si>
  <si>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</si>
  <si>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</si>
  <si>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</si>
  <si>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</si>
  <si>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</si>
  <si>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</si>
  <si>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</si>
  <si>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</si>
  <si>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</si>
  <si>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</si>
  <si>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</si>
  <si>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</si>
  <si>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</si>
  <si>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</si>
  <si>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</si>
  <si>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</si>
  <si>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</si>
  <si>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</si>
  <si>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</si>
  <si>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</si>
  <si>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</si>
  <si>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</si>
  <si>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</si>
  <si>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</si>
  <si>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</si>
  <si>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</si>
  <si>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</si>
  <si>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</si>
  <si>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</si>
  <si>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</si>
  <si>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</si>
  <si>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</si>
  <si>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</si>
  <si>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</si>
  <si>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</si>
  <si>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</si>
  <si>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</si>
  <si>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</si>
  <si>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</si>
  <si>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</si>
  <si>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</si>
  <si>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</si>
  <si>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</si>
  <si>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</si>
  <si>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</si>
  <si>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</si>
  <si>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</si>
  <si>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</si>
  <si>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</si>
  <si>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</si>
  <si>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</si>
  <si>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</si>
  <si>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</si>
  <si>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</si>
  <si>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</si>
  <si>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</si>
  <si>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</si>
  <si>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</si>
  <si>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</si>
  <si>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</si>
  <si>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</si>
  <si>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</si>
  <si>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</si>
  <si>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</si>
  <si>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</si>
  <si>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</si>
  <si>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</si>
  <si>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</si>
  <si>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</si>
  <si>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</si>
  <si>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</si>
  <si>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</si>
  <si>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</si>
  <si>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</si>
  <si>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</si>
  <si>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</si>
  <si>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</si>
  <si>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</si>
  <si>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</si>
  <si>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</si>
  <si>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</si>
  <si>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</si>
  <si>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</si>
  <si>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</si>
  <si>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</si>
  <si>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</si>
  <si>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</si>
  <si>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</si>
  <si>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</si>
  <si>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</si>
  <si>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</si>
  <si>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</si>
  <si>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</si>
  <si>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</si>
  <si>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</si>
  <si>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</si>
  <si>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</si>
  <si>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</si>
  <si>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</si>
  <si>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</si>
  <si>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</si>
  <si>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</si>
  <si>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</si>
  <si>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</si>
  <si>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</si>
  <si>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</si>
  <si>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</si>
  <si>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</si>
  <si>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</si>
  <si>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</si>
  <si>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</si>
  <si>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</si>
  <si>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</si>
  <si>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</si>
  <si>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</si>
  <si>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</si>
  <si>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</si>
  <si>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</si>
  <si>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</si>
  <si>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</si>
  <si>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</si>
  <si>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</si>
  <si>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</si>
  <si>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</si>
  <si>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</si>
  <si>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</si>
  <si>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</si>
  <si>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</si>
  <si>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</si>
  <si>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</si>
  <si>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</si>
  <si>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</si>
  <si>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</si>
  <si>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</si>
  <si>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</si>
  <si>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</si>
  <si>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</si>
  <si>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</si>
  <si>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</si>
  <si>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</si>
  <si>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</si>
  <si>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</si>
  <si>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</si>
  <si>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</si>
  <si>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</si>
  <si>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</si>
  <si>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</si>
  <si>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</si>
  <si>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</si>
  <si>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</si>
  <si>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</si>
  <si>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</si>
  <si>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</si>
  <si>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</si>
  <si>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</si>
  <si>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</si>
  <si>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</si>
  <si>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</si>
  <si>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</si>
  <si>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</si>
  <si>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</si>
  <si>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</si>
  <si>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</si>
  <si>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</si>
  <si>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</si>
  <si>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</si>
  <si>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</si>
  <si>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</si>
  <si>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</si>
  <si>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</si>
  <si>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</si>
  <si>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</si>
  <si>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</si>
  <si>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</si>
  <si>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</si>
  <si>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</si>
  <si>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</si>
  <si>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</si>
  <si>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</si>
  <si>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</si>
  <si>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</si>
  <si>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</si>
  <si>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</si>
  <si>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</si>
  <si>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</si>
  <si>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</si>
  <si>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</si>
  <si>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</si>
  <si>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</si>
  <si>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</si>
  <si>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</si>
  <si>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</si>
  <si>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</si>
  <si>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</si>
  <si>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</si>
  <si>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</si>
  <si>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</si>
  <si>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</si>
  <si>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</si>
  <si>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</si>
  <si>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</si>
  <si>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</si>
  <si>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</si>
  <si>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</si>
  <si>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</si>
  <si>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</si>
  <si>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</si>
  <si>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</si>
  <si>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</si>
  <si>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</si>
  <si>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</si>
  <si>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</si>
  <si>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</si>
  <si>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</si>
  <si>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</si>
  <si>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</si>
  <si>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</si>
  <si>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</si>
  <si>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</si>
  <si>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</si>
  <si>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</si>
  <si>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</si>
  <si>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</si>
  <si>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</si>
  <si>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</si>
  <si>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</si>
  <si>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</si>
  <si>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</si>
  <si>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</si>
  <si>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</si>
  <si>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</si>
  <si>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</si>
  <si>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</si>
  <si>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</si>
  <si>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</si>
  <si>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</si>
  <si>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</si>
  <si>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</si>
  <si>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</si>
  <si>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</si>
  <si>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</si>
  <si>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</si>
  <si>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</si>
  <si>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</si>
  <si>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</si>
  <si>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</si>
  <si>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</si>
  <si>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</si>
  <si>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</si>
  <si>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</si>
  <si>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</si>
  <si>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</si>
  <si>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</si>
  <si>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</si>
  <si>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</si>
  <si>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</si>
  <si>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</si>
  <si>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</si>
  <si>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</si>
  <si>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</si>
  <si>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</si>
  <si>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</si>
  <si>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</si>
  <si>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</si>
  <si>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</si>
  <si>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</si>
  <si>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</si>
  <si>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</si>
  <si>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</si>
  <si>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</si>
  <si>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</si>
  <si>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</si>
  <si>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</si>
  <si>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</si>
  <si>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</si>
  <si>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</si>
  <si>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</si>
  <si>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</si>
  <si>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</si>
  <si>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</si>
  <si>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</si>
  <si>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</si>
  <si>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</si>
  <si>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</si>
  <si>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</si>
  <si>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</si>
  <si>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</si>
  <si>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</si>
  <si>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</si>
  <si>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</si>
  <si>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</si>
  <si>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</si>
  <si>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</si>
  <si>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</si>
  <si>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</si>
  <si>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</si>
  <si>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</si>
  <si>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</si>
  <si>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</si>
  <si>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</si>
  <si>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</si>
  <si>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</si>
  <si>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</si>
  <si>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</si>
  <si>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</si>
  <si>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</si>
  <si>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</si>
  <si>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</si>
  <si>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</si>
  <si>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</si>
  <si>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</si>
  <si>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</si>
  <si>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</si>
  <si>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</si>
  <si>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</si>
  <si>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</si>
  <si>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</si>
  <si>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</si>
  <si>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</si>
  <si>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</si>
  <si>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</si>
  <si>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</si>
  <si>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</si>
  <si>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</si>
  <si>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</si>
  <si>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</si>
  <si>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</si>
  <si>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</si>
  <si>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</si>
  <si>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</si>
  <si>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</si>
  <si>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</si>
  <si>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</si>
  <si>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</si>
  <si>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</si>
  <si>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</si>
  <si>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</si>
  <si>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</si>
  <si>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</si>
  <si>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</si>
  <si>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</si>
  <si>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</si>
  <si>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</si>
  <si>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</si>
  <si>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</si>
  <si>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</si>
  <si>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</si>
  <si>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</si>
  <si>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</si>
  <si>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</si>
  <si>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</si>
  <si>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</si>
  <si>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</si>
  <si>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</si>
  <si>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</si>
  <si>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</si>
  <si>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</si>
  <si>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</si>
  <si>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</si>
  <si>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</si>
  <si>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</si>
  <si>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</si>
  <si>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</si>
  <si>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</si>
  <si>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</si>
  <si>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</si>
  <si>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</si>
  <si>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</si>
  <si>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</si>
  <si>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</si>
  <si>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</si>
  <si>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</si>
  <si>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</si>
  <si>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</si>
  <si>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</si>
  <si>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</si>
  <si>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</si>
  <si>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</si>
  <si>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</si>
  <si>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</si>
  <si>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</si>
  <si>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</si>
  <si>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</si>
  <si>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</si>
  <si>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</si>
  <si>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</si>
  <si>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</si>
  <si>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</si>
  <si>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</si>
  <si>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</si>
  <si>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</si>
  <si>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</si>
  <si>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</si>
  <si>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</si>
  <si>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</si>
  <si>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</si>
  <si>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</si>
  <si>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</si>
  <si>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</si>
  <si>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</si>
  <si>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</si>
  <si>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</si>
  <si>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</si>
  <si>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</si>
  <si>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</si>
  <si>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</si>
  <si>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</si>
  <si>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</si>
  <si>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</si>
  <si>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</si>
  <si>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</si>
  <si>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</si>
  <si>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</si>
  <si>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</si>
  <si>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</si>
  <si>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</si>
  <si>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</si>
  <si>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</si>
  <si>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</si>
  <si>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</si>
  <si>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</si>
  <si>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</si>
  <si>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</si>
  <si>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</si>
  <si>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</si>
  <si>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</si>
  <si>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</si>
  <si>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</si>
  <si>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</si>
  <si>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</si>
  <si>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</si>
  <si>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</si>
  <si>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</si>
  <si>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</si>
  <si>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</si>
  <si>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</si>
  <si>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</si>
  <si>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</si>
  <si>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</si>
  <si>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</si>
  <si>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</si>
  <si>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</si>
  <si>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</si>
  <si>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</si>
  <si>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</si>
  <si>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</si>
  <si>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</si>
  <si>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</si>
  <si>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</si>
  <si>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</si>
  <si>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</si>
  <si>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</si>
  <si>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</si>
  <si>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</si>
  <si>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</si>
  <si>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</si>
  <si>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</si>
  <si>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</si>
  <si>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</si>
  <si>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</si>
  <si>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</si>
  <si>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</si>
  <si>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</si>
  <si>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</si>
  <si>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</si>
  <si>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</si>
  <si>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</si>
  <si>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</si>
  <si>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</si>
  <si>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</si>
  <si>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</si>
  <si>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</si>
  <si>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</si>
  <si>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</si>
  <si>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</si>
  <si>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</si>
  <si>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</si>
  <si>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</si>
  <si>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</si>
  <si>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</si>
  <si>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</si>
  <si>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</si>
  <si>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</si>
  <si>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</si>
  <si>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</si>
  <si>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</si>
  <si>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</si>
  <si>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</si>
  <si>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</si>
  <si>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</si>
  <si>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</si>
  <si>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</si>
  <si>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</si>
  <si>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</si>
  <si>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</si>
  <si>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</si>
  <si>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</si>
  <si>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</si>
  <si>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</si>
  <si>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</si>
  <si>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</si>
  <si>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</si>
  <si>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</si>
  <si>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</si>
  <si>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</si>
  <si>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</si>
  <si>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</si>
  <si>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</si>
  <si>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</si>
  <si>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</si>
  <si>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</si>
  <si>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</si>
  <si>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</si>
  <si>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</si>
  <si>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</si>
  <si>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</si>
  <si>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</si>
  <si>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</si>
  <si>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</si>
  <si>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</si>
  <si>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</si>
  <si>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</si>
  <si>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</si>
  <si>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</si>
  <si>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</si>
  <si>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</si>
  <si>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</si>
  <si>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</si>
  <si>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</si>
  <si>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</si>
  <si>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</si>
  <si>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</si>
  <si>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</si>
  <si>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</si>
  <si>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</si>
  <si>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</si>
  <si>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</si>
  <si>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</si>
  <si>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</si>
  <si>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</si>
  <si>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</si>
  <si>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</si>
  <si>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</si>
  <si>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</si>
  <si>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</si>
  <si>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</si>
  <si>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</si>
  <si>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</si>
  <si>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</si>
  <si>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</si>
  <si>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</si>
  <si>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</si>
  <si>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</si>
  <si>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</si>
  <si>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</si>
  <si>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</si>
  <si>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</si>
  <si>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</si>
  <si>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</si>
  <si>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</si>
  <si>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</si>
  <si>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</si>
  <si>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</si>
  <si>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</si>
  <si>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</si>
  <si>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</si>
  <si>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</si>
  <si>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</si>
  <si>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</si>
  <si>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</si>
  <si>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</si>
  <si>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</si>
  <si>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</si>
  <si>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</si>
  <si>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</si>
  <si>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</si>
  <si>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</si>
  <si>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</si>
  <si>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</si>
  <si>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</si>
  <si>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</si>
  <si>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</si>
  <si>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</si>
  <si>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</si>
  <si>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</si>
  <si>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</si>
  <si>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</si>
  <si>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</si>
  <si>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</si>
  <si>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</si>
  <si>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</si>
  <si>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</si>
  <si>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</si>
  <si>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</si>
  <si>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</si>
  <si>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</si>
  <si>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</si>
  <si>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</si>
  <si>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</si>
  <si>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</si>
  <si>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</si>
  <si>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</si>
  <si>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</si>
  <si>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</si>
  <si>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</si>
  <si>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</si>
  <si>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</si>
  <si>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</si>
  <si>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</si>
  <si>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</si>
  <si>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</si>
  <si>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</si>
  <si>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</si>
  <si>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</si>
  <si>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</si>
  <si>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</si>
  <si>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</si>
  <si>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</si>
  <si>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</si>
  <si>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</si>
  <si>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</si>
  <si>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</si>
  <si>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</si>
  <si>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</si>
  <si>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</si>
  <si>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</si>
  <si>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</si>
  <si>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</si>
  <si>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</si>
  <si>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</si>
  <si>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</si>
  <si>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</si>
  <si>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</si>
  <si>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</si>
  <si>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</si>
  <si>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</si>
  <si>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</si>
  <si>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</si>
  <si>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</si>
  <si>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</si>
  <si>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</si>
  <si>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</si>
  <si>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</si>
  <si>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</si>
  <si>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</si>
  <si>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</si>
  <si>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</si>
  <si>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</si>
  <si>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</si>
  <si>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</si>
  <si>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</si>
  <si>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</si>
  <si>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</si>
  <si>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</si>
  <si>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</si>
  <si>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</si>
  <si>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</si>
  <si>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</si>
  <si>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</si>
  <si>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</si>
  <si>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</si>
  <si>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</si>
  <si>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</si>
  <si>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</si>
  <si>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</si>
  <si>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</si>
  <si>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</si>
  <si>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</si>
  <si>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</si>
  <si>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</si>
  <si>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</si>
  <si>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</si>
  <si>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</si>
  <si>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</si>
  <si>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</si>
  <si>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</si>
  <si>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</si>
  <si>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</si>
  <si>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</si>
  <si>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</si>
  <si>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</si>
  <si>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</si>
  <si>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</si>
  <si>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</si>
  <si>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</si>
  <si>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</si>
  <si>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</si>
  <si>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</si>
  <si>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</si>
  <si>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</si>
  <si>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</si>
  <si>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</si>
  <si>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</si>
  <si>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</si>
  <si>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</si>
  <si>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</si>
  <si>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</si>
  <si>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</si>
  <si>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</si>
  <si>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</si>
  <si>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</si>
  <si>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</si>
  <si>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</si>
  <si>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</si>
  <si>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</si>
  <si>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</si>
  <si>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</si>
  <si>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</si>
  <si>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</si>
  <si>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</si>
  <si>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</si>
  <si>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</si>
  <si>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</si>
  <si>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</si>
  <si>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</si>
  <si>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</si>
  <si>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</si>
  <si>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</si>
  <si>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</si>
  <si>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</si>
  <si>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</si>
  <si>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</si>
  <si>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</si>
  <si>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</si>
  <si>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</si>
  <si>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</si>
  <si>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</si>
  <si>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</si>
  <si>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</si>
  <si>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</si>
  <si>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</si>
  <si>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</si>
  <si>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</si>
  <si>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</si>
  <si>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</si>
  <si>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</si>
  <si>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</si>
  <si>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</si>
  <si>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</si>
  <si>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</si>
  <si>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</si>
  <si>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</si>
  <si>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</si>
  <si>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</si>
  <si>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</si>
  <si>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</si>
  <si>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</si>
  <si>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</si>
  <si>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</si>
  <si>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</si>
  <si>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</si>
  <si>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</si>
  <si>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</si>
  <si>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</si>
  <si>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</si>
  <si>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</si>
  <si>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</si>
  <si>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</si>
  <si>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</si>
  <si>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</si>
  <si>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</si>
  <si>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</si>
  <si>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</si>
  <si>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</si>
  <si>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</si>
  <si>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</si>
  <si>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</si>
  <si>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</si>
  <si>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</si>
  <si>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</si>
  <si>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</si>
  <si>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</si>
  <si>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</si>
  <si>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</si>
  <si>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</si>
  <si>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</si>
  <si>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</si>
  <si>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</si>
  <si>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</si>
  <si>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</si>
  <si>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</si>
  <si>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</si>
  <si>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</si>
  <si>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</si>
  <si>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</si>
  <si>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</si>
  <si>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</si>
  <si>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</si>
  <si>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</si>
  <si>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</si>
  <si>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</si>
  <si>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</si>
  <si>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</si>
  <si>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</si>
  <si>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</si>
  <si>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</si>
  <si>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</si>
  <si>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</si>
  <si>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</si>
  <si>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</si>
  <si>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</si>
  <si>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</si>
  <si>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</si>
  <si>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</si>
  <si>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</si>
  <si>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</si>
  <si>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</si>
  <si>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</si>
  <si>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</si>
  <si>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</si>
  <si>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</si>
  <si>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</si>
  <si>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</si>
  <si>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</si>
  <si>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</si>
  <si>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</si>
  <si>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</si>
  <si>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</si>
  <si>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</si>
  <si>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</si>
  <si>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</si>
  <si>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</si>
  <si>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</si>
  <si>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</si>
  <si>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</si>
  <si>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</si>
  <si>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</si>
  <si>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</si>
  <si>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</si>
  <si>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</si>
  <si>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</si>
  <si>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</si>
  <si>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</si>
  <si>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</si>
  <si>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</si>
  <si>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</si>
  <si>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</si>
  <si>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</si>
  <si>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</si>
  <si>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</si>
  <si>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</si>
  <si>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</si>
  <si>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</si>
  <si>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</si>
  <si>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</si>
  <si>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</si>
  <si>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</si>
  <si>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</si>
  <si>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</si>
  <si>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</si>
  <si>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</si>
  <si>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</si>
  <si>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</si>
  <si>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</si>
  <si>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</si>
  <si>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</si>
  <si>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</si>
  <si>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</si>
  <si>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</si>
  <si>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</si>
  <si>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</si>
  <si>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</si>
  <si>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</si>
  <si>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</si>
  <si>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</si>
  <si>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</si>
  <si>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</si>
  <si>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</si>
  <si>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</si>
  <si>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</si>
  <si>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</si>
  <si>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</si>
  <si>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</si>
  <si>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</si>
  <si>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</si>
  <si>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</si>
  <si>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</si>
  <si>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</si>
  <si>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</si>
  <si>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</si>
  <si>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</si>
  <si>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</si>
  <si>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</si>
  <si>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</si>
  <si>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</si>
  <si>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</si>
  <si>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</si>
  <si>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</si>
  <si>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</si>
  <si>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</si>
  <si>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</si>
  <si>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</si>
  <si>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</si>
  <si>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</si>
  <si>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</si>
  <si>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</si>
  <si>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</si>
  <si>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</si>
  <si>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</si>
  <si>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</si>
  <si>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</si>
  <si>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</si>
  <si>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</si>
  <si>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</si>
  <si>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</si>
  <si>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</si>
  <si>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</si>
  <si>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</si>
  <si>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</si>
  <si>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</si>
  <si>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</si>
  <si>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</si>
  <si>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</si>
  <si>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</si>
  <si>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</si>
  <si>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</si>
  <si>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</si>
  <si>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</si>
  <si>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</si>
  <si>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</si>
  <si>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</si>
  <si>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</si>
  <si>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</si>
  <si>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</si>
  <si>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</si>
  <si>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</si>
  <si>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</si>
  <si>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</si>
  <si>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</si>
  <si>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</si>
  <si>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</si>
  <si>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</si>
  <si>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</si>
  <si>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</si>
  <si>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</si>
  <si>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</si>
  <si>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</si>
  <si>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</si>
  <si>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</si>
  <si>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</si>
  <si>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</si>
  <si>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</si>
  <si>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</si>
  <si>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</si>
  <si>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</si>
  <si>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</si>
  <si>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</si>
  <si>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</si>
  <si>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</si>
  <si>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</si>
  <si>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</si>
  <si>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</si>
  <si>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</si>
  <si>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</si>
  <si>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</si>
  <si>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</si>
  <si>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</si>
  <si>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</si>
  <si>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</si>
  <si>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</si>
  <si>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</si>
  <si>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</si>
  <si>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</si>
  <si>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</si>
  <si>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</si>
  <si>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</si>
  <si>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</si>
  <si>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</si>
  <si>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</si>
  <si>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</si>
  <si>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</si>
  <si>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</si>
  <si>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</si>
  <si>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</si>
  <si>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</si>
  <si>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</si>
  <si>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</si>
  <si>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</si>
  <si>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</si>
  <si>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</si>
  <si>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</si>
  <si>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</si>
  <si>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</si>
  <si>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</si>
  <si>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</si>
  <si>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</si>
  <si>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</si>
  <si>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</si>
  <si>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</si>
  <si>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</si>
  <si>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</si>
  <si>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</si>
  <si>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</si>
  <si>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</si>
  <si>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</si>
  <si>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</si>
  <si>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</si>
  <si>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</si>
  <si>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</si>
  <si>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</si>
  <si>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</si>
  <si>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</si>
  <si>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</si>
  <si>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</si>
  <si>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</si>
  <si>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</si>
  <si>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</si>
  <si>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</si>
  <si>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</si>
  <si>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</si>
  <si>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</si>
  <si>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</si>
  <si>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</si>
  <si>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</si>
  <si>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</si>
  <si>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</si>
  <si>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</si>
  <si>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</si>
  <si>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</si>
  <si>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</si>
  <si>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</si>
  <si>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</si>
  <si>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</si>
  <si>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</si>
  <si>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</si>
  <si>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</si>
  <si>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</si>
  <si>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</si>
  <si>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</si>
  <si>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</si>
  <si>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</si>
  <si>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</si>
  <si>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</si>
  <si>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</si>
  <si>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</si>
  <si>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</si>
  <si>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</si>
  <si>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</si>
  <si>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</si>
  <si>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</si>
  <si>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</si>
  <si>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</si>
  <si>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</si>
  <si>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</si>
  <si>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</si>
  <si>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</si>
  <si>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</si>
  <si>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</si>
  <si>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</si>
  <si>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</si>
  <si>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</si>
  <si>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</si>
  <si>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</si>
  <si>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</si>
  <si>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</si>
  <si>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</si>
  <si>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</si>
  <si>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</si>
  <si>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</si>
  <si>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</si>
  <si>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</si>
  <si>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</si>
  <si>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</si>
  <si>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</si>
  <si>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</si>
  <si>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</si>
  <si>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</si>
  <si>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</si>
  <si>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</si>
  <si>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</si>
  <si>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</si>
  <si>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</si>
  <si>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</si>
  <si>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</si>
  <si>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</si>
  <si>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</si>
  <si>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</si>
  <si>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</si>
  <si>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</si>
  <si>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</si>
  <si>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</si>
  <si>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</si>
  <si>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</si>
  <si>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</si>
  <si>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</si>
  <si>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</si>
  <si>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</si>
  <si>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</si>
  <si>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</si>
  <si>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</si>
  <si>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</si>
  <si>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</si>
  <si>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</si>
  <si>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</si>
  <si>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</si>
  <si>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</si>
  <si>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</si>
  <si>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</si>
  <si>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</si>
  <si>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</si>
  <si>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</si>
  <si>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</si>
  <si>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</si>
  <si>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</si>
  <si>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</si>
  <si>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</si>
  <si>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</si>
  <si>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</si>
  <si>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</si>
  <si>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</si>
  <si>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</si>
  <si>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</si>
  <si>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</si>
  <si>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</si>
  <si>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</si>
  <si>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</si>
  <si>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</si>
  <si>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</si>
  <si>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</si>
  <si>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</si>
  <si>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</si>
  <si>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</si>
  <si>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</si>
  <si>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</si>
  <si>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</si>
  <si>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</si>
  <si>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</si>
  <si>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</si>
  <si>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</si>
  <si>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</si>
  <si>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</si>
  <si>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</si>
  <si>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</si>
  <si>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</si>
  <si>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</si>
  <si>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</si>
  <si>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</si>
  <si>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</si>
  <si>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</si>
  <si>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</si>
  <si>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</si>
  <si>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</si>
  <si>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</si>
  <si>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</si>
  <si>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</si>
  <si>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</si>
  <si>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</si>
  <si>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</si>
  <si>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</si>
  <si>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</si>
  <si>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</si>
  <si>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</si>
  <si>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</si>
  <si>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</si>
  <si>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</si>
  <si>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</si>
  <si>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</si>
  <si>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</si>
  <si>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</si>
  <si>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</si>
  <si>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</si>
  <si>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</si>
  <si>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</si>
  <si>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</si>
  <si>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</si>
  <si>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</si>
  <si>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</si>
  <si>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</si>
  <si>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</si>
  <si>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</si>
  <si>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</si>
  <si>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</si>
  <si>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</si>
  <si>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</si>
  <si>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</si>
  <si>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</si>
  <si>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</si>
  <si>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</si>
  <si>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</si>
  <si>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</si>
  <si>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</si>
  <si>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</si>
  <si>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</si>
  <si>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</si>
  <si>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</si>
  <si>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</si>
  <si>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</si>
  <si>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</si>
  <si>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</si>
  <si>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</si>
  <si>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</si>
  <si>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</si>
  <si>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</si>
  <si>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</si>
  <si>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</si>
  <si>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</si>
  <si>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</si>
  <si>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</si>
  <si>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</si>
  <si>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</si>
  <si>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</si>
  <si>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</si>
  <si>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</si>
  <si>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</si>
  <si>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</si>
  <si>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</si>
  <si>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</si>
  <si>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</si>
  <si>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</si>
  <si>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</si>
  <si>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</si>
  <si>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</si>
  <si>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</si>
  <si>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</si>
  <si>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</si>
  <si>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</si>
  <si>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</si>
  <si>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</si>
  <si>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</si>
  <si>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</si>
  <si>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</si>
  <si>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</si>
  <si>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</si>
  <si>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</si>
  <si>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</si>
  <si>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</si>
  <si>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</si>
  <si>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</si>
  <si>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</si>
  <si>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</si>
  <si>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</si>
  <si>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</si>
  <si>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</si>
  <si>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</si>
  <si>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</si>
  <si>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</si>
  <si>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</si>
  <si>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</si>
  <si>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</si>
  <si>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</si>
  <si>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</si>
  <si>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</si>
  <si>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</si>
  <si>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</si>
  <si>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</si>
  <si>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</si>
  <si>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</si>
  <si>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</si>
  <si>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</si>
  <si>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</si>
  <si>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</si>
  <si>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</si>
  <si>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</si>
  <si>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</si>
  <si>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</si>
  <si>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</si>
  <si>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</si>
  <si>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</si>
  <si>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</si>
  <si>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</si>
  <si>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</si>
  <si>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</si>
  <si>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</si>
  <si>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</si>
  <si>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</si>
  <si>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</si>
  <si>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</si>
  <si>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</si>
  <si>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</si>
  <si>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</si>
  <si>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</si>
  <si>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</si>
  <si>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</si>
  <si>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</si>
  <si>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</si>
  <si>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</si>
  <si>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</si>
  <si>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</si>
  <si>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</si>
  <si>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</si>
  <si>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</si>
  <si>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</si>
  <si>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</si>
  <si>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</si>
  <si>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</si>
  <si>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</si>
  <si>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</si>
  <si>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</si>
  <si>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</si>
  <si>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</si>
  <si>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</si>
  <si>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</si>
  <si>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</si>
  <si>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</si>
  <si>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</si>
  <si>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</si>
  <si>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</si>
  <si>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</si>
  <si>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</si>
  <si>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</si>
  <si>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</si>
  <si>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</si>
  <si>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</si>
  <si>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</si>
  <si>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</si>
  <si>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</si>
  <si>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</si>
  <si>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</si>
  <si>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</si>
  <si>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</si>
  <si>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</si>
  <si>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</si>
  <si>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</si>
  <si>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</si>
  <si>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</si>
  <si>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</si>
  <si>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</si>
  <si>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</si>
  <si>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</si>
  <si>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</si>
  <si>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</si>
  <si>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</si>
  <si>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</si>
  <si>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</si>
  <si>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</si>
  <si>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</si>
  <si>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</si>
  <si>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</si>
  <si>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</si>
  <si>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</si>
  <si>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</si>
  <si>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</si>
  <si>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</si>
  <si>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</si>
  <si>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</si>
  <si>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</si>
  <si>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</si>
  <si>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</si>
  <si>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</si>
  <si>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</si>
  <si>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</si>
  <si>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</si>
  <si>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</si>
  <si>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</si>
  <si>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</si>
  <si>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</si>
  <si>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</si>
  <si>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</si>
  <si>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</si>
  <si>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</si>
  <si>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</si>
  <si>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</si>
  <si>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</si>
  <si>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</si>
  <si>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</si>
  <si>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</si>
  <si>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</si>
  <si>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</si>
  <si>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</si>
  <si>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</si>
  <si>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</si>
  <si>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</si>
  <si>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</si>
  <si>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</si>
  <si>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</si>
  <si>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</si>
  <si>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</si>
  <si>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</si>
  <si>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</si>
  <si>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</si>
  <si>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</si>
  <si>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</si>
  <si>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</si>
  <si>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</si>
  <si>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</si>
  <si>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</si>
  <si>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</si>
  <si>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</si>
  <si>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</si>
  <si>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</si>
  <si>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</si>
  <si>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</si>
  <si>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</si>
  <si>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</si>
  <si>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</si>
  <si>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</si>
  <si>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</si>
  <si>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</si>
  <si>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</si>
  <si>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</si>
  <si>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</si>
  <si>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</si>
  <si>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</si>
  <si>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</si>
  <si>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</si>
  <si>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</si>
  <si>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</si>
  <si>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</si>
  <si>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</si>
  <si>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</si>
  <si>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</si>
  <si>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</si>
  <si>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</si>
  <si>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</si>
  <si>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</si>
  <si>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</si>
  <si>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</si>
  <si>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</si>
  <si>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</si>
  <si>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</si>
  <si>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</si>
  <si>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</si>
  <si>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</si>
  <si>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</si>
  <si>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</si>
  <si>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</si>
  <si>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</si>
  <si>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</si>
  <si>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</si>
  <si>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</si>
  <si>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</si>
  <si>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</si>
  <si>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</si>
  <si>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</si>
  <si>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</si>
  <si>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</si>
  <si>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</si>
  <si>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</si>
  <si>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</si>
  <si>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</si>
  <si>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</si>
  <si>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</si>
  <si>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</si>
  <si>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</si>
  <si>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</si>
  <si>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</si>
  <si>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</si>
  <si>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</si>
  <si>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</si>
  <si>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</si>
  <si>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</si>
  <si>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</si>
  <si>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</si>
  <si>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</si>
  <si>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</si>
  <si>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</si>
  <si>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</si>
  <si>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</si>
  <si>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</si>
  <si>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</si>
  <si>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</si>
  <si>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</si>
  <si>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</si>
  <si>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</si>
  <si>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</si>
  <si>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</si>
  <si>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</si>
  <si>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</si>
  <si>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</si>
  <si>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</si>
  <si>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</si>
  <si>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</si>
  <si>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</si>
  <si>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</si>
  <si>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</si>
  <si>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</si>
  <si>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</si>
  <si>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</si>
  <si>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</si>
  <si>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</si>
  <si>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</si>
  <si>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</si>
  <si>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</si>
  <si>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</si>
  <si>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</si>
  <si>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</si>
  <si>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</si>
  <si>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</si>
  <si>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</si>
  <si>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</si>
  <si>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</si>
  <si>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</si>
  <si>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</si>
  <si>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</si>
  <si>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</si>
  <si>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</si>
  <si>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</si>
  <si>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</si>
  <si>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</si>
  <si>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</si>
  <si>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</si>
  <si>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</si>
  <si>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</si>
  <si>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</si>
  <si>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</si>
  <si>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</si>
  <si>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</si>
  <si>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</si>
  <si>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</si>
  <si>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</si>
  <si>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</si>
  <si>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</si>
  <si>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</si>
  <si>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</si>
  <si>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</si>
  <si>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</si>
  <si>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</si>
  <si>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</si>
  <si>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</si>
  <si>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</si>
  <si>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</si>
  <si>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</si>
  <si>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</si>
  <si>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</si>
  <si>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</si>
  <si>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</si>
  <si>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</si>
  <si>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</si>
  <si>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</si>
  <si>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</si>
  <si>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</si>
  <si>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</si>
  <si>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</si>
  <si>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</si>
  <si>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</si>
  <si>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</si>
  <si>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</si>
  <si>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</si>
  <si>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</si>
  <si>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</si>
  <si>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</si>
  <si>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</si>
  <si>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</si>
  <si>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</si>
  <si>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</si>
  <si>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</si>
  <si>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</si>
  <si>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</si>
  <si>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</si>
  <si>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</si>
  <si>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</si>
  <si>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</si>
  <si>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</si>
  <si>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</si>
  <si>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</si>
  <si>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</si>
  <si>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</si>
  <si>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</si>
  <si>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</si>
  <si>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</si>
  <si>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</si>
  <si>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</si>
  <si>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</si>
  <si>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</si>
  <si>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</si>
  <si>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</si>
  <si>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</si>
  <si>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</si>
  <si>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</si>
  <si>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</si>
  <si>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</si>
  <si>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</si>
  <si>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</si>
  <si>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</si>
  <si>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</si>
  <si>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</si>
  <si>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</si>
  <si>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</si>
  <si>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</si>
  <si>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</si>
  <si>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</si>
  <si>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</si>
  <si>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</si>
  <si>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</si>
  <si>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</si>
  <si>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</si>
  <si>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</si>
  <si>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</si>
  <si>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</si>
  <si>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</si>
  <si>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</si>
  <si>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</si>
  <si>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</si>
  <si>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</si>
  <si>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</si>
  <si>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</si>
  <si>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</si>
  <si>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</si>
  <si>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</si>
  <si>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</si>
  <si>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</si>
  <si>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</si>
  <si>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</si>
  <si>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</si>
  <si>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</si>
  <si>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</si>
  <si>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</si>
  <si>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</si>
  <si>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</si>
  <si>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</si>
  <si>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</si>
  <si>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</si>
  <si>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</si>
  <si>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</si>
  <si>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</si>
  <si>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</si>
  <si>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</si>
  <si>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</si>
  <si>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</si>
  <si>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</si>
  <si>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</si>
  <si>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</si>
  <si>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</si>
  <si>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</si>
  <si>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</si>
  <si>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</si>
  <si>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</si>
  <si>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</si>
  <si>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</si>
  <si>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</si>
  <si>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</si>
  <si>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</si>
  <si>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</si>
  <si>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</si>
  <si>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</si>
  <si>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</si>
  <si>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</si>
  <si>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</si>
  <si>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</si>
  <si>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</si>
  <si>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</si>
  <si>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</si>
  <si>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</si>
  <si>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</si>
  <si>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</si>
  <si>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</si>
  <si>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</si>
  <si>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</si>
  <si>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</si>
  <si>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</si>
  <si>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</si>
  <si>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</si>
  <si>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</si>
  <si>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</si>
  <si>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</si>
  <si>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</si>
  <si>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</si>
  <si>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</si>
  <si>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</si>
  <si>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</si>
  <si>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</si>
  <si>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</si>
  <si>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</si>
  <si>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</si>
  <si>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</si>
  <si>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</si>
  <si>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</si>
  <si>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</si>
  <si>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</si>
  <si>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</si>
  <si>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</si>
  <si>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</si>
  <si>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</si>
  <si>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</si>
  <si>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</si>
  <si>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</si>
  <si>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</si>
  <si>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</si>
  <si>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</si>
  <si>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</si>
  <si>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</si>
  <si>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</si>
  <si>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</si>
  <si>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</si>
  <si>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</si>
  <si>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</si>
  <si>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</si>
  <si>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</si>
  <si>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</si>
  <si>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</si>
  <si>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</si>
  <si>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</si>
  <si>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</si>
  <si>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</si>
  <si>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</si>
  <si>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</si>
  <si>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</si>
  <si>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</si>
  <si>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</si>
  <si>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</si>
  <si>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</si>
  <si>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</si>
  <si>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</si>
  <si>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</si>
  <si>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</si>
  <si>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</si>
  <si>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</si>
  <si>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</si>
  <si>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</si>
  <si>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</si>
  <si>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</si>
  <si>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</si>
  <si>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</si>
  <si>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</si>
  <si>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</si>
  <si>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</si>
  <si>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</si>
  <si>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</si>
  <si>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</si>
  <si>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</si>
  <si>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</si>
  <si>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</si>
  <si>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</si>
  <si>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</si>
  <si>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</si>
  <si>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</si>
  <si>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</si>
  <si>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</si>
  <si>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</si>
  <si>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</si>
  <si>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</si>
  <si>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</si>
  <si>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</si>
  <si>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</si>
  <si>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</si>
  <si>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</si>
  <si>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</si>
  <si>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</si>
  <si>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</si>
  <si>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</si>
  <si>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</si>
  <si>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</si>
  <si>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</si>
  <si>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</si>
  <si>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</si>
  <si>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</si>
  <si>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</si>
  <si>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</si>
  <si>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</si>
  <si>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</si>
  <si>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</si>
  <si>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</si>
  <si>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</si>
  <si>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</si>
  <si>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</si>
  <si>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</si>
  <si>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</si>
  <si>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</si>
  <si>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</si>
  <si>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</si>
  <si>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</si>
  <si>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</si>
  <si>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</si>
  <si>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</si>
  <si>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</si>
  <si>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</si>
  <si>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</si>
  <si>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</si>
  <si>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</si>
  <si>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</si>
  <si>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</si>
  <si>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</si>
  <si>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</si>
  <si>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</si>
  <si>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</si>
  <si>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</si>
  <si>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</si>
  <si>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</si>
  <si>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</si>
  <si>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</si>
  <si>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</si>
  <si>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</si>
  <si>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</si>
  <si>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</si>
  <si>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</si>
  <si>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</si>
  <si>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</si>
  <si>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</si>
  <si>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</si>
  <si>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</si>
  <si>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</si>
  <si>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</si>
  <si>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</si>
  <si>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</si>
  <si>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</si>
  <si>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</si>
  <si>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</si>
  <si>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</si>
  <si>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</si>
  <si>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</si>
  <si>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</si>
  <si>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</si>
  <si>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</si>
  <si>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</si>
  <si>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</si>
  <si>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</si>
  <si>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</si>
  <si>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</si>
  <si>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</si>
  <si>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</si>
  <si>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</si>
  <si>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</si>
  <si>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</si>
  <si>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</si>
  <si>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</si>
  <si>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</si>
  <si>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</si>
  <si>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</si>
  <si>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</si>
  <si>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</si>
  <si>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</si>
  <si>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</si>
  <si>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</si>
  <si>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</si>
  <si>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</si>
  <si>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</si>
  <si>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</si>
  <si>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</si>
  <si>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</si>
  <si>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</si>
  <si>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</si>
  <si>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</si>
  <si>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</si>
  <si>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</si>
  <si>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</si>
  <si>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</si>
  <si>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</si>
  <si>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</si>
  <si>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</si>
  <si>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</si>
  <si>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</si>
  <si>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</si>
  <si>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</si>
  <si>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</si>
  <si>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</si>
  <si>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</si>
  <si>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</si>
  <si>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</si>
  <si>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</si>
  <si>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</si>
  <si>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</si>
  <si>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</si>
  <si>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</si>
  <si>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</si>
  <si>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</si>
  <si>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</si>
  <si>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</si>
  <si>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</si>
  <si>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</si>
  <si>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</si>
  <si>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</si>
  <si>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</si>
  <si>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</si>
  <si>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</si>
  <si>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</si>
  <si>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</si>
  <si>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</si>
  <si>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</si>
  <si>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</si>
  <si>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</si>
  <si>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</si>
  <si>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</si>
  <si>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</si>
  <si>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</si>
  <si>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</si>
  <si>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</si>
  <si>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</si>
  <si>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</si>
  <si>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</si>
  <si>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</si>
  <si>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</si>
  <si>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</si>
  <si>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</si>
  <si>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</si>
  <si>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</si>
  <si>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</si>
  <si>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</si>
  <si>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</si>
  <si>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</si>
  <si>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</si>
  <si>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</si>
  <si>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</si>
  <si>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</si>
  <si>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</si>
  <si>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</si>
  <si>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</si>
  <si>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</si>
  <si>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</si>
  <si>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</si>
  <si>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</si>
  <si>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</si>
  <si>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</si>
  <si>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</si>
  <si>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</si>
  <si>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</si>
  <si>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</si>
  <si>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</si>
  <si>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</si>
  <si>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</si>
  <si>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</si>
  <si>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</si>
  <si>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</si>
  <si>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</si>
  <si>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</si>
  <si>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</si>
  <si>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</si>
  <si>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</si>
  <si>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</si>
  <si>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</si>
  <si>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</si>
  <si>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</si>
  <si>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</si>
  <si>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</si>
  <si>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</si>
  <si>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</si>
  <si>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</si>
  <si>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</si>
  <si>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</si>
  <si>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</si>
  <si>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</si>
  <si>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</si>
  <si>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</si>
  <si>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</si>
  <si>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</si>
  <si>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</si>
  <si>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</si>
  <si>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</si>
  <si>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</si>
  <si>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</si>
  <si>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</si>
  <si>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</si>
  <si>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</si>
  <si>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</si>
  <si>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</si>
  <si>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</si>
  <si>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</si>
  <si>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</si>
  <si>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</si>
  <si>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</si>
  <si>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</si>
  <si>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</si>
  <si>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</si>
  <si>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</si>
  <si>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</si>
  <si>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</si>
  <si>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</si>
  <si>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</si>
  <si>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</si>
  <si>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</si>
  <si>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</si>
  <si>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</si>
  <si>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</si>
  <si>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</si>
  <si>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</si>
  <si>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</si>
  <si>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</si>
  <si>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</si>
  <si>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</si>
  <si>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</si>
  <si>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</si>
  <si>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</si>
  <si>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</si>
  <si>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</si>
  <si>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</si>
  <si>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</si>
  <si>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</si>
  <si>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</si>
  <si>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</si>
  <si>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</si>
  <si>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</si>
  <si>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</si>
  <si>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</si>
  <si>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</si>
  <si>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</si>
  <si>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</si>
  <si>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</si>
  <si>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</si>
  <si>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</si>
  <si>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</si>
  <si>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</si>
  <si>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</si>
  <si>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</si>
  <si>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</si>
  <si>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</si>
  <si>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</si>
  <si>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</si>
  <si>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</si>
  <si>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</si>
  <si>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</si>
  <si>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</si>
  <si>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</si>
  <si>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</si>
  <si>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</si>
  <si>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</si>
  <si>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</si>
  <si>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</si>
  <si>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</si>
  <si>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</si>
  <si>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</si>
  <si>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</si>
  <si>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</si>
  <si>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</si>
  <si>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</si>
  <si>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</si>
  <si>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</si>
  <si>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</si>
  <si>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</si>
  <si>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</si>
  <si>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</si>
  <si>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</si>
  <si>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</si>
  <si>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</si>
  <si>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</si>
  <si>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</si>
  <si>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</si>
  <si>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</si>
  <si>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</si>
  <si>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</si>
  <si>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</si>
  <si>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</si>
  <si>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</si>
  <si>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</si>
  <si>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</si>
  <si>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</si>
  <si>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</si>
  <si>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</si>
  <si>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</si>
  <si>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</si>
  <si>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</si>
  <si>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</si>
  <si>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</si>
  <si>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</si>
  <si>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</si>
  <si>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</si>
  <si>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</si>
  <si>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</si>
  <si>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</si>
  <si>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</si>
  <si>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</si>
  <si>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</si>
  <si>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</si>
  <si>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</si>
  <si>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</si>
  <si>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</si>
  <si>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</si>
  <si>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</si>
  <si>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</si>
  <si>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</si>
  <si>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</si>
  <si>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</si>
  <si>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</si>
  <si>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</si>
  <si>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</si>
  <si>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</si>
  <si>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</si>
  <si>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</si>
  <si>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</si>
  <si>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</si>
  <si>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</si>
  <si>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</si>
  <si>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</si>
  <si>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</si>
  <si>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</si>
  <si>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</si>
  <si>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</si>
  <si>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</si>
  <si>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</si>
  <si>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</si>
  <si>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</si>
  <si>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</si>
  <si>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</si>
  <si>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</si>
  <si>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</si>
  <si>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</si>
  <si>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</si>
  <si>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</si>
  <si>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</si>
  <si>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</si>
  <si>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</si>
  <si>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</si>
  <si>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</si>
  <si>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</si>
  <si>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</si>
  <si>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</si>
  <si>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</si>
  <si>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</si>
  <si>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</si>
  <si>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</si>
  <si>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</si>
  <si>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</si>
  <si>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</si>
  <si>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</si>
  <si>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</si>
  <si>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</si>
  <si>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</si>
  <si>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</si>
  <si>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</si>
  <si>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</si>
  <si>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</si>
  <si>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</si>
  <si>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</si>
  <si>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</si>
  <si>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</si>
  <si>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</si>
  <si>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</si>
  <si>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</si>
  <si>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</si>
  <si>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</si>
  <si>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</si>
  <si>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</si>
  <si>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</si>
  <si>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</si>
  <si>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</si>
  <si>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</si>
  <si>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</si>
  <si>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</si>
  <si>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</si>
  <si>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</si>
  <si>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</si>
  <si>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</si>
  <si>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</si>
  <si>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</si>
  <si>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</si>
  <si>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</si>
  <si>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</si>
  <si>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</si>
  <si>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</si>
  <si>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</si>
  <si>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</si>
  <si>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</si>
  <si>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</si>
  <si>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</si>
  <si>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</si>
  <si>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</si>
  <si>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</si>
  <si>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</si>
  <si>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</si>
  <si>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</si>
  <si>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</si>
  <si>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</si>
  <si>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</si>
  <si>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</si>
  <si>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</si>
  <si>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</si>
  <si>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</si>
  <si>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</si>
  <si>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</si>
  <si>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</si>
  <si>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</si>
  <si>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</si>
  <si>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</si>
  <si>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</si>
  <si>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</si>
  <si>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</si>
  <si>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</si>
  <si>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</si>
  <si>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</si>
  <si>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</si>
  <si>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</si>
  <si>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</si>
  <si>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</si>
  <si>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</si>
  <si>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</si>
  <si>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</si>
  <si>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</si>
  <si>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</si>
  <si>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</si>
  <si>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</si>
  <si>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</si>
  <si>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</si>
  <si>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</si>
  <si>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</si>
  <si>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</si>
  <si>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</si>
  <si>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</si>
  <si>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</si>
  <si>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</si>
  <si>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</si>
  <si>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</si>
  <si>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</si>
  <si>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</si>
  <si>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</si>
  <si>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</si>
  <si>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</si>
  <si>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</si>
  <si>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</si>
  <si>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</si>
  <si>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</si>
  <si>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</si>
  <si>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</si>
  <si>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</si>
  <si>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</si>
  <si>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</si>
  <si>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</si>
  <si>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</si>
  <si>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</si>
  <si>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</si>
  <si>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</si>
  <si>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</si>
  <si>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</si>
  <si>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</si>
  <si>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</si>
  <si>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</si>
  <si>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</si>
  <si>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</si>
  <si>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</si>
  <si>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</si>
  <si>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</si>
  <si>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</si>
  <si>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</si>
  <si>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</si>
  <si>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</si>
  <si>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</si>
  <si>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</si>
  <si>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</si>
  <si>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</si>
  <si>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</si>
  <si>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</si>
  <si>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</si>
  <si>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</si>
  <si>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</si>
  <si>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</si>
  <si>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</si>
  <si>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</si>
  <si>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</si>
  <si>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</si>
  <si>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</si>
  <si>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</si>
  <si>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</si>
  <si>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</si>
  <si>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</si>
  <si>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</si>
  <si>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</si>
  <si>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</si>
  <si>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</si>
  <si>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</si>
  <si>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</si>
  <si>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</si>
  <si>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</si>
  <si>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</si>
  <si>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</si>
  <si>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</si>
  <si>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</si>
  <si>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</si>
  <si>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</si>
  <si>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</si>
  <si>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</si>
  <si>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</si>
  <si>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</si>
  <si>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</si>
  <si>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</si>
  <si>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</si>
  <si>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</si>
  <si>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</si>
  <si>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</si>
  <si>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</si>
  <si>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</si>
  <si>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</si>
  <si>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</si>
  <si>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</si>
  <si>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</si>
  <si>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</si>
  <si>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</si>
  <si>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</si>
  <si>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</si>
  <si>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</si>
  <si>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</si>
  <si>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</si>
  <si>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</si>
  <si>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</si>
  <si>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</si>
  <si>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</si>
  <si>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</si>
  <si>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</si>
  <si>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</si>
  <si>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</si>
  <si>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</si>
  <si>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</si>
  <si>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</si>
  <si>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</si>
  <si>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</si>
  <si>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</si>
  <si>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</si>
  <si>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</si>
  <si>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</si>
  <si>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</si>
  <si>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</si>
  <si>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</si>
  <si>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</si>
  <si>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</si>
  <si>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</si>
  <si>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</si>
  <si>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</si>
  <si>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</si>
  <si>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</si>
  <si>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</si>
  <si>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</si>
  <si>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</si>
  <si>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</si>
  <si>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</si>
  <si>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</si>
  <si>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</si>
  <si>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</si>
  <si>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</si>
  <si>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</si>
  <si>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</si>
  <si>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</si>
  <si>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</si>
  <si>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</si>
  <si>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</si>
  <si>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</si>
  <si>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</si>
  <si>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</si>
  <si>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</si>
  <si>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</si>
  <si>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</si>
  <si>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</si>
  <si>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</si>
  <si>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</si>
  <si>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</si>
  <si>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</si>
  <si>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</si>
  <si>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</si>
  <si>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</si>
  <si>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</si>
  <si>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</si>
  <si>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</si>
  <si>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</si>
  <si>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</si>
  <si>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</si>
  <si>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</si>
  <si>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</si>
  <si>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</si>
  <si>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</si>
  <si>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</si>
  <si>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</si>
  <si>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</si>
  <si>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</si>
  <si>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</si>
  <si>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</si>
  <si>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</si>
  <si>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</si>
  <si>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</si>
  <si>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</si>
  <si>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</si>
  <si>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</si>
  <si>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</si>
  <si>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</si>
  <si>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</si>
  <si>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</si>
  <si>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</si>
  <si>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</si>
  <si>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</si>
  <si>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</si>
  <si>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</si>
  <si>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</si>
  <si>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</si>
  <si>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</si>
  <si>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</si>
  <si>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</si>
  <si>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</si>
  <si>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</si>
  <si>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</si>
  <si>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</si>
  <si>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</si>
  <si>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</si>
  <si>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</si>
  <si>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</si>
  <si>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</si>
  <si>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</si>
  <si>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</si>
  <si>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</si>
  <si>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</si>
  <si>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</si>
  <si>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</si>
  <si>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</si>
  <si>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</si>
  <si>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</si>
  <si>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</si>
  <si>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</si>
  <si>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</si>
  <si>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</si>
  <si>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</si>
  <si>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</si>
  <si>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</si>
  <si>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</si>
  <si>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</si>
  <si>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</si>
  <si>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</si>
  <si>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</si>
  <si>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</si>
  <si>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</si>
  <si>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</si>
  <si>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</si>
  <si>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</si>
  <si>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</si>
  <si>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</si>
  <si>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</si>
  <si>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</si>
  <si>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</si>
  <si>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</si>
  <si>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</si>
  <si>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</si>
  <si>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</si>
  <si>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</si>
  <si>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</si>
  <si>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</si>
  <si>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</si>
  <si>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</si>
  <si>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</si>
  <si>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</si>
  <si>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</si>
  <si>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</si>
  <si>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</si>
  <si>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</si>
  <si>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</si>
  <si>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</si>
  <si>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</si>
  <si>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</si>
  <si>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</si>
  <si>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</si>
  <si>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</si>
  <si>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</si>
  <si>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</si>
  <si>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</si>
  <si>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</si>
  <si>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</si>
  <si>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</si>
  <si>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</si>
  <si>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</si>
  <si>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</si>
  <si>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</si>
  <si>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</si>
  <si>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</si>
  <si>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</si>
  <si>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</si>
  <si>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</si>
  <si>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</si>
  <si>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</si>
  <si>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</si>
  <si>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</si>
  <si>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</si>
  <si>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</si>
  <si>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</si>
  <si>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</si>
  <si>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</si>
  <si>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</si>
  <si>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</si>
  <si>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</si>
  <si>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</si>
  <si>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</si>
  <si>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</si>
  <si>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</si>
  <si>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</si>
  <si>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</si>
  <si>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</si>
  <si>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</si>
  <si>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</si>
  <si>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</si>
  <si>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</si>
  <si>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</si>
  <si>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</si>
  <si>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</si>
  <si>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</si>
  <si>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</si>
  <si>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</si>
  <si>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</si>
  <si>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</si>
  <si>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</si>
  <si>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</si>
  <si>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</si>
  <si>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</si>
  <si>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</si>
  <si>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</si>
  <si>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</si>
  <si>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</si>
  <si>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</si>
  <si>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</si>
  <si>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</si>
  <si>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</si>
  <si>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</si>
  <si>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</si>
  <si>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</si>
  <si>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</si>
  <si>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</si>
  <si>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</si>
  <si>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</si>
  <si>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</si>
  <si>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</si>
  <si>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</si>
  <si>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</si>
  <si>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</si>
  <si>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</si>
  <si>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</si>
  <si>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</si>
  <si>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</si>
  <si>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</si>
  <si>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</si>
  <si>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</si>
  <si>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</si>
  <si>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</si>
  <si>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</si>
  <si>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</si>
  <si>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</si>
  <si>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</si>
  <si>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</si>
  <si>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</si>
  <si>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</si>
  <si>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</si>
  <si>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</si>
  <si>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</si>
  <si>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</si>
  <si>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</si>
  <si>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</si>
  <si>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</si>
  <si>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</si>
  <si>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</si>
  <si>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</si>
  <si>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</si>
  <si>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</si>
  <si>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</si>
  <si>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</si>
  <si>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</si>
  <si>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</si>
  <si>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</si>
  <si>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</si>
  <si>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</si>
  <si>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</si>
  <si>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</si>
  <si>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</si>
  <si>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</si>
  <si>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</si>
  <si>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</si>
  <si>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</si>
  <si>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</si>
  <si>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</si>
  <si>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</si>
  <si>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</si>
  <si>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</si>
  <si>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</si>
  <si>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</si>
  <si>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</si>
  <si>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</si>
  <si>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</si>
  <si>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</si>
  <si>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</si>
  <si>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</si>
  <si>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</si>
  <si>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</si>
  <si>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</si>
  <si>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</si>
  <si>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</si>
  <si>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</si>
  <si>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</si>
  <si>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</si>
  <si>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</si>
  <si>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</si>
  <si>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</si>
  <si>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</si>
  <si>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</si>
  <si>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</si>
  <si>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</si>
  <si>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</si>
  <si>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</si>
  <si>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</si>
  <si>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</si>
  <si>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</si>
  <si>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</si>
  <si>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</si>
  <si>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</si>
  <si>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</si>
  <si>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</si>
  <si>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</si>
  <si>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</si>
  <si>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</si>
  <si>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</si>
  <si>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</si>
  <si>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</si>
  <si>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</si>
  <si>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</si>
  <si>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</si>
  <si>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</si>
  <si>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</si>
  <si>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</si>
  <si>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</si>
  <si>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</si>
  <si>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</si>
  <si>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</si>
  <si>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</si>
  <si>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</si>
  <si>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</si>
  <si>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</si>
  <si>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</si>
  <si>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</si>
  <si>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</si>
  <si>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</si>
  <si>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</si>
  <si>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</si>
  <si>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</si>
  <si>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</si>
  <si>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</si>
  <si>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</si>
  <si>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</si>
  <si>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</si>
  <si>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</si>
  <si>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</si>
  <si>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</si>
  <si>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</si>
  <si>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</si>
  <si>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</si>
  <si>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</si>
  <si>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</si>
  <si>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</si>
  <si>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</si>
  <si>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</si>
  <si>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</si>
  <si>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</si>
  <si>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</si>
  <si>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</si>
  <si>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</si>
  <si>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</si>
  <si>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</si>
  <si>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</si>
  <si>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</si>
  <si>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</si>
  <si>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</si>
  <si>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</si>
  <si>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</si>
  <si>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</si>
  <si>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</si>
  <si>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</si>
  <si>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</si>
  <si>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</si>
  <si>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</si>
  <si>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</si>
  <si>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</si>
  <si>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</si>
  <si>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</si>
  <si>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</si>
  <si>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</si>
  <si>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</si>
  <si>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</si>
  <si>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</si>
  <si>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</si>
  <si>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</si>
  <si>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</si>
  <si>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</si>
  <si>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</si>
  <si>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</si>
  <si>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</si>
  <si>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</si>
  <si>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</si>
  <si>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</si>
  <si>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</si>
  <si>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</si>
  <si>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</si>
  <si>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</si>
  <si>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</si>
  <si>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</si>
  <si>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</si>
  <si>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</si>
  <si>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</si>
  <si>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</si>
  <si>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</si>
  <si>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</si>
  <si>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</si>
  <si>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</si>
  <si>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</si>
  <si>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</si>
  <si>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</si>
  <si>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</si>
  <si>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</si>
  <si>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</si>
  <si>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</si>
  <si>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</si>
  <si>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</si>
  <si>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</si>
  <si>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</si>
  <si>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</si>
  <si>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</si>
  <si>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</si>
  <si>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</si>
  <si>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</si>
  <si>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</si>
  <si>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</si>
  <si>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</si>
  <si>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</si>
  <si>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</si>
  <si>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</si>
  <si>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</si>
  <si>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</si>
  <si>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</si>
  <si>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</si>
  <si>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</si>
  <si>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</si>
  <si>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</si>
  <si>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</si>
  <si>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</si>
  <si>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</si>
  <si>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</si>
  <si>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</si>
  <si>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</si>
  <si>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</si>
  <si>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</si>
  <si>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</si>
  <si>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</si>
  <si>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</si>
  <si>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</si>
  <si>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</si>
  <si>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</si>
  <si>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</si>
  <si>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</si>
  <si>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</si>
  <si>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</si>
  <si>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</si>
  <si>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</si>
  <si>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</si>
  <si>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</si>
  <si>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</si>
  <si>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</si>
  <si>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</si>
  <si>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</si>
  <si>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</si>
  <si>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</si>
  <si>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</si>
  <si>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</si>
  <si>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</si>
  <si>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</si>
  <si>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</si>
  <si>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</si>
  <si>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</si>
  <si>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</si>
  <si>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</si>
  <si>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</si>
  <si>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</si>
  <si>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</si>
  <si>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</si>
  <si>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</si>
  <si>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</si>
  <si>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</si>
  <si>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</si>
  <si>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</si>
  <si>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</si>
  <si>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</si>
  <si>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</si>
  <si>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</si>
  <si>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</si>
  <si>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</si>
  <si>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</si>
  <si>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</si>
  <si>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</si>
  <si>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</si>
  <si>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</si>
  <si>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</si>
  <si>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</si>
  <si>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</si>
  <si>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</si>
  <si>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</si>
  <si>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</si>
  <si>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</si>
  <si>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</si>
  <si>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</si>
  <si>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</si>
  <si>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</si>
  <si>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</si>
  <si>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</si>
  <si>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</si>
  <si>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</si>
  <si>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</si>
  <si>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</si>
  <si>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</si>
  <si>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</si>
  <si>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</si>
  <si>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</si>
  <si>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</si>
  <si>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</si>
  <si>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</si>
  <si>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</si>
  <si>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</si>
  <si>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</si>
  <si>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</si>
  <si>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</si>
  <si>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</si>
  <si>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</si>
  <si>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</si>
  <si>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</si>
  <si>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</si>
  <si>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</si>
  <si>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</si>
  <si>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</si>
  <si>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</si>
  <si>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</si>
  <si>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</si>
  <si>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</si>
  <si>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</si>
  <si>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</si>
  <si>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</si>
  <si>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</si>
  <si>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</si>
  <si>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</si>
  <si>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</si>
  <si>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</si>
  <si>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</si>
  <si>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</si>
  <si>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</si>
  <si>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</si>
  <si>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</si>
  <si>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</si>
  <si>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</si>
  <si>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</si>
  <si>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</si>
  <si>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</si>
  <si>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</si>
  <si>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</si>
  <si>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</si>
  <si>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</si>
  <si>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</si>
  <si>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</si>
  <si>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</si>
  <si>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</si>
  <si>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</si>
  <si>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</si>
  <si>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</si>
  <si>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</si>
  <si>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</si>
  <si>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</si>
  <si>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</si>
  <si>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</si>
  <si>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</si>
  <si>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</si>
  <si>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</si>
  <si>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</si>
  <si>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</si>
  <si>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</si>
  <si>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</si>
  <si>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</si>
  <si>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</si>
  <si>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</si>
  <si>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</si>
  <si>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</si>
  <si>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</si>
  <si>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</si>
  <si>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</si>
  <si>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</si>
  <si>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</si>
  <si>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</si>
  <si>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</si>
  <si>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</si>
  <si>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</si>
  <si>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</si>
  <si>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</si>
  <si>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</si>
  <si>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</si>
  <si>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</si>
  <si>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</si>
  <si>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</si>
  <si>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</si>
  <si>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</si>
  <si>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</si>
  <si>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</si>
  <si>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</si>
  <si>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</si>
  <si>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</si>
  <si>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</si>
  <si>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</si>
  <si>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</si>
  <si>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</si>
  <si>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</si>
  <si>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</si>
  <si>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</si>
  <si>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</si>
  <si>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</si>
  <si>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</si>
  <si>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</si>
  <si>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</si>
  <si>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</si>
  <si>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</si>
  <si>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</si>
  <si>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</si>
  <si>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</si>
  <si>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</si>
  <si>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</si>
  <si>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</si>
  <si>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</si>
  <si>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</si>
  <si>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</si>
  <si>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</si>
  <si>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</si>
  <si>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</si>
  <si>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</si>
  <si>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</si>
  <si>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</si>
  <si>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</si>
  <si>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</si>
  <si>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</si>
  <si>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</si>
  <si>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</si>
  <si>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</si>
  <si>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</si>
  <si>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</si>
  <si>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</si>
  <si>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</si>
  <si>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</si>
  <si>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</si>
  <si>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</si>
  <si>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</si>
  <si>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</si>
  <si>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</si>
  <si>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</si>
  <si>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</si>
  <si>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</si>
  <si>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</si>
  <si>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</si>
  <si>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</si>
  <si>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</si>
  <si>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</si>
  <si>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</si>
  <si>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</si>
  <si>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</si>
  <si>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</si>
  <si>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</si>
  <si>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</si>
  <si>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</si>
  <si>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</si>
  <si>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</si>
  <si>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</si>
  <si>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</si>
  <si>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</si>
  <si>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</si>
  <si>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</si>
  <si>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</si>
  <si>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</si>
  <si>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</si>
  <si>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</si>
  <si>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</si>
  <si>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</si>
  <si>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</si>
  <si>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</si>
  <si>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</si>
  <si>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</si>
  <si>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</si>
  <si>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</si>
  <si>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</si>
  <si>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</si>
  <si>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</si>
  <si>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</si>
  <si>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</si>
  <si>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</si>
  <si>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</si>
  <si>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</si>
  <si>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</si>
  <si>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</si>
  <si>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</si>
  <si>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</si>
  <si>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</si>
  <si>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</si>
  <si>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</si>
  <si>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</si>
  <si>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</si>
  <si>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</si>
  <si>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</si>
  <si>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</si>
  <si>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</si>
  <si>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</si>
  <si>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</si>
  <si>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</si>
  <si>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</si>
  <si>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</si>
  <si>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</si>
  <si>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</si>
  <si>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</si>
  <si>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</si>
  <si>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</si>
  <si>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</si>
  <si>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</si>
  <si>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</si>
  <si>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</si>
  <si>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</si>
  <si>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</si>
  <si>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</si>
  <si>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</si>
  <si>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</si>
  <si>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</si>
  <si>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</si>
  <si>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</si>
  <si>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</si>
  <si>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</si>
  <si>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</si>
  <si>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</si>
  <si>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</si>
  <si>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</si>
  <si>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</si>
  <si>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</si>
  <si>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</si>
  <si>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</si>
  <si>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</si>
  <si>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</si>
  <si>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</si>
  <si>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</si>
  <si>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</si>
  <si>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</si>
  <si>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</si>
  <si>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</si>
  <si>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</si>
  <si>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</si>
  <si>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</si>
  <si>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</si>
  <si>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</si>
  <si>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</si>
  <si>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</si>
  <si>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</si>
  <si>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</si>
  <si>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</si>
  <si>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</si>
  <si>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</si>
  <si>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</si>
  <si>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</si>
  <si>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</si>
  <si>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</si>
  <si>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</si>
  <si>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</si>
  <si>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</si>
  <si>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</si>
  <si>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</si>
  <si>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</si>
  <si>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</si>
  <si>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</si>
  <si>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</si>
  <si>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</si>
  <si>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</si>
  <si>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</si>
  <si>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</si>
  <si>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</si>
  <si>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</si>
  <si>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</si>
  <si>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</si>
  <si>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</si>
  <si>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</si>
  <si>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</si>
  <si>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</si>
  <si>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</si>
  <si>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</si>
  <si>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</si>
  <si>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</si>
  <si>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</si>
  <si>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</si>
  <si>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</si>
  <si>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</si>
  <si>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</si>
  <si>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</si>
  <si>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</si>
  <si>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</si>
  <si>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</si>
  <si>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</si>
  <si>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</si>
  <si>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</si>
  <si>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</si>
  <si>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</si>
  <si>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</si>
  <si>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</si>
  <si>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</si>
  <si>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</si>
  <si>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</si>
  <si>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</si>
  <si>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</si>
  <si>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</si>
  <si>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</si>
  <si>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</si>
  <si>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</si>
  <si>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</si>
  <si>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</si>
  <si>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</si>
  <si>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</si>
  <si>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</si>
  <si>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</si>
  <si>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</si>
  <si>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</si>
  <si>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</si>
  <si>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</si>
  <si>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</si>
  <si>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</si>
  <si>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</si>
  <si>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</si>
  <si>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</si>
  <si>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</si>
  <si>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</si>
  <si>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</si>
  <si>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</si>
  <si>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</si>
  <si>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</si>
  <si>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</si>
  <si>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</si>
  <si>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</si>
  <si>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</si>
  <si>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</si>
  <si>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</si>
  <si>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</si>
  <si>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Corporação - universo de teste, campos removidos</t>
  </si>
  <si>
    <t>1 business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</si>
</sst>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36"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s>
  <fills count="13">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s>
  <borders count="13">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11">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9" fillId="0" borderId="1" xfId="1" applyNumberFormat="1" applyFont="1" applyBorder="1" applyAlignment="1">
      <alignment horizontal="left" indent="1"/>
    </xf>
    <xf numFmtId="10" fontId="14" fillId="0" borderId="1" xfId="1" applyNumberFormat="1" applyFont="1" applyBorder="1" applyAlignment="1">
      <alignment horizontal="left" indent="1"/>
    </xf>
    <xf numFmtId="10" fontId="17"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0" fontId="23" fillId="0" borderId="1" xfId="1" applyNumberFormat="1" applyFont="1" applyBorder="1" applyAlignment="1">
      <alignment horizontal="left" inden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10" fontId="23"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10" fontId="25" fillId="0" borderId="1" xfId="1" applyNumberFormat="1" applyFont="1" applyBorder="1" applyAlignment="1">
      <alignment horizontal="left" indent="1"/>
    </xf>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20" fillId="0" borderId="1" xfId="1" applyNumberFormat="1" applyFont="1" applyFill="1" applyBorder="1" applyAlignment="1">
      <alignment horizontal="left" indent="1"/>
    </xf>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0" fontId="19" fillId="0" borderId="11" xfId="1" applyNumberFormat="1" applyFont="1" applyBorder="1" applyAlignment="1">
      <alignment horizontal="left" indent="1"/>
    </xf>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11" fillId="7" borderId="8" xfId="0" applyFont="1" applyFill="1" applyBorder="1" applyAlignment="1">
      <alignment vertical="center"/>
    </xf>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cellXfs>
  <cellStyles count="3">
    <cellStyle name="Comma" xfId="2" builtinId="3"/>
    <cellStyle name="Normal" xfId="0" builtinId="0"/>
    <cellStyle name="Percent" xfId="1" builtinId="5"/>
  </cellStyles>
  <dxfs count="44">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3"/>
      <tableStyleElement type="headerRow" dxfId="42"/>
    </tableStyle>
    <tableStyle name="Slicer Style 1" pivot="0" table="0" count="1">
      <tableStyleElement type="wholeTable" dxfId="41"/>
    </tableStyle>
    <tableStyle name="Slicer Style 2" pivot="0" table="0" count="1">
      <tableStyleElement type="wholeTable" dxfId="40"/>
    </tableStyle>
    <tableStyle name="SlicerStyleDark2 2" pivot="0" table="0" count="10">
      <tableStyleElement type="wholeTable" dxfId="39"/>
      <tableStyleElement type="headerRow" dxfId="38"/>
    </tableStyle>
    <tableStyle name="SlicerStyleLight2 2" pivot="0" table="0" count="10">
      <tableStyleElement type="wholeTable" dxfId="37"/>
      <tableStyleElement type="headerRow" dxfId="36"/>
    </tableStyle>
    <tableStyle name="SlicerStyleLight4 2" pivot="0" table="0" count="10">
      <tableStyleElement type="wholeTable" dxfId="35"/>
      <tableStyleElement type="headerRow" dxfId="34"/>
    </tableStyle>
    <tableStyle name="SlicerStyleLight4 2 2" pivot="0" table="0" count="10">
      <tableStyleElement type="wholeTable" dxfId="33"/>
      <tableStyleElement type="headerRow" dxfId="32"/>
    </tableStyle>
    <tableStyle name="SlicerStyleOther1 2" pivot="0" table="0" count="10">
      <tableStyleElement type="wholeTable" dxfId="31"/>
      <tableStyleElement type="headerRow" dxfId="30"/>
    </tableStyle>
    <tableStyle name="SlicerStyleOther1 2 2" pivot="0" table="0" count="10">
      <tableStyleElement type="wholeTable" dxfId="29"/>
      <tableStyleElement type="headerRow" dxfId="28"/>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[Indicadores_01032024.xlsx]aux!PivotTable2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layout/>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[Indicadores_01032024.xlsx]aux!PivotTable6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35</c:v>
                </c:pt>
                <c:pt idx="1">
                  <c:v>13</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[Indicadores_01032024.xlsx]aux!PivotTable4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aux!$O$34:$O$37</c:f>
              <c:strCache>
                <c:ptCount val="3"/>
                <c:pt idx="0">
                  <c:v>Em teste</c:v>
                </c:pt>
                <c:pt idx="1">
                  <c:v>NOK</c:v>
                </c:pt>
                <c:pt idx="2">
                  <c:v>OK</c:v>
                </c:pt>
              </c:strCache>
            </c:strRef>
          </c:cat>
          <c:val>
            <c:numRef>
              <c:f>aux!$P$34:$P$37</c:f>
              <c:numCache>
                <c:formatCode>General</c:formatCode>
                <c:ptCount val="3"/>
                <c:pt idx="0">
                  <c:v>9</c:v>
                </c:pt>
                <c:pt idx="1">
                  <c:v>7</c:v>
                </c:pt>
                <c:pt idx="2">
                  <c:v>19</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460905</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460905</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458932</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4</xdr:row>
      <xdr:rowOff>136122</xdr:rowOff>
    </xdr:from>
    <xdr:to>
      <xdr:col>15</xdr:col>
      <xdr:colOff>792988</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8</xdr:row>
      <xdr:rowOff>10045</xdr:rowOff>
    </xdr:from>
    <xdr:to>
      <xdr:col>15</xdr:col>
      <xdr:colOff>792988</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11</xdr:row>
      <xdr:rowOff>92135</xdr:rowOff>
    </xdr:from>
    <xdr:to>
      <xdr:col>15</xdr:col>
      <xdr:colOff>792988</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07818" y="181458"/>
          <a:ext cx="1066453" cy="1739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52.70314814814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77587"/>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Correção"/>
        <s v="Em teste"/>
        <s v="Em Implementação"/>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NOK"/>
        <s v="Em teste"/>
        <s v="Em Implementação"/>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2"/>
    <x v="0"/>
    <x v="0"/>
    <x v="2"/>
  </r>
  <r>
    <s v="TYP_INSTRMNT"/>
    <n v="2020862"/>
    <n v="0"/>
    <n v="0"/>
    <n v="0"/>
    <n v="0"/>
    <x v="0"/>
    <x v="0"/>
    <x v="0"/>
    <x v="0"/>
  </r>
  <r>
    <s v="NT_LN_LSS_PRVSN_OFF_BLNC"/>
    <n v="1894058"/>
    <n v="0"/>
    <n v="454"/>
    <n v="122685"/>
    <n v="3665"/>
    <x v="3"/>
    <x v="0"/>
    <x v="0"/>
    <x v="3"/>
  </r>
  <r>
    <s v="AVRG_BLNC"/>
    <n v="1894058"/>
    <n v="0"/>
    <n v="123139"/>
    <n v="0"/>
    <n v="3665"/>
    <x v="3"/>
    <x v="0"/>
    <x v="0"/>
    <x v="3"/>
  </r>
  <r>
    <s v="INTRNL_TRNSFR_RT"/>
    <n v="1851201"/>
    <n v="0"/>
    <n v="454"/>
    <n v="166884"/>
    <n v="3665"/>
    <x v="3"/>
    <x v="0"/>
    <x v="0"/>
    <x v="3"/>
  </r>
  <r>
    <s v="NT_LN_LSS_PRVSN"/>
    <n v="1894058"/>
    <n v="0"/>
    <n v="454"/>
    <n v="122685"/>
    <n v="3665"/>
    <x v="3"/>
    <x v="0"/>
    <x v="0"/>
    <x v="3"/>
  </r>
  <r>
    <s v="ACCMLTD_CHNGS_FV_CR_INSTRMNT"/>
    <n v="2020862"/>
    <n v="0"/>
    <n v="0"/>
    <n v="0"/>
    <n v="0"/>
    <x v="0"/>
    <x v="0"/>
    <x v="0"/>
    <x v="0"/>
  </r>
  <r>
    <s v="AVRG_BLNC_OFF_BLNC"/>
    <n v="1894058"/>
    <n v="0"/>
    <n v="454"/>
    <n v="122685"/>
    <n v="3665"/>
    <x v="3"/>
    <x v="0"/>
    <x v="0"/>
    <x v="3"/>
  </r>
  <r>
    <s v="BSNSS_AREA"/>
    <n v="1681127"/>
    <n v="155"/>
    <n v="177587"/>
    <n v="158328"/>
    <n v="3665"/>
    <x v="3"/>
    <x v="0"/>
    <x v="0"/>
    <x v="3"/>
  </r>
  <r>
    <s v="BSNSS_AREA_CCRR"/>
    <n v="0"/>
    <n v="2017197"/>
    <n v="0"/>
    <n v="0"/>
    <n v="3665"/>
    <x v="4"/>
    <x v="0"/>
    <x v="2"/>
    <x v="4"/>
  </r>
  <r>
    <s v="BSNSS_AREA_DSTNTN"/>
    <n v="2020862"/>
    <n v="0"/>
    <n v="0"/>
    <n v="0"/>
    <n v="0"/>
    <x v="0"/>
    <x v="0"/>
    <x v="0"/>
    <x v="0"/>
  </r>
  <r>
    <s v="CNCLLD_INSTRMNT_STTS"/>
    <n v="0"/>
    <n v="0"/>
    <n v="0"/>
    <n v="2020862"/>
    <n v="0"/>
    <x v="4"/>
    <x v="2"/>
    <x v="2"/>
    <x v="4"/>
  </r>
  <r>
    <s v="COD_SOC_DSTNTN"/>
    <n v="2020862"/>
    <n v="0"/>
    <n v="0"/>
    <n v="0"/>
    <n v="0"/>
    <x v="0"/>
    <x v="0"/>
    <x v="0"/>
    <x v="0"/>
  </r>
  <r>
    <s v="COD_SOC_INTRGRP"/>
    <n v="0"/>
    <n v="0"/>
    <n v="0"/>
    <n v="2020862"/>
    <n v="0"/>
    <x v="4"/>
    <x v="2"/>
    <x v="2"/>
    <x v="4"/>
  </r>
  <r>
    <s v="DT_RFRNC"/>
    <n v="2020862"/>
    <n v="0"/>
    <n v="0"/>
    <n v="0"/>
    <n v="0"/>
    <x v="0"/>
    <x v="0"/>
    <x v="0"/>
    <x v="0"/>
  </r>
  <r>
    <s v="FLG_INTRBSNSS"/>
    <n v="2020862"/>
    <n v="0"/>
    <n v="0"/>
    <n v="0"/>
    <n v="0"/>
    <x v="0"/>
    <x v="0"/>
    <x v="0"/>
    <x v="0"/>
  </r>
  <r>
    <s v="GNS_FNNCL_TRNSCTN_EXCHNG_CCRR"/>
    <n v="0"/>
    <n v="2017197"/>
    <n v="0"/>
    <n v="0"/>
    <n v="3665"/>
    <x v="4"/>
    <x v="0"/>
    <x v="2"/>
    <x v="4"/>
  </r>
  <r>
    <s v="GNS_FNNCL_TRNSCTN_EXCHNG_DFFRNCS"/>
    <n v="1816745"/>
    <n v="0"/>
    <n v="446"/>
    <n v="200006"/>
    <n v="3665"/>
    <x v="3"/>
    <x v="0"/>
    <x v="0"/>
    <x v="3"/>
  </r>
  <r>
    <s v="GRSS_CMMSSN_EXPNS"/>
    <n v="1553247"/>
    <n v="305013"/>
    <n v="454"/>
    <n v="158483"/>
    <n v="3665"/>
    <x v="2"/>
    <x v="3"/>
    <x v="0"/>
    <x v="2"/>
  </r>
  <r>
    <s v="GRSS_CMMSSN_EXPNS_CCRR"/>
    <n v="0"/>
    <n v="2017197"/>
    <n v="0"/>
    <n v="0"/>
    <n v="3665"/>
    <x v="4"/>
    <x v="3"/>
    <x v="2"/>
    <x v="4"/>
  </r>
  <r>
    <s v="GRSS_CMMSSN_EXPNS_OFF_BLNC"/>
    <n v="1858259"/>
    <n v="1"/>
    <n v="454"/>
    <n v="158483"/>
    <n v="3665"/>
    <x v="2"/>
    <x v="3"/>
    <x v="0"/>
    <x v="2"/>
  </r>
  <r>
    <s v="GRSS_CMMSSN_EXPNS_OFF_BLNC_CCRR"/>
    <n v="0"/>
    <n v="2017197"/>
    <n v="0"/>
    <n v="0"/>
    <n v="3665"/>
    <x v="4"/>
    <x v="3"/>
    <x v="2"/>
    <x v="4"/>
  </r>
  <r>
    <s v="GRSS_CMMSSN_INCM"/>
    <n v="1097546"/>
    <n v="760714"/>
    <n v="454"/>
    <n v="158483"/>
    <n v="3665"/>
    <x v="2"/>
    <x v="3"/>
    <x v="0"/>
    <x v="2"/>
  </r>
  <r>
    <s v="GRSS_CMMSSN_INCM_CCRR"/>
    <n v="0"/>
    <n v="2017197"/>
    <n v="0"/>
    <n v="0"/>
    <n v="3665"/>
    <x v="4"/>
    <x v="3"/>
    <x v="2"/>
    <x v="4"/>
  </r>
  <r>
    <s v="GRSS_CMMSSN_INCM_OFF_BLNC"/>
    <n v="1858258"/>
    <n v="2"/>
    <n v="454"/>
    <n v="158483"/>
    <n v="3665"/>
    <x v="2"/>
    <x v="3"/>
    <x v="0"/>
    <x v="2"/>
  </r>
  <r>
    <s v="GRSS_CMMSSN_INCM_OFF_BLNC_CCRR"/>
    <n v="0"/>
    <n v="2017197"/>
    <n v="0"/>
    <n v="0"/>
    <n v="3665"/>
    <x v="4"/>
    <x v="3"/>
    <x v="2"/>
    <x v="4"/>
  </r>
  <r>
    <s v="GRSS_INTRST_EXPNS"/>
    <n v="1816745"/>
    <n v="0"/>
    <n v="446"/>
    <n v="200006"/>
    <n v="3665"/>
    <x v="3"/>
    <x v="0"/>
    <x v="0"/>
    <x v="3"/>
  </r>
  <r>
    <s v="GRSS_INTRST_EXPNS_CCRR"/>
    <n v="0"/>
    <n v="2017197"/>
    <n v="0"/>
    <n v="0"/>
    <n v="3665"/>
    <x v="4"/>
    <x v="0"/>
    <x v="2"/>
    <x v="4"/>
  </r>
  <r>
    <s v="GRSS_INTRST_INCM"/>
    <n v="1815954"/>
    <n v="0"/>
    <n v="446"/>
    <n v="201588"/>
    <n v="3665"/>
    <x v="3"/>
    <x v="0"/>
    <x v="0"/>
    <x v="3"/>
  </r>
  <r>
    <s v="GRSS_INTRST_INCM_CCRR"/>
    <n v="0"/>
    <n v="2017197"/>
    <n v="0"/>
    <n v="0"/>
    <n v="3665"/>
    <x v="4"/>
    <x v="0"/>
    <x v="2"/>
    <x v="4"/>
  </r>
  <r>
    <s v="IDCMB"/>
    <n v="2020821"/>
    <n v="41"/>
    <n v="0"/>
    <n v="0"/>
    <n v="0"/>
    <x v="2"/>
    <x v="2"/>
    <x v="0"/>
    <x v="2"/>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4057"/>
    <n v="1"/>
    <n v="454"/>
    <n v="122685"/>
    <n v="3665"/>
    <x v="2"/>
    <x v="0"/>
    <x v="0"/>
    <x v="2"/>
  </r>
  <r>
    <s v="NW_BSNSS"/>
    <n v="0"/>
    <n v="0"/>
    <n v="0"/>
    <n v="2017197"/>
    <n v="3665"/>
    <x v="4"/>
    <x v="0"/>
    <x v="2"/>
    <x v="4"/>
  </r>
  <r>
    <s v="RWA_OFF_BLNC"/>
    <n v="0"/>
    <n v="0"/>
    <n v="0"/>
    <n v="2020862"/>
    <n v="0"/>
    <x v="5"/>
    <x v="0"/>
    <x v="3"/>
    <x v="5"/>
  </r>
  <r>
    <s v="SSTNBL_CTGRY"/>
    <n v="0"/>
    <n v="0"/>
    <n v="0"/>
    <n v="2020862"/>
    <n v="0"/>
    <x v="4"/>
    <x v="0"/>
    <x v="2"/>
    <x v="4"/>
  </r>
  <r>
    <s v="SSTNBL_INDCTR"/>
    <n v="0"/>
    <n v="0"/>
    <n v="0"/>
    <n v="2020862"/>
    <n v="0"/>
    <x v="4"/>
    <x v="0"/>
    <x v="2"/>
    <x v="4"/>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4"/>
        <item x="3"/>
        <item x="2"/>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s>
</file>

<file path=xl/tables/table1.xml><?xml version="1.0" encoding="utf-8"?>
<table xmlns="http://schemas.openxmlformats.org/spreadsheetml/2006/main" id="2" name="Table13" displayName="Table13" ref="B20:X71" totalsRowShown="0" headerRowDxfId="24" dataDxfId="23" tableBorderDxfId="22" dataCellStyle="Percent">
  <autoFilter ref="B20:X71">
    <filterColumn colId="0">
      <filters>
        <filter val="ACCMLTD_CHNGS_FV_CR_INSTRMNT"/>
        <filter val="ACCMLTD_IMPRMNT_INSTRMNT"/>
        <filter val="ACCNTNG_CLSSFCTN"/>
        <filter val="AVRG_BLNC"/>
        <filter val="AVRG_BLNC_OFF_BLNC"/>
        <filter val="BSNSS_AREA"/>
        <filter val="BSNSS_AREA_CCRR"/>
        <filter val="BSNSS_AREA_DSTNTN"/>
        <filter val="CNCLLD_INSTRMNT_STTS"/>
        <filter val="COD_SOC"/>
        <filter val="COD_SOC_DSTNTN"/>
        <filter val="DFLT_STTS_INSTRMNT"/>
        <filter val="DT_RFRNC"/>
        <filter val="FLG_INTRBSNSS"/>
        <filter val="GNS_FNNCL_TRNSCTN_EXCHNG_CCRR"/>
        <filter val="GNS_FNNCL_TRNSCTN_EXCHNG_DFFRNCS"/>
        <filter val="GRSS_CMMSSN_EXPNS"/>
        <filter val="GRSS_CMMSSN_EXPNS_CCRR"/>
        <filter val="GRSS_CMMSSN_EXPNS_OFF_BLNC"/>
        <filter val="GRSS_CMMSSN_EXPNS_OFF_BLNC_CCRR"/>
        <filter val="GRSS_CMMSSN_INCM"/>
        <filter val="GRSS_CMMSSN_INCM_CCRR"/>
        <filter val="GRSS_CMMSSN_INCM_OFF_BLNC"/>
        <filter val="GRSS_CMMSSN_INCM_OFF_BLNC_CCRR"/>
        <filter val="GRSS_CRRYNG_AMNT_INSTRMNT"/>
        <filter val="GRSS_INTRST_EXPNS"/>
        <filter val="GRSS_INTRST_EXPNS_CCRR"/>
        <filter val="GRSS_INTRST_INCM"/>
        <filter val="GRSS_INTRST_INCM_CCRR"/>
        <filter val="IDCMB"/>
        <filter val="IMPRMNT_STTS"/>
        <filter val="INSTRMNT_ID"/>
        <filter val="INTRBSNSS_ADJ_COD"/>
        <filter val="INTRNL_TRNSFR_RT"/>
        <filter val="LCL_INSTMRNT_ID"/>
        <filter val="MNGMNT_PRDCT"/>
        <filter val="NT_LN_LSS_PRVSN"/>
        <filter val="NT_LN_LSS_PRVSN_OFF_BLNC"/>
        <filter val="OFF_BLNC_SHT_AMNT_INSTRMNT"/>
        <filter val="PRFRMNG_STTS"/>
        <filter val="PRVSNS_OFF_BLNC_SHT"/>
        <filter val="RWA"/>
        <filter val="SUBPORTFOLIO_ID"/>
        <filter val="TYP_INSTRMNT"/>
      </filters>
    </filterColumn>
    <filterColumn colId="13">
      <filters>
        <filter val="Concluído"/>
        <filter val="Em Correção"/>
        <filter val="Em Implementação"/>
        <filter val="Em teste"/>
      </filters>
    </filterColumn>
  </autoFilter>
  <tableColumns count="23">
    <tableColumn id="1" name="Campo" dataDxfId="21"/>
    <tableColumn id="2" name="# Instrumentos" dataDxfId="20"/>
    <tableColumn id="3" name="%" dataDxfId="19" dataCellStyle="Percent">
      <calculatedColumnFormula>C21/$AH21</calculatedColumnFormula>
    </tableColumn>
    <tableColumn id="4" name="# Instrumentos " dataDxfId="18"/>
    <tableColumn id="5" name="% " dataDxfId="17" dataCellStyle="Percent">
      <calculatedColumnFormula>E21/$AH21</calculatedColumnFormula>
    </tableColumn>
    <tableColumn id="6" name="# Instrumentos  " dataDxfId="16"/>
    <tableColumn id="7" name="%  " dataDxfId="15" dataCellStyle="Percent">
      <calculatedColumnFormula>G21/$AH21</calculatedColumnFormula>
    </tableColumn>
    <tableColumn id="8" name="# Instrumentos   " dataDxfId="14"/>
    <tableColumn id="9" name="%   " dataDxfId="13" dataCellStyle="Percent">
      <calculatedColumnFormula>I21/$AH21</calculatedColumnFormula>
    </tableColumn>
    <tableColumn id="10" name="# Instrumentos   2" dataDxfId="12"/>
    <tableColumn id="11" name="%   3" dataDxfId="11" dataCellStyle="Percent">
      <calculatedColumnFormula>K21/$AH21</calculatedColumnFormula>
    </tableColumn>
    <tableColumn id="12" name="# Instrumentos    " dataDxfId="10"/>
    <tableColumn id="13" name="%    " dataDxfId="9" dataCellStyle="Percent">
      <calculatedColumnFormula>M21/$AH21</calculatedColumnFormula>
    </tableColumn>
    <tableColumn id="14" name="Status do campo"/>
    <tableColumn id="15" name="Data Status" dataDxfId="8" dataCellStyle="Percent"/>
    <tableColumn id="16" name="Origem" dataDxfId="7" dataCellStyle="Percent"/>
    <tableColumn id="17" name="Resumo Origem" dataDxfId="6" dataCellStyle="Percent">
      <calculatedColumnFormula>IF(OR(Q21="CT207",Q21="CT209",Q21="CT211"),"MIS",IF(Q21="Corporativo","Corporativo",IF(Q21="Calculado","Calculado",IF(Q21="LT ESTR","LT ESTR", IF(Q21="Modelo Verde","Modelo Verde",NA)))))</calculatedColumnFormula>
    </tableColumn>
    <tableColumn id="18" name="Alterações Corp" dataDxfId="5" dataCellStyle="Percent"/>
    <tableColumn id="19" name="1 FR - 1 MIS" dataDxfId="4" dataCellStyle="Percent"/>
    <tableColumn id="20" name="1 FR - N MIS" dataDxfId="3" dataCellStyle="Percent"/>
    <tableColumn id="21" name="Status Universo" dataDxfId="2" dataCellStyle="Percent">
      <calculatedColumnFormula>IF(AND(T21="OK",U21="OK"),"OK",IF(AND(T21="Not Started",U21="Not Started"),"Not Started",IF(AND(T21="NOK",U21="NOK"),"NOK",IF(AND(T21="WIP",U21="WIP"),"WIP",IF(AND(OR(T21="OK",U21="OK"))*(OR(T21="NOK",U21="NOK")),"NOK","NA")))))</calculatedColumnFormula>
    </tableColumn>
    <tableColumn id="22" name="N FR - N MIS" dataDxfId="1" dataCellStyle="Percent"/>
    <tableColumn id="23" name="Owner" dataDxfId="0"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7.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6" sqref="N6"/>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3860</v>
      </c>
    </row>
    <row r="4" spans="1:15" x14ac:dyDescent="0.3">
      <c r="A4" t="s">
        <v>1</v>
      </c>
      <c r="B4" s="4">
        <v>2020862</v>
      </c>
      <c r="E4" s="6"/>
    </row>
    <row r="5" spans="1:15" x14ac:dyDescent="0.3">
      <c r="E5" s="6"/>
      <c r="G5" t="s">
        <v>3832</v>
      </c>
      <c r="H5" s="4">
        <v>1226331</v>
      </c>
      <c r="I5" s="62">
        <f>H5/$H$3</f>
        <v>0.60793814386993439</v>
      </c>
    </row>
    <row r="6" spans="1:15" x14ac:dyDescent="0.3">
      <c r="A6" s="5" t="s">
        <v>4</v>
      </c>
      <c r="E6" s="6"/>
      <c r="G6" t="s">
        <v>3833</v>
      </c>
      <c r="H6" s="4">
        <v>668181</v>
      </c>
      <c r="I6" s="62">
        <f>H6/$H$3</f>
        <v>0.33124231297191103</v>
      </c>
      <c r="K6" s="70"/>
      <c r="N6" t="s">
        <v>3833</v>
      </c>
      <c r="O6" s="101">
        <v>632383</v>
      </c>
    </row>
    <row r="7" spans="1:15" x14ac:dyDescent="0.3">
      <c r="E7" s="6"/>
      <c r="F7" s="103"/>
      <c r="G7" s="83" t="s">
        <v>3834</v>
      </c>
      <c r="H7" s="84">
        <v>0</v>
      </c>
      <c r="I7" s="62">
        <f>H7/$H$3</f>
        <v>0</v>
      </c>
    </row>
    <row r="8" spans="1:15" x14ac:dyDescent="0.3">
      <c r="A8" t="s">
        <v>1</v>
      </c>
      <c r="B8" s="4">
        <v>7480477</v>
      </c>
      <c r="E8" s="6"/>
      <c r="F8" s="103"/>
      <c r="G8" s="83" t="s">
        <v>3835</v>
      </c>
      <c r="H8" s="84">
        <v>122685</v>
      </c>
      <c r="I8" s="62">
        <f>H8/$H$3</f>
        <v>6.0819543158154604E-2</v>
      </c>
      <c r="L8" s="4"/>
    </row>
    <row r="9" spans="1:15" x14ac:dyDescent="0.3">
      <c r="B9" s="4"/>
      <c r="E9" s="6"/>
      <c r="H9" s="4"/>
      <c r="I9" s="62"/>
      <c r="L9" s="4"/>
    </row>
    <row r="10" spans="1:15" x14ac:dyDescent="0.3">
      <c r="B10" s="4"/>
      <c r="E10" s="6"/>
      <c r="H10" s="4"/>
      <c r="I10" s="62"/>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04" t="s">
        <v>3720</v>
      </c>
      <c r="B1" s="104"/>
      <c r="C1" s="104"/>
      <c r="D1" s="11"/>
      <c r="E1" s="104" t="s">
        <v>3721</v>
      </c>
      <c r="F1" s="104"/>
      <c r="G1" s="104"/>
    </row>
    <row r="2" spans="1:7" x14ac:dyDescent="0.3">
      <c r="A2" s="11"/>
      <c r="B2" s="11"/>
      <c r="C2" s="11"/>
      <c r="D2" s="11"/>
      <c r="E2" s="11"/>
      <c r="F2" s="11"/>
      <c r="G2" s="11"/>
    </row>
    <row r="3" spans="1:7" x14ac:dyDescent="0.3">
      <c r="A3" s="42" t="s">
        <v>3810</v>
      </c>
      <c r="B3" s="11"/>
      <c r="C3" s="11"/>
      <c r="D3" s="11"/>
      <c r="E3" s="42" t="s">
        <v>3810</v>
      </c>
      <c r="F3" s="11"/>
      <c r="G3" s="11"/>
    </row>
    <row r="4" spans="1:7" x14ac:dyDescent="0.3">
      <c r="A4" s="11" t="s">
        <v>3811</v>
      </c>
      <c r="B4" s="50">
        <v>395234</v>
      </c>
      <c r="C4" s="105">
        <v>801323</v>
      </c>
      <c r="D4" s="11"/>
      <c r="E4" s="11" t="s">
        <v>3811</v>
      </c>
      <c r="F4" s="50">
        <v>13991</v>
      </c>
      <c r="G4" s="105">
        <v>1175876</v>
      </c>
    </row>
    <row r="5" spans="1:7" x14ac:dyDescent="0.3">
      <c r="A5" s="11" t="s">
        <v>3812</v>
      </c>
      <c r="B5" s="50">
        <v>11579</v>
      </c>
      <c r="C5" s="105"/>
      <c r="D5" s="11"/>
      <c r="E5" s="11" t="s">
        <v>3813</v>
      </c>
      <c r="F5" s="50">
        <v>1161885</v>
      </c>
      <c r="G5" s="105"/>
    </row>
    <row r="6" spans="1:7" x14ac:dyDescent="0.3">
      <c r="A6" s="11" t="s">
        <v>3814</v>
      </c>
      <c r="B6" s="50">
        <v>1046</v>
      </c>
      <c r="C6" s="105"/>
      <c r="D6" s="11"/>
      <c r="E6" s="11"/>
      <c r="F6" s="50"/>
      <c r="G6" s="50"/>
    </row>
    <row r="7" spans="1:7" x14ac:dyDescent="0.3">
      <c r="A7" s="11" t="s">
        <v>3813</v>
      </c>
      <c r="B7" s="50">
        <v>393464</v>
      </c>
      <c r="C7" s="105"/>
      <c r="D7" s="11"/>
      <c r="E7" s="11"/>
      <c r="F7" s="50"/>
      <c r="G7" s="50"/>
    </row>
    <row r="8" spans="1:7" x14ac:dyDescent="0.3">
      <c r="A8" s="11"/>
      <c r="B8" s="50"/>
      <c r="C8" s="50"/>
      <c r="D8" s="11"/>
      <c r="E8" s="11"/>
      <c r="F8" s="50"/>
      <c r="G8" s="50"/>
    </row>
    <row r="9" spans="1:7" x14ac:dyDescent="0.3">
      <c r="A9" s="42" t="s">
        <v>3815</v>
      </c>
      <c r="B9" s="50"/>
      <c r="C9" s="50"/>
      <c r="D9" s="11"/>
      <c r="E9" s="42" t="s">
        <v>3815</v>
      </c>
      <c r="F9" s="50"/>
      <c r="G9" s="50"/>
    </row>
    <row r="10" spans="1:7" x14ac:dyDescent="0.3">
      <c r="A10" s="11" t="s">
        <v>3811</v>
      </c>
      <c r="B10" s="50">
        <v>365304</v>
      </c>
      <c r="C10" s="105">
        <v>383485</v>
      </c>
      <c r="D10" s="11"/>
      <c r="E10" s="11" t="s">
        <v>3811</v>
      </c>
      <c r="F10" s="50">
        <v>3137</v>
      </c>
      <c r="G10" s="105">
        <v>8932</v>
      </c>
    </row>
    <row r="11" spans="1:7" x14ac:dyDescent="0.3">
      <c r="A11" s="11" t="s">
        <v>3812</v>
      </c>
      <c r="B11" s="50">
        <v>2116</v>
      </c>
      <c r="C11" s="105"/>
      <c r="D11" s="11"/>
      <c r="E11" s="11" t="s">
        <v>3813</v>
      </c>
      <c r="F11" s="50">
        <v>5795</v>
      </c>
      <c r="G11" s="105"/>
    </row>
    <row r="12" spans="1:7" x14ac:dyDescent="0.3">
      <c r="A12" s="11" t="s">
        <v>3813</v>
      </c>
      <c r="B12" s="50">
        <v>16065</v>
      </c>
      <c r="C12" s="105"/>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79"/>
  <sheetViews>
    <sheetView showGridLines="0" topLeftCell="A38" zoomScale="88" zoomScaleNormal="88" workbookViewId="0"/>
  </sheetViews>
  <sheetFormatPr defaultRowHeight="14.4" x14ac:dyDescent="0.3"/>
  <cols>
    <col min="1" max="1" width="3" customWidth="1"/>
    <col min="2" max="2" width="36.21875" bestFit="1" customWidth="1"/>
    <col min="3" max="3" width="14.5546875" customWidth="1"/>
    <col min="5" max="5" width="15"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s>
  <sheetData>
    <row r="4" spans="1:37 16384:16384" ht="4.2" customHeight="1" x14ac:dyDescent="0.3">
      <c r="A4" s="99"/>
      <c r="B4" s="100"/>
      <c r="C4" s="100"/>
      <c r="D4" s="100"/>
      <c r="E4" s="100"/>
      <c r="F4" s="100"/>
      <c r="G4" s="100"/>
      <c r="H4" s="100"/>
      <c r="I4" s="100"/>
      <c r="J4" s="100"/>
      <c r="K4" s="100"/>
      <c r="L4" s="100"/>
      <c r="M4" s="100"/>
      <c r="N4" s="100"/>
      <c r="O4" s="100"/>
      <c r="P4" s="100"/>
      <c r="Q4" s="100"/>
      <c r="R4" s="100"/>
      <c r="S4" s="100"/>
      <c r="T4" s="100"/>
      <c r="U4" s="100"/>
      <c r="V4" s="100"/>
      <c r="W4" s="100"/>
      <c r="X4" s="100"/>
      <c r="Y4" s="100"/>
      <c r="AH4" s="100"/>
      <c r="AI4" s="100"/>
      <c r="AK4" s="100"/>
      <c r="XFD4" s="100"/>
    </row>
    <row r="7" spans="1:37 16384:16384" x14ac:dyDescent="0.3">
      <c r="G7" t="s">
        <v>3859</v>
      </c>
    </row>
    <row r="18" spans="2:37" ht="15" thickBot="1" x14ac:dyDescent="0.35">
      <c r="C18" s="109" t="s">
        <v>3790</v>
      </c>
      <c r="D18" s="109"/>
      <c r="E18" s="109"/>
      <c r="F18" s="109"/>
      <c r="G18" s="109"/>
      <c r="H18" s="109"/>
      <c r="I18" s="109"/>
      <c r="J18" s="109"/>
      <c r="K18" s="109"/>
      <c r="L18" s="109"/>
      <c r="M18" s="109"/>
      <c r="N18" s="109"/>
      <c r="O18" s="34"/>
      <c r="P18" s="34"/>
      <c r="Q18" s="34"/>
      <c r="R18" s="34"/>
      <c r="S18" s="34"/>
      <c r="T18" s="34"/>
      <c r="U18" s="34"/>
      <c r="V18" s="34"/>
      <c r="W18" s="34"/>
      <c r="X18" s="34"/>
    </row>
    <row r="19" spans="2:37" ht="15" thickBot="1" x14ac:dyDescent="0.35">
      <c r="C19" s="110" t="s">
        <v>3706</v>
      </c>
      <c r="D19" s="110"/>
      <c r="E19" s="110" t="s">
        <v>3730</v>
      </c>
      <c r="F19" s="110"/>
      <c r="G19" s="110" t="s">
        <v>3707</v>
      </c>
      <c r="H19" s="110"/>
      <c r="I19" s="110" t="s">
        <v>3712</v>
      </c>
      <c r="J19" s="110"/>
      <c r="K19" s="110" t="s">
        <v>3816</v>
      </c>
      <c r="L19" s="110"/>
      <c r="M19" s="110" t="s">
        <v>3713</v>
      </c>
      <c r="N19" s="110"/>
      <c r="O19" s="64"/>
      <c r="P19" s="64"/>
      <c r="Q19" s="64"/>
      <c r="R19" s="64"/>
      <c r="S19" s="64"/>
      <c r="T19" s="106" t="s">
        <v>3848</v>
      </c>
      <c r="U19" s="107"/>
      <c r="V19" s="107"/>
      <c r="W19" s="108"/>
      <c r="X19" s="85"/>
    </row>
    <row r="20" spans="2:37" x14ac:dyDescent="0.3">
      <c r="B20" s="87"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39" t="s">
        <v>3791</v>
      </c>
      <c r="P20" s="39" t="s">
        <v>3817</v>
      </c>
      <c r="Q20" s="39" t="s">
        <v>3802</v>
      </c>
      <c r="R20" s="86" t="s">
        <v>3856</v>
      </c>
      <c r="S20" s="40" t="s">
        <v>3792</v>
      </c>
      <c r="T20" s="39" t="s">
        <v>3845</v>
      </c>
      <c r="U20" s="39" t="s">
        <v>3846</v>
      </c>
      <c r="V20" s="86" t="s">
        <v>3854</v>
      </c>
      <c r="W20" s="39" t="s">
        <v>3847</v>
      </c>
      <c r="X20" s="89"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row>
    <row r="21" spans="2:37" x14ac:dyDescent="0.3">
      <c r="B21" s="102" t="s">
        <v>3705</v>
      </c>
      <c r="C21" s="25">
        <f>1225899+668159</f>
        <v>1894058</v>
      </c>
      <c r="D21" s="28">
        <f t="shared" ref="D21:D34" si="0">C21/$AH21</f>
        <v>0.93725251897457618</v>
      </c>
      <c r="E21" s="25"/>
      <c r="F21" s="28">
        <f t="shared" ref="F21:F71" si="1">E21/$AH21</f>
        <v>0</v>
      </c>
      <c r="G21" s="25"/>
      <c r="H21" s="28">
        <f t="shared" ref="H21:H71" si="2">G21/$AH21</f>
        <v>0</v>
      </c>
      <c r="I21" s="25">
        <f>432+22+122685</f>
        <v>123139</v>
      </c>
      <c r="J21" s="28">
        <f t="shared" ref="J21:J71" si="3">I21/$AH21</f>
        <v>6.0933898504697499E-2</v>
      </c>
      <c r="K21" s="68">
        <v>0</v>
      </c>
      <c r="L21" s="28">
        <f t="shared" ref="L21:L71" si="4">K21/$AH21</f>
        <v>0</v>
      </c>
      <c r="M21" s="68">
        <v>3665</v>
      </c>
      <c r="N21" s="28">
        <f t="shared" ref="N21:N71" si="5">M21/$AH21</f>
        <v>1.8135825207263039E-3</v>
      </c>
      <c r="O21" s="38" t="s">
        <v>3783</v>
      </c>
      <c r="P21" s="77">
        <v>45345</v>
      </c>
      <c r="Q21" s="35" t="s">
        <v>3805</v>
      </c>
      <c r="R21" s="35" t="str">
        <f>IF(OR(Q21="CT207",Q21="CT209",Q21="CT211"),"MIS",IF(Q21="Corporativo","Corporativo",IF(Q21="Calculado","Calculado",IF(Q21="LT ESTR","LT ESTR", IF(Q21="Modelo Verde","Modelo Verde",NA)))))</f>
        <v>MIS</v>
      </c>
      <c r="S21" s="37" t="s">
        <v>3798</v>
      </c>
      <c r="T21" s="35" t="s">
        <v>3706</v>
      </c>
      <c r="U21" s="35" t="s">
        <v>3706</v>
      </c>
      <c r="V21" s="35" t="str">
        <f>IF(AND(T21="OK",U21="OK"),"OK",IF(AND(T21="Not Started",U21="Not Started"),"Not Started",IF(AND(T21="NOK",U21="NOK"),"NOK",IF(AND(T21="WIP",U21="WIP"),"WIP",IF(AND(OR(T21="OK",U21="OK"))*(OR(T21="NOK",U21="NOK")),"NOK","NA")))))</f>
        <v>OK</v>
      </c>
      <c r="W21" s="35" t="s">
        <v>3712</v>
      </c>
      <c r="X21" s="90" t="str">
        <f t="shared" ref="X21:X52" si="6">IF(OR(O21="Em teste",O21="Em análise de requisitos"),"Test Team",IF(OR(O21="Em Correção",O21="Em Implementação"),"IT Team",IF(O21="Concluído","Fechado","NA")))</f>
        <v>Test Team</v>
      </c>
      <c r="Y21" s="32"/>
      <c r="Z21" s="23">
        <v>1225899</v>
      </c>
      <c r="AA21" s="1"/>
      <c r="AE21">
        <v>432</v>
      </c>
      <c r="AF21">
        <v>790866</v>
      </c>
      <c r="AG21">
        <v>3665</v>
      </c>
      <c r="AH21">
        <v>2020862</v>
      </c>
      <c r="AI21">
        <f t="shared" ref="AI21:AI38" si="7">AH21-M21-K21-G21-E21-C21-I21</f>
        <v>0</v>
      </c>
      <c r="AJ21">
        <f t="shared" ref="AJ21:AJ52" si="8">AH21-SUM(Z21:AG21)</f>
        <v>0</v>
      </c>
      <c r="AK21" t="s">
        <v>3706</v>
      </c>
    </row>
    <row r="22" spans="2:37" x14ac:dyDescent="0.3">
      <c r="B22" s="88" t="s">
        <v>3708</v>
      </c>
      <c r="C22" s="25">
        <f>1225899+668159</f>
        <v>1894058</v>
      </c>
      <c r="D22" s="28">
        <f t="shared" si="0"/>
        <v>0.93725251897457618</v>
      </c>
      <c r="E22" s="25"/>
      <c r="F22" s="28">
        <f t="shared" si="1"/>
        <v>0</v>
      </c>
      <c r="G22" s="25"/>
      <c r="H22" s="28">
        <f t="shared" si="2"/>
        <v>0</v>
      </c>
      <c r="I22" s="25">
        <f>432+22</f>
        <v>454</v>
      </c>
      <c r="J22" s="28">
        <f t="shared" si="3"/>
        <v>2.2465660693308102E-4</v>
      </c>
      <c r="K22" s="68">
        <f>AH22-C22-I22-M22</f>
        <v>122685</v>
      </c>
      <c r="L22" s="28">
        <f t="shared" si="4"/>
        <v>6.0709241897764422E-2</v>
      </c>
      <c r="M22" s="68">
        <v>3665</v>
      </c>
      <c r="N22" s="28">
        <f t="shared" si="5"/>
        <v>1.8135825207263039E-3</v>
      </c>
      <c r="O22" s="38" t="s">
        <v>3783</v>
      </c>
      <c r="P22" s="77">
        <v>45345</v>
      </c>
      <c r="Q22" s="35" t="s">
        <v>3805</v>
      </c>
      <c r="R22" s="35" t="str">
        <f>IF(OR(Q22="CT207",Q22="CT209",Q22="CT211"),"MIS",IF(Q22="Corporativo","Corporativo",IF(Q22="Calculado","Calculado",IF(Q22="LT ESTR","LT ESTR", IF(Q22="Modelo Verde","Modelo Verde",NA)))))</f>
        <v>MIS</v>
      </c>
      <c r="S22" s="37" t="s">
        <v>3798</v>
      </c>
      <c r="T22" s="35" t="s">
        <v>3706</v>
      </c>
      <c r="U22" s="35" t="s">
        <v>3706</v>
      </c>
      <c r="V22" s="35" t="str">
        <f t="shared" ref="V22:V71" si="9">IF(AND(T22="OK",U22="OK"),"OK",IF(AND(T22="Not Started",U22="Not Started"),"Not Started",IF(AND(T22="NOK",U22="NOK"),"NOK",IF(AND(T22="WIP",U22="WIP"),"WIP",IF(AND(OR(T22="OK",U22="OK"))*(OR(T22="NOK",U22="NOK")),"NOK","NA")))))</f>
        <v>OK</v>
      </c>
      <c r="W22" s="35" t="s">
        <v>3816</v>
      </c>
      <c r="X22" s="90" t="str">
        <f t="shared" si="6"/>
        <v>Test Team</v>
      </c>
      <c r="Y22" s="32"/>
      <c r="AE22">
        <v>432</v>
      </c>
      <c r="AH22">
        <v>2020862</v>
      </c>
      <c r="AI22">
        <f t="shared" si="7"/>
        <v>0</v>
      </c>
      <c r="AJ22">
        <f t="shared" si="8"/>
        <v>2020430</v>
      </c>
      <c r="AK22" t="s">
        <v>3706</v>
      </c>
    </row>
    <row r="23" spans="2:37" x14ac:dyDescent="0.3">
      <c r="B23" s="88" t="s">
        <v>3735</v>
      </c>
      <c r="C23" s="25">
        <v>2020862</v>
      </c>
      <c r="D23" s="28">
        <f t="shared" si="0"/>
        <v>1</v>
      </c>
      <c r="E23" s="25"/>
      <c r="F23" s="28">
        <f t="shared" si="1"/>
        <v>0</v>
      </c>
      <c r="G23" s="68"/>
      <c r="H23" s="28">
        <f t="shared" si="2"/>
        <v>0</v>
      </c>
      <c r="I23" s="68"/>
      <c r="J23" s="28">
        <f t="shared" si="3"/>
        <v>0</v>
      </c>
      <c r="K23" s="68"/>
      <c r="L23" s="28">
        <f t="shared" si="4"/>
        <v>0</v>
      </c>
      <c r="M23" s="68"/>
      <c r="N23" s="28">
        <f t="shared" si="5"/>
        <v>0</v>
      </c>
      <c r="O23" s="36" t="s">
        <v>3787</v>
      </c>
      <c r="P23" s="52">
        <v>45324</v>
      </c>
      <c r="Q23" s="35" t="s">
        <v>3803</v>
      </c>
      <c r="R23" s="35" t="str">
        <f>IF(OR(Q23="CT207",Q23="CT209",Q23="CT211"),"MIS",IF(Q23="Corporativo","Corporativo",IF(Q23="Calculado","Calculado",IF(Q23="LT ESTR","LT ESTR", IF(Q23="Modelo Verde","Modelo Verde",NA)))))</f>
        <v>LT ESTR</v>
      </c>
      <c r="S23" s="37" t="s">
        <v>3798</v>
      </c>
      <c r="T23" s="35" t="s">
        <v>3706</v>
      </c>
      <c r="U23" s="35" t="s">
        <v>3706</v>
      </c>
      <c r="V23" s="35" t="str">
        <f t="shared" si="9"/>
        <v>OK</v>
      </c>
      <c r="W23" s="35" t="s">
        <v>3706</v>
      </c>
      <c r="X23" s="90" t="str">
        <f t="shared" si="6"/>
        <v>Fechado</v>
      </c>
      <c r="Y23" s="73" t="s">
        <v>3788</v>
      </c>
      <c r="Z23" s="25"/>
      <c r="AA23" s="25"/>
      <c r="AB23" s="25"/>
      <c r="AC23" s="25"/>
      <c r="AD23" s="25"/>
      <c r="AE23" s="25"/>
      <c r="AF23" s="25"/>
      <c r="AG23" s="25"/>
      <c r="AH23" s="23">
        <v>2020862</v>
      </c>
      <c r="AI23" s="1">
        <f t="shared" si="7"/>
        <v>0</v>
      </c>
      <c r="AJ23" s="1">
        <f t="shared" si="8"/>
        <v>2020862</v>
      </c>
      <c r="AK23" t="s">
        <v>3706</v>
      </c>
    </row>
    <row r="24" spans="2:37" x14ac:dyDescent="0.3">
      <c r="B24" s="88" t="s">
        <v>3711</v>
      </c>
      <c r="C24" s="25">
        <f>1184384+666817</f>
        <v>1851201</v>
      </c>
      <c r="D24" s="28">
        <f t="shared" si="0"/>
        <v>0.91604523218309808</v>
      </c>
      <c r="E24" s="25"/>
      <c r="F24" s="28">
        <f t="shared" si="1"/>
        <v>0</v>
      </c>
      <c r="G24" s="25"/>
      <c r="H24" s="28">
        <f t="shared" si="2"/>
        <v>0</v>
      </c>
      <c r="I24" s="25">
        <f>432+22</f>
        <v>454</v>
      </c>
      <c r="J24" s="28">
        <f t="shared" si="3"/>
        <v>2.2465660693308102E-4</v>
      </c>
      <c r="K24" s="68">
        <f>AH24-C24-I24-M24+1342</f>
        <v>166884</v>
      </c>
      <c r="L24" s="28">
        <f t="shared" si="4"/>
        <v>8.2580601743216506E-2</v>
      </c>
      <c r="M24" s="68">
        <v>3665</v>
      </c>
      <c r="N24" s="28">
        <f t="shared" si="5"/>
        <v>1.8135825207263039E-3</v>
      </c>
      <c r="O24" s="38" t="s">
        <v>3783</v>
      </c>
      <c r="P24" s="77">
        <v>45345</v>
      </c>
      <c r="Q24" s="35" t="s">
        <v>3805</v>
      </c>
      <c r="R24" s="35" t="str">
        <f>IF(OR(Q24="CT207",Q24="CT209",Q24="CT211"),"MIS",IF(Q24="Corporativo","Corporativo",IF(Q24="Calculado","Calculado",IF(Q24="LT ESTR","LT ESTR", IF(Q24="Modelo Verde","Modelo Verde",NA)))))</f>
        <v>MIS</v>
      </c>
      <c r="S24" s="37" t="s">
        <v>3798</v>
      </c>
      <c r="T24" s="35" t="s">
        <v>3706</v>
      </c>
      <c r="U24" s="35" t="s">
        <v>3706</v>
      </c>
      <c r="V24" s="35" t="str">
        <f t="shared" si="9"/>
        <v>OK</v>
      </c>
      <c r="W24" s="35" t="s">
        <v>3816</v>
      </c>
      <c r="X24" s="90" t="str">
        <f t="shared" si="6"/>
        <v>Test Team</v>
      </c>
      <c r="Y24" s="32"/>
      <c r="Z24">
        <v>1184384</v>
      </c>
      <c r="AE24">
        <v>424</v>
      </c>
      <c r="AF24">
        <f>AH24-AG24-AE24-Z24</f>
        <v>832389</v>
      </c>
      <c r="AG24">
        <v>3665</v>
      </c>
      <c r="AH24">
        <v>2020862</v>
      </c>
      <c r="AI24">
        <f t="shared" si="7"/>
        <v>-1342</v>
      </c>
      <c r="AJ24">
        <f t="shared" si="8"/>
        <v>0</v>
      </c>
      <c r="AK24" t="s">
        <v>3706</v>
      </c>
    </row>
    <row r="25" spans="2:37" s="76" customFormat="1" x14ac:dyDescent="0.3">
      <c r="B25" s="88" t="s">
        <v>3752</v>
      </c>
      <c r="C25" s="25">
        <f>1225899+668158</f>
        <v>1894057</v>
      </c>
      <c r="D25" s="69">
        <f t="shared" si="0"/>
        <v>0.93725202413623498</v>
      </c>
      <c r="E25" s="68"/>
      <c r="F25" s="69">
        <f t="shared" si="1"/>
        <v>0</v>
      </c>
      <c r="G25" s="25">
        <v>1</v>
      </c>
      <c r="H25" s="69">
        <f t="shared" si="2"/>
        <v>4.9483834126229304E-7</v>
      </c>
      <c r="I25" s="25">
        <f>432+22</f>
        <v>454</v>
      </c>
      <c r="J25" s="69">
        <f t="shared" si="3"/>
        <v>2.2465660693308102E-4</v>
      </c>
      <c r="K25" s="68">
        <f>AH25-C25-G25-I25-M25</f>
        <v>122685</v>
      </c>
      <c r="L25" s="69">
        <f t="shared" si="4"/>
        <v>6.0709241897764422E-2</v>
      </c>
      <c r="M25" s="68">
        <v>3665</v>
      </c>
      <c r="N25" s="69">
        <f t="shared" si="5"/>
        <v>1.8135825207263039E-3</v>
      </c>
      <c r="O25" s="81" t="s">
        <v>3851</v>
      </c>
      <c r="P25" s="77">
        <v>45338</v>
      </c>
      <c r="Q25" s="78" t="s">
        <v>3807</v>
      </c>
      <c r="R25" s="35" t="str">
        <f>IF(OR(Q25="CT207",Q25="CT209",Q25="CT211"),"MIS",IF(Q25="Corporativo","Corporativo",IF(Q25="Calculado","Calculado",IF(Q25="LT ESTR","LT ESTR", IF(Q25="Modelo Verde","Modelo Verde",NA)))))</f>
        <v>MIS</v>
      </c>
      <c r="S25" s="79" t="s">
        <v>3798</v>
      </c>
      <c r="T25" s="78" t="s">
        <v>3706</v>
      </c>
      <c r="U25" s="78" t="s">
        <v>3707</v>
      </c>
      <c r="V25" s="35" t="str">
        <f t="shared" si="9"/>
        <v>NOK</v>
      </c>
      <c r="W25" s="78" t="s">
        <v>3816</v>
      </c>
      <c r="X25" s="90" t="str">
        <f t="shared" si="6"/>
        <v>IT Team</v>
      </c>
      <c r="Y25" s="68"/>
      <c r="Z25" s="72"/>
      <c r="AA25" s="72"/>
      <c r="AB25" s="72"/>
      <c r="AC25" s="72"/>
      <c r="AD25" s="72"/>
      <c r="AE25" s="72"/>
      <c r="AF25" s="72"/>
      <c r="AG25" s="72"/>
      <c r="AH25" s="23">
        <v>2020862</v>
      </c>
      <c r="AI25" s="80">
        <f t="shared" si="7"/>
        <v>0</v>
      </c>
      <c r="AJ25" s="75">
        <f t="shared" si="8"/>
        <v>2020862</v>
      </c>
      <c r="AK25" s="76" t="s">
        <v>3844</v>
      </c>
    </row>
    <row r="26" spans="2:37" x14ac:dyDescent="0.3">
      <c r="B26" s="88" t="s">
        <v>3709</v>
      </c>
      <c r="C26" s="25">
        <f>1225899+668159</f>
        <v>1894058</v>
      </c>
      <c r="D26" s="28">
        <f t="shared" si="0"/>
        <v>0.93725251897457618</v>
      </c>
      <c r="E26" s="25"/>
      <c r="F26" s="28">
        <f t="shared" si="1"/>
        <v>0</v>
      </c>
      <c r="G26" s="25"/>
      <c r="H26" s="28">
        <f t="shared" si="2"/>
        <v>0</v>
      </c>
      <c r="I26" s="25">
        <f>432+22</f>
        <v>454</v>
      </c>
      <c r="J26" s="28">
        <f t="shared" si="3"/>
        <v>2.2465660693308102E-4</v>
      </c>
      <c r="K26" s="68">
        <f>AH26-C26-G26-I26-M26</f>
        <v>122685</v>
      </c>
      <c r="L26" s="28">
        <f t="shared" si="4"/>
        <v>6.0709241897764422E-2</v>
      </c>
      <c r="M26" s="68">
        <v>3665</v>
      </c>
      <c r="N26" s="28">
        <f t="shared" si="5"/>
        <v>1.8135825207263039E-3</v>
      </c>
      <c r="O26" s="38" t="s">
        <v>3783</v>
      </c>
      <c r="P26" s="77">
        <v>45338</v>
      </c>
      <c r="Q26" s="35" t="s">
        <v>3805</v>
      </c>
      <c r="R26" s="35" t="str">
        <f>IF(OR(Q26="CT207",Q26="CT209",Q26="CT211"),"MIS",IF(Q26="Corporativo","Corporativo",IF(Q26="Calculado","Calculado",IF(Q26="LT ESTR","LT ESTR", IF(Q26="Modelo Verde","Modelo Verde",NA)))))</f>
        <v>MIS</v>
      </c>
      <c r="S26" s="37" t="s">
        <v>3798</v>
      </c>
      <c r="T26" s="35" t="s">
        <v>3706</v>
      </c>
      <c r="U26" s="35" t="s">
        <v>3706</v>
      </c>
      <c r="V26" s="35" t="str">
        <f t="shared" si="9"/>
        <v>OK</v>
      </c>
      <c r="W26" s="35" t="s">
        <v>3816</v>
      </c>
      <c r="X26" s="90" t="str">
        <f t="shared" si="6"/>
        <v>Test Team</v>
      </c>
      <c r="Y26" s="32"/>
      <c r="Z26" s="25">
        <v>1225899</v>
      </c>
      <c r="AA26" s="25"/>
      <c r="AB26" s="25"/>
      <c r="AC26" s="25"/>
      <c r="AD26" s="25">
        <v>790866</v>
      </c>
      <c r="AE26" s="25">
        <v>432</v>
      </c>
      <c r="AF26" s="25"/>
      <c r="AG26" s="25">
        <v>3665</v>
      </c>
      <c r="AH26" s="23">
        <v>2020862</v>
      </c>
      <c r="AI26" s="1">
        <f t="shared" si="7"/>
        <v>0</v>
      </c>
      <c r="AJ26" s="1">
        <f t="shared" si="8"/>
        <v>0</v>
      </c>
      <c r="AK26" t="s">
        <v>3842</v>
      </c>
    </row>
    <row r="27" spans="2:37" x14ac:dyDescent="0.3">
      <c r="B27" s="88" t="s">
        <v>3710</v>
      </c>
      <c r="C27" s="25">
        <f>1225899+668159</f>
        <v>1894058</v>
      </c>
      <c r="D27" s="28">
        <f t="shared" si="0"/>
        <v>0.93725251897457618</v>
      </c>
      <c r="E27" s="25"/>
      <c r="F27" s="28">
        <f t="shared" si="1"/>
        <v>0</v>
      </c>
      <c r="G27" s="25"/>
      <c r="H27" s="28">
        <f t="shared" si="2"/>
        <v>0</v>
      </c>
      <c r="I27" s="25">
        <f>432+22</f>
        <v>454</v>
      </c>
      <c r="J27" s="28">
        <f t="shared" si="3"/>
        <v>2.2465660693308102E-4</v>
      </c>
      <c r="K27" s="68">
        <f>AH27-C27-G27-I27-M27</f>
        <v>122685</v>
      </c>
      <c r="L27" s="28">
        <f t="shared" si="4"/>
        <v>6.0709241897764422E-2</v>
      </c>
      <c r="M27" s="68">
        <v>3665</v>
      </c>
      <c r="N27" s="28">
        <f t="shared" si="5"/>
        <v>1.8135825207263039E-3</v>
      </c>
      <c r="O27" s="38" t="s">
        <v>3783</v>
      </c>
      <c r="P27" s="52">
        <v>45317</v>
      </c>
      <c r="Q27" s="35" t="s">
        <v>3805</v>
      </c>
      <c r="R27" s="35" t="str">
        <f>IF(OR(Q27="CT207",Q27="CT209",Q27="CT211"),"MIS",IF(Q27="Corporativo","Corporativo",IF(Q27="Calculado","Calculado",IF(Q27="LT ESTR","LT ESTR", IF(Q27="Modelo Verde","Modelo Verde",NA)))))</f>
        <v>MIS</v>
      </c>
      <c r="S27" s="37" t="s">
        <v>3798</v>
      </c>
      <c r="T27" s="35" t="s">
        <v>3706</v>
      </c>
      <c r="U27" s="35" t="s">
        <v>3706</v>
      </c>
      <c r="V27" s="35" t="str">
        <f t="shared" si="9"/>
        <v>OK</v>
      </c>
      <c r="W27" s="35" t="s">
        <v>3816</v>
      </c>
      <c r="X27" s="90" t="str">
        <f t="shared" si="6"/>
        <v>Test Team</v>
      </c>
      <c r="Y27" s="25" t="s">
        <v>3789</v>
      </c>
      <c r="Z27" s="25">
        <v>1225309</v>
      </c>
      <c r="AA27" s="25"/>
      <c r="AB27" s="25">
        <v>590</v>
      </c>
      <c r="AC27" s="25"/>
      <c r="AD27" s="25"/>
      <c r="AE27" s="25">
        <v>432</v>
      </c>
      <c r="AF27" s="25">
        <v>790866</v>
      </c>
      <c r="AG27" s="25">
        <v>3665</v>
      </c>
      <c r="AH27" s="23">
        <v>2020862</v>
      </c>
      <c r="AI27" s="1">
        <f t="shared" si="7"/>
        <v>0</v>
      </c>
      <c r="AJ27" s="1">
        <f t="shared" si="8"/>
        <v>0</v>
      </c>
      <c r="AK27" t="s">
        <v>3842</v>
      </c>
    </row>
    <row r="28" spans="2:37" x14ac:dyDescent="0.3">
      <c r="B28" s="88" t="s">
        <v>3740</v>
      </c>
      <c r="C28" s="25">
        <v>2020862</v>
      </c>
      <c r="D28" s="28">
        <f t="shared" si="0"/>
        <v>1</v>
      </c>
      <c r="E28" s="25"/>
      <c r="F28" s="28">
        <f t="shared" si="1"/>
        <v>0</v>
      </c>
      <c r="G28" s="25"/>
      <c r="H28" s="28">
        <f t="shared" si="2"/>
        <v>0</v>
      </c>
      <c r="I28" s="25"/>
      <c r="J28" s="28">
        <f t="shared" si="3"/>
        <v>0</v>
      </c>
      <c r="K28" s="68"/>
      <c r="L28" s="28">
        <f t="shared" si="4"/>
        <v>0</v>
      </c>
      <c r="M28" s="68"/>
      <c r="N28" s="28">
        <f t="shared" si="5"/>
        <v>0</v>
      </c>
      <c r="O28" s="36" t="s">
        <v>3787</v>
      </c>
      <c r="P28" s="52">
        <v>45317</v>
      </c>
      <c r="Q28" s="35" t="s">
        <v>3803</v>
      </c>
      <c r="R28" s="35" t="str">
        <f>IF(OR(Q28="CT207",Q28="CT209",Q28="CT211"),"MIS",IF(Q28="Corporativo","Corporativo",IF(Q28="Calculado","Calculado",IF(Q28="LT ESTR","LT ESTR", IF(Q28="Modelo Verde","Modelo Verde",NA)))))</f>
        <v>LT ESTR</v>
      </c>
      <c r="S28" s="37" t="s">
        <v>3798</v>
      </c>
      <c r="T28" s="35" t="s">
        <v>3706</v>
      </c>
      <c r="U28" s="35" t="s">
        <v>3706</v>
      </c>
      <c r="V28" s="35" t="str">
        <f t="shared" si="9"/>
        <v>OK</v>
      </c>
      <c r="W28" s="35" t="s">
        <v>3706</v>
      </c>
      <c r="X28" s="90" t="str">
        <f t="shared" si="6"/>
        <v>Fechado</v>
      </c>
      <c r="Y28" s="74" t="s">
        <v>3785</v>
      </c>
      <c r="Z28" s="25"/>
      <c r="AA28" s="25"/>
      <c r="AB28" s="25"/>
      <c r="AC28" s="25"/>
      <c r="AD28" s="25"/>
      <c r="AE28" s="25"/>
      <c r="AF28" s="25"/>
      <c r="AG28" s="25"/>
      <c r="AH28" s="23">
        <v>2020862</v>
      </c>
      <c r="AI28" s="1">
        <f t="shared" si="7"/>
        <v>0</v>
      </c>
      <c r="AJ28" s="1">
        <f t="shared" si="8"/>
        <v>2020862</v>
      </c>
      <c r="AK28" t="s">
        <v>3706</v>
      </c>
    </row>
    <row r="29" spans="2:37" x14ac:dyDescent="0.3">
      <c r="B29" s="88" t="s">
        <v>3745</v>
      </c>
      <c r="C29" s="25">
        <v>2020862</v>
      </c>
      <c r="D29" s="28">
        <f t="shared" si="0"/>
        <v>1</v>
      </c>
      <c r="E29" s="26"/>
      <c r="F29" s="28">
        <f t="shared" si="1"/>
        <v>0</v>
      </c>
      <c r="G29" s="25"/>
      <c r="H29" s="28">
        <f t="shared" si="2"/>
        <v>0</v>
      </c>
      <c r="I29" s="25"/>
      <c r="J29" s="28">
        <f t="shared" si="3"/>
        <v>0</v>
      </c>
      <c r="K29" s="68"/>
      <c r="L29" s="28">
        <f t="shared" si="4"/>
        <v>0</v>
      </c>
      <c r="M29" s="68"/>
      <c r="N29" s="28">
        <f t="shared" si="5"/>
        <v>0</v>
      </c>
      <c r="O29" s="36" t="s">
        <v>3787</v>
      </c>
      <c r="P29" s="52">
        <v>45321</v>
      </c>
      <c r="Q29" s="35" t="s">
        <v>3803</v>
      </c>
      <c r="R29" s="35" t="str">
        <f>IF(OR(Q29="CT207",Q29="CT209",Q29="CT211"),"MIS",IF(Q29="Corporativo","Corporativo",IF(Q29="Calculado","Calculado",IF(Q29="LT ESTR","LT ESTR", IF(Q29="Modelo Verde","Modelo Verde",NA)))))</f>
        <v>LT ESTR</v>
      </c>
      <c r="S29" s="37" t="s">
        <v>3798</v>
      </c>
      <c r="T29" s="35" t="s">
        <v>3706</v>
      </c>
      <c r="U29" s="35" t="s">
        <v>3706</v>
      </c>
      <c r="V29" s="35" t="str">
        <f t="shared" si="9"/>
        <v>OK</v>
      </c>
      <c r="W29" s="35" t="s">
        <v>3706</v>
      </c>
      <c r="X29" s="90" t="str">
        <f t="shared" si="6"/>
        <v>Fechado</v>
      </c>
      <c r="Y29" s="73"/>
      <c r="Z29" s="25"/>
      <c r="AA29" s="25"/>
      <c r="AB29" s="25"/>
      <c r="AC29" s="25"/>
      <c r="AD29" s="25"/>
      <c r="AE29" s="25"/>
      <c r="AF29" s="25"/>
      <c r="AG29" s="25"/>
      <c r="AH29" s="23">
        <v>2020862</v>
      </c>
      <c r="AI29" s="1">
        <f t="shared" si="7"/>
        <v>0</v>
      </c>
      <c r="AJ29" s="1">
        <f t="shared" si="8"/>
        <v>2020862</v>
      </c>
      <c r="AK29" t="s">
        <v>3706</v>
      </c>
    </row>
    <row r="30" spans="2:37" x14ac:dyDescent="0.3">
      <c r="B30" s="88" t="s">
        <v>3741</v>
      </c>
      <c r="C30" s="25">
        <v>2020862</v>
      </c>
      <c r="D30" s="28">
        <f t="shared" si="0"/>
        <v>1</v>
      </c>
      <c r="E30" s="26"/>
      <c r="F30" s="28">
        <f t="shared" si="1"/>
        <v>0</v>
      </c>
      <c r="G30" s="25"/>
      <c r="H30" s="28">
        <f t="shared" si="2"/>
        <v>0</v>
      </c>
      <c r="I30" s="25"/>
      <c r="J30" s="28">
        <f t="shared" si="3"/>
        <v>0</v>
      </c>
      <c r="K30" s="68"/>
      <c r="L30" s="28">
        <f t="shared" si="4"/>
        <v>0</v>
      </c>
      <c r="M30" s="68"/>
      <c r="N30" s="28">
        <f t="shared" si="5"/>
        <v>0</v>
      </c>
      <c r="O30" s="36" t="s">
        <v>3787</v>
      </c>
      <c r="P30" s="52">
        <v>45321</v>
      </c>
      <c r="Q30" s="35" t="s">
        <v>3803</v>
      </c>
      <c r="R30" s="35" t="str">
        <f>IF(OR(Q30="CT207",Q30="CT209",Q30="CT211"),"MIS",IF(Q30="Corporativo","Corporativo",IF(Q30="Calculado","Calculado",IF(Q30="LT ESTR","LT ESTR", IF(Q30="Modelo Verde","Modelo Verde",NA)))))</f>
        <v>LT ESTR</v>
      </c>
      <c r="S30" s="37" t="s">
        <v>3798</v>
      </c>
      <c r="T30" s="35" t="s">
        <v>3706</v>
      </c>
      <c r="U30" s="35" t="s">
        <v>3706</v>
      </c>
      <c r="V30" s="35" t="str">
        <f t="shared" si="9"/>
        <v>OK</v>
      </c>
      <c r="W30" s="35" t="s">
        <v>3706</v>
      </c>
      <c r="X30" s="90" t="str">
        <f t="shared" si="6"/>
        <v>Fechado</v>
      </c>
      <c r="Y30" s="73"/>
      <c r="Z30" s="25"/>
      <c r="AA30" s="25"/>
      <c r="AB30" s="25"/>
      <c r="AC30" s="25"/>
      <c r="AD30" s="25"/>
      <c r="AE30" s="25"/>
      <c r="AF30" s="25"/>
      <c r="AG30" s="25"/>
      <c r="AH30" s="23">
        <v>2020862</v>
      </c>
      <c r="AI30" s="1">
        <f t="shared" si="7"/>
        <v>0</v>
      </c>
      <c r="AJ30" s="1">
        <f t="shared" si="8"/>
        <v>2020862</v>
      </c>
      <c r="AK30" t="s">
        <v>3706</v>
      </c>
    </row>
    <row r="31" spans="2:37" x14ac:dyDescent="0.3">
      <c r="B31" s="88" t="s">
        <v>3722</v>
      </c>
      <c r="C31" s="25">
        <f>1094290+586837</f>
        <v>1681127</v>
      </c>
      <c r="D31" s="69">
        <f t="shared" si="0"/>
        <v>0.83188609613125486</v>
      </c>
      <c r="E31" s="68"/>
      <c r="F31" s="69">
        <f t="shared" si="1"/>
        <v>0</v>
      </c>
      <c r="G31" s="25">
        <v>155</v>
      </c>
      <c r="H31" s="69">
        <f t="shared" si="2"/>
        <v>7.6699942895655412E-5</v>
      </c>
      <c r="I31" s="25">
        <f>17469+114572+44105+1441</f>
        <v>177587</v>
      </c>
      <c r="J31" s="69">
        <f t="shared" si="3"/>
        <v>8.7876856509746831E-2</v>
      </c>
      <c r="K31" s="68">
        <f>AH31-C31-G31-I31-M31</f>
        <v>158328</v>
      </c>
      <c r="L31" s="69">
        <f t="shared" si="4"/>
        <v>7.8346764895376328E-2</v>
      </c>
      <c r="M31" s="68">
        <v>3665</v>
      </c>
      <c r="N31" s="69">
        <f t="shared" si="5"/>
        <v>1.8135825207263039E-3</v>
      </c>
      <c r="O31" s="38" t="s">
        <v>3783</v>
      </c>
      <c r="P31" s="77">
        <v>45321</v>
      </c>
      <c r="Q31" s="78" t="s">
        <v>3807</v>
      </c>
      <c r="R31" s="35" t="str">
        <f>IF(OR(Q31="CT207",Q31="CT209",Q31="CT211"),"MIS",IF(Q31="Corporativo","Corporativo",IF(Q31="Calculado","Calculado",IF(Q31="LT ESTR","LT ESTR", IF(Q31="Modelo Verde","Modelo Verde",NA)))))</f>
        <v>MIS</v>
      </c>
      <c r="S31" s="79" t="s">
        <v>3798</v>
      </c>
      <c r="T31" s="78" t="s">
        <v>3712</v>
      </c>
      <c r="U31" s="78" t="s">
        <v>3712</v>
      </c>
      <c r="V31" s="35" t="str">
        <f t="shared" si="9"/>
        <v>WIP</v>
      </c>
      <c r="W31" s="78" t="s">
        <v>3816</v>
      </c>
      <c r="X31" s="90" t="str">
        <f t="shared" si="6"/>
        <v>Test Team</v>
      </c>
      <c r="Y31" s="68"/>
      <c r="Z31" s="25"/>
      <c r="AA31" s="25"/>
      <c r="AB31" s="25"/>
      <c r="AC31" s="25"/>
      <c r="AD31" s="25"/>
      <c r="AE31" s="25"/>
      <c r="AF31" s="25"/>
      <c r="AG31" s="25"/>
      <c r="AH31" s="23">
        <v>2020862</v>
      </c>
      <c r="AI31" s="1">
        <f t="shared" si="7"/>
        <v>0</v>
      </c>
      <c r="AJ31" s="1">
        <f t="shared" si="8"/>
        <v>2020862</v>
      </c>
      <c r="AK31" t="s">
        <v>3706</v>
      </c>
    </row>
    <row r="32" spans="2:37" x14ac:dyDescent="0.3">
      <c r="B32" s="88" t="s">
        <v>3723</v>
      </c>
      <c r="C32" s="25"/>
      <c r="D32" s="28">
        <f t="shared" si="0"/>
        <v>0</v>
      </c>
      <c r="E32" s="25"/>
      <c r="F32" s="28">
        <f t="shared" si="1"/>
        <v>0</v>
      </c>
      <c r="G32" s="25">
        <f>2020862-3665</f>
        <v>2017197</v>
      </c>
      <c r="H32" s="28">
        <f t="shared" si="2"/>
        <v>0.99818641747927372</v>
      </c>
      <c r="I32" s="25"/>
      <c r="J32" s="28">
        <f t="shared" si="3"/>
        <v>0</v>
      </c>
      <c r="K32" s="68"/>
      <c r="L32" s="28">
        <f t="shared" si="4"/>
        <v>0</v>
      </c>
      <c r="M32" s="68">
        <v>3665</v>
      </c>
      <c r="N32" s="28">
        <f t="shared" si="5"/>
        <v>1.8135825207263039E-3</v>
      </c>
      <c r="O32" s="51" t="s">
        <v>3795</v>
      </c>
      <c r="P32" s="52">
        <v>45320</v>
      </c>
      <c r="Q32" s="35" t="s">
        <v>3807</v>
      </c>
      <c r="R32" s="35" t="str">
        <f>IF(OR(Q32="CT207",Q32="CT209",Q32="CT211"),"MIS",IF(Q32="Corporativo","Corporativo",IF(Q32="Calculado","Calculado",IF(Q32="LT ESTR","LT ESTR", IF(Q32="Modelo Verde","Modelo Verde",NA)))))</f>
        <v>MIS</v>
      </c>
      <c r="S32" s="37" t="s">
        <v>3798</v>
      </c>
      <c r="T32" s="35" t="s">
        <v>3707</v>
      </c>
      <c r="U32" s="35" t="s">
        <v>3707</v>
      </c>
      <c r="V32" s="35" t="str">
        <f t="shared" si="9"/>
        <v>NOK</v>
      </c>
      <c r="W32" s="35" t="s">
        <v>3707</v>
      </c>
      <c r="X32" s="90" t="str">
        <f t="shared" si="6"/>
        <v>IT Team</v>
      </c>
      <c r="Y32" s="25"/>
      <c r="Z32" s="25"/>
      <c r="AA32" s="25"/>
      <c r="AB32" s="25"/>
      <c r="AC32" s="25"/>
      <c r="AD32" s="25"/>
      <c r="AE32" s="25"/>
      <c r="AF32" s="25"/>
      <c r="AG32" s="25"/>
      <c r="AH32" s="23">
        <v>2020862</v>
      </c>
      <c r="AI32" s="1">
        <f t="shared" si="7"/>
        <v>0</v>
      </c>
      <c r="AJ32" s="1">
        <f t="shared" si="8"/>
        <v>2020862</v>
      </c>
      <c r="AK32" t="s">
        <v>3706</v>
      </c>
    </row>
    <row r="33" spans="2:37" x14ac:dyDescent="0.3">
      <c r="B33" s="88" t="s">
        <v>3757</v>
      </c>
      <c r="C33" s="25">
        <v>2020862</v>
      </c>
      <c r="D33" s="28">
        <f t="shared" si="0"/>
        <v>1</v>
      </c>
      <c r="E33" s="25"/>
      <c r="F33" s="28">
        <f t="shared" si="1"/>
        <v>0</v>
      </c>
      <c r="G33" s="25"/>
      <c r="H33" s="28">
        <f t="shared" si="2"/>
        <v>0</v>
      </c>
      <c r="I33" s="25"/>
      <c r="J33" s="28">
        <f t="shared" si="3"/>
        <v>0</v>
      </c>
      <c r="K33" s="68"/>
      <c r="L33" s="28">
        <f t="shared" si="4"/>
        <v>0</v>
      </c>
      <c r="M33" s="68"/>
      <c r="N33" s="28">
        <f t="shared" si="5"/>
        <v>0</v>
      </c>
      <c r="O33" s="36" t="s">
        <v>3787</v>
      </c>
      <c r="P33" s="52">
        <v>45317</v>
      </c>
      <c r="Q33" s="35" t="s">
        <v>3808</v>
      </c>
      <c r="R33" s="35" t="str">
        <f>IF(OR(Q33="CT207",Q33="CT209",Q33="CT211"),"MIS",IF(Q33="Corporativo","Corporativo",IF(Q33="Calculado","Calculado",IF(Q33="LT ESTR","LT ESTR", IF(Q33="Modelo Verde","Modelo Verde",NA)))))</f>
        <v>Corporativo</v>
      </c>
      <c r="S33" s="37" t="s">
        <v>3798</v>
      </c>
      <c r="T33" s="35" t="s">
        <v>3706</v>
      </c>
      <c r="U33" s="35" t="s">
        <v>3706</v>
      </c>
      <c r="V33" s="35" t="str">
        <f t="shared" si="9"/>
        <v>OK</v>
      </c>
      <c r="W33" s="35" t="s">
        <v>3706</v>
      </c>
      <c r="X33" s="90" t="str">
        <f t="shared" si="6"/>
        <v>Fechado</v>
      </c>
      <c r="Y33" s="25"/>
      <c r="Z33" s="25"/>
      <c r="AA33" s="25"/>
      <c r="AB33" s="25"/>
      <c r="AC33" s="25"/>
      <c r="AD33" s="25"/>
      <c r="AE33" s="25"/>
      <c r="AF33" s="25"/>
      <c r="AG33" s="25"/>
      <c r="AH33" s="23">
        <v>2020862</v>
      </c>
      <c r="AI33" s="1">
        <f t="shared" si="7"/>
        <v>0</v>
      </c>
      <c r="AJ33" s="1">
        <f t="shared" si="8"/>
        <v>2020862</v>
      </c>
      <c r="AK33" t="s">
        <v>3706</v>
      </c>
    </row>
    <row r="34" spans="2:37" x14ac:dyDescent="0.3">
      <c r="B34" s="88" t="s">
        <v>3766</v>
      </c>
      <c r="C34" s="25"/>
      <c r="D34" s="69">
        <f t="shared" si="0"/>
        <v>0</v>
      </c>
      <c r="E34" s="68"/>
      <c r="F34" s="69">
        <f t="shared" si="1"/>
        <v>0</v>
      </c>
      <c r="G34" s="25"/>
      <c r="H34" s="69">
        <f t="shared" si="2"/>
        <v>0</v>
      </c>
      <c r="I34" s="25"/>
      <c r="J34" s="69">
        <f t="shared" si="3"/>
        <v>0</v>
      </c>
      <c r="K34" s="68">
        <v>2020862</v>
      </c>
      <c r="L34" s="69">
        <f t="shared" si="4"/>
        <v>1</v>
      </c>
      <c r="M34" s="68"/>
      <c r="N34" s="69">
        <f t="shared" si="5"/>
        <v>0</v>
      </c>
      <c r="O34" s="51" t="s">
        <v>3795</v>
      </c>
      <c r="P34" s="52">
        <v>45321</v>
      </c>
      <c r="Q34" s="35" t="s">
        <v>3809</v>
      </c>
      <c r="R34" s="35" t="str">
        <f>IF(OR(Q34="CT207",Q34="CT209",Q34="CT211"),"MIS",IF(Q34="Corporativo","Corporativo",IF(Q34="Calculado","Calculado",IF(Q34="LT ESTR","LT ESTR", IF(Q34="Modelo Verde","Modelo Verde",NA)))))</f>
        <v>Calculado</v>
      </c>
      <c r="S34" s="37" t="s">
        <v>3794</v>
      </c>
      <c r="T34" s="35" t="s">
        <v>3816</v>
      </c>
      <c r="U34" s="35" t="s">
        <v>3816</v>
      </c>
      <c r="V34" s="35" t="str">
        <f t="shared" si="9"/>
        <v>Not Started</v>
      </c>
      <c r="W34" s="35" t="s">
        <v>3816</v>
      </c>
      <c r="X34" s="90" t="str">
        <f t="shared" si="6"/>
        <v>IT Team</v>
      </c>
      <c r="Y34" s="25"/>
      <c r="Z34" s="25"/>
      <c r="AA34" s="25"/>
      <c r="AB34" s="25"/>
      <c r="AC34" s="25"/>
      <c r="AD34" s="25"/>
      <c r="AE34" s="25"/>
      <c r="AF34" s="25"/>
      <c r="AG34" s="25"/>
      <c r="AH34" s="23">
        <v>2020862</v>
      </c>
      <c r="AI34" s="1">
        <f t="shared" si="7"/>
        <v>0</v>
      </c>
      <c r="AJ34" s="1">
        <f t="shared" si="8"/>
        <v>2020862</v>
      </c>
      <c r="AK34" t="s">
        <v>3706</v>
      </c>
    </row>
    <row r="35" spans="2:37" x14ac:dyDescent="0.3">
      <c r="B35" s="88" t="s">
        <v>3731</v>
      </c>
      <c r="C35" s="25">
        <v>2020862</v>
      </c>
      <c r="D35" s="28">
        <f>C38/$AH35</f>
        <v>1</v>
      </c>
      <c r="E35" s="25"/>
      <c r="F35" s="28">
        <f t="shared" si="1"/>
        <v>0</v>
      </c>
      <c r="G35" s="25"/>
      <c r="H35" s="28">
        <f t="shared" si="2"/>
        <v>0</v>
      </c>
      <c r="I35" s="25"/>
      <c r="J35" s="28">
        <f t="shared" si="3"/>
        <v>0</v>
      </c>
      <c r="K35" s="68"/>
      <c r="L35" s="28">
        <f t="shared" si="4"/>
        <v>0</v>
      </c>
      <c r="M35" s="68"/>
      <c r="N35" s="28">
        <f t="shared" si="5"/>
        <v>0</v>
      </c>
      <c r="O35" s="36" t="s">
        <v>3787</v>
      </c>
      <c r="P35" s="52">
        <v>45321</v>
      </c>
      <c r="Q35" s="35" t="s">
        <v>3803</v>
      </c>
      <c r="R35" s="35" t="str">
        <f>IF(OR(Q35="CT207",Q35="CT209",Q35="CT211"),"MIS",IF(Q35="Corporativo","Corporativo",IF(Q35="Calculado","Calculado",IF(Q35="LT ESTR","LT ESTR", IF(Q35="Modelo Verde","Modelo Verde",NA)))))</f>
        <v>LT ESTR</v>
      </c>
      <c r="S35" s="37" t="s">
        <v>3798</v>
      </c>
      <c r="T35" s="35" t="s">
        <v>3706</v>
      </c>
      <c r="U35" s="35" t="s">
        <v>3706</v>
      </c>
      <c r="V35" s="35" t="str">
        <f t="shared" si="9"/>
        <v>OK</v>
      </c>
      <c r="W35" s="35" t="s">
        <v>3706</v>
      </c>
      <c r="X35" s="90" t="str">
        <f t="shared" si="6"/>
        <v>Fechado</v>
      </c>
      <c r="Y35" s="73"/>
      <c r="Z35" s="25"/>
      <c r="AA35" s="25"/>
      <c r="AB35" s="25"/>
      <c r="AC35" s="25"/>
      <c r="AD35" s="25"/>
      <c r="AE35" s="25"/>
      <c r="AF35" s="25"/>
      <c r="AG35" s="25"/>
      <c r="AH35" s="23">
        <v>2020862</v>
      </c>
      <c r="AI35" s="1">
        <f t="shared" si="7"/>
        <v>0</v>
      </c>
      <c r="AJ35" s="1">
        <f t="shared" si="8"/>
        <v>2020862</v>
      </c>
      <c r="AK35" t="s">
        <v>3706</v>
      </c>
    </row>
    <row r="36" spans="2:37" x14ac:dyDescent="0.3">
      <c r="B36" s="88" t="s">
        <v>3756</v>
      </c>
      <c r="C36" s="25">
        <v>2020862</v>
      </c>
      <c r="D36" s="28">
        <f t="shared" ref="D36:D71" si="10">C36/$AH36</f>
        <v>1</v>
      </c>
      <c r="E36" s="25"/>
      <c r="F36" s="28">
        <f t="shared" si="1"/>
        <v>0</v>
      </c>
      <c r="G36" s="25"/>
      <c r="H36" s="28">
        <f t="shared" si="2"/>
        <v>0</v>
      </c>
      <c r="I36" s="25"/>
      <c r="J36" s="28">
        <f t="shared" si="3"/>
        <v>0</v>
      </c>
      <c r="K36" s="68"/>
      <c r="L36" s="28">
        <f t="shared" si="4"/>
        <v>0</v>
      </c>
      <c r="M36" s="68"/>
      <c r="N36" s="28">
        <f t="shared" si="5"/>
        <v>0</v>
      </c>
      <c r="O36" s="36" t="s">
        <v>3787</v>
      </c>
      <c r="P36" s="52">
        <v>45317</v>
      </c>
      <c r="Q36" s="35" t="s">
        <v>3808</v>
      </c>
      <c r="R36" s="35" t="str">
        <f>IF(OR(Q36="CT207",Q36="CT209",Q36="CT211"),"MIS",IF(Q36="Corporativo","Corporativo",IF(Q36="Calculado","Calculado",IF(Q36="LT ESTR","LT ESTR", IF(Q36="Modelo Verde","Modelo Verde",NA)))))</f>
        <v>Corporativo</v>
      </c>
      <c r="S36" s="37" t="s">
        <v>3798</v>
      </c>
      <c r="T36" s="35" t="s">
        <v>3706</v>
      </c>
      <c r="U36" s="35" t="s">
        <v>3706</v>
      </c>
      <c r="V36" s="35" t="str">
        <f t="shared" si="9"/>
        <v>OK</v>
      </c>
      <c r="W36" s="35" t="s">
        <v>3706</v>
      </c>
      <c r="X36" s="90" t="str">
        <f t="shared" si="6"/>
        <v>Fechado</v>
      </c>
      <c r="Y36" s="25"/>
      <c r="Z36" s="25"/>
      <c r="AA36" s="25"/>
      <c r="AB36" s="25"/>
      <c r="AC36" s="25"/>
      <c r="AD36" s="25"/>
      <c r="AE36" s="25"/>
      <c r="AF36" s="25"/>
      <c r="AG36" s="25"/>
      <c r="AH36" s="23">
        <v>2020862</v>
      </c>
      <c r="AI36" s="1">
        <f t="shared" si="7"/>
        <v>0</v>
      </c>
      <c r="AJ36" s="1">
        <f t="shared" si="8"/>
        <v>2020862</v>
      </c>
      <c r="AK36" t="s">
        <v>3706</v>
      </c>
    </row>
    <row r="37" spans="2:37" hidden="1" x14ac:dyDescent="0.3">
      <c r="B37" s="88" t="s">
        <v>3746</v>
      </c>
      <c r="C37" s="25"/>
      <c r="D37" s="69">
        <f t="shared" si="10"/>
        <v>0</v>
      </c>
      <c r="E37" s="68"/>
      <c r="F37" s="69">
        <f t="shared" si="1"/>
        <v>0</v>
      </c>
      <c r="G37" s="25"/>
      <c r="H37" s="69">
        <f t="shared" si="2"/>
        <v>0</v>
      </c>
      <c r="I37" s="25"/>
      <c r="J37" s="69">
        <f t="shared" si="3"/>
        <v>0</v>
      </c>
      <c r="K37" s="68">
        <v>2020862</v>
      </c>
      <c r="L37" s="69">
        <f t="shared" si="4"/>
        <v>1</v>
      </c>
      <c r="M37" s="68"/>
      <c r="N37" s="69">
        <f t="shared" si="5"/>
        <v>0</v>
      </c>
      <c r="O37" s="51" t="s">
        <v>3795</v>
      </c>
      <c r="P37" s="52">
        <v>45322</v>
      </c>
      <c r="Q37" s="35" t="s">
        <v>3803</v>
      </c>
      <c r="R37" s="35" t="str">
        <f>IF(OR(Q37="CT207",Q37="CT209",Q37="CT211"),"MIS",IF(Q37="Corporativo","Corporativo",IF(Q37="Calculado","Calculado",IF(Q37="LT ESTR","LT ESTR", IF(Q37="Modelo Verde","Modelo Verde",NA)))))</f>
        <v>LT ESTR</v>
      </c>
      <c r="S37" s="37" t="s">
        <v>3794</v>
      </c>
      <c r="T37" s="35" t="s">
        <v>3816</v>
      </c>
      <c r="U37" s="35" t="s">
        <v>3816</v>
      </c>
      <c r="V37" s="35" t="str">
        <f t="shared" si="9"/>
        <v>Not Started</v>
      </c>
      <c r="W37" s="35" t="s">
        <v>3816</v>
      </c>
      <c r="X37" s="90" t="str">
        <f t="shared" si="6"/>
        <v>IT Team</v>
      </c>
      <c r="Y37" s="73" t="s">
        <v>3852</v>
      </c>
      <c r="Z37" s="25"/>
      <c r="AA37" s="25"/>
      <c r="AB37" s="25"/>
      <c r="AC37" s="25"/>
      <c r="AD37" s="25"/>
      <c r="AE37" s="25"/>
      <c r="AF37" s="25"/>
      <c r="AG37" s="25"/>
      <c r="AH37" s="23">
        <v>2020862</v>
      </c>
      <c r="AI37" s="1">
        <f t="shared" si="7"/>
        <v>0</v>
      </c>
      <c r="AJ37" s="1">
        <f t="shared" si="8"/>
        <v>2020862</v>
      </c>
      <c r="AK37" t="s">
        <v>3706</v>
      </c>
    </row>
    <row r="38" spans="2:37" x14ac:dyDescent="0.3">
      <c r="B38" s="102" t="s">
        <v>3733</v>
      </c>
      <c r="C38" s="25">
        <v>2020862</v>
      </c>
      <c r="D38" s="28">
        <f t="shared" si="10"/>
        <v>1</v>
      </c>
      <c r="E38" s="25"/>
      <c r="F38" s="28">
        <f t="shared" si="1"/>
        <v>0</v>
      </c>
      <c r="G38" s="25"/>
      <c r="H38" s="28">
        <f t="shared" si="2"/>
        <v>0</v>
      </c>
      <c r="I38" s="25"/>
      <c r="J38" s="28">
        <f t="shared" si="3"/>
        <v>0</v>
      </c>
      <c r="K38" s="68"/>
      <c r="L38" s="28">
        <f t="shared" si="4"/>
        <v>0</v>
      </c>
      <c r="M38" s="68"/>
      <c r="N38" s="28">
        <f t="shared" si="5"/>
        <v>0</v>
      </c>
      <c r="O38" s="36" t="s">
        <v>3787</v>
      </c>
      <c r="P38" s="52">
        <v>45317</v>
      </c>
      <c r="Q38" s="35" t="s">
        <v>3803</v>
      </c>
      <c r="R38" s="35" t="str">
        <f>IF(OR(Q38="CT207",Q38="CT209",Q38="CT211"),"MIS",IF(Q38="Corporativo","Corporativo",IF(Q38="Calculado","Calculado",IF(Q38="LT ESTR","LT ESTR", IF(Q38="Modelo Verde","Modelo Verde",NA)))))</f>
        <v>LT ESTR</v>
      </c>
      <c r="S38" s="37" t="s">
        <v>3798</v>
      </c>
      <c r="T38" s="35" t="s">
        <v>3706</v>
      </c>
      <c r="U38" s="35" t="s">
        <v>3706</v>
      </c>
      <c r="V38" s="35" t="str">
        <f t="shared" si="9"/>
        <v>OK</v>
      </c>
      <c r="W38" s="35" t="s">
        <v>3706</v>
      </c>
      <c r="X38" s="90" t="str">
        <f t="shared" si="6"/>
        <v>Fechado</v>
      </c>
      <c r="Y38" s="73"/>
      <c r="Z38" s="25">
        <v>2020862</v>
      </c>
      <c r="AA38" s="25"/>
      <c r="AB38" s="25"/>
      <c r="AC38" s="25"/>
      <c r="AD38" s="25"/>
      <c r="AE38" s="25"/>
      <c r="AF38" s="25"/>
      <c r="AG38" s="25"/>
      <c r="AH38" s="23">
        <v>2020862</v>
      </c>
      <c r="AI38" s="1">
        <f t="shared" si="7"/>
        <v>0</v>
      </c>
      <c r="AJ38" s="1">
        <f t="shared" si="8"/>
        <v>0</v>
      </c>
      <c r="AK38" t="s">
        <v>3706</v>
      </c>
    </row>
    <row r="39" spans="2:37" hidden="1" x14ac:dyDescent="0.3">
      <c r="B39" s="88" t="s">
        <v>3797</v>
      </c>
      <c r="C39" s="25"/>
      <c r="D39" s="28">
        <f t="shared" si="10"/>
        <v>0</v>
      </c>
      <c r="E39" s="26"/>
      <c r="F39" s="28">
        <f t="shared" si="1"/>
        <v>0</v>
      </c>
      <c r="G39" s="25">
        <v>2020862</v>
      </c>
      <c r="H39" s="28">
        <f t="shared" si="2"/>
        <v>1</v>
      </c>
      <c r="I39" s="25"/>
      <c r="J39" s="28">
        <f t="shared" si="3"/>
        <v>0</v>
      </c>
      <c r="K39" s="68"/>
      <c r="L39" s="28">
        <f t="shared" si="4"/>
        <v>0</v>
      </c>
      <c r="M39" s="68"/>
      <c r="N39" s="28">
        <f t="shared" si="5"/>
        <v>0</v>
      </c>
      <c r="O39" s="71" t="s">
        <v>3713</v>
      </c>
      <c r="P39" s="52" t="s">
        <v>3713</v>
      </c>
      <c r="Q39" s="35" t="s">
        <v>3809</v>
      </c>
      <c r="R39" s="35" t="str">
        <f>IF(OR(Q39="CT207",Q39="CT209",Q39="CT211"),"MIS",IF(Q39="Corporativo","Corporativo",IF(Q39="Calculado","Calculado",IF(Q39="LT ESTR","LT ESTR", IF(Q39="Modelo Verde","Modelo Verde",NA)))))</f>
        <v>Calculado</v>
      </c>
      <c r="S39" s="37" t="s">
        <v>3793</v>
      </c>
      <c r="T39" s="35" t="s">
        <v>3713</v>
      </c>
      <c r="U39" s="35" t="s">
        <v>3713</v>
      </c>
      <c r="V39" s="35" t="str">
        <f t="shared" si="9"/>
        <v>NA</v>
      </c>
      <c r="W39" s="35" t="s">
        <v>3713</v>
      </c>
      <c r="X39" s="90" t="str">
        <f t="shared" si="6"/>
        <v>NA</v>
      </c>
      <c r="Y39" s="25"/>
      <c r="Z39" s="25"/>
      <c r="AA39" s="25"/>
      <c r="AB39" s="25">
        <v>2020862</v>
      </c>
      <c r="AC39" s="25"/>
      <c r="AD39" s="25"/>
      <c r="AE39" s="25"/>
      <c r="AF39" s="25"/>
      <c r="AG39" s="25"/>
      <c r="AH39" s="23">
        <v>2020862</v>
      </c>
      <c r="AI39" s="1">
        <f>AH39-M39-K39-G39-E39-C39</f>
        <v>0</v>
      </c>
      <c r="AJ39" s="1">
        <f t="shared" si="8"/>
        <v>0</v>
      </c>
      <c r="AK39" t="s">
        <v>3706</v>
      </c>
    </row>
    <row r="40" spans="2:37" x14ac:dyDescent="0.3">
      <c r="B40" s="88" t="s">
        <v>3754</v>
      </c>
      <c r="C40" s="25">
        <v>2020862</v>
      </c>
      <c r="D40" s="28">
        <f t="shared" si="10"/>
        <v>1</v>
      </c>
      <c r="E40" s="25"/>
      <c r="F40" s="28">
        <f t="shared" si="1"/>
        <v>0</v>
      </c>
      <c r="G40" s="25"/>
      <c r="H40" s="28">
        <f t="shared" si="2"/>
        <v>0</v>
      </c>
      <c r="I40" s="25"/>
      <c r="J40" s="28">
        <f t="shared" si="3"/>
        <v>0</v>
      </c>
      <c r="K40" s="68"/>
      <c r="L40" s="28">
        <f t="shared" si="4"/>
        <v>0</v>
      </c>
      <c r="M40" s="68"/>
      <c r="N40" s="28">
        <f t="shared" si="5"/>
        <v>0</v>
      </c>
      <c r="O40" s="36" t="s">
        <v>3787</v>
      </c>
      <c r="P40" s="52">
        <v>45317</v>
      </c>
      <c r="Q40" s="35" t="s">
        <v>3808</v>
      </c>
      <c r="R40" s="35" t="str">
        <f>IF(OR(Q40="CT207",Q40="CT209",Q40="CT211"),"MIS",IF(Q40="Corporativo","Corporativo",IF(Q40="Calculado","Calculado",IF(Q40="LT ESTR","LT ESTR", IF(Q40="Modelo Verde","Modelo Verde",NA)))))</f>
        <v>Corporativo</v>
      </c>
      <c r="S40" s="37" t="s">
        <v>3798</v>
      </c>
      <c r="T40" s="35" t="s">
        <v>3706</v>
      </c>
      <c r="U40" s="35" t="s">
        <v>3706</v>
      </c>
      <c r="V40" s="35" t="str">
        <f t="shared" si="9"/>
        <v>OK</v>
      </c>
      <c r="W40" s="35" t="s">
        <v>3706</v>
      </c>
      <c r="X40" s="90" t="str">
        <f t="shared" si="6"/>
        <v>Fechado</v>
      </c>
      <c r="Y40" s="25"/>
      <c r="Z40" s="25">
        <v>2020862</v>
      </c>
      <c r="AA40" s="25"/>
      <c r="AB40" s="25"/>
      <c r="AC40" s="25"/>
      <c r="AD40" s="30"/>
      <c r="AE40" s="25"/>
      <c r="AF40" s="25"/>
      <c r="AG40" s="25"/>
      <c r="AH40" s="23">
        <v>2020862</v>
      </c>
      <c r="AI40" s="1">
        <f t="shared" ref="AI40:AI71" si="11">AH40-M40-K40-G40-E40-C40-I40</f>
        <v>0</v>
      </c>
      <c r="AJ40" s="1">
        <f t="shared" si="8"/>
        <v>0</v>
      </c>
      <c r="AK40" t="s">
        <v>3706</v>
      </c>
    </row>
    <row r="41" spans="2:37" x14ac:dyDescent="0.3">
      <c r="B41" s="88" t="s">
        <v>3727</v>
      </c>
      <c r="C41" s="25"/>
      <c r="D41" s="28">
        <f t="shared" si="10"/>
        <v>0</v>
      </c>
      <c r="E41" s="25"/>
      <c r="F41" s="28">
        <f t="shared" si="1"/>
        <v>0</v>
      </c>
      <c r="G41" s="25">
        <f>2020862-3665</f>
        <v>2017197</v>
      </c>
      <c r="H41" s="28">
        <f t="shared" si="2"/>
        <v>0.99818641747927372</v>
      </c>
      <c r="I41" s="25"/>
      <c r="J41" s="28">
        <f t="shared" si="3"/>
        <v>0</v>
      </c>
      <c r="K41" s="68"/>
      <c r="L41" s="28">
        <f t="shared" si="4"/>
        <v>0</v>
      </c>
      <c r="M41" s="68">
        <v>3665</v>
      </c>
      <c r="N41" s="28">
        <f t="shared" si="5"/>
        <v>1.8135825207263039E-3</v>
      </c>
      <c r="O41" s="51" t="s">
        <v>3795</v>
      </c>
      <c r="P41" s="52">
        <v>45320</v>
      </c>
      <c r="Q41" s="35" t="s">
        <v>3805</v>
      </c>
      <c r="R41" s="35" t="str">
        <f>IF(OR(Q41="CT207",Q41="CT209",Q41="CT211"),"MIS",IF(Q41="Corporativo","Corporativo",IF(Q41="Calculado","Calculado",IF(Q41="LT ESTR","LT ESTR", IF(Q41="Modelo Verde","Modelo Verde",NA)))))</f>
        <v>MIS</v>
      </c>
      <c r="S41" s="37" t="s">
        <v>3798</v>
      </c>
      <c r="T41" s="35" t="s">
        <v>3707</v>
      </c>
      <c r="U41" s="35" t="s">
        <v>3707</v>
      </c>
      <c r="V41" s="35" t="str">
        <f t="shared" si="9"/>
        <v>NOK</v>
      </c>
      <c r="W41" s="35" t="s">
        <v>3707</v>
      </c>
      <c r="X41" s="90" t="str">
        <f t="shared" si="6"/>
        <v>IT Team</v>
      </c>
      <c r="Y41" s="25"/>
      <c r="Z41" s="25"/>
      <c r="AA41" s="25"/>
      <c r="AB41" s="25"/>
      <c r="AC41" s="25"/>
      <c r="AD41" s="25"/>
      <c r="AE41" s="25">
        <v>424</v>
      </c>
      <c r="AF41" s="25"/>
      <c r="AG41" s="25"/>
      <c r="AH41" s="23">
        <v>2020862</v>
      </c>
      <c r="AI41" s="1">
        <f t="shared" si="11"/>
        <v>0</v>
      </c>
      <c r="AJ41" s="1">
        <f t="shared" si="8"/>
        <v>2020438</v>
      </c>
      <c r="AK41" t="s">
        <v>3706</v>
      </c>
    </row>
    <row r="42" spans="2:37" x14ac:dyDescent="0.3">
      <c r="B42" s="88" t="s">
        <v>3726</v>
      </c>
      <c r="C42" s="25">
        <f>1184384+632361</f>
        <v>1816745</v>
      </c>
      <c r="D42" s="28">
        <f t="shared" si="10"/>
        <v>0.89899508229656455</v>
      </c>
      <c r="E42" s="25"/>
      <c r="F42" s="28">
        <f t="shared" si="1"/>
        <v>0</v>
      </c>
      <c r="G42" s="25"/>
      <c r="H42" s="28">
        <f t="shared" si="2"/>
        <v>0</v>
      </c>
      <c r="I42" s="25">
        <f>424+22</f>
        <v>446</v>
      </c>
      <c r="J42" s="28">
        <f t="shared" si="3"/>
        <v>2.2069790020298269E-4</v>
      </c>
      <c r="K42" s="68">
        <f>AH42-C42-I42-M42</f>
        <v>200006</v>
      </c>
      <c r="L42" s="28">
        <f t="shared" si="4"/>
        <v>9.8970637282506171E-2</v>
      </c>
      <c r="M42" s="68">
        <v>3665</v>
      </c>
      <c r="N42" s="28">
        <f t="shared" si="5"/>
        <v>1.8135825207263039E-3</v>
      </c>
      <c r="O42" s="38" t="s">
        <v>3783</v>
      </c>
      <c r="P42" s="77">
        <v>45338</v>
      </c>
      <c r="Q42" s="35" t="s">
        <v>3805</v>
      </c>
      <c r="R42" s="35" t="str">
        <f>IF(OR(Q42="CT207",Q42="CT209",Q42="CT211"),"MIS",IF(Q42="Corporativo","Corporativo",IF(Q42="Calculado","Calculado",IF(Q42="LT ESTR","LT ESTR", IF(Q42="Modelo Verde","Modelo Verde",NA)))))</f>
        <v>MIS</v>
      </c>
      <c r="S42" s="37" t="s">
        <v>3798</v>
      </c>
      <c r="T42" s="35" t="s">
        <v>3706</v>
      </c>
      <c r="U42" s="35" t="s">
        <v>3706</v>
      </c>
      <c r="V42" s="35" t="str">
        <f t="shared" si="9"/>
        <v>OK</v>
      </c>
      <c r="W42" s="35" t="s">
        <v>3816</v>
      </c>
      <c r="X42" s="90" t="str">
        <f t="shared" si="6"/>
        <v>Test Team</v>
      </c>
      <c r="Y42" s="25"/>
      <c r="Z42" s="25"/>
      <c r="AA42" s="25"/>
      <c r="AB42" s="25"/>
      <c r="AC42" s="25"/>
      <c r="AD42" s="25"/>
      <c r="AE42" s="30">
        <v>424</v>
      </c>
      <c r="AF42" s="25"/>
      <c r="AG42" s="25"/>
      <c r="AH42" s="23">
        <v>2020862</v>
      </c>
      <c r="AI42" s="1">
        <f t="shared" si="11"/>
        <v>0</v>
      </c>
      <c r="AJ42" s="1">
        <f t="shared" si="8"/>
        <v>2020438</v>
      </c>
      <c r="AK42" t="s">
        <v>3843</v>
      </c>
    </row>
    <row r="43" spans="2:37" x14ac:dyDescent="0.3">
      <c r="B43" s="88" t="s">
        <v>3753</v>
      </c>
      <c r="C43" s="25">
        <f>1222920+330327</f>
        <v>1553247</v>
      </c>
      <c r="D43" s="69">
        <f t="shared" si="10"/>
        <v>0.76860616905063284</v>
      </c>
      <c r="E43" s="68"/>
      <c r="F43" s="69">
        <f t="shared" si="1"/>
        <v>0</v>
      </c>
      <c r="G43" s="25">
        <f>2979+302034</f>
        <v>305013</v>
      </c>
      <c r="H43" s="69">
        <f t="shared" si="2"/>
        <v>0.15093212698343578</v>
      </c>
      <c r="I43" s="25">
        <f>432+22</f>
        <v>454</v>
      </c>
      <c r="J43" s="69">
        <f t="shared" si="3"/>
        <v>2.2465660693308102E-4</v>
      </c>
      <c r="K43" s="68">
        <f>AH43-C43-I43-M43-G43</f>
        <v>158483</v>
      </c>
      <c r="L43" s="69">
        <f t="shared" si="4"/>
        <v>7.8423464838271992E-2</v>
      </c>
      <c r="M43" s="68">
        <v>3665</v>
      </c>
      <c r="N43" s="69">
        <f t="shared" si="5"/>
        <v>1.8135825207263039E-3</v>
      </c>
      <c r="O43" s="81" t="s">
        <v>3851</v>
      </c>
      <c r="P43" s="77">
        <v>45345</v>
      </c>
      <c r="Q43" s="78" t="s">
        <v>3806</v>
      </c>
      <c r="R43" s="35" t="str">
        <f>IF(OR(Q43="CT207",Q43="CT209",Q43="CT211"),"MIS",IF(Q43="Corporativo","Corporativo",IF(Q43="Calculado","Calculado",IF(Q43="LT ESTR","LT ESTR", IF(Q43="Modelo Verde","Modelo Verde",NA)))))</f>
        <v>MIS</v>
      </c>
      <c r="S43" s="79" t="s">
        <v>3796</v>
      </c>
      <c r="T43" s="78" t="s">
        <v>3712</v>
      </c>
      <c r="U43" s="78" t="s">
        <v>3712</v>
      </c>
      <c r="V43" s="35" t="str">
        <f t="shared" si="9"/>
        <v>WIP</v>
      </c>
      <c r="W43" s="78" t="s">
        <v>3816</v>
      </c>
      <c r="X43" s="90" t="str">
        <f t="shared" si="6"/>
        <v>IT Team</v>
      </c>
      <c r="Y43" s="68"/>
      <c r="Z43" s="25"/>
      <c r="AA43" s="25"/>
      <c r="AB43" s="25"/>
      <c r="AC43" s="25"/>
      <c r="AD43" s="25"/>
      <c r="AE43" s="25"/>
      <c r="AF43" s="25"/>
      <c r="AG43" s="25"/>
      <c r="AH43" s="23">
        <v>2020862</v>
      </c>
      <c r="AI43" s="1">
        <f t="shared" si="11"/>
        <v>0</v>
      </c>
      <c r="AJ43" s="1">
        <f t="shared" si="8"/>
        <v>2020862</v>
      </c>
      <c r="AK43" t="s">
        <v>3706</v>
      </c>
    </row>
    <row r="44" spans="2:37" x14ac:dyDescent="0.3">
      <c r="B44" s="88" t="s">
        <v>3763</v>
      </c>
      <c r="C44" s="25"/>
      <c r="D44" s="28">
        <f t="shared" si="10"/>
        <v>0</v>
      </c>
      <c r="E44" s="25"/>
      <c r="F44" s="28">
        <f t="shared" si="1"/>
        <v>0</v>
      </c>
      <c r="G44" s="25">
        <f>2020862-3665</f>
        <v>2017197</v>
      </c>
      <c r="H44" s="28">
        <f t="shared" si="2"/>
        <v>0.99818641747927372</v>
      </c>
      <c r="I44" s="25"/>
      <c r="J44" s="28">
        <f t="shared" si="3"/>
        <v>0</v>
      </c>
      <c r="K44" s="68"/>
      <c r="L44" s="28">
        <f t="shared" si="4"/>
        <v>0</v>
      </c>
      <c r="M44" s="68">
        <v>3665</v>
      </c>
      <c r="N44" s="28">
        <f t="shared" si="5"/>
        <v>1.8135825207263039E-3</v>
      </c>
      <c r="O44" s="51" t="s">
        <v>3795</v>
      </c>
      <c r="P44" s="52">
        <v>45321</v>
      </c>
      <c r="Q44" s="35" t="s">
        <v>3806</v>
      </c>
      <c r="R44" s="35" t="str">
        <f>IF(OR(Q44="CT207",Q44="CT209",Q44="CT211"),"MIS",IF(Q44="Corporativo","Corporativo",IF(Q44="Calculado","Calculado",IF(Q44="LT ESTR","LT ESTR", IF(Q44="Modelo Verde","Modelo Verde",NA)))))</f>
        <v>MIS</v>
      </c>
      <c r="S44" s="41" t="s">
        <v>3796</v>
      </c>
      <c r="T44" s="35" t="s">
        <v>3707</v>
      </c>
      <c r="U44" s="35" t="s">
        <v>3707</v>
      </c>
      <c r="V44" s="35" t="str">
        <f t="shared" si="9"/>
        <v>NOK</v>
      </c>
      <c r="W44" s="35" t="s">
        <v>3707</v>
      </c>
      <c r="X44" s="90" t="str">
        <f t="shared" si="6"/>
        <v>IT Team</v>
      </c>
      <c r="Y44" s="25"/>
      <c r="Z44" s="25"/>
      <c r="AA44" s="25"/>
      <c r="AB44" s="25"/>
      <c r="AC44" s="25"/>
      <c r="AD44" s="25"/>
      <c r="AE44" s="25"/>
      <c r="AF44" s="25"/>
      <c r="AG44" s="25"/>
      <c r="AH44" s="23">
        <v>2020862</v>
      </c>
      <c r="AI44" s="1">
        <f t="shared" si="11"/>
        <v>0</v>
      </c>
      <c r="AJ44" s="1">
        <f t="shared" si="8"/>
        <v>2020862</v>
      </c>
      <c r="AK44" t="s">
        <v>3706</v>
      </c>
    </row>
    <row r="45" spans="2:37" x14ac:dyDescent="0.3">
      <c r="B45" s="88" t="s">
        <v>3760</v>
      </c>
      <c r="C45" s="25">
        <f>1225898+632361</f>
        <v>1858259</v>
      </c>
      <c r="D45" s="28">
        <f t="shared" si="10"/>
        <v>0.91953780119572737</v>
      </c>
      <c r="E45" s="25"/>
      <c r="F45" s="28">
        <f t="shared" si="1"/>
        <v>0</v>
      </c>
      <c r="G45" s="25">
        <v>1</v>
      </c>
      <c r="H45" s="28">
        <f t="shared" si="2"/>
        <v>4.9483834126229304E-7</v>
      </c>
      <c r="I45" s="25">
        <f>432+22</f>
        <v>454</v>
      </c>
      <c r="J45" s="28">
        <f t="shared" si="3"/>
        <v>2.2465660693308102E-4</v>
      </c>
      <c r="K45" s="68">
        <f>AH45-C45-I45-M45-G45</f>
        <v>158483</v>
      </c>
      <c r="L45" s="28">
        <f t="shared" si="4"/>
        <v>7.8423464838271992E-2</v>
      </c>
      <c r="M45" s="68">
        <v>3665</v>
      </c>
      <c r="N45" s="28">
        <f t="shared" si="5"/>
        <v>1.8135825207263039E-3</v>
      </c>
      <c r="O45" s="81" t="s">
        <v>3851</v>
      </c>
      <c r="P45" s="77">
        <v>45338</v>
      </c>
      <c r="Q45" s="35" t="s">
        <v>3806</v>
      </c>
      <c r="R45" s="35" t="str">
        <f>IF(OR(Q45="CT207",Q45="CT209",Q45="CT211"),"MIS",IF(Q45="Corporativo","Corporativo",IF(Q45="Calculado","Calculado",IF(Q45="LT ESTR","LT ESTR", IF(Q45="Modelo Verde","Modelo Verde",NA)))))</f>
        <v>MIS</v>
      </c>
      <c r="S45" s="37" t="s">
        <v>3796</v>
      </c>
      <c r="T45" s="35" t="s">
        <v>3707</v>
      </c>
      <c r="U45" s="35" t="s">
        <v>3707</v>
      </c>
      <c r="V45" s="35" t="str">
        <f t="shared" si="9"/>
        <v>NOK</v>
      </c>
      <c r="W45" s="35" t="s">
        <v>3816</v>
      </c>
      <c r="X45" s="90" t="str">
        <f t="shared" si="6"/>
        <v>IT Team</v>
      </c>
      <c r="Y45" s="25"/>
      <c r="Z45" s="25"/>
      <c r="AA45" s="25"/>
      <c r="AB45" s="25"/>
      <c r="AC45" s="25"/>
      <c r="AD45" s="25"/>
      <c r="AE45" s="25"/>
      <c r="AF45" s="25"/>
      <c r="AG45" s="25"/>
      <c r="AH45" s="23">
        <v>2020862</v>
      </c>
      <c r="AI45" s="1">
        <f t="shared" si="11"/>
        <v>0</v>
      </c>
      <c r="AJ45" s="1">
        <f t="shared" si="8"/>
        <v>2020862</v>
      </c>
      <c r="AK45" t="s">
        <v>3706</v>
      </c>
    </row>
    <row r="46" spans="2:37" x14ac:dyDescent="0.3">
      <c r="B46" s="88" t="s">
        <v>3765</v>
      </c>
      <c r="C46" s="25"/>
      <c r="D46" s="28">
        <f t="shared" si="10"/>
        <v>0</v>
      </c>
      <c r="E46" s="25"/>
      <c r="F46" s="28">
        <f t="shared" si="1"/>
        <v>0</v>
      </c>
      <c r="G46" s="25">
        <f>2020862-3665</f>
        <v>2017197</v>
      </c>
      <c r="H46" s="28">
        <f t="shared" si="2"/>
        <v>0.99818641747927372</v>
      </c>
      <c r="I46" s="25"/>
      <c r="J46" s="28">
        <f t="shared" si="3"/>
        <v>0</v>
      </c>
      <c r="K46" s="68"/>
      <c r="L46" s="28">
        <f t="shared" si="4"/>
        <v>0</v>
      </c>
      <c r="M46" s="68">
        <v>3665</v>
      </c>
      <c r="N46" s="28">
        <f t="shared" si="5"/>
        <v>1.8135825207263039E-3</v>
      </c>
      <c r="O46" s="51" t="s">
        <v>3795</v>
      </c>
      <c r="P46" s="52">
        <v>45321</v>
      </c>
      <c r="Q46" s="35" t="s">
        <v>3806</v>
      </c>
      <c r="R46" s="35" t="str">
        <f>IF(OR(Q46="CT207",Q46="CT209",Q46="CT211"),"MIS",IF(Q46="Corporativo","Corporativo",IF(Q46="Calculado","Calculado",IF(Q46="LT ESTR","LT ESTR", IF(Q46="Modelo Verde","Modelo Verde",NA)))))</f>
        <v>MIS</v>
      </c>
      <c r="S46" s="37" t="s">
        <v>3796</v>
      </c>
      <c r="T46" s="35" t="s">
        <v>3707</v>
      </c>
      <c r="U46" s="35" t="s">
        <v>3707</v>
      </c>
      <c r="V46" s="35" t="str">
        <f t="shared" si="9"/>
        <v>NOK</v>
      </c>
      <c r="W46" s="35" t="s">
        <v>3707</v>
      </c>
      <c r="X46" s="90" t="str">
        <f t="shared" si="6"/>
        <v>IT Team</v>
      </c>
      <c r="Y46" s="25"/>
      <c r="Z46" s="25"/>
      <c r="AA46" s="25"/>
      <c r="AB46" s="25"/>
      <c r="AC46" s="25"/>
      <c r="AD46" s="25"/>
      <c r="AE46" s="25"/>
      <c r="AF46" s="25"/>
      <c r="AG46" s="25"/>
      <c r="AH46" s="23">
        <v>2020862</v>
      </c>
      <c r="AI46" s="1">
        <f t="shared" si="11"/>
        <v>0</v>
      </c>
      <c r="AJ46" s="1">
        <f t="shared" si="8"/>
        <v>2020862</v>
      </c>
      <c r="AK46" t="s">
        <v>3706</v>
      </c>
    </row>
    <row r="47" spans="2:37" x14ac:dyDescent="0.3">
      <c r="B47" s="88" t="s">
        <v>3751</v>
      </c>
      <c r="C47" s="25">
        <f>1001533+96013</f>
        <v>1097546</v>
      </c>
      <c r="D47" s="69">
        <f t="shared" si="10"/>
        <v>0.54310784209906471</v>
      </c>
      <c r="E47" s="68"/>
      <c r="F47" s="69">
        <f t="shared" si="1"/>
        <v>0</v>
      </c>
      <c r="G47" s="25">
        <f>224366+536348</f>
        <v>760714</v>
      </c>
      <c r="H47" s="69">
        <f t="shared" si="2"/>
        <v>0.37643045393500396</v>
      </c>
      <c r="I47" s="25">
        <f>432+22</f>
        <v>454</v>
      </c>
      <c r="J47" s="69">
        <f t="shared" si="3"/>
        <v>2.2465660693308102E-4</v>
      </c>
      <c r="K47" s="68">
        <f>AH47-C47-I47-M47-G47</f>
        <v>158483</v>
      </c>
      <c r="L47" s="69">
        <f t="shared" si="4"/>
        <v>7.8423464838271992E-2</v>
      </c>
      <c r="M47" s="68">
        <v>3665</v>
      </c>
      <c r="N47" s="69">
        <f t="shared" si="5"/>
        <v>1.8135825207263039E-3</v>
      </c>
      <c r="O47" s="81" t="s">
        <v>3851</v>
      </c>
      <c r="P47" s="77">
        <v>45345</v>
      </c>
      <c r="Q47" s="78" t="s">
        <v>3806</v>
      </c>
      <c r="R47" s="35" t="str">
        <f>IF(OR(Q47="CT207",Q47="CT209",Q47="CT211"),"MIS",IF(Q47="Corporativo","Corporativo",IF(Q47="Calculado","Calculado",IF(Q47="LT ESTR","LT ESTR", IF(Q47="Modelo Verde","Modelo Verde",NA)))))</f>
        <v>MIS</v>
      </c>
      <c r="S47" s="79" t="s">
        <v>3796</v>
      </c>
      <c r="T47" s="78" t="s">
        <v>3712</v>
      </c>
      <c r="U47" s="78" t="s">
        <v>3712</v>
      </c>
      <c r="V47" s="35" t="str">
        <f t="shared" si="9"/>
        <v>WIP</v>
      </c>
      <c r="W47" s="78" t="s">
        <v>3816</v>
      </c>
      <c r="X47" s="90" t="str">
        <f t="shared" si="6"/>
        <v>IT Team</v>
      </c>
      <c r="Y47" s="68" t="s">
        <v>3850</v>
      </c>
      <c r="Z47" s="25"/>
      <c r="AA47" s="25"/>
      <c r="AB47" s="25"/>
      <c r="AC47" s="25"/>
      <c r="AD47" s="25"/>
      <c r="AE47" s="30"/>
      <c r="AF47" s="25"/>
      <c r="AG47" s="25"/>
      <c r="AH47" s="23">
        <v>2020862</v>
      </c>
      <c r="AI47" s="1">
        <f t="shared" si="11"/>
        <v>0</v>
      </c>
      <c r="AJ47" s="1">
        <f t="shared" si="8"/>
        <v>2020862</v>
      </c>
      <c r="AK47" t="s">
        <v>3706</v>
      </c>
    </row>
    <row r="48" spans="2:37" x14ac:dyDescent="0.3">
      <c r="B48" s="88" t="s">
        <v>3762</v>
      </c>
      <c r="C48" s="25"/>
      <c r="D48" s="28">
        <f t="shared" si="10"/>
        <v>0</v>
      </c>
      <c r="E48" s="25"/>
      <c r="F48" s="28">
        <f t="shared" si="1"/>
        <v>0</v>
      </c>
      <c r="G48" s="25">
        <f>2020862-3665</f>
        <v>2017197</v>
      </c>
      <c r="H48" s="28">
        <f t="shared" si="2"/>
        <v>0.99818641747927372</v>
      </c>
      <c r="I48" s="25"/>
      <c r="J48" s="28">
        <f t="shared" si="3"/>
        <v>0</v>
      </c>
      <c r="K48" s="68"/>
      <c r="L48" s="28">
        <f t="shared" si="4"/>
        <v>0</v>
      </c>
      <c r="M48" s="68">
        <v>3665</v>
      </c>
      <c r="N48" s="28">
        <f t="shared" si="5"/>
        <v>1.8135825207263039E-3</v>
      </c>
      <c r="O48" s="51" t="s">
        <v>3795</v>
      </c>
      <c r="P48" s="52">
        <v>45321</v>
      </c>
      <c r="Q48" s="35" t="s">
        <v>3806</v>
      </c>
      <c r="R48" s="35" t="str">
        <f>IF(OR(Q48="CT207",Q48="CT209",Q48="CT211"),"MIS",IF(Q48="Corporativo","Corporativo",IF(Q48="Calculado","Calculado",IF(Q48="LT ESTR","LT ESTR", IF(Q48="Modelo Verde","Modelo Verde",NA)))))</f>
        <v>MIS</v>
      </c>
      <c r="S48" s="37" t="s">
        <v>3796</v>
      </c>
      <c r="T48" s="35" t="s">
        <v>3707</v>
      </c>
      <c r="U48" s="35" t="s">
        <v>3707</v>
      </c>
      <c r="V48" s="35" t="str">
        <f t="shared" si="9"/>
        <v>NOK</v>
      </c>
      <c r="W48" s="35" t="s">
        <v>3707</v>
      </c>
      <c r="X48" s="90" t="str">
        <f t="shared" si="6"/>
        <v>IT Team</v>
      </c>
      <c r="Y48" s="25"/>
      <c r="Z48" s="25"/>
      <c r="AA48" s="25"/>
      <c r="AB48" s="25"/>
      <c r="AC48" s="25"/>
      <c r="AD48" s="25"/>
      <c r="AE48" s="25"/>
      <c r="AF48" s="25"/>
      <c r="AG48" s="25"/>
      <c r="AH48" s="23">
        <v>2020862</v>
      </c>
      <c r="AI48" s="1">
        <f t="shared" si="11"/>
        <v>0</v>
      </c>
      <c r="AJ48" s="1">
        <f t="shared" si="8"/>
        <v>2020862</v>
      </c>
      <c r="AK48" t="s">
        <v>3706</v>
      </c>
    </row>
    <row r="49" spans="2:37" x14ac:dyDescent="0.3">
      <c r="B49" s="88" t="s">
        <v>3759</v>
      </c>
      <c r="C49" s="25">
        <f>1225897+632361</f>
        <v>1858258</v>
      </c>
      <c r="D49" s="28">
        <f t="shared" si="10"/>
        <v>0.91953730635738606</v>
      </c>
      <c r="E49" s="25"/>
      <c r="F49" s="28">
        <f t="shared" si="1"/>
        <v>0</v>
      </c>
      <c r="G49" s="25">
        <v>2</v>
      </c>
      <c r="H49" s="28">
        <f t="shared" si="2"/>
        <v>9.8967668252458607E-7</v>
      </c>
      <c r="I49" s="25">
        <f>432+22</f>
        <v>454</v>
      </c>
      <c r="J49" s="28">
        <f t="shared" si="3"/>
        <v>2.2465660693308102E-4</v>
      </c>
      <c r="K49" s="68">
        <f>AH49-C49-I49-M49-G49</f>
        <v>158483</v>
      </c>
      <c r="L49" s="28">
        <f t="shared" si="4"/>
        <v>7.8423464838271992E-2</v>
      </c>
      <c r="M49" s="68">
        <v>3665</v>
      </c>
      <c r="N49" s="28">
        <f t="shared" si="5"/>
        <v>1.8135825207263039E-3</v>
      </c>
      <c r="O49" s="81" t="s">
        <v>3851</v>
      </c>
      <c r="P49" s="77">
        <v>45338</v>
      </c>
      <c r="Q49" s="35" t="s">
        <v>3806</v>
      </c>
      <c r="R49" s="35" t="str">
        <f>IF(OR(Q49="CT207",Q49="CT209",Q49="CT211"),"MIS",IF(Q49="Corporativo","Corporativo",IF(Q49="Calculado","Calculado",IF(Q49="LT ESTR","LT ESTR", IF(Q49="Modelo Verde","Modelo Verde",NA)))))</f>
        <v>MIS</v>
      </c>
      <c r="S49" s="37" t="s">
        <v>3796</v>
      </c>
      <c r="T49" s="35" t="s">
        <v>3707</v>
      </c>
      <c r="U49" s="35" t="s">
        <v>3707</v>
      </c>
      <c r="V49" s="35" t="str">
        <f t="shared" si="9"/>
        <v>NOK</v>
      </c>
      <c r="W49" s="35" t="s">
        <v>3816</v>
      </c>
      <c r="X49" s="90" t="str">
        <f t="shared" si="6"/>
        <v>IT Team</v>
      </c>
      <c r="Y49" s="25" t="s">
        <v>3850</v>
      </c>
      <c r="Z49" s="25"/>
      <c r="AA49" s="25"/>
      <c r="AB49" s="25"/>
      <c r="AC49" s="25"/>
      <c r="AD49" s="25"/>
      <c r="AE49" s="25"/>
      <c r="AF49" s="25"/>
      <c r="AG49" s="25"/>
      <c r="AH49" s="23">
        <v>2020862</v>
      </c>
      <c r="AI49" s="1">
        <f t="shared" si="11"/>
        <v>0</v>
      </c>
      <c r="AJ49" s="1">
        <f t="shared" si="8"/>
        <v>2020862</v>
      </c>
      <c r="AK49" t="s">
        <v>3706</v>
      </c>
    </row>
    <row r="50" spans="2:37" x14ac:dyDescent="0.3">
      <c r="B50" s="88" t="s">
        <v>3764</v>
      </c>
      <c r="C50" s="25"/>
      <c r="D50" s="28">
        <f t="shared" si="10"/>
        <v>0</v>
      </c>
      <c r="E50" s="25"/>
      <c r="F50" s="28">
        <f t="shared" si="1"/>
        <v>0</v>
      </c>
      <c r="G50" s="25">
        <f>2020862-3665</f>
        <v>2017197</v>
      </c>
      <c r="H50" s="28">
        <f t="shared" si="2"/>
        <v>0.99818641747927372</v>
      </c>
      <c r="I50" s="25"/>
      <c r="J50" s="28">
        <f t="shared" si="3"/>
        <v>0</v>
      </c>
      <c r="K50" s="68"/>
      <c r="L50" s="28">
        <f t="shared" si="4"/>
        <v>0</v>
      </c>
      <c r="M50" s="68">
        <v>3665</v>
      </c>
      <c r="N50" s="28">
        <f t="shared" si="5"/>
        <v>1.8135825207263039E-3</v>
      </c>
      <c r="O50" s="51" t="s">
        <v>3795</v>
      </c>
      <c r="P50" s="52">
        <v>45321</v>
      </c>
      <c r="Q50" s="35" t="s">
        <v>3806</v>
      </c>
      <c r="R50" s="35" t="str">
        <f>IF(OR(Q50="CT207",Q50="CT209",Q50="CT211"),"MIS",IF(Q50="Corporativo","Corporativo",IF(Q50="Calculado","Calculado",IF(Q50="LT ESTR","LT ESTR", IF(Q50="Modelo Verde","Modelo Verde",NA)))))</f>
        <v>MIS</v>
      </c>
      <c r="S50" s="37" t="s">
        <v>3796</v>
      </c>
      <c r="T50" s="35" t="s">
        <v>3707</v>
      </c>
      <c r="U50" s="35" t="s">
        <v>3707</v>
      </c>
      <c r="V50" s="35" t="str">
        <f t="shared" si="9"/>
        <v>NOK</v>
      </c>
      <c r="W50" s="35" t="s">
        <v>3707</v>
      </c>
      <c r="X50" s="90" t="str">
        <f t="shared" si="6"/>
        <v>IT Team</v>
      </c>
      <c r="Y50" s="25"/>
      <c r="Z50" s="30"/>
      <c r="AA50" s="25"/>
      <c r="AB50" s="25"/>
      <c r="AC50" s="25"/>
      <c r="AD50" s="25"/>
      <c r="AE50" s="25"/>
      <c r="AF50" s="25"/>
      <c r="AG50" s="25"/>
      <c r="AH50" s="23">
        <v>2020862</v>
      </c>
      <c r="AI50" s="1">
        <f t="shared" si="11"/>
        <v>0</v>
      </c>
      <c r="AJ50" s="1">
        <f t="shared" si="8"/>
        <v>2020862</v>
      </c>
      <c r="AK50" t="s">
        <v>3706</v>
      </c>
    </row>
    <row r="51" spans="2:37" x14ac:dyDescent="0.3">
      <c r="B51" s="88" t="s">
        <v>3739</v>
      </c>
      <c r="C51" s="25">
        <v>2020862</v>
      </c>
      <c r="D51" s="28">
        <f t="shared" si="10"/>
        <v>1</v>
      </c>
      <c r="E51" s="26"/>
      <c r="F51" s="28">
        <f t="shared" si="1"/>
        <v>0</v>
      </c>
      <c r="G51" s="25"/>
      <c r="H51" s="28">
        <f t="shared" si="2"/>
        <v>0</v>
      </c>
      <c r="I51" s="25"/>
      <c r="J51" s="28">
        <f t="shared" si="3"/>
        <v>0</v>
      </c>
      <c r="K51" s="68"/>
      <c r="L51" s="28">
        <f t="shared" si="4"/>
        <v>0</v>
      </c>
      <c r="M51" s="68"/>
      <c r="N51" s="28">
        <f t="shared" si="5"/>
        <v>0</v>
      </c>
      <c r="O51" s="36" t="s">
        <v>3787</v>
      </c>
      <c r="P51" s="52">
        <v>45321</v>
      </c>
      <c r="Q51" s="35" t="s">
        <v>3803</v>
      </c>
      <c r="R51" s="35" t="str">
        <f>IF(OR(Q51="CT207",Q51="CT209",Q51="CT211"),"MIS",IF(Q51="Corporativo","Corporativo",IF(Q51="Calculado","Calculado",IF(Q51="LT ESTR","LT ESTR", IF(Q51="Modelo Verde","Modelo Verde",NA)))))</f>
        <v>LT ESTR</v>
      </c>
      <c r="S51" s="37" t="s">
        <v>3798</v>
      </c>
      <c r="T51" s="35" t="s">
        <v>3706</v>
      </c>
      <c r="U51" s="35" t="s">
        <v>3706</v>
      </c>
      <c r="V51" s="35" t="str">
        <f t="shared" si="9"/>
        <v>OK</v>
      </c>
      <c r="W51" s="35" t="s">
        <v>3706</v>
      </c>
      <c r="X51" s="90" t="str">
        <f t="shared" si="6"/>
        <v>Fechado</v>
      </c>
      <c r="Y51" s="73" t="s">
        <v>3785</v>
      </c>
      <c r="Z51" s="25"/>
      <c r="AA51" s="25"/>
      <c r="AB51" s="25">
        <v>2020862</v>
      </c>
      <c r="AC51" s="25"/>
      <c r="AD51" s="25"/>
      <c r="AE51" s="25"/>
      <c r="AF51" s="25"/>
      <c r="AG51" s="25"/>
      <c r="AH51" s="23">
        <v>2020862</v>
      </c>
      <c r="AI51" s="1">
        <f t="shared" si="11"/>
        <v>0</v>
      </c>
      <c r="AJ51" s="1">
        <f t="shared" si="8"/>
        <v>0</v>
      </c>
      <c r="AK51" t="s">
        <v>3706</v>
      </c>
    </row>
    <row r="52" spans="2:37" x14ac:dyDescent="0.3">
      <c r="B52" s="88" t="s">
        <v>3728</v>
      </c>
      <c r="C52" s="25">
        <f>1184384+632361</f>
        <v>1816745</v>
      </c>
      <c r="D52" s="28">
        <f t="shared" si="10"/>
        <v>0.89899508229656455</v>
      </c>
      <c r="E52" s="25"/>
      <c r="F52" s="28">
        <f t="shared" si="1"/>
        <v>0</v>
      </c>
      <c r="G52" s="25"/>
      <c r="H52" s="28">
        <f t="shared" si="2"/>
        <v>0</v>
      </c>
      <c r="I52" s="25">
        <f>424+22</f>
        <v>446</v>
      </c>
      <c r="J52" s="28">
        <f t="shared" si="3"/>
        <v>2.2069790020298269E-4</v>
      </c>
      <c r="K52" s="68">
        <f>AH52-C52-I52-M52</f>
        <v>200006</v>
      </c>
      <c r="L52" s="28">
        <f t="shared" si="4"/>
        <v>9.8970637282506171E-2</v>
      </c>
      <c r="M52" s="68">
        <v>3665</v>
      </c>
      <c r="N52" s="28">
        <f t="shared" si="5"/>
        <v>1.8135825207263039E-3</v>
      </c>
      <c r="O52" s="38" t="s">
        <v>3783</v>
      </c>
      <c r="P52" s="77">
        <v>45338</v>
      </c>
      <c r="Q52" s="35" t="s">
        <v>3805</v>
      </c>
      <c r="R52" s="35" t="str">
        <f>IF(OR(Q52="CT207",Q52="CT209",Q52="CT211"),"MIS",IF(Q52="Corporativo","Corporativo",IF(Q52="Calculado","Calculado",IF(Q52="LT ESTR","LT ESTR", IF(Q52="Modelo Verde","Modelo Verde",NA)))))</f>
        <v>MIS</v>
      </c>
      <c r="S52" s="41" t="s">
        <v>3798</v>
      </c>
      <c r="T52" s="35" t="s">
        <v>3706</v>
      </c>
      <c r="U52" s="35" t="s">
        <v>3706</v>
      </c>
      <c r="V52" s="35" t="str">
        <f t="shared" si="9"/>
        <v>OK</v>
      </c>
      <c r="W52" s="35" t="s">
        <v>3816</v>
      </c>
      <c r="X52" s="90" t="str">
        <f t="shared" si="6"/>
        <v>Test Team</v>
      </c>
      <c r="Y52" s="25"/>
      <c r="Z52" s="25">
        <v>1184384</v>
      </c>
      <c r="AA52" s="25"/>
      <c r="AB52" s="25"/>
      <c r="AC52" s="25"/>
      <c r="AD52" s="25"/>
      <c r="AE52" s="32">
        <v>424</v>
      </c>
      <c r="AF52" s="25">
        <f>AH52-AG52-AE52-Z52</f>
        <v>832389</v>
      </c>
      <c r="AG52" s="25">
        <v>3665</v>
      </c>
      <c r="AH52" s="23">
        <v>2020862</v>
      </c>
      <c r="AI52" s="1">
        <f t="shared" si="11"/>
        <v>0</v>
      </c>
      <c r="AJ52" s="1">
        <f t="shared" si="8"/>
        <v>0</v>
      </c>
      <c r="AK52" t="s">
        <v>3843</v>
      </c>
    </row>
    <row r="53" spans="2:37" x14ac:dyDescent="0.3">
      <c r="B53" s="88" t="s">
        <v>3729</v>
      </c>
      <c r="C53" s="25"/>
      <c r="D53" s="28">
        <f t="shared" si="10"/>
        <v>0</v>
      </c>
      <c r="E53" s="25"/>
      <c r="F53" s="28">
        <f t="shared" si="1"/>
        <v>0</v>
      </c>
      <c r="G53" s="25">
        <f>2020862-3665</f>
        <v>2017197</v>
      </c>
      <c r="H53" s="28">
        <f t="shared" si="2"/>
        <v>0.99818641747927372</v>
      </c>
      <c r="I53" s="25"/>
      <c r="J53" s="28">
        <f t="shared" si="3"/>
        <v>0</v>
      </c>
      <c r="K53" s="68"/>
      <c r="L53" s="28">
        <f t="shared" si="4"/>
        <v>0</v>
      </c>
      <c r="M53" s="68">
        <v>3665</v>
      </c>
      <c r="N53" s="28">
        <f t="shared" si="5"/>
        <v>1.8135825207263039E-3</v>
      </c>
      <c r="O53" s="51" t="s">
        <v>3795</v>
      </c>
      <c r="P53" s="52">
        <v>45320</v>
      </c>
      <c r="Q53" s="35" t="s">
        <v>3805</v>
      </c>
      <c r="R53" s="35" t="str">
        <f>IF(OR(Q53="CT207",Q53="CT209",Q53="CT211"),"MIS",IF(Q53="Corporativo","Corporativo",IF(Q53="Calculado","Calculado",IF(Q53="LT ESTR","LT ESTR", IF(Q53="Modelo Verde","Modelo Verde",NA)))))</f>
        <v>MIS</v>
      </c>
      <c r="S53" s="37" t="s">
        <v>3798</v>
      </c>
      <c r="T53" s="35" t="s">
        <v>3707</v>
      </c>
      <c r="U53" s="35" t="s">
        <v>3707</v>
      </c>
      <c r="V53" s="35" t="str">
        <f t="shared" si="9"/>
        <v>NOK</v>
      </c>
      <c r="W53" s="35" t="s">
        <v>3707</v>
      </c>
      <c r="X53" s="90" t="str">
        <f t="shared" ref="X53:X71" si="12">IF(OR(O53="Em teste",O53="Em análise de requisitos"),"Test Team",IF(OR(O53="Em Correção",O53="Em Implementação"),"IT Team",IF(O53="Concluído","Fechado","NA")))</f>
        <v>IT Team</v>
      </c>
      <c r="Y53" s="25"/>
      <c r="Z53" s="25"/>
      <c r="AA53" s="25"/>
      <c r="AB53" s="25"/>
      <c r="AC53" s="25"/>
      <c r="AD53" s="25"/>
      <c r="AE53" s="25"/>
      <c r="AF53" s="25"/>
      <c r="AG53" s="25"/>
      <c r="AH53" s="23">
        <v>2020862</v>
      </c>
      <c r="AI53" s="1">
        <f t="shared" si="11"/>
        <v>0</v>
      </c>
      <c r="AJ53" s="1">
        <f t="shared" ref="AJ53:AJ71" si="13">AH53-SUM(Z53:AG53)</f>
        <v>2020862</v>
      </c>
      <c r="AK53" t="s">
        <v>3706</v>
      </c>
    </row>
    <row r="54" spans="2:37" x14ac:dyDescent="0.3">
      <c r="B54" s="88" t="s">
        <v>3724</v>
      </c>
      <c r="C54" s="25">
        <f>1184384+631570</f>
        <v>1815954</v>
      </c>
      <c r="D54" s="28">
        <f t="shared" si="10"/>
        <v>0.89860366516862611</v>
      </c>
      <c r="E54" s="25"/>
      <c r="F54" s="28">
        <f t="shared" si="1"/>
        <v>0</v>
      </c>
      <c r="G54" s="25"/>
      <c r="H54" s="28">
        <f t="shared" si="2"/>
        <v>0</v>
      </c>
      <c r="I54" s="25">
        <f>424+22</f>
        <v>446</v>
      </c>
      <c r="J54" s="28">
        <f t="shared" si="3"/>
        <v>2.2069790020298269E-4</v>
      </c>
      <c r="K54" s="68">
        <f>AH54-C54-I54-M54-G54+791</f>
        <v>201588</v>
      </c>
      <c r="L54" s="28">
        <f t="shared" si="4"/>
        <v>9.9753471538383126E-2</v>
      </c>
      <c r="M54" s="68">
        <v>3665</v>
      </c>
      <c r="N54" s="28">
        <f t="shared" si="5"/>
        <v>1.8135825207263039E-3</v>
      </c>
      <c r="O54" s="38" t="s">
        <v>3783</v>
      </c>
      <c r="P54" s="77">
        <v>45345</v>
      </c>
      <c r="Q54" s="35" t="s">
        <v>3805</v>
      </c>
      <c r="R54" s="35" t="str">
        <f>IF(OR(Q54="CT207",Q54="CT209",Q54="CT211"),"MIS",IF(Q54="Corporativo","Corporativo",IF(Q54="Calculado","Calculado",IF(Q54="LT ESTR","LT ESTR", IF(Q54="Modelo Verde","Modelo Verde",NA)))))</f>
        <v>MIS</v>
      </c>
      <c r="S54" s="37" t="s">
        <v>3798</v>
      </c>
      <c r="T54" s="35" t="s">
        <v>3706</v>
      </c>
      <c r="U54" s="35" t="s">
        <v>3706</v>
      </c>
      <c r="V54" s="35" t="str">
        <f t="shared" si="9"/>
        <v>OK</v>
      </c>
      <c r="W54" s="35" t="s">
        <v>3816</v>
      </c>
      <c r="X54" s="90" t="str">
        <f t="shared" si="12"/>
        <v>Test Team</v>
      </c>
      <c r="Y54" s="32"/>
      <c r="Z54">
        <v>1184384</v>
      </c>
      <c r="AB54">
        <v>0</v>
      </c>
      <c r="AE54">
        <v>424</v>
      </c>
      <c r="AF54">
        <f>AH54-AG54-AE54-Z54</f>
        <v>832389</v>
      </c>
      <c r="AG54">
        <v>3665</v>
      </c>
      <c r="AH54">
        <v>2020862</v>
      </c>
      <c r="AI54">
        <f t="shared" si="11"/>
        <v>-791</v>
      </c>
      <c r="AJ54">
        <f t="shared" si="13"/>
        <v>0</v>
      </c>
      <c r="AK54" t="s">
        <v>3843</v>
      </c>
    </row>
    <row r="55" spans="2:37" x14ac:dyDescent="0.3">
      <c r="B55" s="88" t="s">
        <v>3725</v>
      </c>
      <c r="C55" s="25"/>
      <c r="D55" s="28">
        <f t="shared" si="10"/>
        <v>0</v>
      </c>
      <c r="E55" s="25"/>
      <c r="F55" s="28">
        <f t="shared" si="1"/>
        <v>0</v>
      </c>
      <c r="G55" s="25">
        <f>2020862-3665</f>
        <v>2017197</v>
      </c>
      <c r="H55" s="28">
        <f t="shared" si="2"/>
        <v>0.99818641747927372</v>
      </c>
      <c r="I55" s="25"/>
      <c r="J55" s="28">
        <f t="shared" si="3"/>
        <v>0</v>
      </c>
      <c r="K55" s="68"/>
      <c r="L55" s="28">
        <f t="shared" si="4"/>
        <v>0</v>
      </c>
      <c r="M55" s="68">
        <v>3665</v>
      </c>
      <c r="N55" s="28">
        <f t="shared" si="5"/>
        <v>1.8135825207263039E-3</v>
      </c>
      <c r="O55" s="51" t="s">
        <v>3795</v>
      </c>
      <c r="P55" s="52">
        <v>45320</v>
      </c>
      <c r="Q55" s="35" t="s">
        <v>3805</v>
      </c>
      <c r="R55" s="35" t="str">
        <f>IF(OR(Q55="CT207",Q55="CT209",Q55="CT211"),"MIS",IF(Q55="Corporativo","Corporativo",IF(Q55="Calculado","Calculado",IF(Q55="LT ESTR","LT ESTR", IF(Q55="Modelo Verde","Modelo Verde",NA)))))</f>
        <v>MIS</v>
      </c>
      <c r="S55" s="37" t="s">
        <v>3798</v>
      </c>
      <c r="T55" s="35" t="s">
        <v>3707</v>
      </c>
      <c r="U55" s="35" t="s">
        <v>3707</v>
      </c>
      <c r="V55" s="35" t="str">
        <f t="shared" si="9"/>
        <v>NOK</v>
      </c>
      <c r="W55" s="35" t="s">
        <v>3707</v>
      </c>
      <c r="X55" s="90" t="str">
        <f t="shared" si="12"/>
        <v>IT Team</v>
      </c>
      <c r="Y55" s="25" t="s">
        <v>3784</v>
      </c>
      <c r="Z55" s="32">
        <v>0</v>
      </c>
      <c r="AA55" s="25"/>
      <c r="AB55" s="25"/>
      <c r="AC55" s="25"/>
      <c r="AD55" s="25"/>
      <c r="AE55" s="25"/>
      <c r="AF55" s="25"/>
      <c r="AG55" s="25"/>
      <c r="AH55" s="23">
        <v>2020862</v>
      </c>
      <c r="AI55" s="1">
        <f t="shared" si="11"/>
        <v>0</v>
      </c>
      <c r="AJ55" s="1">
        <f t="shared" si="13"/>
        <v>2020862</v>
      </c>
      <c r="AK55" t="s">
        <v>3706</v>
      </c>
    </row>
    <row r="56" spans="2:37" x14ac:dyDescent="0.3">
      <c r="B56" s="88" t="s">
        <v>3767</v>
      </c>
      <c r="C56" s="25">
        <v>2020821</v>
      </c>
      <c r="D56" s="28">
        <f t="shared" si="10"/>
        <v>0.99997971162800825</v>
      </c>
      <c r="E56" s="25"/>
      <c r="F56" s="28">
        <f t="shared" si="1"/>
        <v>0</v>
      </c>
      <c r="G56" s="25">
        <v>41</v>
      </c>
      <c r="H56" s="28">
        <f t="shared" si="2"/>
        <v>2.0288371991754013E-5</v>
      </c>
      <c r="I56" s="25"/>
      <c r="J56" s="28">
        <f t="shared" si="3"/>
        <v>0</v>
      </c>
      <c r="K56" s="68"/>
      <c r="L56" s="28">
        <f t="shared" si="4"/>
        <v>0</v>
      </c>
      <c r="M56" s="68"/>
      <c r="N56" s="28">
        <f t="shared" si="5"/>
        <v>0</v>
      </c>
      <c r="O56" s="81" t="s">
        <v>3851</v>
      </c>
      <c r="P56" s="77">
        <v>45338</v>
      </c>
      <c r="Q56" s="35" t="s">
        <v>3803</v>
      </c>
      <c r="R56" s="35" t="str">
        <f>IF(OR(Q56="CT207",Q56="CT209",Q56="CT211"),"MIS",IF(Q56="Corporativo","Corporativo",IF(Q56="Calculado","Calculado",IF(Q56="LT ESTR","LT ESTR", IF(Q56="Modelo Verde","Modelo Verde",NA)))))</f>
        <v>LT ESTR</v>
      </c>
      <c r="S56" s="37" t="s">
        <v>3794</v>
      </c>
      <c r="T56" s="35" t="s">
        <v>3707</v>
      </c>
      <c r="U56" s="35" t="s">
        <v>3707</v>
      </c>
      <c r="V56" s="35" t="str">
        <f t="shared" si="9"/>
        <v>NOK</v>
      </c>
      <c r="W56" s="35" t="s">
        <v>3707</v>
      </c>
      <c r="X56" s="90" t="str">
        <f t="shared" si="12"/>
        <v>IT Team</v>
      </c>
      <c r="Y56" s="63"/>
      <c r="Z56" s="25"/>
      <c r="AA56" s="25"/>
      <c r="AB56" s="25"/>
      <c r="AC56" s="25"/>
      <c r="AD56" s="25"/>
      <c r="AE56" s="25"/>
      <c r="AF56" s="25"/>
      <c r="AG56" s="25"/>
      <c r="AH56" s="23">
        <v>2020862</v>
      </c>
      <c r="AI56" s="1">
        <f t="shared" si="11"/>
        <v>0</v>
      </c>
      <c r="AJ56" s="1">
        <f t="shared" si="13"/>
        <v>2020862</v>
      </c>
      <c r="AK56" t="s">
        <v>3706</v>
      </c>
    </row>
    <row r="57" spans="2:37" x14ac:dyDescent="0.3">
      <c r="B57" s="88" t="s">
        <v>3736</v>
      </c>
      <c r="C57" s="25">
        <v>2020862</v>
      </c>
      <c r="D57" s="28">
        <f t="shared" si="10"/>
        <v>1</v>
      </c>
      <c r="E57" s="25"/>
      <c r="F57" s="28">
        <f t="shared" si="1"/>
        <v>0</v>
      </c>
      <c r="G57" s="25"/>
      <c r="H57" s="28">
        <f t="shared" si="2"/>
        <v>0</v>
      </c>
      <c r="I57" s="25"/>
      <c r="J57" s="28">
        <f t="shared" si="3"/>
        <v>0</v>
      </c>
      <c r="K57" s="68"/>
      <c r="L57" s="28">
        <f t="shared" si="4"/>
        <v>0</v>
      </c>
      <c r="M57" s="68"/>
      <c r="N57" s="28">
        <f t="shared" si="5"/>
        <v>0</v>
      </c>
      <c r="O57" s="36" t="s">
        <v>3787</v>
      </c>
      <c r="P57" s="52">
        <v>45321</v>
      </c>
      <c r="Q57" s="35" t="s">
        <v>3803</v>
      </c>
      <c r="R57" s="35" t="str">
        <f>IF(OR(Q57="CT207",Q57="CT209",Q57="CT211"),"MIS",IF(Q57="Corporativo","Corporativo",IF(Q57="Calculado","Calculado",IF(Q57="LT ESTR","LT ESTR", IF(Q57="Modelo Verde","Modelo Verde",NA)))))</f>
        <v>LT ESTR</v>
      </c>
      <c r="S57" s="37" t="s">
        <v>3798</v>
      </c>
      <c r="T57" s="35" t="s">
        <v>3706</v>
      </c>
      <c r="U57" s="35" t="s">
        <v>3706</v>
      </c>
      <c r="V57" s="35" t="str">
        <f t="shared" si="9"/>
        <v>OK</v>
      </c>
      <c r="W57" s="35" t="s">
        <v>3706</v>
      </c>
      <c r="X57" s="90" t="str">
        <f t="shared" si="12"/>
        <v>Fechado</v>
      </c>
      <c r="Y57" s="73"/>
      <c r="Z57" s="25"/>
      <c r="AA57" s="25"/>
      <c r="AB57" s="25"/>
      <c r="AC57" s="25"/>
      <c r="AD57" s="25"/>
      <c r="AE57" s="25"/>
      <c r="AF57" s="25"/>
      <c r="AG57" s="25"/>
      <c r="AH57" s="23">
        <v>2020862</v>
      </c>
      <c r="AI57" s="1">
        <f t="shared" si="11"/>
        <v>0</v>
      </c>
      <c r="AJ57" s="1">
        <f t="shared" si="13"/>
        <v>2020862</v>
      </c>
      <c r="AK57" t="s">
        <v>3706</v>
      </c>
    </row>
    <row r="58" spans="2:37" x14ac:dyDescent="0.3">
      <c r="B58" s="88" t="s">
        <v>3734</v>
      </c>
      <c r="C58" s="25">
        <v>2020862</v>
      </c>
      <c r="D58" s="28">
        <f t="shared" si="10"/>
        <v>1</v>
      </c>
      <c r="E58" s="25"/>
      <c r="F58" s="28">
        <f t="shared" si="1"/>
        <v>0</v>
      </c>
      <c r="G58" s="25"/>
      <c r="H58" s="28">
        <f t="shared" si="2"/>
        <v>0</v>
      </c>
      <c r="I58" s="25"/>
      <c r="J58" s="28">
        <f t="shared" si="3"/>
        <v>0</v>
      </c>
      <c r="K58" s="68"/>
      <c r="L58" s="28">
        <f t="shared" si="4"/>
        <v>0</v>
      </c>
      <c r="M58" s="68"/>
      <c r="N58" s="28">
        <f t="shared" si="5"/>
        <v>0</v>
      </c>
      <c r="O58" s="36" t="s">
        <v>3787</v>
      </c>
      <c r="P58" s="52">
        <v>45317</v>
      </c>
      <c r="Q58" s="35" t="s">
        <v>3803</v>
      </c>
      <c r="R58" s="35" t="str">
        <f>IF(OR(Q58="CT207",Q58="CT209",Q58="CT211"),"MIS",IF(Q58="Corporativo","Corporativo",IF(Q58="Calculado","Calculado",IF(Q58="LT ESTR","LT ESTR", IF(Q58="Modelo Verde","Modelo Verde",NA)))))</f>
        <v>LT ESTR</v>
      </c>
      <c r="S58" s="37" t="s">
        <v>3798</v>
      </c>
      <c r="T58" s="35" t="s">
        <v>3706</v>
      </c>
      <c r="U58" s="35" t="s">
        <v>3706</v>
      </c>
      <c r="V58" s="35" t="str">
        <f t="shared" si="9"/>
        <v>OK</v>
      </c>
      <c r="W58" s="35" t="s">
        <v>3706</v>
      </c>
      <c r="X58" s="90" t="str">
        <f t="shared" si="12"/>
        <v>Fechado</v>
      </c>
      <c r="Y58" s="73"/>
      <c r="Z58" s="25">
        <v>2020862</v>
      </c>
      <c r="AA58" s="25"/>
      <c r="AB58" s="25"/>
      <c r="AC58" s="25"/>
      <c r="AD58" s="25"/>
      <c r="AE58" s="25"/>
      <c r="AF58" s="25"/>
      <c r="AG58" s="25"/>
      <c r="AH58" s="23">
        <v>2020862</v>
      </c>
      <c r="AI58" s="1">
        <f t="shared" si="11"/>
        <v>0</v>
      </c>
      <c r="AJ58" s="1">
        <f t="shared" si="13"/>
        <v>0</v>
      </c>
      <c r="AK58" t="s">
        <v>3706</v>
      </c>
    </row>
    <row r="59" spans="2:37" x14ac:dyDescent="0.3">
      <c r="B59" s="88" t="s">
        <v>3755</v>
      </c>
      <c r="C59" s="25">
        <v>2020862</v>
      </c>
      <c r="D59" s="28">
        <f t="shared" si="10"/>
        <v>1</v>
      </c>
      <c r="E59" s="25"/>
      <c r="F59" s="28">
        <f t="shared" si="1"/>
        <v>0</v>
      </c>
      <c r="G59" s="25"/>
      <c r="H59" s="28">
        <f t="shared" si="2"/>
        <v>0</v>
      </c>
      <c r="I59" s="25"/>
      <c r="J59" s="28">
        <f t="shared" si="3"/>
        <v>0</v>
      </c>
      <c r="K59" s="68"/>
      <c r="L59" s="28">
        <f t="shared" si="4"/>
        <v>0</v>
      </c>
      <c r="M59" s="68"/>
      <c r="N59" s="28">
        <f t="shared" si="5"/>
        <v>0</v>
      </c>
      <c r="O59" s="36" t="s">
        <v>3787</v>
      </c>
      <c r="P59" s="52">
        <v>45317</v>
      </c>
      <c r="Q59" s="35" t="s">
        <v>3808</v>
      </c>
      <c r="R59" s="35" t="str">
        <f>IF(OR(Q59="CT207",Q59="CT209",Q59="CT211"),"MIS",IF(Q59="Corporativo","Corporativo",IF(Q59="Calculado","Calculado",IF(Q59="LT ESTR","LT ESTR", IF(Q59="Modelo Verde","Modelo Verde",NA)))))</f>
        <v>Corporativo</v>
      </c>
      <c r="S59" s="37" t="s">
        <v>3798</v>
      </c>
      <c r="T59" s="35" t="s">
        <v>3706</v>
      </c>
      <c r="U59" s="35" t="s">
        <v>3706</v>
      </c>
      <c r="V59" s="35" t="str">
        <f t="shared" si="9"/>
        <v>OK</v>
      </c>
      <c r="W59" s="35" t="s">
        <v>3706</v>
      </c>
      <c r="X59" s="90" t="str">
        <f t="shared" si="12"/>
        <v>Fechado</v>
      </c>
      <c r="Y59" s="25"/>
      <c r="Z59" s="25">
        <v>2020862</v>
      </c>
      <c r="AA59" s="25"/>
      <c r="AB59" s="25"/>
      <c r="AC59" s="25"/>
      <c r="AD59" s="25"/>
      <c r="AE59" s="25"/>
      <c r="AF59" s="25"/>
      <c r="AG59" s="25"/>
      <c r="AH59" s="23">
        <v>2020862</v>
      </c>
      <c r="AI59" s="1">
        <f t="shared" si="11"/>
        <v>0</v>
      </c>
      <c r="AJ59" s="1">
        <f t="shared" si="13"/>
        <v>0</v>
      </c>
      <c r="AK59" t="s">
        <v>3706</v>
      </c>
    </row>
    <row r="60" spans="2:37" hidden="1" x14ac:dyDescent="0.3">
      <c r="B60" s="88" t="s">
        <v>3758</v>
      </c>
      <c r="C60" s="25"/>
      <c r="D60" s="28">
        <f t="shared" si="10"/>
        <v>0</v>
      </c>
      <c r="E60" s="25"/>
      <c r="F60" s="28">
        <f t="shared" si="1"/>
        <v>0</v>
      </c>
      <c r="G60" s="25"/>
      <c r="H60" s="28">
        <f t="shared" si="2"/>
        <v>0</v>
      </c>
      <c r="I60" s="25"/>
      <c r="J60" s="28">
        <f t="shared" si="3"/>
        <v>0</v>
      </c>
      <c r="K60" s="68">
        <v>2020862</v>
      </c>
      <c r="L60" s="28">
        <f t="shared" si="4"/>
        <v>1</v>
      </c>
      <c r="M60" s="68"/>
      <c r="N60" s="28">
        <f t="shared" si="5"/>
        <v>0</v>
      </c>
      <c r="O60" s="51" t="s">
        <v>3826</v>
      </c>
      <c r="P60" s="52">
        <v>45324</v>
      </c>
      <c r="Q60" s="35" t="s">
        <v>3805</v>
      </c>
      <c r="R60" s="35" t="str">
        <f>IF(OR(Q60="CT207",Q60="CT209",Q60="CT211"),"MIS",IF(Q60="Corporativo","Corporativo",IF(Q60="Calculado","Calculado",IF(Q60="LT ESTR","LT ESTR", IF(Q60="Modelo Verde","Modelo Verde",NA)))))</f>
        <v>MIS</v>
      </c>
      <c r="S60" s="37" t="s">
        <v>3798</v>
      </c>
      <c r="T60" s="35" t="s">
        <v>3816</v>
      </c>
      <c r="U60" s="35" t="s">
        <v>3816</v>
      </c>
      <c r="V60" s="35" t="str">
        <f t="shared" si="9"/>
        <v>Not Started</v>
      </c>
      <c r="W60" s="35" t="s">
        <v>3816</v>
      </c>
      <c r="X60" s="90" t="str">
        <f t="shared" si="12"/>
        <v>Test Team</v>
      </c>
      <c r="Y60" s="25" t="s">
        <v>3830</v>
      </c>
      <c r="Z60" s="25"/>
      <c r="AA60" s="25"/>
      <c r="AB60" s="25"/>
      <c r="AC60" s="25"/>
      <c r="AD60" s="25"/>
      <c r="AE60" s="25"/>
      <c r="AF60" s="25">
        <v>2020862</v>
      </c>
      <c r="AG60" s="25"/>
      <c r="AH60" s="23">
        <v>2020862</v>
      </c>
      <c r="AI60" s="1">
        <f t="shared" si="11"/>
        <v>0</v>
      </c>
      <c r="AJ60" s="1">
        <f t="shared" si="13"/>
        <v>0</v>
      </c>
      <c r="AK60" t="s">
        <v>3840</v>
      </c>
    </row>
    <row r="61" spans="2:37" x14ac:dyDescent="0.3">
      <c r="B61" s="88" t="s">
        <v>3747</v>
      </c>
      <c r="C61" s="25">
        <v>2020862</v>
      </c>
      <c r="D61" s="28">
        <f t="shared" si="10"/>
        <v>1</v>
      </c>
      <c r="E61" s="25"/>
      <c r="F61" s="28">
        <f t="shared" si="1"/>
        <v>0</v>
      </c>
      <c r="G61" s="25"/>
      <c r="H61" s="28">
        <f t="shared" si="2"/>
        <v>0</v>
      </c>
      <c r="I61" s="25"/>
      <c r="J61" s="28">
        <f t="shared" si="3"/>
        <v>0</v>
      </c>
      <c r="K61" s="68"/>
      <c r="L61" s="28">
        <f t="shared" si="4"/>
        <v>0</v>
      </c>
      <c r="M61" s="68"/>
      <c r="N61" s="28">
        <f t="shared" si="5"/>
        <v>0</v>
      </c>
      <c r="O61" s="36" t="s">
        <v>3787</v>
      </c>
      <c r="P61" s="52">
        <v>45317</v>
      </c>
      <c r="Q61" s="35" t="s">
        <v>3803</v>
      </c>
      <c r="R61" s="35" t="str">
        <f>IF(OR(Q61="CT207",Q61="CT209",Q61="CT211"),"MIS",IF(Q61="Corporativo","Corporativo",IF(Q61="Calculado","Calculado",IF(Q61="LT ESTR","LT ESTR", IF(Q61="Modelo Verde","Modelo Verde",NA)))))</f>
        <v>LT ESTR</v>
      </c>
      <c r="S61" s="37" t="s">
        <v>3794</v>
      </c>
      <c r="T61" s="35" t="s">
        <v>3706</v>
      </c>
      <c r="U61" s="35" t="s">
        <v>3706</v>
      </c>
      <c r="V61" s="35" t="str">
        <f t="shared" si="9"/>
        <v>OK</v>
      </c>
      <c r="W61" s="35" t="s">
        <v>3706</v>
      </c>
      <c r="X61" s="90" t="str">
        <f t="shared" si="12"/>
        <v>Fechado</v>
      </c>
      <c r="Y61" s="73" t="s">
        <v>3786</v>
      </c>
      <c r="Z61" s="25">
        <v>2020862</v>
      </c>
      <c r="AA61" s="25"/>
      <c r="AB61" s="25"/>
      <c r="AC61" s="25"/>
      <c r="AD61" s="25"/>
      <c r="AE61" s="25"/>
      <c r="AF61" s="25"/>
      <c r="AG61" s="25"/>
      <c r="AH61" s="23">
        <v>2020862</v>
      </c>
      <c r="AI61" s="1">
        <f t="shared" si="11"/>
        <v>0</v>
      </c>
      <c r="AJ61" s="1">
        <f t="shared" si="13"/>
        <v>0</v>
      </c>
      <c r="AK61" t="s">
        <v>3706</v>
      </c>
    </row>
    <row r="62" spans="2:37" hidden="1" x14ac:dyDescent="0.3">
      <c r="B62" s="88" t="s">
        <v>3750</v>
      </c>
      <c r="C62" s="25"/>
      <c r="D62" s="28">
        <f t="shared" si="10"/>
        <v>0</v>
      </c>
      <c r="E62" s="25"/>
      <c r="F62" s="28">
        <f t="shared" si="1"/>
        <v>0</v>
      </c>
      <c r="G62" s="25"/>
      <c r="H62" s="28">
        <f t="shared" si="2"/>
        <v>0</v>
      </c>
      <c r="I62" s="25"/>
      <c r="J62" s="28">
        <f t="shared" si="3"/>
        <v>0</v>
      </c>
      <c r="K62" s="68">
        <f>2020862-3665</f>
        <v>2017197</v>
      </c>
      <c r="L62" s="28">
        <f t="shared" si="4"/>
        <v>0.99818641747927372</v>
      </c>
      <c r="M62" s="68">
        <v>3665</v>
      </c>
      <c r="N62" s="28">
        <f t="shared" si="5"/>
        <v>1.8135825207263039E-3</v>
      </c>
      <c r="O62" s="51" t="s">
        <v>3795</v>
      </c>
      <c r="P62" s="52">
        <v>45321</v>
      </c>
      <c r="Q62" s="35" t="s">
        <v>3805</v>
      </c>
      <c r="R62" s="35" t="str">
        <f>IF(OR(Q62="CT207",Q62="CT209",Q62="CT211"),"MIS",IF(Q62="Corporativo","Corporativo",IF(Q62="Calculado","Calculado",IF(Q62="LT ESTR","LT ESTR", IF(Q62="Modelo Verde","Modelo Verde",NA)))))</f>
        <v>MIS</v>
      </c>
      <c r="S62" s="37" t="s">
        <v>3798</v>
      </c>
      <c r="T62" s="35" t="s">
        <v>3816</v>
      </c>
      <c r="U62" s="35" t="s">
        <v>3816</v>
      </c>
      <c r="V62" s="35" t="str">
        <f t="shared" si="9"/>
        <v>Not Started</v>
      </c>
      <c r="W62" s="35" t="s">
        <v>3816</v>
      </c>
      <c r="X62" s="90" t="str">
        <f t="shared" si="12"/>
        <v>IT Team</v>
      </c>
      <c r="Y62" s="25" t="s">
        <v>3849</v>
      </c>
      <c r="Z62" s="25"/>
      <c r="AA62" s="25"/>
      <c r="AB62" s="25"/>
      <c r="AC62" s="25"/>
      <c r="AD62" s="25"/>
      <c r="AE62" s="25"/>
      <c r="AF62" s="25"/>
      <c r="AG62" s="25"/>
      <c r="AH62" s="23">
        <v>2020862</v>
      </c>
      <c r="AI62" s="1">
        <f t="shared" si="11"/>
        <v>0</v>
      </c>
      <c r="AJ62" s="1">
        <f t="shared" si="13"/>
        <v>2020862</v>
      </c>
      <c r="AK62" t="s">
        <v>3839</v>
      </c>
    </row>
    <row r="63" spans="2:37" x14ac:dyDescent="0.3">
      <c r="B63" s="88" t="s">
        <v>3742</v>
      </c>
      <c r="C63" s="25">
        <v>2020862</v>
      </c>
      <c r="D63" s="28">
        <f t="shared" si="10"/>
        <v>1</v>
      </c>
      <c r="E63" s="26"/>
      <c r="F63" s="28">
        <f t="shared" si="1"/>
        <v>0</v>
      </c>
      <c r="G63" s="25"/>
      <c r="H63" s="28">
        <f t="shared" si="2"/>
        <v>0</v>
      </c>
      <c r="I63" s="25"/>
      <c r="J63" s="28">
        <f t="shared" si="3"/>
        <v>0</v>
      </c>
      <c r="K63" s="68"/>
      <c r="L63" s="28">
        <f t="shared" si="4"/>
        <v>0</v>
      </c>
      <c r="M63" s="68"/>
      <c r="N63" s="28">
        <f t="shared" si="5"/>
        <v>0</v>
      </c>
      <c r="O63" s="36" t="s">
        <v>3787</v>
      </c>
      <c r="P63" s="52">
        <v>45321</v>
      </c>
      <c r="Q63" s="35" t="s">
        <v>3803</v>
      </c>
      <c r="R63" s="35" t="str">
        <f>IF(OR(Q63="CT207",Q63="CT209",Q63="CT211"),"MIS",IF(Q63="Corporativo","Corporativo",IF(Q63="Calculado","Calculado",IF(Q63="LT ESTR","LT ESTR", IF(Q63="Modelo Verde","Modelo Verde",NA)))))</f>
        <v>LT ESTR</v>
      </c>
      <c r="S63" s="37" t="s">
        <v>3798</v>
      </c>
      <c r="T63" s="35" t="s">
        <v>3706</v>
      </c>
      <c r="U63" s="35" t="s">
        <v>3706</v>
      </c>
      <c r="V63" s="35" t="str">
        <f t="shared" si="9"/>
        <v>OK</v>
      </c>
      <c r="W63" s="35" t="s">
        <v>3706</v>
      </c>
      <c r="X63" s="90" t="str">
        <f t="shared" si="12"/>
        <v>Fechado</v>
      </c>
      <c r="Y63" s="73"/>
      <c r="Z63" s="25"/>
      <c r="AA63" s="25"/>
      <c r="AB63" s="25">
        <v>2020862</v>
      </c>
      <c r="AC63" s="25"/>
      <c r="AD63" s="25"/>
      <c r="AE63" s="25"/>
      <c r="AF63" s="25"/>
      <c r="AG63" s="25"/>
      <c r="AH63" s="23">
        <v>2020862</v>
      </c>
      <c r="AI63" s="1">
        <f t="shared" si="11"/>
        <v>0</v>
      </c>
      <c r="AJ63" s="1">
        <f t="shared" si="13"/>
        <v>0</v>
      </c>
      <c r="AK63" t="s">
        <v>3706</v>
      </c>
    </row>
    <row r="64" spans="2:37" x14ac:dyDescent="0.3">
      <c r="B64" s="88" t="s">
        <v>3737</v>
      </c>
      <c r="C64" s="25">
        <v>2020862</v>
      </c>
      <c r="D64" s="28">
        <f t="shared" si="10"/>
        <v>1</v>
      </c>
      <c r="E64" s="25"/>
      <c r="F64" s="28">
        <f t="shared" si="1"/>
        <v>0</v>
      </c>
      <c r="G64" s="25"/>
      <c r="H64" s="28">
        <f t="shared" si="2"/>
        <v>0</v>
      </c>
      <c r="I64" s="25"/>
      <c r="J64" s="28">
        <f t="shared" si="3"/>
        <v>0</v>
      </c>
      <c r="K64" s="68"/>
      <c r="L64" s="28">
        <f t="shared" si="4"/>
        <v>0</v>
      </c>
      <c r="M64" s="68"/>
      <c r="N64" s="28">
        <f t="shared" si="5"/>
        <v>0</v>
      </c>
      <c r="O64" s="61" t="s">
        <v>3787</v>
      </c>
      <c r="P64" s="52">
        <v>45321</v>
      </c>
      <c r="Q64" s="35" t="s">
        <v>3803</v>
      </c>
      <c r="R64" s="35" t="str">
        <f>IF(OR(Q64="CT207",Q64="CT209",Q64="CT211"),"MIS",IF(Q64="Corporativo","Corporativo",IF(Q64="Calculado","Calculado",IF(Q64="LT ESTR","LT ESTR", IF(Q64="Modelo Verde","Modelo Verde",NA)))))</f>
        <v>LT ESTR</v>
      </c>
      <c r="S64" s="37" t="s">
        <v>3798</v>
      </c>
      <c r="T64" s="35" t="s">
        <v>3706</v>
      </c>
      <c r="U64" s="35" t="s">
        <v>3706</v>
      </c>
      <c r="V64" s="35" t="str">
        <f t="shared" si="9"/>
        <v>OK</v>
      </c>
      <c r="W64" s="35" t="s">
        <v>3706</v>
      </c>
      <c r="X64" s="90" t="str">
        <f t="shared" si="12"/>
        <v>Fechado</v>
      </c>
      <c r="Y64" s="73" t="s">
        <v>3829</v>
      </c>
      <c r="Z64" s="25"/>
      <c r="AA64" s="25"/>
      <c r="AB64" s="25">
        <v>2020862</v>
      </c>
      <c r="AC64" s="25"/>
      <c r="AD64" s="25"/>
      <c r="AE64" s="25"/>
      <c r="AF64" s="25"/>
      <c r="AG64" s="25"/>
      <c r="AH64" s="23">
        <v>2020862</v>
      </c>
      <c r="AI64" s="1">
        <f t="shared" si="11"/>
        <v>0</v>
      </c>
      <c r="AJ64" s="1">
        <f t="shared" si="13"/>
        <v>0</v>
      </c>
      <c r="AK64" t="s">
        <v>3706</v>
      </c>
    </row>
    <row r="65" spans="2:37" x14ac:dyDescent="0.3">
      <c r="B65" s="88" t="s">
        <v>3743</v>
      </c>
      <c r="C65" s="25">
        <v>2020862</v>
      </c>
      <c r="D65" s="28">
        <f t="shared" si="10"/>
        <v>1</v>
      </c>
      <c r="E65" s="26"/>
      <c r="F65" s="28">
        <f t="shared" si="1"/>
        <v>0</v>
      </c>
      <c r="G65" s="25"/>
      <c r="H65" s="28">
        <f t="shared" si="2"/>
        <v>0</v>
      </c>
      <c r="I65" s="25"/>
      <c r="J65" s="28">
        <f t="shared" si="3"/>
        <v>0</v>
      </c>
      <c r="K65" s="68"/>
      <c r="L65" s="28">
        <f t="shared" si="4"/>
        <v>0</v>
      </c>
      <c r="M65" s="68"/>
      <c r="N65" s="28">
        <f t="shared" si="5"/>
        <v>0</v>
      </c>
      <c r="O65" s="36" t="s">
        <v>3787</v>
      </c>
      <c r="P65" s="52">
        <v>45321</v>
      </c>
      <c r="Q65" s="35" t="s">
        <v>3803</v>
      </c>
      <c r="R65" s="35" t="str">
        <f>IF(OR(Q65="CT207",Q65="CT209",Q65="CT211"),"MIS",IF(Q65="Corporativo","Corporativo",IF(Q65="Calculado","Calculado",IF(Q65="LT ESTR","LT ESTR", IF(Q65="Modelo Verde","Modelo Verde",NA)))))</f>
        <v>LT ESTR</v>
      </c>
      <c r="S65" s="37" t="s">
        <v>3798</v>
      </c>
      <c r="T65" s="35" t="s">
        <v>3706</v>
      </c>
      <c r="U65" s="35" t="s">
        <v>3706</v>
      </c>
      <c r="V65" s="35" t="str">
        <f t="shared" si="9"/>
        <v>OK</v>
      </c>
      <c r="W65" s="35" t="s">
        <v>3706</v>
      </c>
      <c r="X65" s="90" t="str">
        <f t="shared" si="12"/>
        <v>Fechado</v>
      </c>
      <c r="Y65" s="73"/>
      <c r="Z65" s="25"/>
      <c r="AA65" s="25"/>
      <c r="AB65" s="25">
        <v>2020862</v>
      </c>
      <c r="AC65" s="25"/>
      <c r="AD65" s="25"/>
      <c r="AE65" s="25"/>
      <c r="AF65" s="25"/>
      <c r="AG65" s="25"/>
      <c r="AH65" s="23">
        <v>2020862</v>
      </c>
      <c r="AI65" s="1">
        <f t="shared" si="11"/>
        <v>0</v>
      </c>
      <c r="AJ65" s="1">
        <f t="shared" si="13"/>
        <v>0</v>
      </c>
      <c r="AK65" t="s">
        <v>3706</v>
      </c>
    </row>
    <row r="66" spans="2:37" x14ac:dyDescent="0.3">
      <c r="B66" s="88" t="s">
        <v>3744</v>
      </c>
      <c r="C66" s="25">
        <v>2020838</v>
      </c>
      <c r="D66" s="28">
        <f t="shared" si="10"/>
        <v>0.99998812387980973</v>
      </c>
      <c r="E66" s="26"/>
      <c r="F66" s="28">
        <f t="shared" si="1"/>
        <v>0</v>
      </c>
      <c r="G66" s="25">
        <v>24</v>
      </c>
      <c r="H66" s="28">
        <f t="shared" si="2"/>
        <v>1.1876120190295033E-5</v>
      </c>
      <c r="I66" s="25"/>
      <c r="J66" s="28">
        <f t="shared" si="3"/>
        <v>0</v>
      </c>
      <c r="K66" s="68"/>
      <c r="L66" s="28">
        <f t="shared" si="4"/>
        <v>0</v>
      </c>
      <c r="M66" s="68"/>
      <c r="N66" s="28">
        <f t="shared" si="5"/>
        <v>0</v>
      </c>
      <c r="O66" s="81" t="s">
        <v>3851</v>
      </c>
      <c r="P66" s="77">
        <v>45338</v>
      </c>
      <c r="Q66" s="35" t="s">
        <v>3803</v>
      </c>
      <c r="R66" s="35" t="str">
        <f>IF(OR(Q66="CT207",Q66="CT209",Q66="CT211"),"MIS",IF(Q66="Corporativo","Corporativo",IF(Q66="Calculado","Calculado",IF(Q66="LT ESTR","LT ESTR", IF(Q66="Modelo Verde","Modelo Verde",NA)))))</f>
        <v>LT ESTR</v>
      </c>
      <c r="S66" s="37" t="s">
        <v>3798</v>
      </c>
      <c r="T66" s="35" t="s">
        <v>3707</v>
      </c>
      <c r="U66" s="35" t="s">
        <v>3707</v>
      </c>
      <c r="V66" s="35" t="str">
        <f t="shared" si="9"/>
        <v>NOK</v>
      </c>
      <c r="W66" s="35" t="s">
        <v>3707</v>
      </c>
      <c r="X66" s="90" t="str">
        <f t="shared" si="12"/>
        <v>IT Team</v>
      </c>
      <c r="Y66" s="63"/>
      <c r="Z66" s="25"/>
      <c r="AA66" s="25"/>
      <c r="AB66" s="25">
        <v>2020862</v>
      </c>
      <c r="AC66" s="25"/>
      <c r="AD66" s="25"/>
      <c r="AE66" s="25"/>
      <c r="AF66" s="25"/>
      <c r="AG66" s="25"/>
      <c r="AH66" s="23">
        <v>2020862</v>
      </c>
      <c r="AI66" s="1">
        <f t="shared" si="11"/>
        <v>0</v>
      </c>
      <c r="AJ66" s="1">
        <f t="shared" si="13"/>
        <v>0</v>
      </c>
      <c r="AK66" t="s">
        <v>3706</v>
      </c>
    </row>
    <row r="67" spans="2:37" hidden="1" x14ac:dyDescent="0.3">
      <c r="B67" s="88" t="s">
        <v>3761</v>
      </c>
      <c r="C67" s="25"/>
      <c r="D67" s="28">
        <f t="shared" si="10"/>
        <v>0</v>
      </c>
      <c r="E67" s="25"/>
      <c r="F67" s="28">
        <f t="shared" si="1"/>
        <v>0</v>
      </c>
      <c r="G67" s="25"/>
      <c r="H67" s="28">
        <f t="shared" si="2"/>
        <v>0</v>
      </c>
      <c r="I67" s="25"/>
      <c r="J67" s="28">
        <f t="shared" si="3"/>
        <v>0</v>
      </c>
      <c r="K67" s="68">
        <v>2020862</v>
      </c>
      <c r="L67" s="28">
        <f t="shared" si="4"/>
        <v>1</v>
      </c>
      <c r="M67" s="68"/>
      <c r="N67" s="28">
        <f t="shared" si="5"/>
        <v>0</v>
      </c>
      <c r="O67" s="51" t="s">
        <v>3826</v>
      </c>
      <c r="P67" s="52">
        <v>45324</v>
      </c>
      <c r="Q67" s="35" t="s">
        <v>3808</v>
      </c>
      <c r="R67" s="35" t="str">
        <f>IF(OR(Q67="CT207",Q67="CT209",Q67="CT211"),"MIS",IF(Q67="Corporativo","Corporativo",IF(Q67="Calculado","Calculado",IF(Q67="LT ESTR","LT ESTR", IF(Q67="Modelo Verde","Modelo Verde",NA)))))</f>
        <v>Corporativo</v>
      </c>
      <c r="S67" s="37" t="s">
        <v>3798</v>
      </c>
      <c r="T67" s="35" t="s">
        <v>3816</v>
      </c>
      <c r="U67" s="35" t="s">
        <v>3816</v>
      </c>
      <c r="V67" s="35" t="str">
        <f t="shared" si="9"/>
        <v>Not Started</v>
      </c>
      <c r="W67" s="35" t="s">
        <v>3816</v>
      </c>
      <c r="X67" s="90" t="str">
        <f t="shared" si="12"/>
        <v>Test Team</v>
      </c>
      <c r="Y67" s="25" t="s">
        <v>3831</v>
      </c>
      <c r="Z67" s="25"/>
      <c r="AA67" s="25"/>
      <c r="AB67" s="25"/>
      <c r="AC67" s="25"/>
      <c r="AD67" s="25"/>
      <c r="AE67" s="25">
        <v>2020862</v>
      </c>
      <c r="AF67" s="25"/>
      <c r="AG67" s="25"/>
      <c r="AH67" s="23">
        <v>2020862</v>
      </c>
      <c r="AI67" s="1">
        <f t="shared" si="11"/>
        <v>0</v>
      </c>
      <c r="AJ67" s="1">
        <f t="shared" si="13"/>
        <v>0</v>
      </c>
      <c r="AK67" t="s">
        <v>3841</v>
      </c>
    </row>
    <row r="68" spans="2:37" hidden="1" x14ac:dyDescent="0.3">
      <c r="B68" s="88" t="s">
        <v>3749</v>
      </c>
      <c r="C68" s="25"/>
      <c r="D68" s="69">
        <f t="shared" si="10"/>
        <v>0</v>
      </c>
      <c r="E68" s="68"/>
      <c r="F68" s="69">
        <f t="shared" si="1"/>
        <v>0</v>
      </c>
      <c r="G68" s="25"/>
      <c r="H68" s="69">
        <f t="shared" si="2"/>
        <v>0</v>
      </c>
      <c r="I68" s="25"/>
      <c r="J68" s="69">
        <f t="shared" si="3"/>
        <v>0</v>
      </c>
      <c r="K68" s="68">
        <v>2020862</v>
      </c>
      <c r="L68" s="69">
        <f t="shared" si="4"/>
        <v>1</v>
      </c>
      <c r="M68" s="68"/>
      <c r="N68" s="69">
        <f t="shared" si="5"/>
        <v>0</v>
      </c>
      <c r="O68" s="60" t="s">
        <v>3782</v>
      </c>
      <c r="P68" s="52">
        <v>45322</v>
      </c>
      <c r="Q68" s="35" t="s">
        <v>3804</v>
      </c>
      <c r="R68" s="35" t="str">
        <f>IF(OR(Q68="CT207",Q68="CT209",Q68="CT211"),"MIS",IF(Q68="Corporativo","Corporativo",IF(Q68="Calculado","Calculado",IF(Q68="LT ESTR","LT ESTR", IF(Q68="Modelo Verde","Modelo Verde",NA)))))</f>
        <v>Modelo Verde</v>
      </c>
      <c r="S68" s="37" t="s">
        <v>3798</v>
      </c>
      <c r="T68" s="35" t="s">
        <v>3816</v>
      </c>
      <c r="U68" s="35" t="s">
        <v>3816</v>
      </c>
      <c r="V68" s="35" t="str">
        <f t="shared" si="9"/>
        <v>Not Started</v>
      </c>
      <c r="W68" s="35" t="s">
        <v>3816</v>
      </c>
      <c r="X68" s="90" t="str">
        <f t="shared" si="12"/>
        <v>IT Team</v>
      </c>
      <c r="Y68" s="25" t="s">
        <v>3853</v>
      </c>
      <c r="Z68" s="25"/>
      <c r="AA68" s="25"/>
      <c r="AB68" s="25"/>
      <c r="AC68" s="25"/>
      <c r="AD68" s="25"/>
      <c r="AE68" s="25"/>
      <c r="AF68" s="25"/>
      <c r="AG68" s="25"/>
      <c r="AH68" s="23">
        <v>2020862</v>
      </c>
      <c r="AI68" s="1">
        <f t="shared" si="11"/>
        <v>0</v>
      </c>
      <c r="AJ68" s="1">
        <f t="shared" si="13"/>
        <v>2020862</v>
      </c>
      <c r="AK68" t="s">
        <v>3706</v>
      </c>
    </row>
    <row r="69" spans="2:37" hidden="1" x14ac:dyDescent="0.3">
      <c r="B69" s="88" t="s">
        <v>3748</v>
      </c>
      <c r="C69" s="25"/>
      <c r="D69" s="69">
        <f t="shared" si="10"/>
        <v>0</v>
      </c>
      <c r="E69" s="68"/>
      <c r="F69" s="69">
        <f t="shared" si="1"/>
        <v>0</v>
      </c>
      <c r="G69" s="25"/>
      <c r="H69" s="69">
        <f t="shared" si="2"/>
        <v>0</v>
      </c>
      <c r="I69" s="25"/>
      <c r="J69" s="69">
        <f t="shared" si="3"/>
        <v>0</v>
      </c>
      <c r="K69" s="68">
        <v>2020862</v>
      </c>
      <c r="L69" s="69">
        <f t="shared" si="4"/>
        <v>1</v>
      </c>
      <c r="M69" s="68"/>
      <c r="N69" s="69">
        <f t="shared" si="5"/>
        <v>0</v>
      </c>
      <c r="O69" s="60" t="s">
        <v>3782</v>
      </c>
      <c r="P69" s="52">
        <v>45322</v>
      </c>
      <c r="Q69" s="35" t="s">
        <v>3804</v>
      </c>
      <c r="R69" s="35" t="str">
        <f>IF(OR(Q69="CT207",Q69="CT209",Q69="CT211"),"MIS",IF(Q69="Corporativo","Corporativo",IF(Q69="Calculado","Calculado",IF(Q69="LT ESTR","LT ESTR", IF(Q69="Modelo Verde","Modelo Verde",NA)))))</f>
        <v>Modelo Verde</v>
      </c>
      <c r="S69" s="37" t="s">
        <v>3798</v>
      </c>
      <c r="T69" s="35" t="s">
        <v>3816</v>
      </c>
      <c r="U69" s="35" t="s">
        <v>3816</v>
      </c>
      <c r="V69" s="35" t="str">
        <f t="shared" si="9"/>
        <v>Not Started</v>
      </c>
      <c r="W69" s="35" t="s">
        <v>3816</v>
      </c>
      <c r="X69" s="90" t="str">
        <f t="shared" si="12"/>
        <v>IT Team</v>
      </c>
      <c r="Y69" s="25" t="s">
        <v>3853</v>
      </c>
      <c r="Z69" s="25"/>
      <c r="AA69" s="25"/>
      <c r="AB69" s="25"/>
      <c r="AC69" s="25"/>
      <c r="AD69" s="25"/>
      <c r="AE69" s="25"/>
      <c r="AF69" s="25"/>
      <c r="AG69" s="25"/>
      <c r="AH69" s="23">
        <v>2020862</v>
      </c>
      <c r="AI69" s="1">
        <f t="shared" si="11"/>
        <v>0</v>
      </c>
      <c r="AJ69" s="1">
        <f t="shared" si="13"/>
        <v>2020862</v>
      </c>
      <c r="AK69" t="s">
        <v>3706</v>
      </c>
    </row>
    <row r="70" spans="2:37" x14ac:dyDescent="0.3">
      <c r="B70" s="88" t="s">
        <v>3732</v>
      </c>
      <c r="C70" s="25">
        <v>2020862</v>
      </c>
      <c r="D70" s="28">
        <f t="shared" si="10"/>
        <v>1</v>
      </c>
      <c r="E70" s="25"/>
      <c r="F70" s="28">
        <f t="shared" si="1"/>
        <v>0</v>
      </c>
      <c r="G70" s="25"/>
      <c r="H70" s="28">
        <f t="shared" si="2"/>
        <v>0</v>
      </c>
      <c r="I70" s="25"/>
      <c r="J70" s="28">
        <f t="shared" si="3"/>
        <v>0</v>
      </c>
      <c r="K70" s="68"/>
      <c r="L70" s="28">
        <f t="shared" si="4"/>
        <v>0</v>
      </c>
      <c r="M70" s="68"/>
      <c r="N70" s="28">
        <f t="shared" si="5"/>
        <v>0</v>
      </c>
      <c r="O70" s="36" t="s">
        <v>3787</v>
      </c>
      <c r="P70" s="52">
        <v>45321</v>
      </c>
      <c r="Q70" s="35" t="s">
        <v>3803</v>
      </c>
      <c r="R70" s="35" t="str">
        <f>IF(OR(Q70="CT207",Q70="CT209",Q70="CT211"),"MIS",IF(Q70="Corporativo","Corporativo",IF(Q70="Calculado","Calculado",IF(Q70="LT ESTR","LT ESTR", IF(Q70="Modelo Verde","Modelo Verde",NA)))))</f>
        <v>LT ESTR</v>
      </c>
      <c r="S70" s="37" t="s">
        <v>3798</v>
      </c>
      <c r="T70" s="35" t="s">
        <v>3706</v>
      </c>
      <c r="U70" s="35" t="s">
        <v>3706</v>
      </c>
      <c r="V70" s="35" t="str">
        <f t="shared" si="9"/>
        <v>OK</v>
      </c>
      <c r="W70" s="35" t="s">
        <v>3706</v>
      </c>
      <c r="X70" s="90" t="str">
        <f t="shared" si="12"/>
        <v>Fechado</v>
      </c>
      <c r="Y70" s="73"/>
      <c r="Z70" s="25"/>
      <c r="AA70" s="25"/>
      <c r="AB70" s="25">
        <v>2020862</v>
      </c>
      <c r="AC70" s="25"/>
      <c r="AD70" s="25"/>
      <c r="AE70" s="25"/>
      <c r="AF70" s="25"/>
      <c r="AG70" s="25"/>
      <c r="AH70" s="23">
        <v>2020862</v>
      </c>
      <c r="AI70" s="1">
        <f t="shared" si="11"/>
        <v>0</v>
      </c>
      <c r="AJ70" s="1">
        <f t="shared" si="13"/>
        <v>0</v>
      </c>
      <c r="AK70" t="s">
        <v>3706</v>
      </c>
    </row>
    <row r="71" spans="2:37" x14ac:dyDescent="0.3">
      <c r="B71" s="88" t="s">
        <v>3738</v>
      </c>
      <c r="C71" s="91">
        <v>2020862</v>
      </c>
      <c r="D71" s="92">
        <f t="shared" si="10"/>
        <v>1</v>
      </c>
      <c r="E71" s="91"/>
      <c r="F71" s="92">
        <f t="shared" si="1"/>
        <v>0</v>
      </c>
      <c r="G71" s="91"/>
      <c r="H71" s="92">
        <f t="shared" si="2"/>
        <v>0</v>
      </c>
      <c r="I71" s="91"/>
      <c r="J71" s="92">
        <f t="shared" si="3"/>
        <v>0</v>
      </c>
      <c r="K71" s="93"/>
      <c r="L71" s="92">
        <f t="shared" si="4"/>
        <v>0</v>
      </c>
      <c r="M71" s="93"/>
      <c r="N71" s="92">
        <f t="shared" si="5"/>
        <v>0</v>
      </c>
      <c r="O71" s="94" t="s">
        <v>3787</v>
      </c>
      <c r="P71" s="95">
        <v>45321</v>
      </c>
      <c r="Q71" s="96" t="s">
        <v>3803</v>
      </c>
      <c r="R71" s="96" t="str">
        <f>IF(OR(Q71="CT207",Q71="CT209",Q71="CT211"),"MIS",IF(Q71="Corporativo","Corporativo",IF(Q71="Calculado","Calculado",IF(Q71="LT ESTR","LT ESTR", IF(Q71="Modelo Verde","Modelo Verde",NA)))))</f>
        <v>LT ESTR</v>
      </c>
      <c r="S71" s="97" t="s">
        <v>3798</v>
      </c>
      <c r="T71" s="96" t="s">
        <v>3706</v>
      </c>
      <c r="U71" s="96" t="s">
        <v>3706</v>
      </c>
      <c r="V71" s="96" t="str">
        <f t="shared" si="9"/>
        <v>OK</v>
      </c>
      <c r="W71" s="96" t="s">
        <v>3706</v>
      </c>
      <c r="X71" s="98" t="str">
        <f t="shared" si="12"/>
        <v>Fechado</v>
      </c>
      <c r="Y71" s="73"/>
      <c r="Z71" s="25"/>
      <c r="AA71" s="25"/>
      <c r="AB71" s="25">
        <v>2020862</v>
      </c>
      <c r="AC71" s="25"/>
      <c r="AD71" s="25"/>
      <c r="AE71" s="25"/>
      <c r="AF71" s="25"/>
      <c r="AG71" s="25"/>
      <c r="AH71" s="23">
        <v>2020862</v>
      </c>
      <c r="AI71" s="1">
        <f t="shared" si="11"/>
        <v>0</v>
      </c>
      <c r="AJ71" s="1">
        <f t="shared" si="13"/>
        <v>0</v>
      </c>
      <c r="AK71" t="s">
        <v>3706</v>
      </c>
    </row>
    <row r="76" spans="2:37" x14ac:dyDescent="0.3">
      <c r="B76" s="11"/>
      <c r="C76" s="11"/>
      <c r="D76" s="11"/>
      <c r="E76" s="11"/>
    </row>
    <row r="77" spans="2:37" x14ac:dyDescent="0.3">
      <c r="B77" s="11"/>
      <c r="C77" s="11"/>
      <c r="D77" s="11"/>
      <c r="E77" s="11"/>
    </row>
    <row r="78" spans="2:37" x14ac:dyDescent="0.3">
      <c r="B78" s="11"/>
      <c r="C78" s="11"/>
      <c r="D78" s="11"/>
      <c r="E78" s="11"/>
    </row>
    <row r="79" spans="2:37" x14ac:dyDescent="0.3">
      <c r="B79" s="11"/>
      <c r="C79" s="11"/>
      <c r="D79" s="11"/>
      <c r="E79" s="11"/>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tabSelected="1" topLeftCell="A7" zoomScale="85" zoomScaleNormal="85" workbookViewId="0">
      <selection activeCell="G30" sqref="G30"/>
    </sheetView>
  </sheetViews>
  <sheetFormatPr defaultColWidth="9.109375" defaultRowHeight="13.8" x14ac:dyDescent="0.25"/>
  <cols>
    <col min="1" max="1" width="4.109375" style="54" customWidth="1"/>
    <col min="2" max="2" width="9.109375" style="54"/>
    <col min="3" max="4" width="10.33203125" style="54" bestFit="1" customWidth="1"/>
    <col min="5" max="5" width="7.6640625" style="54" customWidth="1"/>
    <col min="6" max="8" width="9.109375" style="54"/>
    <col min="9" max="9" width="5.109375" style="54" customWidth="1"/>
    <col min="10" max="10" width="4.6640625" style="54" customWidth="1"/>
    <col min="11" max="17" width="9.109375" style="54"/>
    <col min="18" max="18" width="4.33203125" style="54" customWidth="1"/>
    <col min="19" max="19" width="5.109375" style="54" customWidth="1"/>
    <col min="20" max="20" width="4.6640625" style="54" customWidth="1"/>
    <col min="21" max="22" width="11.5546875" style="54" customWidth="1"/>
    <col min="23" max="24" width="11.5546875" style="54" hidden="1" customWidth="1"/>
    <col min="25" max="16384" width="9.109375" style="54"/>
  </cols>
  <sheetData>
    <row r="1" spans="1:29" s="53" customForma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29" s="53" customFormat="1"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row>
    <row r="3" spans="1:29" s="53" customFormat="1" ht="14.4" thickBot="1"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s="53" customFormat="1" x14ac:dyDescent="0.25">
      <c r="A4" s="45"/>
      <c r="B4" s="45"/>
      <c r="C4" s="45"/>
      <c r="D4" s="45"/>
      <c r="E4" s="45"/>
      <c r="F4" s="45"/>
      <c r="G4" s="45"/>
      <c r="H4" s="45"/>
      <c r="I4" s="45"/>
      <c r="J4" s="45"/>
      <c r="K4" s="45"/>
      <c r="M4" s="45"/>
      <c r="N4" s="45"/>
      <c r="O4" s="45"/>
      <c r="P4" s="45"/>
      <c r="Q4" s="45"/>
      <c r="R4" s="45"/>
      <c r="S4" s="45"/>
      <c r="T4" s="45"/>
      <c r="U4" s="45"/>
      <c r="V4" s="45"/>
      <c r="W4" s="45"/>
      <c r="X4" s="45"/>
      <c r="Y4" s="45"/>
      <c r="Z4" s="45"/>
      <c r="AA4" s="45"/>
      <c r="AB4" s="45"/>
      <c r="AC4" s="45"/>
    </row>
    <row r="5" spans="1:29" s="53" customFormat="1" x14ac:dyDescent="0.25">
      <c r="B5" s="45" t="s">
        <v>3800</v>
      </c>
      <c r="L5" s="45" t="s">
        <v>3818</v>
      </c>
      <c r="V5" s="45" t="s">
        <v>3827</v>
      </c>
    </row>
    <row r="6" spans="1:29" ht="14.4" thickBot="1" x14ac:dyDescent="0.3"/>
    <row r="7" spans="1:29" ht="15.6" x14ac:dyDescent="0.3">
      <c r="W7" s="49" t="s">
        <v>3712</v>
      </c>
      <c r="X7" s="49" t="s">
        <v>3713</v>
      </c>
    </row>
    <row r="8" spans="1:29" ht="4.5" customHeight="1" x14ac:dyDescent="0.25">
      <c r="W8" s="55"/>
      <c r="X8" s="55"/>
    </row>
    <row r="9" spans="1:29" ht="15.6" x14ac:dyDescent="0.3">
      <c r="W9" s="56" t="e">
        <f>SUMIF(#REF!,"&lt;&gt;Removido 22/12/2023",#REF!)/50</f>
        <v>#REF!</v>
      </c>
      <c r="X9" s="56" t="e">
        <f>SUMIF(#REF!,"&lt;&gt;Removido 22/12/2023",#REF!)/50</f>
        <v>#REF!</v>
      </c>
    </row>
    <row r="21" spans="2:8" ht="5.25" customHeight="1" x14ac:dyDescent="0.25"/>
    <row r="22" spans="2:8" x14ac:dyDescent="0.25">
      <c r="B22" s="57" t="s">
        <v>3801</v>
      </c>
    </row>
    <row r="23" spans="2:8" ht="6.75" customHeight="1" x14ac:dyDescent="0.25"/>
    <row r="24" spans="2:8" ht="6.75" customHeight="1" x14ac:dyDescent="0.25"/>
    <row r="25" spans="2:8" x14ac:dyDescent="0.25">
      <c r="B25" s="45" t="s">
        <v>3819</v>
      </c>
      <c r="C25" s="53"/>
    </row>
    <row r="26" spans="2:8" ht="14.4" thickBot="1" x14ac:dyDescent="0.3"/>
    <row r="27" spans="2:8" ht="15.6" x14ac:dyDescent="0.3">
      <c r="C27" s="49" t="s">
        <v>3706</v>
      </c>
      <c r="D27" s="49" t="s">
        <v>3707</v>
      </c>
      <c r="E27" s="49" t="s">
        <v>3712</v>
      </c>
      <c r="F27" s="49" t="s">
        <v>3836</v>
      </c>
      <c r="G27" s="49" t="s">
        <v>3713</v>
      </c>
    </row>
    <row r="28" spans="2:8" ht="15.6" x14ac:dyDescent="0.3">
      <c r="C28" s="66">
        <f>SUMIF('Por campo'!S21:S71,"&lt;&gt;Removido 22/12/2023",'Por campo'!D21:D71)/50</f>
        <v>0.66563088424642558</v>
      </c>
      <c r="D28" s="66">
        <f>SUMIF('Por campo'!S21:S71,"&lt;&gt;Removido 22/12/2023",'Por campo'!H21:H71)/50</f>
        <v>0.17025929529082148</v>
      </c>
      <c r="E28" s="66">
        <f>SUMIF('Por campo'!S21:S71,"&lt;&gt;Removido 22/12/2023",'Por campo'!J21:J71)/50</f>
        <v>3.0298951635490206E-3</v>
      </c>
      <c r="F28" s="66">
        <f>SUMIF('Por campo'!S21:S71,"&lt;&gt;Removido 22/12/2023",'Por campo'!L21:L71)/50</f>
        <v>0.16026678714330814</v>
      </c>
      <c r="G28" s="66">
        <f>SUMIF('Por campo'!S21:S71,"&lt;&gt;Removido 22/12/2023",'Por campo'!N21:N71)/50</f>
        <v>8.3424795953409973E-4</v>
      </c>
    </row>
    <row r="29" spans="2:8" ht="18" x14ac:dyDescent="0.35">
      <c r="C29" s="65">
        <f>C28-C30</f>
        <v>1.5630884246425558E-2</v>
      </c>
      <c r="D29" s="65">
        <f>D28-D30</f>
        <v>-1.1967576212527115E-2</v>
      </c>
      <c r="E29" s="65">
        <f>E28-E30</f>
        <v>1.7575371301949369E-3</v>
      </c>
      <c r="F29" s="65">
        <f>F28-F30</f>
        <v>-6.260081094107417E-3</v>
      </c>
      <c r="G29" s="65">
        <f>G28-G30</f>
        <v>0</v>
      </c>
      <c r="H29" s="59" t="s">
        <v>3828</v>
      </c>
    </row>
    <row r="30" spans="2:8" x14ac:dyDescent="0.25">
      <c r="C30" s="67">
        <v>0.65</v>
      </c>
      <c r="D30" s="67">
        <v>0.1822268715033486</v>
      </c>
      <c r="E30" s="82">
        <v>1.2723580333540837E-3</v>
      </c>
      <c r="F30" s="82">
        <v>0.16652686823741555</v>
      </c>
      <c r="G30" s="82">
        <v>8.3424795953409973E-4</v>
      </c>
    </row>
    <row r="31" spans="2:8" x14ac:dyDescent="0.25">
      <c r="C31" s="57"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 zoomScale="70" zoomScaleNormal="70" workbookViewId="0">
      <selection activeCell="O3" sqref="O3"/>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3320312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8" t="s">
        <v>3820</v>
      </c>
      <c r="J1" s="58"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Em Correção</v>
      </c>
      <c r="H12" t="str">
        <f>VLOOKUP($A12,'Por campo'!B:U,18,FALSE)</f>
        <v>Sem alterações</v>
      </c>
      <c r="I12" t="str">
        <f t="shared" si="0"/>
        <v>Disponibilizado para teste</v>
      </c>
      <c r="J12" t="str">
        <f t="shared" si="1"/>
        <v>NOK</v>
      </c>
      <c r="O12" s="9" t="s">
        <v>3787</v>
      </c>
      <c r="P12" s="10">
        <v>19</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7</v>
      </c>
    </row>
    <row r="14" spans="1:16" x14ac:dyDescent="0.3">
      <c r="A14" s="33" t="s">
        <v>3710</v>
      </c>
      <c r="B14" s="1">
        <f>VLOOKUP(A14,'Por campo'!B:U,2,FALSE)</f>
        <v>1894058</v>
      </c>
      <c r="C14" s="1">
        <f>VLOOKUP(A14,'Por campo'!B:U,6,FALSE)</f>
        <v>0</v>
      </c>
      <c r="D14" s="1">
        <f>VLOOKUP(A14,'Por campo'!B:U,8,FALSE)</f>
        <v>454</v>
      </c>
      <c r="E14" s="1">
        <f>VLOOKUP(A14,'Por campo'!B:U,10,FALSE)</f>
        <v>122685</v>
      </c>
      <c r="F14" s="1">
        <f>VLOOKUP($A14,'Por campo'!B:U,12,FALSE)</f>
        <v>3665</v>
      </c>
      <c r="G14" t="str">
        <f>VLOOKUP($A14,'Por campo'!B:U,14,FALSE)</f>
        <v>Em teste</v>
      </c>
      <c r="H14" t="str">
        <f>VLOOKUP($A14,'Por campo'!B:U,18,FALSE)</f>
        <v>Sem alterações</v>
      </c>
      <c r="I14" t="str">
        <f t="shared" si="0"/>
        <v>Disponibilizado para teste</v>
      </c>
      <c r="J14" t="str">
        <f t="shared" si="1"/>
        <v>Em teste</v>
      </c>
      <c r="O14" s="9" t="s">
        <v>3795</v>
      </c>
      <c r="P14" s="10">
        <v>13</v>
      </c>
    </row>
    <row r="15" spans="1:16" x14ac:dyDescent="0.3">
      <c r="A15" s="24" t="s">
        <v>3705</v>
      </c>
      <c r="B15" s="1">
        <f>VLOOKUP(A15,'Por campo'!B:U,2,FALSE)</f>
        <v>1894058</v>
      </c>
      <c r="C15" s="1">
        <f>VLOOKUP(A15,'Por campo'!B:U,6,FALSE)</f>
        <v>0</v>
      </c>
      <c r="D15" s="1">
        <f>VLOOKUP(A15,'Por campo'!B:U,8,FALSE)</f>
        <v>123139</v>
      </c>
      <c r="E15" s="1">
        <f>VLOOKUP(A15,'Por campo'!B:U,10,FALSE)</f>
        <v>0</v>
      </c>
      <c r="F15" s="1">
        <f>VLOOKUP($A15,'Por campo'!B:U,12,FALSE)</f>
        <v>3665</v>
      </c>
      <c r="G15" t="str">
        <f>VLOOKUP($A15,'Por campo'!B:U,14,FALSE)</f>
        <v>Em teste</v>
      </c>
      <c r="H15" t="str">
        <f>VLOOKUP($A15,'Por campo'!B:U,18,FALSE)</f>
        <v>Sem alterações</v>
      </c>
      <c r="I15" t="str">
        <f t="shared" si="0"/>
        <v>Disponibilizado para teste</v>
      </c>
      <c r="J15" t="str">
        <f t="shared" si="1"/>
        <v>Em teste</v>
      </c>
      <c r="O15" s="9" t="s">
        <v>3783</v>
      </c>
      <c r="P15" s="10">
        <v>9</v>
      </c>
    </row>
    <row r="16" spans="1:16" x14ac:dyDescent="0.3">
      <c r="A16" s="33" t="s">
        <v>3711</v>
      </c>
      <c r="B16" s="1">
        <f>VLOOKUP(A16,'Por campo'!B:U,2,FALSE)</f>
        <v>1851201</v>
      </c>
      <c r="C16" s="1">
        <f>VLOOKUP(A16,'Por campo'!B:U,6,FALSE)</f>
        <v>0</v>
      </c>
      <c r="D16" s="1">
        <f>VLOOKUP(A16,'Por campo'!B:U,8,FALSE)</f>
        <v>454</v>
      </c>
      <c r="E16" s="1">
        <f>VLOOKUP(A16,'Por campo'!B:U,10,FALSE)</f>
        <v>166884</v>
      </c>
      <c r="F16" s="1">
        <f>VLOOKUP($A16,'Por campo'!B:U,12,FALSE)</f>
        <v>3665</v>
      </c>
      <c r="G16" t="str">
        <f>VLOOKUP($A16,'Por campo'!B:U,14,FALSE)</f>
        <v>Em teste</v>
      </c>
      <c r="H16" t="str">
        <f>VLOOKUP($A16,'Por campo'!B:U,18,FALSE)</f>
        <v>Sem alterações</v>
      </c>
      <c r="I16" t="str">
        <f t="shared" si="0"/>
        <v>Disponibilizado para teste</v>
      </c>
      <c r="J16" t="str">
        <f t="shared" si="1"/>
        <v>Em teste</v>
      </c>
      <c r="O16" s="9" t="s">
        <v>3826</v>
      </c>
      <c r="P16" s="10">
        <v>2</v>
      </c>
    </row>
    <row r="17" spans="1:16" x14ac:dyDescent="0.3">
      <c r="A17" s="24" t="s">
        <v>3709</v>
      </c>
      <c r="B17" s="1">
        <f>VLOOKUP(A17,'Por campo'!B:U,2,FALSE)</f>
        <v>1894058</v>
      </c>
      <c r="C17" s="1">
        <f>VLOOKUP(A17,'Por campo'!B:U,6,FALSE)</f>
        <v>0</v>
      </c>
      <c r="D17" s="1">
        <f>VLOOKUP(A17,'Por campo'!B:U,8,FALSE)</f>
        <v>454</v>
      </c>
      <c r="E17" s="1">
        <f>VLOOKUP(A17,'Por campo'!B:U,10,FALSE)</f>
        <v>122685</v>
      </c>
      <c r="F17" s="1">
        <f>VLOOKUP($A17,'Por campo'!B:U,12,FALSE)</f>
        <v>3665</v>
      </c>
      <c r="G17" t="str">
        <f>VLOOKUP($A17,'Por campo'!B:U,14,FALSE)</f>
        <v>Em teste</v>
      </c>
      <c r="H17" t="str">
        <f>VLOOKUP($A17,'Por campo'!B:U,18,FALSE)</f>
        <v>Sem alterações</v>
      </c>
      <c r="I17" t="str">
        <f t="shared" si="0"/>
        <v>Disponibilizado para teste</v>
      </c>
      <c r="J17" t="str">
        <f t="shared" si="1"/>
        <v>Em teste</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1894058</v>
      </c>
      <c r="C19" s="1">
        <f>VLOOKUP(A19,'Por campo'!B:U,6,FALSE)</f>
        <v>0</v>
      </c>
      <c r="D19" s="1">
        <f>VLOOKUP(A19,'Por campo'!B:U,8,FALSE)</f>
        <v>454</v>
      </c>
      <c r="E19" s="1">
        <f>VLOOKUP(A19,'Por campo'!B:U,10,FALSE)</f>
        <v>122685</v>
      </c>
      <c r="F19" s="1">
        <f>VLOOKUP($A19,'Por campo'!B:U,12,FALSE)</f>
        <v>3665</v>
      </c>
      <c r="G19" t="str">
        <f>VLOOKUP($A19,'Por campo'!B:U,14,FALSE)</f>
        <v>Em teste</v>
      </c>
      <c r="H19" t="str">
        <f>VLOOKUP($A19,'Por campo'!B:U,18,FALSE)</f>
        <v>Sem alterações</v>
      </c>
      <c r="I19" t="str">
        <f t="shared" si="0"/>
        <v>Disponibilizado para teste</v>
      </c>
      <c r="J19" t="str">
        <f t="shared" si="1"/>
        <v>Em teste</v>
      </c>
    </row>
    <row r="20" spans="1:16" x14ac:dyDescent="0.3">
      <c r="A20" s="24" t="s">
        <v>3722</v>
      </c>
      <c r="B20" s="1">
        <f>VLOOKUP(A20,'Por campo'!B:U,2,FALSE)</f>
        <v>1681127</v>
      </c>
      <c r="C20" s="1">
        <f>VLOOKUP(A20,'Por campo'!B:U,6,FALSE)</f>
        <v>155</v>
      </c>
      <c r="D20" s="1">
        <f>VLOOKUP(A20,'Por campo'!B:U,8,FALSE)</f>
        <v>177587</v>
      </c>
      <c r="E20" s="1">
        <f>VLOOKUP(A20,'Por campo'!B:U,10,FALSE)</f>
        <v>158328</v>
      </c>
      <c r="F20" s="1">
        <f>VLOOKUP($A20,'Por campo'!B:U,12,FALSE)</f>
        <v>3665</v>
      </c>
      <c r="G20" t="str">
        <f>VLOOKUP($A20,'Por campo'!B:U,14,FALSE)</f>
        <v>Em teste</v>
      </c>
      <c r="H20" t="str">
        <f>VLOOKUP($A20,'Por campo'!B:U,18,FALSE)</f>
        <v>Sem alterações</v>
      </c>
      <c r="I20" t="str">
        <f t="shared" si="0"/>
        <v>Disponibilizado para teste</v>
      </c>
      <c r="J20" t="str">
        <f t="shared" si="1"/>
        <v>Em teste</v>
      </c>
    </row>
    <row r="21" spans="1:16" x14ac:dyDescent="0.3">
      <c r="A21" s="33" t="s">
        <v>3723</v>
      </c>
      <c r="B21" s="1">
        <f>VLOOKUP(A21,'Por campo'!B:U,2,FALSE)</f>
        <v>0</v>
      </c>
      <c r="C21" s="1">
        <f>VLOOKUP(A21,'Por campo'!B:U,6,FALSE)</f>
        <v>2017197</v>
      </c>
      <c r="D21" s="1">
        <f>VLOOKUP(A21,'Por campo'!B:U,8,FALSE)</f>
        <v>0</v>
      </c>
      <c r="E21" s="1">
        <f>VLOOKUP(A21,'Por campo'!B:U,10,FALSE)</f>
        <v>0</v>
      </c>
      <c r="F21" s="1">
        <f>VLOOKUP($A21,'Por campo'!B:U,12,FALSE)</f>
        <v>3665</v>
      </c>
      <c r="G21" t="str">
        <f>VLOOKUP($A21,'Por campo'!B:U,14,FALSE)</f>
        <v>Em Implementação</v>
      </c>
      <c r="H21" t="str">
        <f>VLOOKUP($A21,'Por campo'!B:U,18,FALSE)</f>
        <v>Sem alterações</v>
      </c>
      <c r="I21" t="str">
        <f t="shared" si="0"/>
        <v>Em implementação</v>
      </c>
      <c r="J21" t="str">
        <f t="shared" si="1"/>
        <v>Em Implementação</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35</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13</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2017197</v>
      </c>
      <c r="D28" s="1">
        <f>VLOOKUP(A28,'Por campo'!B:U,8,FALSE)</f>
        <v>0</v>
      </c>
      <c r="E28" s="1">
        <f>VLOOKUP(A28,'Por campo'!B:U,10,FALSE)</f>
        <v>0</v>
      </c>
      <c r="F28" s="1">
        <f>VLOOKUP($A28,'Por campo'!B:U,12,FALSE)</f>
        <v>3665</v>
      </c>
      <c r="G28" t="str">
        <f>VLOOKUP($A28,'Por campo'!B:U,14,FALSE)</f>
        <v>Em Implementação</v>
      </c>
      <c r="H28" t="str">
        <f>VLOOKUP($A28,'Por campo'!B:U,18,FALSE)</f>
        <v>Sem alterações</v>
      </c>
      <c r="I28" t="str">
        <f t="shared" si="0"/>
        <v>Em implementação</v>
      </c>
      <c r="J28" t="str">
        <f t="shared" si="1"/>
        <v>Em Implementação</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1553247</v>
      </c>
      <c r="C30" s="1">
        <f>VLOOKUP(A30,'Por campo'!B:U,6,FALSE)</f>
        <v>305013</v>
      </c>
      <c r="D30" s="1">
        <f>VLOOKUP(A30,'Por campo'!B:U,8,FALSE)</f>
        <v>454</v>
      </c>
      <c r="E30" s="1">
        <f>VLOOKUP(A30,'Por campo'!B:U,10,FALSE)</f>
        <v>158483</v>
      </c>
      <c r="F30" s="1">
        <f>VLOOKUP($A30,'Por campo'!B:U,12,FALSE)</f>
        <v>3665</v>
      </c>
      <c r="G30" t="str">
        <f>VLOOKUP($A30,'Por campo'!B:U,14,FALSE)</f>
        <v>Em Correção</v>
      </c>
      <c r="H30" t="str">
        <f>VLOOKUP($A30,'Por campo'!B:U,18,FALSE)</f>
        <v>Alterado 22/12/2023</v>
      </c>
      <c r="I30" t="str">
        <f t="shared" si="0"/>
        <v>Disponibilizado para teste</v>
      </c>
      <c r="J30" t="str">
        <f t="shared" si="1"/>
        <v>NOK</v>
      </c>
    </row>
    <row r="31" spans="1:16" x14ac:dyDescent="0.3">
      <c r="A31" s="33" t="s">
        <v>3763</v>
      </c>
      <c r="B31" s="1">
        <f>VLOOKUP(A31,'Por campo'!B:U,2,FALSE)</f>
        <v>0</v>
      </c>
      <c r="C31" s="1">
        <f>VLOOKUP(A31,'Por campo'!B:U,6,FALSE)</f>
        <v>2017197</v>
      </c>
      <c r="D31" s="1">
        <f>VLOOKUP(A31,'Por campo'!B:U,8,FALSE)</f>
        <v>0</v>
      </c>
      <c r="E31" s="1">
        <f>VLOOKUP(A31,'Por campo'!B:U,10,FALSE)</f>
        <v>0</v>
      </c>
      <c r="F31" s="1">
        <f>VLOOKUP($A31,'Por campo'!B:U,12,FALSE)</f>
        <v>3665</v>
      </c>
      <c r="G31" t="str">
        <f>VLOOKUP($A31,'Por campo'!B:U,14,FALSE)</f>
        <v>Em Implementação</v>
      </c>
      <c r="H31" t="str">
        <f>VLOOKUP($A31,'Por campo'!B:U,18,FALSE)</f>
        <v>Alterado 22/12/2023</v>
      </c>
      <c r="I31" t="str">
        <f t="shared" si="0"/>
        <v>Em implementação</v>
      </c>
      <c r="J31" t="str">
        <f t="shared" si="1"/>
        <v>Em Implementação</v>
      </c>
      <c r="O31" s="8" t="s">
        <v>3792</v>
      </c>
      <c r="P31" t="s">
        <v>3823</v>
      </c>
    </row>
    <row r="32" spans="1:16" x14ac:dyDescent="0.3">
      <c r="A32" s="24" t="s">
        <v>3760</v>
      </c>
      <c r="B32" s="1">
        <f>VLOOKUP(A32,'Por campo'!B:U,2,FALSE)</f>
        <v>1858259</v>
      </c>
      <c r="C32" s="1">
        <f>VLOOKUP(A32,'Por campo'!B:U,6,FALSE)</f>
        <v>1</v>
      </c>
      <c r="D32" s="1">
        <f>VLOOKUP(A32,'Por campo'!B:U,8,FALSE)</f>
        <v>454</v>
      </c>
      <c r="E32" s="1">
        <f>VLOOKUP(A32,'Por campo'!B:U,10,FALSE)</f>
        <v>158483</v>
      </c>
      <c r="F32" s="1">
        <f>VLOOKUP($A32,'Por campo'!B:U,12,FALSE)</f>
        <v>3665</v>
      </c>
      <c r="G32" t="str">
        <f>VLOOKUP($A32,'Por campo'!B:U,14,FALSE)</f>
        <v>Em Correção</v>
      </c>
      <c r="H32" t="str">
        <f>VLOOKUP($A32,'Por campo'!B:U,18,FALSE)</f>
        <v>Alterado 22/12/2023</v>
      </c>
      <c r="I32" t="str">
        <f t="shared" si="0"/>
        <v>Disponibilizado para teste</v>
      </c>
      <c r="J32" t="str">
        <f t="shared" si="1"/>
        <v>NOK</v>
      </c>
    </row>
    <row r="33" spans="1:16" x14ac:dyDescent="0.3">
      <c r="A33" s="33" t="s">
        <v>3765</v>
      </c>
      <c r="B33" s="1">
        <f>VLOOKUP(A33,'Por campo'!B:U,2,FALSE)</f>
        <v>0</v>
      </c>
      <c r="C33" s="1">
        <f>VLOOKUP(A33,'Por campo'!B:U,6,FALSE)</f>
        <v>2017197</v>
      </c>
      <c r="D33" s="1">
        <f>VLOOKUP(A33,'Por campo'!B:U,8,FALSE)</f>
        <v>0</v>
      </c>
      <c r="E33" s="1">
        <f>VLOOKUP(A33,'Por campo'!B:U,10,FALSE)</f>
        <v>0</v>
      </c>
      <c r="F33" s="1">
        <f>VLOOKUP($A33,'Por campo'!B:U,12,FALSE)</f>
        <v>3665</v>
      </c>
      <c r="G33" t="str">
        <f>VLOOKUP($A33,'Por campo'!B:U,14,FALSE)</f>
        <v>Em Implementação</v>
      </c>
      <c r="H33" t="str">
        <f>VLOOKUP($A33,'Por campo'!B:U,18,FALSE)</f>
        <v>Alterado 22/12/2023</v>
      </c>
      <c r="I33" t="str">
        <f t="shared" si="0"/>
        <v>Em implementação</v>
      </c>
      <c r="J33" t="str">
        <f t="shared" si="1"/>
        <v>Em Implementação</v>
      </c>
      <c r="O33" s="8" t="s">
        <v>3681</v>
      </c>
      <c r="P33" t="s">
        <v>3825</v>
      </c>
    </row>
    <row r="34" spans="1:16" x14ac:dyDescent="0.3">
      <c r="A34" s="24" t="s">
        <v>3751</v>
      </c>
      <c r="B34" s="1">
        <f>VLOOKUP(A34,'Por campo'!B:U,2,FALSE)</f>
        <v>1097546</v>
      </c>
      <c r="C34" s="1">
        <f>VLOOKUP(A34,'Por campo'!B:U,6,FALSE)</f>
        <v>760714</v>
      </c>
      <c r="D34" s="1">
        <f>VLOOKUP(A34,'Por campo'!B:U,8,FALSE)</f>
        <v>454</v>
      </c>
      <c r="E34" s="1">
        <f>VLOOKUP(A34,'Por campo'!B:U,10,FALSE)</f>
        <v>158483</v>
      </c>
      <c r="F34" s="1">
        <f>VLOOKUP($A34,'Por campo'!B:U,12,FALSE)</f>
        <v>3665</v>
      </c>
      <c r="G34" t="str">
        <f>VLOOKUP($A34,'Por campo'!B:U,14,FALSE)</f>
        <v>Em Correção</v>
      </c>
      <c r="H34" t="str">
        <f>VLOOKUP($A34,'Por campo'!B:U,18,FALSE)</f>
        <v>Alterado 22/12/2023</v>
      </c>
      <c r="I34" t="str">
        <f t="shared" si="0"/>
        <v>Disponibilizado para teste</v>
      </c>
      <c r="J34" t="str">
        <f t="shared" si="1"/>
        <v>NOK</v>
      </c>
      <c r="O34" s="9" t="s">
        <v>3783</v>
      </c>
      <c r="P34" s="10">
        <v>9</v>
      </c>
    </row>
    <row r="35" spans="1:16" x14ac:dyDescent="0.3">
      <c r="A35" s="33" t="s">
        <v>3762</v>
      </c>
      <c r="B35" s="1">
        <f>VLOOKUP(A35,'Por campo'!B:U,2,FALSE)</f>
        <v>0</v>
      </c>
      <c r="C35" s="1">
        <f>VLOOKUP(A35,'Por campo'!B:U,6,FALSE)</f>
        <v>2017197</v>
      </c>
      <c r="D35" s="1">
        <f>VLOOKUP(A35,'Por campo'!B:U,8,FALSE)</f>
        <v>0</v>
      </c>
      <c r="E35" s="1">
        <f>VLOOKUP(A35,'Por campo'!B:U,10,FALSE)</f>
        <v>0</v>
      </c>
      <c r="F35" s="1">
        <f>VLOOKUP($A35,'Por campo'!B:U,12,FALSE)</f>
        <v>3665</v>
      </c>
      <c r="G35" t="str">
        <f>VLOOKUP($A35,'Por campo'!B:U,14,FALSE)</f>
        <v>Em Implementação</v>
      </c>
      <c r="H35" t="str">
        <f>VLOOKUP($A35,'Por campo'!B:U,18,FALSE)</f>
        <v>Alterado 22/12/2023</v>
      </c>
      <c r="I35" t="str">
        <f t="shared" si="0"/>
        <v>Em implementação</v>
      </c>
      <c r="J35" t="str">
        <f t="shared" si="1"/>
        <v>Em Implementação</v>
      </c>
      <c r="O35" s="9" t="s">
        <v>3707</v>
      </c>
      <c r="P35" s="10">
        <v>7</v>
      </c>
    </row>
    <row r="36" spans="1:16" x14ac:dyDescent="0.3">
      <c r="A36" s="24" t="s">
        <v>3759</v>
      </c>
      <c r="B36" s="1">
        <f>VLOOKUP(A36,'Por campo'!B:U,2,FALSE)</f>
        <v>1858258</v>
      </c>
      <c r="C36" s="1">
        <f>VLOOKUP(A36,'Por campo'!B:U,6,FALSE)</f>
        <v>2</v>
      </c>
      <c r="D36" s="1">
        <f>VLOOKUP(A36,'Por campo'!B:U,8,FALSE)</f>
        <v>454</v>
      </c>
      <c r="E36" s="1">
        <f>VLOOKUP(A36,'Por campo'!B:U,10,FALSE)</f>
        <v>158483</v>
      </c>
      <c r="F36" s="1">
        <f>VLOOKUP($A36,'Por campo'!B:U,12,FALSE)</f>
        <v>3665</v>
      </c>
      <c r="G36" t="str">
        <f>VLOOKUP($A36,'Por campo'!B:U,14,FALSE)</f>
        <v>Em Correção</v>
      </c>
      <c r="H36" t="str">
        <f>VLOOKUP($A36,'Por campo'!B:U,18,FALSE)</f>
        <v>Alterado 22/12/2023</v>
      </c>
      <c r="I36" t="str">
        <f t="shared" si="0"/>
        <v>Disponibilizado para teste</v>
      </c>
      <c r="J36" t="str">
        <f t="shared" si="1"/>
        <v>NOK</v>
      </c>
      <c r="O36" s="9" t="s">
        <v>3706</v>
      </c>
      <c r="P36" s="10">
        <v>19</v>
      </c>
    </row>
    <row r="37" spans="1:16" x14ac:dyDescent="0.3">
      <c r="A37" s="33" t="s">
        <v>3764</v>
      </c>
      <c r="B37" s="1">
        <f>VLOOKUP(A37,'Por campo'!B:U,2,FALSE)</f>
        <v>0</v>
      </c>
      <c r="C37" s="1">
        <f>VLOOKUP(A37,'Por campo'!B:U,6,FALSE)</f>
        <v>2017197</v>
      </c>
      <c r="D37" s="1">
        <f>VLOOKUP(A37,'Por campo'!B:U,8,FALSE)</f>
        <v>0</v>
      </c>
      <c r="E37" s="1">
        <f>VLOOKUP(A37,'Por campo'!B:U,10,FALSE)</f>
        <v>0</v>
      </c>
      <c r="F37" s="1">
        <f>VLOOKUP($A37,'Por campo'!B:U,12,FALSE)</f>
        <v>3665</v>
      </c>
      <c r="G37" t="str">
        <f>VLOOKUP($A37,'Por campo'!B:U,14,FALSE)</f>
        <v>Em Implementação</v>
      </c>
      <c r="H37" t="str">
        <f>VLOOKUP($A37,'Por campo'!B:U,18,FALSE)</f>
        <v>Alterado 22/12/2023</v>
      </c>
      <c r="I37" t="str">
        <f t="shared" si="0"/>
        <v>Em implementação</v>
      </c>
      <c r="J37" t="str">
        <f t="shared" si="1"/>
        <v>Em Implementação</v>
      </c>
      <c r="O37" s="9" t="s">
        <v>3683</v>
      </c>
      <c r="P37" s="10">
        <v>35</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2017197</v>
      </c>
      <c r="D39" s="1">
        <f>VLOOKUP(A39,'Por campo'!B:U,8,FALSE)</f>
        <v>0</v>
      </c>
      <c r="E39" s="1">
        <f>VLOOKUP(A39,'Por campo'!B:U,10,FALSE)</f>
        <v>0</v>
      </c>
      <c r="F39" s="1">
        <f>VLOOKUP($A39,'Por campo'!B:U,12,FALSE)</f>
        <v>3665</v>
      </c>
      <c r="G39" t="str">
        <f>VLOOKUP($A39,'Por campo'!B:U,14,FALSE)</f>
        <v>Em Implementação</v>
      </c>
      <c r="H39" t="str">
        <f>VLOOKUP($A39,'Por campo'!B:U,18,FALSE)</f>
        <v>Sem alterações</v>
      </c>
      <c r="I39" t="str">
        <f t="shared" si="0"/>
        <v>Em implementação</v>
      </c>
      <c r="J39" t="str">
        <f t="shared" si="1"/>
        <v>Em Implementação</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2017197</v>
      </c>
      <c r="D41" s="1">
        <f>VLOOKUP(A41,'Por campo'!B:U,8,FALSE)</f>
        <v>0</v>
      </c>
      <c r="E41" s="1">
        <f>VLOOKUP(A41,'Por campo'!B:U,10,FALSE)</f>
        <v>0</v>
      </c>
      <c r="F41" s="1">
        <f>VLOOKUP($A41,'Por campo'!B:U,12,FALSE)</f>
        <v>3665</v>
      </c>
      <c r="G41" t="str">
        <f>VLOOKUP($A41,'Por campo'!B:U,14,FALSE)</f>
        <v>Em Implementação</v>
      </c>
      <c r="H41" t="str">
        <f>VLOOKUP($A41,'Por campo'!B:U,18,FALSE)</f>
        <v>Sem alterações</v>
      </c>
      <c r="I41" t="str">
        <f t="shared" si="0"/>
        <v>Em implementação</v>
      </c>
      <c r="J41" t="str">
        <f t="shared" si="1"/>
        <v>Em Implementação</v>
      </c>
      <c r="O41" s="8" t="s">
        <v>3681</v>
      </c>
      <c r="P41" t="s">
        <v>3799</v>
      </c>
    </row>
    <row r="42" spans="1:16" x14ac:dyDescent="0.3">
      <c r="A42" s="24" t="s">
        <v>3767</v>
      </c>
      <c r="B42" s="1">
        <f>VLOOKUP(A42,'Por campo'!B:U,2,FALSE)</f>
        <v>2020821</v>
      </c>
      <c r="C42" s="1">
        <f>VLOOKUP(A42,'Por campo'!B:U,6,FALSE)</f>
        <v>41</v>
      </c>
      <c r="D42" s="1">
        <f>VLOOKUP(A42,'Por campo'!B:U,8,FALSE)</f>
        <v>0</v>
      </c>
      <c r="E42" s="1">
        <f>VLOOKUP(A42,'Por campo'!B:U,10,FALSE)</f>
        <v>0</v>
      </c>
      <c r="F42" s="1">
        <f>VLOOKUP($A42,'Por campo'!B:U,12,FALSE)</f>
        <v>0</v>
      </c>
      <c r="G42" t="str">
        <f>VLOOKUP($A42,'Por campo'!B:U,14,FALSE)</f>
        <v>Em Correção</v>
      </c>
      <c r="H42" t="str">
        <f>VLOOKUP($A42,'Por campo'!B:U,18,FALSE)</f>
        <v>Adicionado 22/12/2023</v>
      </c>
      <c r="I42" t="str">
        <f t="shared" si="0"/>
        <v>Disponibilizado para teste</v>
      </c>
      <c r="J42" t="str">
        <f t="shared" si="1"/>
        <v>NOK</v>
      </c>
      <c r="O42" s="9" t="s">
        <v>3787</v>
      </c>
      <c r="P42" s="10">
        <v>19</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7</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13</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7"/>
      <c r="O45" s="9" t="s">
        <v>3783</v>
      </c>
      <c r="P45" s="10">
        <v>9</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8"/>
      <c r="O46" s="9" t="s">
        <v>3826</v>
      </c>
      <c r="P46" s="10">
        <v>2</v>
      </c>
    </row>
    <row r="47" spans="1:16" x14ac:dyDescent="0.3">
      <c r="A47" s="24" t="s">
        <v>3752</v>
      </c>
      <c r="B47" s="1">
        <f>VLOOKUP(A47,'Por campo'!B:U,2,FALSE)</f>
        <v>1894057</v>
      </c>
      <c r="C47" s="1">
        <f>VLOOKUP(A47,'Por campo'!B:U,6,FALSE)</f>
        <v>1</v>
      </c>
      <c r="D47" s="1">
        <f>VLOOKUP(A47,'Por campo'!B:U,8,FALSE)</f>
        <v>454</v>
      </c>
      <c r="E47" s="1">
        <f>VLOOKUP(A47,'Por campo'!B:U,10,FALSE)</f>
        <v>122685</v>
      </c>
      <c r="F47" s="1">
        <f>VLOOKUP($A47,'Por campo'!B:U,12,FALSE)</f>
        <v>3665</v>
      </c>
      <c r="G47" t="str">
        <f>VLOOKUP($A47,'Por campo'!B:U,14,FALSE)</f>
        <v>Em Correção</v>
      </c>
      <c r="H47" t="str">
        <f>VLOOKUP($A47,'Por campo'!B:U,18,FALSE)</f>
        <v>Sem alterações</v>
      </c>
      <c r="I47" t="str">
        <f t="shared" si="0"/>
        <v>Disponibilizado para teste</v>
      </c>
      <c r="J47" t="str">
        <f t="shared" si="1"/>
        <v>NOK</v>
      </c>
      <c r="L47" s="46"/>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6360D6-1E3D-4BBA-9FE4-C78BC7356407}">
  <ds:schemaRefs>
    <ds:schemaRef ds:uri="http://schemas.openxmlformats.org/package/2006/metadata/core-properties"/>
    <ds:schemaRef ds:uri="http://purl.org/dc/elements/1.1/"/>
    <ds:schemaRef ds:uri="0683c779-04fc-4b63-89c9-6c25ffa1c0a4"/>
    <ds:schemaRef ds:uri="6ea7b29d-57ec-408d-9ea9-cf73b04f66d5"/>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69A57489-EBD6-4106-8E77-D6640D465639}">
  <ds:schemaRefs>
    <ds:schemaRef ds:uri="http://schemas.microsoft.com/sharepoint/v3/contenttype/forms"/>
  </ds:schemaRefs>
</ds:datastoreItem>
</file>

<file path=customXml/itemProps3.xml><?xml version="1.0" encoding="utf-8"?>
<ds:datastoreItem xmlns:ds="http://schemas.openxmlformats.org/officeDocument/2006/customXml" ds:itemID="{F3CD40D9-0644-4EF8-97CE-BC720D5544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Sheet2</vt:lpstr>
      <vt:lpstr>N Cruza</vt:lpstr>
      <vt:lpstr>Sheet7</vt:lpstr>
      <vt:lpstr>Por campo</vt:lpstr>
      <vt:lpstr>Dashboard</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Joana Rita Bentinho Silva</cp:lastModifiedBy>
  <dcterms:created xsi:type="dcterms:W3CDTF">2024-01-19T14:18:45Z</dcterms:created>
  <dcterms:modified xsi:type="dcterms:W3CDTF">2024-03-06T15:45:47Z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